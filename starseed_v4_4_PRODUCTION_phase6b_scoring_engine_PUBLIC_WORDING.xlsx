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CANON_MATRIX" sheetId="2" state="visible" r:id="rId2"/>
    <sheet xmlns:r="http://schemas.openxmlformats.org/officeDocument/2006/relationships" name="02_MOTIF_MATRIX" sheetId="3" state="visible" r:id="rId3"/>
    <sheet xmlns:r="http://schemas.openxmlformats.org/officeDocument/2006/relationships" name="03_FINAL_ITEMS" sheetId="4" state="visible" r:id="rId4"/>
    <sheet xmlns:r="http://schemas.openxmlformats.org/officeDocument/2006/relationships" name="04_CODEBOOK_CONTROL" sheetId="5" state="visible" r:id="rId5"/>
    <sheet xmlns:r="http://schemas.openxmlformats.org/officeDocument/2006/relationships" name="05_FEATURE_MODEL" sheetId="6" state="visible" r:id="rId6"/>
    <sheet xmlns:r="http://schemas.openxmlformats.org/officeDocument/2006/relationships" name="06_ITEM_POLE_MODEL" sheetId="7" state="visible" r:id="rId7"/>
    <sheet xmlns:r="http://schemas.openxmlformats.org/officeDocument/2006/relationships" name="07_CONTINUOUS_CODEBOOK" sheetId="8" state="visible" r:id="rId8"/>
    <sheet xmlns:r="http://schemas.openxmlformats.org/officeDocument/2006/relationships" name="08_EXPECTED_CODEBOOK_V4" sheetId="9" state="visible" r:id="rId9"/>
    <sheet xmlns:r="http://schemas.openxmlformats.org/officeDocument/2006/relationships" name="17_FORMULA_CODEBOOK_CHECK" sheetId="10" state="visible" r:id="rId10"/>
    <sheet xmlns:r="http://schemas.openxmlformats.org/officeDocument/2006/relationships" name="09_ADMIN_ORDER_CODEBOOK" sheetId="11" state="visible" r:id="rId11"/>
    <sheet xmlns:r="http://schemas.openxmlformats.org/officeDocument/2006/relationships" name="10_TARGET_EDGE_AUDIT" sheetId="12" state="visible" r:id="rId12"/>
    <sheet xmlns:r="http://schemas.openxmlformats.org/officeDocument/2006/relationships" name="11_PAIR_GEOMETRY" sheetId="13" state="visible" r:id="rId13"/>
    <sheet xmlns:r="http://schemas.openxmlformats.org/officeDocument/2006/relationships" name="12_ROBUSTNESS" sheetId="14" state="visible" r:id="rId14"/>
    <sheet xmlns:r="http://schemas.openxmlformats.org/officeDocument/2006/relationships" name="13_THRESHOLD_SENSITIVITY" sheetId="15" state="visible" r:id="rId15"/>
    <sheet xmlns:r="http://schemas.openxmlformats.org/officeDocument/2006/relationships" name="14_GAIN_SENSITIVITY" sheetId="16" state="visible" r:id="rId16"/>
    <sheet xmlns:r="http://schemas.openxmlformats.org/officeDocument/2006/relationships" name="15_CODEWORD_NORM_AUDIT" sheetId="17" state="visible" r:id="rId17"/>
    <sheet xmlns:r="http://schemas.openxmlformats.org/officeDocument/2006/relationships" name="16_QA_SNAPSHOT" sheetId="18" state="visible" r:id="rId18"/>
    <sheet xmlns:r="http://schemas.openxmlformats.org/officeDocument/2006/relationships" name="90_CANON_CONF_SOURCE" sheetId="19" state="hidden" r:id="rId19"/>
    <sheet xmlns:r="http://schemas.openxmlformats.org/officeDocument/2006/relationships" name="91_MOTIF_CONF_SOURCE" sheetId="20" state="hidden" r:id="rId20"/>
    <sheet xmlns:r="http://schemas.openxmlformats.org/officeDocument/2006/relationships" name="18_WEIGHT_CONTROL" sheetId="21" state="visible" r:id="rId21"/>
    <sheet xmlns:r="http://schemas.openxmlformats.org/officeDocument/2006/relationships" name="92_FEATURE_CONF_NUMERIC" sheetId="22" state="hidden" r:id="rId22"/>
    <sheet xmlns:r="http://schemas.openxmlformats.org/officeDocument/2006/relationships" name="19_FEATURE_CONFIDENCE" sheetId="23" state="visible" r:id="rId23"/>
    <sheet xmlns:r="http://schemas.openxmlformats.org/officeDocument/2006/relationships" name="93_TARGET_MEMBERSHIP" sheetId="24" state="hidden" r:id="rId24"/>
    <sheet xmlns:r="http://schemas.openxmlformats.org/officeDocument/2006/relationships" name="20_ITEM_FEATURE_MASS" sheetId="25" state="visible" r:id="rId25"/>
    <sheet xmlns:r="http://schemas.openxmlformats.org/officeDocument/2006/relationships" name="21_ITEM_FEATURE_CONF" sheetId="26" state="visible" r:id="rId26"/>
    <sheet xmlns:r="http://schemas.openxmlformats.org/officeDocument/2006/relationships" name="22_DEPENDENCY_AUDIT" sheetId="27" state="visible" r:id="rId27"/>
    <sheet xmlns:r="http://schemas.openxmlformats.org/officeDocument/2006/relationships" name="23_ITEM_WEIGHT_MODEL" sheetId="28" state="visible" r:id="rId28"/>
    <sheet xmlns:r="http://schemas.openxmlformats.org/officeDocument/2006/relationships" name="24_FINAL_ITEM_WEIGHTS" sheetId="29" state="visible" r:id="rId29"/>
    <sheet xmlns:r="http://schemas.openxmlformats.org/officeDocument/2006/relationships" name="25_WEIGHT_CAP_SENSITIVITY" sheetId="30" state="visible" r:id="rId30"/>
    <sheet xmlns:r="http://schemas.openxmlformats.org/officeDocument/2006/relationships" name="26_CONF_MAP_SENSITIVITY" sheetId="31" state="visible" r:id="rId31"/>
    <sheet xmlns:r="http://schemas.openxmlformats.org/officeDocument/2006/relationships" name="94_WEIGHT_VECTOR" sheetId="32" state="hidden" r:id="rId32"/>
    <sheet xmlns:r="http://schemas.openxmlformats.org/officeDocument/2006/relationships" name="95_WEIGHTED_NORMS" sheetId="33" state="hidden" r:id="rId33"/>
    <sheet xmlns:r="http://schemas.openxmlformats.org/officeDocument/2006/relationships" name="27_WEIGHTED_PAIR_GEOMETRY" sheetId="34" state="visible" r:id="rId34"/>
    <sheet xmlns:r="http://schemas.openxmlformats.org/officeDocument/2006/relationships" name="28_WEIGHTED_ROBUSTNESS" sheetId="35" state="visible" r:id="rId35"/>
    <sheet xmlns:r="http://schemas.openxmlformats.org/officeDocument/2006/relationships" name="29_WEIGHT_QA_SNAPSHOT" sheetId="36" state="visible" r:id="rId36"/>
    <sheet xmlns:r="http://schemas.openxmlformats.org/officeDocument/2006/relationships" name="30_PRODUCTION_SCORING_SPEC" sheetId="37" state="visible" r:id="rId37"/>
    <sheet xmlns:r="http://schemas.openxmlformats.org/officeDocument/2006/relationships" name="31_WEIGHT_METHOD_SOURCES" sheetId="38" state="visible" r:id="rId38"/>
    <sheet xmlns:r="http://schemas.openxmlformats.org/officeDocument/2006/relationships" name="97_PROD_WEIGHTS" sheetId="39" state="hidden" r:id="rId39"/>
    <sheet xmlns:r="http://schemas.openxmlformats.org/officeDocument/2006/relationships" name="98_PROD_CODEBOOK_Q" sheetId="40" state="hidden" r:id="rId40"/>
    <sheet xmlns:r="http://schemas.openxmlformats.org/officeDocument/2006/relationships" name="96_PROD_PAIR_RHO" sheetId="41" state="hidden" r:id="rId41"/>
    <sheet xmlns:r="http://schemas.openxmlformats.org/officeDocument/2006/relationships" name="32_PROD_CONTROL" sheetId="42" state="visible" r:id="rId42"/>
    <sheet xmlns:r="http://schemas.openxmlformats.org/officeDocument/2006/relationships" name="33_RESPONSE_INPUT" sheetId="43" state="visible" r:id="rId43"/>
    <sheet xmlns:r="http://schemas.openxmlformats.org/officeDocument/2006/relationships" name="34_SCOREBOARD" sheetId="44" state="visible" r:id="rId44"/>
    <sheet xmlns:r="http://schemas.openxmlformats.org/officeDocument/2006/relationships" name="35_LOCAL_DUEL" sheetId="45" state="visible" r:id="rId45"/>
    <sheet xmlns:r="http://schemas.openxmlformats.org/officeDocument/2006/relationships" name="36_EXPLANATION" sheetId="46" state="visible" r:id="rId46"/>
    <sheet xmlns:r="http://schemas.openxmlformats.org/officeDocument/2006/relationships" name="37_BACKEND_CONTRACT" sheetId="47" state="visible" r:id="rId47"/>
    <sheet xmlns:r="http://schemas.openxmlformats.org/officeDocument/2006/relationships" name="38_ENGINE_QA" sheetId="48" state="visible" r:id="rId48"/>
    <sheet xmlns:r="http://schemas.openxmlformats.org/officeDocument/2006/relationships" name="39_POST_EDIT_QA" sheetId="49" state="visible" r:id="rId49"/>
    <sheet xmlns:r="http://schemas.openxmlformats.org/officeDocument/2006/relationships" name="40_NATURAL_WORDING_QA" sheetId="50" state="visible" r:id="rId50"/>
    <sheet xmlns:r="http://schemas.openxmlformats.org/officeDocument/2006/relationships" name="41_INSTRUMENT_VERSION" sheetId="51" state="visible" r:id="rId51"/>
    <sheet xmlns:r="http://schemas.openxmlformats.org/officeDocument/2006/relationships" name="42_V43_WORDING_QA" sheetId="52" state="visible" r:id="rId52"/>
    <sheet xmlns:r="http://schemas.openxmlformats.org/officeDocument/2006/relationships" name="43_V44_WORDING_QA" sheetId="53" state="visible" r:id="rId53"/>
  </sheets>
  <definedNames>
    <definedName name="_xlnm._FilterDatabase" localSheetId="12" hidden="1">'11_PAIR_GEOMETRY'!$A$4:$G$257</definedName>
    <definedName name="_xlnm._FilterDatabase" localSheetId="28" hidden="1">'24_FINAL_ITEM_WEIGHTS'!$A$4:$P$84</definedName>
    <definedName name="_xlnm._FilterDatabase" localSheetId="33" hidden="1">'27_WEIGHTED_PAIR_GEOMETRY'!$A$4:$I$257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24">
    <font>
      <name val="Calibri"/>
      <family val="2"/>
      <color theme="1"/>
      <sz val="11"/>
      <scheme val="minor"/>
    </font>
    <font>
      <name val="Noto Sans CJK TC"/>
      <b val="1"/>
      <color rgb="00FFFFFF"/>
      <sz val="18"/>
    </font>
    <font>
      <name val="Noto Sans CJK TC"/>
      <color rgb="00666666"/>
      <sz val="10"/>
    </font>
    <font>
      <name val="Noto Sans CJK TC"/>
      <b val="1"/>
      <color rgb="00FFFFFF"/>
      <sz val="9"/>
    </font>
    <font>
      <name val="Noto Sans CJK TC"/>
      <sz val="8"/>
    </font>
    <font>
      <name val="Noto Sans CJK TC"/>
      <b val="1"/>
    </font>
    <font>
      <name val="Noto Sans CJK TC"/>
      <b val="1"/>
      <color rgb="0014213D"/>
      <sz val="12"/>
    </font>
    <font>
      <name val="Noto Sans CJK TC"/>
      <b val="1"/>
      <color rgb="007030A0"/>
    </font>
    <font>
      <name val="Noto Sans CJK TC"/>
      <color rgb="00595959"/>
      <sz val="10"/>
    </font>
    <font>
      <name val="Noto Sans CJK TC"/>
      <color rgb="00000000"/>
      <sz val="9"/>
    </font>
    <font>
      <name val="Noto Sans CJK TC"/>
      <color rgb="00666666"/>
      <sz val="9"/>
    </font>
    <font>
      <name val="Noto Sans CJK TC"/>
      <color rgb="00000000"/>
      <sz val="8"/>
    </font>
    <font>
      <name val="Noto Sans CJK TC"/>
      <color rgb="00000000"/>
      <sz val="7"/>
    </font>
    <font>
      <name val="Noto Sans CJK TC"/>
      <b val="1"/>
      <color rgb="00000000"/>
      <sz val="8"/>
    </font>
    <font>
      <name val="Noto Sans CJK TC"/>
      <b val="1"/>
      <sz val="8"/>
    </font>
    <font>
      <name val="Calibri"/>
      <family val="2"/>
      <color theme="10"/>
      <sz val="12"/>
      <scheme val="minor"/>
    </font>
    <font>
      <b val="1"/>
      <color rgb="00FFFFFF"/>
      <sz val="18"/>
    </font>
    <font>
      <color rgb="00666666"/>
      <sz val="10"/>
    </font>
    <font>
      <b val="1"/>
      <color rgb="00FFFFFF"/>
    </font>
    <font>
      <b val="1"/>
      <color rgb="00548235"/>
    </font>
    <font>
      <b val="1"/>
      <color rgb="000000FF"/>
    </font>
    <font>
      <b val="1"/>
    </font>
    <font>
      <b val="1"/>
      <color rgb="00FFFFFF"/>
      <sz val="15"/>
    </font>
    <font>
      <b val="1"/>
      <sz val="14"/>
    </font>
  </fonts>
  <fills count="1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4CCCC"/>
      </patternFill>
    </fill>
    <fill>
      <patternFill patternType="solid">
        <fgColor rgb="0018324A"/>
      </patternFill>
    </fill>
    <fill>
      <patternFill patternType="solid">
        <fgColor rgb="00D9EAF7"/>
      </patternFill>
    </fill>
    <fill>
      <patternFill patternType="solid">
        <fgColor rgb="00F8FAFC"/>
      </patternFill>
    </fill>
  </fills>
  <borders count="4">
    <border>
      <left/>
      <right/>
      <top/>
      <bottom/>
      <diagonal/>
    </border>
    <border>
      <bottom style="medium">
        <color rgb="0014213D"/>
      </bottom>
    </border>
    <border>
      <bottom style="hair">
        <color rgb="00D9E1F2"/>
      </bottom>
    </border>
    <border>
      <bottom style="hair">
        <color rgb="00E6E6E6"/>
      </bottom>
    </border>
  </borders>
  <cellStyleXfs count="2">
    <xf numFmtId="0" fontId="0" fillId="0" borderId="0"/>
    <xf numFmtId="0" fontId="15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164" fontId="0" fillId="5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7" fillId="7" borderId="0" pivotButton="0" quotePrefix="0" xfId="0"/>
    <xf numFmtId="0" fontId="1" fillId="2" borderId="0" pivotButton="0" quotePrefix="0" xfId="0"/>
    <xf numFmtId="0" fontId="3" fillId="3" borderId="0" pivotButton="0" quotePrefix="0" xfId="0"/>
    <xf numFmtId="165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9" fillId="8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/>
    </xf>
    <xf numFmtId="0" fontId="9" fillId="4" borderId="2" applyAlignment="1" pivotButton="0" quotePrefix="0" xfId="0">
      <alignment horizontal="center"/>
    </xf>
    <xf numFmtId="0" fontId="9" fillId="6" borderId="2" applyAlignment="1" pivotButton="0" quotePrefix="0" xfId="0">
      <alignment horizontal="center"/>
    </xf>
    <xf numFmtId="0" fontId="9" fillId="9" borderId="2" applyAlignment="1" pivotButton="0" quotePrefix="0" xfId="0">
      <alignment vertical="top" wrapText="1"/>
    </xf>
    <xf numFmtId="0" fontId="9" fillId="10" borderId="2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9" fillId="0" borderId="3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11" fillId="0" borderId="3" applyAlignment="1" pivotButton="0" quotePrefix="0" xfId="0">
      <alignment vertical="top" wrapText="1"/>
    </xf>
    <xf numFmtId="0" fontId="12" fillId="0" borderId="3" applyAlignment="1" pivotButton="0" quotePrefix="0" xfId="0">
      <alignment vertical="top" wrapText="1"/>
    </xf>
    <xf numFmtId="165" fontId="11" fillId="0" borderId="3" applyAlignment="1" pivotButton="0" quotePrefix="0" xfId="0">
      <alignment vertical="top" wrapText="1"/>
    </xf>
    <xf numFmtId="165" fontId="13" fillId="4" borderId="3" applyAlignment="1" pivotButton="0" quotePrefix="0" xfId="0">
      <alignment vertical="top" wrapText="1"/>
    </xf>
    <xf numFmtId="165" fontId="13" fillId="5" borderId="3" applyAlignment="1" pivotButton="0" quotePrefix="0" xfId="0">
      <alignment vertical="top" wrapText="1"/>
    </xf>
    <xf numFmtId="165" fontId="13" fillId="10" borderId="3" applyAlignment="1" pivotButton="0" quotePrefix="0" xfId="0">
      <alignment vertical="top" wrapText="1"/>
    </xf>
    <xf numFmtId="0" fontId="11" fillId="5" borderId="3" applyAlignment="1" pivotButton="0" quotePrefix="0" xfId="0">
      <alignment vertical="top" wrapText="1"/>
    </xf>
    <xf numFmtId="0" fontId="9" fillId="0" borderId="3" applyAlignment="1" pivotButton="0" quotePrefix="0" xfId="1">
      <alignment vertical="top" wrapText="1"/>
    </xf>
    <xf numFmtId="165" fontId="4" fillId="0" borderId="3" applyAlignment="1" pivotButton="0" quotePrefix="0" xfId="0">
      <alignment vertical="top" wrapText="1"/>
    </xf>
    <xf numFmtId="166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16" fillId="11" borderId="0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8" fillId="11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9" fillId="5" borderId="0" applyAlignment="1" pivotButton="0" quotePrefix="0" xfId="0">
      <alignment vertical="top" wrapText="1"/>
    </xf>
    <xf numFmtId="0" fontId="21" fillId="0" borderId="0" pivotButton="0" quotePrefix="0" xfId="0"/>
    <xf numFmtId="0" fontId="20" fillId="12" borderId="0" applyAlignment="1" pivotButton="0" quotePrefix="0" xfId="0">
      <alignment horizontal="center"/>
    </xf>
    <xf numFmtId="0" fontId="21" fillId="13" borderId="0" pivotButton="0" quotePrefix="0" xfId="0"/>
    <xf numFmtId="0" fontId="0" fillId="13" borderId="0" pivotButton="0" quotePrefix="0" xfId="0"/>
    <xf numFmtId="0" fontId="18" fillId="11" borderId="0" pivotButton="0" quotePrefix="0" xfId="0"/>
    <xf numFmtId="0" fontId="21" fillId="5" borderId="0" applyAlignment="1" pivotButton="0" quotePrefix="0" xfId="0">
      <alignment vertical="top" wrapText="1"/>
    </xf>
    <xf numFmtId="0" fontId="21" fillId="6" borderId="0" applyAlignment="1" pivotButton="0" quotePrefix="0" xfId="0">
      <alignment vertical="top" wrapText="1"/>
    </xf>
    <xf numFmtId="0" fontId="16" fillId="11" borderId="0" applyAlignment="1" pivotButton="0" quotePrefix="0" xfId="0">
      <alignment vertical="top" wrapText="1"/>
    </xf>
    <xf numFmtId="0" fontId="18" fillId="11" borderId="0" applyAlignment="1" pivotButton="0" quotePrefix="0" xfId="0">
      <alignment vertical="top" wrapText="1"/>
    </xf>
    <xf numFmtId="0" fontId="16" fillId="11" borderId="0" pivotButton="0" quotePrefix="0" xfId="0"/>
    <xf numFmtId="0" fontId="0" fillId="0" borderId="0" applyAlignment="1" pivotButton="0" quotePrefix="0" xfId="0">
      <alignment wrapText="1"/>
    </xf>
    <xf numFmtId="0" fontId="18" fillId="11" borderId="0" applyAlignment="1" pivotButton="0" quotePrefix="0" xfId="0">
      <alignment wrapText="1"/>
    </xf>
    <xf numFmtId="0" fontId="18" fillId="3" borderId="0" applyAlignment="1" pivotButton="0" quotePrefix="0" xfId="0">
      <alignment vertical="top" wrapText="1"/>
    </xf>
    <xf numFmtId="0" fontId="22" fillId="3" borderId="0" applyAlignment="1" pivotButton="0" quotePrefix="0" xfId="0">
      <alignment vertical="top" wrapText="1"/>
    </xf>
    <xf numFmtId="0" fontId="23" fillId="0" borderId="0" pivotButton="0" quotePrefix="0" xfId="0"/>
    <xf numFmtId="0" fontId="18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8.xml.rels><Relationships xmlns="http://schemas.openxmlformats.org/package/2006/relationships"><Relationship Type="http://schemas.openxmlformats.org/officeDocument/2006/relationships/hyperlink" Target="https://doi.org/10.1037/0033-2909.83.2.213" TargetMode="External" Id="rId1"/><Relationship Type="http://schemas.openxmlformats.org/officeDocument/2006/relationships/hyperlink" Target="https://doi.org/10.1177/1094428106294734" TargetMode="External" Id="rId2"/><Relationship Type="http://schemas.openxmlformats.org/officeDocument/2006/relationships/hyperlink" Target="https://pubmed.ncbi.nlm.nih.gov/29881025/" TargetMode="External" Id="rId3"/><Relationship Type="http://schemas.openxmlformats.org/officeDocument/2006/relationships/hyperlink" Target="https://doi.org/10.1002/nur.20147" TargetMode="External" Id="rId4"/><Relationship Type="http://schemas.openxmlformats.org/officeDocument/2006/relationships/hyperlink" Target="https://pmc.ncbi.nlm.nih.gov/articles/PMC12410852/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92" customWidth="1" min="3" max="3"/>
  </cols>
  <sheetData>
    <row r="1" ht="30" customHeight="1">
      <c r="A1" s="1" t="inlineStr">
        <is>
          <t>Starseed v4.4 Production Phase 6B Scoring Engine — Public Wording Final</t>
        </is>
      </c>
    </row>
    <row r="2" ht="38" customHeight="1">
      <c r="A2" s="2" t="inlineStr">
        <is>
          <t>Canon/Ontology, key, codebook, weights, pair geometry and Phase 6B formulas unchanged. v4.4 replaces all 80 respondent-facing items with the approved public wording set.</t>
        </is>
      </c>
    </row>
    <row r="3">
      <c r="A3" t="inlineStr">
        <is>
          <t>Active instrument version</t>
        </is>
      </c>
      <c r="B3" t="inlineStr">
        <is>
          <t>starseed-v4.4-phase6b-prod-20260905</t>
        </is>
      </c>
    </row>
    <row r="4">
      <c r="A4" s="3" t="inlineStr">
        <is>
          <t>Active wording QA</t>
        </is>
      </c>
      <c r="B4" s="3" t="inlineStr">
        <is>
          <t>43_V44_WORDING_QA</t>
        </is>
      </c>
      <c r="C4" s="3" t="inlineStr">
        <is>
          <t>Meaning</t>
        </is>
      </c>
    </row>
    <row r="5">
      <c r="A5" s="4" t="inlineStr">
        <is>
          <t>Codebook</t>
        </is>
      </c>
      <c r="B5" s="4" t="inlineStr">
        <is>
          <t>FROZEN v4 candidate</t>
        </is>
      </c>
      <c r="C5" s="4" t="inlineStr">
        <is>
          <t>23×80 canonical expected responses are fully rebuilt from v4 semantic matrices.</t>
        </is>
      </c>
    </row>
    <row r="6">
      <c r="A6" s="4" t="inlineStr">
        <is>
          <t>Respondent calibration</t>
        </is>
      </c>
      <c r="B6" s="4" t="inlineStr">
        <is>
          <t>NONE</t>
        </is>
      </c>
      <c r="C6" s="4" t="inlineStr">
        <is>
          <t>This is expert/semantic prototype geometry, not an empirical probability model.</t>
        </is>
      </c>
    </row>
    <row r="7">
      <c r="A7" s="4" t="inlineStr">
        <is>
          <t>Production scoring</t>
        </is>
      </c>
      <c r="B7" s="4" t="inlineStr">
        <is>
          <t>WEIGHTS REBUILT — weighted Phase 6B structural re-certification PASS</t>
        </is>
      </c>
      <c r="C7" s="4" t="inlineStr">
        <is>
          <t>Final weights are in 24_FINAL_ITEM_WEIGHTS; admin-order weights are appended to 09_ADMIN_ORDER_CODEBOOK.</t>
        </is>
      </c>
    </row>
    <row r="8">
      <c r="A8" s="4" t="inlineStr">
        <is>
          <t>Thresholds</t>
        </is>
      </c>
      <c r="B8" s="4" t="inlineStr">
        <is>
          <t>0.15 / 0.40 / 0.70</t>
        </is>
      </c>
      <c r="C8" s="4" t="inlineStr">
        <is>
          <t>Transparent semantic bands; sensitivity-tested rather than optimized for maximum separation.</t>
        </is>
      </c>
    </row>
    <row r="9">
      <c r="A9" s="4" t="inlineStr">
        <is>
          <t>Direct-target centering</t>
        </is>
      </c>
      <c r="B9" s="4" t="inlineStr">
        <is>
          <t>YES — gain 1.70</t>
        </is>
      </c>
      <c r="C9" s="4" t="inlineStr">
        <is>
          <t>Named target items are centered at target-group midpoint; 1.70 is the minimum gain passing all direct-code gates and is not a calibration parameter.</t>
        </is>
      </c>
    </row>
    <row r="10">
      <c r="A10" s="4" t="inlineStr">
        <is>
          <t>Exact prototype classification</t>
        </is>
      </c>
      <c r="B10" s="4" t="inlineStr">
        <is>
          <t>23/23</t>
        </is>
      </c>
      <c r="C10" s="4" t="inlineStr">
        <is>
          <t>Equal-weight spherical/cosine.</t>
        </is>
      </c>
    </row>
    <row r="11">
      <c r="A11" s="4" t="inlineStr">
        <is>
          <t>One-item corruption</t>
        </is>
      </c>
      <c r="B11" s="4" t="inlineStr">
        <is>
          <t>11040/11040</t>
        </is>
      </c>
      <c r="C11" s="4" t="inlineStr">
        <is>
          <t>All six alternate legal answers per item.</t>
        </is>
      </c>
    </row>
    <row r="12">
      <c r="A12" s="4" t="inlineStr">
        <is>
          <t>High-risk code gates</t>
        </is>
      </c>
      <c r="B12" s="4" t="inlineStr">
        <is>
          <t>28/28</t>
        </is>
      </c>
      <c r="C12" s="4" t="inlineStr">
        <is>
          <t>All CRITICAL/SEVERE/HIGH edges meet v4 code-stage gate.</t>
        </is>
      </c>
    </row>
    <row r="13">
      <c r="A13" s="4" t="inlineStr">
        <is>
          <t>Final item weights</t>
        </is>
      </c>
      <c r="B13" s="4" t="inlineStr">
        <is>
          <t>24_FINAL_ITEM_WEIGHTS</t>
        </is>
      </c>
      <c r="C13" s="4" t="inlineStr">
        <is>
          <t>Mean 1.0; bounded semantic-confidence prior; no risk/layer multiplier.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30" customHeight="1">
      <c r="A1" s="1" t="inlineStr">
        <is>
          <t>Source — v4 23×22 Canon Matrix</t>
        </is>
      </c>
    </row>
    <row r="2" ht="38" customHeight="1">
      <c r="A2" s="2" t="inlineStr">
        <is>
          <t>Copied values from the frozen v4 matrix rebuild used for codebook generation.</t>
        </is>
      </c>
    </row>
    <row r="3"/>
    <row r="4">
      <c r="A4" s="3" t="inlineStr">
        <is>
          <t>#</t>
        </is>
      </c>
      <c r="B4" s="3" t="inlineStr">
        <is>
          <t>中文</t>
        </is>
      </c>
      <c r="C4" s="3" t="inlineStr">
        <is>
          <t>English</t>
        </is>
      </c>
      <c r="D4" s="3" t="inlineStr">
        <is>
          <t>D01</t>
        </is>
      </c>
      <c r="E4" s="3" t="inlineStr">
        <is>
          <t>D02</t>
        </is>
      </c>
      <c r="F4" s="3" t="inlineStr">
        <is>
          <t>D03</t>
        </is>
      </c>
      <c r="G4" s="3" t="inlineStr">
        <is>
          <t>D04</t>
        </is>
      </c>
      <c r="H4" s="3" t="inlineStr">
        <is>
          <t>D05</t>
        </is>
      </c>
      <c r="I4" s="3" t="inlineStr">
        <is>
          <t>D06</t>
        </is>
      </c>
      <c r="J4" s="3" t="inlineStr">
        <is>
          <t>D07</t>
        </is>
      </c>
      <c r="K4" s="3" t="inlineStr">
        <is>
          <t>D08</t>
        </is>
      </c>
      <c r="L4" s="3" t="inlineStr">
        <is>
          <t>D09</t>
        </is>
      </c>
      <c r="M4" s="3" t="inlineStr">
        <is>
          <t>D10</t>
        </is>
      </c>
      <c r="N4" s="3" t="inlineStr">
        <is>
          <t>D11</t>
        </is>
      </c>
      <c r="O4" s="3" t="inlineStr">
        <is>
          <t>D12</t>
        </is>
      </c>
      <c r="P4" s="3" t="inlineStr">
        <is>
          <t>D13</t>
        </is>
      </c>
      <c r="Q4" s="3" t="inlineStr">
        <is>
          <t>D14</t>
        </is>
      </c>
      <c r="R4" s="3" t="inlineStr">
        <is>
          <t>D15</t>
        </is>
      </c>
      <c r="S4" s="3" t="inlineStr">
        <is>
          <t>D16</t>
        </is>
      </c>
      <c r="T4" s="3" t="inlineStr">
        <is>
          <t>D17</t>
        </is>
      </c>
      <c r="U4" s="3" t="inlineStr">
        <is>
          <t>D18</t>
        </is>
      </c>
      <c r="V4" s="3" t="inlineStr">
        <is>
          <t>D19</t>
        </is>
      </c>
      <c r="W4" s="3" t="inlineStr">
        <is>
          <t>D20</t>
        </is>
      </c>
      <c r="X4" s="3" t="inlineStr">
        <is>
          <t>D21</t>
        </is>
      </c>
      <c r="Y4" s="3" t="inlineStr">
        <is>
          <t>D22</t>
        </is>
      </c>
    </row>
    <row r="5">
      <c r="A5" t="n">
        <v>1</v>
      </c>
      <c r="B5" t="inlineStr">
        <is>
          <t>昴宿星人</t>
        </is>
      </c>
      <c r="C5" t="inlineStr">
        <is>
          <t>Pleiadian</t>
        </is>
      </c>
      <c r="D5" t="n">
        <v>2</v>
      </c>
      <c r="E5" t="n">
        <v>1</v>
      </c>
      <c r="F5" t="n">
        <v>0</v>
      </c>
      <c r="G5" t="n">
        <v>-1</v>
      </c>
      <c r="H5" t="n">
        <v>-1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-1</v>
      </c>
      <c r="O5" t="n">
        <v>-2</v>
      </c>
      <c r="P5" t="n">
        <v>-1</v>
      </c>
      <c r="Q5" t="n">
        <v>1</v>
      </c>
      <c r="R5" t="n">
        <v>-1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n">
        <v>2</v>
      </c>
      <c r="B6" t="inlineStr">
        <is>
          <t>大角星人</t>
        </is>
      </c>
      <c r="C6" t="inlineStr">
        <is>
          <t>Arcturian</t>
        </is>
      </c>
      <c r="D6" t="n">
        <v>-1</v>
      </c>
      <c r="E6" t="n">
        <v>-1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n">
        <v>0</v>
      </c>
    </row>
    <row r="7">
      <c r="A7" t="n">
        <v>3</v>
      </c>
      <c r="B7" t="inlineStr">
        <is>
          <t>天狼星人</t>
        </is>
      </c>
      <c r="C7" t="inlineStr">
        <is>
          <t>Sirian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2</v>
      </c>
      <c r="L7" t="n">
        <v>-1</v>
      </c>
      <c r="M7" t="n">
        <v>0</v>
      </c>
      <c r="N7" t="n">
        <v>0</v>
      </c>
      <c r="O7" t="n">
        <v>-1</v>
      </c>
      <c r="P7" t="n">
        <v>2</v>
      </c>
      <c r="Q7" t="n">
        <v>0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-1</v>
      </c>
      <c r="X7" t="n">
        <v>0</v>
      </c>
      <c r="Y7" t="n">
        <v>0</v>
      </c>
    </row>
    <row r="8">
      <c r="A8" t="n">
        <v>4</v>
      </c>
      <c r="B8" t="inlineStr">
        <is>
          <t>仙女座人</t>
        </is>
      </c>
      <c r="C8" t="inlineStr">
        <is>
          <t>Andromedan</t>
        </is>
      </c>
      <c r="D8" t="n">
        <v>0</v>
      </c>
      <c r="E8" t="n">
        <v>0</v>
      </c>
      <c r="F8" t="n">
        <v>0</v>
      </c>
      <c r="G8" t="n">
        <v>0</v>
      </c>
      <c r="H8" t="n">
        <v>-1</v>
      </c>
      <c r="I8" t="n">
        <v>-1</v>
      </c>
      <c r="J8" t="n">
        <v>2</v>
      </c>
      <c r="K8" t="n">
        <v>0</v>
      </c>
      <c r="L8" t="n">
        <v>2</v>
      </c>
      <c r="M8" t="n">
        <v>-1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2</v>
      </c>
      <c r="X8" t="n">
        <v>0</v>
      </c>
      <c r="Y8" t="n">
        <v>0</v>
      </c>
    </row>
    <row r="9">
      <c r="A9" t="n">
        <v>5</v>
      </c>
      <c r="B9" t="inlineStr">
        <is>
          <t>天琴座人</t>
        </is>
      </c>
      <c r="C9" t="inlineStr">
        <is>
          <t>Lyran</t>
        </is>
      </c>
      <c r="D9" t="n">
        <v>-1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2</v>
      </c>
      <c r="O9" t="n">
        <v>1</v>
      </c>
      <c r="P9" t="n">
        <v>0</v>
      </c>
      <c r="Q9" t="n">
        <v>-1</v>
      </c>
      <c r="R9" t="n">
        <v>0</v>
      </c>
      <c r="S9" t="n">
        <v>0</v>
      </c>
      <c r="T9" t="n">
        <v>1</v>
      </c>
      <c r="U9" t="n">
        <v>2</v>
      </c>
      <c r="V9" t="n">
        <v>0</v>
      </c>
      <c r="W9" t="n">
        <v>0</v>
      </c>
      <c r="X9" t="n">
        <v>-1</v>
      </c>
      <c r="Y9" t="n">
        <v>0</v>
      </c>
    </row>
    <row r="10">
      <c r="A10" t="n">
        <v>6</v>
      </c>
      <c r="B10" t="inlineStr">
        <is>
          <t>獵戶座人</t>
        </is>
      </c>
      <c r="C10" t="inlineStr">
        <is>
          <t>Orion</t>
        </is>
      </c>
      <c r="D10" t="n">
        <v>-1</v>
      </c>
      <c r="E10" t="n">
        <v>-1</v>
      </c>
      <c r="F10" t="n">
        <v>0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-1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2</v>
      </c>
      <c r="Y10" t="n">
        <v>0</v>
      </c>
    </row>
    <row r="11">
      <c r="A11" t="n">
        <v>7</v>
      </c>
      <c r="B11" t="inlineStr">
        <is>
          <t>明塔卡星人</t>
        </is>
      </c>
      <c r="C11" t="inlineStr">
        <is>
          <t>Mintakan</t>
        </is>
      </c>
      <c r="D11" t="n">
        <v>0</v>
      </c>
      <c r="E11" t="n">
        <v>1</v>
      </c>
      <c r="F11" t="n">
        <v>0</v>
      </c>
      <c r="G11" t="n">
        <v>-1</v>
      </c>
      <c r="H11" t="n">
        <v>-1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-1</v>
      </c>
      <c r="O11" t="n">
        <v>-2</v>
      </c>
      <c r="P11" t="n">
        <v>-1</v>
      </c>
      <c r="Q11" t="n">
        <v>1</v>
      </c>
      <c r="R11" t="n">
        <v>-1</v>
      </c>
      <c r="S11" t="n">
        <v>2</v>
      </c>
      <c r="T11" t="n">
        <v>0</v>
      </c>
      <c r="U11" t="n">
        <v>0</v>
      </c>
      <c r="V11" t="n">
        <v>1</v>
      </c>
      <c r="W11" t="n">
        <v>-1</v>
      </c>
      <c r="X11" t="n">
        <v>0</v>
      </c>
      <c r="Y11" t="n">
        <v>-2</v>
      </c>
    </row>
    <row r="12">
      <c r="A12" t="n">
        <v>8</v>
      </c>
      <c r="B12" t="inlineStr">
        <is>
          <t>金星人</t>
        </is>
      </c>
      <c r="C12" t="inlineStr">
        <is>
          <t>Venusian</t>
        </is>
      </c>
      <c r="D12" t="n">
        <v>0</v>
      </c>
      <c r="E12" t="n">
        <v>1</v>
      </c>
      <c r="F12" t="n">
        <v>2</v>
      </c>
      <c r="G12" t="n">
        <v>-1</v>
      </c>
      <c r="H12" t="n">
        <v>-1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-2</v>
      </c>
      <c r="P12" t="n">
        <v>-1</v>
      </c>
      <c r="Q12" t="n">
        <v>1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9</v>
      </c>
      <c r="B13" t="inlineStr">
        <is>
          <t>哈達爾星人</t>
        </is>
      </c>
      <c r="C13" t="inlineStr">
        <is>
          <t>Hadarian</t>
        </is>
      </c>
      <c r="D13" t="n">
        <v>0</v>
      </c>
      <c r="E13" t="n">
        <v>2</v>
      </c>
      <c r="F13" t="n">
        <v>0</v>
      </c>
      <c r="G13" t="n">
        <v>-1</v>
      </c>
      <c r="H13" t="n">
        <v>-1</v>
      </c>
      <c r="I13" t="n">
        <v>1</v>
      </c>
      <c r="J13" t="n">
        <v>-1</v>
      </c>
      <c r="K13" t="n">
        <v>0</v>
      </c>
      <c r="L13" t="n">
        <v>0</v>
      </c>
      <c r="M13" t="n">
        <v>0</v>
      </c>
      <c r="N13" t="n">
        <v>0</v>
      </c>
      <c r="O13" t="n">
        <v>-2</v>
      </c>
      <c r="P13" t="n">
        <v>-2</v>
      </c>
      <c r="Q13" t="n">
        <v>0</v>
      </c>
      <c r="R13" t="n">
        <v>-1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10</v>
      </c>
      <c r="B14" t="inlineStr">
        <is>
          <t>北極星人</t>
        </is>
      </c>
      <c r="C14" t="inlineStr">
        <is>
          <t>Polarian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-1</v>
      </c>
      <c r="M14" t="n">
        <v>0</v>
      </c>
      <c r="N14" t="n">
        <v>-1</v>
      </c>
      <c r="O14" t="n">
        <v>-1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1</v>
      </c>
      <c r="V14" t="n">
        <v>0</v>
      </c>
      <c r="W14" t="n">
        <v>-2</v>
      </c>
      <c r="X14" t="n">
        <v>0</v>
      </c>
      <c r="Y14" t="n">
        <v>0</v>
      </c>
    </row>
    <row r="15">
      <c r="A15" t="n">
        <v>11</v>
      </c>
      <c r="B15" t="inlineStr">
        <is>
          <t>半人馬座α星人</t>
        </is>
      </c>
      <c r="C15" t="inlineStr">
        <is>
          <t>Alpha Centaurian</t>
        </is>
      </c>
      <c r="D15" t="n">
        <v>-1</v>
      </c>
      <c r="E15" t="n">
        <v>0</v>
      </c>
      <c r="F15" t="n">
        <v>-1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-1</v>
      </c>
      <c r="M15" t="n">
        <v>0</v>
      </c>
      <c r="N15" t="n">
        <v>-1</v>
      </c>
      <c r="O15" t="n">
        <v>-1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12</v>
      </c>
      <c r="B16" t="inlineStr">
        <is>
          <t>織女星人</t>
        </is>
      </c>
      <c r="C16" t="inlineStr">
        <is>
          <t>Vegan</t>
        </is>
      </c>
      <c r="D16" t="n">
        <v>0</v>
      </c>
      <c r="E16" t="n">
        <v>-1</v>
      </c>
      <c r="F16" t="n">
        <v>1</v>
      </c>
      <c r="G16" t="n">
        <v>1</v>
      </c>
      <c r="H16" t="n">
        <v>0</v>
      </c>
      <c r="I16" t="n">
        <v>-1</v>
      </c>
      <c r="J16" t="n">
        <v>1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1</v>
      </c>
      <c r="Q16" t="n">
        <v>-1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2</v>
      </c>
      <c r="X16" t="n">
        <v>1</v>
      </c>
      <c r="Y16" t="n">
        <v>0</v>
      </c>
    </row>
    <row r="17">
      <c r="A17" t="n">
        <v>13</v>
      </c>
      <c r="B17" t="inlineStr">
        <is>
          <t>貓科星族</t>
        </is>
      </c>
      <c r="C17" t="inlineStr">
        <is>
          <t>Feline / Urmah</t>
        </is>
      </c>
      <c r="D17" t="n">
        <v>-1</v>
      </c>
      <c r="E17" t="n">
        <v>0</v>
      </c>
      <c r="F17" t="n">
        <v>0</v>
      </c>
      <c r="G17" t="n">
        <v>0</v>
      </c>
      <c r="H17" t="n">
        <v>-1</v>
      </c>
      <c r="I17" t="n">
        <v>1</v>
      </c>
      <c r="J17" t="n">
        <v>-1</v>
      </c>
      <c r="K17" t="n">
        <v>0</v>
      </c>
      <c r="L17" t="n">
        <v>2</v>
      </c>
      <c r="M17" t="n">
        <v>0</v>
      </c>
      <c r="N17" t="n">
        <v>-1</v>
      </c>
      <c r="O17" t="n">
        <v>1</v>
      </c>
      <c r="P17" t="n">
        <v>2</v>
      </c>
      <c r="Q17" t="n">
        <v>-1</v>
      </c>
      <c r="R17" t="n">
        <v>1</v>
      </c>
      <c r="S17" t="n">
        <v>0</v>
      </c>
      <c r="T17" t="n">
        <v>2</v>
      </c>
      <c r="U17" t="n">
        <v>0</v>
      </c>
      <c r="V17" t="n">
        <v>0</v>
      </c>
      <c r="W17" t="n">
        <v>-1</v>
      </c>
      <c r="X17" t="n">
        <v>-1</v>
      </c>
      <c r="Y17" t="n">
        <v>0</v>
      </c>
    </row>
    <row r="18">
      <c r="A18" t="n">
        <v>14</v>
      </c>
      <c r="B18" t="inlineStr">
        <is>
          <t>藍鳥人</t>
        </is>
      </c>
      <c r="C18" t="inlineStr">
        <is>
          <t>Avian / Blue Avian</t>
        </is>
      </c>
      <c r="D18" t="n">
        <v>-1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-1</v>
      </c>
      <c r="O18" t="n">
        <v>-1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2</v>
      </c>
      <c r="W18" t="n">
        <v>2</v>
      </c>
      <c r="X18" t="n">
        <v>2</v>
      </c>
      <c r="Y18" t="n">
        <v>0</v>
      </c>
    </row>
    <row r="19">
      <c r="A19" t="n">
        <v>15</v>
      </c>
      <c r="B19" t="inlineStr">
        <is>
          <t>火星人</t>
        </is>
      </c>
      <c r="C19" t="inlineStr">
        <is>
          <t>Martian</t>
        </is>
      </c>
      <c r="D19" t="n">
        <v>-1</v>
      </c>
      <c r="E19" t="n">
        <v>0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0</v>
      </c>
      <c r="L19" t="n">
        <v>1</v>
      </c>
      <c r="M19" t="n">
        <v>0</v>
      </c>
      <c r="N19" t="n">
        <v>2</v>
      </c>
      <c r="O19" t="n">
        <v>2</v>
      </c>
      <c r="P19" t="n">
        <v>0</v>
      </c>
      <c r="Q19" t="n">
        <v>-1</v>
      </c>
      <c r="R19" t="n">
        <v>-1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-1</v>
      </c>
      <c r="Y19" t="n">
        <v>0</v>
      </c>
    </row>
    <row r="20">
      <c r="A20" t="n">
        <v>16</v>
      </c>
      <c r="B20" t="inlineStr">
        <is>
          <t>馬爾德克人</t>
        </is>
      </c>
      <c r="C20" t="inlineStr">
        <is>
          <t>Maldekian</t>
        </is>
      </c>
      <c r="D20" t="n">
        <v>-1</v>
      </c>
      <c r="E20" t="n">
        <v>1</v>
      </c>
      <c r="F20" t="n">
        <v>-1</v>
      </c>
      <c r="G20" t="n">
        <v>2</v>
      </c>
      <c r="H20" t="n">
        <v>1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-1</v>
      </c>
      <c r="O20" t="n">
        <v>0</v>
      </c>
      <c r="P20" t="n">
        <v>2</v>
      </c>
      <c r="Q20" t="n">
        <v>-1</v>
      </c>
      <c r="R20" t="n">
        <v>2</v>
      </c>
      <c r="S20" t="n">
        <v>0</v>
      </c>
      <c r="T20" t="n">
        <v>1</v>
      </c>
      <c r="U20" t="n">
        <v>2</v>
      </c>
      <c r="V20" t="n">
        <v>0</v>
      </c>
      <c r="W20" t="n">
        <v>-1</v>
      </c>
      <c r="X20" t="n">
        <v>0</v>
      </c>
      <c r="Y20" t="n">
        <v>0</v>
      </c>
    </row>
    <row r="21">
      <c r="A21" t="n">
        <v>17</v>
      </c>
      <c r="B21" t="inlineStr">
        <is>
          <t>天龍座人</t>
        </is>
      </c>
      <c r="C21" t="inlineStr">
        <is>
          <t>Draconian</t>
        </is>
      </c>
      <c r="D21" t="n">
        <v>-1</v>
      </c>
      <c r="E21" t="n">
        <v>-1</v>
      </c>
      <c r="F21" t="n">
        <v>-1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-1</v>
      </c>
      <c r="M21" t="n">
        <v>2</v>
      </c>
      <c r="N21" t="n">
        <v>1</v>
      </c>
      <c r="O21" t="n">
        <v>1</v>
      </c>
      <c r="P21" t="n">
        <v>1</v>
      </c>
      <c r="Q21" t="n">
        <v>-1</v>
      </c>
      <c r="R21" t="n">
        <v>1</v>
      </c>
      <c r="S21" t="n">
        <v>0</v>
      </c>
      <c r="T21" t="n">
        <v>2</v>
      </c>
      <c r="U21" t="n">
        <v>1</v>
      </c>
      <c r="V21" t="n">
        <v>0</v>
      </c>
      <c r="W21" t="n">
        <v>-1</v>
      </c>
      <c r="X21" t="n">
        <v>-1</v>
      </c>
      <c r="Y21" t="n">
        <v>0</v>
      </c>
    </row>
    <row r="22">
      <c r="A22" t="n">
        <v>18</v>
      </c>
      <c r="B22" t="inlineStr">
        <is>
          <t>爬蟲族</t>
        </is>
      </c>
      <c r="C22" t="inlineStr">
        <is>
          <t>Reptilian</t>
        </is>
      </c>
      <c r="D22" t="n">
        <v>-1</v>
      </c>
      <c r="E22" t="n">
        <v>-1</v>
      </c>
      <c r="F22" t="n">
        <v>-1</v>
      </c>
      <c r="G22" t="n">
        <v>0</v>
      </c>
      <c r="H22" t="n">
        <v>0</v>
      </c>
      <c r="I22" t="n">
        <v>-1</v>
      </c>
      <c r="J22" t="n">
        <v>-1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2</v>
      </c>
      <c r="Q22" t="n">
        <v>-1</v>
      </c>
      <c r="R22" t="n">
        <v>-1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-1</v>
      </c>
      <c r="Y22" t="n">
        <v>0</v>
      </c>
    </row>
    <row r="23">
      <c r="A23" t="n">
        <v>19</v>
      </c>
      <c r="B23" t="inlineStr">
        <is>
          <t>灰人</t>
        </is>
      </c>
      <c r="C23" t="inlineStr">
        <is>
          <t>Zeta / Grey</t>
        </is>
      </c>
      <c r="D23" t="n">
        <v>-2</v>
      </c>
      <c r="E23" t="n">
        <v>-2</v>
      </c>
      <c r="F23" t="n">
        <v>-1</v>
      </c>
      <c r="G23" t="n">
        <v>2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-2</v>
      </c>
      <c r="O23" t="n">
        <v>-1</v>
      </c>
      <c r="P23" t="n">
        <v>1</v>
      </c>
      <c r="Q23" t="n">
        <v>-1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20</v>
      </c>
      <c r="B24" t="inlineStr">
        <is>
          <t>阿努納奇</t>
        </is>
      </c>
      <c r="C24" t="inlineStr">
        <is>
          <t>Anunnaki / Nibiruan</t>
        </is>
      </c>
      <c r="D24" t="n">
        <v>-1</v>
      </c>
      <c r="E24" t="n">
        <v>-1</v>
      </c>
      <c r="F24" t="n">
        <v>-1</v>
      </c>
      <c r="G24" t="n">
        <v>0</v>
      </c>
      <c r="H24" t="n">
        <v>2</v>
      </c>
      <c r="I24" t="n">
        <v>2</v>
      </c>
      <c r="J24" t="n">
        <v>2</v>
      </c>
      <c r="K24" t="n">
        <v>0</v>
      </c>
      <c r="L24" t="n">
        <v>-1</v>
      </c>
      <c r="M24" t="n">
        <v>2</v>
      </c>
      <c r="N24" t="n">
        <v>0</v>
      </c>
      <c r="O24" t="n">
        <v>1</v>
      </c>
      <c r="P24" t="n">
        <v>1</v>
      </c>
      <c r="Q24" t="n">
        <v>-1</v>
      </c>
      <c r="R24" t="n">
        <v>1</v>
      </c>
      <c r="S24" t="n">
        <v>0</v>
      </c>
      <c r="T24" t="n">
        <v>1</v>
      </c>
      <c r="U24" t="n">
        <v>2</v>
      </c>
      <c r="V24" t="n">
        <v>0</v>
      </c>
      <c r="W24" t="n">
        <v>-1</v>
      </c>
      <c r="X24" t="n">
        <v>0</v>
      </c>
      <c r="Y24" t="n">
        <v>0</v>
      </c>
    </row>
    <row r="25">
      <c r="A25" t="n">
        <v>21</v>
      </c>
      <c r="B25" t="inlineStr">
        <is>
          <t>鯨魚座τ星人</t>
        </is>
      </c>
      <c r="C25" t="inlineStr">
        <is>
          <t>Tau Cetian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-1</v>
      </c>
      <c r="P25" t="n">
        <v>-1</v>
      </c>
      <c r="Q25" t="n">
        <v>2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2</v>
      </c>
      <c r="Y25" t="n">
        <v>0</v>
      </c>
    </row>
    <row r="26">
      <c r="A26" t="n">
        <v>22</v>
      </c>
      <c r="B26" t="inlineStr">
        <is>
          <t>安塔瑞斯星人</t>
        </is>
      </c>
      <c r="C26" t="inlineStr">
        <is>
          <t>Antarian</t>
        </is>
      </c>
      <c r="D26" t="n">
        <v>-1</v>
      </c>
      <c r="E26" t="n">
        <v>0</v>
      </c>
      <c r="F26" t="n">
        <v>-1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-1</v>
      </c>
      <c r="O26" t="n">
        <v>1</v>
      </c>
      <c r="P26" t="n">
        <v>2</v>
      </c>
      <c r="Q26" t="n">
        <v>0</v>
      </c>
      <c r="R26" t="n">
        <v>2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23</v>
      </c>
      <c r="B27" t="inlineStr">
        <is>
          <t>地球源靈魂</t>
        </is>
      </c>
      <c r="C27" t="inlineStr">
        <is>
          <t>Earth-Origin Soul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-1</v>
      </c>
      <c r="K27" t="n">
        <v>0</v>
      </c>
      <c r="L27" t="n">
        <v>-1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2</v>
      </c>
      <c r="V27" t="n">
        <v>0</v>
      </c>
      <c r="W27" t="n">
        <v>-2</v>
      </c>
      <c r="X27" t="n">
        <v>0</v>
      </c>
      <c r="Y27" t="n">
        <v>2</v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30" customHeight="1">
      <c r="A1" s="1" t="inlineStr">
        <is>
          <t>Source — v4 23×19 Motif Matrix</t>
        </is>
      </c>
    </row>
    <row r="2" ht="38" customHeight="1">
      <c r="A2" s="2" t="inlineStr">
        <is>
          <t>Copied values from the frozen v4 matrix rebuild used for codebook generation.</t>
        </is>
      </c>
    </row>
    <row r="3"/>
    <row r="4">
      <c r="A4" s="3" t="inlineStr">
        <is>
          <t>#</t>
        </is>
      </c>
      <c r="B4" s="3" t="inlineStr">
        <is>
          <t>中文</t>
        </is>
      </c>
      <c r="C4" s="3" t="inlineStr">
        <is>
          <t>English</t>
        </is>
      </c>
      <c r="D4" s="3" t="inlineStr">
        <is>
          <t>M01</t>
        </is>
      </c>
      <c r="E4" s="3" t="inlineStr">
        <is>
          <t>M02</t>
        </is>
      </c>
      <c r="F4" s="3" t="inlineStr">
        <is>
          <t>M03</t>
        </is>
      </c>
      <c r="G4" s="3" t="inlineStr">
        <is>
          <t>M04</t>
        </is>
      </c>
      <c r="H4" s="3" t="inlineStr">
        <is>
          <t>M05</t>
        </is>
      </c>
      <c r="I4" s="3" t="inlineStr">
        <is>
          <t>M06</t>
        </is>
      </c>
      <c r="J4" s="3" t="inlineStr">
        <is>
          <t>M07</t>
        </is>
      </c>
      <c r="K4" s="3" t="inlineStr">
        <is>
          <t>M08</t>
        </is>
      </c>
      <c r="L4" s="3" t="inlineStr">
        <is>
          <t>M09</t>
        </is>
      </c>
      <c r="M4" s="3" t="inlineStr">
        <is>
          <t>M10</t>
        </is>
      </c>
      <c r="N4" s="3" t="inlineStr">
        <is>
          <t>M11</t>
        </is>
      </c>
      <c r="O4" s="3" t="inlineStr">
        <is>
          <t>M12</t>
        </is>
      </c>
      <c r="P4" s="3" t="inlineStr">
        <is>
          <t>M13</t>
        </is>
      </c>
      <c r="Q4" s="3" t="inlineStr">
        <is>
          <t>M14</t>
        </is>
      </c>
      <c r="R4" s="3" t="inlineStr">
        <is>
          <t>M15</t>
        </is>
      </c>
      <c r="S4" s="3" t="inlineStr">
        <is>
          <t>M16</t>
        </is>
      </c>
      <c r="T4" s="3" t="inlineStr">
        <is>
          <t>M17</t>
        </is>
      </c>
      <c r="U4" s="3" t="inlineStr">
        <is>
          <t>M18</t>
        </is>
      </c>
      <c r="V4" s="3" t="inlineStr">
        <is>
          <t>M19</t>
        </is>
      </c>
    </row>
    <row r="5">
      <c r="A5" t="n">
        <v>1</v>
      </c>
      <c r="B5" t="inlineStr">
        <is>
          <t>昴宿星人</t>
        </is>
      </c>
      <c r="C5" t="inlineStr">
        <is>
          <t>Pleiadian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</v>
      </c>
      <c r="B6" t="inlineStr">
        <is>
          <t>大角星人</t>
        </is>
      </c>
      <c r="C6" t="inlineStr">
        <is>
          <t>Arcturian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</v>
      </c>
      <c r="B7" t="inlineStr">
        <is>
          <t>天狼星人</t>
        </is>
      </c>
      <c r="C7" t="inlineStr">
        <is>
          <t>Sirian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</row>
    <row r="8">
      <c r="A8" t="n">
        <v>4</v>
      </c>
      <c r="B8" t="inlineStr">
        <is>
          <t>仙女座人</t>
        </is>
      </c>
      <c r="C8" t="inlineStr">
        <is>
          <t>Andromedan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5</v>
      </c>
      <c r="B9" t="inlineStr">
        <is>
          <t>天琴座人</t>
        </is>
      </c>
      <c r="C9" t="inlineStr">
        <is>
          <t>Lyran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6</v>
      </c>
      <c r="B10" t="inlineStr">
        <is>
          <t>獵戶座人</t>
        </is>
      </c>
      <c r="C10" t="inlineStr">
        <is>
          <t>Orion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7</v>
      </c>
      <c r="B11" t="inlineStr">
        <is>
          <t>明塔卡星人</t>
        </is>
      </c>
      <c r="C11" t="inlineStr">
        <is>
          <t>Mintakan</t>
        </is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8</v>
      </c>
      <c r="B12" t="inlineStr">
        <is>
          <t>金星人</t>
        </is>
      </c>
      <c r="C12" t="inlineStr">
        <is>
          <t>Venusian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</row>
    <row r="13">
      <c r="A13" t="n">
        <v>9</v>
      </c>
      <c r="B13" t="inlineStr">
        <is>
          <t>哈達爾星人</t>
        </is>
      </c>
      <c r="C13" t="inlineStr">
        <is>
          <t>Hadarian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10</v>
      </c>
      <c r="B14" t="inlineStr">
        <is>
          <t>北極星人</t>
        </is>
      </c>
      <c r="C14" t="inlineStr">
        <is>
          <t>Polarian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11</v>
      </c>
      <c r="B15" t="inlineStr">
        <is>
          <t>半人馬座α星人</t>
        </is>
      </c>
      <c r="C15" t="inlineStr">
        <is>
          <t>Alpha Centaurian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12</v>
      </c>
      <c r="B16" t="inlineStr">
        <is>
          <t>織女星人</t>
        </is>
      </c>
      <c r="C16" t="inlineStr">
        <is>
          <t>Vegan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</row>
    <row r="17">
      <c r="A17" t="n">
        <v>13</v>
      </c>
      <c r="B17" t="inlineStr">
        <is>
          <t>貓科星族</t>
        </is>
      </c>
      <c r="C17" t="inlineStr">
        <is>
          <t>Feline / Urmah</t>
        </is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14</v>
      </c>
      <c r="B18" t="inlineStr">
        <is>
          <t>藍鳥人</t>
        </is>
      </c>
      <c r="C18" t="inlineStr">
        <is>
          <t>Avian / Blue Avian</t>
        </is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15</v>
      </c>
      <c r="B19" t="inlineStr">
        <is>
          <t>火星人</t>
        </is>
      </c>
      <c r="C19" t="inlineStr">
        <is>
          <t>Martian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16</v>
      </c>
      <c r="B20" t="inlineStr">
        <is>
          <t>馬爾德克人</t>
        </is>
      </c>
      <c r="C20" t="inlineStr">
        <is>
          <t>Maldekian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17</v>
      </c>
      <c r="B21" t="inlineStr">
        <is>
          <t>天龍座人</t>
        </is>
      </c>
      <c r="C21" t="inlineStr">
        <is>
          <t>Draconian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18</v>
      </c>
      <c r="B22" t="inlineStr">
        <is>
          <t>爬蟲族</t>
        </is>
      </c>
      <c r="C22" t="inlineStr">
        <is>
          <t>Reptilian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</row>
    <row r="23">
      <c r="A23" t="n">
        <v>19</v>
      </c>
      <c r="B23" t="inlineStr">
        <is>
          <t>灰人</t>
        </is>
      </c>
      <c r="C23" t="inlineStr">
        <is>
          <t>Zeta / Grey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</v>
      </c>
      <c r="B24" t="inlineStr">
        <is>
          <t>阿努納奇</t>
        </is>
      </c>
      <c r="C24" t="inlineStr">
        <is>
          <t>Anunnaki / Nibiruan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21</v>
      </c>
      <c r="B25" t="inlineStr">
        <is>
          <t>鯨魚座τ星人</t>
        </is>
      </c>
      <c r="C25" t="inlineStr">
        <is>
          <t>Tau Cetian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22</v>
      </c>
      <c r="B26" t="inlineStr">
        <is>
          <t>安塔瑞斯星人</t>
        </is>
      </c>
      <c r="C26" t="inlineStr">
        <is>
          <t>Antarian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</row>
    <row r="27">
      <c r="A27" t="n">
        <v>23</v>
      </c>
      <c r="B27" t="inlineStr">
        <is>
          <t>地球源靈魂</t>
        </is>
      </c>
      <c r="C27" t="inlineStr">
        <is>
          <t>Earth-Origin Soul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4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32" customWidth="1" min="4" max="4"/>
    <col width="28" customWidth="1" min="5" max="5"/>
    <col width="22" customWidth="1" min="6" max="6"/>
    <col width="54" customWidth="1" min="7" max="7"/>
    <col width="50" customWidth="1" min="8" max="8"/>
    <col width="50" customWidth="1" min="9" max="9"/>
    <col width="8" customWidth="1" min="10" max="10"/>
    <col width="9" customWidth="1" min="11" max="11"/>
    <col width="12" customWidth="1" min="12" max="12"/>
    <col width="22" customWidth="1" min="13" max="13"/>
  </cols>
  <sheetData>
    <row r="1" ht="30" customHeight="1">
      <c r="A1" s="1" t="inlineStr">
        <is>
          <t>Source — v4.4 PUBLIC WORDING FINAL — 80 Final Items</t>
        </is>
      </c>
    </row>
    <row r="2" ht="38" customHeight="1">
      <c r="A2" s="2" t="inlineStr">
        <is>
          <t>80/80 respondent-facing items replaced with approved public wording. Frozen semantic cuts, Pole A/B direction, keys, codebook and final weights unchanged.</t>
        </is>
      </c>
    </row>
    <row r="3"/>
    <row r="4">
      <c r="A4" s="3" t="inlineStr">
        <is>
          <t>Slot</t>
        </is>
      </c>
      <c r="B4" s="3" t="inlineStr">
        <is>
          <t>Layer</t>
        </is>
      </c>
      <c r="C4" s="3" t="inlineStr">
        <is>
          <t>Contrast</t>
        </is>
      </c>
      <c r="D4" s="3" t="inlineStr">
        <is>
          <t>Direct target</t>
        </is>
      </c>
      <c r="E4" s="3" t="inlineStr">
        <is>
          <t>Mechanism</t>
        </is>
      </c>
      <c r="F4" s="3" t="inlineStr">
        <is>
          <t>Features</t>
        </is>
      </c>
      <c r="G4" s="3" t="inlineStr">
        <is>
          <t>Stem</t>
        </is>
      </c>
      <c r="H4" s="3" t="inlineStr">
        <is>
          <t>Pole A</t>
        </is>
      </c>
      <c r="I4" s="3" t="inlineStr">
        <is>
          <t>Pole B</t>
        </is>
      </c>
      <c r="J4" s="3" t="inlineStr">
        <is>
          <t>Key</t>
        </is>
      </c>
      <c r="K4" s="3" t="inlineStr">
        <is>
          <t>Admin #</t>
        </is>
      </c>
      <c r="L4" s="3" t="inlineStr">
        <is>
          <t>Status</t>
        </is>
      </c>
      <c r="M4" s="3" t="inlineStr">
        <is>
          <t>Mode</t>
        </is>
      </c>
    </row>
    <row r="5">
      <c r="A5" s="4" t="inlineStr">
        <is>
          <t>G01</t>
        </is>
      </c>
      <c r="B5" s="4" t="inlineStr">
        <is>
          <t>GLOBAL</t>
        </is>
      </c>
      <c r="C5" s="4" t="inlineStr">
        <is>
          <t>情緒場滲透 ↔ 證據驗證</t>
        </is>
      </c>
      <c r="D5" s="4" t="inlineStr">
        <is>
          <t>—</t>
        </is>
      </c>
      <c r="E5" s="4" t="inlineStr">
        <is>
          <t>Affect vs verification</t>
        </is>
      </c>
      <c r="F5" s="4" t="inlineStr">
        <is>
          <t>D01,D04</t>
        </is>
      </c>
      <c r="G5" s="4" t="inlineStr">
        <is>
          <t>面對一段同時帶有情緒和資訊的分享，你第一個自然反應比較像……</t>
        </is>
      </c>
      <c r="H5" s="4" t="inlineStr">
        <is>
          <t>先留意其中的情緒變化和彼此的關係，再形成自己的理解</t>
        </is>
      </c>
      <c r="I5" s="4" t="inlineStr">
        <is>
          <t>先看看說法有沒有道理、前後有沒有矛盾，再形成自己的理解</t>
        </is>
      </c>
      <c r="J5" s="4" t="n">
        <v>1</v>
      </c>
      <c r="K5" s="4" t="n">
        <v>7</v>
      </c>
      <c r="L5" s="4" t="inlineStr">
        <is>
          <t>KEEP</t>
        </is>
      </c>
      <c r="M5" s="4" t="inlineStr">
        <is>
          <t>ABSOLUTE SEMANTIC</t>
        </is>
      </c>
    </row>
    <row r="6">
      <c r="A6" s="4" t="inlineStr">
        <is>
          <t>G02</t>
        </is>
      </c>
      <c r="B6" s="4" t="inlineStr">
        <is>
          <t>GLOBAL</t>
        </is>
      </c>
      <c r="C6" s="4" t="inlineStr">
        <is>
          <t>深度關係投入 ↔ 自主決策</t>
        </is>
      </c>
      <c r="D6" s="4" t="inlineStr">
        <is>
          <t>—</t>
        </is>
      </c>
      <c r="E6" s="4" t="inlineStr">
        <is>
          <t>Bond depth vs autonomy</t>
        </is>
      </c>
      <c r="F6" s="4" t="inlineStr">
        <is>
          <t>D02,D09</t>
        </is>
      </c>
      <c r="G6" s="4" t="inlineStr">
        <is>
          <t>一個對你很重要的決定，也會明顯影響親近的人時，你比較自然會……</t>
        </is>
      </c>
      <c r="H6" s="4" t="inlineStr">
        <is>
          <t>把彼此的關係和共同承諾當成最重要的考量之一</t>
        </is>
      </c>
      <c r="I6" s="4" t="inlineStr">
        <is>
          <t>先確定這仍是自己真正想走的方向，再想怎樣和對方協調</t>
        </is>
      </c>
      <c r="J6" s="4" t="n">
        <v>-1</v>
      </c>
      <c r="K6" s="4" t="n">
        <v>9</v>
      </c>
      <c r="L6" s="4" t="inlineStr">
        <is>
          <t>KEEP</t>
        </is>
      </c>
      <c r="M6" s="4" t="inlineStr">
        <is>
          <t>ABSOLUTE SEMANTIC</t>
        </is>
      </c>
    </row>
    <row r="7">
      <c r="A7" s="4" t="inlineStr">
        <is>
          <t>G03</t>
        </is>
      </c>
      <c r="B7" s="4" t="inlineStr">
        <is>
          <t>GLOBAL</t>
        </is>
      </c>
      <c r="C7" s="4" t="inlineStr">
        <is>
          <t>審美感官介入 ↔ 機制系統解法</t>
        </is>
      </c>
      <c r="D7" s="4" t="inlineStr">
        <is>
          <t>—</t>
        </is>
      </c>
      <c r="E7" s="4" t="inlineStr">
        <is>
          <t>Aesthetic interface vs mechanism</t>
        </is>
      </c>
      <c r="F7" s="4" t="inlineStr">
        <is>
          <t>D03,D05</t>
        </is>
      </c>
      <c r="G7" s="4" t="inlineStr">
        <is>
          <t>想改善一個使用起來不太順的空間或服務時，你比較傾向……</t>
        </is>
      </c>
      <c r="H7" s="4" t="inlineStr">
        <is>
          <t>調整光線、聲音、材質、節奏或擺設，改變整體感受</t>
        </is>
      </c>
      <c r="I7" s="4" t="inlineStr">
        <is>
          <t>找出流程和使用方式哪裡有問題，再調整得更好用</t>
        </is>
      </c>
      <c r="J7" s="4" t="n">
        <v>-1</v>
      </c>
      <c r="K7" s="4" t="n">
        <v>67</v>
      </c>
      <c r="L7" s="4" t="inlineStr">
        <is>
          <t>KEEP</t>
        </is>
      </c>
      <c r="M7" s="4" t="inlineStr">
        <is>
          <t>ABSOLUTE SEMANTIC</t>
        </is>
      </c>
    </row>
    <row r="8">
      <c r="A8" s="4" t="inlineStr">
        <is>
          <t>G04</t>
        </is>
      </c>
      <c r="B8" s="4" t="inlineStr">
        <is>
          <t>GLOBAL</t>
        </is>
      </c>
      <c r="C8" s="4" t="inlineStr">
        <is>
          <t>高驗證需求 ↔ 先採用暫時性直覺/經驗</t>
        </is>
      </c>
      <c r="D8" s="4" t="inlineStr">
        <is>
          <t>—</t>
        </is>
      </c>
      <c r="E8" s="4" t="inlineStr">
        <is>
          <t>Verification continuum</t>
        </is>
      </c>
      <c r="F8" s="4" t="inlineStr">
        <is>
          <t>D04</t>
        </is>
      </c>
      <c r="G8" s="4" t="inlineStr">
        <is>
          <t>遇到一個對你有意義、但還不能完全確定的說法時，你比較傾向……</t>
        </is>
      </c>
      <c r="H8" s="4" t="inlineStr">
        <is>
          <t>先找理由、證據和可能推翻它的例子，再決定相信多少</t>
        </is>
      </c>
      <c r="I8" s="4" t="inlineStr">
        <is>
          <t>先把直覺或親身經驗當成一個暫時方向，邊使用邊修正</t>
        </is>
      </c>
      <c r="J8" s="4" t="n">
        <v>1</v>
      </c>
      <c r="K8" s="4" t="n">
        <v>29</v>
      </c>
      <c r="L8" s="4" t="inlineStr">
        <is>
          <t>KEEP</t>
        </is>
      </c>
      <c r="M8" s="4" t="inlineStr">
        <is>
          <t>ABSOLUTE SEMANTIC</t>
        </is>
      </c>
    </row>
    <row r="9">
      <c r="A9" s="4" t="inlineStr">
        <is>
          <t>G05</t>
        </is>
      </c>
      <c r="B9" s="4" t="inlineStr">
        <is>
          <t>GLOBAL</t>
        </is>
      </c>
      <c r="C9" s="4" t="inlineStr">
        <is>
          <t>機制系統建模 ↔ 情緒場讀取</t>
        </is>
      </c>
      <c r="D9" s="4" t="inlineStr">
        <is>
          <t>—</t>
        </is>
      </c>
      <c r="E9" s="4" t="inlineStr">
        <is>
          <t>Mechanism vs affect</t>
        </is>
      </c>
      <c r="F9" s="4" t="inlineStr">
        <is>
          <t>D05,D01</t>
        </is>
      </c>
      <c r="G9" s="4" t="inlineStr">
        <is>
          <t>當一個團隊讓你覺得「哪裡不對」，但原因還不清楚時，你比較容易先從……</t>
        </is>
      </c>
      <c r="H9" s="4" t="inlineStr">
        <is>
          <t>流程、分工和各環節怎樣互相影響去找問題</t>
        </is>
      </c>
      <c r="I9" s="4" t="inlineStr">
        <is>
          <t>現場的情緒變化和大家的互動氣氛去感受問題</t>
        </is>
      </c>
      <c r="J9" s="4" t="n">
        <v>1</v>
      </c>
      <c r="K9" s="4" t="n">
        <v>35</v>
      </c>
      <c r="L9" s="4" t="inlineStr">
        <is>
          <t>REPOINT</t>
        </is>
      </c>
      <c r="M9" s="4" t="inlineStr">
        <is>
          <t>ABSOLUTE SEMANTIC</t>
        </is>
      </c>
    </row>
    <row r="10">
      <c r="A10" s="4" t="inlineStr">
        <is>
          <t>G06</t>
        </is>
      </c>
      <c r="B10" s="4" t="inlineStr">
        <is>
          <t>GLOBAL</t>
        </is>
      </c>
      <c r="C10" s="4" t="inlineStr">
        <is>
          <t>長期持續 ↔ 快速啟動</t>
        </is>
      </c>
      <c r="D10" s="4" t="inlineStr">
        <is>
          <t>—</t>
        </is>
      </c>
      <c r="E10" s="4" t="inlineStr">
        <is>
          <t>Horizon vs initiation</t>
        </is>
      </c>
      <c r="F10" s="4" t="inlineStr">
        <is>
          <t>D06,D11</t>
        </is>
      </c>
      <c r="G10" s="4" t="inlineStr">
        <is>
          <t>遇到一個值得投入、但還不知道會怎麼發展的新方向時，你比較像……</t>
        </is>
      </c>
      <c r="H10" s="4" t="inlineStr">
        <is>
          <t>選擇穩定投入，慢慢累積和加深</t>
        </is>
      </c>
      <c r="I10" s="4" t="inlineStr">
        <is>
          <t>趁還有空間時先開始，讓行動告訴自己下一步怎麼走</t>
        </is>
      </c>
      <c r="J10" s="4" t="n">
        <v>-1</v>
      </c>
      <c r="K10" s="4" t="n">
        <v>19</v>
      </c>
      <c r="L10" s="4" t="inlineStr">
        <is>
          <t>KEEP</t>
        </is>
      </c>
      <c r="M10" s="4" t="inlineStr">
        <is>
          <t>ABSOLUTE SEMANTIC</t>
        </is>
      </c>
    </row>
    <row r="11">
      <c r="A11" s="4" t="inlineStr">
        <is>
          <t>G07</t>
        </is>
      </c>
      <c r="B11" s="4" t="inlineStr">
        <is>
          <t>GLOBAL</t>
        </is>
      </c>
      <c r="C11" s="4" t="inlineStr">
        <is>
          <t>宏觀視角 ↔ 局部/地面視角</t>
        </is>
      </c>
      <c r="D11" s="4" t="inlineStr">
        <is>
          <t>—</t>
        </is>
      </c>
      <c r="E11" s="4" t="inlineStr">
        <is>
          <t>Perspective scope</t>
        </is>
      </c>
      <c r="F11" s="4" t="inlineStr">
        <is>
          <t>D07</t>
        </is>
      </c>
      <c r="G11" s="4" t="inlineStr">
        <is>
          <t>要理解一個複雜問題時，你比較自然把注意力放在哪裡？</t>
        </is>
      </c>
      <c r="H11" s="4" t="inlineStr">
        <is>
          <t>先看整體、各部分怎樣連起來，以及可能有什麼長遠影響</t>
        </is>
      </c>
      <c r="I11" s="4" t="inlineStr">
        <is>
          <t>先看眼前的細節和實際正在發生什麼</t>
        </is>
      </c>
      <c r="J11" s="4" t="n">
        <v>1</v>
      </c>
      <c r="K11" s="4" t="n">
        <v>43</v>
      </c>
      <c r="L11" s="4" t="inlineStr">
        <is>
          <t>REBUILD</t>
        </is>
      </c>
      <c r="M11" s="4" t="inlineStr">
        <is>
          <t>ABSOLUTE SEMANTIC</t>
        </is>
      </c>
    </row>
    <row r="12">
      <c r="A12" s="4" t="inlineStr">
        <is>
          <t>G08</t>
        </is>
      </c>
      <c r="B12" s="4" t="inlineStr">
        <is>
          <t>GLOBAL</t>
        </is>
      </c>
      <c r="C12" s="4" t="inlineStr">
        <is>
          <t>探索移動 ↔ 扎根延續</t>
        </is>
      </c>
      <c r="D12" s="4" t="inlineStr">
        <is>
          <t>—</t>
        </is>
      </c>
      <c r="E12" s="4" t="inlineStr">
        <is>
          <t>Mobility continuum</t>
        </is>
      </c>
      <c r="F12" s="4" t="inlineStr">
        <is>
          <t>D20</t>
        </is>
      </c>
      <c r="G12" s="4" t="inlineStr">
        <is>
          <t>面對一段沒有外在限制的生活安排，你比較喜歡……</t>
        </is>
      </c>
      <c r="H12" s="4" t="inlineStr">
        <is>
          <t>在不同地方、路線或活動之間移動，透過變化增加經驗</t>
        </is>
      </c>
      <c r="I12" s="4" t="inlineStr">
        <is>
          <t>在熟悉的地方或路線上一直累積，讓生活越來越有延續感</t>
        </is>
      </c>
      <c r="J12" s="4" t="n">
        <v>1</v>
      </c>
      <c r="K12" s="4" t="n">
        <v>57</v>
      </c>
      <c r="L12" s="4" t="inlineStr">
        <is>
          <t>REBUILD</t>
        </is>
      </c>
      <c r="M12" s="4" t="inlineStr">
        <is>
          <t>ABSOLUTE SEMANTIC</t>
        </is>
      </c>
    </row>
    <row r="13">
      <c r="A13" s="4" t="inlineStr">
        <is>
          <t>G09</t>
        </is>
      </c>
      <c r="B13" s="4" t="inlineStr">
        <is>
          <t>GLOBAL</t>
        </is>
      </c>
      <c r="C13" s="4" t="inlineStr">
        <is>
          <t>自主決策 ↔ 接受協調約束/角色義務</t>
        </is>
      </c>
      <c r="D13" s="4" t="inlineStr">
        <is>
          <t>—</t>
        </is>
      </c>
      <c r="E13" s="4" t="inlineStr">
        <is>
          <t>Autonomy under constraint</t>
        </is>
      </c>
      <c r="F13" s="4" t="inlineStr">
        <is>
          <t>D09</t>
        </is>
      </c>
      <c r="G13" s="4" t="inlineStr">
        <is>
          <t>加入一個已有清楚規則和分工的合作時，你比較自然會……</t>
        </is>
      </c>
      <c r="H13" s="4" t="inlineStr">
        <is>
          <t>保留重新談條件和自己決定做法的空間</t>
        </is>
      </c>
      <c r="I13" s="4" t="inlineStr">
        <is>
          <t>接受大家共同定下的規則和角色，在範圍內做好自己的部分</t>
        </is>
      </c>
      <c r="J13" s="4" t="n">
        <v>1</v>
      </c>
      <c r="K13" s="4" t="n">
        <v>23</v>
      </c>
      <c r="L13" s="4" t="inlineStr">
        <is>
          <t>REBUILD</t>
        </is>
      </c>
      <c r="M13" s="4" t="inlineStr">
        <is>
          <t>ABSOLUTE SEMANTIC</t>
        </is>
      </c>
    </row>
    <row r="14">
      <c r="A14" s="4" t="inlineStr">
        <is>
          <t>G10</t>
        </is>
      </c>
      <c r="B14" s="4" t="inlineStr">
        <is>
          <t>GLOBAL</t>
        </is>
      </c>
      <c r="C14" s="4" t="inlineStr">
        <is>
          <t>集中指揮 ↔ 分散共治</t>
        </is>
      </c>
      <c r="D14" s="4" t="inlineStr">
        <is>
          <t>—</t>
        </is>
      </c>
      <c r="E14" s="4" t="inlineStr">
        <is>
          <t>Authority architecture</t>
        </is>
      </c>
      <c r="F14" s="4" t="inlineStr">
        <is>
          <t>D10</t>
        </is>
      </c>
      <c r="G14" s="4" t="inlineStr">
        <is>
          <t>很多人需要一起做決定時，你比較偏好……</t>
        </is>
      </c>
      <c r="H14" s="4" t="inlineStr">
        <is>
          <t>由一個人或少數人做最後決定，再把工作分配下去</t>
        </is>
      </c>
      <c r="I14" s="4" t="inlineStr">
        <is>
          <t>讓相關的人一起討論、一起決定</t>
        </is>
      </c>
      <c r="J14" s="4" t="n">
        <v>-1</v>
      </c>
      <c r="K14" s="4" t="n">
        <v>39</v>
      </c>
      <c r="L14" s="4" t="inlineStr">
        <is>
          <t>KEEP</t>
        </is>
      </c>
      <c r="M14" s="4" t="inlineStr">
        <is>
          <t>ABSOLUTE SEMANTIC</t>
        </is>
      </c>
    </row>
    <row r="15">
      <c r="A15" s="4" t="inlineStr">
        <is>
          <t>G11</t>
        </is>
      </c>
      <c r="B15" s="4" t="inlineStr">
        <is>
          <t>GLOBAL</t>
        </is>
      </c>
      <c r="C15" s="4" t="inlineStr">
        <is>
          <t>立即啟動 ↔ 先觀察延後</t>
        </is>
      </c>
      <c r="D15" s="4" t="inlineStr">
        <is>
          <t>—</t>
        </is>
      </c>
      <c r="E15" s="4" t="inlineStr">
        <is>
          <t>Initiation latency</t>
        </is>
      </c>
      <c r="F15" s="4" t="inlineStr">
        <is>
          <t>D11</t>
        </is>
      </c>
      <c r="G15" s="4" t="inlineStr">
        <is>
          <t>一個新機會看起來有潛力，但還有不少未知時，你通常會……</t>
        </is>
      </c>
      <c r="H15" s="4" t="inlineStr">
        <is>
          <t>先開始做，再一邊行動一邊補足資訊</t>
        </is>
      </c>
      <c r="I15" s="4" t="inlineStr">
        <is>
          <t>先繼續觀察，等了解得更清楚再開始</t>
        </is>
      </c>
      <c r="J15" s="4" t="n">
        <v>-1</v>
      </c>
      <c r="K15" s="4" t="n">
        <v>25</v>
      </c>
      <c r="L15" s="4" t="inlineStr">
        <is>
          <t>KEEP</t>
        </is>
      </c>
      <c r="M15" s="4" t="inlineStr">
        <is>
          <t>ABSOLUTE SEMANTIC</t>
        </is>
      </c>
    </row>
    <row r="16">
      <c r="A16" s="4" t="inlineStr">
        <is>
          <t>G12</t>
        </is>
      </c>
      <c r="B16" s="4" t="inlineStr">
        <is>
          <t>GLOBAL</t>
        </is>
      </c>
      <c r="C16" s="4" t="inlineStr">
        <is>
          <t>直接處理衝突 ↔ 間接/降溫處理</t>
        </is>
      </c>
      <c r="D16" s="4" t="inlineStr">
        <is>
          <t>—</t>
        </is>
      </c>
      <c r="E16" s="4" t="inlineStr">
        <is>
          <t>Conflict engagement</t>
        </is>
      </c>
      <c r="F16" s="4" t="inlineStr">
        <is>
          <t>D12</t>
        </is>
      </c>
      <c r="G16" s="4" t="inlineStr">
        <is>
          <t>當分歧已經很明顯，雙方也知道彼此不同意時，你通常會……</t>
        </is>
      </c>
      <c r="H16" s="4" t="inlineStr">
        <is>
          <t>把最主要的不同直接說清楚，當面處理要決定的事</t>
        </is>
      </c>
      <c r="I16" s="4" t="inlineStr">
        <is>
          <t>先降低張力或用比較間接的方式，等情況緩和後再處理</t>
        </is>
      </c>
      <c r="J16" s="4" t="n">
        <v>1</v>
      </c>
      <c r="K16" s="4" t="n">
        <v>45</v>
      </c>
      <c r="L16" s="4" t="inlineStr">
        <is>
          <t>KEEP</t>
        </is>
      </c>
      <c r="M16" s="4" t="inlineStr">
        <is>
          <t>ABSOLUTE SEMANTIC</t>
        </is>
      </c>
    </row>
    <row r="17">
      <c r="A17" s="4" t="inlineStr">
        <is>
          <t>G13</t>
        </is>
      </c>
      <c r="B17" s="4" t="inlineStr">
        <is>
          <t>GLOBAL</t>
        </is>
      </c>
      <c r="C17" s="4" t="inlineStr">
        <is>
          <t>選擇性開放/高警戒 ↔ 預設開放</t>
        </is>
      </c>
      <c r="D17" s="4" t="inlineStr">
        <is>
          <t>—</t>
        </is>
      </c>
      <c r="E17" s="4" t="inlineStr">
        <is>
          <t>Access vigilance</t>
        </is>
      </c>
      <c r="F17" s="4" t="inlineStr">
        <is>
          <t>D13</t>
        </is>
      </c>
      <c r="G17" s="4" t="inlineStr">
        <is>
          <t>當新的人想加入你正在維持的小圈子或合作小組時，你通常會……</t>
        </is>
      </c>
      <c r="H17" s="4" t="inlineStr">
        <is>
          <t>先不要讓對方參與太多，觀察彼此是否合適後再慢慢開放</t>
        </is>
      </c>
      <c r="I17" s="4" t="inlineStr">
        <is>
          <t>先讓對方參與一些基本的事，再按實際相處調整參與範圍</t>
        </is>
      </c>
      <c r="J17" s="4" t="n">
        <v>1</v>
      </c>
      <c r="K17" s="4" t="n">
        <v>3</v>
      </c>
      <c r="L17" s="4" t="inlineStr">
        <is>
          <t>REBUILD</t>
        </is>
      </c>
      <c r="M17" s="4" t="inlineStr">
        <is>
          <t>ABSOLUTE SEMANTIC</t>
        </is>
      </c>
    </row>
    <row r="18">
      <c r="A18" s="4" t="inlineStr">
        <is>
          <t>G14</t>
        </is>
      </c>
      <c r="B18" s="4" t="inlineStr">
        <is>
          <t>GLOBAL</t>
        </is>
      </c>
      <c r="C18" s="4" t="inlineStr">
        <is>
          <t>多人共同塑造 ↔ 獨立/模組化協作</t>
        </is>
      </c>
      <c r="D18" s="4" t="inlineStr">
        <is>
          <t>—</t>
        </is>
      </c>
      <c r="E18" s="4" t="inlineStr">
        <is>
          <t>Coordination mode</t>
        </is>
      </c>
      <c r="F18" s="4" t="inlineStr">
        <is>
          <t>D14</t>
        </is>
      </c>
      <c r="G18" s="4" t="inlineStr">
        <is>
          <t>幾個人要完成一件彼此有關、但可以分開做的事情時，你比較偏好……</t>
        </is>
      </c>
      <c r="H18" s="4" t="inlineStr">
        <is>
          <t>一起決定問題和做法，邊協調邊把最後結果做出來</t>
        </is>
      </c>
      <c r="I18" s="4" t="inlineStr">
        <is>
          <t>先各自做好自己的部分，再把它們接起來</t>
        </is>
      </c>
      <c r="J18" s="4" t="n">
        <v>-1</v>
      </c>
      <c r="K18" s="4" t="n">
        <v>47</v>
      </c>
      <c r="L18" s="4" t="inlineStr">
        <is>
          <t>KEEP</t>
        </is>
      </c>
      <c r="M18" s="4" t="inlineStr">
        <is>
          <t>ABSOLUTE SEMANTIC</t>
        </is>
      </c>
    </row>
    <row r="19">
      <c r="A19" s="4" t="inlineStr">
        <is>
          <t>G15</t>
        </is>
      </c>
      <c r="B19" s="4" t="inlineStr">
        <is>
          <t>GLOBAL</t>
        </is>
      </c>
      <c r="C19" s="4" t="inlineStr">
        <is>
          <t>擾動下維持穩定參照 ↔ 隨情勢快速動員</t>
        </is>
      </c>
      <c r="D19" s="4" t="inlineStr">
        <is>
          <t>—</t>
        </is>
      </c>
      <c r="E19" s="4" t="inlineStr">
        <is>
          <t>Regulation under perturbation</t>
        </is>
      </c>
      <c r="F19" s="4" t="inlineStr">
        <is>
          <t>D15</t>
        </is>
      </c>
      <c r="G19" s="4" t="inlineStr">
        <is>
          <t>原本平穩的場合突然出現不同意見和節奏變化時，你比較常……</t>
        </is>
      </c>
      <c r="H19" s="4" t="inlineStr">
        <is>
          <t>先維持自己的節奏和清晰度，讓自己成為比較穩定的一方</t>
        </is>
      </c>
      <c r="I19" s="4" t="inlineStr">
        <is>
          <t>很快跟著新的情況調整自己，直接回應正在發生的變化</t>
        </is>
      </c>
      <c r="J19" s="4" t="n">
        <v>-1</v>
      </c>
      <c r="K19" s="4" t="n">
        <v>21</v>
      </c>
      <c r="L19" s="4" t="inlineStr">
        <is>
          <t>KEEP</t>
        </is>
      </c>
      <c r="M19" s="4" t="inlineStr">
        <is>
          <t>ABSOLUTE SEMANTIC</t>
        </is>
      </c>
    </row>
    <row r="20">
      <c r="A20" s="4" t="inlineStr">
        <is>
          <t>G16</t>
        </is>
      </c>
      <c r="B20" s="4" t="inlineStr">
        <is>
          <t>GLOBAL</t>
        </is>
      </c>
      <c r="C20" s="4" t="inlineStr">
        <is>
          <t>照護修復角色 ↔ 機制/功能修復</t>
        </is>
      </c>
      <c r="D20" s="4" t="inlineStr">
        <is>
          <t>—</t>
        </is>
      </c>
      <c r="E20" s="4" t="inlineStr">
        <is>
          <t>Care role vs mechanism</t>
        </is>
      </c>
      <c r="F20" s="4" t="inlineStr">
        <is>
          <t>D16,D05</t>
        </is>
      </c>
      <c r="G20" s="4" t="inlineStr">
        <is>
          <t>當一個人或一套做法的狀態需要修復時，你比較自然會扮演哪種角色？</t>
        </is>
      </c>
      <c r="H20" s="4" t="inlineStr">
        <is>
          <t>把照顧、支持或陪伴當成自己主要會做的事</t>
        </is>
      </c>
      <c r="I20" s="4" t="inlineStr">
        <is>
          <t>找出哪個環節出了問題，調整流程或結構讓它恢復正常</t>
        </is>
      </c>
      <c r="J20" s="4" t="n">
        <v>1</v>
      </c>
      <c r="K20" s="4" t="n">
        <v>63</v>
      </c>
      <c r="L20" s="4" t="inlineStr">
        <is>
          <t>KEEP</t>
        </is>
      </c>
      <c r="M20" s="4" t="inlineStr">
        <is>
          <t>ABSOLUTE SEMANTIC</t>
        </is>
      </c>
    </row>
    <row r="21">
      <c r="A21" s="4" t="inlineStr">
        <is>
          <t>G17</t>
        </is>
      </c>
      <c r="B21" s="4" t="inlineStr">
        <is>
          <t>GLOBAL</t>
        </is>
      </c>
      <c r="C21" s="4" t="inlineStr">
        <is>
          <t>守護保護角色 ↔ 脫離/自主管理</t>
        </is>
      </c>
      <c r="D21" s="4" t="inlineStr">
        <is>
          <t>—</t>
        </is>
      </c>
      <c r="E21" s="4" t="inlineStr">
        <is>
          <t>Protection vs exit autonomy</t>
        </is>
      </c>
      <c r="F21" s="4" t="inlineStr">
        <is>
          <t>D17,D09,D20</t>
        </is>
      </c>
      <c r="G21" s="4" t="inlineStr">
        <is>
          <t>當一個你參與的共同計畫開始偏離你認同的方向時，你比較自然會……</t>
        </is>
      </c>
      <c r="H21" s="4" t="inlineStr">
        <is>
          <t>留下來，守住你認為重要的人和事</t>
        </is>
      </c>
      <c r="I21" s="4" t="inlineStr">
        <is>
          <t>離開這個不適合自己的安排，改由自己決定下一步</t>
        </is>
      </c>
      <c r="J21" s="4" t="n">
        <v>1</v>
      </c>
      <c r="K21" s="4" t="n">
        <v>1</v>
      </c>
      <c r="L21" s="4" t="inlineStr">
        <is>
          <t>KEEP</t>
        </is>
      </c>
      <c r="M21" s="4" t="inlineStr">
        <is>
          <t>ABSOLUTE SEMANTIC</t>
        </is>
      </c>
    </row>
    <row r="22">
      <c r="A22" s="4" t="inlineStr">
        <is>
          <t>G18</t>
        </is>
      </c>
      <c r="B22" s="4" t="inlineStr">
        <is>
          <t>GLOBAL</t>
        </is>
      </c>
      <c r="C22" s="4" t="inlineStr">
        <is>
          <t>建設維護角色 ↔ 探索移動</t>
        </is>
      </c>
      <c r="D22" s="4" t="inlineStr">
        <is>
          <t>—</t>
        </is>
      </c>
      <c r="E22" s="4" t="inlineStr">
        <is>
          <t>Building vs mobility</t>
        </is>
      </c>
      <c r="F22" s="4" t="inlineStr">
        <is>
          <t>D18,D20</t>
        </is>
      </c>
      <c r="G22" s="4" t="inlineStr">
        <is>
          <t>有一段可以自由安排的時間和資源時，你比較自然會……</t>
        </is>
      </c>
      <c r="H22" s="4" t="inlineStr">
        <is>
          <t>做一件可以長期累積、持續維護的成果</t>
        </is>
      </c>
      <c r="I22" s="4" t="inlineStr">
        <is>
          <t>用來嘗試不同路徑、環境或新經驗，保持探索空間</t>
        </is>
      </c>
      <c r="J22" s="4" t="n">
        <v>-1</v>
      </c>
      <c r="K22" s="4" t="n">
        <v>59</v>
      </c>
      <c r="L22" s="4" t="inlineStr">
        <is>
          <t>KEEP</t>
        </is>
      </c>
      <c r="M22" s="4" t="inlineStr">
        <is>
          <t>ABSOLUTE SEMANTIC</t>
        </is>
      </c>
    </row>
    <row r="23">
      <c r="A23" s="4" t="inlineStr">
        <is>
          <t>G19</t>
        </is>
      </c>
      <c r="B23" s="4" t="inlineStr">
        <is>
          <t>GLOBAL</t>
        </is>
      </c>
      <c r="C23" s="4" t="inlineStr">
        <is>
          <t>傳訊教學角色 ↔ 建設實作角色</t>
        </is>
      </c>
      <c r="D23" s="4" t="inlineStr">
        <is>
          <t>—</t>
        </is>
      </c>
      <c r="E23" s="4" t="inlineStr">
        <is>
          <t>Transmission vs building</t>
        </is>
      </c>
      <c r="F23" s="4" t="inlineStr">
        <is>
          <t>D19,D18</t>
        </is>
      </c>
      <c r="G23" s="4" t="inlineStr">
        <is>
          <t>你想讓一個有價值的方法繼續傳下去時，你比較自然會……</t>
        </is>
      </c>
      <c r="H23" s="4" t="inlineStr">
        <is>
          <t>把它整理成別人能理解、學會和傳下去的內容</t>
        </is>
      </c>
      <c r="I23" s="4" t="inlineStr">
        <is>
          <t>把它做成一套別人可以長期使用、維護和改進的做法</t>
        </is>
      </c>
      <c r="J23" s="4" t="n">
        <v>-1</v>
      </c>
      <c r="K23" s="4" t="n">
        <v>37</v>
      </c>
      <c r="L23" s="4" t="inlineStr">
        <is>
          <t>KEEP</t>
        </is>
      </c>
      <c r="M23" s="4" t="inlineStr">
        <is>
          <t>ABSOLUTE SEMANTIC</t>
        </is>
      </c>
    </row>
    <row r="24">
      <c r="A24" s="4" t="inlineStr">
        <is>
          <t>G20</t>
        </is>
      </c>
      <c r="B24" s="4" t="inlineStr">
        <is>
          <t>GLOBAL</t>
        </is>
      </c>
      <c r="C24" s="4" t="inlineStr">
        <is>
          <t>Earth/human continuity 作為主要 home ↔ 持續 elsewhere-home orientation</t>
        </is>
      </c>
      <c r="D24" s="4" t="inlineStr">
        <is>
          <t>—</t>
        </is>
      </c>
      <c r="E24" s="4" t="inlineStr">
        <is>
          <t>Belonging axis</t>
        </is>
      </c>
      <c r="F24" s="4" t="inlineStr">
        <is>
          <t>D22</t>
        </is>
      </c>
      <c r="G24" s="4" t="inlineStr">
        <is>
          <t>如果不談家鄉或國籍，你覺得自己主要屬於哪裡？</t>
        </is>
      </c>
      <c r="H24" s="4" t="inlineStr">
        <is>
          <t>我的歸屬主要在現在的人類生活、關係和每天的生活中</t>
        </is>
      </c>
      <c r="I24" s="4" t="inlineStr">
        <is>
          <t>我常覺得真正屬於自己的地方不在這裡，而是在某個說不清楚的別處</t>
        </is>
      </c>
      <c r="J24" s="4" t="n">
        <v>1</v>
      </c>
      <c r="K24" s="4" t="n">
        <v>33</v>
      </c>
      <c r="L24" s="4" t="inlineStr">
        <is>
          <t>REBUILD</t>
        </is>
      </c>
      <c r="M24" s="4" t="inlineStr">
        <is>
          <t>ABSOLUTE SEMANTIC</t>
        </is>
      </c>
    </row>
    <row r="25">
      <c r="A25" s="4" t="inlineStr">
        <is>
          <t>G21</t>
        </is>
      </c>
      <c r="B25" s="4" t="inlineStr">
        <is>
          <t>GLOBAL</t>
        </is>
      </c>
      <c r="C25" s="4" t="inlineStr">
        <is>
          <t>整合互相矛盾資訊成 higher-order frame ↔ 以一個主要 frame 解決</t>
        </is>
      </c>
      <c r="D25" s="4" t="inlineStr">
        <is>
          <t>—</t>
        </is>
      </c>
      <c r="E25" s="4" t="inlineStr">
        <is>
          <t>Integrative framing</t>
        </is>
      </c>
      <c r="F25" s="4" t="inlineStr">
        <is>
          <t>D21</t>
        </is>
      </c>
      <c r="G25" s="4" t="inlineStr">
        <is>
          <t>當兩套說法各自有證據、卻又互相矛盾時，你比較傾向……</t>
        </is>
      </c>
      <c r="H25" s="4" t="inlineStr">
        <is>
          <t>找一個能把兩邊都解釋得通的新理解</t>
        </is>
      </c>
      <c r="I25" s="4" t="inlineStr">
        <is>
          <t>選一套比較能解決問題的主要說法，用它來判斷</t>
        </is>
      </c>
      <c r="J25" s="4" t="n">
        <v>-1</v>
      </c>
      <c r="K25" s="4" t="n">
        <v>51</v>
      </c>
      <c r="L25" s="4" t="inlineStr">
        <is>
          <t>REBUILD</t>
        </is>
      </c>
      <c r="M25" s="4" t="inlineStr">
        <is>
          <t>ABSOLUTE SEMANTIC</t>
        </is>
      </c>
    </row>
    <row r="26">
      <c r="A26" s="4" t="inlineStr">
        <is>
          <t>G22</t>
        </is>
      </c>
      <c r="B26" s="4" t="inlineStr">
        <is>
          <t>GLOBAL</t>
        </is>
      </c>
      <c r="C26" s="4" t="inlineStr">
        <is>
          <t>在地具身 stewardship ↔ 文明尺度制度設計</t>
        </is>
      </c>
      <c r="D26" s="4" t="inlineStr">
        <is>
          <t>—</t>
        </is>
      </c>
      <c r="E26" s="4" t="inlineStr">
        <is>
          <t>Local stewardship vs macro institutions</t>
        </is>
      </c>
      <c r="F26" s="4" t="inlineStr">
        <is>
          <t>D07,D18,D22,D10</t>
        </is>
      </c>
      <c r="G26" s="4" t="inlineStr">
        <is>
          <t>要改善一個你長期參與、也受到更大規則影響的地方時，你比較傾向……</t>
        </is>
      </c>
      <c r="H26" s="4" t="inlineStr">
        <is>
          <t>從自己每天參與的地方開始維護和照料，慢慢讓它變好</t>
        </is>
      </c>
      <c r="I26" s="4" t="inlineStr">
        <is>
          <t>從更大的規則、分工和資源安排著手，改變整體做法</t>
        </is>
      </c>
      <c r="J26" s="4" t="n">
        <v>-1</v>
      </c>
      <c r="K26" s="4" t="n">
        <v>49</v>
      </c>
      <c r="L26" s="4" t="inlineStr">
        <is>
          <t>REPOINT</t>
        </is>
      </c>
      <c r="M26" s="4" t="inlineStr">
        <is>
          <t>ABSOLUTE SEMANTIC</t>
        </is>
      </c>
    </row>
    <row r="27">
      <c r="A27" s="4" t="inlineStr">
        <is>
          <t>G23</t>
        </is>
      </c>
      <c r="B27" s="4" t="inlineStr">
        <is>
          <t>GLOBAL</t>
        </is>
      </c>
      <c r="C27" s="4" t="inlineStr">
        <is>
          <t>親密投入 ↔ 高階/宏觀視角</t>
        </is>
      </c>
      <c r="D27" s="4" t="inlineStr">
        <is>
          <t>—</t>
        </is>
      </c>
      <c r="E27" s="4" t="inlineStr">
        <is>
          <t>Bond depth vs scope</t>
        </is>
      </c>
      <c r="F27" s="4" t="inlineStr">
        <is>
          <t>D02,D07</t>
        </is>
      </c>
      <c r="G27" s="4" t="inlineStr">
        <is>
          <t>面對一件重要又複雜的事時，你比較容易先注意哪一部分？</t>
        </is>
      </c>
      <c r="H27" s="4" t="inlineStr">
        <is>
          <t>少數重要關係裡真正的需要，以及彼此願意投入多少</t>
        </is>
      </c>
      <c r="I27" s="4" t="inlineStr">
        <is>
          <t>先看整體，理解各個部分怎樣和更大的情況連在一起</t>
        </is>
      </c>
      <c r="J27" s="4" t="n">
        <v>1</v>
      </c>
      <c r="K27" s="4" t="n">
        <v>5</v>
      </c>
      <c r="L27" s="4" t="inlineStr">
        <is>
          <t>KEEP</t>
        </is>
      </c>
      <c r="M27" s="4" t="inlineStr">
        <is>
          <t>ABSOLUTE SEMANTIC</t>
        </is>
      </c>
    </row>
    <row r="28">
      <c r="A28" s="4" t="inlineStr">
        <is>
          <t>G24</t>
        </is>
      </c>
      <c r="B28" s="4" t="inlineStr">
        <is>
          <t>GLOBAL</t>
        </is>
      </c>
      <c r="C28" s="4" t="inlineStr">
        <is>
          <t>情緒場滲透 ↔ 選擇性邊界/守界</t>
        </is>
      </c>
      <c r="D28" s="4" t="inlineStr">
        <is>
          <t>—</t>
        </is>
      </c>
      <c r="E28" s="4" t="inlineStr">
        <is>
          <t>Affect uptake vs access guard</t>
        </is>
      </c>
      <c r="F28" s="4" t="inlineStr">
        <is>
          <t>D01,D13,D17</t>
        </is>
      </c>
      <c r="G28" s="4" t="inlineStr">
        <is>
          <t>加入一個陌生但友善的群體時，你通常會先……</t>
        </is>
      </c>
      <c r="H28" s="4" t="inlineStr">
        <is>
          <t>很快感受到整體氣氛和大家的情緒，再跟著調整自己</t>
        </is>
      </c>
      <c r="I28" s="4" t="inlineStr">
        <is>
          <t>不會一開始就投入太多，再慢慢看自己願意開放到什麼程度</t>
        </is>
      </c>
      <c r="J28" s="4" t="n">
        <v>-1</v>
      </c>
      <c r="K28" s="4" t="n">
        <v>15</v>
      </c>
      <c r="L28" s="4" t="inlineStr">
        <is>
          <t>KEEP</t>
        </is>
      </c>
      <c r="M28" s="4" t="inlineStr">
        <is>
          <t>ABSOLUTE SEMANTIC</t>
        </is>
      </c>
    </row>
    <row r="29">
      <c r="A29" s="4" t="inlineStr">
        <is>
          <t>G25</t>
        </is>
      </c>
      <c r="B29" s="4" t="inlineStr">
        <is>
          <t>GLOBAL</t>
        </is>
      </c>
      <c r="C29" s="4" t="inlineStr">
        <is>
          <t>守護保護角色 ↔ 建設維護角色</t>
        </is>
      </c>
      <c r="D29" s="4" t="inlineStr">
        <is>
          <t>—</t>
        </is>
      </c>
      <c r="E29" s="4" t="inlineStr">
        <is>
          <t>Protection vs building</t>
        </is>
      </c>
      <c r="F29" s="4" t="inlineStr">
        <is>
          <t>D17,D18</t>
        </is>
      </c>
      <c r="G29" s="4" t="inlineStr">
        <is>
          <t>在一個長期共同計畫裡，你比較自然承擔哪種角色？</t>
        </is>
      </c>
      <c r="H29" s="4" t="inlineStr">
        <is>
          <t>負責保護重要的人、事和界線</t>
        </is>
      </c>
      <c r="I29" s="4" t="inlineStr">
        <is>
          <t>把流程、資源或基礎一步步建好，並持續維護</t>
        </is>
      </c>
      <c r="J29" s="4" t="n">
        <v>1</v>
      </c>
      <c r="K29" s="4" t="n">
        <v>65</v>
      </c>
      <c r="L29" s="4" t="inlineStr">
        <is>
          <t>RETIRE</t>
        </is>
      </c>
      <c r="M29" s="4" t="inlineStr">
        <is>
          <t>ABSOLUTE SEMANTIC</t>
        </is>
      </c>
    </row>
    <row r="30">
      <c r="A30" s="4" t="inlineStr">
        <is>
          <t>G26</t>
        </is>
      </c>
      <c r="B30" s="4" t="inlineStr">
        <is>
          <t>GLOBAL</t>
        </is>
      </c>
      <c r="C30" s="4" t="inlineStr">
        <is>
          <t>機制/技術系統 ↔ 階序指揮</t>
        </is>
      </c>
      <c r="D30" s="4" t="inlineStr">
        <is>
          <t>—</t>
        </is>
      </c>
      <c r="E30" s="4" t="inlineStr">
        <is>
          <t>Mechanism vs command</t>
        </is>
      </c>
      <c r="F30" s="4" t="inlineStr">
        <is>
          <t>D05,D10</t>
        </is>
      </c>
      <c r="G30" s="4" t="inlineStr">
        <is>
          <t>遇到一個反覆出現的合作問題時，你比較自然從哪裡開始處理？</t>
        </is>
      </c>
      <c r="H30" s="4" t="inlineStr">
        <is>
          <t>找出各部分怎樣互相影響，以及是哪個流程造成問題</t>
        </is>
      </c>
      <c r="I30" s="4" t="inlineStr">
        <is>
          <t>弄清楚誰能決定、誰帶頭、誰負責執行</t>
        </is>
      </c>
      <c r="J30" s="4" t="n">
        <v>1</v>
      </c>
      <c r="K30" s="4" t="n">
        <v>31</v>
      </c>
      <c r="L30" s="4" t="inlineStr">
        <is>
          <t>KEEP</t>
        </is>
      </c>
      <c r="M30" s="4" t="inlineStr">
        <is>
          <t>ABSOLUTE SEMANTIC</t>
        </is>
      </c>
    </row>
    <row r="31">
      <c r="A31" s="4" t="inlineStr">
        <is>
          <t>G27</t>
        </is>
      </c>
      <c r="B31" s="4" t="inlineStr">
        <is>
          <t>GLOBAL</t>
        </is>
      </c>
      <c r="C31" s="4" t="inlineStr">
        <is>
          <t>長期持續 ↔ 探索移動</t>
        </is>
      </c>
      <c r="D31" s="4" t="inlineStr">
        <is>
          <t>—</t>
        </is>
      </c>
      <c r="E31" s="4" t="inlineStr">
        <is>
          <t>Persistence vs mobility</t>
        </is>
      </c>
      <c r="F31" s="4" t="inlineStr">
        <is>
          <t>D06,D20</t>
        </is>
      </c>
      <c r="G31" s="4" t="inlineStr">
        <is>
          <t>如果兩種生活節奏都可行，你通常更被哪一種吸引？</t>
        </is>
      </c>
      <c r="H31" s="4" t="inlineStr">
        <is>
          <t>沿著同一方向走很多年，慢慢累積經驗和投入</t>
        </is>
      </c>
      <c r="I31" s="4" t="inlineStr">
        <is>
          <t>定期換到新的環境或主題，保持探索和變化</t>
        </is>
      </c>
      <c r="J31" s="4" t="n">
        <v>1</v>
      </c>
      <c r="K31" s="4" t="n">
        <v>11</v>
      </c>
      <c r="L31" s="4" t="inlineStr">
        <is>
          <t>KEEP</t>
        </is>
      </c>
      <c r="M31" s="4" t="inlineStr">
        <is>
          <t>ABSOLUTE SEMANTIC</t>
        </is>
      </c>
    </row>
    <row r="32">
      <c r="A32" s="4" t="inlineStr">
        <is>
          <t>G28</t>
        </is>
      </c>
      <c r="B32" s="4" t="inlineStr">
        <is>
          <t>GLOBAL</t>
        </is>
      </c>
      <c r="C32" s="4" t="inlineStr">
        <is>
          <t>自主/主權 ↔ 保護職責</t>
        </is>
      </c>
      <c r="D32" s="4" t="inlineStr">
        <is>
          <t>—</t>
        </is>
      </c>
      <c r="E32" s="4" t="inlineStr">
        <is>
          <t>Autonomy vs protection duty</t>
        </is>
      </c>
      <c r="F32" s="4" t="inlineStr">
        <is>
          <t>D09,D17</t>
        </is>
      </c>
      <c r="G32" s="4" t="inlineStr">
        <is>
          <t>當你同時有一個自己想走的方向，也有一件你願意負責保護或照顧的事時，你比較傾向……</t>
        </is>
      </c>
      <c r="H32" s="4" t="inlineStr">
        <is>
          <t>保留自己決定方向的空間，重新決定自己要負責到哪裡</t>
        </is>
      </c>
      <c r="I32" s="4" t="inlineStr">
        <is>
          <t>先把保護和照顧的責任放在前面，再調整自己的安排</t>
        </is>
      </c>
      <c r="J32" s="4" t="n">
        <v>-1</v>
      </c>
      <c r="K32" s="4" t="n">
        <v>17</v>
      </c>
      <c r="L32" s="4" t="inlineStr">
        <is>
          <t>KEEP</t>
        </is>
      </c>
      <c r="M32" s="4" t="inlineStr">
        <is>
          <t>ABSOLUTE SEMANTIC</t>
        </is>
      </c>
    </row>
    <row r="33">
      <c r="A33" s="4" t="inlineStr">
        <is>
          <t>G29</t>
        </is>
      </c>
      <c r="B33" s="4" t="inlineStr">
        <is>
          <t>GLOBAL</t>
        </is>
      </c>
      <c r="C33" s="4" t="inlineStr">
        <is>
          <t>協作/整合 ↔ 直接衝突</t>
        </is>
      </c>
      <c r="D33" s="4" t="inlineStr">
        <is>
          <t>—</t>
        </is>
      </c>
      <c r="E33" s="4" t="inlineStr">
        <is>
          <t>Coordination/integration vs confrontation</t>
        </is>
      </c>
      <c r="F33" s="4" t="inlineStr">
        <is>
          <t>D14,D21,D12</t>
        </is>
      </c>
      <c r="G33" s="4" t="inlineStr">
        <is>
          <t>當很多人對方向有明顯不同意見時，你比較自然會……</t>
        </is>
      </c>
      <c r="H33" s="4" t="inlineStr">
        <is>
          <t>整理大家相同和不同的地方，一起找能走下去的做法</t>
        </is>
      </c>
      <c r="I33" s="4" t="inlineStr">
        <is>
          <t>直接把主要衝突說開，清楚處理彼此不同的立場</t>
        </is>
      </c>
      <c r="J33" s="4" t="n">
        <v>-1</v>
      </c>
      <c r="K33" s="4" t="n">
        <v>61</v>
      </c>
      <c r="L33" s="4" t="inlineStr">
        <is>
          <t>KEEP</t>
        </is>
      </c>
      <c r="M33" s="4" t="inlineStr">
        <is>
          <t>ABSOLUTE SEMANTIC</t>
        </is>
      </c>
    </row>
    <row r="34">
      <c r="A34" s="4" t="inlineStr">
        <is>
          <t>G30</t>
        </is>
      </c>
      <c r="B34" s="4" t="inlineStr">
        <is>
          <t>GLOBAL</t>
        </is>
      </c>
      <c r="C34" s="4" t="inlineStr">
        <is>
          <t>立即啟動/正面破局 ↔ 先掃描風險並情境適應</t>
        </is>
      </c>
      <c r="D34" s="4" t="inlineStr">
        <is>
          <t>Martian ↔ Reptilian</t>
        </is>
      </c>
      <c r="E34" s="4" t="inlineStr">
        <is>
          <t>Action vs survival adaptation</t>
        </is>
      </c>
      <c r="F34" s="4" t="inlineStr">
        <is>
          <t>D11,D13,D12</t>
        </is>
      </c>
      <c r="G34" s="4" t="inlineStr">
        <is>
          <t>一個原本能運作的計畫因為情況改變而卡住時，你比較自然的第一步是……</t>
        </is>
      </c>
      <c r="H34" s="4" t="inlineStr">
        <is>
          <t>直接採取行動打破停滯，先處理最明顯的阻礙</t>
        </is>
      </c>
      <c r="I34" s="4" t="inlineStr">
        <is>
          <t>先看清風險、限制和手上有哪些選擇，再調整做法讓事情繼續</t>
        </is>
      </c>
      <c r="J34" s="4" t="n">
        <v>-1</v>
      </c>
      <c r="K34" s="4" t="n">
        <v>53</v>
      </c>
      <c r="L34" s="4" t="inlineStr">
        <is>
          <t>REPOINT</t>
        </is>
      </c>
      <c r="M34" s="4" t="inlineStr">
        <is>
          <t>COMPARATIVE CENTERED</t>
        </is>
      </c>
    </row>
    <row r="35">
      <c r="A35" s="4" t="inlineStr">
        <is>
          <t>L01</t>
        </is>
      </c>
      <c r="B35" s="4" t="inlineStr">
        <is>
          <t>LOCAL</t>
        </is>
      </c>
      <c r="C35" s="4" t="inlineStr">
        <is>
          <t>情緒場 holding ↔ 美感/氛圍介入</t>
        </is>
      </c>
      <c r="D35" s="4" t="inlineStr">
        <is>
          <t>Pleiadian ↔ Venusian</t>
        </is>
      </c>
      <c r="E35" s="4" t="inlineStr">
        <is>
          <t>Field holding vs aesthetic mediation</t>
        </is>
      </c>
      <c r="F35" s="4" t="inlineStr">
        <is>
          <t>D01,D03</t>
        </is>
      </c>
      <c r="G35" s="4" t="inlineStr">
        <is>
          <t>一個小群體的氣氛開始緊繃時，你比較自然會……</t>
        </is>
      </c>
      <c r="H35" s="4" t="inlineStr">
        <is>
          <t>先感受大家的情緒，讓人覺得有被理解和接住</t>
        </is>
      </c>
      <c r="I35" s="4" t="inlineStr">
        <is>
          <t>先調整空間、聲音、光線或節奏，讓整體氣氛舒服一點</t>
        </is>
      </c>
      <c r="J35" s="4" t="n">
        <v>1</v>
      </c>
      <c r="K35" s="4" t="n">
        <v>28</v>
      </c>
      <c r="L35" s="4" t="inlineStr">
        <is>
          <t>KEEP</t>
        </is>
      </c>
      <c r="M35" s="4" t="inlineStr">
        <is>
          <t>COMPARATIVE CENTERED</t>
        </is>
      </c>
    </row>
    <row r="36">
      <c r="A36" s="4" t="inlineStr">
        <is>
          <t>L02</t>
        </is>
      </c>
      <c r="B36" s="4" t="inlineStr">
        <is>
          <t>LOCAL</t>
        </is>
      </c>
      <c r="C36" s="4" t="inlineStr">
        <is>
          <t>廣域情緒場照護 ↔ 深度 dyadic trust/bond repair</t>
        </is>
      </c>
      <c r="D36" s="4" t="inlineStr">
        <is>
          <t>Pleiadian ↔ Hadarian</t>
        </is>
      </c>
      <c r="E36" s="4" t="inlineStr">
        <is>
          <t>Broad field vs deep bond</t>
        </is>
      </c>
      <c r="F36" s="4" t="inlineStr">
        <is>
          <t>D01,D02,D13</t>
        </is>
      </c>
      <c r="G36" s="4" t="inlineStr">
        <is>
          <t>在一個你關心的群體中，你的注意力比較自然落在哪裡？</t>
        </is>
      </c>
      <c r="H36" s="4" t="inlineStr">
        <is>
          <t>整體氣氛和大家的感受，以及怎樣讓不同的人都覺得被理解</t>
        </is>
      </c>
      <c r="I36" s="4" t="inlineStr">
        <is>
          <t>一對一的深度信任，以及怎樣讓重要的關係更牢靠</t>
        </is>
      </c>
      <c r="J36" s="4" t="n">
        <v>1</v>
      </c>
      <c r="K36" s="4" t="n">
        <v>38</v>
      </c>
      <c r="L36" s="4" t="inlineStr">
        <is>
          <t>KEEP</t>
        </is>
      </c>
      <c r="M36" s="4" t="inlineStr">
        <is>
          <t>COMPARATIVE CENTERED</t>
        </is>
      </c>
    </row>
    <row r="37">
      <c r="A37" s="4" t="inlineStr">
        <is>
          <t>L03</t>
        </is>
      </c>
      <c r="B37" s="4" t="inlineStr">
        <is>
          <t>LOCAL</t>
        </is>
      </c>
      <c r="C37" s="4" t="inlineStr">
        <is>
          <t>當下情緒場修復 ↔ lost-sanctuary / elsewhere-home restoration</t>
        </is>
      </c>
      <c r="D37" s="4" t="inlineStr">
        <is>
          <t>Pleiadian ↔ Mintakan</t>
        </is>
      </c>
      <c r="E37" s="4" t="inlineStr">
        <is>
          <t>Present field vs lost sanctuary</t>
        </is>
      </c>
      <c r="F37" s="4" t="inlineStr">
        <is>
          <t>D01,D22,M01</t>
        </is>
      </c>
      <c r="G37" s="4" t="inlineStr">
        <is>
          <t>一個讓你在意的環境開始變得混亂、不協調時，你比較想先……</t>
        </is>
      </c>
      <c r="H37" s="4" t="inlineStr">
        <is>
          <t>處理當下人與人之間的情緒和氣氛，讓大家重新能好好互動</t>
        </is>
      </c>
      <c r="I37" s="4" t="inlineStr">
        <is>
          <t>把環境整理回更簡單、清楚、安穩的狀態</t>
        </is>
      </c>
      <c r="J37" s="4" t="n">
        <v>-1</v>
      </c>
      <c r="K37" s="4" t="n">
        <v>44</v>
      </c>
      <c r="L37" s="4" t="inlineStr">
        <is>
          <t>KEEP</t>
        </is>
      </c>
      <c r="M37" s="4" t="inlineStr">
        <is>
          <t>COMPARATIVE CENTERED</t>
        </is>
      </c>
    </row>
    <row r="38">
      <c r="A38" s="4" t="inlineStr">
        <is>
          <t>L04</t>
        </is>
      </c>
      <c r="B38" s="4" t="inlineStr">
        <is>
          <t>LOCAL</t>
        </is>
      </c>
      <c r="C38" s="4" t="inlineStr">
        <is>
          <t>審美感官介入 ↔ 深度 devotion/trust repair</t>
        </is>
      </c>
      <c r="D38" s="4" t="inlineStr">
        <is>
          <t>Venusian ↔ Hadarian</t>
        </is>
      </c>
      <c r="E38" s="4" t="inlineStr">
        <is>
          <t>Aesthetic vs devotion</t>
        </is>
      </c>
      <c r="F38" s="4" t="inlineStr">
        <is>
          <t>D03,D02,D13</t>
        </is>
      </c>
      <c r="G38" s="4" t="inlineStr">
        <is>
          <t>和一個重要的人相處開始變得僵硬時，你比較傾向……</t>
        </is>
      </c>
      <c r="H38" s="4" t="inlineStr">
        <is>
          <t>先調整相處的空間和節奏，讓氣氛舒服一點</t>
        </is>
      </c>
      <c r="I38" s="4" t="inlineStr">
        <is>
          <t>花時間談彼此的信任和承諾，重新拉近關係</t>
        </is>
      </c>
      <c r="J38" s="4" t="n">
        <v>1</v>
      </c>
      <c r="K38" s="4" t="n">
        <v>42</v>
      </c>
      <c r="L38" s="4" t="inlineStr">
        <is>
          <t>KEEP</t>
        </is>
      </c>
      <c r="M38" s="4" t="inlineStr">
        <is>
          <t>COMPARATIVE CENTERED</t>
        </is>
      </c>
    </row>
    <row r="39">
      <c r="A39" s="4" t="inlineStr">
        <is>
          <t>L05</t>
        </is>
      </c>
      <c r="B39" s="4" t="inlineStr">
        <is>
          <t>LOCAL</t>
        </is>
      </c>
      <c r="C39" s="4" t="inlineStr">
        <is>
          <t>審美感官豐富度 ↔ pristine/simple sanctuary restoration</t>
        </is>
      </c>
      <c r="D39" s="4" t="inlineStr">
        <is>
          <t>Mintakan ↔ Venusian</t>
        </is>
      </c>
      <c r="E39" s="4" t="inlineStr">
        <is>
          <t>Aesthetic richness vs sanctuary</t>
        </is>
      </c>
      <c r="F39" s="4" t="inlineStr">
        <is>
          <t>D03,D22,M01</t>
        </is>
      </c>
      <c r="G39" s="4" t="inlineStr">
        <is>
          <t>當一個空間讓你覺得不太對勁時，你比較想怎麼調整？</t>
        </is>
      </c>
      <c r="H39" s="4" t="inlineStr">
        <is>
          <t>用顏色、材質和擺設增加層次，讓整體氣氛更豐富和諧</t>
        </is>
      </c>
      <c r="I39" s="4" t="inlineStr">
        <is>
          <t>減少刺激和雜亂，讓空間回到簡單、清楚又安定的感覺</t>
        </is>
      </c>
      <c r="J39" s="4" t="n">
        <v>-1</v>
      </c>
      <c r="K39" s="4" t="n">
        <v>2</v>
      </c>
      <c r="L39" s="4" t="inlineStr">
        <is>
          <t>KEEP</t>
        </is>
      </c>
      <c r="M39" s="4" t="inlineStr">
        <is>
          <t>COMPARATIVE CENTERED</t>
        </is>
      </c>
    </row>
    <row r="40">
      <c r="A40" s="4" t="inlineStr">
        <is>
          <t>L06</t>
        </is>
      </c>
      <c r="B40" s="4" t="inlineStr">
        <is>
          <t>LOCAL</t>
        </is>
      </c>
      <c r="C40" s="4" t="inlineStr">
        <is>
          <t>深度 dyadic devotion ↔ lost-sanctuary restoration</t>
        </is>
      </c>
      <c r="D40" s="4" t="inlineStr">
        <is>
          <t>Mintakan ↔ Hadarian</t>
        </is>
      </c>
      <c r="E40" s="4" t="inlineStr">
        <is>
          <t>Bond vs sanctuary</t>
        </is>
      </c>
      <c r="F40" s="4" t="inlineStr">
        <is>
          <t>D02,D22,M01</t>
        </is>
      </c>
      <c r="G40" s="4" t="inlineStr">
        <is>
          <t>當你長期覺得生活不太對勁時，什麼最能幫你找回方向？</t>
        </is>
      </c>
      <c r="H40" s="4" t="inlineStr">
        <is>
          <t>投入一段可信任的一對一關係，慢慢加深彼此的承諾和連結</t>
        </is>
      </c>
      <c r="I40" s="4" t="inlineStr">
        <is>
          <t>把生活重新整理得更清楚、簡單，讓自己真正安定下來</t>
        </is>
      </c>
      <c r="J40" s="4" t="n">
        <v>1</v>
      </c>
      <c r="K40" s="4" t="n">
        <v>4</v>
      </c>
      <c r="L40" s="4" t="inlineStr">
        <is>
          <t>KEEP</t>
        </is>
      </c>
      <c r="M40" s="4" t="inlineStr">
        <is>
          <t>COMPARATIVE CENTERED</t>
        </is>
      </c>
    </row>
    <row r="41">
      <c r="A41" s="4" t="inlineStr">
        <is>
          <t>L07</t>
        </is>
      </c>
      <c r="B41" s="4" t="inlineStr">
        <is>
          <t>LOCAL</t>
        </is>
      </c>
      <c r="C41" s="4" t="inlineStr">
        <is>
          <t>person/bond-centered ↔ aesthetic/sanctuary-centered</t>
        </is>
      </c>
      <c r="D41" s="4" t="inlineStr">
        <is>
          <t>Venusian ↔ Hadarian</t>
        </is>
      </c>
      <c r="E41" s="4" t="inlineStr">
        <is>
          <t>Heart error-correction</t>
        </is>
      </c>
      <c r="F41" s="4" t="inlineStr">
        <is>
          <t>D02,D03</t>
        </is>
      </c>
      <c r="G41" s="4" t="inlineStr">
        <is>
          <t>要讓一段相處重新有連結感，你比較相信關鍵在於……</t>
        </is>
      </c>
      <c r="H41" s="4" t="inlineStr">
        <is>
          <t>把注意力放回兩個人的信任，以及彼此是否真心投入</t>
        </is>
      </c>
      <c r="I41" s="4" t="inlineStr">
        <is>
          <t>先讓相處的空間、氣氛和節奏變得舒服協調</t>
        </is>
      </c>
      <c r="J41" s="4" t="n">
        <v>-1</v>
      </c>
      <c r="K41" s="4" t="n">
        <v>10</v>
      </c>
      <c r="L41" s="4" t="inlineStr">
        <is>
          <t>KEEP</t>
        </is>
      </c>
      <c r="M41" s="4" t="inlineStr">
        <is>
          <t>COMPARATIVE CENTERED</t>
        </is>
      </c>
    </row>
    <row r="42">
      <c r="A42" s="4" t="inlineStr">
        <is>
          <t>L08</t>
        </is>
      </c>
      <c r="B42" s="4" t="inlineStr">
        <is>
          <t>LOCAL</t>
        </is>
      </c>
      <c r="C42" s="4" t="inlineStr">
        <is>
          <t>改變/離開限制 frame 以獲得自由 ↔ 在開放空間中跨域創造/組合</t>
        </is>
      </c>
      <c r="D42" s="4" t="inlineStr">
        <is>
          <t>Andromedan ↔ Vegan</t>
        </is>
      </c>
      <c r="E42" s="4" t="inlineStr">
        <is>
          <t>Liberation vs creative synthesis</t>
        </is>
      </c>
      <c r="F42" s="4" t="inlineStr">
        <is>
          <t>D07,D03,D04,D21</t>
        </is>
      </c>
      <c r="G42" s="4" t="inlineStr">
        <is>
          <t>如果有兩個同樣吸引你的自由選擇，你比較容易被哪一種吸引？</t>
        </is>
      </c>
      <c r="H42" s="4" t="inlineStr">
        <is>
          <t>可以讓你改掉多餘限制、離開舊做法，重新自己作主</t>
        </is>
      </c>
      <c r="I42" s="4" t="inlineStr">
        <is>
          <t>可以讓你接觸很多不同領域和材料，再自由組合出新東西</t>
        </is>
      </c>
      <c r="J42" s="4" t="n">
        <v>-1</v>
      </c>
      <c r="K42" s="4" t="n">
        <v>76</v>
      </c>
      <c r="L42" s="4" t="inlineStr">
        <is>
          <t>REPOINT</t>
        </is>
      </c>
      <c r="M42" s="4" t="inlineStr">
        <is>
          <t>COMPARATIVE CENTERED</t>
        </is>
      </c>
    </row>
    <row r="43">
      <c r="A43" s="4" t="inlineStr">
        <is>
          <t>L09</t>
        </is>
      </c>
      <c r="B43" s="4" t="inlineStr">
        <is>
          <t>LOCAL</t>
        </is>
      </c>
      <c r="C43" s="4" t="inlineStr">
        <is>
          <t>coherence restoration/結構介入 ↔ 自主 creative-intellectual exploration</t>
        </is>
      </c>
      <c r="D43" s="4" t="inlineStr">
        <is>
          <t>Arcturian ↔ Vegan</t>
        </is>
      </c>
      <c r="E43" s="4" t="inlineStr">
        <is>
          <t>Restoration vs creative exploration</t>
        </is>
      </c>
      <c r="F43" s="4" t="inlineStr">
        <is>
          <t>D16,D18,D20,D09</t>
        </is>
      </c>
      <c r="G43" s="4" t="inlineStr">
        <is>
          <t>當你進入一個自由度很高、但做法還不太成形的計畫時，你最容易被哪種工作吸引？</t>
        </is>
      </c>
      <c r="H43" s="4" t="inlineStr">
        <is>
          <t>找出哪裡不順，重新整理做法，讓整體順起來</t>
        </is>
      </c>
      <c r="I43" s="4" t="inlineStr">
        <is>
          <t>利用還沒定型的空間，跨不同領域探索新的想法</t>
        </is>
      </c>
      <c r="J43" s="4" t="n">
        <v>-1</v>
      </c>
      <c r="K43" s="4" t="n">
        <v>79</v>
      </c>
      <c r="L43" s="4" t="inlineStr">
        <is>
          <t>REPOINT</t>
        </is>
      </c>
      <c r="M43" s="4" t="inlineStr">
        <is>
          <t>COMPARATIVE CENTERED</t>
        </is>
      </c>
    </row>
    <row r="44">
      <c r="A44" s="4" t="inlineStr">
        <is>
          <t>L10</t>
        </is>
      </c>
      <c r="B44" s="4" t="inlineStr">
        <is>
          <t>LOCAL</t>
        </is>
      </c>
      <c r="C44" s="4" t="inlineStr">
        <is>
          <t>可靠 practical implementation ↔ skeptical risk-depth / hidden-failure stewardship</t>
        </is>
      </c>
      <c r="D44" s="4" t="inlineStr">
        <is>
          <t>Alpha Centaurian ↔ Maldekian</t>
        </is>
      </c>
      <c r="E44" s="4" t="inlineStr">
        <is>
          <t>Implementation vs risk-depth</t>
        </is>
      </c>
      <c r="F44" s="4" t="inlineStr">
        <is>
          <t>D13,D15,D04,D05,D06</t>
        </is>
      </c>
      <c r="G44" s="4" t="inlineStr">
        <is>
          <t>一套流程已經穩定運作一段時間後，你比較自然把改進重點放在哪裡？</t>
        </is>
      </c>
      <c r="H44" s="4" t="inlineStr">
        <is>
          <t>把執行細節整理得更一致、更容易重複和維護</t>
        </is>
      </c>
      <c r="I44" s="4" t="inlineStr">
        <is>
          <t>繼續找有哪些前提可能不成立，以及哪些問題平時不容易看到</t>
        </is>
      </c>
      <c r="J44" s="4" t="n">
        <v>-1</v>
      </c>
      <c r="K44" s="4" t="n">
        <v>71</v>
      </c>
      <c r="L44" s="4" t="inlineStr">
        <is>
          <t>REPOINT</t>
        </is>
      </c>
      <c r="M44" s="4" t="inlineStr">
        <is>
          <t>COMPARATIVE CENTERED</t>
        </is>
      </c>
    </row>
    <row r="45">
      <c r="A45" s="4" t="inlineStr">
        <is>
          <t>L11</t>
        </is>
      </c>
      <c r="B45" s="4" t="inlineStr">
        <is>
          <t>LOCAL</t>
        </is>
      </c>
      <c r="C45" s="4" t="inlineStr">
        <is>
          <t>證據/真理 interrogation ↔ 高 scope translation/messenger</t>
        </is>
      </c>
      <c r="D45" s="4" t="inlineStr">
        <is>
          <t>Orion ↔ Avian / Blue Avian</t>
        </is>
      </c>
      <c r="E45" s="4" t="inlineStr">
        <is>
          <t>Truth-testing vs translation</t>
        </is>
      </c>
      <c r="F45" s="4" t="inlineStr">
        <is>
          <t>D04,D20,D12,D07</t>
        </is>
      </c>
      <c r="G45" s="4" t="inlineStr">
        <is>
          <t>當你遇到一個內容牽涉很多方面的新說法時，你比較自然會……</t>
        </is>
      </c>
      <c r="H45" s="4" t="inlineStr">
        <is>
          <t>追問理由、證據和矛盾的地方，看看它到底站不站得住</t>
        </is>
      </c>
      <c r="I45" s="4" t="inlineStr">
        <is>
          <t>先看整體，把各部分怎樣連起來整理清楚，再說給其他人聽</t>
        </is>
      </c>
      <c r="J45" s="4" t="n">
        <v>-1</v>
      </c>
      <c r="K45" s="4" t="n">
        <v>32</v>
      </c>
      <c r="L45" s="4" t="inlineStr">
        <is>
          <t>REPOINT</t>
        </is>
      </c>
      <c r="M45" s="4" t="inlineStr">
        <is>
          <t>COMPARATIVE CENTERED</t>
        </is>
      </c>
    </row>
    <row r="46">
      <c r="A46" s="4" t="inlineStr">
        <is>
          <t>L12</t>
        </is>
      </c>
      <c r="B46" s="4" t="inlineStr">
        <is>
          <t>LOCAL</t>
        </is>
      </c>
      <c r="C46" s="4" t="inlineStr">
        <is>
          <t>practical implementation ↔ civilization-scale institutional governance</t>
        </is>
      </c>
      <c r="D46" s="4" t="inlineStr">
        <is>
          <t>Alpha Centaurian ↔ Anunnaki / Nibiruan</t>
        </is>
      </c>
      <c r="E46" s="4" t="inlineStr">
        <is>
          <t>Implementation vs macro governance</t>
        </is>
      </c>
      <c r="F46" s="4" t="inlineStr">
        <is>
          <t>D07,D10,D18,D05</t>
        </is>
      </c>
      <c r="G46" s="4" t="inlineStr">
        <is>
          <t>一個跨很多單位的方案已經定出大方向時，你比較想負責……</t>
        </is>
      </c>
      <c r="H46" s="4" t="inlineStr">
        <is>
          <t>把方案變成現場能照著做的流程和工具</t>
        </is>
      </c>
      <c r="I46" s="4" t="inlineStr">
        <is>
          <t>安排不同單位怎樣分工、資源怎樣分、誰負責什麼</t>
        </is>
      </c>
      <c r="J46" s="4" t="n">
        <v>1</v>
      </c>
      <c r="K46" s="4" t="n">
        <v>66</v>
      </c>
      <c r="L46" s="4" t="inlineStr">
        <is>
          <t>REPOINT</t>
        </is>
      </c>
      <c r="M46" s="4" t="inlineStr">
        <is>
          <t>COMPARATIVE CENTERED</t>
        </is>
      </c>
    </row>
    <row r="47">
      <c r="A47" s="4" t="inlineStr">
        <is>
          <t>L13</t>
        </is>
      </c>
      <c r="B47" s="4" t="inlineStr">
        <is>
          <t>LOCAL</t>
        </is>
      </c>
      <c r="C47" s="4" t="inlineStr">
        <is>
          <t>stable orientation/reference ↔ mechanistic implementation</t>
        </is>
      </c>
      <c r="D47" s="4" t="inlineStr">
        <is>
          <t>Polarian ↔ Alpha Centaurian</t>
        </is>
      </c>
      <c r="E47" s="4" t="inlineStr">
        <is>
          <t>Reference vs implementation</t>
        </is>
      </c>
      <c r="F47" s="4" t="inlineStr">
        <is>
          <t>D05,D15,D20,D18</t>
        </is>
      </c>
      <c r="G47" s="4" t="inlineStr">
        <is>
          <t>要把一個新的固定活動建立起來時，你比較自然會……</t>
        </is>
      </c>
      <c r="H47" s="4" t="inlineStr">
        <is>
          <t>先定下清楚的方向和節奏，讓參與的人一直知道可以跟著什麼走</t>
        </is>
      </c>
      <c r="I47" s="4" t="inlineStr">
        <is>
          <t>把步驟、工具和交接方法設計清楚，讓每次都容易照著做</t>
        </is>
      </c>
      <c r="J47" s="4" t="n">
        <v>1</v>
      </c>
      <c r="K47" s="4" t="n">
        <v>72</v>
      </c>
      <c r="L47" s="4" t="inlineStr">
        <is>
          <t>REPOINT</t>
        </is>
      </c>
      <c r="M47" s="4" t="inlineStr">
        <is>
          <t>COMPARATIVE CENTERED</t>
        </is>
      </c>
    </row>
    <row r="48">
      <c r="A48" s="4" t="inlineStr">
        <is>
          <t>L14</t>
        </is>
      </c>
      <c r="B48" s="4" t="inlineStr">
        <is>
          <t>LOCAL</t>
        </is>
      </c>
      <c r="C48" s="4" t="inlineStr">
        <is>
          <t>practical implementation ↔ centralized command/order</t>
        </is>
      </c>
      <c r="D48" s="4" t="inlineStr">
        <is>
          <t>Alpha Centaurian ↔ Draconian</t>
        </is>
      </c>
      <c r="E48" s="4" t="inlineStr">
        <is>
          <t>Implementation vs command</t>
        </is>
      </c>
      <c r="F48" s="4" t="inlineStr">
        <is>
          <t>D10,D17,D18,D11</t>
        </is>
      </c>
      <c r="G48" s="4" t="inlineStr">
        <is>
          <t>當很多人要把一個想法真正做出來時，你比較想負責哪一部分？</t>
        </is>
      </c>
      <c r="H48" s="4" t="inlineStr">
        <is>
          <t>把流程、工具和步驟整理清楚，讓大家容易照著做</t>
        </is>
      </c>
      <c r="I48" s="4" t="inlineStr">
        <is>
          <t>把誰負責什麼、誰最後做決定安排清楚</t>
        </is>
      </c>
      <c r="J48" s="4" t="n">
        <v>1</v>
      </c>
      <c r="K48" s="4" t="n">
        <v>18</v>
      </c>
      <c r="L48" s="4" t="inlineStr">
        <is>
          <t>REBUILD</t>
        </is>
      </c>
      <c r="M48" s="4" t="inlineStr">
        <is>
          <t>COMPARATIVE CENTERED</t>
        </is>
      </c>
    </row>
    <row r="49">
      <c r="A49" s="4" t="inlineStr">
        <is>
          <t>L15</t>
        </is>
      </c>
      <c r="B49" s="4" t="inlineStr">
        <is>
          <t>LOCAL</t>
        </is>
      </c>
      <c r="C49" s="4" t="inlineStr">
        <is>
          <t>skeptical verification/risk-depth ↔ macro governance/institution architecture</t>
        </is>
      </c>
      <c r="D49" s="4" t="inlineStr">
        <is>
          <t>Maldekian ↔ Anunnaki / Nibiruan</t>
        </is>
      </c>
      <c r="E49" s="4" t="inlineStr">
        <is>
          <t>Verification/guardedness vs institutions</t>
        </is>
      </c>
      <c r="F49" s="4" t="inlineStr">
        <is>
          <t>D04,D07,D10,D13</t>
        </is>
      </c>
      <c r="G49" s="4" t="inlineStr">
        <is>
          <t>面對一個影響很多人的改革想法時，你比較自然先追哪一類問題？</t>
        </is>
      </c>
      <c r="H49" s="4" t="inlineStr">
        <is>
          <t>先找哪些假設可能不成立，以及什麼情況下可能出問題</t>
        </is>
      </c>
      <c r="I49" s="4" t="inlineStr">
        <is>
          <t>先想清楚不同單位怎樣分工、資源怎樣分、誰負責什麼</t>
        </is>
      </c>
      <c r="J49" s="4" t="n">
        <v>1</v>
      </c>
      <c r="K49" s="4" t="n">
        <v>50</v>
      </c>
      <c r="L49" s="4" t="inlineStr">
        <is>
          <t>REPOINT</t>
        </is>
      </c>
      <c r="M49" s="4" t="inlineStr">
        <is>
          <t>COMPARATIVE CENTERED</t>
        </is>
      </c>
    </row>
    <row r="50">
      <c r="A50" s="4" t="inlineStr">
        <is>
          <t>L16</t>
        </is>
      </c>
      <c r="B50" s="4" t="inlineStr">
        <is>
          <t>LOCAL</t>
        </is>
      </c>
      <c r="C50" s="4" t="inlineStr">
        <is>
          <t>outward founder/build ↔ contained access guardian</t>
        </is>
      </c>
      <c r="D50" s="4" t="inlineStr">
        <is>
          <t>Lyran ↔ Feline / Urmah</t>
        </is>
      </c>
      <c r="E50" s="4" t="inlineStr">
        <is>
          <t>Founder vs contained guardian</t>
        </is>
      </c>
      <c r="F50" s="4" t="inlineStr">
        <is>
          <t>D18,D11,D17,D13</t>
        </is>
      </c>
      <c r="G50" s="4" t="inlineStr">
        <is>
          <t>當一個新群體還沒有形成自己的做法時，你比較自然會做哪一種事？</t>
        </is>
      </c>
      <c r="H50" s="4" t="inlineStr">
        <is>
          <t>走到前面定出方向，開始建立新的做法和成果</t>
        </is>
      </c>
      <c r="I50" s="4" t="inlineStr">
        <is>
          <t>先看誰適合加入、界線要怎樣守住，真的需要時才出手</t>
        </is>
      </c>
      <c r="J50" s="4" t="n">
        <v>-1</v>
      </c>
      <c r="K50" s="4" t="n">
        <v>36</v>
      </c>
      <c r="L50" s="4" t="inlineStr">
        <is>
          <t>KEEP</t>
        </is>
      </c>
      <c r="M50" s="4" t="inlineStr">
        <is>
          <t>COMPARATIVE CENTERED</t>
        </is>
      </c>
    </row>
    <row r="51">
      <c r="A51" s="4" t="inlineStr">
        <is>
          <t>L17</t>
        </is>
      </c>
      <c r="B51" s="4" t="inlineStr">
        <is>
          <t>LOCAL</t>
        </is>
      </c>
      <c r="C51" s="4" t="inlineStr">
        <is>
          <t>立即啟動/破局 ↔ 先掃描威脅並適應</t>
        </is>
      </c>
      <c r="D51" s="4" t="inlineStr">
        <is>
          <t>Martian ↔ Reptilian</t>
        </is>
      </c>
      <c r="E51" s="4" t="inlineStr">
        <is>
          <t>Activation vs threat scan</t>
        </is>
      </c>
      <c r="F51" s="4" t="inlineStr">
        <is>
          <t>D11,D13,D12</t>
        </is>
      </c>
      <c r="G51" s="4" t="inlineStr">
        <is>
          <t>當一個明確的阻礙擋住正在進行的事情時，你比較自然怎麼處理？</t>
        </is>
      </c>
      <c r="H51" s="4" t="inlineStr">
        <is>
          <t>立刻正面處理阻礙，快速做第一步把事情推動起來</t>
        </is>
      </c>
      <c r="I51" s="4" t="inlineStr">
        <is>
          <t>先看清風險、限制和手上有什麼，再決定怎樣繞過問題或減少影響</t>
        </is>
      </c>
      <c r="J51" s="4" t="n">
        <v>1</v>
      </c>
      <c r="K51" s="4" t="n">
        <v>77</v>
      </c>
      <c r="L51" s="4" t="inlineStr">
        <is>
          <t>REPOINT</t>
        </is>
      </c>
      <c r="M51" s="4" t="inlineStr">
        <is>
          <t>COMPARATIVE CENTERED</t>
        </is>
      </c>
    </row>
    <row r="52">
      <c r="A52" s="4" t="inlineStr">
        <is>
          <t>L18</t>
        </is>
      </c>
      <c r="B52" s="4" t="inlineStr">
        <is>
          <t>LOCAL</t>
        </is>
      </c>
      <c r="C52" s="4" t="inlineStr">
        <is>
          <t>contained guard/observe ↔ immediate outward action</t>
        </is>
      </c>
      <c r="D52" s="4" t="inlineStr">
        <is>
          <t>Feline / Urmah ↔ Martian</t>
        </is>
      </c>
      <c r="E52" s="4" t="inlineStr">
        <is>
          <t>Guard vs activation</t>
        </is>
      </c>
      <c r="F52" s="4" t="inlineStr">
        <is>
          <t>D11,D13</t>
        </is>
      </c>
      <c r="G52" s="4" t="inlineStr">
        <is>
          <t>當有人反覆做了超出原本約定範圍的事，但情況仍然可控時，你比較自然會……</t>
        </is>
      </c>
      <c r="H52" s="4" t="inlineStr">
        <is>
          <t>先守住原本的界線，繼續觀察是不是真的需要更多行動</t>
        </is>
      </c>
      <c r="I52" s="4" t="inlineStr">
        <is>
          <t>立即把問題提出來，直接處理，讓合作回到正軌</t>
        </is>
      </c>
      <c r="J52" s="4" t="n">
        <v>1</v>
      </c>
      <c r="K52" s="4" t="n">
        <v>52</v>
      </c>
      <c r="L52" s="4" t="inlineStr">
        <is>
          <t>KEEP</t>
        </is>
      </c>
      <c r="M52" s="4" t="inlineStr">
        <is>
          <t>COMPARATIVE CENTERED</t>
        </is>
      </c>
    </row>
    <row r="53">
      <c r="A53" s="4" t="inlineStr">
        <is>
          <t>L19</t>
        </is>
      </c>
      <c r="B53" s="4" t="inlineStr">
        <is>
          <t>LOCAL</t>
        </is>
      </c>
      <c r="C53" s="4" t="inlineStr">
        <is>
          <t>建立新路徑/方向 ↔ polymath exploration/跨域組合</t>
        </is>
      </c>
      <c r="D53" s="4" t="inlineStr">
        <is>
          <t>Lyran ↔ Vegan</t>
        </is>
      </c>
      <c r="E53" s="4" t="inlineStr">
        <is>
          <t>Founder-building vs creative mobility</t>
        </is>
      </c>
      <c r="F53" s="4" t="inlineStr">
        <is>
          <t>D18,D20,D19,D17</t>
        </is>
      </c>
      <c r="G53" s="4" t="inlineStr">
        <is>
          <t>當你得到一段完全自由支配的創作時間，你更想……</t>
        </is>
      </c>
      <c r="H53" s="4" t="inlineStr">
        <is>
          <t>先立下一個方向，做出一個之後可以繼續發展的起點</t>
        </is>
      </c>
      <c r="I53" s="4" t="inlineStr">
        <is>
          <t>自由組合不同領域的想法，看看能發展出什麼新東西</t>
        </is>
      </c>
      <c r="J53" s="4" t="n">
        <v>-1</v>
      </c>
      <c r="K53" s="4" t="n">
        <v>8</v>
      </c>
      <c r="L53" s="4" t="inlineStr">
        <is>
          <t>REPOINT</t>
        </is>
      </c>
      <c r="M53" s="4" t="inlineStr">
        <is>
          <t>COMPARATIVE CENTERED</t>
        </is>
      </c>
    </row>
    <row r="54">
      <c r="A54" s="4" t="inlineStr">
        <is>
          <t>L20</t>
        </is>
      </c>
      <c r="B54" s="4" t="inlineStr">
        <is>
          <t>LOCAL</t>
        </is>
      </c>
      <c r="C54" s="4" t="inlineStr">
        <is>
          <t>self-authored boundary/direction ↔ situation-driven tactical response</t>
        </is>
      </c>
      <c r="D54" s="4" t="inlineStr">
        <is>
          <t>Feline / Urmah ↔ Reptilian</t>
        </is>
      </c>
      <c r="E54" s="4" t="inlineStr">
        <is>
          <t>Sovereign boundary vs survival adaptation</t>
        </is>
      </c>
      <c r="F54" s="4" t="inlineStr">
        <is>
          <t>D09,D13,D06,D11</t>
        </is>
      </c>
      <c r="G54" s="4" t="inlineStr">
        <is>
          <t>當外在條件改變，讓你重新決定自己要不要繼續參與時，你比較傾向……</t>
        </is>
      </c>
      <c r="H54" s="4" t="inlineStr">
        <is>
          <t>按自己原本的方向和界線決定留不留下</t>
        </is>
      </c>
      <c r="I54" s="4" t="inlineStr">
        <is>
          <t>按目前的風險、資源和現實情況調整做法，必要時改變原本方向</t>
        </is>
      </c>
      <c r="J54" s="4" t="n">
        <v>-1</v>
      </c>
      <c r="K54" s="4" t="n">
        <v>78</v>
      </c>
      <c r="L54" s="4" t="inlineStr">
        <is>
          <t>REBUILD</t>
        </is>
      </c>
      <c r="M54" s="4" t="inlineStr">
        <is>
          <t>COMPARATIVE CENTERED</t>
        </is>
      </c>
    </row>
    <row r="55">
      <c r="A55" s="4" t="inlineStr">
        <is>
          <t>L21</t>
        </is>
      </c>
      <c r="B55" s="4" t="inlineStr">
        <is>
          <t>LOCAL</t>
        </is>
      </c>
      <c r="C55" s="4" t="inlineStr">
        <is>
          <t>hierarchy/order ↔ adaptive survival</t>
        </is>
      </c>
      <c r="D55" s="4" t="inlineStr">
        <is>
          <t>Draconian ↔ Reptilian</t>
        </is>
      </c>
      <c r="E55" s="4" t="inlineStr">
        <is>
          <t>Command vs survival</t>
        </is>
      </c>
      <c r="F55" s="4" t="inlineStr">
        <is>
          <t>D10,D09,D06,D15</t>
        </is>
      </c>
      <c r="G55" s="4" t="inlineStr">
        <is>
          <t>當很多人一起做事，而情況一再改變時，你比較傾向靠哪種方式維持下去？</t>
        </is>
      </c>
      <c r="H55" s="4" t="inlineStr">
        <is>
          <t>把誰負責什麼、誰做最後決定說清楚，讓大家按同一套方式做事</t>
        </is>
      </c>
      <c r="I55" s="4" t="inlineStr">
        <is>
          <t>按當下情況調整策略和角色，先確保事情可以繼續進行</t>
        </is>
      </c>
      <c r="J55" s="4" t="n">
        <v>1</v>
      </c>
      <c r="K55" s="4" t="n">
        <v>22</v>
      </c>
      <c r="L55" s="4" t="inlineStr">
        <is>
          <t>KEEP</t>
        </is>
      </c>
      <c r="M55" s="4" t="inlineStr">
        <is>
          <t>COMPARATIVE CENTERED</t>
        </is>
      </c>
    </row>
    <row r="56">
      <c r="A56" s="4" t="inlineStr">
        <is>
          <t>L22</t>
        </is>
      </c>
      <c r="B56" s="4" t="inlineStr">
        <is>
          <t>LOCAL</t>
        </is>
      </c>
      <c r="C56" s="4" t="inlineStr">
        <is>
          <t>authority/order ↔ service/timing guardianship</t>
        </is>
      </c>
      <c r="D56" s="4" t="inlineStr">
        <is>
          <t>Draconian ↔ Antarian</t>
        </is>
      </c>
      <c r="E56" s="4" t="inlineStr">
        <is>
          <t>Command vs strategic service</t>
        </is>
      </c>
      <c r="F56" s="4" t="inlineStr">
        <is>
          <t>D10,D11,D13,D15</t>
        </is>
      </c>
      <c r="G56" s="4" t="inlineStr">
        <is>
          <t>面對一件需要被保護、而且有很多人參與的事情時，你比較傾向……</t>
        </is>
      </c>
      <c r="H56" s="4" t="inlineStr">
        <is>
          <t>先說清楚誰負責、誰最後決定，大家按分工行動</t>
        </is>
      </c>
      <c r="I56" s="4" t="inlineStr">
        <is>
          <t>先觀察情況，在真正需要時才出手幫忙</t>
        </is>
      </c>
      <c r="J56" s="4" t="n">
        <v>-1</v>
      </c>
      <c r="K56" s="4" t="n">
        <v>73</v>
      </c>
      <c r="L56" s="4" t="inlineStr">
        <is>
          <t>KEEP</t>
        </is>
      </c>
      <c r="M56" s="4" t="inlineStr">
        <is>
          <t>COMPARATIVE CENTERED</t>
        </is>
      </c>
    </row>
    <row r="57">
      <c r="A57" s="4" t="inlineStr">
        <is>
          <t>L23</t>
        </is>
      </c>
      <c r="B57" s="4" t="inlineStr">
        <is>
          <t>LOCAL</t>
        </is>
      </c>
      <c r="C57" s="4" t="inlineStr">
        <is>
          <t>contained boundary guarding ↔ strategic timed intervention</t>
        </is>
      </c>
      <c r="D57" s="4" t="inlineStr">
        <is>
          <t>Feline / Urmah ↔ Antarian</t>
        </is>
      </c>
      <c r="E57" s="4" t="inlineStr">
        <is>
          <t>Static/access guard vs timed guardian</t>
        </is>
      </c>
      <c r="F57" s="4" t="inlineStr">
        <is>
          <t>D09,D07,D05,D15</t>
        </is>
      </c>
      <c r="G57" s="4" t="inlineStr">
        <is>
          <t>一個新的合作邀請，需要你決定自己要投入到什麼程度時，你比較傾向……</t>
        </is>
      </c>
      <c r="H57" s="4" t="inlineStr">
        <is>
          <t>按自己的界線先決定哪些部分可以開放、哪些要保留</t>
        </is>
      </c>
      <c r="I57" s="4" t="inlineStr">
        <is>
          <t>先看情況和真正需要，再在最有幫助的時候投入</t>
        </is>
      </c>
      <c r="J57" s="4" t="n">
        <v>-1</v>
      </c>
      <c r="K57" s="4" t="n">
        <v>70</v>
      </c>
      <c r="L57" s="4" t="inlineStr">
        <is>
          <t>REPOINT</t>
        </is>
      </c>
      <c r="M57" s="4" t="inlineStr">
        <is>
          <t>COMPARATIVE CENTERED</t>
        </is>
      </c>
    </row>
    <row r="58">
      <c r="A58" s="4" t="inlineStr">
        <is>
          <t>L24</t>
        </is>
      </c>
      <c r="B58" s="4" t="inlineStr">
        <is>
          <t>LOCAL</t>
        </is>
      </c>
      <c r="C58" s="4" t="inlineStr">
        <is>
          <t>operational command ↔ civilization-scale institutions</t>
        </is>
      </c>
      <c r="D58" s="4" t="inlineStr">
        <is>
          <t>Draconian ↔ Anunnaki / Nibiruan</t>
        </is>
      </c>
      <c r="E58" s="4" t="inlineStr">
        <is>
          <t>Command scale vs institution scale</t>
        </is>
      </c>
      <c r="F58" s="4" t="inlineStr">
        <is>
          <t>D17,D18,D07,D05</t>
        </is>
      </c>
      <c r="G58" s="4" t="inlineStr">
        <is>
          <t>一個大型計畫同時有很多小組在做時，你比較傾向怎麼安排？</t>
        </is>
      </c>
      <c r="H58" s="4" t="inlineStr">
        <is>
          <t>讓每個小組都清楚誰負責、誰最後拍板，決定可以直接變成行動</t>
        </is>
      </c>
      <c r="I58" s="4" t="inlineStr">
        <is>
          <t>先定好整體規則、資源怎樣分，以及各小組要負責什麼</t>
        </is>
      </c>
      <c r="J58" s="4" t="n">
        <v>-1</v>
      </c>
      <c r="K58" s="4" t="n">
        <v>40</v>
      </c>
      <c r="L58" s="4" t="inlineStr">
        <is>
          <t>KEEP</t>
        </is>
      </c>
      <c r="M58" s="4" t="inlineStr">
        <is>
          <t>COMPARATIVE CENTERED</t>
        </is>
      </c>
    </row>
    <row r="59">
      <c r="A59" s="4" t="inlineStr">
        <is>
          <t>L25</t>
        </is>
      </c>
      <c r="B59" s="4" t="inlineStr">
        <is>
          <t>LOCAL</t>
        </is>
      </c>
      <c r="C59" s="4" t="inlineStr">
        <is>
          <t>contained sovereignty/access guard ↔ survival adaptation/threat response</t>
        </is>
      </c>
      <c r="D59" s="4" t="inlineStr">
        <is>
          <t>Feline / Urmah ↔ Reptilian</t>
        </is>
      </c>
      <c r="E59" s="4" t="inlineStr">
        <is>
          <t>Boundary guard vs survival adaptation</t>
        </is>
      </c>
      <c r="F59" s="4" t="inlineStr">
        <is>
          <t>D06,D11,D15,D09</t>
        </is>
      </c>
      <c r="G59" s="4" t="inlineStr">
        <is>
          <t>當別人想加入你已經在做的事情時，你比較自然怎麼決定要開放到什麼程度？</t>
        </is>
      </c>
      <c r="H59" s="4" t="inlineStr">
        <is>
          <t>按自己原本設定的界線和方向決定，必要時仍然不開放</t>
        </is>
      </c>
      <c r="I59" s="4" t="inlineStr">
        <is>
          <t>按當下的風險、資源和現實情況調整，必要時改變原本做法</t>
        </is>
      </c>
      <c r="J59" s="4" t="n">
        <v>1</v>
      </c>
      <c r="K59" s="4" t="n">
        <v>46</v>
      </c>
      <c r="L59" s="4" t="inlineStr">
        <is>
          <t>REPOINT</t>
        </is>
      </c>
      <c r="M59" s="4" t="inlineStr">
        <is>
          <t>COMPARATIVE CENTERED</t>
        </is>
      </c>
    </row>
    <row r="60">
      <c r="A60" s="4" t="inlineStr">
        <is>
          <t>L26</t>
        </is>
      </c>
      <c r="B60" s="4" t="inlineStr">
        <is>
          <t>LOCAL</t>
        </is>
      </c>
      <c r="C60" s="4" t="inlineStr">
        <is>
          <t>holding boundary/access ↔ timed service-oriented intervention</t>
        </is>
      </c>
      <c r="D60" s="4" t="inlineStr">
        <is>
          <t>Feline / Urmah ↔ Antarian</t>
        </is>
      </c>
      <c r="E60" s="4" t="inlineStr">
        <is>
          <t>Containment vs strategic intervention</t>
        </is>
      </c>
      <c r="F60" s="4" t="inlineStr">
        <is>
          <t>D09,D07,D05,D15</t>
        </is>
      </c>
      <c r="G60" s="4" t="inlineStr">
        <is>
          <t>如果你想長期守住一個共同活動的品質，你比較自然會……</t>
        </is>
      </c>
      <c r="H60" s="4" t="inlineStr">
        <is>
          <t>維持清楚的使用規則和界線，沒有必要就不多管</t>
        </is>
      </c>
      <c r="I60" s="4" t="inlineStr">
        <is>
          <t>在真正有需要的時候，做有限而準確的調整</t>
        </is>
      </c>
      <c r="J60" s="4" t="n">
        <v>1</v>
      </c>
      <c r="K60" s="4" t="n">
        <v>64</v>
      </c>
      <c r="L60" s="4" t="inlineStr">
        <is>
          <t>REPOINT</t>
        </is>
      </c>
      <c r="M60" s="4" t="inlineStr">
        <is>
          <t>COMPARATIVE CENTERED</t>
        </is>
      </c>
    </row>
    <row r="61">
      <c r="A61" s="4" t="inlineStr">
        <is>
          <t>L27</t>
        </is>
      </c>
      <c r="B61" s="4" t="inlineStr">
        <is>
          <t>LOCAL</t>
        </is>
      </c>
      <c r="C61" s="4" t="inlineStr">
        <is>
          <t>system authority/order ↔ adaptive/timed protection</t>
        </is>
      </c>
      <c r="D61" s="4" t="inlineStr">
        <is>
          <t>Draconian ↔ Reptilian</t>
        </is>
      </c>
      <c r="E61" s="4" t="inlineStr">
        <is>
          <t>Authority cluster vs protective adaptation</t>
        </is>
      </c>
      <c r="F61" s="4" t="inlineStr">
        <is>
          <t>D10,D17,D13,D15</t>
        </is>
      </c>
      <c r="G61" s="4" t="inlineStr">
        <is>
          <t>當你要長期保護一個大家共同使用的安排時，你比較偏好哪種做法？</t>
        </is>
      </c>
      <c r="H61" s="4" t="inlineStr">
        <is>
          <t>先把誰負責、誰最後決定說清楚，再按固定分工處理</t>
        </is>
      </c>
      <c r="I61" s="4" t="inlineStr">
        <is>
          <t>看當下風險再調整誰出手、要怎樣保護</t>
        </is>
      </c>
      <c r="J61" s="4" t="n">
        <v>-1</v>
      </c>
      <c r="K61" s="4" t="n">
        <v>56</v>
      </c>
      <c r="L61" s="4" t="inlineStr">
        <is>
          <t>KEEP</t>
        </is>
      </c>
      <c r="M61" s="4" t="inlineStr">
        <is>
          <t>COMPARATIVE CENTERED</t>
        </is>
      </c>
    </row>
    <row r="62">
      <c r="A62" s="4" t="inlineStr">
        <is>
          <t>L28</t>
        </is>
      </c>
      <c r="B62" s="4" t="inlineStr">
        <is>
          <t>LOCAL</t>
        </is>
      </c>
      <c r="C62" s="4" t="inlineStr">
        <is>
          <t>stable reference/orientation ↔ active mediation</t>
        </is>
      </c>
      <c r="D62" s="4" t="inlineStr">
        <is>
          <t>Polarian ↔ Tau Cetian</t>
        </is>
      </c>
      <c r="E62" s="4" t="inlineStr">
        <is>
          <t>Reference vs mediation</t>
        </is>
      </c>
      <c r="F62" s="4" t="inlineStr">
        <is>
          <t>D21,D20,D14,D06</t>
        </is>
      </c>
      <c r="G62" s="4" t="inlineStr">
        <is>
          <t>當幾個人對下一步各有想法、但還沒有明顯衝突時，你比較自然會……</t>
        </is>
      </c>
      <c r="H62" s="4" t="inlineStr">
        <is>
          <t>維持一套穩定方向和原則，讓大家有共同依據</t>
        </is>
      </c>
      <c r="I62" s="4" t="inlineStr">
        <is>
          <t>整理大家真正需要什麼，幫大家找出都能接受的做法</t>
        </is>
      </c>
      <c r="J62" s="4" t="n">
        <v>1</v>
      </c>
      <c r="K62" s="4" t="n">
        <v>24</v>
      </c>
      <c r="L62" s="4" t="inlineStr">
        <is>
          <t>KEEP</t>
        </is>
      </c>
      <c r="M62" s="4" t="inlineStr">
        <is>
          <t>COMPARATIVE CENTERED</t>
        </is>
      </c>
    </row>
    <row r="63">
      <c r="A63" s="4" t="inlineStr">
        <is>
          <t>L29</t>
        </is>
      </c>
      <c r="B63" s="4" t="inlineStr">
        <is>
          <t>LOCAL</t>
        </is>
      </c>
      <c r="C63" s="4" t="inlineStr">
        <is>
          <t>遇到限制時改變 frame/離開 ↔ 保持自由並跨域創造/探索</t>
        </is>
      </c>
      <c r="D63" s="4" t="inlineStr">
        <is>
          <t>Andromedan ↔ Vegan</t>
        </is>
      </c>
      <c r="E63" s="4" t="inlineStr">
        <is>
          <t>Frame-change vs polymath exploration</t>
        </is>
      </c>
      <c r="F63" s="4" t="inlineStr">
        <is>
          <t>D07,D04,D03,D21</t>
        </is>
      </c>
      <c r="G63" s="4" t="inlineStr">
        <is>
          <t>規劃接下來一段時間時，如果目前環境的限制越來越多，你比較傾向……</t>
        </is>
      </c>
      <c r="H63" s="4" t="inlineStr">
        <is>
          <t>重談規則、改變做法，或換到更自由的位置</t>
        </is>
      </c>
      <c r="I63" s="4" t="inlineStr">
        <is>
          <t>把時間放在不同領域和新的組合上，保持探索和創作</t>
        </is>
      </c>
      <c r="J63" s="4" t="n">
        <v>-1</v>
      </c>
      <c r="K63" s="4" t="n">
        <v>60</v>
      </c>
      <c r="L63" s="4" t="inlineStr">
        <is>
          <t>REPOINT</t>
        </is>
      </c>
      <c r="M63" s="4" t="inlineStr">
        <is>
          <t>COMPARATIVE CENTERED</t>
        </is>
      </c>
    </row>
    <row r="64">
      <c r="A64" s="4" t="inlineStr">
        <is>
          <t>L30</t>
        </is>
      </c>
      <c r="B64" s="4" t="inlineStr">
        <is>
          <t>LOCAL</t>
        </is>
      </c>
      <c r="C64" s="4" t="inlineStr">
        <is>
          <t>content/integrity stewardship ↔ stable orientation</t>
        </is>
      </c>
      <c r="D64" s="4" t="inlineStr">
        <is>
          <t>Sirian ↔ Polarian</t>
        </is>
      </c>
      <c r="E64" s="4" t="inlineStr">
        <is>
          <t>Stewardship vs reference</t>
        </is>
      </c>
      <c r="F64" s="4" t="inlineStr">
        <is>
          <t>D08,D06,D13,D19</t>
        </is>
      </c>
      <c r="G64" s="4" t="inlineStr">
        <is>
          <t>一套重要做法需要長期延續時，你比較在意……</t>
        </is>
      </c>
      <c r="H64" s="4" t="inlineStr">
        <is>
          <t>核心內容和標準有沒有完整保留下來，並正確傳給下一個人</t>
        </is>
      </c>
      <c r="I64" s="4" t="inlineStr">
        <is>
          <t>整體方向和節奏有沒有保持穩定，讓大家一直知道可以依循什麼</t>
        </is>
      </c>
      <c r="J64" s="4" t="n">
        <v>-1</v>
      </c>
      <c r="K64" s="4" t="n">
        <v>68</v>
      </c>
      <c r="L64" s="4" t="inlineStr">
        <is>
          <t>KEEP</t>
        </is>
      </c>
      <c r="M64" s="4" t="inlineStr">
        <is>
          <t>COMPARATIVE CENTERED</t>
        </is>
      </c>
    </row>
    <row r="65">
      <c r="A65" s="4" t="inlineStr">
        <is>
          <t>L31</t>
        </is>
      </c>
      <c r="B65" s="4" t="inlineStr">
        <is>
          <t>LOCAL</t>
        </is>
      </c>
      <c r="C65" s="4" t="inlineStr">
        <is>
          <t>high-scope translation ↔ participatory mediation</t>
        </is>
      </c>
      <c r="D65" s="4" t="inlineStr">
        <is>
          <t>Avian / Blue Avian ↔ Tau Cetian</t>
        </is>
      </c>
      <c r="E65" s="4" t="inlineStr">
        <is>
          <t>Translation vs mediation</t>
        </is>
      </c>
      <c r="F65" s="4" t="inlineStr">
        <is>
          <t>D14,D20,D19,D07</t>
        </is>
      </c>
      <c r="G65" s="4" t="inlineStr">
        <is>
          <t>面對一個複雜議題，需要讓多方都能繼續往下走時，你比較傾向……</t>
        </is>
      </c>
      <c r="H65" s="4" t="inlineStr">
        <is>
          <t>先把整體情況說清楚，讓每一方知道彼此怎樣連在一起</t>
        </is>
      </c>
      <c r="I65" s="4" t="inlineStr">
        <is>
          <t>讓各方直接說出需要和限制，一起找下一步</t>
        </is>
      </c>
      <c r="J65" s="4" t="n">
        <v>1</v>
      </c>
      <c r="K65" s="4" t="n">
        <v>58</v>
      </c>
      <c r="L65" s="4" t="inlineStr">
        <is>
          <t>REPOINT</t>
        </is>
      </c>
      <c r="M65" s="4" t="inlineStr">
        <is>
          <t>COMPARATIVE CENTERED</t>
        </is>
      </c>
    </row>
    <row r="66">
      <c r="A66" s="4" t="inlineStr">
        <is>
          <t>L32</t>
        </is>
      </c>
      <c r="B66" s="4" t="inlineStr">
        <is>
          <t>LOCAL</t>
        </is>
      </c>
      <c r="C66" s="4" t="inlineStr">
        <is>
          <t>stable reference/continuity ↔ practical technical implementation</t>
        </is>
      </c>
      <c r="D66" s="4" t="inlineStr">
        <is>
          <t>Polarian ↔ Alpha Centaurian</t>
        </is>
      </c>
      <c r="E66" s="4" t="inlineStr">
        <is>
          <t>Reference vs mechanistic implementation</t>
        </is>
      </c>
      <c r="F66" s="4" t="inlineStr">
        <is>
          <t>D05,D15,D20,D18</t>
        </is>
      </c>
      <c r="G66" s="4" t="inlineStr">
        <is>
          <t>一套原本運作穩定的流程開始出現小問題時，你比較傾向……</t>
        </is>
      </c>
      <c r="H66" s="4" t="inlineStr">
        <is>
          <t>先守住原本的標準和節奏，看是哪裡開始走樣</t>
        </is>
      </c>
      <c r="I66" s="4" t="inlineStr">
        <is>
          <t>直接找出哪個步驟或工具出了問題，再動手調整</t>
        </is>
      </c>
      <c r="J66" s="4" t="n">
        <v>-1</v>
      </c>
      <c r="K66" s="4" t="n">
        <v>14</v>
      </c>
      <c r="L66" s="4" t="inlineStr">
        <is>
          <t>REPOINT</t>
        </is>
      </c>
      <c r="M66" s="4" t="inlineStr">
        <is>
          <t>COMPARATIVE CENTERED</t>
        </is>
      </c>
    </row>
    <row r="67">
      <c r="A67" s="4" t="inlineStr">
        <is>
          <t>L33</t>
        </is>
      </c>
      <c r="B67" s="4" t="inlineStr">
        <is>
          <t>LOCAL</t>
        </is>
      </c>
      <c r="C67" s="4" t="inlineStr">
        <is>
          <t>解除限制/改變 frame ↔ 傳遞更高 scope 視角</t>
        </is>
      </c>
      <c r="D67" s="4" t="inlineStr">
        <is>
          <t>Andromedan ↔ Avian / Blue Avian</t>
        </is>
      </c>
      <c r="E67" s="4" t="inlineStr">
        <is>
          <t>Liberation vs translation</t>
        </is>
      </c>
      <c r="F67" s="4" t="inlineStr">
        <is>
          <t>D09,D20,D19,D07</t>
        </is>
      </c>
      <c r="G67" s="4" t="inlineStr">
        <is>
          <t>當原本的做法限制了你想完成的事情時，你比較自然會……</t>
        </is>
      </c>
      <c r="H67" s="4" t="inlineStr">
        <is>
          <t>重談或改掉那些限制，必要時換一個更自由的做法</t>
        </is>
      </c>
      <c r="I67" s="4" t="inlineStr">
        <is>
          <t>先看清整體情況，再把新的理解說給相關的人聽</t>
        </is>
      </c>
      <c r="J67" s="4" t="n">
        <v>1</v>
      </c>
      <c r="K67" s="4" t="n">
        <v>26</v>
      </c>
      <c r="L67" s="4" t="inlineStr">
        <is>
          <t>KEEP</t>
        </is>
      </c>
      <c r="M67" s="4" t="inlineStr">
        <is>
          <t>COMPARATIVE CENTERED</t>
        </is>
      </c>
    </row>
    <row r="68">
      <c r="A68" s="4" t="inlineStr">
        <is>
          <t>L34</t>
        </is>
      </c>
      <c r="B68" s="4" t="inlineStr">
        <is>
          <t>LOCAL</t>
        </is>
      </c>
      <c r="C68" s="4" t="inlineStr">
        <is>
          <t>自由的用途：重設限制框架 ↔ 擴張知識/創意組合</t>
        </is>
      </c>
      <c r="D68" s="4" t="inlineStr">
        <is>
          <t>Andromedan ↔ Vegan</t>
        </is>
      </c>
      <c r="E68" s="4" t="inlineStr">
        <is>
          <t>Freedom use: frame vs synthesis</t>
        </is>
      </c>
      <c r="F68" s="4" t="inlineStr">
        <is>
          <t>D03,D04,D07,D21</t>
        </is>
      </c>
      <c r="G68" s="4" t="inlineStr">
        <is>
          <t>當你終於得到一段不受原本規則限制的空間時，你最想用它來……</t>
        </is>
      </c>
      <c r="H68" s="4" t="inlineStr">
        <is>
          <t>改掉限制自己的規則或做法，讓自己的選擇更自由</t>
        </is>
      </c>
      <c r="I68" s="4" t="inlineStr">
        <is>
          <t>把不同領域的想法放在一起試，發展新的可能</t>
        </is>
      </c>
      <c r="J68" s="4" t="n">
        <v>-1</v>
      </c>
      <c r="K68" s="4" t="n">
        <v>30</v>
      </c>
      <c r="L68" s="4" t="inlineStr">
        <is>
          <t>REPOINT</t>
        </is>
      </c>
      <c r="M68" s="4" t="inlineStr">
        <is>
          <t>COMPARATIVE CENTERED</t>
        </is>
      </c>
    </row>
    <row r="69">
      <c r="A69" s="4" t="inlineStr">
        <is>
          <t>L35</t>
        </is>
      </c>
      <c r="B69" s="4" t="inlineStr">
        <is>
          <t>LOCAL</t>
        </is>
      </c>
      <c r="C69" s="4" t="inlineStr">
        <is>
          <t>high-altitude translator ↔ ground-level multi-party mediator</t>
        </is>
      </c>
      <c r="D69" s="4" t="inlineStr">
        <is>
          <t>Avian / Blue Avian ↔ Tau Cetian</t>
        </is>
      </c>
      <c r="E69" s="4" t="inlineStr">
        <is>
          <t>High scope translation vs mediation</t>
        </is>
      </c>
      <c r="F69" s="4" t="inlineStr">
        <is>
          <t>D14,D20,D19</t>
        </is>
      </c>
      <c r="G69" s="4" t="inlineStr">
        <is>
          <t>幾個群體對同一件事有不同看法時，你比較自然會提供哪一種幫助？</t>
        </is>
      </c>
      <c r="H69" s="4" t="inlineStr">
        <is>
          <t>先整理整件事的全貌，再用大家都聽得懂的方式說清楚</t>
        </is>
      </c>
      <c r="I69" s="4" t="inlineStr">
        <is>
          <t>直接了解各方需要，幫大家談出都能接受的做法</t>
        </is>
      </c>
      <c r="J69" s="4" t="n">
        <v>-1</v>
      </c>
      <c r="K69" s="4" t="n">
        <v>54</v>
      </c>
      <c r="L69" s="4" t="inlineStr">
        <is>
          <t>KEEP</t>
        </is>
      </c>
      <c r="M69" s="4" t="inlineStr">
        <is>
          <t>COMPARATIVE CENTERED</t>
        </is>
      </c>
    </row>
    <row r="70">
      <c r="A70" s="4" t="inlineStr">
        <is>
          <t>L36</t>
        </is>
      </c>
      <c r="B70" s="4" t="inlineStr">
        <is>
          <t>LOCAL</t>
        </is>
      </c>
      <c r="C70" s="4" t="inlineStr">
        <is>
          <t>stable orientation/continuity ↔ embodied local participation/home</t>
        </is>
      </c>
      <c r="D70" s="4" t="inlineStr">
        <is>
          <t>Polarian ↔ Earth-Origin Soul</t>
        </is>
      </c>
      <c r="E70" s="4" t="inlineStr">
        <is>
          <t>Reference vs lived Earth participation</t>
        </is>
      </c>
      <c r="F70" s="4" t="inlineStr">
        <is>
          <t>D22,D18,D16,D17</t>
        </is>
      </c>
      <c r="G70" s="4" t="inlineStr">
        <is>
          <t>當你長期生活在一個正在改變的地方或群體裡，你比較自然會扮演哪種角色？</t>
        </is>
      </c>
      <c r="H70" s="4" t="inlineStr">
        <is>
          <t>保持一致的方向和節奏，成為大家可以依靠的穩定一方</t>
        </is>
      </c>
      <c r="I70" s="4" t="inlineStr">
        <is>
          <t>投入當地日常，親自參與維護和照料，讓共同生活一直延續下去</t>
        </is>
      </c>
      <c r="J70" s="4" t="n">
        <v>1</v>
      </c>
      <c r="K70" s="4" t="n">
        <v>12</v>
      </c>
      <c r="L70" s="4" t="inlineStr">
        <is>
          <t>REPOINT</t>
        </is>
      </c>
      <c r="M70" s="4" t="inlineStr">
        <is>
          <t>COMPARATIVE CENTERED</t>
        </is>
      </c>
    </row>
    <row r="71">
      <c r="A71" s="4" t="inlineStr">
        <is>
          <t>L37</t>
        </is>
      </c>
      <c r="B71" s="4" t="inlineStr">
        <is>
          <t>LOCAL</t>
        </is>
      </c>
      <c r="C71" s="4" t="inlineStr">
        <is>
          <t>creative-intellectual exploration ↔ messenger/high-scope translation</t>
        </is>
      </c>
      <c r="D71" s="4" t="inlineStr">
        <is>
          <t>Vegan ↔ Avian / Blue Avian</t>
        </is>
      </c>
      <c r="E71" s="4" t="inlineStr">
        <is>
          <t>Polymath synthesis vs translation</t>
        </is>
      </c>
      <c r="F71" s="4" t="inlineStr">
        <is>
          <t>D19,D11,D07,D21</t>
        </is>
      </c>
      <c r="G71" s="4" t="inlineStr">
        <is>
          <t>面對很多來自不同領域的新資訊，你更想把它們用來……</t>
        </is>
      </c>
      <c r="H71" s="4" t="inlineStr">
        <is>
          <t>自由組合不同概念，發展自己的新點子或作品</t>
        </is>
      </c>
      <c r="I71" s="4" t="inlineStr">
        <is>
          <t>整理出整體脈絡，再用別人容易明白的方式說清楚</t>
        </is>
      </c>
      <c r="J71" s="4" t="n">
        <v>1</v>
      </c>
      <c r="K71" s="4" t="n">
        <v>16</v>
      </c>
      <c r="L71" s="4" t="inlineStr">
        <is>
          <t>REPOINT</t>
        </is>
      </c>
      <c r="M71" s="4" t="inlineStr">
        <is>
          <t>COMPARATIVE CENTERED</t>
        </is>
      </c>
    </row>
    <row r="72">
      <c r="A72" s="4" t="inlineStr">
        <is>
          <t>L38</t>
        </is>
      </c>
      <c r="B72" s="4" t="inlineStr">
        <is>
          <t>LOCAL</t>
        </is>
      </c>
      <c r="C72" s="4" t="inlineStr">
        <is>
          <t>practical systems implementation ↔ lived/local stewardship continuity</t>
        </is>
      </c>
      <c r="D72" s="4" t="inlineStr">
        <is>
          <t>Alpha Centaurian ↔ Earth-Origin Soul</t>
        </is>
      </c>
      <c r="E72" s="4" t="inlineStr">
        <is>
          <t>Implementation vs local stewardship</t>
        </is>
      </c>
      <c r="F72" s="4" t="inlineStr">
        <is>
          <t>D18,D22,D07,D06</t>
        </is>
      </c>
      <c r="G72" s="4" t="inlineStr">
        <is>
          <t>如果你想改善自己長期生活的一個地方，你比較自然會從哪裡開始？</t>
        </is>
      </c>
      <c r="H72" s="4" t="inlineStr">
        <is>
          <t>把流程和工具做得更可靠，讓大家平時更好用</t>
        </is>
      </c>
      <c r="I72" s="4" t="inlineStr">
        <is>
          <t>持續參與維護和照料，讓這個地方的生活好好延續</t>
        </is>
      </c>
      <c r="J72" s="4" t="n">
        <v>1</v>
      </c>
      <c r="K72" s="4" t="n">
        <v>74</v>
      </c>
      <c r="L72" s="4" t="inlineStr">
        <is>
          <t>REBUILD</t>
        </is>
      </c>
      <c r="M72" s="4" t="inlineStr">
        <is>
          <t>COMPARATIVE CENTERED</t>
        </is>
      </c>
    </row>
    <row r="73">
      <c r="A73" s="4" t="inlineStr">
        <is>
          <t>A01</t>
        </is>
      </c>
      <c r="B73" s="4" t="inlineStr">
        <is>
          <t>ANCHOR</t>
        </is>
      </c>
      <c r="C73" s="4" t="inlineStr">
        <is>
          <t>lost-sanctuary / elsewhere-home restoration ↔ 建造新的可行未來</t>
        </is>
      </c>
      <c r="D73" s="4" t="inlineStr">
        <is>
          <t>Pleiadian ↔ Mintakan</t>
        </is>
      </c>
      <c r="E73" s="4" t="inlineStr">
        <is>
          <t>Lost sanctuary anchor</t>
        </is>
      </c>
      <c r="F73" s="4" t="inlineStr">
        <is>
          <t>D22,M01,M03</t>
        </is>
      </c>
      <c r="G73" s="4" t="inlineStr">
        <is>
          <t>當熟悉的生活環境已經改變，你需要重新找回「像家」的感覺時，哪個方向更吸引你？</t>
        </is>
      </c>
      <c r="H73" s="4" t="inlineStr">
        <is>
          <t>重新找回熟悉的簡單、清楚、安全又安定的感覺</t>
        </is>
      </c>
      <c r="I73" s="4" t="inlineStr">
        <is>
          <t>建立一種不需要照著以前樣子的全新生活方式</t>
        </is>
      </c>
      <c r="J73" s="4" t="n">
        <v>-1</v>
      </c>
      <c r="K73" s="4" t="n">
        <v>27</v>
      </c>
      <c r="L73" s="4" t="inlineStr">
        <is>
          <t>KEEP</t>
        </is>
      </c>
      <c r="M73" s="4" t="inlineStr">
        <is>
          <t>COMPARATIVE CENTERED</t>
        </is>
      </c>
    </row>
    <row r="74">
      <c r="A74" s="4" t="inlineStr">
        <is>
          <t>A02</t>
        </is>
      </c>
      <c r="B74" s="4" t="inlineStr">
        <is>
          <t>ANCHOR</t>
        </is>
      </c>
      <c r="C74" s="4" t="inlineStr">
        <is>
          <t>practical implementation ↔ skeptical risk-depth / hidden-failure stewardship</t>
        </is>
      </c>
      <c r="D74" s="4" t="inlineStr">
        <is>
          <t>Alpha Centaurian ↔ Maldekian</t>
        </is>
      </c>
      <c r="E74" s="4" t="inlineStr">
        <is>
          <t>Implementation vs risk-depth anchor</t>
        </is>
      </c>
      <c r="F74" s="4" t="inlineStr">
        <is>
          <t>D04,D13,D15,D18</t>
        </is>
      </c>
      <c r="G74" s="4" t="inlineStr">
        <is>
          <t>一個新方案準備第一次正式使用時，你最自然先關注什麼？</t>
        </is>
      </c>
      <c r="H74" s="4" t="inlineStr">
        <is>
          <t>把步驟、工具和交接方法弄清楚，確保大家可以順利用起來</t>
        </is>
      </c>
      <c r="I74" s="4" t="inlineStr">
        <is>
          <t>檢查哪些前提可能不成立，以及哪裡可能出現不容易發現的問題</t>
        </is>
      </c>
      <c r="J74" s="4" t="n">
        <v>-1</v>
      </c>
      <c r="K74" s="4" t="n">
        <v>62</v>
      </c>
      <c r="L74" s="4" t="inlineStr">
        <is>
          <t>RETIRE</t>
        </is>
      </c>
      <c r="M74" s="4" t="inlineStr">
        <is>
          <t>COMPARATIVE CENTERED</t>
        </is>
      </c>
    </row>
    <row r="75">
      <c r="A75" s="4" t="inlineStr">
        <is>
          <t>A03</t>
        </is>
      </c>
      <c r="B75" s="4" t="inlineStr">
        <is>
          <t>ANCHOR</t>
        </is>
      </c>
      <c r="C75" s="4" t="inlineStr">
        <is>
          <t>contained guard/threat scan ↔ outward activation/leadership</t>
        </is>
      </c>
      <c r="D75" s="4" t="inlineStr">
        <is>
          <t>Martian ↔ Reptilian</t>
        </is>
      </c>
      <c r="E75" s="4" t="inlineStr">
        <is>
          <t>Contain/scan vs activate</t>
        </is>
      </c>
      <c r="F75" s="4" t="inlineStr">
        <is>
          <t>D11,D13,D17</t>
        </is>
      </c>
      <c r="G75" s="4" t="inlineStr">
        <is>
          <t>一個新局面突然出現，但情況還不完全清楚時，你比較自然怎麼開始？</t>
        </is>
      </c>
      <c r="H75" s="4" t="inlineStr">
        <is>
          <t>先不要投入太多，觀察風險和情況後再加深參與</t>
        </is>
      </c>
      <c r="I75" s="4" t="inlineStr">
        <is>
          <t>先帶頭做第一步，讓事情開始往前</t>
        </is>
      </c>
      <c r="J75" s="4" t="n">
        <v>1</v>
      </c>
      <c r="K75" s="4" t="n">
        <v>41</v>
      </c>
      <c r="L75" s="4" t="inlineStr">
        <is>
          <t>REBUILD</t>
        </is>
      </c>
      <c r="M75" s="4" t="inlineStr">
        <is>
          <t>COMPARATIVE CENTERED</t>
        </is>
      </c>
    </row>
    <row r="76">
      <c r="A76" s="4" t="inlineStr">
        <is>
          <t>A04</t>
        </is>
      </c>
      <c r="B76" s="4" t="inlineStr">
        <is>
          <t>ANCHOR</t>
        </is>
      </c>
      <c r="C76" s="4" t="inlineStr">
        <is>
          <t>disciplined/timed structure ↔ situational/immediate response</t>
        </is>
      </c>
      <c r="D76" s="4" t="inlineStr">
        <is>
          <t>Draconian ↔ Reptilian</t>
        </is>
      </c>
      <c r="E76" s="4" t="inlineStr">
        <is>
          <t>Structured authority vs situational adaptation</t>
        </is>
      </c>
      <c r="F76" s="4" t="inlineStr">
        <is>
          <t>D10,D06,D15</t>
        </is>
      </c>
      <c r="G76" s="4" t="inlineStr">
        <is>
          <t>當一個團隊要在很多變動中繼續做事時，你比較傾向……</t>
        </is>
      </c>
      <c r="H76" s="4" t="inlineStr">
        <is>
          <t>維持原本清楚的分工和行動節奏，讓變動中仍有秩序</t>
        </is>
      </c>
      <c r="I76" s="4" t="inlineStr">
        <is>
          <t>按每次最新的情況調整做法，哪個方式合適就先用哪個</t>
        </is>
      </c>
      <c r="J76" s="4" t="n">
        <v>1</v>
      </c>
      <c r="K76" s="4" t="n">
        <v>13</v>
      </c>
      <c r="L76" s="4" t="inlineStr">
        <is>
          <t>KEEP</t>
        </is>
      </c>
      <c r="M76" s="4" t="inlineStr">
        <is>
          <t>COMPARATIVE CENTERED</t>
        </is>
      </c>
    </row>
    <row r="77">
      <c r="A77" s="4" t="inlineStr">
        <is>
          <t>A05</t>
        </is>
      </c>
      <c r="B77" s="4" t="inlineStr">
        <is>
          <t>ANCHOR</t>
        </is>
      </c>
      <c r="C77" s="4" t="inlineStr">
        <is>
          <t>detached biological/evolution observation ↔ restorative emotional/structural intervention</t>
        </is>
      </c>
      <c r="D77" s="4" t="inlineStr">
        <is>
          <t>Pleiadian ↔ Zeta / Grey; Arcturian ↔ Zeta / Grey</t>
        </is>
      </c>
      <c r="E77" s="4" t="inlineStr">
        <is>
          <t>Observation vs intervention anchor</t>
        </is>
      </c>
      <c r="F77" s="4" t="inlineStr">
        <is>
          <t>D04,D05,D16,M07</t>
        </is>
      </c>
      <c r="G77" s="4" t="inlineStr">
        <is>
          <t>面對一個會不斷變化、又常出現不同模式的群體或事情時，你比較自然會……</t>
        </is>
      </c>
      <c r="H77" s="4" t="inlineStr">
        <is>
          <t>先持續收集資料、觀察變化規律，不急著動它</t>
        </is>
      </c>
      <c r="I77" s="4" t="inlineStr">
        <is>
          <t>一看到哪裡失衡，就直接調整人或做法，讓事情重新順起來</t>
        </is>
      </c>
      <c r="J77" s="4" t="n">
        <v>-1</v>
      </c>
      <c r="K77" s="4" t="n">
        <v>48</v>
      </c>
      <c r="L77" s="4" t="inlineStr">
        <is>
          <t>KEEP</t>
        </is>
      </c>
      <c r="M77" s="4" t="inlineStr">
        <is>
          <t>COMPARATIVE CENTERED</t>
        </is>
      </c>
    </row>
    <row r="78">
      <c r="A78" s="4" t="inlineStr">
        <is>
          <t>A06</t>
        </is>
      </c>
      <c r="B78" s="4" t="inlineStr">
        <is>
          <t>ANCHOR</t>
        </is>
      </c>
      <c r="C78" s="4" t="inlineStr">
        <is>
          <t>aesthetic atmosphere itself is intervention ↔ affective or functional intervention</t>
        </is>
      </c>
      <c r="D78" s="4" t="inlineStr">
        <is>
          <t>Pleiadian ↔ Venusian</t>
        </is>
      </c>
      <c r="E78" s="4" t="inlineStr">
        <is>
          <t>Aesthetic anchor</t>
        </is>
      </c>
      <c r="F78" s="4" t="inlineStr">
        <is>
          <t>D03,D01,D05</t>
        </is>
      </c>
      <c r="G78" s="4" t="inlineStr">
        <is>
          <t>當一個空間裡的互動開始變淡、彼此距離也增加時，你比較傾向先……</t>
        </is>
      </c>
      <c r="H78" s="4" t="inlineStr">
        <is>
          <t>改變光線、聲音、材質或擺設，讓空間本身帶動氣氛</t>
        </is>
      </c>
      <c r="I78" s="4" t="inlineStr">
        <is>
          <t>直接回應人的情緒或實際需要，從互動和安排上調整</t>
        </is>
      </c>
      <c r="J78" s="4" t="n">
        <v>1</v>
      </c>
      <c r="K78" s="4" t="n">
        <v>80</v>
      </c>
      <c r="L78" s="4" t="inlineStr">
        <is>
          <t>KEEP</t>
        </is>
      </c>
      <c r="M78" s="4" t="inlineStr">
        <is>
          <t>COMPARATIVE CENTERED</t>
        </is>
      </c>
    </row>
    <row r="79">
      <c r="A79" s="4" t="inlineStr">
        <is>
          <t>A07</t>
        </is>
      </c>
      <c r="B79" s="4" t="inlineStr">
        <is>
          <t>ANCHOR</t>
        </is>
      </c>
      <c r="C79" s="4" t="inlineStr">
        <is>
          <t>dyadic trust/bond repair ↔ broad affective-field care</t>
        </is>
      </c>
      <c r="D79" s="4" t="inlineStr">
        <is>
          <t>Pleiadian ↔ Hadarian</t>
        </is>
      </c>
      <c r="E79" s="4" t="inlineStr">
        <is>
          <t>Dyadic vs field anchor</t>
        </is>
      </c>
      <c r="F79" s="4" t="inlineStr">
        <is>
          <t>D02,D01,D13</t>
        </is>
      </c>
      <c r="G79" s="4" t="inlineStr">
        <is>
          <t>一段重要關係剛出現誤解，同時周圍其他人的情緒也受到影響時，你會先把力氣放在哪裡？</t>
        </is>
      </c>
      <c r="H79" s="4" t="inlineStr">
        <is>
          <t>先修復兩人之間的信任和連結，再看其他影響</t>
        </is>
      </c>
      <c r="I79" s="4" t="inlineStr">
        <is>
          <t>先穩住整體氣氛和大家的情緒，再回頭處理那段關係</t>
        </is>
      </c>
      <c r="J79" s="4" t="n">
        <v>1</v>
      </c>
      <c r="K79" s="4" t="n">
        <v>55</v>
      </c>
      <c r="L79" s="4" t="inlineStr">
        <is>
          <t>KEEP</t>
        </is>
      </c>
      <c r="M79" s="4" t="inlineStr">
        <is>
          <t>COMPARATIVE CENTERED</t>
        </is>
      </c>
    </row>
    <row r="80">
      <c r="A80" s="4" t="inlineStr">
        <is>
          <t>A08</t>
        </is>
      </c>
      <c r="B80" s="4" t="inlineStr">
        <is>
          <t>ANCHOR</t>
        </is>
      </c>
      <c r="C80" s="4" t="inlineStr">
        <is>
          <t>stable reference/orientation ↔ active mediation</t>
        </is>
      </c>
      <c r="D80" s="4" t="inlineStr">
        <is>
          <t>Polarian ↔ Tau Cetian</t>
        </is>
      </c>
      <c r="E80" s="4" t="inlineStr">
        <is>
          <t>Reference vs mediation anchor</t>
        </is>
      </c>
      <c r="F80" s="4" t="inlineStr">
        <is>
          <t>D15,D20,D21,D14</t>
        </is>
      </c>
      <c r="G80" s="4" t="inlineStr">
        <is>
          <t>當一個共同方向已經存在，但參與者的需要一直在改變時，你比較自然會……</t>
        </is>
      </c>
      <c r="H80" s="4" t="inlineStr">
        <is>
          <t>維持清楚的方向和原則，讓大家有共同依據</t>
        </is>
      </c>
      <c r="I80" s="4" t="inlineStr">
        <is>
          <t>持續了解大家需要什麼，幫大家重新談出下一步</t>
        </is>
      </c>
      <c r="J80" s="4" t="n">
        <v>1</v>
      </c>
      <c r="K80" s="4" t="n">
        <v>75</v>
      </c>
      <c r="L80" s="4" t="inlineStr">
        <is>
          <t>KEEP</t>
        </is>
      </c>
      <c r="M80" s="4" t="inlineStr">
        <is>
          <t>COMPARATIVE CENTERED</t>
        </is>
      </c>
    </row>
    <row r="81">
      <c r="A81" s="4" t="inlineStr">
        <is>
          <t>A09</t>
        </is>
      </c>
      <c r="B81" s="4" t="inlineStr">
        <is>
          <t>ANCHOR</t>
        </is>
      </c>
      <c r="C81" s="4" t="inlineStr">
        <is>
          <t>civilization-scale institutional architecture ↔ operational/practical/local implementation</t>
        </is>
      </c>
      <c r="D81" s="4" t="inlineStr">
        <is>
          <t>Draconian ↔ Anunnaki / Nibiruan; Alpha Centaurian ↔ Anunnaki / Nibiruan</t>
        </is>
      </c>
      <c r="E81" s="4" t="inlineStr">
        <is>
          <t>Institution scale anchor</t>
        </is>
      </c>
      <c r="F81" s="4" t="inlineStr">
        <is>
          <t>D07,D10,D18,D05</t>
        </is>
      </c>
      <c r="G81" s="4" t="inlineStr">
        <is>
          <t>如果一項很多人都會使用的公共服務需要重新設計，你比較想從哪裡開始？</t>
        </is>
      </c>
      <c r="H81" s="4" t="inlineStr">
        <is>
          <t>規劃整體規則、分工和資源怎麼安排，讓不同單位能一起運作</t>
        </is>
      </c>
      <c r="I81" s="4" t="inlineStr">
        <is>
          <t>把日常流程和工具做得更順，讓前線的人容易照著做</t>
        </is>
      </c>
      <c r="J81" s="4" t="n">
        <v>-1</v>
      </c>
      <c r="K81" s="4" t="n">
        <v>6</v>
      </c>
      <c r="L81" s="4" t="inlineStr">
        <is>
          <t>REBUILD</t>
        </is>
      </c>
      <c r="M81" s="4" t="inlineStr">
        <is>
          <t>COMPARATIVE CENTERED</t>
        </is>
      </c>
    </row>
    <row r="82">
      <c r="A82" s="4" t="inlineStr">
        <is>
          <t>A10</t>
        </is>
      </c>
      <c r="B82" s="4" t="inlineStr">
        <is>
          <t>ANCHOR</t>
        </is>
      </c>
      <c r="C82" s="4" t="inlineStr">
        <is>
          <t>Earth/human continuity 作為主要 home ↔ lost/elsewhere-home orientation</t>
        </is>
      </c>
      <c r="D82" s="4" t="inlineStr">
        <is>
          <t>Mintakan ↔ Earth-Origin Soul</t>
        </is>
      </c>
      <c r="E82" s="4" t="inlineStr">
        <is>
          <t>Belonging anchor</t>
        </is>
      </c>
      <c r="F82" s="4" t="inlineStr">
        <is>
          <t>D22,M01,M14</t>
        </is>
      </c>
      <c r="G82" s="4" t="inlineStr">
        <is>
          <t>談到「真正的家」這種歸屬感時，你更接近哪一種？</t>
        </is>
      </c>
      <c r="H82" s="4" t="inlineStr">
        <is>
          <t>把現在這個世界和自己正在過的人類生活視為主要的家</t>
        </is>
      </c>
      <c r="I82" s="4" t="inlineStr">
        <is>
          <t>常覺得真正的家更像在某個說不清楚的「別處」</t>
        </is>
      </c>
      <c r="J82" s="4" t="n">
        <v>-1</v>
      </c>
      <c r="K82" s="4" t="n">
        <v>20</v>
      </c>
      <c r="L82" s="4" t="inlineStr">
        <is>
          <t>REBUILD</t>
        </is>
      </c>
      <c r="M82" s="4" t="inlineStr">
        <is>
          <t>COMPARATIVE CENTERED</t>
        </is>
      </c>
    </row>
    <row r="83">
      <c r="A83" s="4" t="inlineStr">
        <is>
          <t>A11</t>
        </is>
      </c>
      <c r="B83" s="4" t="inlineStr">
        <is>
          <t>ANCHOR</t>
        </is>
      </c>
      <c r="C83" s="4" t="inlineStr">
        <is>
          <t>strategic timed service guardian ↔ command / adaptive / immediate response</t>
        </is>
      </c>
      <c r="D83" s="4" t="inlineStr">
        <is>
          <t>Draconian ↔ Antarian; Reptilian ↔ Antarian</t>
        </is>
      </c>
      <c r="E83" s="4" t="inlineStr">
        <is>
          <t>Timed service vs other protection modes</t>
        </is>
      </c>
      <c r="F83" s="4" t="inlineStr">
        <is>
          <t>D10,D11,D15,D13</t>
        </is>
      </c>
      <c r="G83" s="4" t="inlineStr">
        <is>
          <t>當你想保護一件重要、但還不用立刻處理的事時，你比較自然會……</t>
        </is>
      </c>
      <c r="H83" s="4" t="inlineStr">
        <is>
          <t>先觀察和準備，等真正需要時才出手，而且只做必要的部分</t>
        </is>
      </c>
      <c r="I83" s="4" t="inlineStr">
        <is>
          <t>比較早接手處理，再按當下情況繼續調整</t>
        </is>
      </c>
      <c r="J83" s="4" t="n">
        <v>1</v>
      </c>
      <c r="K83" s="4" t="n">
        <v>34</v>
      </c>
      <c r="L83" s="4" t="inlineStr">
        <is>
          <t>KEEP</t>
        </is>
      </c>
      <c r="M83" s="4" t="inlineStr">
        <is>
          <t>COMPARATIVE CENTERED</t>
        </is>
      </c>
    </row>
    <row r="84">
      <c r="A84" s="4" t="inlineStr">
        <is>
          <t>A12</t>
        </is>
      </c>
      <c r="B84" s="4" t="inlineStr">
        <is>
          <t>ANCHOR</t>
        </is>
      </c>
      <c r="C84" s="4" t="inlineStr">
        <is>
          <t>operational command ↔ civilization-scale institution architecture</t>
        </is>
      </c>
      <c r="D84" s="4" t="inlineStr">
        <is>
          <t>Draconian ↔ Anunnaki / Nibiruan</t>
        </is>
      </c>
      <c r="E84" s="4" t="inlineStr">
        <is>
          <t>Command scale vs governance scale</t>
        </is>
      </c>
      <c r="F84" s="4" t="inlineStr">
        <is>
          <t>D17,D18,D07,D05</t>
        </is>
      </c>
      <c r="G84" s="4" t="inlineStr">
        <is>
          <t>當同一套規則在不同地方遇到不同例外時，你比較自然會設計哪種做法？</t>
        </is>
      </c>
      <c r="H84" s="4" t="inlineStr">
        <is>
          <t>讓各地方有清楚的負責人，遇到例外時可以直接判斷和處理</t>
        </is>
      </c>
      <c r="I84" s="4" t="inlineStr">
        <is>
          <t>先訂一套所有地方都適用的例外處理原則和資源安排</t>
        </is>
      </c>
      <c r="J84" s="4" t="n">
        <v>-1</v>
      </c>
      <c r="K84" s="4" t="n">
        <v>69</v>
      </c>
      <c r="L84" s="4" t="inlineStr">
        <is>
          <t>REBUILD</t>
        </is>
      </c>
      <c r="M84" s="4" t="inlineStr">
        <is>
          <t>COMPARATIVE CENTERED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8" customWidth="1" min="3" max="3"/>
    <col width="72" customWidth="1" min="4" max="4"/>
    <col width="14" customWidth="1" min="5" max="5"/>
    <col width="40" customWidth="1" min="6" max="6"/>
  </cols>
  <sheetData>
    <row r="1" ht="30" customHeight="1">
      <c r="A1" s="1" t="inlineStr">
        <is>
          <t>Codebook Generation Rules</t>
        </is>
      </c>
    </row>
    <row r="2" ht="38" customHeight="1">
      <c r="A2" s="2" t="inlineStr">
        <is>
          <t>Scale-aware semantic projection. Salience zero is neutral/no evidence, never a negative pole.</t>
        </is>
      </c>
    </row>
    <row r="3"/>
    <row r="4">
      <c r="A4" s="3" t="inlineStr">
        <is>
          <t>Component</t>
        </is>
      </c>
      <c r="B4" s="3" t="inlineStr">
        <is>
          <t>Rule</t>
        </is>
      </c>
      <c r="C4" s="3" t="inlineStr">
        <is>
          <t>Formula / value</t>
        </is>
      </c>
      <c r="D4" s="3" t="inlineStr">
        <is>
          <t>Why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Feature scale</t>
        </is>
      </c>
      <c r="B5" s="4" t="inlineStr">
        <is>
          <t>All matrix values divide by 2</t>
        </is>
      </c>
      <c r="C5" s="4" t="inlineStr">
        <is>
          <t>bipolar → [-1,1]; salience/motif → [0,1]</t>
        </is>
      </c>
      <c r="D5" s="4" t="inlineStr">
        <is>
          <t>Common evidence scale without pretending salience is bipolar.</t>
        </is>
      </c>
      <c r="E5" s="4" t="inlineStr">
        <is>
          <t>FROZEN</t>
        </is>
      </c>
      <c r="F5" s="4" t="inlineStr"/>
    </row>
    <row r="6">
      <c r="A6" s="4" t="inlineStr">
        <is>
          <t>Global direction</t>
        </is>
      </c>
      <c r="B6" s="4" t="inlineStr">
        <is>
          <t>Signed semantic coefficients, L1 normalized</t>
        </is>
      </c>
      <c r="C6" s="4" t="inlineStr">
        <is>
          <t>raw=Σw_f z_lf</t>
        </is>
      </c>
      <c r="D6" s="4" t="inlineStr">
        <is>
          <t>Uses only blueprint-listed features.</t>
        </is>
      </c>
      <c r="E6" s="4" t="inlineStr">
        <is>
          <t>FROZEN</t>
        </is>
      </c>
      <c r="F6" s="4" t="inlineStr"/>
    </row>
    <row r="7">
      <c r="A7" s="4" t="inlineStr">
        <is>
          <t>Direct item direction</t>
        </is>
      </c>
      <c r="B7" s="4" t="inlineStr">
        <is>
          <t>Target A centroid − target B centroid, L1 normalized</t>
        </is>
      </c>
      <c r="C7" s="4" t="inlineStr">
        <is>
          <t>w ∝ μA−μB</t>
        </is>
      </c>
      <c r="D7" s="4" t="inlineStr">
        <is>
          <t>Uses Canon geometry to specify comparative semantic direction.</t>
        </is>
      </c>
      <c r="E7" s="4" t="inlineStr">
        <is>
          <t>FROZEN</t>
        </is>
      </c>
      <c r="F7" s="4" t="inlineStr"/>
    </row>
    <row r="8">
      <c r="A8" s="4" t="inlineStr">
        <is>
          <t>Comparative center</t>
        </is>
      </c>
      <c r="B8" s="4" t="inlineStr">
        <is>
          <t>Midpoint centering with conservative gain</t>
        </is>
      </c>
      <c r="C8" s="4" t="inlineStr">
        <is>
          <t>s=clip(1.70(raw−m),−1,1)</t>
        </is>
      </c>
      <c r="D8" s="4" t="inlineStr">
        <is>
          <t>1.70 is the smallest simple gain that passes all v4 direct-code gates; weak differences remain weaker and are not forced to ±3.</t>
        </is>
      </c>
      <c r="E8" s="4" t="inlineStr">
        <is>
          <t>FROZEN</t>
        </is>
      </c>
      <c r="F8" s="4" t="inlineStr"/>
    </row>
    <row r="9">
      <c r="A9" s="4" t="inlineStr">
        <is>
          <t>Absolute Global</t>
        </is>
      </c>
      <c r="B9" s="4" t="inlineStr">
        <is>
          <t>No target midpoint</t>
        </is>
      </c>
      <c r="C9" s="4" t="inlineStr">
        <is>
          <t>s=clip(raw,−1,1)</t>
        </is>
      </c>
      <c r="D9" s="4" t="inlineStr">
        <is>
          <t>Preserves ontology absolute polarity.</t>
        </is>
      </c>
      <c r="E9" s="4" t="inlineStr">
        <is>
          <t>FROZEN</t>
        </is>
      </c>
      <c r="F9" s="4" t="inlineStr"/>
    </row>
    <row r="10">
      <c r="A10" s="4" t="inlineStr">
        <is>
          <t>Quantization</t>
        </is>
      </c>
      <c r="B10" s="4" t="inlineStr">
        <is>
          <t>0/.15/.40/.70 bands</t>
        </is>
      </c>
      <c r="C10" s="4" t="inlineStr">
        <is>
          <t>0 if |s|&lt;.15; ±1&lt;.40; ±2&lt;.70; else ±3</t>
        </is>
      </c>
      <c r="D10" s="4" t="inlineStr">
        <is>
          <t>Simple interpretable bands; not selected by maximizing distance.</t>
        </is>
      </c>
      <c r="E10" s="4" t="inlineStr">
        <is>
          <t>FROZEN</t>
        </is>
      </c>
      <c r="F10" s="4" t="inlineStr"/>
    </row>
    <row r="11">
      <c r="A11" s="4" t="inlineStr">
        <is>
          <t>Canonical UI transform</t>
        </is>
      </c>
      <c r="B11" s="4" t="inlineStr">
        <is>
          <t>Pole A is positive</t>
        </is>
      </c>
      <c r="C11" s="4" t="inlineStr">
        <is>
          <t>x=raw_response×key</t>
        </is>
      </c>
      <c r="D11" s="4" t="inlineStr">
        <is>
          <t>Key remains from final-item left/right balance.</t>
        </is>
      </c>
      <c r="E11" s="4" t="inlineStr">
        <is>
          <t>FROZEN</t>
        </is>
      </c>
      <c r="F11" s="4" t="inlineStr"/>
    </row>
    <row r="12"/>
    <row r="13"/>
    <row r="14">
      <c r="A14" s="15" t="inlineStr">
        <is>
          <t>Numeric controls</t>
        </is>
      </c>
    </row>
    <row r="15">
      <c r="A15" s="16" t="inlineStr">
        <is>
          <t>Neutral threshold</t>
        </is>
      </c>
      <c r="B15" s="17" t="n">
        <v>0.15</v>
      </c>
    </row>
    <row r="16">
      <c r="A16" s="16" t="inlineStr">
        <is>
          <t>±1→±2 threshold</t>
        </is>
      </c>
      <c r="B16" s="17" t="n">
        <v>0.4</v>
      </c>
    </row>
    <row r="17">
      <c r="A17" s="16" t="inlineStr">
        <is>
          <t>±2→±3 threshold</t>
        </is>
      </c>
      <c r="B17" s="17" t="n">
        <v>0.7</v>
      </c>
    </row>
    <row r="18">
      <c r="A18" s="16" t="inlineStr">
        <is>
          <t>Comparative gain</t>
        </is>
      </c>
      <c r="B18" s="17" t="n">
        <v>1.7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</cols>
  <sheetData>
    <row r="1" ht="30" customHeight="1">
      <c r="A1" s="1" t="inlineStr">
        <is>
          <t>Standardized 41-Feature Lineage Model</t>
        </is>
      </c>
    </row>
    <row r="2" ht="38" customHeight="1">
      <c r="A2" s="2" t="inlineStr">
        <is>
          <t>Bipolar D values /2 → [-1,1]. D08/D16-D19 and all motifs /2 → [0,1].</t>
        </is>
      </c>
    </row>
    <row r="3"/>
    <row r="4">
      <c r="A4" s="3" t="inlineStr">
        <is>
          <t>#</t>
        </is>
      </c>
      <c r="B4" s="3" t="inlineStr">
        <is>
          <t>中文</t>
        </is>
      </c>
      <c r="C4" s="3" t="inlineStr">
        <is>
          <t>English</t>
        </is>
      </c>
      <c r="D4" s="3" t="inlineStr">
        <is>
          <t>D01</t>
        </is>
      </c>
      <c r="E4" s="3" t="inlineStr">
        <is>
          <t>D02</t>
        </is>
      </c>
      <c r="F4" s="3" t="inlineStr">
        <is>
          <t>D03</t>
        </is>
      </c>
      <c r="G4" s="3" t="inlineStr">
        <is>
          <t>D04</t>
        </is>
      </c>
      <c r="H4" s="3" t="inlineStr">
        <is>
          <t>D05</t>
        </is>
      </c>
      <c r="I4" s="3" t="inlineStr">
        <is>
          <t>D06</t>
        </is>
      </c>
      <c r="J4" s="3" t="inlineStr">
        <is>
          <t>D07</t>
        </is>
      </c>
      <c r="K4" s="3" t="inlineStr">
        <is>
          <t>D08</t>
        </is>
      </c>
      <c r="L4" s="3" t="inlineStr">
        <is>
          <t>D09</t>
        </is>
      </c>
      <c r="M4" s="3" t="inlineStr">
        <is>
          <t>D10</t>
        </is>
      </c>
      <c r="N4" s="3" t="inlineStr">
        <is>
          <t>D11</t>
        </is>
      </c>
      <c r="O4" s="3" t="inlineStr">
        <is>
          <t>D12</t>
        </is>
      </c>
      <c r="P4" s="3" t="inlineStr">
        <is>
          <t>D13</t>
        </is>
      </c>
      <c r="Q4" s="3" t="inlineStr">
        <is>
          <t>D14</t>
        </is>
      </c>
      <c r="R4" s="3" t="inlineStr">
        <is>
          <t>D15</t>
        </is>
      </c>
      <c r="S4" s="3" t="inlineStr">
        <is>
          <t>D16</t>
        </is>
      </c>
      <c r="T4" s="3" t="inlineStr">
        <is>
          <t>D17</t>
        </is>
      </c>
      <c r="U4" s="3" t="inlineStr">
        <is>
          <t>D18</t>
        </is>
      </c>
      <c r="V4" s="3" t="inlineStr">
        <is>
          <t>D19</t>
        </is>
      </c>
      <c r="W4" s="3" t="inlineStr">
        <is>
          <t>D20</t>
        </is>
      </c>
      <c r="X4" s="3" t="inlineStr">
        <is>
          <t>D21</t>
        </is>
      </c>
      <c r="Y4" s="3" t="inlineStr">
        <is>
          <t>D22</t>
        </is>
      </c>
      <c r="Z4" s="3" t="inlineStr">
        <is>
          <t>M01</t>
        </is>
      </c>
      <c r="AA4" s="3" t="inlineStr">
        <is>
          <t>M02</t>
        </is>
      </c>
      <c r="AB4" s="3" t="inlineStr">
        <is>
          <t>M03</t>
        </is>
      </c>
      <c r="AC4" s="3" t="inlineStr">
        <is>
          <t>M04</t>
        </is>
      </c>
      <c r="AD4" s="3" t="inlineStr">
        <is>
          <t>M05</t>
        </is>
      </c>
      <c r="AE4" s="3" t="inlineStr">
        <is>
          <t>M06</t>
        </is>
      </c>
      <c r="AF4" s="3" t="inlineStr">
        <is>
          <t>M07</t>
        </is>
      </c>
      <c r="AG4" s="3" t="inlineStr">
        <is>
          <t>M08</t>
        </is>
      </c>
      <c r="AH4" s="3" t="inlineStr">
        <is>
          <t>M09</t>
        </is>
      </c>
      <c r="AI4" s="3" t="inlineStr">
        <is>
          <t>M10</t>
        </is>
      </c>
      <c r="AJ4" s="3" t="inlineStr">
        <is>
          <t>M11</t>
        </is>
      </c>
      <c r="AK4" s="3" t="inlineStr">
        <is>
          <t>M12</t>
        </is>
      </c>
      <c r="AL4" s="3" t="inlineStr">
        <is>
          <t>M13</t>
        </is>
      </c>
      <c r="AM4" s="3" t="inlineStr">
        <is>
          <t>M14</t>
        </is>
      </c>
      <c r="AN4" s="3" t="inlineStr">
        <is>
          <t>M15</t>
        </is>
      </c>
      <c r="AO4" s="3" t="inlineStr">
        <is>
          <t>M16</t>
        </is>
      </c>
      <c r="AP4" s="3" t="inlineStr">
        <is>
          <t>M17</t>
        </is>
      </c>
      <c r="AQ4" s="3" t="inlineStr">
        <is>
          <t>M18</t>
        </is>
      </c>
      <c r="AR4" s="3" t="inlineStr">
        <is>
          <t>M19</t>
        </is>
      </c>
    </row>
    <row r="5">
      <c r="A5" t="n">
        <v>1</v>
      </c>
      <c r="B5" t="inlineStr">
        <is>
          <t>昴宿星人</t>
        </is>
      </c>
      <c r="C5" t="inlineStr">
        <is>
          <t>Pleiadian</t>
        </is>
      </c>
      <c r="D5" s="5" t="n">
        <v>1</v>
      </c>
      <c r="E5" s="5" t="n">
        <v>0.5</v>
      </c>
      <c r="F5" s="5" t="n">
        <v>0</v>
      </c>
      <c r="G5" s="5" t="n">
        <v>-0.5</v>
      </c>
      <c r="H5" s="5" t="n">
        <v>-0.5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-0.5</v>
      </c>
      <c r="O5" s="5" t="n">
        <v>-1</v>
      </c>
      <c r="P5" s="5" t="n">
        <v>-0.5</v>
      </c>
      <c r="Q5" s="5" t="n">
        <v>0.5</v>
      </c>
      <c r="R5" s="5" t="n">
        <v>-0.5</v>
      </c>
      <c r="S5" s="5" t="n">
        <v>1</v>
      </c>
      <c r="T5" s="5" t="n">
        <v>0</v>
      </c>
      <c r="U5" s="5" t="n">
        <v>0</v>
      </c>
      <c r="V5" s="5" t="n">
        <v>0.5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</row>
    <row r="6">
      <c r="A6" t="n">
        <v>2</v>
      </c>
      <c r="B6" t="inlineStr">
        <is>
          <t>大角星人</t>
        </is>
      </c>
      <c r="C6" t="inlineStr">
        <is>
          <t>Arcturian</t>
        </is>
      </c>
      <c r="D6" s="5" t="n">
        <v>-0.5</v>
      </c>
      <c r="E6" s="5" t="n">
        <v>-0.5</v>
      </c>
      <c r="F6" s="5" t="n">
        <v>0</v>
      </c>
      <c r="G6" s="5" t="n">
        <v>0</v>
      </c>
      <c r="H6" s="5" t="n">
        <v>0.5</v>
      </c>
      <c r="I6" s="5" t="n">
        <v>0</v>
      </c>
      <c r="J6" s="5" t="n">
        <v>0.5</v>
      </c>
      <c r="K6" s="5" t="n">
        <v>0</v>
      </c>
      <c r="L6" s="5" t="n">
        <v>0.5</v>
      </c>
      <c r="M6" s="5" t="n">
        <v>0</v>
      </c>
      <c r="N6" s="5" t="n">
        <v>0.5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1</v>
      </c>
      <c r="T6" s="5" t="n">
        <v>0</v>
      </c>
      <c r="U6" s="5" t="n">
        <v>0.5</v>
      </c>
      <c r="V6" s="5" t="n">
        <v>0</v>
      </c>
      <c r="W6" s="5" t="n">
        <v>0.5</v>
      </c>
      <c r="X6" s="5" t="n">
        <v>0.5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1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</row>
    <row r="7">
      <c r="A7" t="n">
        <v>3</v>
      </c>
      <c r="B7" t="inlineStr">
        <is>
          <t>天狼星人</t>
        </is>
      </c>
      <c r="C7" t="inlineStr">
        <is>
          <t>Sirian</t>
        </is>
      </c>
      <c r="D7" s="5" t="n">
        <v>0</v>
      </c>
      <c r="E7" s="5" t="n">
        <v>0.5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-0.5</v>
      </c>
      <c r="M7" s="5" t="n">
        <v>0</v>
      </c>
      <c r="N7" s="5" t="n">
        <v>0</v>
      </c>
      <c r="O7" s="5" t="n">
        <v>-0.5</v>
      </c>
      <c r="P7" s="5" t="n">
        <v>1</v>
      </c>
      <c r="Q7" s="5" t="n">
        <v>0</v>
      </c>
      <c r="R7" s="5" t="n">
        <v>0.5</v>
      </c>
      <c r="S7" s="5" t="n">
        <v>0.5</v>
      </c>
      <c r="T7" s="5" t="n">
        <v>1</v>
      </c>
      <c r="U7" s="5" t="n">
        <v>0.5</v>
      </c>
      <c r="V7" s="5" t="n">
        <v>0.5</v>
      </c>
      <c r="W7" s="5" t="n">
        <v>-0.5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0.5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1</v>
      </c>
    </row>
    <row r="8">
      <c r="A8" t="n">
        <v>4</v>
      </c>
      <c r="B8" t="inlineStr">
        <is>
          <t>仙女座人</t>
        </is>
      </c>
      <c r="C8" t="inlineStr">
        <is>
          <t>Andromedan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-0.5</v>
      </c>
      <c r="I8" s="5" t="n">
        <v>-0.5</v>
      </c>
      <c r="J8" s="5" t="n">
        <v>1</v>
      </c>
      <c r="K8" s="5" t="n">
        <v>0</v>
      </c>
      <c r="L8" s="5" t="n">
        <v>1</v>
      </c>
      <c r="M8" s="5" t="n">
        <v>-0.5</v>
      </c>
      <c r="N8" s="5" t="n">
        <v>0.5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0.5</v>
      </c>
      <c r="T8" s="5" t="n">
        <v>0</v>
      </c>
      <c r="U8" s="5" t="n">
        <v>0</v>
      </c>
      <c r="V8" s="5" t="n">
        <v>0.5</v>
      </c>
      <c r="W8" s="5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1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</row>
    <row r="9">
      <c r="A9" t="n">
        <v>5</v>
      </c>
      <c r="B9" t="inlineStr">
        <is>
          <t>天琴座人</t>
        </is>
      </c>
      <c r="C9" t="inlineStr">
        <is>
          <t>Lyran</t>
        </is>
      </c>
      <c r="D9" s="5" t="n">
        <v>-0.5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0.5</v>
      </c>
      <c r="K9" s="5" t="n">
        <v>0</v>
      </c>
      <c r="L9" s="5" t="n">
        <v>1</v>
      </c>
      <c r="M9" s="5" t="n">
        <v>0</v>
      </c>
      <c r="N9" s="5" t="n">
        <v>1</v>
      </c>
      <c r="O9" s="5" t="n">
        <v>0.5</v>
      </c>
      <c r="P9" s="5" t="n">
        <v>0</v>
      </c>
      <c r="Q9" s="5" t="n">
        <v>-0.5</v>
      </c>
      <c r="R9" s="5" t="n">
        <v>0</v>
      </c>
      <c r="S9" s="5" t="n">
        <v>0</v>
      </c>
      <c r="T9" s="5" t="n">
        <v>0.5</v>
      </c>
      <c r="U9" s="5" t="n">
        <v>1</v>
      </c>
      <c r="V9" s="5" t="n">
        <v>0</v>
      </c>
      <c r="W9" s="5" t="n">
        <v>0</v>
      </c>
      <c r="X9" s="5" t="n">
        <v>-0.5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0.5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0.5</v>
      </c>
      <c r="AO9" s="5" t="n">
        <v>0</v>
      </c>
      <c r="AP9" s="5" t="n">
        <v>0</v>
      </c>
      <c r="AQ9" s="5" t="n">
        <v>0</v>
      </c>
      <c r="AR9" s="5" t="n">
        <v>0</v>
      </c>
    </row>
    <row r="10">
      <c r="A10" t="n">
        <v>6</v>
      </c>
      <c r="B10" t="inlineStr">
        <is>
          <t>獵戶座人</t>
        </is>
      </c>
      <c r="C10" t="inlineStr">
        <is>
          <t>Orion</t>
        </is>
      </c>
      <c r="D10" s="5" t="n">
        <v>-0.5</v>
      </c>
      <c r="E10" s="5" t="n">
        <v>-0.5</v>
      </c>
      <c r="F10" s="5" t="n">
        <v>0</v>
      </c>
      <c r="G10" s="5" t="n">
        <v>1</v>
      </c>
      <c r="H10" s="5" t="n">
        <v>0</v>
      </c>
      <c r="I10" s="5" t="n">
        <v>0</v>
      </c>
      <c r="J10" s="5" t="n">
        <v>0.5</v>
      </c>
      <c r="K10" s="5" t="n">
        <v>0</v>
      </c>
      <c r="L10" s="5" t="n">
        <v>0</v>
      </c>
      <c r="M10" s="5" t="n">
        <v>0</v>
      </c>
      <c r="N10" s="5" t="n">
        <v>-0.5</v>
      </c>
      <c r="O10" s="5" t="n">
        <v>0.5</v>
      </c>
      <c r="P10" s="5" t="n">
        <v>0.5</v>
      </c>
      <c r="Q10" s="5" t="n">
        <v>0</v>
      </c>
      <c r="R10" s="5" t="n">
        <v>0.5</v>
      </c>
      <c r="S10" s="5" t="n">
        <v>0</v>
      </c>
      <c r="T10" s="5" t="n">
        <v>0</v>
      </c>
      <c r="U10" s="5" t="n">
        <v>0</v>
      </c>
      <c r="V10" s="5" t="n">
        <v>1</v>
      </c>
      <c r="W10" s="5" t="n">
        <v>0</v>
      </c>
      <c r="X10" s="5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1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</row>
    <row r="11">
      <c r="A11" t="n">
        <v>7</v>
      </c>
      <c r="B11" t="inlineStr">
        <is>
          <t>明塔卡星人</t>
        </is>
      </c>
      <c r="C11" t="inlineStr">
        <is>
          <t>Mintakan</t>
        </is>
      </c>
      <c r="D11" s="5" t="n">
        <v>0</v>
      </c>
      <c r="E11" s="5" t="n">
        <v>0.5</v>
      </c>
      <c r="F11" s="5" t="n">
        <v>0</v>
      </c>
      <c r="G11" s="5" t="n">
        <v>-0.5</v>
      </c>
      <c r="H11" s="5" t="n">
        <v>-0.5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-0.5</v>
      </c>
      <c r="O11" s="5" t="n">
        <v>-1</v>
      </c>
      <c r="P11" s="5" t="n">
        <v>-0.5</v>
      </c>
      <c r="Q11" s="5" t="n">
        <v>0.5</v>
      </c>
      <c r="R11" s="5" t="n">
        <v>-0.5</v>
      </c>
      <c r="S11" s="5" t="n">
        <v>1</v>
      </c>
      <c r="T11" s="5" t="n">
        <v>0</v>
      </c>
      <c r="U11" s="5" t="n">
        <v>0</v>
      </c>
      <c r="V11" s="5" t="n">
        <v>0.5</v>
      </c>
      <c r="W11" s="5" t="n">
        <v>-0.5</v>
      </c>
      <c r="X11" s="5" t="n">
        <v>0</v>
      </c>
      <c r="Y11" s="5" t="n">
        <v>-1</v>
      </c>
      <c r="Z11" s="5" t="n">
        <v>1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</row>
    <row r="12">
      <c r="A12" t="n">
        <v>8</v>
      </c>
      <c r="B12" t="inlineStr">
        <is>
          <t>金星人</t>
        </is>
      </c>
      <c r="C12" t="inlineStr">
        <is>
          <t>Venusian</t>
        </is>
      </c>
      <c r="D12" s="5" t="n">
        <v>0</v>
      </c>
      <c r="E12" s="5" t="n">
        <v>0.5</v>
      </c>
      <c r="F12" s="5" t="n">
        <v>1</v>
      </c>
      <c r="G12" s="5" t="n">
        <v>-0.5</v>
      </c>
      <c r="H12" s="5" t="n">
        <v>-0.5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-1</v>
      </c>
      <c r="P12" s="5" t="n">
        <v>-0.5</v>
      </c>
      <c r="Q12" s="5" t="n">
        <v>0.5</v>
      </c>
      <c r="R12" s="5" t="n">
        <v>0</v>
      </c>
      <c r="S12" s="5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1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0.5</v>
      </c>
      <c r="AR12" s="5" t="n">
        <v>0</v>
      </c>
    </row>
    <row r="13">
      <c r="A13" t="n">
        <v>9</v>
      </c>
      <c r="B13" t="inlineStr">
        <is>
          <t>哈達爾星人</t>
        </is>
      </c>
      <c r="C13" t="inlineStr">
        <is>
          <t>Hadarian</t>
        </is>
      </c>
      <c r="D13" s="5" t="n">
        <v>0</v>
      </c>
      <c r="E13" s="5" t="n">
        <v>1</v>
      </c>
      <c r="F13" s="5" t="n">
        <v>0</v>
      </c>
      <c r="G13" s="5" t="n">
        <v>-0.5</v>
      </c>
      <c r="H13" s="5" t="n">
        <v>-0.5</v>
      </c>
      <c r="I13" s="5" t="n">
        <v>0.5</v>
      </c>
      <c r="J13" s="5" t="n">
        <v>-0.5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-1</v>
      </c>
      <c r="P13" s="5" t="n">
        <v>-1</v>
      </c>
      <c r="Q13" s="5" t="n">
        <v>0</v>
      </c>
      <c r="R13" s="5" t="n">
        <v>-0.5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</row>
    <row r="14">
      <c r="A14" t="n">
        <v>10</v>
      </c>
      <c r="B14" t="inlineStr">
        <is>
          <t>北極星人</t>
        </is>
      </c>
      <c r="C14" t="inlineStr">
        <is>
          <t>Polarian</t>
        </is>
      </c>
      <c r="D14" s="5" t="n">
        <v>0</v>
      </c>
      <c r="E14" s="5" t="n">
        <v>0.5</v>
      </c>
      <c r="F14" s="5" t="n">
        <v>0</v>
      </c>
      <c r="G14" s="5" t="n">
        <v>0</v>
      </c>
      <c r="H14" s="5" t="n">
        <v>0</v>
      </c>
      <c r="I14" s="5" t="n">
        <v>1</v>
      </c>
      <c r="J14" s="5" t="n">
        <v>0</v>
      </c>
      <c r="K14" s="5" t="n">
        <v>0</v>
      </c>
      <c r="L14" s="5" t="n">
        <v>-0.5</v>
      </c>
      <c r="M14" s="5" t="n">
        <v>0</v>
      </c>
      <c r="N14" s="5" t="n">
        <v>-0.5</v>
      </c>
      <c r="O14" s="5" t="n">
        <v>-0.5</v>
      </c>
      <c r="P14" s="5" t="n">
        <v>0</v>
      </c>
      <c r="Q14" s="5" t="n">
        <v>0.5</v>
      </c>
      <c r="R14" s="5" t="n">
        <v>1</v>
      </c>
      <c r="S14" s="5" t="n">
        <v>0</v>
      </c>
      <c r="T14" s="5" t="n">
        <v>0</v>
      </c>
      <c r="U14" s="5" t="n">
        <v>0.5</v>
      </c>
      <c r="V14" s="5" t="n">
        <v>0</v>
      </c>
      <c r="W14" s="5" t="n">
        <v>-1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</row>
    <row r="15">
      <c r="A15" t="n">
        <v>11</v>
      </c>
      <c r="B15" t="inlineStr">
        <is>
          <t>半人馬座α星人</t>
        </is>
      </c>
      <c r="C15" t="inlineStr">
        <is>
          <t>Alpha Centaurian</t>
        </is>
      </c>
      <c r="D15" s="5" t="n">
        <v>-0.5</v>
      </c>
      <c r="E15" s="5" t="n">
        <v>0</v>
      </c>
      <c r="F15" s="5" t="n">
        <v>-0.5</v>
      </c>
      <c r="G15" s="5" t="n">
        <v>0.5</v>
      </c>
      <c r="H15" s="5" t="n">
        <v>1</v>
      </c>
      <c r="I15" s="5" t="n">
        <v>0.5</v>
      </c>
      <c r="J15" s="5" t="n">
        <v>0</v>
      </c>
      <c r="K15" s="5" t="n">
        <v>0</v>
      </c>
      <c r="L15" s="5" t="n">
        <v>-0.5</v>
      </c>
      <c r="M15" s="5" t="n">
        <v>0</v>
      </c>
      <c r="N15" s="5" t="n">
        <v>-0.5</v>
      </c>
      <c r="O15" s="5" t="n">
        <v>-0.5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0.5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</row>
    <row r="16">
      <c r="A16" t="n">
        <v>12</v>
      </c>
      <c r="B16" t="inlineStr">
        <is>
          <t>織女星人</t>
        </is>
      </c>
      <c r="C16" t="inlineStr">
        <is>
          <t>Vegan</t>
        </is>
      </c>
      <c r="D16" s="5" t="n">
        <v>0</v>
      </c>
      <c r="E16" s="5" t="n">
        <v>-0.5</v>
      </c>
      <c r="F16" s="5" t="n">
        <v>0.5</v>
      </c>
      <c r="G16" s="5" t="n">
        <v>0.5</v>
      </c>
      <c r="H16" s="5" t="n">
        <v>0</v>
      </c>
      <c r="I16" s="5" t="n">
        <v>-0.5</v>
      </c>
      <c r="J16" s="5" t="n">
        <v>0.5</v>
      </c>
      <c r="K16" s="5" t="n">
        <v>0</v>
      </c>
      <c r="L16" s="5" t="n">
        <v>1</v>
      </c>
      <c r="M16" s="5" t="n">
        <v>0</v>
      </c>
      <c r="N16" s="5" t="n">
        <v>0.5</v>
      </c>
      <c r="O16" s="5" t="n">
        <v>0</v>
      </c>
      <c r="P16" s="5" t="n">
        <v>0.5</v>
      </c>
      <c r="Q16" s="5" t="n">
        <v>-0.5</v>
      </c>
      <c r="R16" s="5" t="n">
        <v>0</v>
      </c>
      <c r="S16" s="5" t="n">
        <v>0.5</v>
      </c>
      <c r="T16" s="5" t="n">
        <v>0</v>
      </c>
      <c r="U16" s="5" t="n">
        <v>0</v>
      </c>
      <c r="V16" s="5" t="n">
        <v>0.5</v>
      </c>
      <c r="W16" s="5" t="n">
        <v>1</v>
      </c>
      <c r="X16" s="5" t="n">
        <v>0.5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1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1</v>
      </c>
      <c r="AR16" s="5" t="n">
        <v>0</v>
      </c>
    </row>
    <row r="17">
      <c r="A17" t="n">
        <v>13</v>
      </c>
      <c r="B17" t="inlineStr">
        <is>
          <t>貓科星族</t>
        </is>
      </c>
      <c r="C17" t="inlineStr">
        <is>
          <t>Feline / Urmah</t>
        </is>
      </c>
      <c r="D17" s="5" t="n">
        <v>-0.5</v>
      </c>
      <c r="E17" s="5" t="n">
        <v>0</v>
      </c>
      <c r="F17" s="5" t="n">
        <v>0</v>
      </c>
      <c r="G17" s="5" t="n">
        <v>0</v>
      </c>
      <c r="H17" s="5" t="n">
        <v>-0.5</v>
      </c>
      <c r="I17" s="5" t="n">
        <v>0.5</v>
      </c>
      <c r="J17" s="5" t="n">
        <v>-0.5</v>
      </c>
      <c r="K17" s="5" t="n">
        <v>0</v>
      </c>
      <c r="L17" s="5" t="n">
        <v>1</v>
      </c>
      <c r="M17" s="5" t="n">
        <v>0</v>
      </c>
      <c r="N17" s="5" t="n">
        <v>-0.5</v>
      </c>
      <c r="O17" s="5" t="n">
        <v>0.5</v>
      </c>
      <c r="P17" s="5" t="n">
        <v>1</v>
      </c>
      <c r="Q17" s="5" t="n">
        <v>-0.5</v>
      </c>
      <c r="R17" s="5" t="n">
        <v>0.5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-0.5</v>
      </c>
      <c r="X17" s="5" t="n">
        <v>-0.5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</row>
    <row r="18">
      <c r="A18" t="n">
        <v>14</v>
      </c>
      <c r="B18" t="inlineStr">
        <is>
          <t>藍鳥人</t>
        </is>
      </c>
      <c r="C18" t="inlineStr">
        <is>
          <t>Avian / Blue Avian</t>
        </is>
      </c>
      <c r="D18" s="5" t="n">
        <v>-0.5</v>
      </c>
      <c r="E18" s="5" t="n">
        <v>-0.5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0.5</v>
      </c>
      <c r="M18" s="5" t="n">
        <v>0</v>
      </c>
      <c r="N18" s="5" t="n">
        <v>-0.5</v>
      </c>
      <c r="O18" s="5" t="n">
        <v>-0.5</v>
      </c>
      <c r="P18" s="5" t="n">
        <v>0</v>
      </c>
      <c r="Q18" s="5" t="n">
        <v>0</v>
      </c>
      <c r="R18" s="5" t="n">
        <v>0.5</v>
      </c>
      <c r="S18" s="5" t="n">
        <v>0</v>
      </c>
      <c r="T18" s="5" t="n">
        <v>0</v>
      </c>
      <c r="U18" s="5" t="n">
        <v>0</v>
      </c>
      <c r="V18" s="5" t="n">
        <v>1</v>
      </c>
      <c r="W18" s="5" t="n">
        <v>1</v>
      </c>
      <c r="X18" s="5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1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0.5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</row>
    <row r="19">
      <c r="A19" t="n">
        <v>15</v>
      </c>
      <c r="B19" t="inlineStr">
        <is>
          <t>火星人</t>
        </is>
      </c>
      <c r="C19" t="inlineStr">
        <is>
          <t>Martian</t>
        </is>
      </c>
      <c r="D19" s="5" t="n">
        <v>-0.5</v>
      </c>
      <c r="E19" s="5" t="n">
        <v>0</v>
      </c>
      <c r="F19" s="5" t="n">
        <v>-0.5</v>
      </c>
      <c r="G19" s="5" t="n">
        <v>-0.5</v>
      </c>
      <c r="H19" s="5" t="n">
        <v>-0.5</v>
      </c>
      <c r="I19" s="5" t="n">
        <v>-0.5</v>
      </c>
      <c r="J19" s="5" t="n">
        <v>-0.5</v>
      </c>
      <c r="K19" s="5" t="n">
        <v>0</v>
      </c>
      <c r="L19" s="5" t="n">
        <v>0.5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-0.5</v>
      </c>
      <c r="R19" s="5" t="n">
        <v>-0.5</v>
      </c>
      <c r="S19" s="5" t="n">
        <v>0</v>
      </c>
      <c r="T19" s="5" t="n">
        <v>1</v>
      </c>
      <c r="U19" s="5" t="n">
        <v>0</v>
      </c>
      <c r="V19" s="5" t="n">
        <v>0</v>
      </c>
      <c r="W19" s="5" t="n">
        <v>0</v>
      </c>
      <c r="X19" s="5" t="n">
        <v>-0.5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</row>
    <row r="20">
      <c r="A20" t="n">
        <v>16</v>
      </c>
      <c r="B20" t="inlineStr">
        <is>
          <t>馬爾德克人</t>
        </is>
      </c>
      <c r="C20" t="inlineStr">
        <is>
          <t>Maldekian</t>
        </is>
      </c>
      <c r="D20" s="5" t="n">
        <v>-0.5</v>
      </c>
      <c r="E20" s="5" t="n">
        <v>0.5</v>
      </c>
      <c r="F20" s="5" t="n">
        <v>-0.5</v>
      </c>
      <c r="G20" s="5" t="n">
        <v>1</v>
      </c>
      <c r="H20" s="5" t="n">
        <v>0.5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-0.5</v>
      </c>
      <c r="O20" s="5" t="n">
        <v>0</v>
      </c>
      <c r="P20" s="5" t="n">
        <v>1</v>
      </c>
      <c r="Q20" s="5" t="n">
        <v>-0.5</v>
      </c>
      <c r="R20" s="5" t="n">
        <v>1</v>
      </c>
      <c r="S20" s="5" t="n">
        <v>0</v>
      </c>
      <c r="T20" s="5" t="n">
        <v>0.5</v>
      </c>
      <c r="U20" s="5" t="n">
        <v>1</v>
      </c>
      <c r="V20" s="5" t="n">
        <v>0</v>
      </c>
      <c r="W20" s="5" t="n">
        <v>-0.5</v>
      </c>
      <c r="X20" s="5" t="n">
        <v>0</v>
      </c>
      <c r="Y20" s="5" t="n">
        <v>0</v>
      </c>
      <c r="Z20" s="5" t="n">
        <v>0</v>
      </c>
      <c r="AA20" s="5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</row>
    <row r="21">
      <c r="A21" t="n">
        <v>17</v>
      </c>
      <c r="B21" t="inlineStr">
        <is>
          <t>天龍座人</t>
        </is>
      </c>
      <c r="C21" t="inlineStr">
        <is>
          <t>Draconian</t>
        </is>
      </c>
      <c r="D21" s="5" t="n">
        <v>-0.5</v>
      </c>
      <c r="E21" s="5" t="n">
        <v>-0.5</v>
      </c>
      <c r="F21" s="5" t="n">
        <v>-0.5</v>
      </c>
      <c r="G21" s="5" t="n">
        <v>0</v>
      </c>
      <c r="H21" s="5" t="n">
        <v>0.5</v>
      </c>
      <c r="I21" s="5" t="n">
        <v>0.5</v>
      </c>
      <c r="J21" s="5" t="n">
        <v>0.5</v>
      </c>
      <c r="K21" s="5" t="n">
        <v>0</v>
      </c>
      <c r="L21" s="5" t="n">
        <v>-0.5</v>
      </c>
      <c r="M21" s="5" t="n">
        <v>1</v>
      </c>
      <c r="N21" s="5" t="n">
        <v>0.5</v>
      </c>
      <c r="O21" s="5" t="n">
        <v>0.5</v>
      </c>
      <c r="P21" s="5" t="n">
        <v>0.5</v>
      </c>
      <c r="Q21" s="5" t="n">
        <v>-0.5</v>
      </c>
      <c r="R21" s="5" t="n">
        <v>0.5</v>
      </c>
      <c r="S21" s="5" t="n">
        <v>0</v>
      </c>
      <c r="T21" s="5" t="n">
        <v>1</v>
      </c>
      <c r="U21" s="5" t="n">
        <v>0.5</v>
      </c>
      <c r="V21" s="5" t="n">
        <v>0</v>
      </c>
      <c r="W21" s="5" t="n">
        <v>-0.5</v>
      </c>
      <c r="X21" s="5" t="n">
        <v>-0.5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</row>
    <row r="22">
      <c r="A22" t="n">
        <v>18</v>
      </c>
      <c r="B22" t="inlineStr">
        <is>
          <t>爬蟲族</t>
        </is>
      </c>
      <c r="C22" t="inlineStr">
        <is>
          <t>Reptilian</t>
        </is>
      </c>
      <c r="D22" s="5" t="n">
        <v>-0.5</v>
      </c>
      <c r="E22" s="5" t="n">
        <v>-0.5</v>
      </c>
      <c r="F22" s="5" t="n">
        <v>-0.5</v>
      </c>
      <c r="G22" s="5" t="n">
        <v>0</v>
      </c>
      <c r="H22" s="5" t="n">
        <v>0</v>
      </c>
      <c r="I22" s="5" t="n">
        <v>-0.5</v>
      </c>
      <c r="J22" s="5" t="n">
        <v>-0.5</v>
      </c>
      <c r="K22" s="5" t="n">
        <v>0</v>
      </c>
      <c r="L22" s="5" t="n">
        <v>0.5</v>
      </c>
      <c r="M22" s="5" t="n">
        <v>0</v>
      </c>
      <c r="N22" s="5" t="n">
        <v>0.5</v>
      </c>
      <c r="O22" s="5" t="n">
        <v>0.5</v>
      </c>
      <c r="P22" s="5" t="n">
        <v>1</v>
      </c>
      <c r="Q22" s="5" t="n">
        <v>-0.5</v>
      </c>
      <c r="R22" s="5" t="n">
        <v>-0.5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v>0</v>
      </c>
      <c r="X22" s="5" t="n">
        <v>-0.5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1</v>
      </c>
      <c r="AQ22" s="5" t="n">
        <v>0</v>
      </c>
      <c r="AR22" s="5" t="n">
        <v>0</v>
      </c>
    </row>
    <row r="23">
      <c r="A23" t="n">
        <v>19</v>
      </c>
      <c r="B23" t="inlineStr">
        <is>
          <t>灰人</t>
        </is>
      </c>
      <c r="C23" t="inlineStr">
        <is>
          <t>Zeta / Grey</t>
        </is>
      </c>
      <c r="D23" s="5" t="n">
        <v>-1</v>
      </c>
      <c r="E23" s="5" t="n">
        <v>-1</v>
      </c>
      <c r="F23" s="5" t="n">
        <v>-0.5</v>
      </c>
      <c r="G23" s="5" t="n">
        <v>1</v>
      </c>
      <c r="H23" s="5" t="n">
        <v>0.5</v>
      </c>
      <c r="I23" s="5" t="n">
        <v>0.5</v>
      </c>
      <c r="J23" s="5" t="n">
        <v>0.5</v>
      </c>
      <c r="K23" s="5" t="n">
        <v>0</v>
      </c>
      <c r="L23" s="5" t="n">
        <v>0</v>
      </c>
      <c r="M23" s="5" t="n">
        <v>0</v>
      </c>
      <c r="N23" s="5" t="n">
        <v>-1</v>
      </c>
      <c r="O23" s="5" t="n">
        <v>-0.5</v>
      </c>
      <c r="P23" s="5" t="n">
        <v>0.5</v>
      </c>
      <c r="Q23" s="5" t="n">
        <v>-0.5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</row>
    <row r="24">
      <c r="A24" t="n">
        <v>20</v>
      </c>
      <c r="B24" t="inlineStr">
        <is>
          <t>阿努納奇</t>
        </is>
      </c>
      <c r="C24" t="inlineStr">
        <is>
          <t>Anunnaki / Nibiruan</t>
        </is>
      </c>
      <c r="D24" s="5" t="n">
        <v>-0.5</v>
      </c>
      <c r="E24" s="5" t="n">
        <v>-0.5</v>
      </c>
      <c r="F24" s="5" t="n">
        <v>-0.5</v>
      </c>
      <c r="G24" s="5" t="n">
        <v>0</v>
      </c>
      <c r="H24" s="5" t="n">
        <v>1</v>
      </c>
      <c r="I24" s="5" t="n">
        <v>1</v>
      </c>
      <c r="J24" s="5" t="n">
        <v>1</v>
      </c>
      <c r="K24" s="5" t="n">
        <v>0</v>
      </c>
      <c r="L24" s="5" t="n">
        <v>-0.5</v>
      </c>
      <c r="M24" s="5" t="n">
        <v>1</v>
      </c>
      <c r="N24" s="5" t="n">
        <v>0</v>
      </c>
      <c r="O24" s="5" t="n">
        <v>0.5</v>
      </c>
      <c r="P24" s="5" t="n">
        <v>0.5</v>
      </c>
      <c r="Q24" s="5" t="n">
        <v>-0.5</v>
      </c>
      <c r="R24" s="5" t="n">
        <v>0.5</v>
      </c>
      <c r="S24" s="5" t="n">
        <v>0</v>
      </c>
      <c r="T24" s="5" t="n">
        <v>0.5</v>
      </c>
      <c r="U24" s="5" t="n">
        <v>1</v>
      </c>
      <c r="V24" s="5" t="n">
        <v>0</v>
      </c>
      <c r="W24" s="5" t="n">
        <v>-0.5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</row>
    <row r="25">
      <c r="A25" t="n">
        <v>21</v>
      </c>
      <c r="B25" t="inlineStr">
        <is>
          <t>鯨魚座τ星人</t>
        </is>
      </c>
      <c r="C25" t="inlineStr">
        <is>
          <t>Tau Cetian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0.5</v>
      </c>
      <c r="I25" s="5" t="n">
        <v>0.5</v>
      </c>
      <c r="J25" s="5" t="n">
        <v>0.5</v>
      </c>
      <c r="K25" s="5" t="n">
        <v>0</v>
      </c>
      <c r="L25" s="5" t="n">
        <v>0</v>
      </c>
      <c r="M25" s="5" t="n">
        <v>-0.5</v>
      </c>
      <c r="N25" s="5" t="n">
        <v>0</v>
      </c>
      <c r="O25" s="5" t="n">
        <v>-0.5</v>
      </c>
      <c r="P25" s="5" t="n">
        <v>-0.5</v>
      </c>
      <c r="Q25" s="5" t="n">
        <v>1</v>
      </c>
      <c r="R25" s="5" t="n">
        <v>0.5</v>
      </c>
      <c r="S25" s="5" t="n">
        <v>0</v>
      </c>
      <c r="T25" s="5" t="n">
        <v>0</v>
      </c>
      <c r="U25" s="5" t="n">
        <v>0</v>
      </c>
      <c r="V25" s="5" t="n">
        <v>0.5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</row>
    <row r="26">
      <c r="A26" t="n">
        <v>22</v>
      </c>
      <c r="B26" t="inlineStr">
        <is>
          <t>安塔瑞斯星人</t>
        </is>
      </c>
      <c r="C26" t="inlineStr">
        <is>
          <t>Antarian</t>
        </is>
      </c>
      <c r="D26" s="5" t="n">
        <v>-0.5</v>
      </c>
      <c r="E26" s="5" t="n">
        <v>0</v>
      </c>
      <c r="F26" s="5" t="n">
        <v>-0.5</v>
      </c>
      <c r="G26" s="5" t="n">
        <v>0</v>
      </c>
      <c r="H26" s="5" t="n">
        <v>0.5</v>
      </c>
      <c r="I26" s="5" t="n">
        <v>0.5</v>
      </c>
      <c r="J26" s="5" t="n">
        <v>0.5</v>
      </c>
      <c r="K26" s="5" t="n">
        <v>0</v>
      </c>
      <c r="L26" s="5" t="n">
        <v>0</v>
      </c>
      <c r="M26" s="5" t="n">
        <v>0</v>
      </c>
      <c r="N26" s="5" t="n">
        <v>-0.5</v>
      </c>
      <c r="O26" s="5" t="n">
        <v>0.5</v>
      </c>
      <c r="P26" s="5" t="n">
        <v>1</v>
      </c>
      <c r="Q26" s="5" t="n">
        <v>0</v>
      </c>
      <c r="R26" s="5" t="n">
        <v>1</v>
      </c>
      <c r="S26" s="5" t="n">
        <v>0</v>
      </c>
      <c r="T26" s="5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1</v>
      </c>
      <c r="AP26" s="5" t="n">
        <v>0</v>
      </c>
      <c r="AQ26" s="5" t="n">
        <v>0</v>
      </c>
      <c r="AR26" s="5" t="n">
        <v>0</v>
      </c>
    </row>
    <row r="27">
      <c r="A27" t="n">
        <v>23</v>
      </c>
      <c r="B27" t="inlineStr">
        <is>
          <t>地球源靈魂</t>
        </is>
      </c>
      <c r="C27" t="inlineStr">
        <is>
          <t>Earth-Origin Soul</t>
        </is>
      </c>
      <c r="D27" s="5" t="n">
        <v>0</v>
      </c>
      <c r="E27" s="5" t="n">
        <v>0.5</v>
      </c>
      <c r="F27" s="5" t="n">
        <v>0</v>
      </c>
      <c r="G27" s="5" t="n">
        <v>0</v>
      </c>
      <c r="H27" s="5" t="n">
        <v>0</v>
      </c>
      <c r="I27" s="5" t="n">
        <v>0.5</v>
      </c>
      <c r="J27" s="5" t="n">
        <v>-0.5</v>
      </c>
      <c r="K27" s="5" t="n">
        <v>0</v>
      </c>
      <c r="L27" s="5" t="n">
        <v>-0.5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0.5</v>
      </c>
      <c r="R27" s="5" t="n">
        <v>0.5</v>
      </c>
      <c r="S27" s="5" t="n">
        <v>0.5</v>
      </c>
      <c r="T27" s="5" t="n">
        <v>0.5</v>
      </c>
      <c r="U27" s="5" t="n">
        <v>1</v>
      </c>
      <c r="V27" s="5" t="n">
        <v>0</v>
      </c>
      <c r="W27" s="5" t="n">
        <v>-1</v>
      </c>
      <c r="X27" s="5" t="n">
        <v>0</v>
      </c>
      <c r="Y27" s="5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</row>
  </sheetData>
  <mergeCells count="2">
    <mergeCell ref="A1:AR1"/>
    <mergeCell ref="A2:A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84"/>
  <sheetViews>
    <sheetView showGridLines="0" workbookViewId="0">
      <pane xSplit="11" ySplit="4" topLeftCell="L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32" customWidth="1" min="4" max="4"/>
    <col width="22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</cols>
  <sheetData>
    <row r="1" ht="30" customHeight="1">
      <c r="A1" s="1" t="inlineStr">
        <is>
          <t>80-Item Pole Direction Model</t>
        </is>
      </c>
    </row>
    <row r="2" ht="38" customHeight="1">
      <c r="A2" s="2" t="inlineStr">
        <is>
          <t>Positive coefficient means higher feature value supports Pole A. Local/anchor directions are Canon-target centroid differences; G30 is also centered because it is a named CRITICAL separator.</t>
        </is>
      </c>
    </row>
    <row r="3"/>
    <row r="4">
      <c r="A4" s="3" t="inlineStr">
        <is>
          <t>Slot</t>
        </is>
      </c>
      <c r="B4" s="3" t="inlineStr">
        <is>
          <t>Layer</t>
        </is>
      </c>
      <c r="C4" s="3" t="inlineStr">
        <is>
          <t>Contrast</t>
        </is>
      </c>
      <c r="D4" s="3" t="inlineStr">
        <is>
          <t>Target</t>
        </is>
      </c>
      <c r="E4" s="3" t="inlineStr">
        <is>
          <t>Mode</t>
        </is>
      </c>
      <c r="F4" s="3" t="inlineStr">
        <is>
          <t>A target</t>
        </is>
      </c>
      <c r="G4" s="3" t="inlineStr">
        <is>
          <t>B target</t>
        </is>
      </c>
      <c r="H4" s="3" t="inlineStr">
        <is>
          <t>Raw A</t>
        </is>
      </c>
      <c r="I4" s="3" t="inlineStr">
        <is>
          <t>Raw B</t>
        </is>
      </c>
      <c r="J4" s="3" t="inlineStr">
        <is>
          <t>Midpoint</t>
        </is>
      </c>
      <c r="K4" s="3" t="inlineStr">
        <is>
          <t>Raw gap</t>
        </is>
      </c>
      <c r="L4" s="3" t="inlineStr">
        <is>
          <t>D01</t>
        </is>
      </c>
      <c r="M4" s="3" t="inlineStr">
        <is>
          <t>D02</t>
        </is>
      </c>
      <c r="N4" s="3" t="inlineStr">
        <is>
          <t>D03</t>
        </is>
      </c>
      <c r="O4" s="3" t="inlineStr">
        <is>
          <t>D04</t>
        </is>
      </c>
      <c r="P4" s="3" t="inlineStr">
        <is>
          <t>D05</t>
        </is>
      </c>
      <c r="Q4" s="3" t="inlineStr">
        <is>
          <t>D06</t>
        </is>
      </c>
      <c r="R4" s="3" t="inlineStr">
        <is>
          <t>D07</t>
        </is>
      </c>
      <c r="S4" s="3" t="inlineStr">
        <is>
          <t>D08</t>
        </is>
      </c>
      <c r="T4" s="3" t="inlineStr">
        <is>
          <t>D09</t>
        </is>
      </c>
      <c r="U4" s="3" t="inlineStr">
        <is>
          <t>D10</t>
        </is>
      </c>
      <c r="V4" s="3" t="inlineStr">
        <is>
          <t>D11</t>
        </is>
      </c>
      <c r="W4" s="3" t="inlineStr">
        <is>
          <t>D12</t>
        </is>
      </c>
      <c r="X4" s="3" t="inlineStr">
        <is>
          <t>D13</t>
        </is>
      </c>
      <c r="Y4" s="3" t="inlineStr">
        <is>
          <t>D14</t>
        </is>
      </c>
      <c r="Z4" s="3" t="inlineStr">
        <is>
          <t>D15</t>
        </is>
      </c>
      <c r="AA4" s="3" t="inlineStr">
        <is>
          <t>D16</t>
        </is>
      </c>
      <c r="AB4" s="3" t="inlineStr">
        <is>
          <t>D17</t>
        </is>
      </c>
      <c r="AC4" s="3" t="inlineStr">
        <is>
          <t>D18</t>
        </is>
      </c>
      <c r="AD4" s="3" t="inlineStr">
        <is>
          <t>D19</t>
        </is>
      </c>
      <c r="AE4" s="3" t="inlineStr">
        <is>
          <t>D20</t>
        </is>
      </c>
      <c r="AF4" s="3" t="inlineStr">
        <is>
          <t>D21</t>
        </is>
      </c>
      <c r="AG4" s="3" t="inlineStr">
        <is>
          <t>D22</t>
        </is>
      </c>
      <c r="AH4" s="3" t="inlineStr">
        <is>
          <t>M01</t>
        </is>
      </c>
      <c r="AI4" s="3" t="inlineStr">
        <is>
          <t>M02</t>
        </is>
      </c>
      <c r="AJ4" s="3" t="inlineStr">
        <is>
          <t>M03</t>
        </is>
      </c>
      <c r="AK4" s="3" t="inlineStr">
        <is>
          <t>M04</t>
        </is>
      </c>
      <c r="AL4" s="3" t="inlineStr">
        <is>
          <t>M05</t>
        </is>
      </c>
      <c r="AM4" s="3" t="inlineStr">
        <is>
          <t>M06</t>
        </is>
      </c>
      <c r="AN4" s="3" t="inlineStr">
        <is>
          <t>M07</t>
        </is>
      </c>
      <c r="AO4" s="3" t="inlineStr">
        <is>
          <t>M08</t>
        </is>
      </c>
      <c r="AP4" s="3" t="inlineStr">
        <is>
          <t>M09</t>
        </is>
      </c>
      <c r="AQ4" s="3" t="inlineStr">
        <is>
          <t>M10</t>
        </is>
      </c>
      <c r="AR4" s="3" t="inlineStr">
        <is>
          <t>M11</t>
        </is>
      </c>
      <c r="AS4" s="3" t="inlineStr">
        <is>
          <t>M12</t>
        </is>
      </c>
      <c r="AT4" s="3" t="inlineStr">
        <is>
          <t>M13</t>
        </is>
      </c>
      <c r="AU4" s="3" t="inlineStr">
        <is>
          <t>M14</t>
        </is>
      </c>
      <c r="AV4" s="3" t="inlineStr">
        <is>
          <t>M15</t>
        </is>
      </c>
      <c r="AW4" s="3" t="inlineStr">
        <is>
          <t>M16</t>
        </is>
      </c>
      <c r="AX4" s="3" t="inlineStr">
        <is>
          <t>M17</t>
        </is>
      </c>
      <c r="AY4" s="3" t="inlineStr">
        <is>
          <t>M18</t>
        </is>
      </c>
      <c r="AZ4" s="3" t="inlineStr">
        <is>
          <t>M19</t>
        </is>
      </c>
    </row>
    <row r="5">
      <c r="A5" s="4" t="inlineStr">
        <is>
          <t>G01</t>
        </is>
      </c>
      <c r="B5" s="4" t="inlineStr">
        <is>
          <t>GLOBAL</t>
        </is>
      </c>
      <c r="C5" s="4" t="inlineStr">
        <is>
          <t>情緒場滲透 ↔ 證據驗證</t>
        </is>
      </c>
      <c r="D5" s="4" t="inlineStr">
        <is>
          <t>—</t>
        </is>
      </c>
      <c r="E5" s="4" t="inlineStr">
        <is>
          <t>ABSOLUTE SEMANTIC</t>
        </is>
      </c>
      <c r="F5" s="4" t="inlineStr">
        <is>
          <t>—</t>
        </is>
      </c>
      <c r="G5" s="4" t="inlineStr">
        <is>
          <t>—</t>
        </is>
      </c>
      <c r="H5" s="6" t="n"/>
      <c r="I5" s="6" t="n"/>
      <c r="J5" s="6" t="n">
        <v>0</v>
      </c>
      <c r="K5" s="6" t="n"/>
      <c r="L5" s="5" t="n">
        <v>0.5</v>
      </c>
      <c r="M5" s="5" t="n">
        <v>0</v>
      </c>
      <c r="N5" s="5" t="n">
        <v>0</v>
      </c>
      <c r="O5" s="5" t="n">
        <v>-0.5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</row>
    <row r="6">
      <c r="A6" s="4" t="inlineStr">
        <is>
          <t>G02</t>
        </is>
      </c>
      <c r="B6" s="4" t="inlineStr">
        <is>
          <t>GLOBAL</t>
        </is>
      </c>
      <c r="C6" s="4" t="inlineStr">
        <is>
          <t>深度關係投入 ↔ 自主決策</t>
        </is>
      </c>
      <c r="D6" s="4" t="inlineStr">
        <is>
          <t>—</t>
        </is>
      </c>
      <c r="E6" s="4" t="inlineStr">
        <is>
          <t>ABSOLUTE SEMANTIC</t>
        </is>
      </c>
      <c r="F6" s="4" t="inlineStr">
        <is>
          <t>—</t>
        </is>
      </c>
      <c r="G6" s="4" t="inlineStr">
        <is>
          <t>—</t>
        </is>
      </c>
      <c r="H6" s="6" t="n"/>
      <c r="I6" s="6" t="n"/>
      <c r="J6" s="6" t="n">
        <v>0</v>
      </c>
      <c r="K6" s="6" t="n"/>
      <c r="L6" s="5" t="n">
        <v>0</v>
      </c>
      <c r="M6" s="5" t="n">
        <v>0.5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-0.5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</row>
    <row r="7">
      <c r="A7" s="4" t="inlineStr">
        <is>
          <t>G03</t>
        </is>
      </c>
      <c r="B7" s="4" t="inlineStr">
        <is>
          <t>GLOBAL</t>
        </is>
      </c>
      <c r="C7" s="4" t="inlineStr">
        <is>
          <t>審美感官介入 ↔ 機制系統解法</t>
        </is>
      </c>
      <c r="D7" s="4" t="inlineStr">
        <is>
          <t>—</t>
        </is>
      </c>
      <c r="E7" s="4" t="inlineStr">
        <is>
          <t>ABSOLUTE SEMANTIC</t>
        </is>
      </c>
      <c r="F7" s="4" t="inlineStr">
        <is>
          <t>—</t>
        </is>
      </c>
      <c r="G7" s="4" t="inlineStr">
        <is>
          <t>—</t>
        </is>
      </c>
      <c r="H7" s="6" t="n"/>
      <c r="I7" s="6" t="n"/>
      <c r="J7" s="6" t="n">
        <v>0</v>
      </c>
      <c r="K7" s="6" t="n"/>
      <c r="L7" s="5" t="n">
        <v>0</v>
      </c>
      <c r="M7" s="5" t="n">
        <v>0</v>
      </c>
      <c r="N7" s="5" t="n">
        <v>0.5</v>
      </c>
      <c r="O7" s="5" t="n">
        <v>0</v>
      </c>
      <c r="P7" s="5" t="n">
        <v>-0.5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</row>
    <row r="8">
      <c r="A8" s="4" t="inlineStr">
        <is>
          <t>G04</t>
        </is>
      </c>
      <c r="B8" s="4" t="inlineStr">
        <is>
          <t>GLOBAL</t>
        </is>
      </c>
      <c r="C8" s="4" t="inlineStr">
        <is>
          <t>高驗證需求 ↔ 先採用暫時性直覺/經驗</t>
        </is>
      </c>
      <c r="D8" s="4" t="inlineStr">
        <is>
          <t>—</t>
        </is>
      </c>
      <c r="E8" s="4" t="inlineStr">
        <is>
          <t>ABSOLUTE SEMANTIC</t>
        </is>
      </c>
      <c r="F8" s="4" t="inlineStr">
        <is>
          <t>—</t>
        </is>
      </c>
      <c r="G8" s="4" t="inlineStr">
        <is>
          <t>—</t>
        </is>
      </c>
      <c r="H8" s="6" t="n"/>
      <c r="I8" s="6" t="n"/>
      <c r="J8" s="6" t="n">
        <v>0</v>
      </c>
      <c r="K8" s="6" t="n"/>
      <c r="L8" s="5" t="n">
        <v>0</v>
      </c>
      <c r="M8" s="5" t="n">
        <v>0</v>
      </c>
      <c r="N8" s="5" t="n">
        <v>0</v>
      </c>
      <c r="O8" s="5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</row>
    <row r="9">
      <c r="A9" s="4" t="inlineStr">
        <is>
          <t>G05</t>
        </is>
      </c>
      <c r="B9" s="4" t="inlineStr">
        <is>
          <t>GLOBAL</t>
        </is>
      </c>
      <c r="C9" s="4" t="inlineStr">
        <is>
          <t>機制系統建模 ↔ 情緒場讀取</t>
        </is>
      </c>
      <c r="D9" s="4" t="inlineStr">
        <is>
          <t>—</t>
        </is>
      </c>
      <c r="E9" s="4" t="inlineStr">
        <is>
          <t>ABSOLUTE SEMANTIC</t>
        </is>
      </c>
      <c r="F9" s="4" t="inlineStr">
        <is>
          <t>—</t>
        </is>
      </c>
      <c r="G9" s="4" t="inlineStr">
        <is>
          <t>—</t>
        </is>
      </c>
      <c r="H9" s="6" t="n"/>
      <c r="I9" s="6" t="n"/>
      <c r="J9" s="6" t="n">
        <v>0</v>
      </c>
      <c r="K9" s="6" t="n"/>
      <c r="L9" s="5" t="n">
        <v>-0.5</v>
      </c>
      <c r="M9" s="5" t="n">
        <v>0</v>
      </c>
      <c r="N9" s="5" t="n">
        <v>0</v>
      </c>
      <c r="O9" s="5" t="n">
        <v>0</v>
      </c>
      <c r="P9" s="5" t="n">
        <v>0.5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</row>
    <row r="10">
      <c r="A10" s="4" t="inlineStr">
        <is>
          <t>G06</t>
        </is>
      </c>
      <c r="B10" s="4" t="inlineStr">
        <is>
          <t>GLOBAL</t>
        </is>
      </c>
      <c r="C10" s="4" t="inlineStr">
        <is>
          <t>長期持續 ↔ 快速啟動</t>
        </is>
      </c>
      <c r="D10" s="4" t="inlineStr">
        <is>
          <t>—</t>
        </is>
      </c>
      <c r="E10" s="4" t="inlineStr">
        <is>
          <t>ABSOLUTE SEMANTIC</t>
        </is>
      </c>
      <c r="F10" s="4" t="inlineStr">
        <is>
          <t>—</t>
        </is>
      </c>
      <c r="G10" s="4" t="inlineStr">
        <is>
          <t>—</t>
        </is>
      </c>
      <c r="H10" s="6" t="n"/>
      <c r="I10" s="6" t="n"/>
      <c r="J10" s="6" t="n">
        <v>0</v>
      </c>
      <c r="K10" s="6" t="n"/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0.5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-0.5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</row>
    <row r="11">
      <c r="A11" s="4" t="inlineStr">
        <is>
          <t>G07</t>
        </is>
      </c>
      <c r="B11" s="4" t="inlineStr">
        <is>
          <t>GLOBAL</t>
        </is>
      </c>
      <c r="C11" s="4" t="inlineStr">
        <is>
          <t>宏觀視角 ↔ 局部/地面視角</t>
        </is>
      </c>
      <c r="D11" s="4" t="inlineStr">
        <is>
          <t>—</t>
        </is>
      </c>
      <c r="E11" s="4" t="inlineStr">
        <is>
          <t>ABSOLUTE SEMANTIC</t>
        </is>
      </c>
      <c r="F11" s="4" t="inlineStr">
        <is>
          <t>—</t>
        </is>
      </c>
      <c r="G11" s="4" t="inlineStr">
        <is>
          <t>—</t>
        </is>
      </c>
      <c r="H11" s="6" t="n"/>
      <c r="I11" s="6" t="n"/>
      <c r="J11" s="6" t="n">
        <v>0</v>
      </c>
      <c r="K11" s="6" t="n"/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</row>
    <row r="12">
      <c r="A12" s="4" t="inlineStr">
        <is>
          <t>G08</t>
        </is>
      </c>
      <c r="B12" s="4" t="inlineStr">
        <is>
          <t>GLOBAL</t>
        </is>
      </c>
      <c r="C12" s="4" t="inlineStr">
        <is>
          <t>探索移動 ↔ 扎根延續</t>
        </is>
      </c>
      <c r="D12" s="4" t="inlineStr">
        <is>
          <t>—</t>
        </is>
      </c>
      <c r="E12" s="4" t="inlineStr">
        <is>
          <t>ABSOLUTE SEMANTIC</t>
        </is>
      </c>
      <c r="F12" s="4" t="inlineStr">
        <is>
          <t>—</t>
        </is>
      </c>
      <c r="G12" s="4" t="inlineStr">
        <is>
          <t>—</t>
        </is>
      </c>
      <c r="H12" s="6" t="n"/>
      <c r="I12" s="6" t="n"/>
      <c r="J12" s="6" t="n">
        <v>0</v>
      </c>
      <c r="K12" s="6" t="n"/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1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</row>
    <row r="13">
      <c r="A13" s="4" t="inlineStr">
        <is>
          <t>G09</t>
        </is>
      </c>
      <c r="B13" s="4" t="inlineStr">
        <is>
          <t>GLOBAL</t>
        </is>
      </c>
      <c r="C13" s="4" t="inlineStr">
        <is>
          <t>自主決策 ↔ 接受協調約束/角色義務</t>
        </is>
      </c>
      <c r="D13" s="4" t="inlineStr">
        <is>
          <t>—</t>
        </is>
      </c>
      <c r="E13" s="4" t="inlineStr">
        <is>
          <t>ABSOLUTE SEMANTIC</t>
        </is>
      </c>
      <c r="F13" s="4" t="inlineStr">
        <is>
          <t>—</t>
        </is>
      </c>
      <c r="G13" s="4" t="inlineStr">
        <is>
          <t>—</t>
        </is>
      </c>
      <c r="H13" s="6" t="n"/>
      <c r="I13" s="6" t="n"/>
      <c r="J13" s="6" t="n">
        <v>0</v>
      </c>
      <c r="K13" s="6" t="n"/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</row>
    <row r="14">
      <c r="A14" s="4" t="inlineStr">
        <is>
          <t>G10</t>
        </is>
      </c>
      <c r="B14" s="4" t="inlineStr">
        <is>
          <t>GLOBAL</t>
        </is>
      </c>
      <c r="C14" s="4" t="inlineStr">
        <is>
          <t>集中指揮 ↔ 分散共治</t>
        </is>
      </c>
      <c r="D14" s="4" t="inlineStr">
        <is>
          <t>—</t>
        </is>
      </c>
      <c r="E14" s="4" t="inlineStr">
        <is>
          <t>ABSOLUTE SEMANTIC</t>
        </is>
      </c>
      <c r="F14" s="4" t="inlineStr">
        <is>
          <t>—</t>
        </is>
      </c>
      <c r="G14" s="4" t="inlineStr">
        <is>
          <t>—</t>
        </is>
      </c>
      <c r="H14" s="6" t="n"/>
      <c r="I14" s="6" t="n"/>
      <c r="J14" s="6" t="n">
        <v>0</v>
      </c>
      <c r="K14" s="6" t="n"/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</row>
    <row r="15">
      <c r="A15" s="4" t="inlineStr">
        <is>
          <t>G11</t>
        </is>
      </c>
      <c r="B15" s="4" t="inlineStr">
        <is>
          <t>GLOBAL</t>
        </is>
      </c>
      <c r="C15" s="4" t="inlineStr">
        <is>
          <t>立即啟動 ↔ 先觀察延後</t>
        </is>
      </c>
      <c r="D15" s="4" t="inlineStr">
        <is>
          <t>—</t>
        </is>
      </c>
      <c r="E15" s="4" t="inlineStr">
        <is>
          <t>ABSOLUTE SEMANTIC</t>
        </is>
      </c>
      <c r="F15" s="4" t="inlineStr">
        <is>
          <t>—</t>
        </is>
      </c>
      <c r="G15" s="4" t="inlineStr">
        <is>
          <t>—</t>
        </is>
      </c>
      <c r="H15" s="6" t="n"/>
      <c r="I15" s="6" t="n"/>
      <c r="J15" s="6" t="n">
        <v>0</v>
      </c>
      <c r="K15" s="6" t="n"/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</row>
    <row r="16">
      <c r="A16" s="4" t="inlineStr">
        <is>
          <t>G12</t>
        </is>
      </c>
      <c r="B16" s="4" t="inlineStr">
        <is>
          <t>GLOBAL</t>
        </is>
      </c>
      <c r="C16" s="4" t="inlineStr">
        <is>
          <t>直接處理衝突 ↔ 間接/降溫處理</t>
        </is>
      </c>
      <c r="D16" s="4" t="inlineStr">
        <is>
          <t>—</t>
        </is>
      </c>
      <c r="E16" s="4" t="inlineStr">
        <is>
          <t>ABSOLUTE SEMANTIC</t>
        </is>
      </c>
      <c r="F16" s="4" t="inlineStr">
        <is>
          <t>—</t>
        </is>
      </c>
      <c r="G16" s="4" t="inlineStr">
        <is>
          <t>—</t>
        </is>
      </c>
      <c r="H16" s="6" t="n"/>
      <c r="I16" s="6" t="n"/>
      <c r="J16" s="6" t="n">
        <v>0</v>
      </c>
      <c r="K16" s="6" t="n"/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</row>
    <row r="17">
      <c r="A17" s="4" t="inlineStr">
        <is>
          <t>G13</t>
        </is>
      </c>
      <c r="B17" s="4" t="inlineStr">
        <is>
          <t>GLOBAL</t>
        </is>
      </c>
      <c r="C17" s="4" t="inlineStr">
        <is>
          <t>選擇性開放/高警戒 ↔ 預設開放</t>
        </is>
      </c>
      <c r="D17" s="4" t="inlineStr">
        <is>
          <t>—</t>
        </is>
      </c>
      <c r="E17" s="4" t="inlineStr">
        <is>
          <t>ABSOLUTE SEMANTIC</t>
        </is>
      </c>
      <c r="F17" s="4" t="inlineStr">
        <is>
          <t>—</t>
        </is>
      </c>
      <c r="G17" s="4" t="inlineStr">
        <is>
          <t>—</t>
        </is>
      </c>
      <c r="H17" s="6" t="n"/>
      <c r="I17" s="6" t="n"/>
      <c r="J17" s="6" t="n">
        <v>0</v>
      </c>
      <c r="K17" s="6" t="n"/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</row>
    <row r="18">
      <c r="A18" s="4" t="inlineStr">
        <is>
          <t>G14</t>
        </is>
      </c>
      <c r="B18" s="4" t="inlineStr">
        <is>
          <t>GLOBAL</t>
        </is>
      </c>
      <c r="C18" s="4" t="inlineStr">
        <is>
          <t>多人共同塑造 ↔ 獨立/模組化協作</t>
        </is>
      </c>
      <c r="D18" s="4" t="inlineStr">
        <is>
          <t>—</t>
        </is>
      </c>
      <c r="E18" s="4" t="inlineStr">
        <is>
          <t>ABSOLUTE SEMANTIC</t>
        </is>
      </c>
      <c r="F18" s="4" t="inlineStr">
        <is>
          <t>—</t>
        </is>
      </c>
      <c r="G18" s="4" t="inlineStr">
        <is>
          <t>—</t>
        </is>
      </c>
      <c r="H18" s="6" t="n"/>
      <c r="I18" s="6" t="n"/>
      <c r="J18" s="6" t="n">
        <v>0</v>
      </c>
      <c r="K18" s="6" t="n"/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</row>
    <row r="19">
      <c r="A19" s="4" t="inlineStr">
        <is>
          <t>G15</t>
        </is>
      </c>
      <c r="B19" s="4" t="inlineStr">
        <is>
          <t>GLOBAL</t>
        </is>
      </c>
      <c r="C19" s="4" t="inlineStr">
        <is>
          <t>擾動下維持穩定參照 ↔ 隨情勢快速動員</t>
        </is>
      </c>
      <c r="D19" s="4" t="inlineStr">
        <is>
          <t>—</t>
        </is>
      </c>
      <c r="E19" s="4" t="inlineStr">
        <is>
          <t>ABSOLUTE SEMANTIC</t>
        </is>
      </c>
      <c r="F19" s="4" t="inlineStr">
        <is>
          <t>—</t>
        </is>
      </c>
      <c r="G19" s="4" t="inlineStr">
        <is>
          <t>—</t>
        </is>
      </c>
      <c r="H19" s="6" t="n"/>
      <c r="I19" s="6" t="n"/>
      <c r="J19" s="6" t="n">
        <v>0</v>
      </c>
      <c r="K19" s="6" t="n"/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</row>
    <row r="20">
      <c r="A20" s="4" t="inlineStr">
        <is>
          <t>G16</t>
        </is>
      </c>
      <c r="B20" s="4" t="inlineStr">
        <is>
          <t>GLOBAL</t>
        </is>
      </c>
      <c r="C20" s="4" t="inlineStr">
        <is>
          <t>照護修復角色 ↔ 機制/功能修復</t>
        </is>
      </c>
      <c r="D20" s="4" t="inlineStr">
        <is>
          <t>—</t>
        </is>
      </c>
      <c r="E20" s="4" t="inlineStr">
        <is>
          <t>ABSOLUTE SEMANTIC</t>
        </is>
      </c>
      <c r="F20" s="4" t="inlineStr">
        <is>
          <t>—</t>
        </is>
      </c>
      <c r="G20" s="4" t="inlineStr">
        <is>
          <t>—</t>
        </is>
      </c>
      <c r="H20" s="6" t="n"/>
      <c r="I20" s="6" t="n"/>
      <c r="J20" s="6" t="n">
        <v>0</v>
      </c>
      <c r="K20" s="6" t="n"/>
      <c r="L20" s="5" t="n">
        <v>0</v>
      </c>
      <c r="M20" s="5" t="n">
        <v>0</v>
      </c>
      <c r="N20" s="5" t="n">
        <v>0</v>
      </c>
      <c r="O20" s="5" t="n">
        <v>0</v>
      </c>
      <c r="P20" s="5" t="n">
        <v>-0.5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0.5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</row>
    <row r="21">
      <c r="A21" s="4" t="inlineStr">
        <is>
          <t>G17</t>
        </is>
      </c>
      <c r="B21" s="4" t="inlineStr">
        <is>
          <t>GLOBAL</t>
        </is>
      </c>
      <c r="C21" s="4" t="inlineStr">
        <is>
          <t>守護保護角色 ↔ 脫離/自主管理</t>
        </is>
      </c>
      <c r="D21" s="4" t="inlineStr">
        <is>
          <t>—</t>
        </is>
      </c>
      <c r="E21" s="4" t="inlineStr">
        <is>
          <t>ABSOLUTE SEMANTIC</t>
        </is>
      </c>
      <c r="F21" s="4" t="inlineStr">
        <is>
          <t>—</t>
        </is>
      </c>
      <c r="G21" s="4" t="inlineStr">
        <is>
          <t>—</t>
        </is>
      </c>
      <c r="H21" s="6" t="n"/>
      <c r="I21" s="6" t="n"/>
      <c r="J21" s="6" t="n">
        <v>0</v>
      </c>
      <c r="K21" s="6" t="n"/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-0.3333333333333333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0.3333333333333333</v>
      </c>
      <c r="AC21" s="5" t="n">
        <v>0</v>
      </c>
      <c r="AD21" s="5" t="n">
        <v>0</v>
      </c>
      <c r="AE21" s="5" t="n">
        <v>-0.3333333333333333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</row>
    <row r="22">
      <c r="A22" s="4" t="inlineStr">
        <is>
          <t>G18</t>
        </is>
      </c>
      <c r="B22" s="4" t="inlineStr">
        <is>
          <t>GLOBAL</t>
        </is>
      </c>
      <c r="C22" s="4" t="inlineStr">
        <is>
          <t>建設維護角色 ↔ 探索移動</t>
        </is>
      </c>
      <c r="D22" s="4" t="inlineStr">
        <is>
          <t>—</t>
        </is>
      </c>
      <c r="E22" s="4" t="inlineStr">
        <is>
          <t>ABSOLUTE SEMANTIC</t>
        </is>
      </c>
      <c r="F22" s="4" t="inlineStr">
        <is>
          <t>—</t>
        </is>
      </c>
      <c r="G22" s="4" t="inlineStr">
        <is>
          <t>—</t>
        </is>
      </c>
      <c r="H22" s="6" t="n"/>
      <c r="I22" s="6" t="n"/>
      <c r="J22" s="6" t="n">
        <v>0</v>
      </c>
      <c r="K22" s="6" t="n"/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0.5</v>
      </c>
      <c r="AD22" s="5" t="n">
        <v>0</v>
      </c>
      <c r="AE22" s="5" t="n">
        <v>-0.5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</row>
    <row r="23">
      <c r="A23" s="4" t="inlineStr">
        <is>
          <t>G19</t>
        </is>
      </c>
      <c r="B23" s="4" t="inlineStr">
        <is>
          <t>GLOBAL</t>
        </is>
      </c>
      <c r="C23" s="4" t="inlineStr">
        <is>
          <t>傳訊教學角色 ↔ 建設實作角色</t>
        </is>
      </c>
      <c r="D23" s="4" t="inlineStr">
        <is>
          <t>—</t>
        </is>
      </c>
      <c r="E23" s="4" t="inlineStr">
        <is>
          <t>ABSOLUTE SEMANTIC</t>
        </is>
      </c>
      <c r="F23" s="4" t="inlineStr">
        <is>
          <t>—</t>
        </is>
      </c>
      <c r="G23" s="4" t="inlineStr">
        <is>
          <t>—</t>
        </is>
      </c>
      <c r="H23" s="6" t="n"/>
      <c r="I23" s="6" t="n"/>
      <c r="J23" s="6" t="n">
        <v>0</v>
      </c>
      <c r="K23" s="6" t="n"/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-0.5</v>
      </c>
      <c r="AD23" s="5" t="n">
        <v>0.5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</row>
    <row r="24">
      <c r="A24" s="4" t="inlineStr">
        <is>
          <t>G20</t>
        </is>
      </c>
      <c r="B24" s="4" t="inlineStr">
        <is>
          <t>GLOBAL</t>
        </is>
      </c>
      <c r="C24" s="4" t="inlineStr">
        <is>
          <t>Earth/human continuity 作為主要 home ↔ 持續 elsewhere-home orientation</t>
        </is>
      </c>
      <c r="D24" s="4" t="inlineStr">
        <is>
          <t>—</t>
        </is>
      </c>
      <c r="E24" s="4" t="inlineStr">
        <is>
          <t>ABSOLUTE SEMANTIC</t>
        </is>
      </c>
      <c r="F24" s="4" t="inlineStr">
        <is>
          <t>—</t>
        </is>
      </c>
      <c r="G24" s="4" t="inlineStr">
        <is>
          <t>—</t>
        </is>
      </c>
      <c r="H24" s="6" t="n"/>
      <c r="I24" s="6" t="n"/>
      <c r="J24" s="6" t="n">
        <v>0</v>
      </c>
      <c r="K24" s="6" t="n"/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1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</row>
    <row r="25">
      <c r="A25" s="4" t="inlineStr">
        <is>
          <t>G21</t>
        </is>
      </c>
      <c r="B25" s="4" t="inlineStr">
        <is>
          <t>GLOBAL</t>
        </is>
      </c>
      <c r="C25" s="4" t="inlineStr">
        <is>
          <t>整合互相矛盾資訊成 higher-order frame ↔ 以一個主要 frame 解決</t>
        </is>
      </c>
      <c r="D25" s="4" t="inlineStr">
        <is>
          <t>—</t>
        </is>
      </c>
      <c r="E25" s="4" t="inlineStr">
        <is>
          <t>ABSOLUTE SEMANTIC</t>
        </is>
      </c>
      <c r="F25" s="4" t="inlineStr">
        <is>
          <t>—</t>
        </is>
      </c>
      <c r="G25" s="4" t="inlineStr">
        <is>
          <t>—</t>
        </is>
      </c>
      <c r="H25" s="6" t="n"/>
      <c r="I25" s="6" t="n"/>
      <c r="J25" s="6" t="n">
        <v>0</v>
      </c>
      <c r="K25" s="6" t="n"/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</row>
    <row r="26">
      <c r="A26" s="4" t="inlineStr">
        <is>
          <t>G22</t>
        </is>
      </c>
      <c r="B26" s="4" t="inlineStr">
        <is>
          <t>GLOBAL</t>
        </is>
      </c>
      <c r="C26" s="4" t="inlineStr">
        <is>
          <t>在地具身 stewardship ↔ 文明尺度制度設計</t>
        </is>
      </c>
      <c r="D26" s="4" t="inlineStr">
        <is>
          <t>—</t>
        </is>
      </c>
      <c r="E26" s="4" t="inlineStr">
        <is>
          <t>ABSOLUTE SEMANTIC</t>
        </is>
      </c>
      <c r="F26" s="4" t="inlineStr">
        <is>
          <t>—</t>
        </is>
      </c>
      <c r="G26" s="4" t="inlineStr">
        <is>
          <t>—</t>
        </is>
      </c>
      <c r="H26" s="6" t="n"/>
      <c r="I26" s="6" t="n"/>
      <c r="J26" s="6" t="n">
        <v>0</v>
      </c>
      <c r="K26" s="6" t="n"/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-0.25</v>
      </c>
      <c r="S26" s="5" t="n">
        <v>0</v>
      </c>
      <c r="T26" s="5" t="n">
        <v>0</v>
      </c>
      <c r="U26" s="5" t="n">
        <v>-0.25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0.25</v>
      </c>
      <c r="AD26" s="5" t="n">
        <v>0</v>
      </c>
      <c r="AE26" s="5" t="n">
        <v>0</v>
      </c>
      <c r="AF26" s="5" t="n">
        <v>0</v>
      </c>
      <c r="AG26" s="5" t="n">
        <v>0.25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</row>
    <row r="27">
      <c r="A27" s="4" t="inlineStr">
        <is>
          <t>G23</t>
        </is>
      </c>
      <c r="B27" s="4" t="inlineStr">
        <is>
          <t>GLOBAL</t>
        </is>
      </c>
      <c r="C27" s="4" t="inlineStr">
        <is>
          <t>親密投入 ↔ 高階/宏觀視角</t>
        </is>
      </c>
      <c r="D27" s="4" t="inlineStr">
        <is>
          <t>—</t>
        </is>
      </c>
      <c r="E27" s="4" t="inlineStr">
        <is>
          <t>ABSOLUTE SEMANTIC</t>
        </is>
      </c>
      <c r="F27" s="4" t="inlineStr">
        <is>
          <t>—</t>
        </is>
      </c>
      <c r="G27" s="4" t="inlineStr">
        <is>
          <t>—</t>
        </is>
      </c>
      <c r="H27" s="6" t="n"/>
      <c r="I27" s="6" t="n"/>
      <c r="J27" s="6" t="n">
        <v>0</v>
      </c>
      <c r="K27" s="6" t="n"/>
      <c r="L27" s="5" t="n">
        <v>0</v>
      </c>
      <c r="M27" s="5" t="n">
        <v>0.5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-0.5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</row>
    <row r="28">
      <c r="A28" s="4" t="inlineStr">
        <is>
          <t>G24</t>
        </is>
      </c>
      <c r="B28" s="4" t="inlineStr">
        <is>
          <t>GLOBAL</t>
        </is>
      </c>
      <c r="C28" s="4" t="inlineStr">
        <is>
          <t>情緒場滲透 ↔ 選擇性邊界/守界</t>
        </is>
      </c>
      <c r="D28" s="4" t="inlineStr">
        <is>
          <t>—</t>
        </is>
      </c>
      <c r="E28" s="4" t="inlineStr">
        <is>
          <t>ABSOLUTE SEMANTIC</t>
        </is>
      </c>
      <c r="F28" s="4" t="inlineStr">
        <is>
          <t>—</t>
        </is>
      </c>
      <c r="G28" s="4" t="inlineStr">
        <is>
          <t>—</t>
        </is>
      </c>
      <c r="H28" s="6" t="n"/>
      <c r="I28" s="6" t="n"/>
      <c r="J28" s="6" t="n">
        <v>0</v>
      </c>
      <c r="K28" s="6" t="n"/>
      <c r="L28" s="5" t="n">
        <v>0.3333333333333333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-0.3333333333333333</v>
      </c>
      <c r="Y28" s="5" t="n">
        <v>0</v>
      </c>
      <c r="Z28" s="5" t="n">
        <v>0</v>
      </c>
      <c r="AA28" s="5" t="n">
        <v>0</v>
      </c>
      <c r="AB28" s="5" t="n">
        <v>-0.3333333333333333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</row>
    <row r="29">
      <c r="A29" s="4" t="inlineStr">
        <is>
          <t>G25</t>
        </is>
      </c>
      <c r="B29" s="4" t="inlineStr">
        <is>
          <t>GLOBAL</t>
        </is>
      </c>
      <c r="C29" s="4" t="inlineStr">
        <is>
          <t>守護保護角色 ↔ 建設維護角色</t>
        </is>
      </c>
      <c r="D29" s="4" t="inlineStr">
        <is>
          <t>—</t>
        </is>
      </c>
      <c r="E29" s="4" t="inlineStr">
        <is>
          <t>ABSOLUTE SEMANTIC</t>
        </is>
      </c>
      <c r="F29" s="4" t="inlineStr">
        <is>
          <t>—</t>
        </is>
      </c>
      <c r="G29" s="4" t="inlineStr">
        <is>
          <t>—</t>
        </is>
      </c>
      <c r="H29" s="6" t="n"/>
      <c r="I29" s="6" t="n"/>
      <c r="J29" s="6" t="n">
        <v>0</v>
      </c>
      <c r="K29" s="6" t="n"/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0.5</v>
      </c>
      <c r="AC29" s="5" t="n">
        <v>-0.5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</row>
    <row r="30">
      <c r="A30" s="4" t="inlineStr">
        <is>
          <t>G26</t>
        </is>
      </c>
      <c r="B30" s="4" t="inlineStr">
        <is>
          <t>GLOBAL</t>
        </is>
      </c>
      <c r="C30" s="4" t="inlineStr">
        <is>
          <t>機制/技術系統 ↔ 階序指揮</t>
        </is>
      </c>
      <c r="D30" s="4" t="inlineStr">
        <is>
          <t>—</t>
        </is>
      </c>
      <c r="E30" s="4" t="inlineStr">
        <is>
          <t>ABSOLUTE SEMANTIC</t>
        </is>
      </c>
      <c r="F30" s="4" t="inlineStr">
        <is>
          <t>—</t>
        </is>
      </c>
      <c r="G30" s="4" t="inlineStr">
        <is>
          <t>—</t>
        </is>
      </c>
      <c r="H30" s="6" t="n"/>
      <c r="I30" s="6" t="n"/>
      <c r="J30" s="6" t="n">
        <v>0</v>
      </c>
      <c r="K30" s="6" t="n"/>
      <c r="L30" s="5" t="n">
        <v>0</v>
      </c>
      <c r="M30" s="5" t="n">
        <v>0</v>
      </c>
      <c r="N30" s="5" t="n">
        <v>0</v>
      </c>
      <c r="O30" s="5" t="n">
        <v>0</v>
      </c>
      <c r="P30" s="5" t="n">
        <v>0.5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-0.5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</row>
    <row r="31">
      <c r="A31" s="4" t="inlineStr">
        <is>
          <t>G27</t>
        </is>
      </c>
      <c r="B31" s="4" t="inlineStr">
        <is>
          <t>GLOBAL</t>
        </is>
      </c>
      <c r="C31" s="4" t="inlineStr">
        <is>
          <t>長期持續 ↔ 探索移動</t>
        </is>
      </c>
      <c r="D31" s="4" t="inlineStr">
        <is>
          <t>—</t>
        </is>
      </c>
      <c r="E31" s="4" t="inlineStr">
        <is>
          <t>ABSOLUTE SEMANTIC</t>
        </is>
      </c>
      <c r="F31" s="4" t="inlineStr">
        <is>
          <t>—</t>
        </is>
      </c>
      <c r="G31" s="4" t="inlineStr">
        <is>
          <t>—</t>
        </is>
      </c>
      <c r="H31" s="6" t="n"/>
      <c r="I31" s="6" t="n"/>
      <c r="J31" s="6" t="n">
        <v>0</v>
      </c>
      <c r="K31" s="6" t="n"/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0.5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-0.5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</row>
    <row r="32">
      <c r="A32" s="4" t="inlineStr">
        <is>
          <t>G28</t>
        </is>
      </c>
      <c r="B32" s="4" t="inlineStr">
        <is>
          <t>GLOBAL</t>
        </is>
      </c>
      <c r="C32" s="4" t="inlineStr">
        <is>
          <t>自主/主權 ↔ 保護職責</t>
        </is>
      </c>
      <c r="D32" s="4" t="inlineStr">
        <is>
          <t>—</t>
        </is>
      </c>
      <c r="E32" s="4" t="inlineStr">
        <is>
          <t>ABSOLUTE SEMANTIC</t>
        </is>
      </c>
      <c r="F32" s="4" t="inlineStr">
        <is>
          <t>—</t>
        </is>
      </c>
      <c r="G32" s="4" t="inlineStr">
        <is>
          <t>—</t>
        </is>
      </c>
      <c r="H32" s="6" t="n"/>
      <c r="I32" s="6" t="n"/>
      <c r="J32" s="6" t="n">
        <v>0</v>
      </c>
      <c r="K32" s="6" t="n"/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0.5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-0.5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</row>
    <row r="33">
      <c r="A33" s="4" t="inlineStr">
        <is>
          <t>G29</t>
        </is>
      </c>
      <c r="B33" s="4" t="inlineStr">
        <is>
          <t>GLOBAL</t>
        </is>
      </c>
      <c r="C33" s="4" t="inlineStr">
        <is>
          <t>協作/整合 ↔ 直接衝突</t>
        </is>
      </c>
      <c r="D33" s="4" t="inlineStr">
        <is>
          <t>—</t>
        </is>
      </c>
      <c r="E33" s="4" t="inlineStr">
        <is>
          <t>ABSOLUTE SEMANTIC</t>
        </is>
      </c>
      <c r="F33" s="4" t="inlineStr">
        <is>
          <t>—</t>
        </is>
      </c>
      <c r="G33" s="4" t="inlineStr">
        <is>
          <t>—</t>
        </is>
      </c>
      <c r="H33" s="6" t="n"/>
      <c r="I33" s="6" t="n"/>
      <c r="J33" s="6" t="n">
        <v>0</v>
      </c>
      <c r="K33" s="6" t="n"/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-0.3333333333333333</v>
      </c>
      <c r="X33" s="5" t="n">
        <v>0</v>
      </c>
      <c r="Y33" s="5" t="n">
        <v>0.3333333333333333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0.3333333333333333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</row>
    <row r="34">
      <c r="A34" s="4" t="inlineStr">
        <is>
          <t>G30</t>
        </is>
      </c>
      <c r="B34" s="4" t="inlineStr">
        <is>
          <t>GLOBAL</t>
        </is>
      </c>
      <c r="C34" s="4" t="inlineStr">
        <is>
          <t>立即啟動/正面破局 ↔ 先掃描風險並情境適應</t>
        </is>
      </c>
      <c r="D34" s="4" t="inlineStr">
        <is>
          <t>Martian ↔ Reptilian</t>
        </is>
      </c>
      <c r="E34" s="4" t="inlineStr">
        <is>
          <t>COMPARATIVE CENTERED</t>
        </is>
      </c>
      <c r="F34" s="4" t="inlineStr">
        <is>
          <t>Martian</t>
        </is>
      </c>
      <c r="G34" s="4" t="inlineStr">
        <is>
          <t>Reptilian</t>
        </is>
      </c>
      <c r="H34" s="6" t="n">
        <v>0.6666666666666666</v>
      </c>
      <c r="I34" s="6" t="n">
        <v>0</v>
      </c>
      <c r="J34" s="6" t="n">
        <v>0.3333333333333333</v>
      </c>
      <c r="K34" s="6" t="n">
        <v>0.6666666666666666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0.3333333333333333</v>
      </c>
      <c r="W34" s="5" t="n">
        <v>0.3333333333333333</v>
      </c>
      <c r="X34" s="5" t="n">
        <v>-0.3333333333333333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</row>
    <row r="35">
      <c r="A35" s="4" t="inlineStr">
        <is>
          <t>L01</t>
        </is>
      </c>
      <c r="B35" s="4" t="inlineStr">
        <is>
          <t>LOCAL</t>
        </is>
      </c>
      <c r="C35" s="4" t="inlineStr">
        <is>
          <t>情緒場 holding ↔ 美感/氛圍介入</t>
        </is>
      </c>
      <c r="D35" s="4" t="inlineStr">
        <is>
          <t>Pleiadian ↔ Venusian</t>
        </is>
      </c>
      <c r="E35" s="4" t="inlineStr">
        <is>
          <t>COMPARATIVE CENTERED</t>
        </is>
      </c>
      <c r="F35" s="4" t="inlineStr">
        <is>
          <t>Pleiadian</t>
        </is>
      </c>
      <c r="G35" s="4" t="inlineStr">
        <is>
          <t>Venusian</t>
        </is>
      </c>
      <c r="H35" s="6" t="n">
        <v>0.5</v>
      </c>
      <c r="I35" s="6" t="n">
        <v>-0.5</v>
      </c>
      <c r="J35" s="6" t="n">
        <v>0</v>
      </c>
      <c r="K35" s="6" t="n">
        <v>1</v>
      </c>
      <c r="L35" s="5" t="n">
        <v>0.5</v>
      </c>
      <c r="M35" s="5" t="n">
        <v>0</v>
      </c>
      <c r="N35" s="5" t="n">
        <v>-0.5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</row>
    <row r="36">
      <c r="A36" s="4" t="inlineStr">
        <is>
          <t>L02</t>
        </is>
      </c>
      <c r="B36" s="4" t="inlineStr">
        <is>
          <t>LOCAL</t>
        </is>
      </c>
      <c r="C36" s="4" t="inlineStr">
        <is>
          <t>廣域情緒場照護 ↔ 深度 dyadic trust/bond repair</t>
        </is>
      </c>
      <c r="D36" s="4" t="inlineStr">
        <is>
          <t>Pleiadian ↔ Hadarian</t>
        </is>
      </c>
      <c r="E36" s="4" t="inlineStr">
        <is>
          <t>COMPARATIVE CENTERED</t>
        </is>
      </c>
      <c r="F36" s="4" t="inlineStr">
        <is>
          <t>Pleiadian</t>
        </is>
      </c>
      <c r="G36" s="4" t="inlineStr">
        <is>
          <t>Hadarian</t>
        </is>
      </c>
      <c r="H36" s="6" t="n">
        <v>0.25</v>
      </c>
      <c r="I36" s="6" t="n">
        <v>-0.5</v>
      </c>
      <c r="J36" s="6" t="n">
        <v>-0.125</v>
      </c>
      <c r="K36" s="6" t="n">
        <v>0.75</v>
      </c>
      <c r="L36" s="5" t="n">
        <v>0.5</v>
      </c>
      <c r="M36" s="5" t="n">
        <v>-0.25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0.25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</row>
    <row r="37">
      <c r="A37" s="4" t="inlineStr">
        <is>
          <t>L03</t>
        </is>
      </c>
      <c r="B37" s="4" t="inlineStr">
        <is>
          <t>LOCAL</t>
        </is>
      </c>
      <c r="C37" s="4" t="inlineStr">
        <is>
          <t>當下情緒場修復 ↔ lost-sanctuary / elsewhere-home restoration</t>
        </is>
      </c>
      <c r="D37" s="4" t="inlineStr">
        <is>
          <t>Pleiadian ↔ Mintakan</t>
        </is>
      </c>
      <c r="E37" s="4" t="inlineStr">
        <is>
          <t>COMPARATIVE CENTERED</t>
        </is>
      </c>
      <c r="F37" s="4" t="inlineStr">
        <is>
          <t>Pleiadian</t>
        </is>
      </c>
      <c r="G37" s="4" t="inlineStr">
        <is>
          <t>Mintakan</t>
        </is>
      </c>
      <c r="H37" s="6" t="n">
        <v>0.3333333333333333</v>
      </c>
      <c r="I37" s="6" t="n">
        <v>-0.6666666666666666</v>
      </c>
      <c r="J37" s="6" t="n">
        <v>-0.1666666666666667</v>
      </c>
      <c r="K37" s="6" t="n">
        <v>1</v>
      </c>
      <c r="L37" s="5" t="n">
        <v>0.3333333333333333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0.3333333333333333</v>
      </c>
      <c r="AH37" s="5" t="n">
        <v>-0.3333333333333333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</row>
    <row r="38">
      <c r="A38" s="4" t="inlineStr">
        <is>
          <t>L04</t>
        </is>
      </c>
      <c r="B38" s="4" t="inlineStr">
        <is>
          <t>LOCAL</t>
        </is>
      </c>
      <c r="C38" s="4" t="inlineStr">
        <is>
          <t>審美感官介入 ↔ 深度 devotion/trust repair</t>
        </is>
      </c>
      <c r="D38" s="4" t="inlineStr">
        <is>
          <t>Venusian ↔ Hadarian</t>
        </is>
      </c>
      <c r="E38" s="4" t="inlineStr">
        <is>
          <t>COMPARATIVE CENTERED</t>
        </is>
      </c>
      <c r="F38" s="4" t="inlineStr">
        <is>
          <t>Venusian</t>
        </is>
      </c>
      <c r="G38" s="4" t="inlineStr">
        <is>
          <t>Hadarian</t>
        </is>
      </c>
      <c r="H38" s="6" t="n">
        <v>0.25</v>
      </c>
      <c r="I38" s="6" t="n">
        <v>-0.5</v>
      </c>
      <c r="J38" s="6" t="n">
        <v>-0.125</v>
      </c>
      <c r="K38" s="6" t="n">
        <v>0.75</v>
      </c>
      <c r="L38" s="5" t="n">
        <v>0</v>
      </c>
      <c r="M38" s="5" t="n">
        <v>-0.25</v>
      </c>
      <c r="N38" s="5" t="n">
        <v>0.5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0.25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</row>
    <row r="39">
      <c r="A39" s="4" t="inlineStr">
        <is>
          <t>L05</t>
        </is>
      </c>
      <c r="B39" s="4" t="inlineStr">
        <is>
          <t>LOCAL</t>
        </is>
      </c>
      <c r="C39" s="4" t="inlineStr">
        <is>
          <t>審美感官豐富度 ↔ pristine/simple sanctuary restoration</t>
        </is>
      </c>
      <c r="D39" s="4" t="inlineStr">
        <is>
          <t>Mintakan ↔ Venusian</t>
        </is>
      </c>
      <c r="E39" s="4" t="inlineStr">
        <is>
          <t>COMPARATIVE CENTERED</t>
        </is>
      </c>
      <c r="F39" s="4" t="inlineStr">
        <is>
          <t>Venusian</t>
        </is>
      </c>
      <c r="G39" s="4" t="inlineStr">
        <is>
          <t>Mintakan</t>
        </is>
      </c>
      <c r="H39" s="6" t="n">
        <v>0.3333333333333333</v>
      </c>
      <c r="I39" s="6" t="n">
        <v>-0.6666666666666666</v>
      </c>
      <c r="J39" s="6" t="n">
        <v>-0.1666666666666667</v>
      </c>
      <c r="K39" s="6" t="n">
        <v>1</v>
      </c>
      <c r="L39" s="5" t="n">
        <v>0</v>
      </c>
      <c r="M39" s="5" t="n">
        <v>0</v>
      </c>
      <c r="N39" s="5" t="n">
        <v>0.3333333333333333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0.3333333333333333</v>
      </c>
      <c r="AH39" s="5" t="n">
        <v>-0.3333333333333333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</row>
    <row r="40">
      <c r="A40" s="4" t="inlineStr">
        <is>
          <t>L06</t>
        </is>
      </c>
      <c r="B40" s="4" t="inlineStr">
        <is>
          <t>LOCAL</t>
        </is>
      </c>
      <c r="C40" s="4" t="inlineStr">
        <is>
          <t>深度 dyadic devotion ↔ lost-sanctuary restoration</t>
        </is>
      </c>
      <c r="D40" s="4" t="inlineStr">
        <is>
          <t>Mintakan ↔ Hadarian</t>
        </is>
      </c>
      <c r="E40" s="4" t="inlineStr">
        <is>
          <t>COMPARATIVE CENTERED</t>
        </is>
      </c>
      <c r="F40" s="4" t="inlineStr">
        <is>
          <t>Hadarian</t>
        </is>
      </c>
      <c r="G40" s="4" t="inlineStr">
        <is>
          <t>Mintakan</t>
        </is>
      </c>
      <c r="H40" s="6" t="n">
        <v>0.2</v>
      </c>
      <c r="I40" s="6" t="n">
        <v>-0.7000000000000001</v>
      </c>
      <c r="J40" s="6" t="n">
        <v>-0.25</v>
      </c>
      <c r="K40" s="6" t="n">
        <v>0.9000000000000001</v>
      </c>
      <c r="L40" s="5" t="n">
        <v>0</v>
      </c>
      <c r="M40" s="5" t="n">
        <v>0.2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0.4</v>
      </c>
      <c r="AH40" s="5" t="n">
        <v>-0.4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</row>
    <row r="41">
      <c r="A41" s="4" t="inlineStr">
        <is>
          <t>L07</t>
        </is>
      </c>
      <c r="B41" s="4" t="inlineStr">
        <is>
          <t>LOCAL</t>
        </is>
      </c>
      <c r="C41" s="4" t="inlineStr">
        <is>
          <t>person/bond-centered ↔ aesthetic/sanctuary-centered</t>
        </is>
      </c>
      <c r="D41" s="4" t="inlineStr">
        <is>
          <t>Venusian ↔ Hadarian</t>
        </is>
      </c>
      <c r="E41" s="4" t="inlineStr">
        <is>
          <t>COMPARATIVE CENTERED</t>
        </is>
      </c>
      <c r="F41" s="4" t="inlineStr">
        <is>
          <t>Hadarian</t>
        </is>
      </c>
      <c r="G41" s="4" t="inlineStr">
        <is>
          <t>Venusian</t>
        </is>
      </c>
      <c r="H41" s="6" t="n">
        <v>0.3333333333333333</v>
      </c>
      <c r="I41" s="6" t="n">
        <v>-0.5</v>
      </c>
      <c r="J41" s="6" t="n">
        <v>-0.08333333333333334</v>
      </c>
      <c r="K41" s="6" t="n">
        <v>0.8333333333333333</v>
      </c>
      <c r="L41" s="5" t="n">
        <v>0</v>
      </c>
      <c r="M41" s="5" t="n">
        <v>0.3333333333333333</v>
      </c>
      <c r="N41" s="5" t="n">
        <v>-0.6666666666666666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</row>
    <row r="42">
      <c r="A42" s="4" t="inlineStr">
        <is>
          <t>L08</t>
        </is>
      </c>
      <c r="B42" s="4" t="inlineStr">
        <is>
          <t>LOCAL</t>
        </is>
      </c>
      <c r="C42" s="4" t="inlineStr">
        <is>
          <t>改變/離開限制 frame 以獲得自由 ↔ 在開放空間中跨域創造/組合</t>
        </is>
      </c>
      <c r="D42" s="4" t="inlineStr">
        <is>
          <t>Andromedan ↔ Vegan</t>
        </is>
      </c>
      <c r="E42" s="4" t="inlineStr">
        <is>
          <t>COMPARATIVE CENTERED</t>
        </is>
      </c>
      <c r="F42" s="4" t="inlineStr">
        <is>
          <t>Andromedan</t>
        </is>
      </c>
      <c r="G42" s="4" t="inlineStr">
        <is>
          <t>Vegan</t>
        </is>
      </c>
      <c r="H42" s="6" t="n">
        <v>0.25</v>
      </c>
      <c r="I42" s="6" t="n">
        <v>-0.25</v>
      </c>
      <c r="J42" s="6" t="n">
        <v>0</v>
      </c>
      <c r="K42" s="6" t="n">
        <v>0.5</v>
      </c>
      <c r="L42" s="5" t="n">
        <v>0</v>
      </c>
      <c r="M42" s="5" t="n">
        <v>0</v>
      </c>
      <c r="N42" s="5" t="n">
        <v>-0.25</v>
      </c>
      <c r="O42" s="5" t="n">
        <v>-0.25</v>
      </c>
      <c r="P42" s="5" t="n">
        <v>0</v>
      </c>
      <c r="Q42" s="5" t="n">
        <v>0</v>
      </c>
      <c r="R42" s="5" t="n">
        <v>0.25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-0.25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</row>
    <row r="43">
      <c r="A43" s="4" t="inlineStr">
        <is>
          <t>L09</t>
        </is>
      </c>
      <c r="B43" s="4" t="inlineStr">
        <is>
          <t>LOCAL</t>
        </is>
      </c>
      <c r="C43" s="4" t="inlineStr">
        <is>
          <t>coherence restoration/結構介入 ↔ 自主 creative-intellectual exploration</t>
        </is>
      </c>
      <c r="D43" s="4" t="inlineStr">
        <is>
          <t>Arcturian ↔ Vegan</t>
        </is>
      </c>
      <c r="E43" s="4" t="inlineStr">
        <is>
          <t>COMPARATIVE CENTERED</t>
        </is>
      </c>
      <c r="F43" s="4" t="inlineStr">
        <is>
          <t>Arcturian</t>
        </is>
      </c>
      <c r="G43" s="4" t="inlineStr">
        <is>
          <t>Vegan</t>
        </is>
      </c>
      <c r="H43" s="6" t="n">
        <v>0.125</v>
      </c>
      <c r="I43" s="6" t="n">
        <v>-0.375</v>
      </c>
      <c r="J43" s="6" t="n">
        <v>-0.125</v>
      </c>
      <c r="K43" s="6" t="n">
        <v>0.5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-0.25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0.25</v>
      </c>
      <c r="AB43" s="5" t="n">
        <v>0</v>
      </c>
      <c r="AC43" s="5" t="n">
        <v>0.25</v>
      </c>
      <c r="AD43" s="5" t="n">
        <v>0</v>
      </c>
      <c r="AE43" s="5" t="n">
        <v>-0.25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</row>
    <row r="44">
      <c r="A44" s="4" t="inlineStr">
        <is>
          <t>L10</t>
        </is>
      </c>
      <c r="B44" s="4" t="inlineStr">
        <is>
          <t>LOCAL</t>
        </is>
      </c>
      <c r="C44" s="4" t="inlineStr">
        <is>
          <t>可靠 practical implementation ↔ skeptical risk-depth / hidden-failure stewardship</t>
        </is>
      </c>
      <c r="D44" s="4" t="inlineStr">
        <is>
          <t>Alpha Centaurian ↔ Maldekian</t>
        </is>
      </c>
      <c r="E44" s="4" t="inlineStr">
        <is>
          <t>COMPARATIVE CENTERED</t>
        </is>
      </c>
      <c r="F44" s="4" t="inlineStr">
        <is>
          <t>Alpha Centaurian</t>
        </is>
      </c>
      <c r="G44" s="4" t="inlineStr">
        <is>
          <t>Maldekian</t>
        </is>
      </c>
      <c r="H44" s="6" t="n">
        <v>0</v>
      </c>
      <c r="I44" s="6" t="n">
        <v>-0.7857142857142856</v>
      </c>
      <c r="J44" s="6" t="n">
        <v>-0.3928571428571428</v>
      </c>
      <c r="K44" s="6" t="n">
        <v>0.7857142857142856</v>
      </c>
      <c r="L44" s="5" t="n">
        <v>0</v>
      </c>
      <c r="M44" s="5" t="n">
        <v>0</v>
      </c>
      <c r="N44" s="5" t="n">
        <v>0</v>
      </c>
      <c r="O44" s="5" t="n">
        <v>-0.1428571428571428</v>
      </c>
      <c r="P44" s="5" t="n">
        <v>0.1428571428571428</v>
      </c>
      <c r="Q44" s="5" t="n">
        <v>-0.1428571428571428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-0.2857142857142857</v>
      </c>
      <c r="Y44" s="5" t="n">
        <v>0</v>
      </c>
      <c r="Z44" s="5" t="n">
        <v>-0.2857142857142857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</row>
    <row r="45">
      <c r="A45" s="4" t="inlineStr">
        <is>
          <t>L11</t>
        </is>
      </c>
      <c r="B45" s="4" t="inlineStr">
        <is>
          <t>LOCAL</t>
        </is>
      </c>
      <c r="C45" s="4" t="inlineStr">
        <is>
          <t>證據/真理 interrogation ↔ 高 scope translation/messenger</t>
        </is>
      </c>
      <c r="D45" s="4" t="inlineStr">
        <is>
          <t>Orion ↔ Avian / Blue Avian</t>
        </is>
      </c>
      <c r="E45" s="4" t="inlineStr">
        <is>
          <t>COMPARATIVE CENTERED</t>
        </is>
      </c>
      <c r="F45" s="4" t="inlineStr">
        <is>
          <t>Orion</t>
        </is>
      </c>
      <c r="G45" s="4" t="inlineStr">
        <is>
          <t>Avian / Blue Avian</t>
        </is>
      </c>
      <c r="H45" s="6" t="n">
        <v>0.3571428571428571</v>
      </c>
      <c r="I45" s="6" t="n">
        <v>-0.5714285714285714</v>
      </c>
      <c r="J45" s="6" t="n">
        <v>-0.1071428571428572</v>
      </c>
      <c r="K45" s="6" t="n">
        <v>0.9285714285714285</v>
      </c>
      <c r="L45" s="5" t="n">
        <v>0</v>
      </c>
      <c r="M45" s="5" t="n">
        <v>0</v>
      </c>
      <c r="N45" s="5" t="n">
        <v>0</v>
      </c>
      <c r="O45" s="5" t="n">
        <v>0.2857142857142857</v>
      </c>
      <c r="P45" s="5" t="n">
        <v>0</v>
      </c>
      <c r="Q45" s="5" t="n">
        <v>0</v>
      </c>
      <c r="R45" s="5" t="n">
        <v>-0.1428571428571428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0.2857142857142857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-0.2857142857142857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</row>
    <row r="46">
      <c r="A46" s="4" t="inlineStr">
        <is>
          <t>L12</t>
        </is>
      </c>
      <c r="B46" s="4" t="inlineStr">
        <is>
          <t>LOCAL</t>
        </is>
      </c>
      <c r="C46" s="4" t="inlineStr">
        <is>
          <t>practical implementation ↔ civilization-scale institutional governance</t>
        </is>
      </c>
      <c r="D46" s="4" t="inlineStr">
        <is>
          <t>Alpha Centaurian ↔ Anunnaki / Nibiruan</t>
        </is>
      </c>
      <c r="E46" s="4" t="inlineStr">
        <is>
          <t>COMPARATIVE CENTERED</t>
        </is>
      </c>
      <c r="F46" s="4" t="inlineStr">
        <is>
          <t>Alpha Centaurian</t>
        </is>
      </c>
      <c r="G46" s="4" t="inlineStr">
        <is>
          <t>Anunnaki / Nibiruan</t>
        </is>
      </c>
      <c r="H46" s="6" t="n">
        <v>0</v>
      </c>
      <c r="I46" s="6" t="n">
        <v>-1</v>
      </c>
      <c r="J46" s="6" t="n">
        <v>-0.5</v>
      </c>
      <c r="K46" s="6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-0.5</v>
      </c>
      <c r="S46" s="5" t="n">
        <v>0</v>
      </c>
      <c r="T46" s="5" t="n">
        <v>0</v>
      </c>
      <c r="U46" s="5" t="n">
        <v>-0.5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</row>
    <row r="47">
      <c r="A47" s="4" t="inlineStr">
        <is>
          <t>L13</t>
        </is>
      </c>
      <c r="B47" s="4" t="inlineStr">
        <is>
          <t>LOCAL</t>
        </is>
      </c>
      <c r="C47" s="4" t="inlineStr">
        <is>
          <t>stable orientation/reference ↔ mechanistic implementation</t>
        </is>
      </c>
      <c r="D47" s="4" t="inlineStr">
        <is>
          <t>Polarian ↔ Alpha Centaurian</t>
        </is>
      </c>
      <c r="E47" s="4" t="inlineStr">
        <is>
          <t>COMPARATIVE CENTERED</t>
        </is>
      </c>
      <c r="F47" s="4" t="inlineStr">
        <is>
          <t>Polarian</t>
        </is>
      </c>
      <c r="G47" s="4" t="inlineStr">
        <is>
          <t>Alpha Centaurian</t>
        </is>
      </c>
      <c r="H47" s="6" t="n">
        <v>0.5</v>
      </c>
      <c r="I47" s="6" t="n">
        <v>-0.4285714285714285</v>
      </c>
      <c r="J47" s="6" t="n">
        <v>0.03571428571428573</v>
      </c>
      <c r="K47" s="6" t="n">
        <v>0.9285714285714286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-0.2857142857142857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0.2857142857142857</v>
      </c>
      <c r="AA47" s="5" t="n">
        <v>0</v>
      </c>
      <c r="AB47" s="5" t="n">
        <v>0</v>
      </c>
      <c r="AC47" s="5" t="n">
        <v>-0.1428571428571428</v>
      </c>
      <c r="AD47" s="5" t="n">
        <v>0</v>
      </c>
      <c r="AE47" s="5" t="n">
        <v>-0.2857142857142857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</row>
    <row r="48">
      <c r="A48" s="4" t="inlineStr">
        <is>
          <t>L14</t>
        </is>
      </c>
      <c r="B48" s="4" t="inlineStr">
        <is>
          <t>LOCAL</t>
        </is>
      </c>
      <c r="C48" s="4" t="inlineStr">
        <is>
          <t>practical implementation ↔ centralized command/order</t>
        </is>
      </c>
      <c r="D48" s="4" t="inlineStr">
        <is>
          <t>Alpha Centaurian ↔ Draconian</t>
        </is>
      </c>
      <c r="E48" s="4" t="inlineStr">
        <is>
          <t>COMPARATIVE CENTERED</t>
        </is>
      </c>
      <c r="F48" s="4" t="inlineStr">
        <is>
          <t>Alpha Centaurian</t>
        </is>
      </c>
      <c r="G48" s="4" t="inlineStr">
        <is>
          <t>Draconian</t>
        </is>
      </c>
      <c r="H48" s="6" t="n">
        <v>0.25</v>
      </c>
      <c r="I48" s="6" t="n">
        <v>-0.5833333333333334</v>
      </c>
      <c r="J48" s="6" t="n">
        <v>-0.1666666666666667</v>
      </c>
      <c r="K48" s="6" t="n">
        <v>0.8333333333333334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-0.3333333333333333</v>
      </c>
      <c r="V48" s="5" t="n">
        <v>-0.3333333333333333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-0.1666666666666667</v>
      </c>
      <c r="AC48" s="5" t="n">
        <v>0.1666666666666667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</row>
    <row r="49">
      <c r="A49" s="4" t="inlineStr">
        <is>
          <t>L15</t>
        </is>
      </c>
      <c r="B49" s="4" t="inlineStr">
        <is>
          <t>LOCAL</t>
        </is>
      </c>
      <c r="C49" s="4" t="inlineStr">
        <is>
          <t>skeptical verification/risk-depth ↔ macro governance/institution architecture</t>
        </is>
      </c>
      <c r="D49" s="4" t="inlineStr">
        <is>
          <t>Maldekian ↔ Anunnaki / Nibiruan</t>
        </is>
      </c>
      <c r="E49" s="4" t="inlineStr">
        <is>
          <t>COMPARATIVE CENTERED</t>
        </is>
      </c>
      <c r="F49" s="4" t="inlineStr">
        <is>
          <t>Maldekian</t>
        </is>
      </c>
      <c r="G49" s="4" t="inlineStr">
        <is>
          <t>Anunnaki / Nibiruan</t>
        </is>
      </c>
      <c r="H49" s="6" t="n">
        <v>0.4285714285714285</v>
      </c>
      <c r="I49" s="6" t="n">
        <v>-0.5</v>
      </c>
      <c r="J49" s="6" t="n">
        <v>-0.03571428571428573</v>
      </c>
      <c r="K49" s="6" t="n">
        <v>0.9285714285714286</v>
      </c>
      <c r="L49" s="5" t="n">
        <v>0</v>
      </c>
      <c r="M49" s="5" t="n">
        <v>0</v>
      </c>
      <c r="N49" s="5" t="n">
        <v>0</v>
      </c>
      <c r="O49" s="5" t="n">
        <v>0.2857142857142857</v>
      </c>
      <c r="P49" s="5" t="n">
        <v>0</v>
      </c>
      <c r="Q49" s="5" t="n">
        <v>0</v>
      </c>
      <c r="R49" s="5" t="n">
        <v>-0.2857142857142857</v>
      </c>
      <c r="S49" s="5" t="n">
        <v>0</v>
      </c>
      <c r="T49" s="5" t="n">
        <v>0</v>
      </c>
      <c r="U49" s="5" t="n">
        <v>-0.2857142857142857</v>
      </c>
      <c r="V49" s="5" t="n">
        <v>0</v>
      </c>
      <c r="W49" s="5" t="n">
        <v>0</v>
      </c>
      <c r="X49" s="5" t="n">
        <v>0.1428571428571428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</row>
    <row r="50">
      <c r="A50" s="4" t="inlineStr">
        <is>
          <t>L16</t>
        </is>
      </c>
      <c r="B50" s="4" t="inlineStr">
        <is>
          <t>LOCAL</t>
        </is>
      </c>
      <c r="C50" s="4" t="inlineStr">
        <is>
          <t>outward founder/build ↔ contained access guardian</t>
        </is>
      </c>
      <c r="D50" s="4" t="inlineStr">
        <is>
          <t>Lyran ↔ Feline / Urmah</t>
        </is>
      </c>
      <c r="E50" s="4" t="inlineStr">
        <is>
          <t>COMPARATIVE CENTERED</t>
        </is>
      </c>
      <c r="F50" s="4" t="inlineStr">
        <is>
          <t>Lyran</t>
        </is>
      </c>
      <c r="G50" s="4" t="inlineStr">
        <is>
          <t>Feline / Urmah</t>
        </is>
      </c>
      <c r="H50" s="6" t="n">
        <v>0.5625</v>
      </c>
      <c r="I50" s="6" t="n">
        <v>-0.5625</v>
      </c>
      <c r="J50" s="6" t="n">
        <v>0</v>
      </c>
      <c r="K50" s="6" t="n">
        <v>1.125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0.375</v>
      </c>
      <c r="W50" s="5" t="n">
        <v>0</v>
      </c>
      <c r="X50" s="5" t="n">
        <v>-0.25</v>
      </c>
      <c r="Y50" s="5" t="n">
        <v>0</v>
      </c>
      <c r="Z50" s="5" t="n">
        <v>0</v>
      </c>
      <c r="AA50" s="5" t="n">
        <v>0</v>
      </c>
      <c r="AB50" s="5" t="n">
        <v>-0.125</v>
      </c>
      <c r="AC50" s="5" t="n">
        <v>0.25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</row>
    <row r="51">
      <c r="A51" s="4" t="inlineStr">
        <is>
          <t>L17</t>
        </is>
      </c>
      <c r="B51" s="4" t="inlineStr">
        <is>
          <t>LOCAL</t>
        </is>
      </c>
      <c r="C51" s="4" t="inlineStr">
        <is>
          <t>立即啟動/破局 ↔ 先掃描威脅並適應</t>
        </is>
      </c>
      <c r="D51" s="4" t="inlineStr">
        <is>
          <t>Martian ↔ Reptilian</t>
        </is>
      </c>
      <c r="E51" s="4" t="inlineStr">
        <is>
          <t>COMPARATIVE CENTERED</t>
        </is>
      </c>
      <c r="F51" s="4" t="inlineStr">
        <is>
          <t>Martian</t>
        </is>
      </c>
      <c r="G51" s="4" t="inlineStr">
        <is>
          <t>Reptilian</t>
        </is>
      </c>
      <c r="H51" s="6" t="n">
        <v>0.5</v>
      </c>
      <c r="I51" s="6" t="n">
        <v>-0.25</v>
      </c>
      <c r="J51" s="6" t="n">
        <v>0.125</v>
      </c>
      <c r="K51" s="6" t="n">
        <v>0.75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0.25</v>
      </c>
      <c r="W51" s="5" t="n">
        <v>0.25</v>
      </c>
      <c r="X51" s="5" t="n">
        <v>-0.5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</row>
    <row r="52">
      <c r="A52" s="4" t="inlineStr">
        <is>
          <t>L18</t>
        </is>
      </c>
      <c r="B52" s="4" t="inlineStr">
        <is>
          <t>LOCAL</t>
        </is>
      </c>
      <c r="C52" s="4" t="inlineStr">
        <is>
          <t>contained guard/observe ↔ immediate outward action</t>
        </is>
      </c>
      <c r="D52" s="4" t="inlineStr">
        <is>
          <t>Feline / Urmah ↔ Martian</t>
        </is>
      </c>
      <c r="E52" s="4" t="inlineStr">
        <is>
          <t>COMPARATIVE CENTERED</t>
        </is>
      </c>
      <c r="F52" s="4" t="inlineStr">
        <is>
          <t>Feline / Urmah</t>
        </is>
      </c>
      <c r="G52" s="4" t="inlineStr">
        <is>
          <t>Martian</t>
        </is>
      </c>
      <c r="H52" s="6" t="n">
        <v>0.7</v>
      </c>
      <c r="I52" s="6" t="n">
        <v>-0.6</v>
      </c>
      <c r="J52" s="6" t="n">
        <v>0.04999999999999999</v>
      </c>
      <c r="K52" s="6" t="n">
        <v>1.3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-0.6</v>
      </c>
      <c r="W52" s="5" t="n">
        <v>0</v>
      </c>
      <c r="X52" s="5" t="n">
        <v>0.4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</row>
    <row r="53">
      <c r="A53" s="4" t="inlineStr">
        <is>
          <t>L19</t>
        </is>
      </c>
      <c r="B53" s="4" t="inlineStr">
        <is>
          <t>LOCAL</t>
        </is>
      </c>
      <c r="C53" s="4" t="inlineStr">
        <is>
          <t>建立新路徑/方向 ↔ polymath exploration/跨域組合</t>
        </is>
      </c>
      <c r="D53" s="4" t="inlineStr">
        <is>
          <t>Lyran ↔ Vegan</t>
        </is>
      </c>
      <c r="E53" s="4" t="inlineStr">
        <is>
          <t>COMPARATIVE CENTERED</t>
        </is>
      </c>
      <c r="F53" s="4" t="inlineStr">
        <is>
          <t>Lyran</t>
        </is>
      </c>
      <c r="G53" s="4" t="inlineStr">
        <is>
          <t>Vegan</t>
        </is>
      </c>
      <c r="H53" s="6" t="n">
        <v>0.4166666666666666</v>
      </c>
      <c r="I53" s="6" t="n">
        <v>-0.4166666666666666</v>
      </c>
      <c r="J53" s="6" t="n">
        <v>0</v>
      </c>
      <c r="K53" s="6" t="n">
        <v>0.8333333333333333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0.1666666666666667</v>
      </c>
      <c r="AC53" s="5" t="n">
        <v>0.3333333333333333</v>
      </c>
      <c r="AD53" s="5" t="n">
        <v>-0.1666666666666667</v>
      </c>
      <c r="AE53" s="5" t="n">
        <v>-0.3333333333333333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</row>
    <row r="54">
      <c r="A54" s="4" t="inlineStr">
        <is>
          <t>L20</t>
        </is>
      </c>
      <c r="B54" s="4" t="inlineStr">
        <is>
          <t>LOCAL</t>
        </is>
      </c>
      <c r="C54" s="4" t="inlineStr">
        <is>
          <t>self-authored boundary/direction ↔ situation-driven tactical response</t>
        </is>
      </c>
      <c r="D54" s="4" t="inlineStr">
        <is>
          <t>Feline / Urmah ↔ Reptilian</t>
        </is>
      </c>
      <c r="E54" s="4" t="inlineStr">
        <is>
          <t>COMPARATIVE CENTERED</t>
        </is>
      </c>
      <c r="F54" s="4" t="inlineStr">
        <is>
          <t>Feline / Urmah</t>
        </is>
      </c>
      <c r="G54" s="4" t="inlineStr">
        <is>
          <t>Reptilian</t>
        </is>
      </c>
      <c r="H54" s="6" t="n">
        <v>0.6000000000000001</v>
      </c>
      <c r="I54" s="6" t="n">
        <v>-0.3</v>
      </c>
      <c r="J54" s="6" t="n">
        <v>0.15</v>
      </c>
      <c r="K54" s="6" t="n">
        <v>0.9000000000000001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0.4</v>
      </c>
      <c r="R54" s="5" t="n">
        <v>0</v>
      </c>
      <c r="S54" s="5" t="n">
        <v>0</v>
      </c>
      <c r="T54" s="5" t="n">
        <v>0.2</v>
      </c>
      <c r="U54" s="5" t="n">
        <v>0</v>
      </c>
      <c r="V54" s="5" t="n">
        <v>-0.4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</row>
    <row r="55">
      <c r="A55" s="4" t="inlineStr">
        <is>
          <t>L21</t>
        </is>
      </c>
      <c r="B55" s="4" t="inlineStr">
        <is>
          <t>LOCAL</t>
        </is>
      </c>
      <c r="C55" s="4" t="inlineStr">
        <is>
          <t>hierarchy/order ↔ adaptive survival</t>
        </is>
      </c>
      <c r="D55" s="4" t="inlineStr">
        <is>
          <t>Draconian ↔ Reptilian</t>
        </is>
      </c>
      <c r="E55" s="4" t="inlineStr">
        <is>
          <t>COMPARATIVE CENTERED</t>
        </is>
      </c>
      <c r="F55" s="4" t="inlineStr">
        <is>
          <t>Draconian</t>
        </is>
      </c>
      <c r="G55" s="4" t="inlineStr">
        <is>
          <t>Reptilian</t>
        </is>
      </c>
      <c r="H55" s="6" t="n">
        <v>0.625</v>
      </c>
      <c r="I55" s="6" t="n">
        <v>-0.375</v>
      </c>
      <c r="J55" s="6" t="n">
        <v>0.125</v>
      </c>
      <c r="K55" s="6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0.25</v>
      </c>
      <c r="R55" s="5" t="n">
        <v>0</v>
      </c>
      <c r="S55" s="5" t="n">
        <v>0</v>
      </c>
      <c r="T55" s="5" t="n">
        <v>-0.25</v>
      </c>
      <c r="U55" s="5" t="n">
        <v>0.25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0.25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</row>
    <row r="56">
      <c r="A56" s="4" t="inlineStr">
        <is>
          <t>L22</t>
        </is>
      </c>
      <c r="B56" s="4" t="inlineStr">
        <is>
          <t>LOCAL</t>
        </is>
      </c>
      <c r="C56" s="4" t="inlineStr">
        <is>
          <t>authority/order ↔ service/timing guardianship</t>
        </is>
      </c>
      <c r="D56" s="4" t="inlineStr">
        <is>
          <t>Draconian ↔ Antarian</t>
        </is>
      </c>
      <c r="E56" s="4" t="inlineStr">
        <is>
          <t>COMPARATIVE CENTERED</t>
        </is>
      </c>
      <c r="F56" s="4" t="inlineStr">
        <is>
          <t>Draconian</t>
        </is>
      </c>
      <c r="G56" s="4" t="inlineStr">
        <is>
          <t>Antarian</t>
        </is>
      </c>
      <c r="H56" s="6" t="n">
        <v>0.3333333333333334</v>
      </c>
      <c r="I56" s="6" t="n">
        <v>-0.5</v>
      </c>
      <c r="J56" s="6" t="n">
        <v>-0.08333333333333331</v>
      </c>
      <c r="K56" s="6" t="n">
        <v>0.8333333333333334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0.3333333333333333</v>
      </c>
      <c r="V56" s="5" t="n">
        <v>0.3333333333333333</v>
      </c>
      <c r="W56" s="5" t="n">
        <v>0</v>
      </c>
      <c r="X56" s="5" t="n">
        <v>-0.1666666666666667</v>
      </c>
      <c r="Y56" s="5" t="n">
        <v>0</v>
      </c>
      <c r="Z56" s="5" t="n">
        <v>-0.1666666666666667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</row>
    <row r="57">
      <c r="A57" s="4" t="inlineStr">
        <is>
          <t>L23</t>
        </is>
      </c>
      <c r="B57" s="4" t="inlineStr">
        <is>
          <t>LOCAL</t>
        </is>
      </c>
      <c r="C57" s="4" t="inlineStr">
        <is>
          <t>contained boundary guarding ↔ strategic timed intervention</t>
        </is>
      </c>
      <c r="D57" s="4" t="inlineStr">
        <is>
          <t>Feline / Urmah ↔ Antarian</t>
        </is>
      </c>
      <c r="E57" s="4" t="inlineStr">
        <is>
          <t>COMPARATIVE CENTERED</t>
        </is>
      </c>
      <c r="F57" s="4" t="inlineStr">
        <is>
          <t>Feline / Urmah</t>
        </is>
      </c>
      <c r="G57" s="4" t="inlineStr">
        <is>
          <t>Antarian</t>
        </is>
      </c>
      <c r="H57" s="6" t="n">
        <v>0.5</v>
      </c>
      <c r="I57" s="6" t="n">
        <v>-0.4285714285714285</v>
      </c>
      <c r="J57" s="6" t="n">
        <v>0.03571428571428573</v>
      </c>
      <c r="K57" s="6" t="n">
        <v>0.9285714285714286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-0.2857142857142857</v>
      </c>
      <c r="Q57" s="5" t="n">
        <v>0</v>
      </c>
      <c r="R57" s="5" t="n">
        <v>-0.2857142857142857</v>
      </c>
      <c r="S57" s="5" t="n">
        <v>0</v>
      </c>
      <c r="T57" s="5" t="n">
        <v>0.2857142857142857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-0.1428571428571428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</row>
    <row r="58">
      <c r="A58" s="4" t="inlineStr">
        <is>
          <t>L24</t>
        </is>
      </c>
      <c r="B58" s="4" t="inlineStr">
        <is>
          <t>LOCAL</t>
        </is>
      </c>
      <c r="C58" s="4" t="inlineStr">
        <is>
          <t>operational command ↔ civilization-scale institutions</t>
        </is>
      </c>
      <c r="D58" s="4" t="inlineStr">
        <is>
          <t>Draconian ↔ Anunnaki / Nibiruan</t>
        </is>
      </c>
      <c r="E58" s="4" t="inlineStr">
        <is>
          <t>COMPARATIVE CENTERED</t>
        </is>
      </c>
      <c r="F58" s="4" t="inlineStr">
        <is>
          <t>Draconian</t>
        </is>
      </c>
      <c r="G58" s="4" t="inlineStr">
        <is>
          <t>Anunnaki / Nibiruan</t>
        </is>
      </c>
      <c r="H58" s="6" t="n">
        <v>-0.125</v>
      </c>
      <c r="I58" s="6" t="n">
        <v>-0.625</v>
      </c>
      <c r="J58" s="6" t="n">
        <v>-0.375</v>
      </c>
      <c r="K58" s="6" t="n">
        <v>0.5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-0.25</v>
      </c>
      <c r="Q58" s="5" t="n">
        <v>0</v>
      </c>
      <c r="R58" s="5" t="n">
        <v>-0.25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0.25</v>
      </c>
      <c r="AC58" s="5" t="n">
        <v>-0.25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</row>
    <row r="59">
      <c r="A59" s="4" t="inlineStr">
        <is>
          <t>L25</t>
        </is>
      </c>
      <c r="B59" s="4" t="inlineStr">
        <is>
          <t>LOCAL</t>
        </is>
      </c>
      <c r="C59" s="4" t="inlineStr">
        <is>
          <t>contained sovereignty/access guard ↔ survival adaptation/threat response</t>
        </is>
      </c>
      <c r="D59" s="4" t="inlineStr">
        <is>
          <t>Feline / Urmah ↔ Reptilian</t>
        </is>
      </c>
      <c r="E59" s="4" t="inlineStr">
        <is>
          <t>COMPARATIVE CENTERED</t>
        </is>
      </c>
      <c r="F59" s="4" t="inlineStr">
        <is>
          <t>Feline / Urmah</t>
        </is>
      </c>
      <c r="G59" s="4" t="inlineStr">
        <is>
          <t>Reptilian</t>
        </is>
      </c>
      <c r="H59" s="6" t="n">
        <v>0.5714285714285714</v>
      </c>
      <c r="I59" s="6" t="n">
        <v>-0.3571428571428571</v>
      </c>
      <c r="J59" s="6" t="n">
        <v>0.1071428571428572</v>
      </c>
      <c r="K59" s="6" t="n">
        <v>0.9285714285714285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0.2857142857142857</v>
      </c>
      <c r="R59" s="5" t="n">
        <v>0</v>
      </c>
      <c r="S59" s="5" t="n">
        <v>0</v>
      </c>
      <c r="T59" s="5" t="n">
        <v>0.1428571428571428</v>
      </c>
      <c r="U59" s="5" t="n">
        <v>0</v>
      </c>
      <c r="V59" s="5" t="n">
        <v>-0.2857142857142857</v>
      </c>
      <c r="W59" s="5" t="n">
        <v>0</v>
      </c>
      <c r="X59" s="5" t="n">
        <v>0</v>
      </c>
      <c r="Y59" s="5" t="n">
        <v>0</v>
      </c>
      <c r="Z59" s="5" t="n">
        <v>0.2857142857142857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</row>
    <row r="60">
      <c r="A60" s="4" t="inlineStr">
        <is>
          <t>L26</t>
        </is>
      </c>
      <c r="B60" s="4" t="inlineStr">
        <is>
          <t>LOCAL</t>
        </is>
      </c>
      <c r="C60" s="4" t="inlineStr">
        <is>
          <t>holding boundary/access ↔ timed service-oriented intervention</t>
        </is>
      </c>
      <c r="D60" s="4" t="inlineStr">
        <is>
          <t>Feline / Urmah ↔ Antarian</t>
        </is>
      </c>
      <c r="E60" s="4" t="inlineStr">
        <is>
          <t>COMPARATIVE CENTERED</t>
        </is>
      </c>
      <c r="F60" s="4" t="inlineStr">
        <is>
          <t>Feline / Urmah</t>
        </is>
      </c>
      <c r="G60" s="4" t="inlineStr">
        <is>
          <t>Antarian</t>
        </is>
      </c>
      <c r="H60" s="6" t="n">
        <v>0.5</v>
      </c>
      <c r="I60" s="6" t="n">
        <v>-0.4285714285714285</v>
      </c>
      <c r="J60" s="6" t="n">
        <v>0.03571428571428573</v>
      </c>
      <c r="K60" s="6" t="n">
        <v>0.9285714285714286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-0.2857142857142857</v>
      </c>
      <c r="Q60" s="5" t="n">
        <v>0</v>
      </c>
      <c r="R60" s="5" t="n">
        <v>-0.2857142857142857</v>
      </c>
      <c r="S60" s="5" t="n">
        <v>0</v>
      </c>
      <c r="T60" s="5" t="n">
        <v>0.2857142857142857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-0.1428571428571428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</row>
    <row r="61">
      <c r="A61" s="4" t="inlineStr">
        <is>
          <t>L27</t>
        </is>
      </c>
      <c r="B61" s="4" t="inlineStr">
        <is>
          <t>LOCAL</t>
        </is>
      </c>
      <c r="C61" s="4" t="inlineStr">
        <is>
          <t>system authority/order ↔ adaptive/timed protection</t>
        </is>
      </c>
      <c r="D61" s="4" t="inlineStr">
        <is>
          <t>Draconian ↔ Reptilian</t>
        </is>
      </c>
      <c r="E61" s="4" t="inlineStr">
        <is>
          <t>COMPARATIVE CENTERED</t>
        </is>
      </c>
      <c r="F61" s="4" t="inlineStr">
        <is>
          <t>Draconian</t>
        </is>
      </c>
      <c r="G61" s="4" t="inlineStr">
        <is>
          <t>Reptilian</t>
        </is>
      </c>
      <c r="H61" s="6" t="n">
        <v>0.5</v>
      </c>
      <c r="I61" s="6" t="n">
        <v>-0.4</v>
      </c>
      <c r="J61" s="6" t="n">
        <v>0.04999999999999999</v>
      </c>
      <c r="K61" s="6" t="n">
        <v>0.9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0.4</v>
      </c>
      <c r="V61" s="5" t="n">
        <v>0</v>
      </c>
      <c r="W61" s="5" t="n">
        <v>0</v>
      </c>
      <c r="X61" s="5" t="n">
        <v>-0.2</v>
      </c>
      <c r="Y61" s="5" t="n">
        <v>0</v>
      </c>
      <c r="Z61" s="5" t="n">
        <v>0.4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</row>
    <row r="62">
      <c r="A62" s="4" t="inlineStr">
        <is>
          <t>L28</t>
        </is>
      </c>
      <c r="B62" s="4" t="inlineStr">
        <is>
          <t>LOCAL</t>
        </is>
      </c>
      <c r="C62" s="4" t="inlineStr">
        <is>
          <t>stable reference/orientation ↔ active mediation</t>
        </is>
      </c>
      <c r="D62" s="4" t="inlineStr">
        <is>
          <t>Polarian ↔ Tau Cetian</t>
        </is>
      </c>
      <c r="E62" s="4" t="inlineStr">
        <is>
          <t>COMPARATIVE CENTERED</t>
        </is>
      </c>
      <c r="F62" s="4" t="inlineStr">
        <is>
          <t>Polarian</t>
        </is>
      </c>
      <c r="G62" s="4" t="inlineStr">
        <is>
          <t>Tau Cetian</t>
        </is>
      </c>
      <c r="H62" s="6" t="n">
        <v>0.4166666666666666</v>
      </c>
      <c r="I62" s="6" t="n">
        <v>-0.4166666666666667</v>
      </c>
      <c r="J62" s="6" t="n">
        <v>-2.775557561562891e-17</v>
      </c>
      <c r="K62" s="6" t="n">
        <v>0.8333333333333333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0.1666666666666667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-0.1666666666666667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-0.3333333333333333</v>
      </c>
      <c r="AF62" s="5" t="n">
        <v>-0.3333333333333333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</row>
    <row r="63">
      <c r="A63" s="4" t="inlineStr">
        <is>
          <t>L29</t>
        </is>
      </c>
      <c r="B63" s="4" t="inlineStr">
        <is>
          <t>LOCAL</t>
        </is>
      </c>
      <c r="C63" s="4" t="inlineStr">
        <is>
          <t>遇到限制時改變 frame/離開 ↔ 保持自由並跨域創造/探索</t>
        </is>
      </c>
      <c r="D63" s="4" t="inlineStr">
        <is>
          <t>Andromedan ↔ Vegan</t>
        </is>
      </c>
      <c r="E63" s="4" t="inlineStr">
        <is>
          <t>COMPARATIVE CENTERED</t>
        </is>
      </c>
      <c r="F63" s="4" t="inlineStr">
        <is>
          <t>Andromedan</t>
        </is>
      </c>
      <c r="G63" s="4" t="inlineStr">
        <is>
          <t>Vegan</t>
        </is>
      </c>
      <c r="H63" s="6" t="n">
        <v>0.25</v>
      </c>
      <c r="I63" s="6" t="n">
        <v>-0.25</v>
      </c>
      <c r="J63" s="6" t="n">
        <v>0</v>
      </c>
      <c r="K63" s="6" t="n">
        <v>0.5</v>
      </c>
      <c r="L63" s="5" t="n">
        <v>0</v>
      </c>
      <c r="M63" s="5" t="n">
        <v>0</v>
      </c>
      <c r="N63" s="5" t="n">
        <v>-0.25</v>
      </c>
      <c r="O63" s="5" t="n">
        <v>-0.25</v>
      </c>
      <c r="P63" s="5" t="n">
        <v>0</v>
      </c>
      <c r="Q63" s="5" t="n">
        <v>0</v>
      </c>
      <c r="R63" s="5" t="n">
        <v>0.25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-0.25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</row>
    <row r="64">
      <c r="A64" s="4" t="inlineStr">
        <is>
          <t>L30</t>
        </is>
      </c>
      <c r="B64" s="4" t="inlineStr">
        <is>
          <t>LOCAL</t>
        </is>
      </c>
      <c r="C64" s="4" t="inlineStr">
        <is>
          <t>content/integrity stewardship ↔ stable orientation</t>
        </is>
      </c>
      <c r="D64" s="4" t="inlineStr">
        <is>
          <t>Sirian ↔ Polarian</t>
        </is>
      </c>
      <c r="E64" s="4" t="inlineStr">
        <is>
          <t>COMPARATIVE CENTERED</t>
        </is>
      </c>
      <c r="F64" s="4" t="inlineStr">
        <is>
          <t>Sirian</t>
        </is>
      </c>
      <c r="G64" s="4" t="inlineStr">
        <is>
          <t>Polarian</t>
        </is>
      </c>
      <c r="H64" s="6" t="n">
        <v>0.9</v>
      </c>
      <c r="I64" s="6" t="n">
        <v>0</v>
      </c>
      <c r="J64" s="6" t="n">
        <v>0.45</v>
      </c>
      <c r="K64" s="6" t="n">
        <v>0.9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0.4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0.4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0.2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</row>
    <row r="65">
      <c r="A65" s="4" t="inlineStr">
        <is>
          <t>L31</t>
        </is>
      </c>
      <c r="B65" s="4" t="inlineStr">
        <is>
          <t>LOCAL</t>
        </is>
      </c>
      <c r="C65" s="4" t="inlineStr">
        <is>
          <t>high-scope translation ↔ participatory mediation</t>
        </is>
      </c>
      <c r="D65" s="4" t="inlineStr">
        <is>
          <t>Avian / Blue Avian ↔ Tau Cetian</t>
        </is>
      </c>
      <c r="E65" s="4" t="inlineStr">
        <is>
          <t>COMPARATIVE CENTERED</t>
        </is>
      </c>
      <c r="F65" s="4" t="inlineStr">
        <is>
          <t>Avian / Blue Avian</t>
        </is>
      </c>
      <c r="G65" s="4" t="inlineStr">
        <is>
          <t>Tau Cetian</t>
        </is>
      </c>
      <c r="H65" s="6" t="n">
        <v>0.6666666666666666</v>
      </c>
      <c r="I65" s="6" t="n">
        <v>-0.1666666666666667</v>
      </c>
      <c r="J65" s="6" t="n">
        <v>0.25</v>
      </c>
      <c r="K65" s="6" t="n">
        <v>0.8333333333333333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0.1666666666666667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-0.3333333333333333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0.1666666666666667</v>
      </c>
      <c r="AE65" s="5" t="n">
        <v>0.3333333333333333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</row>
    <row r="66">
      <c r="A66" s="4" t="inlineStr">
        <is>
          <t>L32</t>
        </is>
      </c>
      <c r="B66" s="4" t="inlineStr">
        <is>
          <t>LOCAL</t>
        </is>
      </c>
      <c r="C66" s="4" t="inlineStr">
        <is>
          <t>stable reference/continuity ↔ practical technical implementation</t>
        </is>
      </c>
      <c r="D66" s="4" t="inlineStr">
        <is>
          <t>Polarian ↔ Alpha Centaurian</t>
        </is>
      </c>
      <c r="E66" s="4" t="inlineStr">
        <is>
          <t>COMPARATIVE CENTERED</t>
        </is>
      </c>
      <c r="F66" s="4" t="inlineStr">
        <is>
          <t>Polarian</t>
        </is>
      </c>
      <c r="G66" s="4" t="inlineStr">
        <is>
          <t>Alpha Centaurian</t>
        </is>
      </c>
      <c r="H66" s="6" t="n">
        <v>0.5</v>
      </c>
      <c r="I66" s="6" t="n">
        <v>-0.4285714285714285</v>
      </c>
      <c r="J66" s="6" t="n">
        <v>0.03571428571428573</v>
      </c>
      <c r="K66" s="6" t="n">
        <v>0.9285714285714286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-0.2857142857142857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0.2857142857142857</v>
      </c>
      <c r="AA66" s="5" t="n">
        <v>0</v>
      </c>
      <c r="AB66" s="5" t="n">
        <v>0</v>
      </c>
      <c r="AC66" s="5" t="n">
        <v>-0.1428571428571428</v>
      </c>
      <c r="AD66" s="5" t="n">
        <v>0</v>
      </c>
      <c r="AE66" s="5" t="n">
        <v>-0.2857142857142857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</row>
    <row r="67">
      <c r="A67" s="4" t="inlineStr">
        <is>
          <t>L33</t>
        </is>
      </c>
      <c r="B67" s="4" t="inlineStr">
        <is>
          <t>LOCAL</t>
        </is>
      </c>
      <c r="C67" s="4" t="inlineStr">
        <is>
          <t>解除限制/改變 frame ↔ 傳遞更高 scope 視角</t>
        </is>
      </c>
      <c r="D67" s="4" t="inlineStr">
        <is>
          <t>Andromedan ↔ Avian / Blue Avian</t>
        </is>
      </c>
      <c r="E67" s="4" t="inlineStr">
        <is>
          <t>COMPARATIVE CENTERED</t>
        </is>
      </c>
      <c r="F67" s="4" t="inlineStr">
        <is>
          <t>Andromedan</t>
        </is>
      </c>
      <c r="G67" s="4" t="inlineStr">
        <is>
          <t>Avian / Blue Avian</t>
        </is>
      </c>
      <c r="H67" s="6" t="n">
        <v>0.25</v>
      </c>
      <c r="I67" s="6" t="n">
        <v>-0.25</v>
      </c>
      <c r="J67" s="6" t="n">
        <v>0</v>
      </c>
      <c r="K67" s="6" t="n">
        <v>0.5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0.5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-0.5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</row>
    <row r="68">
      <c r="A68" s="4" t="inlineStr">
        <is>
          <t>L34</t>
        </is>
      </c>
      <c r="B68" s="4" t="inlineStr">
        <is>
          <t>LOCAL</t>
        </is>
      </c>
      <c r="C68" s="4" t="inlineStr">
        <is>
          <t>自由的用途：重設限制框架 ↔ 擴張知識/創意組合</t>
        </is>
      </c>
      <c r="D68" s="4" t="inlineStr">
        <is>
          <t>Andromedan ↔ Vegan</t>
        </is>
      </c>
      <c r="E68" s="4" t="inlineStr">
        <is>
          <t>COMPARATIVE CENTERED</t>
        </is>
      </c>
      <c r="F68" s="4" t="inlineStr">
        <is>
          <t>Andromedan</t>
        </is>
      </c>
      <c r="G68" s="4" t="inlineStr">
        <is>
          <t>Vegan</t>
        </is>
      </c>
      <c r="H68" s="6" t="n">
        <v>0.25</v>
      </c>
      <c r="I68" s="6" t="n">
        <v>-0.25</v>
      </c>
      <c r="J68" s="6" t="n">
        <v>0</v>
      </c>
      <c r="K68" s="6" t="n">
        <v>0.5</v>
      </c>
      <c r="L68" s="5" t="n">
        <v>0</v>
      </c>
      <c r="M68" s="5" t="n">
        <v>0</v>
      </c>
      <c r="N68" s="5" t="n">
        <v>-0.25</v>
      </c>
      <c r="O68" s="5" t="n">
        <v>-0.25</v>
      </c>
      <c r="P68" s="5" t="n">
        <v>0</v>
      </c>
      <c r="Q68" s="5" t="n">
        <v>0</v>
      </c>
      <c r="R68" s="5" t="n">
        <v>0.25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-0.25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</row>
    <row r="69">
      <c r="A69" s="4" t="inlineStr">
        <is>
          <t>L35</t>
        </is>
      </c>
      <c r="B69" s="4" t="inlineStr">
        <is>
          <t>LOCAL</t>
        </is>
      </c>
      <c r="C69" s="4" t="inlineStr">
        <is>
          <t>high-altitude translator ↔ ground-level multi-party mediator</t>
        </is>
      </c>
      <c r="D69" s="4" t="inlineStr">
        <is>
          <t>Avian / Blue Avian ↔ Tau Cetian</t>
        </is>
      </c>
      <c r="E69" s="4" t="inlineStr">
        <is>
          <t>COMPARATIVE CENTERED</t>
        </is>
      </c>
      <c r="F69" s="4" t="inlineStr">
        <is>
          <t>Avian / Blue Avian</t>
        </is>
      </c>
      <c r="G69" s="4" t="inlineStr">
        <is>
          <t>Tau Cetian</t>
        </is>
      </c>
      <c r="H69" s="6" t="n">
        <v>0.6000000000000001</v>
      </c>
      <c r="I69" s="6" t="n">
        <v>-0.3</v>
      </c>
      <c r="J69" s="6" t="n">
        <v>0.15</v>
      </c>
      <c r="K69" s="6" t="n">
        <v>0.9000000000000001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-0.4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0.2</v>
      </c>
      <c r="AE69" s="5" t="n">
        <v>0.4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</row>
    <row r="70">
      <c r="A70" s="4" t="inlineStr">
        <is>
          <t>L36</t>
        </is>
      </c>
      <c r="B70" s="4" t="inlineStr">
        <is>
          <t>LOCAL</t>
        </is>
      </c>
      <c r="C70" s="4" t="inlineStr">
        <is>
          <t>stable orientation/continuity ↔ embodied local participation/home</t>
        </is>
      </c>
      <c r="D70" s="4" t="inlineStr">
        <is>
          <t>Polarian ↔ Earth-Origin Soul</t>
        </is>
      </c>
      <c r="E70" s="4" t="inlineStr">
        <is>
          <t>COMPARATIVE CENTERED</t>
        </is>
      </c>
      <c r="F70" s="4" t="inlineStr">
        <is>
          <t>Polarian</t>
        </is>
      </c>
      <c r="G70" s="4" t="inlineStr">
        <is>
          <t>Earth-Origin Soul</t>
        </is>
      </c>
      <c r="H70" s="6" t="n">
        <v>-0.1</v>
      </c>
      <c r="I70" s="6" t="n">
        <v>-0.8</v>
      </c>
      <c r="J70" s="6" t="n">
        <v>-0.45</v>
      </c>
      <c r="K70" s="6" t="n">
        <v>0.7000000000000001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-0.2</v>
      </c>
      <c r="AB70" s="5" t="n">
        <v>-0.2</v>
      </c>
      <c r="AC70" s="5" t="n">
        <v>-0.2</v>
      </c>
      <c r="AD70" s="5" t="n">
        <v>0</v>
      </c>
      <c r="AE70" s="5" t="n">
        <v>0</v>
      </c>
      <c r="AF70" s="5" t="n">
        <v>0</v>
      </c>
      <c r="AG70" s="5" t="n">
        <v>-0.4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</row>
    <row r="71">
      <c r="A71" s="4" t="inlineStr">
        <is>
          <t>L37</t>
        </is>
      </c>
      <c r="B71" s="4" t="inlineStr">
        <is>
          <t>LOCAL</t>
        </is>
      </c>
      <c r="C71" s="4" t="inlineStr">
        <is>
          <t>creative-intellectual exploration ↔ messenger/high-scope translation</t>
        </is>
      </c>
      <c r="D71" s="4" t="inlineStr">
        <is>
          <t>Vegan ↔ Avian / Blue Avian</t>
        </is>
      </c>
      <c r="E71" s="4" t="inlineStr">
        <is>
          <t>COMPARATIVE CENTERED</t>
        </is>
      </c>
      <c r="F71" s="4" t="inlineStr">
        <is>
          <t>Vegan</t>
        </is>
      </c>
      <c r="G71" s="4" t="inlineStr">
        <is>
          <t>Avian / Blue Avian</t>
        </is>
      </c>
      <c r="H71" s="6" t="n">
        <v>-0.1</v>
      </c>
      <c r="I71" s="6" t="n">
        <v>-0.8</v>
      </c>
      <c r="J71" s="6" t="n">
        <v>-0.45</v>
      </c>
      <c r="K71" s="6" t="n">
        <v>0.7000000000000001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-0.2</v>
      </c>
      <c r="S71" s="5" t="n">
        <v>0</v>
      </c>
      <c r="T71" s="5" t="n">
        <v>0</v>
      </c>
      <c r="U71" s="5" t="n">
        <v>0</v>
      </c>
      <c r="V71" s="5" t="n">
        <v>0.4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-0.2</v>
      </c>
      <c r="AE71" s="5" t="n">
        <v>0</v>
      </c>
      <c r="AF71" s="5" t="n">
        <v>-0.2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</row>
    <row r="72">
      <c r="A72" s="4" t="inlineStr">
        <is>
          <t>L38</t>
        </is>
      </c>
      <c r="B72" s="4" t="inlineStr">
        <is>
          <t>LOCAL</t>
        </is>
      </c>
      <c r="C72" s="4" t="inlineStr">
        <is>
          <t>practical systems implementation ↔ lived/local stewardship continuity</t>
        </is>
      </c>
      <c r="D72" s="4" t="inlineStr">
        <is>
          <t>Alpha Centaurian ↔ Earth-Origin Soul</t>
        </is>
      </c>
      <c r="E72" s="4" t="inlineStr">
        <is>
          <t>COMPARATIVE CENTERED</t>
        </is>
      </c>
      <c r="F72" s="4" t="inlineStr">
        <is>
          <t>Alpha Centaurian</t>
        </is>
      </c>
      <c r="G72" s="4" t="inlineStr">
        <is>
          <t>Earth-Origin Soul</t>
        </is>
      </c>
      <c r="H72" s="6" t="n">
        <v>0</v>
      </c>
      <c r="I72" s="6" t="n">
        <v>-0.8333333333333333</v>
      </c>
      <c r="J72" s="6" t="n">
        <v>-0.4166666666666666</v>
      </c>
      <c r="K72" s="6" t="n">
        <v>0.8333333333333333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0.3333333333333333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-0.6666666666666666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</row>
    <row r="73">
      <c r="A73" s="4" t="inlineStr">
        <is>
          <t>A01</t>
        </is>
      </c>
      <c r="B73" s="4" t="inlineStr">
        <is>
          <t>ANCHOR</t>
        </is>
      </c>
      <c r="C73" s="4" t="inlineStr">
        <is>
          <t>lost-sanctuary / elsewhere-home restoration ↔ 建造新的可行未來</t>
        </is>
      </c>
      <c r="D73" s="4" t="inlineStr">
        <is>
          <t>Pleiadian ↔ Mintakan</t>
        </is>
      </c>
      <c r="E73" s="4" t="inlineStr">
        <is>
          <t>COMPARATIVE CENTERED</t>
        </is>
      </c>
      <c r="F73" s="4" t="inlineStr">
        <is>
          <t>Mintakan</t>
        </is>
      </c>
      <c r="G73" s="4" t="inlineStr">
        <is>
          <t>Pleiadian</t>
        </is>
      </c>
      <c r="H73" s="6" t="n">
        <v>1</v>
      </c>
      <c r="I73" s="6" t="n">
        <v>0</v>
      </c>
      <c r="J73" s="6" t="n">
        <v>0.5</v>
      </c>
      <c r="K73" s="6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-0.3333333333333333</v>
      </c>
      <c r="AH73" s="5" t="n">
        <v>0.3333333333333333</v>
      </c>
      <c r="AI73" s="5" t="n">
        <v>0</v>
      </c>
      <c r="AJ73" s="5" t="n">
        <v>0.3333333333333333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</row>
    <row r="74">
      <c r="A74" s="4" t="inlineStr">
        <is>
          <t>A02</t>
        </is>
      </c>
      <c r="B74" s="4" t="inlineStr">
        <is>
          <t>ANCHOR</t>
        </is>
      </c>
      <c r="C74" s="4" t="inlineStr">
        <is>
          <t>practical implementation ↔ skeptical risk-depth / hidden-failure stewardship</t>
        </is>
      </c>
      <c r="D74" s="4" t="inlineStr">
        <is>
          <t>Alpha Centaurian ↔ Maldekian</t>
        </is>
      </c>
      <c r="E74" s="4" t="inlineStr">
        <is>
          <t>COMPARATIVE CENTERED</t>
        </is>
      </c>
      <c r="F74" s="4" t="inlineStr">
        <is>
          <t>Alpha Centaurian</t>
        </is>
      </c>
      <c r="G74" s="4" t="inlineStr">
        <is>
          <t>Maldekian</t>
        </is>
      </c>
      <c r="H74" s="6" t="n">
        <v>-0.1</v>
      </c>
      <c r="I74" s="6" t="n">
        <v>-1</v>
      </c>
      <c r="J74" s="6" t="n">
        <v>-0.55</v>
      </c>
      <c r="K74" s="6" t="n">
        <v>0.9</v>
      </c>
      <c r="L74" s="5" t="n">
        <v>0</v>
      </c>
      <c r="M74" s="5" t="n">
        <v>0</v>
      </c>
      <c r="N74" s="5" t="n">
        <v>0</v>
      </c>
      <c r="O74" s="5" t="n">
        <v>-0.2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-0.4</v>
      </c>
      <c r="Y74" s="5" t="n">
        <v>0</v>
      </c>
      <c r="Z74" s="5" t="n">
        <v>-0.4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</row>
    <row r="75">
      <c r="A75" s="4" t="inlineStr">
        <is>
          <t>A03</t>
        </is>
      </c>
      <c r="B75" s="4" t="inlineStr">
        <is>
          <t>ANCHOR</t>
        </is>
      </c>
      <c r="C75" s="4" t="inlineStr">
        <is>
          <t>contained guard/threat scan ↔ outward activation/leadership</t>
        </is>
      </c>
      <c r="D75" s="4" t="inlineStr">
        <is>
          <t>Martian ↔ Reptilian</t>
        </is>
      </c>
      <c r="E75" s="4" t="inlineStr">
        <is>
          <t>COMPARATIVE CENTERED</t>
        </is>
      </c>
      <c r="F75" s="4" t="inlineStr">
        <is>
          <t>Reptilian</t>
        </is>
      </c>
      <c r="G75" s="4" t="inlineStr">
        <is>
          <t>Martian</t>
        </is>
      </c>
      <c r="H75" s="6" t="n">
        <v>0.5</v>
      </c>
      <c r="I75" s="6" t="n">
        <v>-0.3333333333333333</v>
      </c>
      <c r="J75" s="6" t="n">
        <v>0.08333333333333334</v>
      </c>
      <c r="K75" s="6" t="n">
        <v>0.8333333333333333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-0.3333333333333333</v>
      </c>
      <c r="W75" s="5" t="n">
        <v>0</v>
      </c>
      <c r="X75" s="5" t="n">
        <v>0.6666666666666666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</row>
    <row r="76">
      <c r="A76" s="4" t="inlineStr">
        <is>
          <t>A04</t>
        </is>
      </c>
      <c r="B76" s="4" t="inlineStr">
        <is>
          <t>ANCHOR</t>
        </is>
      </c>
      <c r="C76" s="4" t="inlineStr">
        <is>
          <t>disciplined/timed structure ↔ situational/immediate response</t>
        </is>
      </c>
      <c r="D76" s="4" t="inlineStr">
        <is>
          <t>Draconian ↔ Reptilian</t>
        </is>
      </c>
      <c r="E76" s="4" t="inlineStr">
        <is>
          <t>COMPARATIVE CENTERED</t>
        </is>
      </c>
      <c r="F76" s="4" t="inlineStr">
        <is>
          <t>Draconian</t>
        </is>
      </c>
      <c r="G76" s="4" t="inlineStr">
        <is>
          <t>Reptilian</t>
        </is>
      </c>
      <c r="H76" s="6" t="n">
        <v>0.6666666666666666</v>
      </c>
      <c r="I76" s="6" t="n">
        <v>-0.3333333333333333</v>
      </c>
      <c r="J76" s="6" t="n">
        <v>0.1666666666666667</v>
      </c>
      <c r="K76" s="6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0.3333333333333333</v>
      </c>
      <c r="R76" s="5" t="n">
        <v>0</v>
      </c>
      <c r="S76" s="5" t="n">
        <v>0</v>
      </c>
      <c r="T76" s="5" t="n">
        <v>0</v>
      </c>
      <c r="U76" s="5" t="n">
        <v>0.3333333333333333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0.3333333333333333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</row>
    <row r="77">
      <c r="A77" s="4" t="inlineStr">
        <is>
          <t>A05</t>
        </is>
      </c>
      <c r="B77" s="4" t="inlineStr">
        <is>
          <t>ANCHOR</t>
        </is>
      </c>
      <c r="C77" s="4" t="inlineStr">
        <is>
          <t>detached biological/evolution observation ↔ restorative emotional/structural intervention</t>
        </is>
      </c>
      <c r="D77" s="4" t="inlineStr">
        <is>
          <t>Pleiadian ↔ Zeta / Grey; Arcturian ↔ Zeta / Grey</t>
        </is>
      </c>
      <c r="E77" s="4" t="inlineStr">
        <is>
          <t>COMPARATIVE CENTERED</t>
        </is>
      </c>
      <c r="F77" s="4" t="inlineStr">
        <is>
          <t>Zeta / Grey</t>
        </is>
      </c>
      <c r="G77" s="4" t="inlineStr">
        <is>
          <t>Pleiadian; Arcturian</t>
        </is>
      </c>
      <c r="H77" s="6" t="n">
        <v>0.6666666666666666</v>
      </c>
      <c r="I77" s="6" t="n">
        <v>-0.35</v>
      </c>
      <c r="J77" s="6" t="n">
        <v>0.1583333333333333</v>
      </c>
      <c r="K77" s="6" t="n">
        <v>1.016666666666667</v>
      </c>
      <c r="L77" s="5" t="n">
        <v>0</v>
      </c>
      <c r="M77" s="5" t="n">
        <v>0</v>
      </c>
      <c r="N77" s="5" t="n">
        <v>0</v>
      </c>
      <c r="O77" s="5" t="n">
        <v>0.3333333333333333</v>
      </c>
      <c r="P77" s="5" t="n">
        <v>0.1333333333333333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-0.2666666666666667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0.2666666666666667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</row>
    <row r="78">
      <c r="A78" s="4" t="inlineStr">
        <is>
          <t>A06</t>
        </is>
      </c>
      <c r="B78" s="4" t="inlineStr">
        <is>
          <t>ANCHOR</t>
        </is>
      </c>
      <c r="C78" s="4" t="inlineStr">
        <is>
          <t>aesthetic atmosphere itself is intervention ↔ affective or functional intervention</t>
        </is>
      </c>
      <c r="D78" s="4" t="inlineStr">
        <is>
          <t>Pleiadian ↔ Venusian</t>
        </is>
      </c>
      <c r="E78" s="4" t="inlineStr">
        <is>
          <t>COMPARATIVE CENTERED</t>
        </is>
      </c>
      <c r="F78" s="4" t="inlineStr">
        <is>
          <t>Venusian</t>
        </is>
      </c>
      <c r="G78" s="4" t="inlineStr">
        <is>
          <t>Pleiadian</t>
        </is>
      </c>
      <c r="H78" s="6" t="n">
        <v>0.5</v>
      </c>
      <c r="I78" s="6" t="n">
        <v>-0.5</v>
      </c>
      <c r="J78" s="6" t="n">
        <v>0</v>
      </c>
      <c r="K78" s="6" t="n">
        <v>1</v>
      </c>
      <c r="L78" s="5" t="n">
        <v>-0.5</v>
      </c>
      <c r="M78" s="5" t="n">
        <v>0</v>
      </c>
      <c r="N78" s="5" t="n">
        <v>0.5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</row>
    <row r="79">
      <c r="A79" s="4" t="inlineStr">
        <is>
          <t>A07</t>
        </is>
      </c>
      <c r="B79" s="4" t="inlineStr">
        <is>
          <t>ANCHOR</t>
        </is>
      </c>
      <c r="C79" s="4" t="inlineStr">
        <is>
          <t>dyadic trust/bond repair ↔ broad affective-field care</t>
        </is>
      </c>
      <c r="D79" s="4" t="inlineStr">
        <is>
          <t>Pleiadian ↔ Hadarian</t>
        </is>
      </c>
      <c r="E79" s="4" t="inlineStr">
        <is>
          <t>COMPARATIVE CENTERED</t>
        </is>
      </c>
      <c r="F79" s="4" t="inlineStr">
        <is>
          <t>Hadarian</t>
        </is>
      </c>
      <c r="G79" s="4" t="inlineStr">
        <is>
          <t>Pleiadian</t>
        </is>
      </c>
      <c r="H79" s="6" t="n">
        <v>0.5</v>
      </c>
      <c r="I79" s="6" t="n">
        <v>-0.25</v>
      </c>
      <c r="J79" s="6" t="n">
        <v>0.125</v>
      </c>
      <c r="K79" s="6" t="n">
        <v>0.75</v>
      </c>
      <c r="L79" s="5" t="n">
        <v>-0.5</v>
      </c>
      <c r="M79" s="5" t="n">
        <v>0.25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-0.25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</row>
    <row r="80">
      <c r="A80" s="4" t="inlineStr">
        <is>
          <t>A08</t>
        </is>
      </c>
      <c r="B80" s="4" t="inlineStr">
        <is>
          <t>ANCHOR</t>
        </is>
      </c>
      <c r="C80" s="4" t="inlineStr">
        <is>
          <t>stable reference/orientation ↔ active mediation</t>
        </is>
      </c>
      <c r="D80" s="4" t="inlineStr">
        <is>
          <t>Polarian ↔ Tau Cetian</t>
        </is>
      </c>
      <c r="E80" s="4" t="inlineStr">
        <is>
          <t>COMPARATIVE CENTERED</t>
        </is>
      </c>
      <c r="F80" s="4" t="inlineStr">
        <is>
          <t>Polarian</t>
        </is>
      </c>
      <c r="G80" s="4" t="inlineStr">
        <is>
          <t>Tau Cetian</t>
        </is>
      </c>
      <c r="H80" s="6" t="n">
        <v>0.4166666666666667</v>
      </c>
      <c r="I80" s="6" t="n">
        <v>-0.4166666666666666</v>
      </c>
      <c r="J80" s="6" t="n">
        <v>2.775557561562891e-17</v>
      </c>
      <c r="K80" s="6" t="n">
        <v>0.8333333333333333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-0.1666666666666667</v>
      </c>
      <c r="Z80" s="5" t="n">
        <v>0.1666666666666667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-0.3333333333333333</v>
      </c>
      <c r="AF80" s="5" t="n">
        <v>-0.3333333333333333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</row>
    <row r="81">
      <c r="A81" s="4" t="inlineStr">
        <is>
          <t>A09</t>
        </is>
      </c>
      <c r="B81" s="4" t="inlineStr">
        <is>
          <t>ANCHOR</t>
        </is>
      </c>
      <c r="C81" s="4" t="inlineStr">
        <is>
          <t>civilization-scale institutional architecture ↔ operational/practical/local implementation</t>
        </is>
      </c>
      <c r="D81" s="4" t="inlineStr">
        <is>
          <t>Draconian ↔ Anunnaki / Nibiruan; Alpha Centaurian ↔ Anunnaki / Nibiruan</t>
        </is>
      </c>
      <c r="E81" s="4" t="inlineStr">
        <is>
          <t>COMPARATIVE CENTERED</t>
        </is>
      </c>
      <c r="F81" s="4" t="inlineStr">
        <is>
          <t>Anunnaki / Nibiruan</t>
        </is>
      </c>
      <c r="G81" s="4" t="inlineStr">
        <is>
          <t>Draconian; Alpha Centaurian</t>
        </is>
      </c>
      <c r="H81" s="6" t="n">
        <v>0.9999999999999998</v>
      </c>
      <c r="I81" s="6" t="n">
        <v>0.4642857142857142</v>
      </c>
      <c r="J81" s="6" t="n">
        <v>0.732142857142857</v>
      </c>
      <c r="K81" s="6" t="n">
        <v>0.5357142857142856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0.1428571428571428</v>
      </c>
      <c r="Q81" s="5" t="n">
        <v>0</v>
      </c>
      <c r="R81" s="5" t="n">
        <v>0.4285714285714285</v>
      </c>
      <c r="S81" s="5" t="n">
        <v>0</v>
      </c>
      <c r="T81" s="5" t="n">
        <v>0</v>
      </c>
      <c r="U81" s="5" t="n">
        <v>0.2857142857142857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0.1428571428571428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</row>
    <row r="82">
      <c r="A82" s="4" t="inlineStr">
        <is>
          <t>A10</t>
        </is>
      </c>
      <c r="B82" s="4" t="inlineStr">
        <is>
          <t>ANCHOR</t>
        </is>
      </c>
      <c r="C82" s="4" t="inlineStr">
        <is>
          <t>Earth/human continuity 作為主要 home ↔ lost/elsewhere-home orientation</t>
        </is>
      </c>
      <c r="D82" s="4" t="inlineStr">
        <is>
          <t>Mintakan ↔ Earth-Origin Soul</t>
        </is>
      </c>
      <c r="E82" s="4" t="inlineStr">
        <is>
          <t>COMPARATIVE CENTERED</t>
        </is>
      </c>
      <c r="F82" s="4" t="inlineStr">
        <is>
          <t>Earth-Origin Soul</t>
        </is>
      </c>
      <c r="G82" s="4" t="inlineStr">
        <is>
          <t>Mintakan</t>
        </is>
      </c>
      <c r="H82" s="6" t="n">
        <v>0.75</v>
      </c>
      <c r="I82" s="6" t="n">
        <v>-0.75</v>
      </c>
      <c r="J82" s="6" t="n">
        <v>0</v>
      </c>
      <c r="K82" s="6" t="n">
        <v>1.5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0.5</v>
      </c>
      <c r="AH82" s="5" t="n">
        <v>-0.25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0.25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</row>
    <row r="83">
      <c r="A83" s="4" t="inlineStr">
        <is>
          <t>A11</t>
        </is>
      </c>
      <c r="B83" s="4" t="inlineStr">
        <is>
          <t>ANCHOR</t>
        </is>
      </c>
      <c r="C83" s="4" t="inlineStr">
        <is>
          <t>strategic timed service guardian ↔ command / adaptive / immediate response</t>
        </is>
      </c>
      <c r="D83" s="4" t="inlineStr">
        <is>
          <t>Draconian ↔ Antarian; Reptilian ↔ Antarian</t>
        </is>
      </c>
      <c r="E83" s="4" t="inlineStr">
        <is>
          <t>COMPARATIVE CENTERED</t>
        </is>
      </c>
      <c r="F83" s="4" t="inlineStr">
        <is>
          <t>Antarian</t>
        </is>
      </c>
      <c r="G83" s="4" t="inlineStr">
        <is>
          <t>Draconian; Reptilian</t>
        </is>
      </c>
      <c r="H83" s="6" t="n">
        <v>0.6363636363636364</v>
      </c>
      <c r="I83" s="6" t="n">
        <v>-0.2045454545454545</v>
      </c>
      <c r="J83" s="6" t="n">
        <v>0.2159090909090909</v>
      </c>
      <c r="K83" s="6" t="n">
        <v>0.8409090909090908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-0.1818181818181818</v>
      </c>
      <c r="V83" s="5" t="n">
        <v>-0.3636363636363636</v>
      </c>
      <c r="W83" s="5" t="n">
        <v>0</v>
      </c>
      <c r="X83" s="5" t="n">
        <v>0.09090909090909091</v>
      </c>
      <c r="Y83" s="5" t="n">
        <v>0</v>
      </c>
      <c r="Z83" s="5" t="n">
        <v>0.3636363636363636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</row>
    <row r="84">
      <c r="A84" s="4" t="inlineStr">
        <is>
          <t>A12</t>
        </is>
      </c>
      <c r="B84" s="4" t="inlineStr">
        <is>
          <t>ANCHOR</t>
        </is>
      </c>
      <c r="C84" s="4" t="inlineStr">
        <is>
          <t>operational command ↔ civilization-scale institution architecture</t>
        </is>
      </c>
      <c r="D84" s="4" t="inlineStr">
        <is>
          <t>Draconian ↔ Anunnaki / Nibiruan</t>
        </is>
      </c>
      <c r="E84" s="4" t="inlineStr">
        <is>
          <t>COMPARATIVE CENTERED</t>
        </is>
      </c>
      <c r="F84" s="4" t="inlineStr">
        <is>
          <t>Draconian</t>
        </is>
      </c>
      <c r="G84" s="4" t="inlineStr">
        <is>
          <t>Anunnaki / Nibiruan</t>
        </is>
      </c>
      <c r="H84" s="6" t="n">
        <v>-0.125</v>
      </c>
      <c r="I84" s="6" t="n">
        <v>-0.625</v>
      </c>
      <c r="J84" s="6" t="n">
        <v>-0.375</v>
      </c>
      <c r="K84" s="6" t="n">
        <v>0.5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-0.25</v>
      </c>
      <c r="Q84" s="5" t="n">
        <v>0</v>
      </c>
      <c r="R84" s="5" t="n">
        <v>-0.25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0.25</v>
      </c>
      <c r="AC84" s="5" t="n">
        <v>-0.25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</row>
  </sheetData>
  <mergeCells count="2">
    <mergeCell ref="A2:AZ2"/>
    <mergeCell ref="A1:AZ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 ht="30" customHeight="1">
      <c r="A1" s="1" t="inlineStr">
        <is>
          <t>23×80 Continuous Canonical Scores</t>
        </is>
      </c>
    </row>
    <row r="2" ht="38" customHeight="1">
      <c r="A2" s="2" t="inlineStr">
        <is>
          <t>Pre-quantization values in [-1,+1]. These are the exact numeric outputs of the frozen pole model.</t>
        </is>
      </c>
    </row>
    <row r="3"/>
    <row r="4">
      <c r="A4" s="3" t="inlineStr">
        <is>
          <t>#</t>
        </is>
      </c>
      <c r="B4" s="3" t="inlineStr">
        <is>
          <t>中文</t>
        </is>
      </c>
      <c r="C4" s="3" t="inlineStr">
        <is>
          <t>English</t>
        </is>
      </c>
      <c r="D4" s="3" t="inlineStr">
        <is>
          <t>G01</t>
        </is>
      </c>
      <c r="E4" s="3" t="inlineStr">
        <is>
          <t>G02</t>
        </is>
      </c>
      <c r="F4" s="3" t="inlineStr">
        <is>
          <t>G03</t>
        </is>
      </c>
      <c r="G4" s="3" t="inlineStr">
        <is>
          <t>G04</t>
        </is>
      </c>
      <c r="H4" s="3" t="inlineStr">
        <is>
          <t>G05</t>
        </is>
      </c>
      <c r="I4" s="3" t="inlineStr">
        <is>
          <t>G06</t>
        </is>
      </c>
      <c r="J4" s="3" t="inlineStr">
        <is>
          <t>G07</t>
        </is>
      </c>
      <c r="K4" s="3" t="inlineStr">
        <is>
          <t>G08</t>
        </is>
      </c>
      <c r="L4" s="3" t="inlineStr">
        <is>
          <t>G09</t>
        </is>
      </c>
      <c r="M4" s="3" t="inlineStr">
        <is>
          <t>G10</t>
        </is>
      </c>
      <c r="N4" s="3" t="inlineStr">
        <is>
          <t>G11</t>
        </is>
      </c>
      <c r="O4" s="3" t="inlineStr">
        <is>
          <t>G12</t>
        </is>
      </c>
      <c r="P4" s="3" t="inlineStr">
        <is>
          <t>G13</t>
        </is>
      </c>
      <c r="Q4" s="3" t="inlineStr">
        <is>
          <t>G14</t>
        </is>
      </c>
      <c r="R4" s="3" t="inlineStr">
        <is>
          <t>G15</t>
        </is>
      </c>
      <c r="S4" s="3" t="inlineStr">
        <is>
          <t>G16</t>
        </is>
      </c>
      <c r="T4" s="3" t="inlineStr">
        <is>
          <t>G17</t>
        </is>
      </c>
      <c r="U4" s="3" t="inlineStr">
        <is>
          <t>G18</t>
        </is>
      </c>
      <c r="V4" s="3" t="inlineStr">
        <is>
          <t>G19</t>
        </is>
      </c>
      <c r="W4" s="3" t="inlineStr">
        <is>
          <t>G20</t>
        </is>
      </c>
      <c r="X4" s="3" t="inlineStr">
        <is>
          <t>G21</t>
        </is>
      </c>
      <c r="Y4" s="3" t="inlineStr">
        <is>
          <t>G22</t>
        </is>
      </c>
      <c r="Z4" s="3" t="inlineStr">
        <is>
          <t>G23</t>
        </is>
      </c>
      <c r="AA4" s="3" t="inlineStr">
        <is>
          <t>G24</t>
        </is>
      </c>
      <c r="AB4" s="3" t="inlineStr">
        <is>
          <t>G25</t>
        </is>
      </c>
      <c r="AC4" s="3" t="inlineStr">
        <is>
          <t>G26</t>
        </is>
      </c>
      <c r="AD4" s="3" t="inlineStr">
        <is>
          <t>G27</t>
        </is>
      </c>
      <c r="AE4" s="3" t="inlineStr">
        <is>
          <t>G28</t>
        </is>
      </c>
      <c r="AF4" s="3" t="inlineStr">
        <is>
          <t>G29</t>
        </is>
      </c>
      <c r="AG4" s="3" t="inlineStr">
        <is>
          <t>G30</t>
        </is>
      </c>
      <c r="AH4" s="3" t="inlineStr">
        <is>
          <t>L01</t>
        </is>
      </c>
      <c r="AI4" s="3" t="inlineStr">
        <is>
          <t>L02</t>
        </is>
      </c>
      <c r="AJ4" s="3" t="inlineStr">
        <is>
          <t>L03</t>
        </is>
      </c>
      <c r="AK4" s="3" t="inlineStr">
        <is>
          <t>L04</t>
        </is>
      </c>
      <c r="AL4" s="3" t="inlineStr">
        <is>
          <t>L05</t>
        </is>
      </c>
      <c r="AM4" s="3" t="inlineStr">
        <is>
          <t>L06</t>
        </is>
      </c>
      <c r="AN4" s="3" t="inlineStr">
        <is>
          <t>L07</t>
        </is>
      </c>
      <c r="AO4" s="3" t="inlineStr">
        <is>
          <t>L08</t>
        </is>
      </c>
      <c r="AP4" s="3" t="inlineStr">
        <is>
          <t>L09</t>
        </is>
      </c>
      <c r="AQ4" s="3" t="inlineStr">
        <is>
          <t>L10</t>
        </is>
      </c>
      <c r="AR4" s="3" t="inlineStr">
        <is>
          <t>L11</t>
        </is>
      </c>
      <c r="AS4" s="3" t="inlineStr">
        <is>
          <t>L12</t>
        </is>
      </c>
      <c r="AT4" s="3" t="inlineStr">
        <is>
          <t>L13</t>
        </is>
      </c>
      <c r="AU4" s="3" t="inlineStr">
        <is>
          <t>L14</t>
        </is>
      </c>
      <c r="AV4" s="3" t="inlineStr">
        <is>
          <t>L15</t>
        </is>
      </c>
      <c r="AW4" s="3" t="inlineStr">
        <is>
          <t>L16</t>
        </is>
      </c>
      <c r="AX4" s="3" t="inlineStr">
        <is>
          <t>L17</t>
        </is>
      </c>
      <c r="AY4" s="3" t="inlineStr">
        <is>
          <t>L18</t>
        </is>
      </c>
      <c r="AZ4" s="3" t="inlineStr">
        <is>
          <t>L19</t>
        </is>
      </c>
      <c r="BA4" s="3" t="inlineStr">
        <is>
          <t>L20</t>
        </is>
      </c>
      <c r="BB4" s="3" t="inlineStr">
        <is>
          <t>L21</t>
        </is>
      </c>
      <c r="BC4" s="3" t="inlineStr">
        <is>
          <t>L22</t>
        </is>
      </c>
      <c r="BD4" s="3" t="inlineStr">
        <is>
          <t>L23</t>
        </is>
      </c>
      <c r="BE4" s="3" t="inlineStr">
        <is>
          <t>L24</t>
        </is>
      </c>
      <c r="BF4" s="3" t="inlineStr">
        <is>
          <t>L25</t>
        </is>
      </c>
      <c r="BG4" s="3" t="inlineStr">
        <is>
          <t>L26</t>
        </is>
      </c>
      <c r="BH4" s="3" t="inlineStr">
        <is>
          <t>L27</t>
        </is>
      </c>
      <c r="BI4" s="3" t="inlineStr">
        <is>
          <t>L28</t>
        </is>
      </c>
      <c r="BJ4" s="3" t="inlineStr">
        <is>
          <t>L29</t>
        </is>
      </c>
      <c r="BK4" s="3" t="inlineStr">
        <is>
          <t>L30</t>
        </is>
      </c>
      <c r="BL4" s="3" t="inlineStr">
        <is>
          <t>L31</t>
        </is>
      </c>
      <c r="BM4" s="3" t="inlineStr">
        <is>
          <t>L32</t>
        </is>
      </c>
      <c r="BN4" s="3" t="inlineStr">
        <is>
          <t>L33</t>
        </is>
      </c>
      <c r="BO4" s="3" t="inlineStr">
        <is>
          <t>L34</t>
        </is>
      </c>
      <c r="BP4" s="3" t="inlineStr">
        <is>
          <t>L35</t>
        </is>
      </c>
      <c r="BQ4" s="3" t="inlineStr">
        <is>
          <t>L36</t>
        </is>
      </c>
      <c r="BR4" s="3" t="inlineStr">
        <is>
          <t>L37</t>
        </is>
      </c>
      <c r="BS4" s="3" t="inlineStr">
        <is>
          <t>L38</t>
        </is>
      </c>
      <c r="BT4" s="3" t="inlineStr">
        <is>
          <t>A01</t>
        </is>
      </c>
      <c r="BU4" s="3" t="inlineStr">
        <is>
          <t>A02</t>
        </is>
      </c>
      <c r="BV4" s="3" t="inlineStr">
        <is>
          <t>A03</t>
        </is>
      </c>
      <c r="BW4" s="3" t="inlineStr">
        <is>
          <t>A04</t>
        </is>
      </c>
      <c r="BX4" s="3" t="inlineStr">
        <is>
          <t>A05</t>
        </is>
      </c>
      <c r="BY4" s="3" t="inlineStr">
        <is>
          <t>A06</t>
        </is>
      </c>
      <c r="BZ4" s="3" t="inlineStr">
        <is>
          <t>A07</t>
        </is>
      </c>
      <c r="CA4" s="3" t="inlineStr">
        <is>
          <t>A08</t>
        </is>
      </c>
      <c r="CB4" s="3" t="inlineStr">
        <is>
          <t>A09</t>
        </is>
      </c>
      <c r="CC4" s="3" t="inlineStr">
        <is>
          <t>A10</t>
        </is>
      </c>
      <c r="CD4" s="3" t="inlineStr">
        <is>
          <t>A11</t>
        </is>
      </c>
      <c r="CE4" s="3" t="inlineStr">
        <is>
          <t>A12</t>
        </is>
      </c>
    </row>
    <row r="5">
      <c r="A5" t="n">
        <v>1</v>
      </c>
      <c r="B5" t="inlineStr">
        <is>
          <t>昴宿星人</t>
        </is>
      </c>
      <c r="C5" t="inlineStr">
        <is>
          <t>Pleiadian</t>
        </is>
      </c>
      <c r="D5" s="5" t="n">
        <v>0.75</v>
      </c>
      <c r="E5" s="5" t="n">
        <v>0.25</v>
      </c>
      <c r="F5" s="5" t="n">
        <v>0.25</v>
      </c>
      <c r="G5" s="5" t="n">
        <v>-0.5</v>
      </c>
      <c r="H5" s="5" t="n">
        <v>-0.75</v>
      </c>
      <c r="I5" s="5" t="n">
        <v>0.25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-0.5</v>
      </c>
      <c r="O5" s="5" t="n">
        <v>-1</v>
      </c>
      <c r="P5" s="5" t="n">
        <v>-0.5</v>
      </c>
      <c r="Q5" s="5" t="n">
        <v>0.5</v>
      </c>
      <c r="R5" s="5" t="n">
        <v>-0.5</v>
      </c>
      <c r="S5" s="5" t="n">
        <v>0.75</v>
      </c>
      <c r="T5" s="5" t="n">
        <v>0</v>
      </c>
      <c r="U5" s="5" t="n">
        <v>0</v>
      </c>
      <c r="V5" s="5" t="n">
        <v>0.25</v>
      </c>
      <c r="W5" s="5" t="n">
        <v>0</v>
      </c>
      <c r="X5" s="5" t="n">
        <v>0</v>
      </c>
      <c r="Y5" s="5" t="n">
        <v>0</v>
      </c>
      <c r="Z5" s="5" t="n">
        <v>0.25</v>
      </c>
      <c r="AA5" s="5" t="n">
        <v>0.5</v>
      </c>
      <c r="AB5" s="5" t="n">
        <v>0</v>
      </c>
      <c r="AC5" s="5" t="n">
        <v>-0.25</v>
      </c>
      <c r="AD5" s="5" t="n">
        <v>0</v>
      </c>
      <c r="AE5" s="5" t="n">
        <v>0</v>
      </c>
      <c r="AF5" s="5" t="n">
        <v>0.5</v>
      </c>
      <c r="AG5" s="5" t="n">
        <v>-1</v>
      </c>
      <c r="AH5" s="5" t="n">
        <v>0.85</v>
      </c>
      <c r="AI5" s="5" t="n">
        <v>0.6375</v>
      </c>
      <c r="AJ5" s="5" t="n">
        <v>0.85</v>
      </c>
      <c r="AK5" s="5" t="n">
        <v>-0.2125</v>
      </c>
      <c r="AL5" s="5" t="n">
        <v>0.2833333333333333</v>
      </c>
      <c r="AM5" s="5" t="n">
        <v>0.595</v>
      </c>
      <c r="AN5" s="5" t="n">
        <v>0.425</v>
      </c>
      <c r="AO5" s="5" t="n">
        <v>0.2125</v>
      </c>
      <c r="AP5" s="5" t="n">
        <v>0.6375</v>
      </c>
      <c r="AQ5" s="5" t="n">
        <v>1</v>
      </c>
      <c r="AR5" s="5" t="n">
        <v>-0.5464285714285714</v>
      </c>
      <c r="AS5" s="5" t="n">
        <v>0.85</v>
      </c>
      <c r="AT5" s="5" t="n">
        <v>-0.06071428571428573</v>
      </c>
      <c r="AU5" s="5" t="n">
        <v>0.5666666666666668</v>
      </c>
      <c r="AV5" s="5" t="n">
        <v>-0.3035714285714285</v>
      </c>
      <c r="AW5" s="5" t="n">
        <v>-0.10625</v>
      </c>
      <c r="AX5" s="5" t="n">
        <v>-0.425</v>
      </c>
      <c r="AY5" s="5" t="n">
        <v>0.08499999999999998</v>
      </c>
      <c r="AZ5" s="5" t="n">
        <v>-0.1416666666666667</v>
      </c>
      <c r="BA5" s="5" t="n">
        <v>0.08499999999999998</v>
      </c>
      <c r="BB5" s="5" t="n">
        <v>-0.425</v>
      </c>
      <c r="BC5" s="5" t="n">
        <v>0.1416666666666666</v>
      </c>
      <c r="BD5" s="5" t="n">
        <v>0.3035714285714285</v>
      </c>
      <c r="BE5" s="5" t="n">
        <v>0.85</v>
      </c>
      <c r="BF5" s="5" t="n">
        <v>-0.1821428571428572</v>
      </c>
      <c r="BG5" s="5" t="n">
        <v>0.3035714285714285</v>
      </c>
      <c r="BH5" s="5" t="n">
        <v>-0.255</v>
      </c>
      <c r="BI5" s="5" t="n">
        <v>-0.1416666666666666</v>
      </c>
      <c r="BJ5" s="5" t="n">
        <v>0.2125</v>
      </c>
      <c r="BK5" s="5" t="n">
        <v>-0.9350000000000001</v>
      </c>
      <c r="BL5" s="5" t="n">
        <v>-0.5666666666666667</v>
      </c>
      <c r="BM5" s="5" t="n">
        <v>-0.06071428571428573</v>
      </c>
      <c r="BN5" s="5" t="n">
        <v>-0.425</v>
      </c>
      <c r="BO5" s="5" t="n">
        <v>0.2125</v>
      </c>
      <c r="BP5" s="5" t="n">
        <v>-0.425</v>
      </c>
      <c r="BQ5" s="5" t="n">
        <v>0.425</v>
      </c>
      <c r="BR5" s="5" t="n">
        <v>0.2549999999999999</v>
      </c>
      <c r="BS5" s="5" t="n">
        <v>0.7083333333333333</v>
      </c>
      <c r="BT5" s="5" t="n">
        <v>-0.85</v>
      </c>
      <c r="BU5" s="5" t="n">
        <v>1</v>
      </c>
      <c r="BV5" s="5" t="n">
        <v>-0.425</v>
      </c>
      <c r="BW5" s="5" t="n">
        <v>-0.5666666666666667</v>
      </c>
      <c r="BX5" s="5" t="n">
        <v>-1</v>
      </c>
      <c r="BY5" s="5" t="n">
        <v>-0.85</v>
      </c>
      <c r="BZ5" s="5" t="n">
        <v>-0.6375</v>
      </c>
      <c r="CA5" s="5" t="n">
        <v>-0.2833333333333334</v>
      </c>
      <c r="CB5" s="5" t="n">
        <v>-1</v>
      </c>
      <c r="CC5" s="5" t="n">
        <v>0</v>
      </c>
      <c r="CD5" s="5" t="n">
        <v>-0.4443181818181818</v>
      </c>
      <c r="CE5" s="5" t="n">
        <v>0.85</v>
      </c>
    </row>
    <row r="6">
      <c r="A6" t="n">
        <v>2</v>
      </c>
      <c r="B6" t="inlineStr">
        <is>
          <t>大角星人</t>
        </is>
      </c>
      <c r="C6" t="inlineStr">
        <is>
          <t>Arcturian</t>
        </is>
      </c>
      <c r="D6" s="5" t="n">
        <v>-0.25</v>
      </c>
      <c r="E6" s="5" t="n">
        <v>-0.5</v>
      </c>
      <c r="F6" s="5" t="n">
        <v>-0.25</v>
      </c>
      <c r="G6" s="5" t="n">
        <v>0</v>
      </c>
      <c r="H6" s="5" t="n">
        <v>0.5</v>
      </c>
      <c r="I6" s="5" t="n">
        <v>-0.25</v>
      </c>
      <c r="J6" s="5" t="n">
        <v>0.5</v>
      </c>
      <c r="K6" s="5" t="n">
        <v>0.5</v>
      </c>
      <c r="L6" s="5" t="n">
        <v>0.5</v>
      </c>
      <c r="M6" s="5" t="n">
        <v>0</v>
      </c>
      <c r="N6" s="5" t="n">
        <v>0.5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0.25</v>
      </c>
      <c r="T6" s="5" t="n">
        <v>-0.3333333333333333</v>
      </c>
      <c r="U6" s="5" t="n">
        <v>0</v>
      </c>
      <c r="V6" s="5" t="n">
        <v>-0.25</v>
      </c>
      <c r="W6" s="5" t="n">
        <v>0</v>
      </c>
      <c r="X6" s="5" t="n">
        <v>0.5</v>
      </c>
      <c r="Y6" s="5" t="n">
        <v>0</v>
      </c>
      <c r="Z6" s="5" t="n">
        <v>-0.5</v>
      </c>
      <c r="AA6" s="5" t="n">
        <v>-0.1666666666666667</v>
      </c>
      <c r="AB6" s="5" t="n">
        <v>-0.25</v>
      </c>
      <c r="AC6" s="5" t="n">
        <v>0.25</v>
      </c>
      <c r="AD6" s="5" t="n">
        <v>-0.25</v>
      </c>
      <c r="AE6" s="5" t="n">
        <v>0.25</v>
      </c>
      <c r="AF6" s="5" t="n">
        <v>0.1666666666666667</v>
      </c>
      <c r="AG6" s="5" t="n">
        <v>-0.2833333333333333</v>
      </c>
      <c r="AH6" s="5" t="n">
        <v>-0.425</v>
      </c>
      <c r="AI6" s="5" t="n">
        <v>0</v>
      </c>
      <c r="AJ6" s="5" t="n">
        <v>0</v>
      </c>
      <c r="AK6" s="5" t="n">
        <v>0.425</v>
      </c>
      <c r="AL6" s="5" t="n">
        <v>0.2833333333333333</v>
      </c>
      <c r="AM6" s="5" t="n">
        <v>0.255</v>
      </c>
      <c r="AN6" s="5" t="n">
        <v>-0.1416666666666666</v>
      </c>
      <c r="AO6" s="5" t="n">
        <v>0</v>
      </c>
      <c r="AP6" s="5" t="n">
        <v>0.425</v>
      </c>
      <c r="AQ6" s="5" t="n">
        <v>0.7892857142857141</v>
      </c>
      <c r="AR6" s="5" t="n">
        <v>-0.1821428571428571</v>
      </c>
      <c r="AS6" s="5" t="n">
        <v>0.425</v>
      </c>
      <c r="AT6" s="5" t="n">
        <v>-0.6678571428571427</v>
      </c>
      <c r="AU6" s="5" t="n">
        <v>0.1416666666666667</v>
      </c>
      <c r="AV6" s="5" t="n">
        <v>-0.1821428571428571</v>
      </c>
      <c r="AW6" s="5" t="n">
        <v>0.53125</v>
      </c>
      <c r="AX6" s="5" t="n">
        <v>0</v>
      </c>
      <c r="AY6" s="5" t="n">
        <v>-0.595</v>
      </c>
      <c r="AZ6" s="5" t="n">
        <v>0</v>
      </c>
      <c r="BA6" s="5" t="n">
        <v>-0.425</v>
      </c>
      <c r="BB6" s="5" t="n">
        <v>-0.425</v>
      </c>
      <c r="BC6" s="5" t="n">
        <v>0.4249999999999999</v>
      </c>
      <c r="BD6" s="5" t="n">
        <v>-0.3035714285714285</v>
      </c>
      <c r="BE6" s="5" t="n">
        <v>0</v>
      </c>
      <c r="BF6" s="5" t="n">
        <v>-0.3035714285714285</v>
      </c>
      <c r="BG6" s="5" t="n">
        <v>-0.3035714285714285</v>
      </c>
      <c r="BH6" s="5" t="n">
        <v>-0.08499999999999998</v>
      </c>
      <c r="BI6" s="5" t="n">
        <v>-0.5666666666666665</v>
      </c>
      <c r="BJ6" s="5" t="n">
        <v>0</v>
      </c>
      <c r="BK6" s="5" t="n">
        <v>-0.765</v>
      </c>
      <c r="BL6" s="5" t="n">
        <v>4.718447854656915e-17</v>
      </c>
      <c r="BM6" s="5" t="n">
        <v>-0.6678571428571427</v>
      </c>
      <c r="BN6" s="5" t="n">
        <v>0.425</v>
      </c>
      <c r="BO6" s="5" t="n">
        <v>0</v>
      </c>
      <c r="BP6" s="5" t="n">
        <v>0.08499999999999998</v>
      </c>
      <c r="BQ6" s="5" t="n">
        <v>0.2549999999999999</v>
      </c>
      <c r="BR6" s="5" t="n">
        <v>0.765</v>
      </c>
      <c r="BS6" s="5" t="n">
        <v>0.9916666666666665</v>
      </c>
      <c r="BT6" s="5" t="n">
        <v>-0.85</v>
      </c>
      <c r="BU6" s="5" t="n">
        <v>0.9350000000000001</v>
      </c>
      <c r="BV6" s="5" t="n">
        <v>-0.425</v>
      </c>
      <c r="BW6" s="5" t="n">
        <v>-0.2833333333333333</v>
      </c>
      <c r="BX6" s="5" t="n">
        <v>-0.6091666666666666</v>
      </c>
      <c r="BY6" s="5" t="n">
        <v>0.425</v>
      </c>
      <c r="BZ6" s="5" t="n">
        <v>0</v>
      </c>
      <c r="CA6" s="5" t="n">
        <v>-0.5666666666666668</v>
      </c>
      <c r="CB6" s="5" t="n">
        <v>-0.6374999999999998</v>
      </c>
      <c r="CC6" s="5" t="n">
        <v>0</v>
      </c>
      <c r="CD6" s="5" t="n">
        <v>-0.6761363636363635</v>
      </c>
      <c r="CE6" s="5" t="n">
        <v>0</v>
      </c>
    </row>
    <row r="7">
      <c r="A7" t="n">
        <v>3</v>
      </c>
      <c r="B7" t="inlineStr">
        <is>
          <t>天狼星人</t>
        </is>
      </c>
      <c r="C7" t="inlineStr">
        <is>
          <t>Sirian</t>
        </is>
      </c>
      <c r="D7" s="5" t="n">
        <v>0</v>
      </c>
      <c r="E7" s="5" t="n">
        <v>0.5</v>
      </c>
      <c r="F7" s="5" t="n">
        <v>0</v>
      </c>
      <c r="G7" s="5" t="n">
        <v>0</v>
      </c>
      <c r="H7" s="5" t="n">
        <v>0</v>
      </c>
      <c r="I7" s="5" t="n">
        <v>0.5</v>
      </c>
      <c r="J7" s="5" t="n">
        <v>0</v>
      </c>
      <c r="K7" s="5" t="n">
        <v>-0.5</v>
      </c>
      <c r="L7" s="5" t="n">
        <v>-0.5</v>
      </c>
      <c r="M7" s="5" t="n">
        <v>0</v>
      </c>
      <c r="N7" s="5" t="n">
        <v>0</v>
      </c>
      <c r="O7" s="5" t="n">
        <v>-0.5</v>
      </c>
      <c r="P7" s="5" t="n">
        <v>1</v>
      </c>
      <c r="Q7" s="5" t="n">
        <v>0</v>
      </c>
      <c r="R7" s="5" t="n">
        <v>0.5</v>
      </c>
      <c r="S7" s="5" t="n">
        <v>0.25</v>
      </c>
      <c r="T7" s="5" t="n">
        <v>0.6666666666666666</v>
      </c>
      <c r="U7" s="5" t="n">
        <v>0.5</v>
      </c>
      <c r="V7" s="5" t="n">
        <v>0</v>
      </c>
      <c r="W7" s="5" t="n">
        <v>0</v>
      </c>
      <c r="X7" s="5" t="n">
        <v>0</v>
      </c>
      <c r="Y7" s="5" t="n">
        <v>0.125</v>
      </c>
      <c r="Z7" s="5" t="n">
        <v>0.25</v>
      </c>
      <c r="AA7" s="5" t="n">
        <v>-0.6666666666666666</v>
      </c>
      <c r="AB7" s="5" t="n">
        <v>0.25</v>
      </c>
      <c r="AC7" s="5" t="n">
        <v>0</v>
      </c>
      <c r="AD7" s="5" t="n">
        <v>0.75</v>
      </c>
      <c r="AE7" s="5" t="n">
        <v>-0.75</v>
      </c>
      <c r="AF7" s="5" t="n">
        <v>0.1666666666666667</v>
      </c>
      <c r="AG7" s="5" t="n">
        <v>-1</v>
      </c>
      <c r="AH7" s="5" t="n">
        <v>0</v>
      </c>
      <c r="AI7" s="5" t="n">
        <v>0.425</v>
      </c>
      <c r="AJ7" s="5" t="n">
        <v>0.2833333333333333</v>
      </c>
      <c r="AK7" s="5" t="n">
        <v>0.425</v>
      </c>
      <c r="AL7" s="5" t="n">
        <v>0.2833333333333333</v>
      </c>
      <c r="AM7" s="5" t="n">
        <v>0.595</v>
      </c>
      <c r="AN7" s="5" t="n">
        <v>0.425</v>
      </c>
      <c r="AO7" s="5" t="n">
        <v>0</v>
      </c>
      <c r="AP7" s="5" t="n">
        <v>1</v>
      </c>
      <c r="AQ7" s="5" t="n">
        <v>-0.3035714285714286</v>
      </c>
      <c r="AR7" s="5" t="n">
        <v>0.1821428571428572</v>
      </c>
      <c r="AS7" s="5" t="n">
        <v>0.85</v>
      </c>
      <c r="AT7" s="5" t="n">
        <v>0.3035714285714285</v>
      </c>
      <c r="AU7" s="5" t="n">
        <v>0.1416666666666667</v>
      </c>
      <c r="AV7" s="5" t="n">
        <v>0.3035714285714285</v>
      </c>
      <c r="AW7" s="5" t="n">
        <v>-0.425</v>
      </c>
      <c r="AX7" s="5" t="n">
        <v>-1</v>
      </c>
      <c r="AY7" s="5" t="n">
        <v>0.5950000000000001</v>
      </c>
      <c r="AZ7" s="5" t="n">
        <v>0.7083333333333333</v>
      </c>
      <c r="BA7" s="5" t="n">
        <v>0.255</v>
      </c>
      <c r="BB7" s="5" t="n">
        <v>0.6375</v>
      </c>
      <c r="BC7" s="5" t="n">
        <v>-0.2833333333333334</v>
      </c>
      <c r="BD7" s="5" t="n">
        <v>-0.425</v>
      </c>
      <c r="BE7" s="5" t="n">
        <v>0.85</v>
      </c>
      <c r="BF7" s="5" t="n">
        <v>0.4249999999999999</v>
      </c>
      <c r="BG7" s="5" t="n">
        <v>-0.425</v>
      </c>
      <c r="BH7" s="5" t="n">
        <v>-0.08499999999999998</v>
      </c>
      <c r="BI7" s="5" t="n">
        <v>0.5666666666666668</v>
      </c>
      <c r="BJ7" s="5" t="n">
        <v>0</v>
      </c>
      <c r="BK7" s="5" t="n">
        <v>0.765</v>
      </c>
      <c r="BL7" s="5" t="n">
        <v>-0.5666666666666667</v>
      </c>
      <c r="BM7" s="5" t="n">
        <v>0.3035714285714285</v>
      </c>
      <c r="BN7" s="5" t="n">
        <v>-0.85</v>
      </c>
      <c r="BO7" s="5" t="n">
        <v>0</v>
      </c>
      <c r="BP7" s="5" t="n">
        <v>-0.425</v>
      </c>
      <c r="BQ7" s="5" t="n">
        <v>0.08499999999999998</v>
      </c>
      <c r="BR7" s="5" t="n">
        <v>0.595</v>
      </c>
      <c r="BS7" s="5" t="n">
        <v>0.7083333333333333</v>
      </c>
      <c r="BT7" s="5" t="n">
        <v>-0.5666666666666668</v>
      </c>
      <c r="BU7" s="5" t="n">
        <v>-0.08500000000000008</v>
      </c>
      <c r="BV7" s="5" t="n">
        <v>0.9916666666666665</v>
      </c>
      <c r="BW7" s="5" t="n">
        <v>0.5666666666666668</v>
      </c>
      <c r="BX7" s="5" t="n">
        <v>-0.4958333333333332</v>
      </c>
      <c r="BY7" s="5" t="n">
        <v>0</v>
      </c>
      <c r="BZ7" s="5" t="n">
        <v>-0.425</v>
      </c>
      <c r="CA7" s="5" t="n">
        <v>0.4249999999999999</v>
      </c>
      <c r="CB7" s="5" t="n">
        <v>-1</v>
      </c>
      <c r="CC7" s="5" t="n">
        <v>0</v>
      </c>
      <c r="CD7" s="5" t="n">
        <v>0.09659090909090905</v>
      </c>
      <c r="CE7" s="5" t="n">
        <v>0.85</v>
      </c>
    </row>
    <row r="8">
      <c r="A8" t="n">
        <v>4</v>
      </c>
      <c r="B8" t="inlineStr">
        <is>
          <t>仙女座人</t>
        </is>
      </c>
      <c r="C8" t="inlineStr">
        <is>
          <t>Andromedan</t>
        </is>
      </c>
      <c r="D8" s="5" t="n">
        <v>0</v>
      </c>
      <c r="E8" s="5" t="n">
        <v>-0.5</v>
      </c>
      <c r="F8" s="5" t="n">
        <v>0.25</v>
      </c>
      <c r="G8" s="5" t="n">
        <v>0</v>
      </c>
      <c r="H8" s="5" t="n">
        <v>-0.25</v>
      </c>
      <c r="I8" s="5" t="n">
        <v>-0.5</v>
      </c>
      <c r="J8" s="5" t="n">
        <v>1</v>
      </c>
      <c r="K8" s="5" t="n">
        <v>1</v>
      </c>
      <c r="L8" s="5" t="n">
        <v>1</v>
      </c>
      <c r="M8" s="5" t="n">
        <v>-0.5</v>
      </c>
      <c r="N8" s="5" t="n">
        <v>0.5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0.5</v>
      </c>
      <c r="T8" s="5" t="n">
        <v>-0.6666666666666666</v>
      </c>
      <c r="U8" s="5" t="n">
        <v>-0.5</v>
      </c>
      <c r="V8" s="5" t="n">
        <v>0.25</v>
      </c>
      <c r="W8" s="5" t="n">
        <v>0</v>
      </c>
      <c r="X8" s="5" t="n">
        <v>0</v>
      </c>
      <c r="Y8" s="5" t="n">
        <v>-0.125</v>
      </c>
      <c r="Z8" s="5" t="n">
        <v>-0.5</v>
      </c>
      <c r="AA8" s="5" t="n">
        <v>0</v>
      </c>
      <c r="AB8" s="5" t="n">
        <v>0</v>
      </c>
      <c r="AC8" s="5" t="n">
        <v>0</v>
      </c>
      <c r="AD8" s="5" t="n">
        <v>-0.75</v>
      </c>
      <c r="AE8" s="5" t="n">
        <v>0.5</v>
      </c>
      <c r="AF8" s="5" t="n">
        <v>0</v>
      </c>
      <c r="AG8" s="5" t="n">
        <v>-0.2833333333333333</v>
      </c>
      <c r="AH8" s="5" t="n">
        <v>0</v>
      </c>
      <c r="AI8" s="5" t="n">
        <v>0.2125</v>
      </c>
      <c r="AJ8" s="5" t="n">
        <v>0.2833333333333333</v>
      </c>
      <c r="AK8" s="5" t="n">
        <v>0.2125</v>
      </c>
      <c r="AL8" s="5" t="n">
        <v>0.2833333333333333</v>
      </c>
      <c r="AM8" s="5" t="n">
        <v>0.425</v>
      </c>
      <c r="AN8" s="5" t="n">
        <v>0.1416666666666667</v>
      </c>
      <c r="AO8" s="5" t="n">
        <v>0.425</v>
      </c>
      <c r="AP8" s="5" t="n">
        <v>-0.425</v>
      </c>
      <c r="AQ8" s="5" t="n">
        <v>0.6678571428571427</v>
      </c>
      <c r="AR8" s="5" t="n">
        <v>-0.5464285714285714</v>
      </c>
      <c r="AS8" s="5" t="n">
        <v>0.425</v>
      </c>
      <c r="AT8" s="5" t="n">
        <v>-0.3035714285714285</v>
      </c>
      <c r="AU8" s="5" t="n">
        <v>0.2833333333333334</v>
      </c>
      <c r="AV8" s="5" t="n">
        <v>-0.1821428571428571</v>
      </c>
      <c r="AW8" s="5" t="n">
        <v>0.31875</v>
      </c>
      <c r="AX8" s="5" t="n">
        <v>0</v>
      </c>
      <c r="AY8" s="5" t="n">
        <v>-0.595</v>
      </c>
      <c r="AZ8" s="5" t="n">
        <v>-0.7083333333333333</v>
      </c>
      <c r="BA8" s="5" t="n">
        <v>-0.5950000000000001</v>
      </c>
      <c r="BB8" s="5" t="n">
        <v>-1</v>
      </c>
      <c r="BC8" s="5" t="n">
        <v>0.1416666666666666</v>
      </c>
      <c r="BD8" s="5" t="n">
        <v>0.1821428571428571</v>
      </c>
      <c r="BE8" s="5" t="n">
        <v>0.425</v>
      </c>
      <c r="BF8" s="5" t="n">
        <v>-0.425</v>
      </c>
      <c r="BG8" s="5" t="n">
        <v>0.1821428571428571</v>
      </c>
      <c r="BH8" s="5" t="n">
        <v>-0.425</v>
      </c>
      <c r="BI8" s="5" t="n">
        <v>-0.7083333333333333</v>
      </c>
      <c r="BJ8" s="5" t="n">
        <v>0.425</v>
      </c>
      <c r="BK8" s="5" t="n">
        <v>-0.595</v>
      </c>
      <c r="BL8" s="5" t="n">
        <v>0.5666666666666665</v>
      </c>
      <c r="BM8" s="5" t="n">
        <v>-0.3035714285714285</v>
      </c>
      <c r="BN8" s="5" t="n">
        <v>0.425</v>
      </c>
      <c r="BO8" s="5" t="n">
        <v>0.425</v>
      </c>
      <c r="BP8" s="5" t="n">
        <v>0.595</v>
      </c>
      <c r="BQ8" s="5" t="n">
        <v>0.595</v>
      </c>
      <c r="BR8" s="5" t="n">
        <v>0.595</v>
      </c>
      <c r="BS8" s="5" t="n">
        <v>1</v>
      </c>
      <c r="BT8" s="5" t="n">
        <v>-0.85</v>
      </c>
      <c r="BU8" s="5" t="n">
        <v>0.9350000000000001</v>
      </c>
      <c r="BV8" s="5" t="n">
        <v>-0.425</v>
      </c>
      <c r="BW8" s="5" t="n">
        <v>-0.85</v>
      </c>
      <c r="BX8" s="5" t="n">
        <v>-0.6091666666666666</v>
      </c>
      <c r="BY8" s="5" t="n">
        <v>0</v>
      </c>
      <c r="BZ8" s="5" t="n">
        <v>-0.2125</v>
      </c>
      <c r="CA8" s="5" t="n">
        <v>-0.5666666666666668</v>
      </c>
      <c r="CB8" s="5" t="n">
        <v>-0.8803571428571425</v>
      </c>
      <c r="CC8" s="5" t="n">
        <v>0</v>
      </c>
      <c r="CD8" s="5" t="n">
        <v>-0.5215909090909091</v>
      </c>
      <c r="CE8" s="5" t="n">
        <v>0.425</v>
      </c>
    </row>
    <row r="9">
      <c r="A9" t="n">
        <v>5</v>
      </c>
      <c r="B9" t="inlineStr">
        <is>
          <t>天琴座人</t>
        </is>
      </c>
      <c r="C9" t="inlineStr">
        <is>
          <t>Lyran</t>
        </is>
      </c>
      <c r="D9" s="5" t="n">
        <v>-0.25</v>
      </c>
      <c r="E9" s="5" t="n">
        <v>-0.5</v>
      </c>
      <c r="F9" s="5" t="n">
        <v>0</v>
      </c>
      <c r="G9" s="5" t="n">
        <v>0</v>
      </c>
      <c r="H9" s="5" t="n">
        <v>0.25</v>
      </c>
      <c r="I9" s="5" t="n">
        <v>-0.5</v>
      </c>
      <c r="J9" s="5" t="n">
        <v>0.5</v>
      </c>
      <c r="K9" s="5" t="n">
        <v>0</v>
      </c>
      <c r="L9" s="5" t="n">
        <v>1</v>
      </c>
      <c r="M9" s="5" t="n">
        <v>0</v>
      </c>
      <c r="N9" s="5" t="n">
        <v>1</v>
      </c>
      <c r="O9" s="5" t="n">
        <v>0.5</v>
      </c>
      <c r="P9" s="5" t="n">
        <v>0</v>
      </c>
      <c r="Q9" s="5" t="n">
        <v>-0.5</v>
      </c>
      <c r="R9" s="5" t="n">
        <v>0</v>
      </c>
      <c r="S9" s="5" t="n">
        <v>0</v>
      </c>
      <c r="T9" s="5" t="n">
        <v>-0.1666666666666667</v>
      </c>
      <c r="U9" s="5" t="n">
        <v>0.5</v>
      </c>
      <c r="V9" s="5" t="n">
        <v>-0.5</v>
      </c>
      <c r="W9" s="5" t="n">
        <v>0</v>
      </c>
      <c r="X9" s="5" t="n">
        <v>-0.5</v>
      </c>
      <c r="Y9" s="5" t="n">
        <v>0.125</v>
      </c>
      <c r="Z9" s="5" t="n">
        <v>-0.25</v>
      </c>
      <c r="AA9" s="5" t="n">
        <v>-0.3333333333333333</v>
      </c>
      <c r="AB9" s="5" t="n">
        <v>-0.25</v>
      </c>
      <c r="AC9" s="5" t="n">
        <v>0</v>
      </c>
      <c r="AD9" s="5" t="n">
        <v>0</v>
      </c>
      <c r="AE9" s="5" t="n">
        <v>0.25</v>
      </c>
      <c r="AF9" s="5" t="n">
        <v>-0.5</v>
      </c>
      <c r="AG9" s="5" t="n">
        <v>0.2833333333333334</v>
      </c>
      <c r="AH9" s="5" t="n">
        <v>-0.425</v>
      </c>
      <c r="AI9" s="5" t="n">
        <v>-0.2125</v>
      </c>
      <c r="AJ9" s="5" t="n">
        <v>0</v>
      </c>
      <c r="AK9" s="5" t="n">
        <v>0.2125</v>
      </c>
      <c r="AL9" s="5" t="n">
        <v>0.2833333333333333</v>
      </c>
      <c r="AM9" s="5" t="n">
        <v>0.425</v>
      </c>
      <c r="AN9" s="5" t="n">
        <v>0.1416666666666667</v>
      </c>
      <c r="AO9" s="5" t="n">
        <v>0.425</v>
      </c>
      <c r="AP9" s="5" t="n">
        <v>0.2125</v>
      </c>
      <c r="AQ9" s="5" t="n">
        <v>0.6678571428571427</v>
      </c>
      <c r="AR9" s="5" t="n">
        <v>0.3035714285714285</v>
      </c>
      <c r="AS9" s="5" t="n">
        <v>0.425</v>
      </c>
      <c r="AT9" s="5" t="n">
        <v>-0.3035714285714285</v>
      </c>
      <c r="AU9" s="5" t="n">
        <v>-0.1416666666666666</v>
      </c>
      <c r="AV9" s="5" t="n">
        <v>-0.1821428571428571</v>
      </c>
      <c r="AW9" s="5" t="n">
        <v>0.9562499999999999</v>
      </c>
      <c r="AX9" s="5" t="n">
        <v>0.425</v>
      </c>
      <c r="AY9" s="5" t="n">
        <v>-1</v>
      </c>
      <c r="AZ9" s="5" t="n">
        <v>0.7083333333333333</v>
      </c>
      <c r="BA9" s="5" t="n">
        <v>-0.5950000000000001</v>
      </c>
      <c r="BB9" s="5" t="n">
        <v>-0.6375</v>
      </c>
      <c r="BC9" s="5" t="n">
        <v>0.7083333333333333</v>
      </c>
      <c r="BD9" s="5" t="n">
        <v>0.1821428571428571</v>
      </c>
      <c r="BE9" s="5" t="n">
        <v>0.2125</v>
      </c>
      <c r="BF9" s="5" t="n">
        <v>-0.425</v>
      </c>
      <c r="BG9" s="5" t="n">
        <v>0.1821428571428571</v>
      </c>
      <c r="BH9" s="5" t="n">
        <v>-0.08499999999999998</v>
      </c>
      <c r="BI9" s="5" t="n">
        <v>0.425</v>
      </c>
      <c r="BJ9" s="5" t="n">
        <v>0.425</v>
      </c>
      <c r="BK9" s="5" t="n">
        <v>-0.765</v>
      </c>
      <c r="BL9" s="5" t="n">
        <v>4.718447854656915e-17</v>
      </c>
      <c r="BM9" s="5" t="n">
        <v>-0.3035714285714285</v>
      </c>
      <c r="BN9" s="5" t="n">
        <v>0.85</v>
      </c>
      <c r="BO9" s="5" t="n">
        <v>0.425</v>
      </c>
      <c r="BP9" s="5" t="n">
        <v>0.08499999999999998</v>
      </c>
      <c r="BQ9" s="5" t="n">
        <v>0.2549999999999999</v>
      </c>
      <c r="BR9" s="5" t="n">
        <v>1</v>
      </c>
      <c r="BS9" s="5" t="n">
        <v>0.9916666666666665</v>
      </c>
      <c r="BT9" s="5" t="n">
        <v>-0.85</v>
      </c>
      <c r="BU9" s="5" t="n">
        <v>0.9350000000000001</v>
      </c>
      <c r="BV9" s="5" t="n">
        <v>-0.7083333333333333</v>
      </c>
      <c r="BW9" s="5" t="n">
        <v>-0.2833333333333333</v>
      </c>
      <c r="BX9" s="5" t="n">
        <v>-0.2691666666666667</v>
      </c>
      <c r="BY9" s="5" t="n">
        <v>0.425</v>
      </c>
      <c r="BZ9" s="5" t="n">
        <v>0.2125</v>
      </c>
      <c r="CA9" s="5" t="n">
        <v>0.4249999999999999</v>
      </c>
      <c r="CB9" s="5" t="n">
        <v>-0.6374999999999998</v>
      </c>
      <c r="CC9" s="5" t="n">
        <v>0</v>
      </c>
      <c r="CD9" s="5" t="n">
        <v>-0.9852272727272727</v>
      </c>
      <c r="CE9" s="5" t="n">
        <v>0.2125</v>
      </c>
    </row>
    <row r="10">
      <c r="A10" t="n">
        <v>6</v>
      </c>
      <c r="B10" t="inlineStr">
        <is>
          <t>獵戶座人</t>
        </is>
      </c>
      <c r="C10" t="inlineStr">
        <is>
          <t>Orion</t>
        </is>
      </c>
      <c r="D10" s="5" t="n">
        <v>-0.75</v>
      </c>
      <c r="E10" s="5" t="n">
        <v>-0.25</v>
      </c>
      <c r="F10" s="5" t="n">
        <v>0</v>
      </c>
      <c r="G10" s="5" t="n">
        <v>1</v>
      </c>
      <c r="H10" s="5" t="n">
        <v>0.25</v>
      </c>
      <c r="I10" s="5" t="n">
        <v>0.25</v>
      </c>
      <c r="J10" s="5" t="n">
        <v>0.5</v>
      </c>
      <c r="K10" s="5" t="n">
        <v>0</v>
      </c>
      <c r="L10" s="5" t="n">
        <v>0</v>
      </c>
      <c r="M10" s="5" t="n">
        <v>0</v>
      </c>
      <c r="N10" s="5" t="n">
        <v>-0.5</v>
      </c>
      <c r="O10" s="5" t="n">
        <v>0.5</v>
      </c>
      <c r="P10" s="5" t="n">
        <v>0.5</v>
      </c>
      <c r="Q10" s="5" t="n">
        <v>0</v>
      </c>
      <c r="R10" s="5" t="n">
        <v>0.5</v>
      </c>
      <c r="S10" s="5" t="n">
        <v>0</v>
      </c>
      <c r="T10" s="5" t="n">
        <v>0</v>
      </c>
      <c r="U10" s="5" t="n">
        <v>0</v>
      </c>
      <c r="V10" s="5" t="n">
        <v>0.5</v>
      </c>
      <c r="W10" s="5" t="n">
        <v>0</v>
      </c>
      <c r="X10" s="5" t="n">
        <v>1</v>
      </c>
      <c r="Y10" s="5" t="n">
        <v>-0.125</v>
      </c>
      <c r="Z10" s="5" t="n">
        <v>-0.5</v>
      </c>
      <c r="AA10" s="5" t="n">
        <v>-0.3333333333333333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0.1666666666666667</v>
      </c>
      <c r="AG10" s="5" t="n">
        <v>-0.85</v>
      </c>
      <c r="AH10" s="5" t="n">
        <v>-0.425</v>
      </c>
      <c r="AI10" s="5" t="n">
        <v>0.2125</v>
      </c>
      <c r="AJ10" s="5" t="n">
        <v>0</v>
      </c>
      <c r="AK10" s="5" t="n">
        <v>0.6375</v>
      </c>
      <c r="AL10" s="5" t="n">
        <v>0.2833333333333333</v>
      </c>
      <c r="AM10" s="5" t="n">
        <v>0.255</v>
      </c>
      <c r="AN10" s="5" t="n">
        <v>-0.1416666666666666</v>
      </c>
      <c r="AO10" s="5" t="n">
        <v>-0.6375</v>
      </c>
      <c r="AP10" s="5" t="n">
        <v>0.2125</v>
      </c>
      <c r="AQ10" s="5" t="n">
        <v>-0.06071428571428578</v>
      </c>
      <c r="AR10" s="5" t="n">
        <v>0.7892857142857141</v>
      </c>
      <c r="AS10" s="5" t="n">
        <v>0.425</v>
      </c>
      <c r="AT10" s="5" t="n">
        <v>0.1821428571428571</v>
      </c>
      <c r="AU10" s="5" t="n">
        <v>0.5666666666666668</v>
      </c>
      <c r="AV10" s="5" t="n">
        <v>0.425</v>
      </c>
      <c r="AW10" s="5" t="n">
        <v>-0.53125</v>
      </c>
      <c r="AX10" s="5" t="n">
        <v>-0.6375</v>
      </c>
      <c r="AY10" s="5" t="n">
        <v>0.765</v>
      </c>
      <c r="AZ10" s="5" t="n">
        <v>-0.2833333333333333</v>
      </c>
      <c r="BA10" s="5" t="n">
        <v>0.08499999999999998</v>
      </c>
      <c r="BB10" s="5" t="n">
        <v>0</v>
      </c>
      <c r="BC10" s="5" t="n">
        <v>-0.425</v>
      </c>
      <c r="BD10" s="5" t="n">
        <v>-0.425</v>
      </c>
      <c r="BE10" s="5" t="n">
        <v>0.425</v>
      </c>
      <c r="BF10" s="5" t="n">
        <v>0.3035714285714285</v>
      </c>
      <c r="BG10" s="5" t="n">
        <v>-0.425</v>
      </c>
      <c r="BH10" s="5" t="n">
        <v>0.08500000000000002</v>
      </c>
      <c r="BI10" s="5" t="n">
        <v>-0.5666666666666665</v>
      </c>
      <c r="BJ10" s="5" t="n">
        <v>-0.6375</v>
      </c>
      <c r="BK10" s="5" t="n">
        <v>-0.08499999999999998</v>
      </c>
      <c r="BL10" s="5" t="n">
        <v>4.718447854656915e-17</v>
      </c>
      <c r="BM10" s="5" t="n">
        <v>0.1821428571428571</v>
      </c>
      <c r="BN10" s="5" t="n">
        <v>-0.85</v>
      </c>
      <c r="BO10" s="5" t="n">
        <v>-0.6375</v>
      </c>
      <c r="BP10" s="5" t="n">
        <v>0.08499999999999998</v>
      </c>
      <c r="BQ10" s="5" t="n">
        <v>0.765</v>
      </c>
      <c r="BR10" s="5" t="n">
        <v>-0.4249999999999999</v>
      </c>
      <c r="BS10" s="5" t="n">
        <v>0.9916666666666665</v>
      </c>
      <c r="BT10" s="5" t="n">
        <v>-0.85</v>
      </c>
      <c r="BU10" s="5" t="n">
        <v>-0.08500000000000008</v>
      </c>
      <c r="BV10" s="5" t="n">
        <v>0.7083333333333333</v>
      </c>
      <c r="BW10" s="5" t="n">
        <v>0</v>
      </c>
      <c r="BX10" s="5" t="n">
        <v>0.2975</v>
      </c>
      <c r="BY10" s="5" t="n">
        <v>0.425</v>
      </c>
      <c r="BZ10" s="5" t="n">
        <v>-0.2125</v>
      </c>
      <c r="CA10" s="5" t="n">
        <v>-0.425</v>
      </c>
      <c r="CB10" s="5" t="n">
        <v>-0.8803571428571425</v>
      </c>
      <c r="CC10" s="5" t="n">
        <v>0</v>
      </c>
      <c r="CD10" s="5" t="n">
        <v>0.3284090909090909</v>
      </c>
      <c r="CE10" s="5" t="n">
        <v>0.425</v>
      </c>
    </row>
    <row r="11">
      <c r="A11" t="n">
        <v>7</v>
      </c>
      <c r="B11" t="inlineStr">
        <is>
          <t>明塔卡星人</t>
        </is>
      </c>
      <c r="C11" t="inlineStr">
        <is>
          <t>Mintakan</t>
        </is>
      </c>
      <c r="D11" s="5" t="n">
        <v>0.25</v>
      </c>
      <c r="E11" s="5" t="n">
        <v>0.25</v>
      </c>
      <c r="F11" s="5" t="n">
        <v>0.25</v>
      </c>
      <c r="G11" s="5" t="n">
        <v>-0.5</v>
      </c>
      <c r="H11" s="5" t="n">
        <v>-0.25</v>
      </c>
      <c r="I11" s="5" t="n">
        <v>0.25</v>
      </c>
      <c r="J11" s="5" t="n">
        <v>0</v>
      </c>
      <c r="K11" s="5" t="n">
        <v>-0.5</v>
      </c>
      <c r="L11" s="5" t="n">
        <v>0</v>
      </c>
      <c r="M11" s="5" t="n">
        <v>0</v>
      </c>
      <c r="N11" s="5" t="n">
        <v>-0.5</v>
      </c>
      <c r="O11" s="5" t="n">
        <v>-1</v>
      </c>
      <c r="P11" s="5" t="n">
        <v>-0.5</v>
      </c>
      <c r="Q11" s="5" t="n">
        <v>0.5</v>
      </c>
      <c r="R11" s="5" t="n">
        <v>-0.5</v>
      </c>
      <c r="S11" s="5" t="n">
        <v>0.75</v>
      </c>
      <c r="T11" s="5" t="n">
        <v>0.1666666666666667</v>
      </c>
      <c r="U11" s="5" t="n">
        <v>0.25</v>
      </c>
      <c r="V11" s="5" t="n">
        <v>0.25</v>
      </c>
      <c r="W11" s="5" t="n">
        <v>-1</v>
      </c>
      <c r="X11" s="5" t="n">
        <v>0</v>
      </c>
      <c r="Y11" s="5" t="n">
        <v>-0.25</v>
      </c>
      <c r="Z11" s="5" t="n">
        <v>0.25</v>
      </c>
      <c r="AA11" s="5" t="n">
        <v>0.1666666666666667</v>
      </c>
      <c r="AB11" s="5" t="n">
        <v>0</v>
      </c>
      <c r="AC11" s="5" t="n">
        <v>-0.25</v>
      </c>
      <c r="AD11" s="5" t="n">
        <v>0.25</v>
      </c>
      <c r="AE11" s="5" t="n">
        <v>0</v>
      </c>
      <c r="AF11" s="5" t="n">
        <v>0.5</v>
      </c>
      <c r="AG11" s="5" t="n">
        <v>-1</v>
      </c>
      <c r="AH11" s="5" t="n">
        <v>0</v>
      </c>
      <c r="AI11" s="5" t="n">
        <v>-0.2125</v>
      </c>
      <c r="AJ11" s="5" t="n">
        <v>-0.85</v>
      </c>
      <c r="AK11" s="5" t="n">
        <v>-0.2125</v>
      </c>
      <c r="AL11" s="5" t="n">
        <v>-0.85</v>
      </c>
      <c r="AM11" s="5" t="n">
        <v>-0.7650000000000001</v>
      </c>
      <c r="AN11" s="5" t="n">
        <v>0.425</v>
      </c>
      <c r="AO11" s="5" t="n">
        <v>0.2125</v>
      </c>
      <c r="AP11" s="5" t="n">
        <v>0.85</v>
      </c>
      <c r="AQ11" s="5" t="n">
        <v>1</v>
      </c>
      <c r="AR11" s="5" t="n">
        <v>-0.3035714285714285</v>
      </c>
      <c r="AS11" s="5" t="n">
        <v>0.85</v>
      </c>
      <c r="AT11" s="5" t="n">
        <v>0.1821428571428571</v>
      </c>
      <c r="AU11" s="5" t="n">
        <v>0.5666666666666668</v>
      </c>
      <c r="AV11" s="5" t="n">
        <v>-0.3035714285714285</v>
      </c>
      <c r="AW11" s="5" t="n">
        <v>-0.10625</v>
      </c>
      <c r="AX11" s="5" t="n">
        <v>-0.425</v>
      </c>
      <c r="AY11" s="5" t="n">
        <v>0.08499999999999998</v>
      </c>
      <c r="AZ11" s="5" t="n">
        <v>0.1416666666666667</v>
      </c>
      <c r="BA11" s="5" t="n">
        <v>0.08499999999999998</v>
      </c>
      <c r="BB11" s="5" t="n">
        <v>-0.425</v>
      </c>
      <c r="BC11" s="5" t="n">
        <v>0.1416666666666666</v>
      </c>
      <c r="BD11" s="5" t="n">
        <v>0.3035714285714285</v>
      </c>
      <c r="BE11" s="5" t="n">
        <v>0.85</v>
      </c>
      <c r="BF11" s="5" t="n">
        <v>-0.1821428571428572</v>
      </c>
      <c r="BG11" s="5" t="n">
        <v>0.3035714285714285</v>
      </c>
      <c r="BH11" s="5" t="n">
        <v>-0.255</v>
      </c>
      <c r="BI11" s="5" t="n">
        <v>0.1416666666666667</v>
      </c>
      <c r="BJ11" s="5" t="n">
        <v>0.2125</v>
      </c>
      <c r="BK11" s="5" t="n">
        <v>-0.9350000000000001</v>
      </c>
      <c r="BL11" s="5" t="n">
        <v>-0.85</v>
      </c>
      <c r="BM11" s="5" t="n">
        <v>0.1821428571428571</v>
      </c>
      <c r="BN11" s="5" t="n">
        <v>-0.425</v>
      </c>
      <c r="BO11" s="5" t="n">
        <v>0.2125</v>
      </c>
      <c r="BP11" s="5" t="n">
        <v>-0.7650000000000001</v>
      </c>
      <c r="BQ11" s="5" t="n">
        <v>1</v>
      </c>
      <c r="BR11" s="5" t="n">
        <v>0.2549999999999999</v>
      </c>
      <c r="BS11" s="5" t="n">
        <v>1</v>
      </c>
      <c r="BT11" s="5" t="n">
        <v>0.85</v>
      </c>
      <c r="BU11" s="5" t="n">
        <v>1</v>
      </c>
      <c r="BV11" s="5" t="n">
        <v>-0.425</v>
      </c>
      <c r="BW11" s="5" t="n">
        <v>-0.5666666666666667</v>
      </c>
      <c r="BX11" s="5" t="n">
        <v>-1</v>
      </c>
      <c r="BY11" s="5" t="n">
        <v>0</v>
      </c>
      <c r="BZ11" s="5" t="n">
        <v>0.2125</v>
      </c>
      <c r="CA11" s="5" t="n">
        <v>-4.718447854656915e-17</v>
      </c>
      <c r="CB11" s="5" t="n">
        <v>-1</v>
      </c>
      <c r="CC11" s="5" t="n">
        <v>-1</v>
      </c>
      <c r="CD11" s="5" t="n">
        <v>-0.4443181818181818</v>
      </c>
      <c r="CE11" s="5" t="n">
        <v>0.85</v>
      </c>
    </row>
    <row r="12">
      <c r="A12" t="n">
        <v>8</v>
      </c>
      <c r="B12" t="inlineStr">
        <is>
          <t>金星人</t>
        </is>
      </c>
      <c r="C12" t="inlineStr">
        <is>
          <t>Venusian</t>
        </is>
      </c>
      <c r="D12" s="5" t="n">
        <v>0.25</v>
      </c>
      <c r="E12" s="5" t="n">
        <v>0.25</v>
      </c>
      <c r="F12" s="5" t="n">
        <v>0.75</v>
      </c>
      <c r="G12" s="5" t="n">
        <v>-0.5</v>
      </c>
      <c r="H12" s="5" t="n">
        <v>-0.25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-1</v>
      </c>
      <c r="P12" s="5" t="n">
        <v>-0.5</v>
      </c>
      <c r="Q12" s="5" t="n">
        <v>0.5</v>
      </c>
      <c r="R12" s="5" t="n">
        <v>0</v>
      </c>
      <c r="S12" s="5" t="n">
        <v>0.75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0.25</v>
      </c>
      <c r="AA12" s="5" t="n">
        <v>0.1666666666666667</v>
      </c>
      <c r="AB12" s="5" t="n">
        <v>0</v>
      </c>
      <c r="AC12" s="5" t="n">
        <v>-0.25</v>
      </c>
      <c r="AD12" s="5" t="n">
        <v>0</v>
      </c>
      <c r="AE12" s="5" t="n">
        <v>0</v>
      </c>
      <c r="AF12" s="5" t="n">
        <v>0.5</v>
      </c>
      <c r="AG12" s="5" t="n">
        <v>-0.85</v>
      </c>
      <c r="AH12" s="5" t="n">
        <v>-0.85</v>
      </c>
      <c r="AI12" s="5" t="n">
        <v>-0.2125</v>
      </c>
      <c r="AJ12" s="5" t="n">
        <v>0.2833333333333333</v>
      </c>
      <c r="AK12" s="5" t="n">
        <v>0.6375</v>
      </c>
      <c r="AL12" s="5" t="n">
        <v>0.85</v>
      </c>
      <c r="AM12" s="5" t="n">
        <v>0.595</v>
      </c>
      <c r="AN12" s="5" t="n">
        <v>-0.7083333333333333</v>
      </c>
      <c r="AO12" s="5" t="n">
        <v>-0.2125</v>
      </c>
      <c r="AP12" s="5" t="n">
        <v>0.6375</v>
      </c>
      <c r="AQ12" s="5" t="n">
        <v>0.9107142857142855</v>
      </c>
      <c r="AR12" s="5" t="n">
        <v>-0.5464285714285714</v>
      </c>
      <c r="AS12" s="5" t="n">
        <v>0.85</v>
      </c>
      <c r="AT12" s="5" t="n">
        <v>0.1821428571428571</v>
      </c>
      <c r="AU12" s="5" t="n">
        <v>0.2833333333333334</v>
      </c>
      <c r="AV12" s="5" t="n">
        <v>-0.3035714285714285</v>
      </c>
      <c r="AW12" s="5" t="n">
        <v>0.2125</v>
      </c>
      <c r="AX12" s="5" t="n">
        <v>-0.2125</v>
      </c>
      <c r="AY12" s="5" t="n">
        <v>-0.425</v>
      </c>
      <c r="AZ12" s="5" t="n">
        <v>0</v>
      </c>
      <c r="BA12" s="5" t="n">
        <v>-0.255</v>
      </c>
      <c r="BB12" s="5" t="n">
        <v>-0.2125</v>
      </c>
      <c r="BC12" s="5" t="n">
        <v>0.2833333333333333</v>
      </c>
      <c r="BD12" s="5" t="n">
        <v>0.1821428571428571</v>
      </c>
      <c r="BE12" s="5" t="n">
        <v>0.85</v>
      </c>
      <c r="BF12" s="5" t="n">
        <v>-0.1821428571428572</v>
      </c>
      <c r="BG12" s="5" t="n">
        <v>0.1821428571428571</v>
      </c>
      <c r="BH12" s="5" t="n">
        <v>0.08500000000000002</v>
      </c>
      <c r="BI12" s="5" t="n">
        <v>-0.1416666666666666</v>
      </c>
      <c r="BJ12" s="5" t="n">
        <v>-0.2125</v>
      </c>
      <c r="BK12" s="5" t="n">
        <v>-1</v>
      </c>
      <c r="BL12" s="5" t="n">
        <v>-0.7083333333333333</v>
      </c>
      <c r="BM12" s="5" t="n">
        <v>0.1821428571428571</v>
      </c>
      <c r="BN12" s="5" t="n">
        <v>0</v>
      </c>
      <c r="BO12" s="5" t="n">
        <v>-0.2125</v>
      </c>
      <c r="BP12" s="5" t="n">
        <v>-0.5950000000000001</v>
      </c>
      <c r="BQ12" s="5" t="n">
        <v>0.425</v>
      </c>
      <c r="BR12" s="5" t="n">
        <v>0.765</v>
      </c>
      <c r="BS12" s="5" t="n">
        <v>0.7083333333333333</v>
      </c>
      <c r="BT12" s="5" t="n">
        <v>-0.85</v>
      </c>
      <c r="BU12" s="5" t="n">
        <v>1</v>
      </c>
      <c r="BV12" s="5" t="n">
        <v>-0.7083333333333333</v>
      </c>
      <c r="BW12" s="5" t="n">
        <v>-0.2833333333333333</v>
      </c>
      <c r="BX12" s="5" t="n">
        <v>-1</v>
      </c>
      <c r="BY12" s="5" t="n">
        <v>0.85</v>
      </c>
      <c r="BZ12" s="5" t="n">
        <v>0.2125</v>
      </c>
      <c r="CA12" s="5" t="n">
        <v>-0.1416666666666667</v>
      </c>
      <c r="CB12" s="5" t="n">
        <v>-1</v>
      </c>
      <c r="CC12" s="5" t="n">
        <v>0</v>
      </c>
      <c r="CD12" s="5" t="n">
        <v>-0.4443181818181818</v>
      </c>
      <c r="CE12" s="5" t="n">
        <v>0.85</v>
      </c>
    </row>
    <row r="13">
      <c r="A13" t="n">
        <v>9</v>
      </c>
      <c r="B13" t="inlineStr">
        <is>
          <t>哈達爾星人</t>
        </is>
      </c>
      <c r="C13" t="inlineStr">
        <is>
          <t>Hadarian</t>
        </is>
      </c>
      <c r="D13" s="5" t="n">
        <v>0.25</v>
      </c>
      <c r="E13" s="5" t="n">
        <v>0.5</v>
      </c>
      <c r="F13" s="5" t="n">
        <v>0.25</v>
      </c>
      <c r="G13" s="5" t="n">
        <v>-0.5</v>
      </c>
      <c r="H13" s="5" t="n">
        <v>-0.25</v>
      </c>
      <c r="I13" s="5" t="n">
        <v>0.25</v>
      </c>
      <c r="J13" s="5" t="n">
        <v>-0.5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-1</v>
      </c>
      <c r="P13" s="5" t="n">
        <v>-1</v>
      </c>
      <c r="Q13" s="5" t="n">
        <v>0</v>
      </c>
      <c r="R13" s="5" t="n">
        <v>-0.5</v>
      </c>
      <c r="S13" s="5" t="n">
        <v>0.75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0.125</v>
      </c>
      <c r="Z13" s="5" t="n">
        <v>0.75</v>
      </c>
      <c r="AA13" s="5" t="n">
        <v>0.3333333333333333</v>
      </c>
      <c r="AB13" s="5" t="n">
        <v>0</v>
      </c>
      <c r="AC13" s="5" t="n">
        <v>-0.25</v>
      </c>
      <c r="AD13" s="5" t="n">
        <v>0.25</v>
      </c>
      <c r="AE13" s="5" t="n">
        <v>0</v>
      </c>
      <c r="AF13" s="5" t="n">
        <v>0.3333333333333333</v>
      </c>
      <c r="AG13" s="5" t="n">
        <v>-0.5666666666666667</v>
      </c>
      <c r="AH13" s="5" t="n">
        <v>0</v>
      </c>
      <c r="AI13" s="5" t="n">
        <v>-0.6375</v>
      </c>
      <c r="AJ13" s="5" t="n">
        <v>0.2833333333333333</v>
      </c>
      <c r="AK13" s="5" t="n">
        <v>-0.6375</v>
      </c>
      <c r="AL13" s="5" t="n">
        <v>0.2833333333333333</v>
      </c>
      <c r="AM13" s="5" t="n">
        <v>0.765</v>
      </c>
      <c r="AN13" s="5" t="n">
        <v>0.7083333333333333</v>
      </c>
      <c r="AO13" s="5" t="n">
        <v>0</v>
      </c>
      <c r="AP13" s="5" t="n">
        <v>0.6375</v>
      </c>
      <c r="AQ13" s="5" t="n">
        <v>1</v>
      </c>
      <c r="AR13" s="5" t="n">
        <v>-0.4249999999999999</v>
      </c>
      <c r="AS13" s="5" t="n">
        <v>1</v>
      </c>
      <c r="AT13" s="5" t="n">
        <v>-0.06071428571428573</v>
      </c>
      <c r="AU13" s="5" t="n">
        <v>0.2833333333333334</v>
      </c>
      <c r="AV13" s="5" t="n">
        <v>-0.1821428571428571</v>
      </c>
      <c r="AW13" s="5" t="n">
        <v>0.425</v>
      </c>
      <c r="AX13" s="5" t="n">
        <v>0.2125</v>
      </c>
      <c r="AY13" s="5" t="n">
        <v>-0.765</v>
      </c>
      <c r="AZ13" s="5" t="n">
        <v>0</v>
      </c>
      <c r="BA13" s="5" t="n">
        <v>0.08499999999999998</v>
      </c>
      <c r="BB13" s="5" t="n">
        <v>-0.2125</v>
      </c>
      <c r="BC13" s="5" t="n">
        <v>0.5666666666666667</v>
      </c>
      <c r="BD13" s="5" t="n">
        <v>0.5464285714285714</v>
      </c>
      <c r="BE13" s="5" t="n">
        <v>1</v>
      </c>
      <c r="BF13" s="5" t="n">
        <v>-0.1821428571428572</v>
      </c>
      <c r="BG13" s="5" t="n">
        <v>0.5464285714285714</v>
      </c>
      <c r="BH13" s="5" t="n">
        <v>-0.08499999999999998</v>
      </c>
      <c r="BI13" s="5" t="n">
        <v>0.1416666666666667</v>
      </c>
      <c r="BJ13" s="5" t="n">
        <v>0</v>
      </c>
      <c r="BK13" s="5" t="n">
        <v>-1</v>
      </c>
      <c r="BL13" s="5" t="n">
        <v>-0.5666666666666667</v>
      </c>
      <c r="BM13" s="5" t="n">
        <v>-0.06071428571428573</v>
      </c>
      <c r="BN13" s="5" t="n">
        <v>0</v>
      </c>
      <c r="BO13" s="5" t="n">
        <v>0</v>
      </c>
      <c r="BP13" s="5" t="n">
        <v>-0.255</v>
      </c>
      <c r="BQ13" s="5" t="n">
        <v>0.425</v>
      </c>
      <c r="BR13" s="5" t="n">
        <v>0.9350000000000001</v>
      </c>
      <c r="BS13" s="5" t="n">
        <v>0.4249999999999999</v>
      </c>
      <c r="BT13" s="5" t="n">
        <v>-0.85</v>
      </c>
      <c r="BU13" s="5" t="n">
        <v>1</v>
      </c>
      <c r="BV13" s="5" t="n">
        <v>-1</v>
      </c>
      <c r="BW13" s="5" t="n">
        <v>-0.2833333333333333</v>
      </c>
      <c r="BX13" s="5" t="n">
        <v>-1</v>
      </c>
      <c r="BY13" s="5" t="n">
        <v>0</v>
      </c>
      <c r="BZ13" s="5" t="n">
        <v>0.6375</v>
      </c>
      <c r="CA13" s="5" t="n">
        <v>-0.1416666666666667</v>
      </c>
      <c r="CB13" s="5" t="n">
        <v>-1</v>
      </c>
      <c r="CC13" s="5" t="n">
        <v>0</v>
      </c>
      <c r="CD13" s="5" t="n">
        <v>-0.8306818181818182</v>
      </c>
      <c r="CE13" s="5" t="n">
        <v>1</v>
      </c>
    </row>
    <row r="14">
      <c r="A14" t="n">
        <v>10</v>
      </c>
      <c r="B14" t="inlineStr">
        <is>
          <t>北極星人</t>
        </is>
      </c>
      <c r="C14" t="inlineStr">
        <is>
          <t>Polarian</t>
        </is>
      </c>
      <c r="D14" s="5" t="n">
        <v>0</v>
      </c>
      <c r="E14" s="5" t="n">
        <v>0.5</v>
      </c>
      <c r="F14" s="5" t="n">
        <v>0</v>
      </c>
      <c r="G14" s="5" t="n">
        <v>0</v>
      </c>
      <c r="H14" s="5" t="n">
        <v>0</v>
      </c>
      <c r="I14" s="5" t="n">
        <v>0.75</v>
      </c>
      <c r="J14" s="5" t="n">
        <v>0</v>
      </c>
      <c r="K14" s="5" t="n">
        <v>-1</v>
      </c>
      <c r="L14" s="5" t="n">
        <v>-0.5</v>
      </c>
      <c r="M14" s="5" t="n">
        <v>0</v>
      </c>
      <c r="N14" s="5" t="n">
        <v>-0.5</v>
      </c>
      <c r="O14" s="5" t="n">
        <v>-0.5</v>
      </c>
      <c r="P14" s="5" t="n">
        <v>0</v>
      </c>
      <c r="Q14" s="5" t="n">
        <v>0.5</v>
      </c>
      <c r="R14" s="5" t="n">
        <v>1</v>
      </c>
      <c r="S14" s="5" t="n">
        <v>0</v>
      </c>
      <c r="T14" s="5" t="n">
        <v>0.5</v>
      </c>
      <c r="U14" s="5" t="n">
        <v>0.75</v>
      </c>
      <c r="V14" s="5" t="n">
        <v>-0.25</v>
      </c>
      <c r="W14" s="5" t="n">
        <v>0</v>
      </c>
      <c r="X14" s="5" t="n">
        <v>0</v>
      </c>
      <c r="Y14" s="5" t="n">
        <v>0.125</v>
      </c>
      <c r="Z14" s="5" t="n">
        <v>0.25</v>
      </c>
      <c r="AA14" s="5" t="n">
        <v>0</v>
      </c>
      <c r="AB14" s="5" t="n">
        <v>-0.25</v>
      </c>
      <c r="AC14" s="5" t="n">
        <v>0</v>
      </c>
      <c r="AD14" s="5" t="n">
        <v>1</v>
      </c>
      <c r="AE14" s="5" t="n">
        <v>-0.25</v>
      </c>
      <c r="AF14" s="5" t="n">
        <v>0.3333333333333333</v>
      </c>
      <c r="AG14" s="5" t="n">
        <v>-1</v>
      </c>
      <c r="AH14" s="5" t="n">
        <v>0</v>
      </c>
      <c r="AI14" s="5" t="n">
        <v>0</v>
      </c>
      <c r="AJ14" s="5" t="n">
        <v>0.2833333333333333</v>
      </c>
      <c r="AK14" s="5" t="n">
        <v>0</v>
      </c>
      <c r="AL14" s="5" t="n">
        <v>0.2833333333333333</v>
      </c>
      <c r="AM14" s="5" t="n">
        <v>0.595</v>
      </c>
      <c r="AN14" s="5" t="n">
        <v>0.425</v>
      </c>
      <c r="AO14" s="5" t="n">
        <v>0</v>
      </c>
      <c r="AP14" s="5" t="n">
        <v>1</v>
      </c>
      <c r="AQ14" s="5" t="n">
        <v>-0.06071428571428578</v>
      </c>
      <c r="AR14" s="5" t="n">
        <v>0.425</v>
      </c>
      <c r="AS14" s="5" t="n">
        <v>0.85</v>
      </c>
      <c r="AT14" s="5" t="n">
        <v>0.7892857142857143</v>
      </c>
      <c r="AU14" s="5" t="n">
        <v>0.7083333333333334</v>
      </c>
      <c r="AV14" s="5" t="n">
        <v>0.06071428571428573</v>
      </c>
      <c r="AW14" s="5" t="n">
        <v>-0.10625</v>
      </c>
      <c r="AX14" s="5" t="n">
        <v>-0.6375</v>
      </c>
      <c r="AY14" s="5" t="n">
        <v>0.425</v>
      </c>
      <c r="AZ14" s="5" t="n">
        <v>0.85</v>
      </c>
      <c r="BA14" s="5" t="n">
        <v>0.595</v>
      </c>
      <c r="BB14" s="5" t="n">
        <v>0.85</v>
      </c>
      <c r="BC14" s="5" t="n">
        <v>-0.425</v>
      </c>
      <c r="BD14" s="5" t="n">
        <v>-0.5464285714285714</v>
      </c>
      <c r="BE14" s="5" t="n">
        <v>0.425</v>
      </c>
      <c r="BF14" s="5" t="n">
        <v>0.9107142857142855</v>
      </c>
      <c r="BG14" s="5" t="n">
        <v>-0.5464285714285714</v>
      </c>
      <c r="BH14" s="5" t="n">
        <v>0.5950000000000001</v>
      </c>
      <c r="BI14" s="5" t="n">
        <v>0.7083333333333333</v>
      </c>
      <c r="BJ14" s="5" t="n">
        <v>0</v>
      </c>
      <c r="BK14" s="5" t="n">
        <v>-0.765</v>
      </c>
      <c r="BL14" s="5" t="n">
        <v>-1</v>
      </c>
      <c r="BM14" s="5" t="n">
        <v>0.7892857142857143</v>
      </c>
      <c r="BN14" s="5" t="n">
        <v>-0.425</v>
      </c>
      <c r="BO14" s="5" t="n">
        <v>0</v>
      </c>
      <c r="BP14" s="5" t="n">
        <v>-1</v>
      </c>
      <c r="BQ14" s="5" t="n">
        <v>0.595</v>
      </c>
      <c r="BR14" s="5" t="n">
        <v>0.425</v>
      </c>
      <c r="BS14" s="5" t="n">
        <v>0.7083333333333333</v>
      </c>
      <c r="BT14" s="5" t="n">
        <v>-0.85</v>
      </c>
      <c r="BU14" s="5" t="n">
        <v>0.255</v>
      </c>
      <c r="BV14" s="5" t="n">
        <v>0.1416666666666666</v>
      </c>
      <c r="BW14" s="5" t="n">
        <v>0.85</v>
      </c>
      <c r="BX14" s="5" t="n">
        <v>-0.2691666666666667</v>
      </c>
      <c r="BY14" s="5" t="n">
        <v>0</v>
      </c>
      <c r="BZ14" s="5" t="n">
        <v>0</v>
      </c>
      <c r="CA14" s="5" t="n">
        <v>0.7083333333333333</v>
      </c>
      <c r="CB14" s="5" t="n">
        <v>-1</v>
      </c>
      <c r="CC14" s="5" t="n">
        <v>0</v>
      </c>
      <c r="CD14" s="5" t="n">
        <v>0.5602272727272726</v>
      </c>
      <c r="CE14" s="5" t="n">
        <v>0.425</v>
      </c>
    </row>
    <row r="15">
      <c r="A15" t="n">
        <v>11</v>
      </c>
      <c r="B15" t="inlineStr">
        <is>
          <t>半人馬座α星人</t>
        </is>
      </c>
      <c r="C15" t="inlineStr">
        <is>
          <t>Alpha Centaurian</t>
        </is>
      </c>
      <c r="D15" s="5" t="n">
        <v>-0.5</v>
      </c>
      <c r="E15" s="5" t="n">
        <v>0.25</v>
      </c>
      <c r="F15" s="5" t="n">
        <v>-0.75</v>
      </c>
      <c r="G15" s="5" t="n">
        <v>0.5</v>
      </c>
      <c r="H15" s="5" t="n">
        <v>0.75</v>
      </c>
      <c r="I15" s="5" t="n">
        <v>0.5</v>
      </c>
      <c r="J15" s="5" t="n">
        <v>0</v>
      </c>
      <c r="K15" s="5" t="n">
        <v>0</v>
      </c>
      <c r="L15" s="5" t="n">
        <v>-0.5</v>
      </c>
      <c r="M15" s="5" t="n">
        <v>0</v>
      </c>
      <c r="N15" s="5" t="n">
        <v>-0.5</v>
      </c>
      <c r="O15" s="5" t="n">
        <v>-0.5</v>
      </c>
      <c r="P15" s="5" t="n">
        <v>0</v>
      </c>
      <c r="Q15" s="5" t="n">
        <v>0</v>
      </c>
      <c r="R15" s="5" t="n">
        <v>0</v>
      </c>
      <c r="S15" s="5" t="n">
        <v>-0.5</v>
      </c>
      <c r="T15" s="5" t="n">
        <v>0.3333333333333333</v>
      </c>
      <c r="U15" s="5" t="n">
        <v>0.5</v>
      </c>
      <c r="V15" s="5" t="n">
        <v>-0.5</v>
      </c>
      <c r="W15" s="5" t="n">
        <v>0</v>
      </c>
      <c r="X15" s="5" t="n">
        <v>0</v>
      </c>
      <c r="Y15" s="5" t="n">
        <v>0.25</v>
      </c>
      <c r="Z15" s="5" t="n">
        <v>0</v>
      </c>
      <c r="AA15" s="5" t="n">
        <v>-0.3333333333333333</v>
      </c>
      <c r="AB15" s="5" t="n">
        <v>-0.25</v>
      </c>
      <c r="AC15" s="5" t="n">
        <v>0.5</v>
      </c>
      <c r="AD15" s="5" t="n">
        <v>0.25</v>
      </c>
      <c r="AE15" s="5" t="n">
        <v>-0.5</v>
      </c>
      <c r="AF15" s="5" t="n">
        <v>0.1666666666666667</v>
      </c>
      <c r="AG15" s="5" t="n">
        <v>-1</v>
      </c>
      <c r="AH15" s="5" t="n">
        <v>0</v>
      </c>
      <c r="AI15" s="5" t="n">
        <v>-0.2125</v>
      </c>
      <c r="AJ15" s="5" t="n">
        <v>0</v>
      </c>
      <c r="AK15" s="5" t="n">
        <v>-0.2125</v>
      </c>
      <c r="AL15" s="5" t="n">
        <v>0</v>
      </c>
      <c r="AM15" s="5" t="n">
        <v>0.425</v>
      </c>
      <c r="AN15" s="5" t="n">
        <v>0.7083333333333333</v>
      </c>
      <c r="AO15" s="5" t="n">
        <v>0</v>
      </c>
      <c r="AP15" s="5" t="n">
        <v>0.85</v>
      </c>
      <c r="AQ15" s="5" t="n">
        <v>0.6678571428571427</v>
      </c>
      <c r="AR15" s="5" t="n">
        <v>0.1821428571428572</v>
      </c>
      <c r="AS15" s="5" t="n">
        <v>0.85</v>
      </c>
      <c r="AT15" s="5" t="n">
        <v>-0.7892857142857143</v>
      </c>
      <c r="AU15" s="5" t="n">
        <v>0.7083333333333334</v>
      </c>
      <c r="AV15" s="5" t="n">
        <v>0.3035714285714285</v>
      </c>
      <c r="AW15" s="5" t="n">
        <v>0</v>
      </c>
      <c r="AX15" s="5" t="n">
        <v>-0.6375</v>
      </c>
      <c r="AY15" s="5" t="n">
        <v>0.425</v>
      </c>
      <c r="AZ15" s="5" t="n">
        <v>0.7083333333333333</v>
      </c>
      <c r="BA15" s="5" t="n">
        <v>0.255</v>
      </c>
      <c r="BB15" s="5" t="n">
        <v>0.2125</v>
      </c>
      <c r="BC15" s="5" t="n">
        <v>-0.1416666666666667</v>
      </c>
      <c r="BD15" s="5" t="n">
        <v>-0.7892857142857143</v>
      </c>
      <c r="BE15" s="5" t="n">
        <v>0</v>
      </c>
      <c r="BF15" s="5" t="n">
        <v>0.1821428571428571</v>
      </c>
      <c r="BG15" s="5" t="n">
        <v>-0.7892857142857143</v>
      </c>
      <c r="BH15" s="5" t="n">
        <v>-0.08499999999999998</v>
      </c>
      <c r="BI15" s="5" t="n">
        <v>0.1416666666666667</v>
      </c>
      <c r="BJ15" s="5" t="n">
        <v>0</v>
      </c>
      <c r="BK15" s="5" t="n">
        <v>-0.765</v>
      </c>
      <c r="BL15" s="5" t="n">
        <v>-0.4249999999999999</v>
      </c>
      <c r="BM15" s="5" t="n">
        <v>-0.7892857142857143</v>
      </c>
      <c r="BN15" s="5" t="n">
        <v>-0.425</v>
      </c>
      <c r="BO15" s="5" t="n">
        <v>0</v>
      </c>
      <c r="BP15" s="5" t="n">
        <v>-0.255</v>
      </c>
      <c r="BQ15" s="5" t="n">
        <v>0.2549999999999999</v>
      </c>
      <c r="BR15" s="5" t="n">
        <v>0.425</v>
      </c>
      <c r="BS15" s="5" t="n">
        <v>0.7083333333333333</v>
      </c>
      <c r="BT15" s="5" t="n">
        <v>-0.85</v>
      </c>
      <c r="BU15" s="5" t="n">
        <v>0.7650000000000001</v>
      </c>
      <c r="BV15" s="5" t="n">
        <v>0.1416666666666666</v>
      </c>
      <c r="BW15" s="5" t="n">
        <v>0</v>
      </c>
      <c r="BX15" s="5" t="n">
        <v>0.2408333333333333</v>
      </c>
      <c r="BY15" s="5" t="n">
        <v>0</v>
      </c>
      <c r="BZ15" s="5" t="n">
        <v>0.2125</v>
      </c>
      <c r="CA15" s="5" t="n">
        <v>-4.718447854656915e-17</v>
      </c>
      <c r="CB15" s="5" t="n">
        <v>-0.7589285714285712</v>
      </c>
      <c r="CC15" s="5" t="n">
        <v>0</v>
      </c>
      <c r="CD15" s="5" t="n">
        <v>-0.05795454545454545</v>
      </c>
      <c r="CE15" s="5" t="n">
        <v>0</v>
      </c>
    </row>
    <row r="16">
      <c r="A16" t="n">
        <v>12</v>
      </c>
      <c r="B16" t="inlineStr">
        <is>
          <t>織女星人</t>
        </is>
      </c>
      <c r="C16" t="inlineStr">
        <is>
          <t>Vegan</t>
        </is>
      </c>
      <c r="D16" s="5" t="n">
        <v>-0.25</v>
      </c>
      <c r="E16" s="5" t="n">
        <v>-0.75</v>
      </c>
      <c r="F16" s="5" t="n">
        <v>0.25</v>
      </c>
      <c r="G16" s="5" t="n">
        <v>0.5</v>
      </c>
      <c r="H16" s="5" t="n">
        <v>0</v>
      </c>
      <c r="I16" s="5" t="n">
        <v>-0.5</v>
      </c>
      <c r="J16" s="5" t="n">
        <v>0.5</v>
      </c>
      <c r="K16" s="5" t="n">
        <v>1</v>
      </c>
      <c r="L16" s="5" t="n">
        <v>1</v>
      </c>
      <c r="M16" s="5" t="n">
        <v>0</v>
      </c>
      <c r="N16" s="5" t="n">
        <v>0.5</v>
      </c>
      <c r="O16" s="5" t="n">
        <v>0</v>
      </c>
      <c r="P16" s="5" t="n">
        <v>0.5</v>
      </c>
      <c r="Q16" s="5" t="n">
        <v>-0.5</v>
      </c>
      <c r="R16" s="5" t="n">
        <v>0</v>
      </c>
      <c r="S16" s="5" t="n">
        <v>0.25</v>
      </c>
      <c r="T16" s="5" t="n">
        <v>-0.6666666666666666</v>
      </c>
      <c r="U16" s="5" t="n">
        <v>-0.5</v>
      </c>
      <c r="V16" s="5" t="n">
        <v>0.25</v>
      </c>
      <c r="W16" s="5" t="n">
        <v>0</v>
      </c>
      <c r="X16" s="5" t="n">
        <v>0.5</v>
      </c>
      <c r="Y16" s="5" t="n">
        <v>-0.125</v>
      </c>
      <c r="Z16" s="5" t="n">
        <v>-0.5</v>
      </c>
      <c r="AA16" s="5" t="n">
        <v>-0.1666666666666667</v>
      </c>
      <c r="AB16" s="5" t="n">
        <v>0</v>
      </c>
      <c r="AC16" s="5" t="n">
        <v>0</v>
      </c>
      <c r="AD16" s="5" t="n">
        <v>-0.75</v>
      </c>
      <c r="AE16" s="5" t="n">
        <v>0.5</v>
      </c>
      <c r="AF16" s="5" t="n">
        <v>0</v>
      </c>
      <c r="AG16" s="5" t="n">
        <v>-0.5666666666666667</v>
      </c>
      <c r="AH16" s="5" t="n">
        <v>-0.425</v>
      </c>
      <c r="AI16" s="5" t="n">
        <v>0.6375</v>
      </c>
      <c r="AJ16" s="5" t="n">
        <v>0.2833333333333333</v>
      </c>
      <c r="AK16" s="5" t="n">
        <v>1</v>
      </c>
      <c r="AL16" s="5" t="n">
        <v>0.5666666666666667</v>
      </c>
      <c r="AM16" s="5" t="n">
        <v>0.255</v>
      </c>
      <c r="AN16" s="5" t="n">
        <v>-0.7083333333333333</v>
      </c>
      <c r="AO16" s="5" t="n">
        <v>-0.425</v>
      </c>
      <c r="AP16" s="5" t="n">
        <v>-0.425</v>
      </c>
      <c r="AQ16" s="5" t="n">
        <v>0.4249999999999999</v>
      </c>
      <c r="AR16" s="5" t="n">
        <v>-0.1821428571428571</v>
      </c>
      <c r="AS16" s="5" t="n">
        <v>0.425</v>
      </c>
      <c r="AT16" s="5" t="n">
        <v>-0.5464285714285714</v>
      </c>
      <c r="AU16" s="5" t="n">
        <v>4.718447854656915e-17</v>
      </c>
      <c r="AV16" s="5" t="n">
        <v>0.1821428571428572</v>
      </c>
      <c r="AW16" s="5" t="n">
        <v>0.10625</v>
      </c>
      <c r="AX16" s="5" t="n">
        <v>-0.425</v>
      </c>
      <c r="AY16" s="5" t="n">
        <v>-0.2549999999999999</v>
      </c>
      <c r="AZ16" s="5" t="n">
        <v>-0.7083333333333333</v>
      </c>
      <c r="BA16" s="5" t="n">
        <v>-0.5950000000000001</v>
      </c>
      <c r="BB16" s="5" t="n">
        <v>-0.85</v>
      </c>
      <c r="BC16" s="5" t="n">
        <v>0.2833333333333333</v>
      </c>
      <c r="BD16" s="5" t="n">
        <v>0.1821428571428571</v>
      </c>
      <c r="BE16" s="5" t="n">
        <v>0.425</v>
      </c>
      <c r="BF16" s="5" t="n">
        <v>-0.425</v>
      </c>
      <c r="BG16" s="5" t="n">
        <v>0.1821428571428571</v>
      </c>
      <c r="BH16" s="5" t="n">
        <v>-0.255</v>
      </c>
      <c r="BI16" s="5" t="n">
        <v>-0.85</v>
      </c>
      <c r="BJ16" s="5" t="n">
        <v>-0.425</v>
      </c>
      <c r="BK16" s="5" t="n">
        <v>-0.2549999999999999</v>
      </c>
      <c r="BL16" s="5" t="n">
        <v>0.7083333333333335</v>
      </c>
      <c r="BM16" s="5" t="n">
        <v>-0.5464285714285714</v>
      </c>
      <c r="BN16" s="5" t="n">
        <v>0.425</v>
      </c>
      <c r="BO16" s="5" t="n">
        <v>-0.425</v>
      </c>
      <c r="BP16" s="5" t="n">
        <v>0.9350000000000001</v>
      </c>
      <c r="BQ16" s="5" t="n">
        <v>0.595</v>
      </c>
      <c r="BR16" s="5" t="n">
        <v>0.595</v>
      </c>
      <c r="BS16" s="5" t="n">
        <v>0.9916666666666665</v>
      </c>
      <c r="BT16" s="5" t="n">
        <v>-0.85</v>
      </c>
      <c r="BU16" s="5" t="n">
        <v>0.425</v>
      </c>
      <c r="BV16" s="5" t="n">
        <v>0.1416666666666666</v>
      </c>
      <c r="BW16" s="5" t="n">
        <v>-0.5666666666666667</v>
      </c>
      <c r="BX16" s="5" t="n">
        <v>-0.2125</v>
      </c>
      <c r="BY16" s="5" t="n">
        <v>0.425</v>
      </c>
      <c r="BZ16" s="5" t="n">
        <v>-0.6375</v>
      </c>
      <c r="CA16" s="5" t="n">
        <v>-0.7083333333333335</v>
      </c>
      <c r="CB16" s="5" t="n">
        <v>-0.8803571428571425</v>
      </c>
      <c r="CC16" s="5" t="n">
        <v>0</v>
      </c>
      <c r="CD16" s="5" t="n">
        <v>-0.5988636363636364</v>
      </c>
      <c r="CE16" s="5" t="n">
        <v>0.425</v>
      </c>
    </row>
    <row r="17">
      <c r="A17" t="n">
        <v>13</v>
      </c>
      <c r="B17" t="inlineStr">
        <is>
          <t>貓科星族</t>
        </is>
      </c>
      <c r="C17" t="inlineStr">
        <is>
          <t>Feline / Urmah</t>
        </is>
      </c>
      <c r="D17" s="5" t="n">
        <v>-0.25</v>
      </c>
      <c r="E17" s="5" t="n">
        <v>-0.5</v>
      </c>
      <c r="F17" s="5" t="n">
        <v>0.25</v>
      </c>
      <c r="G17" s="5" t="n">
        <v>0</v>
      </c>
      <c r="H17" s="5" t="n">
        <v>0</v>
      </c>
      <c r="I17" s="5" t="n">
        <v>0.5</v>
      </c>
      <c r="J17" s="5" t="n">
        <v>-0.5</v>
      </c>
      <c r="K17" s="5" t="n">
        <v>-0.5</v>
      </c>
      <c r="L17" s="5" t="n">
        <v>1</v>
      </c>
      <c r="M17" s="5" t="n">
        <v>0</v>
      </c>
      <c r="N17" s="5" t="n">
        <v>-0.5</v>
      </c>
      <c r="O17" s="5" t="n">
        <v>0.5</v>
      </c>
      <c r="P17" s="5" t="n">
        <v>1</v>
      </c>
      <c r="Q17" s="5" t="n">
        <v>-0.5</v>
      </c>
      <c r="R17" s="5" t="n">
        <v>0.5</v>
      </c>
      <c r="S17" s="5" t="n">
        <v>0.25</v>
      </c>
      <c r="T17" s="5" t="n">
        <v>0.1666666666666667</v>
      </c>
      <c r="U17" s="5" t="n">
        <v>0.25</v>
      </c>
      <c r="V17" s="5" t="n">
        <v>0</v>
      </c>
      <c r="W17" s="5" t="n">
        <v>0</v>
      </c>
      <c r="X17" s="5" t="n">
        <v>-0.5</v>
      </c>
      <c r="Y17" s="5" t="n">
        <v>0.125</v>
      </c>
      <c r="Z17" s="5" t="n">
        <v>0.25</v>
      </c>
      <c r="AA17" s="5" t="n">
        <v>-0.8333333333333333</v>
      </c>
      <c r="AB17" s="5" t="n">
        <v>0.5</v>
      </c>
      <c r="AC17" s="5" t="n">
        <v>-0.25</v>
      </c>
      <c r="AD17" s="5" t="n">
        <v>0.5</v>
      </c>
      <c r="AE17" s="5" t="n">
        <v>0</v>
      </c>
      <c r="AF17" s="5" t="n">
        <v>-0.5</v>
      </c>
      <c r="AG17" s="5" t="n">
        <v>-1</v>
      </c>
      <c r="AH17" s="5" t="n">
        <v>-0.425</v>
      </c>
      <c r="AI17" s="5" t="n">
        <v>0.2125</v>
      </c>
      <c r="AJ17" s="5" t="n">
        <v>0</v>
      </c>
      <c r="AK17" s="5" t="n">
        <v>0.6375</v>
      </c>
      <c r="AL17" s="5" t="n">
        <v>0.2833333333333333</v>
      </c>
      <c r="AM17" s="5" t="n">
        <v>0.425</v>
      </c>
      <c r="AN17" s="5" t="n">
        <v>0.1416666666666667</v>
      </c>
      <c r="AO17" s="5" t="n">
        <v>0</v>
      </c>
      <c r="AP17" s="5" t="n">
        <v>0</v>
      </c>
      <c r="AQ17" s="5" t="n">
        <v>-0.3035714285714286</v>
      </c>
      <c r="AR17" s="5" t="n">
        <v>0.7892857142857141</v>
      </c>
      <c r="AS17" s="5" t="n">
        <v>1</v>
      </c>
      <c r="AT17" s="5" t="n">
        <v>0.6678571428571427</v>
      </c>
      <c r="AU17" s="5" t="n">
        <v>0.2833333333333334</v>
      </c>
      <c r="AV17" s="5" t="n">
        <v>0.5464285714285714</v>
      </c>
      <c r="AW17" s="5" t="n">
        <v>-0.9562499999999999</v>
      </c>
      <c r="AX17" s="5" t="n">
        <v>-1</v>
      </c>
      <c r="AY17" s="5" t="n">
        <v>1</v>
      </c>
      <c r="AZ17" s="5" t="n">
        <v>0.5666666666666667</v>
      </c>
      <c r="BA17" s="5" t="n">
        <v>0.7650000000000001</v>
      </c>
      <c r="BB17" s="5" t="n">
        <v>-0.2125</v>
      </c>
      <c r="BC17" s="5" t="n">
        <v>-0.5666666666666667</v>
      </c>
      <c r="BD17" s="5" t="n">
        <v>0.7892857142857143</v>
      </c>
      <c r="BE17" s="5" t="n">
        <v>1</v>
      </c>
      <c r="BF17" s="5" t="n">
        <v>0.7892857142857141</v>
      </c>
      <c r="BG17" s="5" t="n">
        <v>0.7892857142857143</v>
      </c>
      <c r="BH17" s="5" t="n">
        <v>-0.08499999999999998</v>
      </c>
      <c r="BI17" s="5" t="n">
        <v>0.85</v>
      </c>
      <c r="BJ17" s="5" t="n">
        <v>0</v>
      </c>
      <c r="BK17" s="5" t="n">
        <v>-0.08499999999999998</v>
      </c>
      <c r="BL17" s="5" t="n">
        <v>-0.5666666666666667</v>
      </c>
      <c r="BM17" s="5" t="n">
        <v>0.6678571428571427</v>
      </c>
      <c r="BN17" s="5" t="n">
        <v>0.85</v>
      </c>
      <c r="BO17" s="5" t="n">
        <v>0</v>
      </c>
      <c r="BP17" s="5" t="n">
        <v>-0.255</v>
      </c>
      <c r="BQ17" s="5" t="n">
        <v>0.425</v>
      </c>
      <c r="BR17" s="5" t="n">
        <v>0.765</v>
      </c>
      <c r="BS17" s="5" t="n">
        <v>0.4249999999999999</v>
      </c>
      <c r="BT17" s="5" t="n">
        <v>-0.85</v>
      </c>
      <c r="BU17" s="5" t="n">
        <v>-0.08500000000000008</v>
      </c>
      <c r="BV17" s="5" t="n">
        <v>1</v>
      </c>
      <c r="BW17" s="5" t="n">
        <v>0.2833333333333333</v>
      </c>
      <c r="BX17" s="5" t="n">
        <v>-0.3825</v>
      </c>
      <c r="BY17" s="5" t="n">
        <v>0.425</v>
      </c>
      <c r="BZ17" s="5" t="n">
        <v>-0.2125</v>
      </c>
      <c r="CA17" s="5" t="n">
        <v>0.8499999999999998</v>
      </c>
      <c r="CB17" s="5" t="n">
        <v>-1</v>
      </c>
      <c r="CC17" s="5" t="n">
        <v>0</v>
      </c>
      <c r="CD17" s="5" t="n">
        <v>0.4056818181818183</v>
      </c>
      <c r="CE17" s="5" t="n">
        <v>1</v>
      </c>
    </row>
    <row r="18">
      <c r="A18" t="n">
        <v>14</v>
      </c>
      <c r="B18" t="inlineStr">
        <is>
          <t>藍鳥人</t>
        </is>
      </c>
      <c r="C18" t="inlineStr">
        <is>
          <t>Avian / Blue Avian</t>
        </is>
      </c>
      <c r="D18" s="5" t="n">
        <v>-0.25</v>
      </c>
      <c r="E18" s="5" t="n">
        <v>-0.5</v>
      </c>
      <c r="F18" s="5" t="n">
        <v>0</v>
      </c>
      <c r="G18" s="5" t="n">
        <v>0</v>
      </c>
      <c r="H18" s="5" t="n">
        <v>0.25</v>
      </c>
      <c r="I18" s="5" t="n">
        <v>0.25</v>
      </c>
      <c r="J18" s="5" t="n">
        <v>1</v>
      </c>
      <c r="K18" s="5" t="n">
        <v>1</v>
      </c>
      <c r="L18" s="5" t="n">
        <v>0.5</v>
      </c>
      <c r="M18" s="5" t="n">
        <v>0</v>
      </c>
      <c r="N18" s="5" t="n">
        <v>-0.5</v>
      </c>
      <c r="O18" s="5" t="n">
        <v>-0.5</v>
      </c>
      <c r="P18" s="5" t="n">
        <v>0</v>
      </c>
      <c r="Q18" s="5" t="n">
        <v>0</v>
      </c>
      <c r="R18" s="5" t="n">
        <v>0.5</v>
      </c>
      <c r="S18" s="5" t="n">
        <v>0</v>
      </c>
      <c r="T18" s="5" t="n">
        <v>-0.5</v>
      </c>
      <c r="U18" s="5" t="n">
        <v>-0.5</v>
      </c>
      <c r="V18" s="5" t="n">
        <v>0.5</v>
      </c>
      <c r="W18" s="5" t="n">
        <v>0</v>
      </c>
      <c r="X18" s="5" t="n">
        <v>1</v>
      </c>
      <c r="Y18" s="5" t="n">
        <v>-0.25</v>
      </c>
      <c r="Z18" s="5" t="n">
        <v>-0.75</v>
      </c>
      <c r="AA18" s="5" t="n">
        <v>-0.1666666666666667</v>
      </c>
      <c r="AB18" s="5" t="n">
        <v>0</v>
      </c>
      <c r="AC18" s="5" t="n">
        <v>0</v>
      </c>
      <c r="AD18" s="5" t="n">
        <v>-0.5</v>
      </c>
      <c r="AE18" s="5" t="n">
        <v>0.25</v>
      </c>
      <c r="AF18" s="5" t="n">
        <v>0.5</v>
      </c>
      <c r="AG18" s="5" t="n">
        <v>-1</v>
      </c>
      <c r="AH18" s="5" t="n">
        <v>-0.425</v>
      </c>
      <c r="AI18" s="5" t="n">
        <v>0</v>
      </c>
      <c r="AJ18" s="5" t="n">
        <v>0</v>
      </c>
      <c r="AK18" s="5" t="n">
        <v>0.425</v>
      </c>
      <c r="AL18" s="5" t="n">
        <v>0.2833333333333333</v>
      </c>
      <c r="AM18" s="5" t="n">
        <v>0.255</v>
      </c>
      <c r="AN18" s="5" t="n">
        <v>-0.1416666666666666</v>
      </c>
      <c r="AO18" s="5" t="n">
        <v>0</v>
      </c>
      <c r="AP18" s="5" t="n">
        <v>-0.425</v>
      </c>
      <c r="AQ18" s="5" t="n">
        <v>0.4249999999999999</v>
      </c>
      <c r="AR18" s="5" t="n">
        <v>-0.7892857142857141</v>
      </c>
      <c r="AS18" s="5" t="n">
        <v>0</v>
      </c>
      <c r="AT18" s="5" t="n">
        <v>-0.3035714285714285</v>
      </c>
      <c r="AU18" s="5" t="n">
        <v>0.5666666666666668</v>
      </c>
      <c r="AV18" s="5" t="n">
        <v>-0.4249999999999999</v>
      </c>
      <c r="AW18" s="5" t="n">
        <v>-0.31875</v>
      </c>
      <c r="AX18" s="5" t="n">
        <v>-0.6375</v>
      </c>
      <c r="AY18" s="5" t="n">
        <v>0.425</v>
      </c>
      <c r="AZ18" s="5" t="n">
        <v>-0.85</v>
      </c>
      <c r="BA18" s="5" t="n">
        <v>0.255</v>
      </c>
      <c r="BB18" s="5" t="n">
        <v>-0.2125</v>
      </c>
      <c r="BC18" s="5" t="n">
        <v>-0.2833333333333334</v>
      </c>
      <c r="BD18" s="5" t="n">
        <v>-0.425</v>
      </c>
      <c r="BE18" s="5" t="n">
        <v>0.2125</v>
      </c>
      <c r="BF18" s="5" t="n">
        <v>0.4249999999999999</v>
      </c>
      <c r="BG18" s="5" t="n">
        <v>-0.425</v>
      </c>
      <c r="BH18" s="5" t="n">
        <v>0.255</v>
      </c>
      <c r="BI18" s="5" t="n">
        <v>-1</v>
      </c>
      <c r="BJ18" s="5" t="n">
        <v>0</v>
      </c>
      <c r="BK18" s="5" t="n">
        <v>-0.425</v>
      </c>
      <c r="BL18" s="5" t="n">
        <v>0.7083333333333333</v>
      </c>
      <c r="BM18" s="5" t="n">
        <v>-0.3035714285714285</v>
      </c>
      <c r="BN18" s="5" t="n">
        <v>-0.425</v>
      </c>
      <c r="BO18" s="5" t="n">
        <v>0</v>
      </c>
      <c r="BP18" s="5" t="n">
        <v>0.7650000000000001</v>
      </c>
      <c r="BQ18" s="5" t="n">
        <v>0.765</v>
      </c>
      <c r="BR18" s="5" t="n">
        <v>-0.5950000000000001</v>
      </c>
      <c r="BS18" s="5" t="n">
        <v>1</v>
      </c>
      <c r="BT18" s="5" t="n">
        <v>-0.85</v>
      </c>
      <c r="BU18" s="5" t="n">
        <v>0.5950000000000001</v>
      </c>
      <c r="BV18" s="5" t="n">
        <v>0.1416666666666666</v>
      </c>
      <c r="BW18" s="5" t="n">
        <v>0</v>
      </c>
      <c r="BX18" s="5" t="n">
        <v>-0.2691666666666667</v>
      </c>
      <c r="BY18" s="5" t="n">
        <v>0.425</v>
      </c>
      <c r="BZ18" s="5" t="n">
        <v>0</v>
      </c>
      <c r="CA18" s="5" t="n">
        <v>-0.9916666666666665</v>
      </c>
      <c r="CB18" s="5" t="n">
        <v>-0.5160714285714283</v>
      </c>
      <c r="CC18" s="5" t="n">
        <v>0</v>
      </c>
      <c r="CD18" s="5" t="n">
        <v>0.2511363636363637</v>
      </c>
      <c r="CE18" s="5" t="n">
        <v>0.2125</v>
      </c>
    </row>
    <row r="19">
      <c r="A19" t="n">
        <v>15</v>
      </c>
      <c r="B19" t="inlineStr">
        <is>
          <t>火星人</t>
        </is>
      </c>
      <c r="C19" t="inlineStr">
        <is>
          <t>Martian</t>
        </is>
      </c>
      <c r="D19" s="5" t="n">
        <v>0</v>
      </c>
      <c r="E19" s="5" t="n">
        <v>-0.25</v>
      </c>
      <c r="F19" s="5" t="n">
        <v>0</v>
      </c>
      <c r="G19" s="5" t="n">
        <v>-0.5</v>
      </c>
      <c r="H19" s="5" t="n">
        <v>0</v>
      </c>
      <c r="I19" s="5" t="n">
        <v>-0.75</v>
      </c>
      <c r="J19" s="5" t="n">
        <v>-0.5</v>
      </c>
      <c r="K19" s="5" t="n">
        <v>0</v>
      </c>
      <c r="L19" s="5" t="n">
        <v>0.5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-0.5</v>
      </c>
      <c r="R19" s="5" t="n">
        <v>-0.5</v>
      </c>
      <c r="S19" s="5" t="n">
        <v>0.25</v>
      </c>
      <c r="T19" s="5" t="n">
        <v>0.1666666666666667</v>
      </c>
      <c r="U19" s="5" t="n">
        <v>0</v>
      </c>
      <c r="V19" s="5" t="n">
        <v>0</v>
      </c>
      <c r="W19" s="5" t="n">
        <v>0</v>
      </c>
      <c r="X19" s="5" t="n">
        <v>-0.5</v>
      </c>
      <c r="Y19" s="5" t="n">
        <v>0.125</v>
      </c>
      <c r="Z19" s="5" t="n">
        <v>0.25</v>
      </c>
      <c r="AA19" s="5" t="n">
        <v>-0.5</v>
      </c>
      <c r="AB19" s="5" t="n">
        <v>0.5</v>
      </c>
      <c r="AC19" s="5" t="n">
        <v>-0.25</v>
      </c>
      <c r="AD19" s="5" t="n">
        <v>-0.25</v>
      </c>
      <c r="AE19" s="5" t="n">
        <v>-0.25</v>
      </c>
      <c r="AF19" s="5" t="n">
        <v>-0.6666666666666666</v>
      </c>
      <c r="AG19" s="5" t="n">
        <v>0.5666666666666667</v>
      </c>
      <c r="AH19" s="5" t="n">
        <v>0</v>
      </c>
      <c r="AI19" s="5" t="n">
        <v>-0.2125</v>
      </c>
      <c r="AJ19" s="5" t="n">
        <v>0</v>
      </c>
      <c r="AK19" s="5" t="n">
        <v>-0.2125</v>
      </c>
      <c r="AL19" s="5" t="n">
        <v>0</v>
      </c>
      <c r="AM19" s="5" t="n">
        <v>0.425</v>
      </c>
      <c r="AN19" s="5" t="n">
        <v>0.7083333333333333</v>
      </c>
      <c r="AO19" s="5" t="n">
        <v>0.425</v>
      </c>
      <c r="AP19" s="5" t="n">
        <v>0</v>
      </c>
      <c r="AQ19" s="5" t="n">
        <v>1</v>
      </c>
      <c r="AR19" s="5" t="n">
        <v>0.5464285714285714</v>
      </c>
      <c r="AS19" s="5" t="n">
        <v>1</v>
      </c>
      <c r="AT19" s="5" t="n">
        <v>-0.06071428571428573</v>
      </c>
      <c r="AU19" s="5" t="n">
        <v>-0.5666666666666667</v>
      </c>
      <c r="AV19" s="5" t="n">
        <v>0.06071428571428573</v>
      </c>
      <c r="AW19" s="5" t="n">
        <v>0.425</v>
      </c>
      <c r="AX19" s="5" t="n">
        <v>0.6375</v>
      </c>
      <c r="AY19" s="5" t="n">
        <v>-1</v>
      </c>
      <c r="AZ19" s="5" t="n">
        <v>0.2833333333333333</v>
      </c>
      <c r="BA19" s="5" t="n">
        <v>-1</v>
      </c>
      <c r="BB19" s="5" t="n">
        <v>-0.85</v>
      </c>
      <c r="BC19" s="5" t="n">
        <v>0.8499999999999999</v>
      </c>
      <c r="BD19" s="5" t="n">
        <v>0.7892857142857143</v>
      </c>
      <c r="BE19" s="5" t="n">
        <v>1</v>
      </c>
      <c r="BF19" s="5" t="n">
        <v>-1</v>
      </c>
      <c r="BG19" s="5" t="n">
        <v>0.7892857142857143</v>
      </c>
      <c r="BH19" s="5" t="n">
        <v>-0.425</v>
      </c>
      <c r="BI19" s="5" t="n">
        <v>0.2833333333333334</v>
      </c>
      <c r="BJ19" s="5" t="n">
        <v>0.425</v>
      </c>
      <c r="BK19" s="5" t="n">
        <v>-0.765</v>
      </c>
      <c r="BL19" s="5" t="n">
        <v>-0.2833333333333333</v>
      </c>
      <c r="BM19" s="5" t="n">
        <v>-0.06071428571428573</v>
      </c>
      <c r="BN19" s="5" t="n">
        <v>0.425</v>
      </c>
      <c r="BO19" s="5" t="n">
        <v>0.425</v>
      </c>
      <c r="BP19" s="5" t="n">
        <v>0.08499999999999998</v>
      </c>
      <c r="BQ19" s="5" t="n">
        <v>0.425</v>
      </c>
      <c r="BR19" s="5" t="n">
        <v>1</v>
      </c>
      <c r="BS19" s="5" t="n">
        <v>0.4249999999999999</v>
      </c>
      <c r="BT19" s="5" t="n">
        <v>-0.85</v>
      </c>
      <c r="BU19" s="5" t="n">
        <v>1</v>
      </c>
      <c r="BV19" s="5" t="n">
        <v>-0.7083333333333333</v>
      </c>
      <c r="BW19" s="5" t="n">
        <v>-0.85</v>
      </c>
      <c r="BX19" s="5" t="n">
        <v>-0.6658333333333333</v>
      </c>
      <c r="BY19" s="5" t="n">
        <v>0</v>
      </c>
      <c r="BZ19" s="5" t="n">
        <v>0.2125</v>
      </c>
      <c r="CA19" s="5" t="n">
        <v>0.2833333333333333</v>
      </c>
      <c r="CB19" s="5" t="n">
        <v>-1</v>
      </c>
      <c r="CC19" s="5" t="n">
        <v>0</v>
      </c>
      <c r="CD19" s="5" t="n">
        <v>-1</v>
      </c>
      <c r="CE19" s="5" t="n">
        <v>1</v>
      </c>
    </row>
    <row r="20">
      <c r="A20" t="n">
        <v>16</v>
      </c>
      <c r="B20" t="inlineStr">
        <is>
          <t>馬爾德克人</t>
        </is>
      </c>
      <c r="C20" t="inlineStr">
        <is>
          <t>Maldekian</t>
        </is>
      </c>
      <c r="D20" s="5" t="n">
        <v>-0.75</v>
      </c>
      <c r="E20" s="5" t="n">
        <v>0.25</v>
      </c>
      <c r="F20" s="5" t="n">
        <v>-0.5</v>
      </c>
      <c r="G20" s="5" t="n">
        <v>1</v>
      </c>
      <c r="H20" s="5" t="n">
        <v>0.5</v>
      </c>
      <c r="I20" s="5" t="n">
        <v>0.75</v>
      </c>
      <c r="J20" s="5" t="n">
        <v>0</v>
      </c>
      <c r="K20" s="5" t="n">
        <v>-0.5</v>
      </c>
      <c r="L20" s="5" t="n">
        <v>0</v>
      </c>
      <c r="M20" s="5" t="n">
        <v>0</v>
      </c>
      <c r="N20" s="5" t="n">
        <v>-0.5</v>
      </c>
      <c r="O20" s="5" t="n">
        <v>0</v>
      </c>
      <c r="P20" s="5" t="n">
        <v>1</v>
      </c>
      <c r="Q20" s="5" t="n">
        <v>-0.5</v>
      </c>
      <c r="R20" s="5" t="n">
        <v>1</v>
      </c>
      <c r="S20" s="5" t="n">
        <v>-0.25</v>
      </c>
      <c r="T20" s="5" t="n">
        <v>0.3333333333333333</v>
      </c>
      <c r="U20" s="5" t="n">
        <v>0.75</v>
      </c>
      <c r="V20" s="5" t="n">
        <v>-0.5</v>
      </c>
      <c r="W20" s="5" t="n">
        <v>0</v>
      </c>
      <c r="X20" s="5" t="n">
        <v>0</v>
      </c>
      <c r="Y20" s="5" t="n">
        <v>0.25</v>
      </c>
      <c r="Z20" s="5" t="n">
        <v>0.25</v>
      </c>
      <c r="AA20" s="5" t="n">
        <v>-0.6666666666666666</v>
      </c>
      <c r="AB20" s="5" t="n">
        <v>-0.25</v>
      </c>
      <c r="AC20" s="5" t="n">
        <v>0.25</v>
      </c>
      <c r="AD20" s="5" t="n">
        <v>0.75</v>
      </c>
      <c r="AE20" s="5" t="n">
        <v>-0.25</v>
      </c>
      <c r="AF20" s="5" t="n">
        <v>-0.1666666666666667</v>
      </c>
      <c r="AG20" s="5" t="n">
        <v>-1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0.595</v>
      </c>
      <c r="AN20" s="5" t="n">
        <v>0.9916666666666667</v>
      </c>
      <c r="AO20" s="5" t="n">
        <v>-0.2125</v>
      </c>
      <c r="AP20" s="5" t="n">
        <v>0.85</v>
      </c>
      <c r="AQ20" s="5" t="n">
        <v>-0.6678571428571427</v>
      </c>
      <c r="AR20" s="5" t="n">
        <v>0.9107142857142857</v>
      </c>
      <c r="AS20" s="5" t="n">
        <v>0.85</v>
      </c>
      <c r="AT20" s="5" t="n">
        <v>0.1821428571428571</v>
      </c>
      <c r="AU20" s="5" t="n">
        <v>0.7083333333333334</v>
      </c>
      <c r="AV20" s="5" t="n">
        <v>0.7892857142857143</v>
      </c>
      <c r="AW20" s="5" t="n">
        <v>-0.425</v>
      </c>
      <c r="AX20" s="5" t="n">
        <v>-1</v>
      </c>
      <c r="AY20" s="5" t="n">
        <v>1</v>
      </c>
      <c r="AZ20" s="5" t="n">
        <v>0.9916666666666667</v>
      </c>
      <c r="BA20" s="5" t="n">
        <v>0.7650000000000001</v>
      </c>
      <c r="BB20" s="5" t="n">
        <v>0.6375</v>
      </c>
      <c r="BC20" s="5" t="n">
        <v>-0.7083333333333334</v>
      </c>
      <c r="BD20" s="5" t="n">
        <v>-0.5464285714285714</v>
      </c>
      <c r="BE20" s="5" t="n">
        <v>0.2125</v>
      </c>
      <c r="BF20" s="5" t="n">
        <v>1</v>
      </c>
      <c r="BG20" s="5" t="n">
        <v>-0.5464285714285714</v>
      </c>
      <c r="BH20" s="5" t="n">
        <v>0.255</v>
      </c>
      <c r="BI20" s="5" t="n">
        <v>0.7083333333333333</v>
      </c>
      <c r="BJ20" s="5" t="n">
        <v>-0.2125</v>
      </c>
      <c r="BK20" s="5" t="n">
        <v>-0.08499999999999998</v>
      </c>
      <c r="BL20" s="5" t="n">
        <v>-0.4249999999999999</v>
      </c>
      <c r="BM20" s="5" t="n">
        <v>0.1821428571428571</v>
      </c>
      <c r="BN20" s="5" t="n">
        <v>0</v>
      </c>
      <c r="BO20" s="5" t="n">
        <v>-0.2125</v>
      </c>
      <c r="BP20" s="5" t="n">
        <v>-0.255</v>
      </c>
      <c r="BQ20" s="5" t="n">
        <v>0.2549999999999999</v>
      </c>
      <c r="BR20" s="5" t="n">
        <v>0.425</v>
      </c>
      <c r="BS20" s="5" t="n">
        <v>0.7083333333333333</v>
      </c>
      <c r="BT20" s="5" t="n">
        <v>-0.85</v>
      </c>
      <c r="BU20" s="5" t="n">
        <v>-0.7649999999999999</v>
      </c>
      <c r="BV20" s="5" t="n">
        <v>1</v>
      </c>
      <c r="BW20" s="5" t="n">
        <v>0.85</v>
      </c>
      <c r="BX20" s="5" t="n">
        <v>0.4108333333333333</v>
      </c>
      <c r="BY20" s="5" t="n">
        <v>0</v>
      </c>
      <c r="BZ20" s="5" t="n">
        <v>0</v>
      </c>
      <c r="CA20" s="5" t="n">
        <v>0.7083333333333333</v>
      </c>
      <c r="CB20" s="5" t="n">
        <v>-0.8803571428571425</v>
      </c>
      <c r="CC20" s="5" t="n">
        <v>0</v>
      </c>
      <c r="CD20" s="5" t="n">
        <v>0.7147727272727272</v>
      </c>
      <c r="CE20" s="5" t="n">
        <v>0.2125</v>
      </c>
    </row>
    <row r="21">
      <c r="A21" t="n">
        <v>17</v>
      </c>
      <c r="B21" t="inlineStr">
        <is>
          <t>天龍座人</t>
        </is>
      </c>
      <c r="C21" t="inlineStr">
        <is>
          <t>Draconian</t>
        </is>
      </c>
      <c r="D21" s="5" t="n">
        <v>-0.25</v>
      </c>
      <c r="E21" s="5" t="n">
        <v>0</v>
      </c>
      <c r="F21" s="5" t="n">
        <v>-0.5</v>
      </c>
      <c r="G21" s="5" t="n">
        <v>0</v>
      </c>
      <c r="H21" s="5" t="n">
        <v>0.5</v>
      </c>
      <c r="I21" s="5" t="n">
        <v>0</v>
      </c>
      <c r="J21" s="5" t="n">
        <v>0.5</v>
      </c>
      <c r="K21" s="5" t="n">
        <v>-0.5</v>
      </c>
      <c r="L21" s="5" t="n">
        <v>-0.5</v>
      </c>
      <c r="M21" s="5" t="n">
        <v>1</v>
      </c>
      <c r="N21" s="5" t="n">
        <v>0.5</v>
      </c>
      <c r="O21" s="5" t="n">
        <v>0.5</v>
      </c>
      <c r="P21" s="5" t="n">
        <v>0.5</v>
      </c>
      <c r="Q21" s="5" t="n">
        <v>-0.5</v>
      </c>
      <c r="R21" s="5" t="n">
        <v>0.5</v>
      </c>
      <c r="S21" s="5" t="n">
        <v>-0.25</v>
      </c>
      <c r="T21" s="5" t="n">
        <v>0.6666666666666666</v>
      </c>
      <c r="U21" s="5" t="n">
        <v>0.5</v>
      </c>
      <c r="V21" s="5" t="n">
        <v>-0.25</v>
      </c>
      <c r="W21" s="5" t="n">
        <v>0</v>
      </c>
      <c r="X21" s="5" t="n">
        <v>-0.5</v>
      </c>
      <c r="Y21" s="5" t="n">
        <v>-0.25</v>
      </c>
      <c r="Z21" s="5" t="n">
        <v>-0.5</v>
      </c>
      <c r="AA21" s="5" t="n">
        <v>-0.6666666666666666</v>
      </c>
      <c r="AB21" s="5" t="n">
        <v>0.25</v>
      </c>
      <c r="AC21" s="5" t="n">
        <v>-0.25</v>
      </c>
      <c r="AD21" s="5" t="n">
        <v>0.5</v>
      </c>
      <c r="AE21" s="5" t="n">
        <v>-0.75</v>
      </c>
      <c r="AF21" s="5" t="n">
        <v>-0.5</v>
      </c>
      <c r="AG21" s="5" t="n">
        <v>-0.2833333333333333</v>
      </c>
      <c r="AH21" s="5" t="n">
        <v>0</v>
      </c>
      <c r="AI21" s="5" t="n">
        <v>0.2125</v>
      </c>
      <c r="AJ21" s="5" t="n">
        <v>0</v>
      </c>
      <c r="AK21" s="5" t="n">
        <v>0.2125</v>
      </c>
      <c r="AL21" s="5" t="n">
        <v>0</v>
      </c>
      <c r="AM21" s="5" t="n">
        <v>0.255</v>
      </c>
      <c r="AN21" s="5" t="n">
        <v>0.425</v>
      </c>
      <c r="AO21" s="5" t="n">
        <v>0.6375</v>
      </c>
      <c r="AP21" s="5" t="n">
        <v>0.85</v>
      </c>
      <c r="AQ21" s="5" t="n">
        <v>0.1821428571428571</v>
      </c>
      <c r="AR21" s="5" t="n">
        <v>0.5464285714285714</v>
      </c>
      <c r="AS21" s="5" t="n">
        <v>-0.425</v>
      </c>
      <c r="AT21" s="5" t="n">
        <v>0.06071428571428569</v>
      </c>
      <c r="AU21" s="5" t="n">
        <v>-0.7083333333333334</v>
      </c>
      <c r="AV21" s="5" t="n">
        <v>-0.5464285714285714</v>
      </c>
      <c r="AW21" s="5" t="n">
        <v>0.10625</v>
      </c>
      <c r="AX21" s="5" t="n">
        <v>-0.2125</v>
      </c>
      <c r="AY21" s="5" t="n">
        <v>-0.2549999999999999</v>
      </c>
      <c r="AZ21" s="5" t="n">
        <v>0.85</v>
      </c>
      <c r="BA21" s="5" t="n">
        <v>-0.425</v>
      </c>
      <c r="BB21" s="5" t="n">
        <v>0.85</v>
      </c>
      <c r="BC21" s="5" t="n">
        <v>0.7083333333333334</v>
      </c>
      <c r="BD21" s="5" t="n">
        <v>-0.9107142857142857</v>
      </c>
      <c r="BE21" s="5" t="n">
        <v>0.425</v>
      </c>
      <c r="BF21" s="5" t="n">
        <v>-0.06071428571428573</v>
      </c>
      <c r="BG21" s="5" t="n">
        <v>-0.9107142857142857</v>
      </c>
      <c r="BH21" s="5" t="n">
        <v>0.765</v>
      </c>
      <c r="BI21" s="5" t="n">
        <v>0.85</v>
      </c>
      <c r="BJ21" s="5" t="n">
        <v>0.6375</v>
      </c>
      <c r="BK21" s="5" t="n">
        <v>-0.425</v>
      </c>
      <c r="BL21" s="5" t="n">
        <v>-0.2833333333333333</v>
      </c>
      <c r="BM21" s="5" t="n">
        <v>0.06071428571428569</v>
      </c>
      <c r="BN21" s="5" t="n">
        <v>-0.425</v>
      </c>
      <c r="BO21" s="5" t="n">
        <v>0.6375</v>
      </c>
      <c r="BP21" s="5" t="n">
        <v>-0.255</v>
      </c>
      <c r="BQ21" s="5" t="n">
        <v>0.2549999999999999</v>
      </c>
      <c r="BR21" s="5" t="n">
        <v>1</v>
      </c>
      <c r="BS21" s="5" t="n">
        <v>0.9916666666666665</v>
      </c>
      <c r="BT21" s="5" t="n">
        <v>-0.85</v>
      </c>
      <c r="BU21" s="5" t="n">
        <v>0.255</v>
      </c>
      <c r="BV21" s="5" t="n">
        <v>0.1416666666666666</v>
      </c>
      <c r="BW21" s="5" t="n">
        <v>0.85</v>
      </c>
      <c r="BX21" s="5" t="n">
        <v>-0.1558333333333333</v>
      </c>
      <c r="BY21" s="5" t="n">
        <v>0</v>
      </c>
      <c r="BZ21" s="5" t="n">
        <v>-0.2125</v>
      </c>
      <c r="CA21" s="5" t="n">
        <v>0.8499999999999998</v>
      </c>
      <c r="CB21" s="5" t="n">
        <v>-0.1517857142857141</v>
      </c>
      <c r="CC21" s="5" t="n">
        <v>0</v>
      </c>
      <c r="CD21" s="5" t="n">
        <v>-0.5988636363636364</v>
      </c>
      <c r="CE21" s="5" t="n">
        <v>0.425</v>
      </c>
    </row>
    <row r="22">
      <c r="A22" t="n">
        <v>18</v>
      </c>
      <c r="B22" t="inlineStr">
        <is>
          <t>爬蟲族</t>
        </is>
      </c>
      <c r="C22" t="inlineStr">
        <is>
          <t>Reptilian</t>
        </is>
      </c>
      <c r="D22" s="5" t="n">
        <v>-0.25</v>
      </c>
      <c r="E22" s="5" t="n">
        <v>-0.5</v>
      </c>
      <c r="F22" s="5" t="n">
        <v>-0.25</v>
      </c>
      <c r="G22" s="5" t="n">
        <v>0</v>
      </c>
      <c r="H22" s="5" t="n">
        <v>0.25</v>
      </c>
      <c r="I22" s="5" t="n">
        <v>-0.5</v>
      </c>
      <c r="J22" s="5" t="n">
        <v>-0.5</v>
      </c>
      <c r="K22" s="5" t="n">
        <v>0</v>
      </c>
      <c r="L22" s="5" t="n">
        <v>0.5</v>
      </c>
      <c r="M22" s="5" t="n">
        <v>0</v>
      </c>
      <c r="N22" s="5" t="n">
        <v>0.5</v>
      </c>
      <c r="O22" s="5" t="n">
        <v>0.5</v>
      </c>
      <c r="P22" s="5" t="n">
        <v>1</v>
      </c>
      <c r="Q22" s="5" t="n">
        <v>-0.5</v>
      </c>
      <c r="R22" s="5" t="n">
        <v>-0.5</v>
      </c>
      <c r="S22" s="5" t="n">
        <v>0</v>
      </c>
      <c r="T22" s="5" t="n">
        <v>0.1666666666666667</v>
      </c>
      <c r="U22" s="5" t="n">
        <v>0</v>
      </c>
      <c r="V22" s="5" t="n">
        <v>0</v>
      </c>
      <c r="W22" s="5" t="n">
        <v>0</v>
      </c>
      <c r="X22" s="5" t="n">
        <v>-0.5</v>
      </c>
      <c r="Y22" s="5" t="n">
        <v>0.125</v>
      </c>
      <c r="Z22" s="5" t="n">
        <v>0</v>
      </c>
      <c r="AA22" s="5" t="n">
        <v>-0.8333333333333333</v>
      </c>
      <c r="AB22" s="5" t="n">
        <v>0.5</v>
      </c>
      <c r="AC22" s="5" t="n">
        <v>0</v>
      </c>
      <c r="AD22" s="5" t="n">
        <v>-0.25</v>
      </c>
      <c r="AE22" s="5" t="n">
        <v>-0.25</v>
      </c>
      <c r="AF22" s="5" t="n">
        <v>-0.5</v>
      </c>
      <c r="AG22" s="5" t="n">
        <v>-0.5666666666666667</v>
      </c>
      <c r="AH22" s="5" t="n">
        <v>0</v>
      </c>
      <c r="AI22" s="5" t="n">
        <v>0.425</v>
      </c>
      <c r="AJ22" s="5" t="n">
        <v>0</v>
      </c>
      <c r="AK22" s="5" t="n">
        <v>0.425</v>
      </c>
      <c r="AL22" s="5" t="n">
        <v>0</v>
      </c>
      <c r="AM22" s="5" t="n">
        <v>0.255</v>
      </c>
      <c r="AN22" s="5" t="n">
        <v>0.425</v>
      </c>
      <c r="AO22" s="5" t="n">
        <v>0.2125</v>
      </c>
      <c r="AP22" s="5" t="n">
        <v>0</v>
      </c>
      <c r="AQ22" s="5" t="n">
        <v>0.5464285714285714</v>
      </c>
      <c r="AR22" s="5" t="n">
        <v>0.5464285714285714</v>
      </c>
      <c r="AS22" s="5" t="n">
        <v>1</v>
      </c>
      <c r="AT22" s="5" t="n">
        <v>-0.3035714285714285</v>
      </c>
      <c r="AU22" s="5" t="n">
        <v>-0.2833333333333333</v>
      </c>
      <c r="AV22" s="5" t="n">
        <v>0.5464285714285714</v>
      </c>
      <c r="AW22" s="5" t="n">
        <v>-0.31875</v>
      </c>
      <c r="AX22" s="5" t="n">
        <v>-0.6375</v>
      </c>
      <c r="AY22" s="5" t="n">
        <v>0.08500000000000008</v>
      </c>
      <c r="AZ22" s="5" t="n">
        <v>0.2833333333333333</v>
      </c>
      <c r="BA22" s="5" t="n">
        <v>-0.7650000000000001</v>
      </c>
      <c r="BB22" s="5" t="n">
        <v>-0.85</v>
      </c>
      <c r="BC22" s="5" t="n">
        <v>0.2833333333333333</v>
      </c>
      <c r="BD22" s="5" t="n">
        <v>0.5464285714285714</v>
      </c>
      <c r="BE22" s="5" t="n">
        <v>1</v>
      </c>
      <c r="BF22" s="5" t="n">
        <v>-0.7892857142857141</v>
      </c>
      <c r="BG22" s="5" t="n">
        <v>0.5464285714285714</v>
      </c>
      <c r="BH22" s="5" t="n">
        <v>-0.765</v>
      </c>
      <c r="BI22" s="5" t="n">
        <v>0.2833333333333334</v>
      </c>
      <c r="BJ22" s="5" t="n">
        <v>0.2125</v>
      </c>
      <c r="BK22" s="5" t="n">
        <v>-0.08499999999999998</v>
      </c>
      <c r="BL22" s="5" t="n">
        <v>-0.2833333333333333</v>
      </c>
      <c r="BM22" s="5" t="n">
        <v>-0.3035714285714285</v>
      </c>
      <c r="BN22" s="5" t="n">
        <v>0.425</v>
      </c>
      <c r="BO22" s="5" t="n">
        <v>0.2125</v>
      </c>
      <c r="BP22" s="5" t="n">
        <v>0.08499999999999998</v>
      </c>
      <c r="BQ22" s="5" t="n">
        <v>0.425</v>
      </c>
      <c r="BR22" s="5" t="n">
        <v>1</v>
      </c>
      <c r="BS22" s="5" t="n">
        <v>0.4249999999999999</v>
      </c>
      <c r="BT22" s="5" t="n">
        <v>-0.85</v>
      </c>
      <c r="BU22" s="5" t="n">
        <v>0.5950000000000001</v>
      </c>
      <c r="BV22" s="5" t="n">
        <v>0.7083333333333333</v>
      </c>
      <c r="BW22" s="5" t="n">
        <v>-0.85</v>
      </c>
      <c r="BX22" s="5" t="n">
        <v>-0.2691666666666667</v>
      </c>
      <c r="BY22" s="5" t="n">
        <v>0</v>
      </c>
      <c r="BZ22" s="5" t="n">
        <v>-0.425</v>
      </c>
      <c r="CA22" s="5" t="n">
        <v>0.2833333333333333</v>
      </c>
      <c r="CB22" s="5" t="n">
        <v>-1</v>
      </c>
      <c r="CC22" s="5" t="n">
        <v>0</v>
      </c>
      <c r="CD22" s="5" t="n">
        <v>-0.8306818181818182</v>
      </c>
      <c r="CE22" s="5" t="n">
        <v>1</v>
      </c>
    </row>
    <row r="23">
      <c r="A23" t="n">
        <v>19</v>
      </c>
      <c r="B23" t="inlineStr">
        <is>
          <t>灰人</t>
        </is>
      </c>
      <c r="C23" t="inlineStr">
        <is>
          <t>Zeta / Grey</t>
        </is>
      </c>
      <c r="D23" s="5" t="n">
        <v>-1</v>
      </c>
      <c r="E23" s="5" t="n">
        <v>-0.5</v>
      </c>
      <c r="F23" s="5" t="n">
        <v>-0.5</v>
      </c>
      <c r="G23" s="5" t="n">
        <v>1</v>
      </c>
      <c r="H23" s="5" t="n">
        <v>0.75</v>
      </c>
      <c r="I23" s="5" t="n">
        <v>0.75</v>
      </c>
      <c r="J23" s="5" t="n">
        <v>0.5</v>
      </c>
      <c r="K23" s="5" t="n">
        <v>0</v>
      </c>
      <c r="L23" s="5" t="n">
        <v>0</v>
      </c>
      <c r="M23" s="5" t="n">
        <v>0</v>
      </c>
      <c r="N23" s="5" t="n">
        <v>-1</v>
      </c>
      <c r="O23" s="5" t="n">
        <v>-0.5</v>
      </c>
      <c r="P23" s="5" t="n">
        <v>0.5</v>
      </c>
      <c r="Q23" s="5" t="n">
        <v>-0.5</v>
      </c>
      <c r="R23" s="5" t="n">
        <v>1</v>
      </c>
      <c r="S23" s="5" t="n">
        <v>-0.25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-0.125</v>
      </c>
      <c r="Z23" s="5" t="n">
        <v>-0.75</v>
      </c>
      <c r="AA23" s="5" t="n">
        <v>-0.5</v>
      </c>
      <c r="AB23" s="5" t="n">
        <v>0</v>
      </c>
      <c r="AC23" s="5" t="n">
        <v>0.25</v>
      </c>
      <c r="AD23" s="5" t="n">
        <v>0.25</v>
      </c>
      <c r="AE23" s="5" t="n">
        <v>0</v>
      </c>
      <c r="AF23" s="5" t="n">
        <v>0</v>
      </c>
      <c r="AG23" s="5" t="n">
        <v>-1</v>
      </c>
      <c r="AH23" s="5" t="n">
        <v>-0.425</v>
      </c>
      <c r="AI23" s="5" t="n">
        <v>0</v>
      </c>
      <c r="AJ23" s="5" t="n">
        <v>-0.2833333333333333</v>
      </c>
      <c r="AK23" s="5" t="n">
        <v>0.425</v>
      </c>
      <c r="AL23" s="5" t="n">
        <v>0</v>
      </c>
      <c r="AM23" s="5" t="n">
        <v>0.08499999999999998</v>
      </c>
      <c r="AN23" s="5" t="n">
        <v>0.1416666666666667</v>
      </c>
      <c r="AO23" s="5" t="n">
        <v>0</v>
      </c>
      <c r="AP23" s="5" t="n">
        <v>0.2125</v>
      </c>
      <c r="AQ23" s="5" t="n">
        <v>-0.3035714285714286</v>
      </c>
      <c r="AR23" s="5" t="n">
        <v>0.3035714285714285</v>
      </c>
      <c r="AS23" s="5" t="n">
        <v>0.425</v>
      </c>
      <c r="AT23" s="5" t="n">
        <v>0.1821428571428571</v>
      </c>
      <c r="AU23" s="5" t="n">
        <v>0.85</v>
      </c>
      <c r="AV23" s="5" t="n">
        <v>0.425</v>
      </c>
      <c r="AW23" s="5" t="n">
        <v>-0.85</v>
      </c>
      <c r="AX23" s="5" t="n">
        <v>-1</v>
      </c>
      <c r="AY23" s="5" t="n">
        <v>1</v>
      </c>
      <c r="AZ23" s="5" t="n">
        <v>0</v>
      </c>
      <c r="BA23" s="5" t="n">
        <v>0.7650000000000001</v>
      </c>
      <c r="BB23" s="5" t="n">
        <v>0.425</v>
      </c>
      <c r="BC23" s="5" t="n">
        <v>-0.8499999999999999</v>
      </c>
      <c r="BD23" s="5" t="n">
        <v>-0.7892857142857143</v>
      </c>
      <c r="BE23" s="5" t="n">
        <v>0.2125</v>
      </c>
      <c r="BF23" s="5" t="n">
        <v>1</v>
      </c>
      <c r="BG23" s="5" t="n">
        <v>-0.7892857142857143</v>
      </c>
      <c r="BH23" s="5" t="n">
        <v>0.4250000000000001</v>
      </c>
      <c r="BI23" s="5" t="n">
        <v>0.2833333333333334</v>
      </c>
      <c r="BJ23" s="5" t="n">
        <v>0</v>
      </c>
      <c r="BK23" s="5" t="n">
        <v>-0.425</v>
      </c>
      <c r="BL23" s="5" t="n">
        <v>4.718447854656915e-17</v>
      </c>
      <c r="BM23" s="5" t="n">
        <v>0.1821428571428571</v>
      </c>
      <c r="BN23" s="5" t="n">
        <v>0</v>
      </c>
      <c r="BO23" s="5" t="n">
        <v>0</v>
      </c>
      <c r="BP23" s="5" t="n">
        <v>0.08499999999999998</v>
      </c>
      <c r="BQ23" s="5" t="n">
        <v>0.765</v>
      </c>
      <c r="BR23" s="5" t="n">
        <v>-0.08499999999999998</v>
      </c>
      <c r="BS23" s="5" t="n">
        <v>0.9916666666666665</v>
      </c>
      <c r="BT23" s="5" t="n">
        <v>-0.85</v>
      </c>
      <c r="BU23" s="5" t="n">
        <v>-0.425</v>
      </c>
      <c r="BV23" s="5" t="n">
        <v>0.9916666666666665</v>
      </c>
      <c r="BW23" s="5" t="n">
        <v>0.5666666666666668</v>
      </c>
      <c r="BX23" s="5" t="n">
        <v>0.8641666666666666</v>
      </c>
      <c r="BY23" s="5" t="n">
        <v>0.425</v>
      </c>
      <c r="BZ23" s="5" t="n">
        <v>0</v>
      </c>
      <c r="CA23" s="5" t="n">
        <v>0.4249999999999999</v>
      </c>
      <c r="CB23" s="5" t="n">
        <v>-0.7589285714285712</v>
      </c>
      <c r="CC23" s="5" t="n">
        <v>0</v>
      </c>
      <c r="CD23" s="5" t="n">
        <v>0.9465909090909089</v>
      </c>
      <c r="CE23" s="5" t="n">
        <v>0.2125</v>
      </c>
    </row>
    <row r="24">
      <c r="A24" t="n">
        <v>20</v>
      </c>
      <c r="B24" t="inlineStr">
        <is>
          <t>阿努納奇</t>
        </is>
      </c>
      <c r="C24" t="inlineStr">
        <is>
          <t>Anunnaki / Nibiruan</t>
        </is>
      </c>
      <c r="D24" s="5" t="n">
        <v>-0.25</v>
      </c>
      <c r="E24" s="5" t="n">
        <v>0</v>
      </c>
      <c r="F24" s="5" t="n">
        <v>-0.75</v>
      </c>
      <c r="G24" s="5" t="n">
        <v>0</v>
      </c>
      <c r="H24" s="5" t="n">
        <v>0.75</v>
      </c>
      <c r="I24" s="5" t="n">
        <v>0.5</v>
      </c>
      <c r="J24" s="5" t="n">
        <v>1</v>
      </c>
      <c r="K24" s="5" t="n">
        <v>-0.5</v>
      </c>
      <c r="L24" s="5" t="n">
        <v>-0.5</v>
      </c>
      <c r="M24" s="5" t="n">
        <v>1</v>
      </c>
      <c r="N24" s="5" t="n">
        <v>0</v>
      </c>
      <c r="O24" s="5" t="n">
        <v>0.5</v>
      </c>
      <c r="P24" s="5" t="n">
        <v>0.5</v>
      </c>
      <c r="Q24" s="5" t="n">
        <v>-0.5</v>
      </c>
      <c r="R24" s="5" t="n">
        <v>0.5</v>
      </c>
      <c r="S24" s="5" t="n">
        <v>-0.5</v>
      </c>
      <c r="T24" s="5" t="n">
        <v>0.5</v>
      </c>
      <c r="U24" s="5" t="n">
        <v>0.75</v>
      </c>
      <c r="V24" s="5" t="n">
        <v>-0.5</v>
      </c>
      <c r="W24" s="5" t="n">
        <v>0</v>
      </c>
      <c r="X24" s="5" t="n">
        <v>0</v>
      </c>
      <c r="Y24" s="5" t="n">
        <v>-0.25</v>
      </c>
      <c r="Z24" s="5" t="n">
        <v>-0.75</v>
      </c>
      <c r="AA24" s="5" t="n">
        <v>-0.5</v>
      </c>
      <c r="AB24" s="5" t="n">
        <v>-0.25</v>
      </c>
      <c r="AC24" s="5" t="n">
        <v>0</v>
      </c>
      <c r="AD24" s="5" t="n">
        <v>0.75</v>
      </c>
      <c r="AE24" s="5" t="n">
        <v>-0.5</v>
      </c>
      <c r="AF24" s="5" t="n">
        <v>-0.3333333333333333</v>
      </c>
      <c r="AG24" s="5" t="n">
        <v>-0.5666666666666667</v>
      </c>
      <c r="AH24" s="5" t="n">
        <v>0</v>
      </c>
      <c r="AI24" s="5" t="n">
        <v>0.2125</v>
      </c>
      <c r="AJ24" s="5" t="n">
        <v>0</v>
      </c>
      <c r="AK24" s="5" t="n">
        <v>0.2125</v>
      </c>
      <c r="AL24" s="5" t="n">
        <v>0</v>
      </c>
      <c r="AM24" s="5" t="n">
        <v>0.255</v>
      </c>
      <c r="AN24" s="5" t="n">
        <v>0.425</v>
      </c>
      <c r="AO24" s="5" t="n">
        <v>0.6375</v>
      </c>
      <c r="AP24" s="5" t="n">
        <v>1</v>
      </c>
      <c r="AQ24" s="5" t="n">
        <v>0.1821428571428571</v>
      </c>
      <c r="AR24" s="5" t="n">
        <v>0.425</v>
      </c>
      <c r="AS24" s="5" t="n">
        <v>-0.85</v>
      </c>
      <c r="AT24" s="5" t="n">
        <v>-0.3035714285714285</v>
      </c>
      <c r="AU24" s="5" t="n">
        <v>-0.1416666666666666</v>
      </c>
      <c r="AV24" s="5" t="n">
        <v>-0.7892857142857143</v>
      </c>
      <c r="AW24" s="5" t="n">
        <v>0.10625</v>
      </c>
      <c r="AX24" s="5" t="n">
        <v>-0.425</v>
      </c>
      <c r="AY24" s="5" t="n">
        <v>0.255</v>
      </c>
      <c r="AZ24" s="5" t="n">
        <v>0.9916666666666667</v>
      </c>
      <c r="BA24" s="5" t="n">
        <v>0.255</v>
      </c>
      <c r="BB24" s="5" t="n">
        <v>1</v>
      </c>
      <c r="BC24" s="5" t="n">
        <v>0.425</v>
      </c>
      <c r="BD24" s="5" t="n">
        <v>-1</v>
      </c>
      <c r="BE24" s="5" t="n">
        <v>-0.425</v>
      </c>
      <c r="BF24" s="5" t="n">
        <v>0.4249999999999999</v>
      </c>
      <c r="BG24" s="5" t="n">
        <v>-1</v>
      </c>
      <c r="BH24" s="5" t="n">
        <v>0.765</v>
      </c>
      <c r="BI24" s="5" t="n">
        <v>0.7083333333333333</v>
      </c>
      <c r="BJ24" s="5" t="n">
        <v>0.6375</v>
      </c>
      <c r="BK24" s="5" t="n">
        <v>-0.425</v>
      </c>
      <c r="BL24" s="5" t="n">
        <v>-0.1416666666666666</v>
      </c>
      <c r="BM24" s="5" t="n">
        <v>-0.3035714285714285</v>
      </c>
      <c r="BN24" s="5" t="n">
        <v>-0.425</v>
      </c>
      <c r="BO24" s="5" t="n">
        <v>0.6375</v>
      </c>
      <c r="BP24" s="5" t="n">
        <v>-0.255</v>
      </c>
      <c r="BQ24" s="5" t="n">
        <v>0.2549999999999999</v>
      </c>
      <c r="BR24" s="5" t="n">
        <v>0.425</v>
      </c>
      <c r="BS24" s="5" t="n">
        <v>1</v>
      </c>
      <c r="BT24" s="5" t="n">
        <v>-0.85</v>
      </c>
      <c r="BU24" s="5" t="n">
        <v>0.255</v>
      </c>
      <c r="BV24" s="5" t="n">
        <v>0.4249999999999999</v>
      </c>
      <c r="BW24" s="5" t="n">
        <v>1</v>
      </c>
      <c r="BX24" s="5" t="n">
        <v>-0.04249999999999999</v>
      </c>
      <c r="BY24" s="5" t="n">
        <v>0</v>
      </c>
      <c r="BZ24" s="5" t="n">
        <v>-0.2125</v>
      </c>
      <c r="CA24" s="5" t="n">
        <v>0.5666666666666665</v>
      </c>
      <c r="CB24" s="5" t="n">
        <v>0.4553571428571427</v>
      </c>
      <c r="CC24" s="5" t="n">
        <v>0</v>
      </c>
      <c r="CD24" s="5" t="n">
        <v>-0.2897727272727273</v>
      </c>
      <c r="CE24" s="5" t="n">
        <v>-0.425</v>
      </c>
    </row>
    <row r="25">
      <c r="A25" t="n">
        <v>21</v>
      </c>
      <c r="B25" t="inlineStr">
        <is>
          <t>鯨魚座τ星人</t>
        </is>
      </c>
      <c r="C25" t="inlineStr">
        <is>
          <t>Tau Cetian</t>
        </is>
      </c>
      <c r="D25" s="5" t="n">
        <v>0</v>
      </c>
      <c r="E25" s="5" t="n">
        <v>0</v>
      </c>
      <c r="F25" s="5" t="n">
        <v>-0.25</v>
      </c>
      <c r="G25" s="5" t="n">
        <v>0</v>
      </c>
      <c r="H25" s="5" t="n">
        <v>0.25</v>
      </c>
      <c r="I25" s="5" t="n">
        <v>0.25</v>
      </c>
      <c r="J25" s="5" t="n">
        <v>0.5</v>
      </c>
      <c r="K25" s="5" t="n">
        <v>0</v>
      </c>
      <c r="L25" s="5" t="n">
        <v>0</v>
      </c>
      <c r="M25" s="5" t="n">
        <v>-0.5</v>
      </c>
      <c r="N25" s="5" t="n">
        <v>0</v>
      </c>
      <c r="O25" s="5" t="n">
        <v>-0.5</v>
      </c>
      <c r="P25" s="5" t="n">
        <v>-0.5</v>
      </c>
      <c r="Q25" s="5" t="n">
        <v>1</v>
      </c>
      <c r="R25" s="5" t="n">
        <v>0.5</v>
      </c>
      <c r="S25" s="5" t="n">
        <v>-0.25</v>
      </c>
      <c r="T25" s="5" t="n">
        <v>0</v>
      </c>
      <c r="U25" s="5" t="n">
        <v>0</v>
      </c>
      <c r="V25" s="5" t="n">
        <v>0.25</v>
      </c>
      <c r="W25" s="5" t="n">
        <v>0</v>
      </c>
      <c r="X25" s="5" t="n">
        <v>1</v>
      </c>
      <c r="Y25" s="5" t="n">
        <v>0</v>
      </c>
      <c r="Z25" s="5" t="n">
        <v>-0.25</v>
      </c>
      <c r="AA25" s="5" t="n">
        <v>0.1666666666666667</v>
      </c>
      <c r="AB25" s="5" t="n">
        <v>0</v>
      </c>
      <c r="AC25" s="5" t="n">
        <v>0.5</v>
      </c>
      <c r="AD25" s="5" t="n">
        <v>0.25</v>
      </c>
      <c r="AE25" s="5" t="n">
        <v>0</v>
      </c>
      <c r="AF25" s="5" t="n">
        <v>0.8333333333333333</v>
      </c>
      <c r="AG25" s="5" t="n">
        <v>-0.5666666666666667</v>
      </c>
      <c r="AH25" s="5" t="n">
        <v>0</v>
      </c>
      <c r="AI25" s="5" t="n">
        <v>0</v>
      </c>
      <c r="AJ25" s="5" t="n">
        <v>0.2833333333333333</v>
      </c>
      <c r="AK25" s="5" t="n">
        <v>0</v>
      </c>
      <c r="AL25" s="5" t="n">
        <v>0.2833333333333333</v>
      </c>
      <c r="AM25" s="5" t="n">
        <v>0.425</v>
      </c>
      <c r="AN25" s="5" t="n">
        <v>0.1416666666666667</v>
      </c>
      <c r="AO25" s="5" t="n">
        <v>-0.2125</v>
      </c>
      <c r="AP25" s="5" t="n">
        <v>0.2125</v>
      </c>
      <c r="AQ25" s="5" t="n">
        <v>0.6678571428571427</v>
      </c>
      <c r="AR25" s="5" t="n">
        <v>-0.1821428571428571</v>
      </c>
      <c r="AS25" s="5" t="n">
        <v>0.85</v>
      </c>
      <c r="AT25" s="5" t="n">
        <v>-0.06071428571428573</v>
      </c>
      <c r="AU25" s="5" t="n">
        <v>0.5666666666666668</v>
      </c>
      <c r="AV25" s="5" t="n">
        <v>-0.06071428571428569</v>
      </c>
      <c r="AW25" s="5" t="n">
        <v>0.2125</v>
      </c>
      <c r="AX25" s="5" t="n">
        <v>0</v>
      </c>
      <c r="AY25" s="5" t="n">
        <v>-0.425</v>
      </c>
      <c r="AZ25" s="5" t="n">
        <v>-0.1416666666666667</v>
      </c>
      <c r="BA25" s="5" t="n">
        <v>0.08499999999999998</v>
      </c>
      <c r="BB25" s="5" t="n">
        <v>0</v>
      </c>
      <c r="BC25" s="5" t="n">
        <v>-0.1416666666666667</v>
      </c>
      <c r="BD25" s="5" t="n">
        <v>-0.6678571428571427</v>
      </c>
      <c r="BE25" s="5" t="n">
        <v>0.2125</v>
      </c>
      <c r="BF25" s="5" t="n">
        <v>0.3035714285714285</v>
      </c>
      <c r="BG25" s="5" t="n">
        <v>-0.6678571428571427</v>
      </c>
      <c r="BH25" s="5" t="n">
        <v>0.08500000000000002</v>
      </c>
      <c r="BI25" s="5" t="n">
        <v>-0.7083333333333333</v>
      </c>
      <c r="BJ25" s="5" t="n">
        <v>-0.2125</v>
      </c>
      <c r="BK25" s="5" t="n">
        <v>-0.9350000000000001</v>
      </c>
      <c r="BL25" s="5" t="n">
        <v>-0.7083333333333333</v>
      </c>
      <c r="BM25" s="5" t="n">
        <v>-0.06071428571428573</v>
      </c>
      <c r="BN25" s="5" t="n">
        <v>-0.425</v>
      </c>
      <c r="BO25" s="5" t="n">
        <v>-0.2125</v>
      </c>
      <c r="BP25" s="5" t="n">
        <v>-0.7650000000000001</v>
      </c>
      <c r="BQ25" s="5" t="n">
        <v>0.765</v>
      </c>
      <c r="BR25" s="5" t="n">
        <v>0.08499999999999998</v>
      </c>
      <c r="BS25" s="5" t="n">
        <v>0.9916666666666665</v>
      </c>
      <c r="BT25" s="5" t="n">
        <v>-0.85</v>
      </c>
      <c r="BU25" s="5" t="n">
        <v>0.9350000000000001</v>
      </c>
      <c r="BV25" s="5" t="n">
        <v>-0.7083333333333333</v>
      </c>
      <c r="BW25" s="5" t="n">
        <v>0</v>
      </c>
      <c r="BX25" s="5" t="n">
        <v>-0.1558333333333333</v>
      </c>
      <c r="BY25" s="5" t="n">
        <v>0</v>
      </c>
      <c r="BZ25" s="5" t="n">
        <v>0</v>
      </c>
      <c r="CA25" s="5" t="n">
        <v>-0.7083333333333333</v>
      </c>
      <c r="CB25" s="5" t="n">
        <v>-1</v>
      </c>
      <c r="CC25" s="5" t="n">
        <v>0</v>
      </c>
      <c r="CD25" s="5" t="n">
        <v>0.01931818181818175</v>
      </c>
      <c r="CE25" s="5" t="n">
        <v>0.2125</v>
      </c>
    </row>
    <row r="26">
      <c r="A26" t="n">
        <v>22</v>
      </c>
      <c r="B26" t="inlineStr">
        <is>
          <t>安塔瑞斯星人</t>
        </is>
      </c>
      <c r="C26" t="inlineStr">
        <is>
          <t>Antarian</t>
        </is>
      </c>
      <c r="D26" s="5" t="n">
        <v>-0.25</v>
      </c>
      <c r="E26" s="5" t="n">
        <v>0</v>
      </c>
      <c r="F26" s="5" t="n">
        <v>-0.5</v>
      </c>
      <c r="G26" s="5" t="n">
        <v>0</v>
      </c>
      <c r="H26" s="5" t="n">
        <v>0.5</v>
      </c>
      <c r="I26" s="5" t="n">
        <v>0.5</v>
      </c>
      <c r="J26" s="5" t="n">
        <v>0.5</v>
      </c>
      <c r="K26" s="5" t="n">
        <v>0</v>
      </c>
      <c r="L26" s="5" t="n">
        <v>0</v>
      </c>
      <c r="M26" s="5" t="n">
        <v>0</v>
      </c>
      <c r="N26" s="5" t="n">
        <v>-0.5</v>
      </c>
      <c r="O26" s="5" t="n">
        <v>0.5</v>
      </c>
      <c r="P26" s="5" t="n">
        <v>1</v>
      </c>
      <c r="Q26" s="5" t="n">
        <v>0</v>
      </c>
      <c r="R26" s="5" t="n">
        <v>1</v>
      </c>
      <c r="S26" s="5" t="n">
        <v>-0.25</v>
      </c>
      <c r="T26" s="5" t="n">
        <v>0.3333333333333333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-0.125</v>
      </c>
      <c r="Z26" s="5" t="n">
        <v>-0.25</v>
      </c>
      <c r="AA26" s="5" t="n">
        <v>-0.8333333333333333</v>
      </c>
      <c r="AB26" s="5" t="n">
        <v>0.5</v>
      </c>
      <c r="AC26" s="5" t="n">
        <v>0.25</v>
      </c>
      <c r="AD26" s="5" t="n">
        <v>0.25</v>
      </c>
      <c r="AE26" s="5" t="n">
        <v>-0.5</v>
      </c>
      <c r="AF26" s="5" t="n">
        <v>-0.1666666666666667</v>
      </c>
      <c r="AG26" s="5" t="n">
        <v>-1</v>
      </c>
      <c r="AH26" s="5" t="n">
        <v>0</v>
      </c>
      <c r="AI26" s="5" t="n">
        <v>0.2125</v>
      </c>
      <c r="AJ26" s="5" t="n">
        <v>0</v>
      </c>
      <c r="AK26" s="5" t="n">
        <v>0.2125</v>
      </c>
      <c r="AL26" s="5" t="n">
        <v>0</v>
      </c>
      <c r="AM26" s="5" t="n">
        <v>0.425</v>
      </c>
      <c r="AN26" s="5" t="n">
        <v>0.7083333333333333</v>
      </c>
      <c r="AO26" s="5" t="n">
        <v>0.425</v>
      </c>
      <c r="AP26" s="5" t="n">
        <v>0.2125</v>
      </c>
      <c r="AQ26" s="5" t="n">
        <v>-0.3035714285714286</v>
      </c>
      <c r="AR26" s="5" t="n">
        <v>0.3035714285714285</v>
      </c>
      <c r="AS26" s="5" t="n">
        <v>0.425</v>
      </c>
      <c r="AT26" s="5" t="n">
        <v>0.1821428571428571</v>
      </c>
      <c r="AU26" s="5" t="n">
        <v>0.2833333333333334</v>
      </c>
      <c r="AV26" s="5" t="n">
        <v>0.06071428571428573</v>
      </c>
      <c r="AW26" s="5" t="n">
        <v>-0.9562499999999999</v>
      </c>
      <c r="AX26" s="5" t="n">
        <v>-1</v>
      </c>
      <c r="AY26" s="5" t="n">
        <v>1</v>
      </c>
      <c r="AZ26" s="5" t="n">
        <v>0.2833333333333333</v>
      </c>
      <c r="BA26" s="5" t="n">
        <v>0.425</v>
      </c>
      <c r="BB26" s="5" t="n">
        <v>0.425</v>
      </c>
      <c r="BC26" s="5" t="n">
        <v>-0.7083333333333334</v>
      </c>
      <c r="BD26" s="5" t="n">
        <v>-0.7892857142857143</v>
      </c>
      <c r="BE26" s="5" t="n">
        <v>0.6375</v>
      </c>
      <c r="BF26" s="5" t="n">
        <v>0.7892857142857141</v>
      </c>
      <c r="BG26" s="5" t="n">
        <v>-0.7892857142857143</v>
      </c>
      <c r="BH26" s="5" t="n">
        <v>0.255</v>
      </c>
      <c r="BI26" s="5" t="n">
        <v>0.1416666666666667</v>
      </c>
      <c r="BJ26" s="5" t="n">
        <v>0.425</v>
      </c>
      <c r="BK26" s="5" t="n">
        <v>-0.08499999999999998</v>
      </c>
      <c r="BL26" s="5" t="n">
        <v>-0.2833333333333333</v>
      </c>
      <c r="BM26" s="5" t="n">
        <v>0.1821428571428571</v>
      </c>
      <c r="BN26" s="5" t="n">
        <v>0</v>
      </c>
      <c r="BO26" s="5" t="n">
        <v>0.425</v>
      </c>
      <c r="BP26" s="5" t="n">
        <v>-0.255</v>
      </c>
      <c r="BQ26" s="5" t="n">
        <v>0.425</v>
      </c>
      <c r="BR26" s="5" t="n">
        <v>0.2549999999999999</v>
      </c>
      <c r="BS26" s="5" t="n">
        <v>0.9916666666666665</v>
      </c>
      <c r="BT26" s="5" t="n">
        <v>-0.85</v>
      </c>
      <c r="BU26" s="5" t="n">
        <v>-0.425</v>
      </c>
      <c r="BV26" s="5" t="n">
        <v>1</v>
      </c>
      <c r="BW26" s="5" t="n">
        <v>0.5666666666666668</v>
      </c>
      <c r="BX26" s="5" t="n">
        <v>-0.1558333333333333</v>
      </c>
      <c r="BY26" s="5" t="n">
        <v>0</v>
      </c>
      <c r="BZ26" s="5" t="n">
        <v>-0.2125</v>
      </c>
      <c r="CA26" s="5" t="n">
        <v>0.2833333333333333</v>
      </c>
      <c r="CB26" s="5" t="n">
        <v>-0.7589285714285712</v>
      </c>
      <c r="CC26" s="5" t="n">
        <v>0</v>
      </c>
      <c r="CD26" s="5" t="n">
        <v>0.7147727272727272</v>
      </c>
      <c r="CE26" s="5" t="n">
        <v>0.6375</v>
      </c>
    </row>
    <row r="27">
      <c r="A27" t="n">
        <v>23</v>
      </c>
      <c r="B27" t="inlineStr">
        <is>
          <t>地球源靈魂</t>
        </is>
      </c>
      <c r="C27" t="inlineStr">
        <is>
          <t>Earth-Origin Soul</t>
        </is>
      </c>
      <c r="D27" s="5" t="n">
        <v>0</v>
      </c>
      <c r="E27" s="5" t="n">
        <v>0.5</v>
      </c>
      <c r="F27" s="5" t="n">
        <v>0</v>
      </c>
      <c r="G27" s="5" t="n">
        <v>0</v>
      </c>
      <c r="H27" s="5" t="n">
        <v>0</v>
      </c>
      <c r="I27" s="5" t="n">
        <v>0.25</v>
      </c>
      <c r="J27" s="5" t="n">
        <v>-0.5</v>
      </c>
      <c r="K27" s="5" t="n">
        <v>-1</v>
      </c>
      <c r="L27" s="5" t="n">
        <v>-0.5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0.5</v>
      </c>
      <c r="R27" s="5" t="n">
        <v>0.5</v>
      </c>
      <c r="S27" s="5" t="n">
        <v>0.25</v>
      </c>
      <c r="T27" s="5" t="n">
        <v>0.6666666666666666</v>
      </c>
      <c r="U27" s="5" t="n">
        <v>1</v>
      </c>
      <c r="V27" s="5" t="n">
        <v>-0.5</v>
      </c>
      <c r="W27" s="5" t="n">
        <v>1</v>
      </c>
      <c r="X27" s="5" t="n">
        <v>0</v>
      </c>
      <c r="Y27" s="5" t="n">
        <v>0.625</v>
      </c>
      <c r="Z27" s="5" t="n">
        <v>0.5</v>
      </c>
      <c r="AA27" s="5" t="n">
        <v>-0.1666666666666667</v>
      </c>
      <c r="AB27" s="5" t="n">
        <v>-0.25</v>
      </c>
      <c r="AC27" s="5" t="n">
        <v>0</v>
      </c>
      <c r="AD27" s="5" t="n">
        <v>0.75</v>
      </c>
      <c r="AE27" s="5" t="n">
        <v>-0.5</v>
      </c>
      <c r="AF27" s="5" t="n">
        <v>0.1666666666666667</v>
      </c>
      <c r="AG27" s="5" t="n">
        <v>-0.5666666666666667</v>
      </c>
      <c r="AH27" s="5" t="n">
        <v>0</v>
      </c>
      <c r="AI27" s="5" t="n">
        <v>0</v>
      </c>
      <c r="AJ27" s="5" t="n">
        <v>0.85</v>
      </c>
      <c r="AK27" s="5" t="n">
        <v>0</v>
      </c>
      <c r="AL27" s="5" t="n">
        <v>0.85</v>
      </c>
      <c r="AM27" s="5" t="n">
        <v>1</v>
      </c>
      <c r="AN27" s="5" t="n">
        <v>0.425</v>
      </c>
      <c r="AO27" s="5" t="n">
        <v>-0.2125</v>
      </c>
      <c r="AP27" s="5" t="n">
        <v>1</v>
      </c>
      <c r="AQ27" s="5" t="n">
        <v>0.3035714285714285</v>
      </c>
      <c r="AR27" s="5" t="n">
        <v>0.7892857142857141</v>
      </c>
      <c r="AS27" s="5" t="n">
        <v>1</v>
      </c>
      <c r="AT27" s="5" t="n">
        <v>0.4249999999999999</v>
      </c>
      <c r="AU27" s="5" t="n">
        <v>0.425</v>
      </c>
      <c r="AV27" s="5" t="n">
        <v>0.3035714285714285</v>
      </c>
      <c r="AW27" s="5" t="n">
        <v>0.31875</v>
      </c>
      <c r="AX27" s="5" t="n">
        <v>-0.2125</v>
      </c>
      <c r="AY27" s="5" t="n">
        <v>-0.08499999999999998</v>
      </c>
      <c r="AZ27" s="5" t="n">
        <v>1</v>
      </c>
      <c r="BA27" s="5" t="n">
        <v>-0.08500000000000002</v>
      </c>
      <c r="BB27" s="5" t="n">
        <v>0.425</v>
      </c>
      <c r="BC27" s="5" t="n">
        <v>-2.359223927328458e-17</v>
      </c>
      <c r="BD27" s="5" t="n">
        <v>-0.1821428571428572</v>
      </c>
      <c r="BE27" s="5" t="n">
        <v>0.6375</v>
      </c>
      <c r="BF27" s="5" t="n">
        <v>0.1821428571428571</v>
      </c>
      <c r="BG27" s="5" t="n">
        <v>-0.1821428571428572</v>
      </c>
      <c r="BH27" s="5" t="n">
        <v>0.255</v>
      </c>
      <c r="BI27" s="5" t="n">
        <v>0.5666666666666668</v>
      </c>
      <c r="BJ27" s="5" t="n">
        <v>-0.2125</v>
      </c>
      <c r="BK27" s="5" t="n">
        <v>-0.765</v>
      </c>
      <c r="BL27" s="5" t="n">
        <v>-1</v>
      </c>
      <c r="BM27" s="5" t="n">
        <v>0.4249999999999999</v>
      </c>
      <c r="BN27" s="5" t="n">
        <v>-0.425</v>
      </c>
      <c r="BO27" s="5" t="n">
        <v>-0.2125</v>
      </c>
      <c r="BP27" s="5" t="n">
        <v>-1</v>
      </c>
      <c r="BQ27" s="5" t="n">
        <v>-0.5950000000000001</v>
      </c>
      <c r="BR27" s="5" t="n">
        <v>0.9350000000000001</v>
      </c>
      <c r="BS27" s="5" t="n">
        <v>-0.7083333333333333</v>
      </c>
      <c r="BT27" s="5" t="n">
        <v>-1</v>
      </c>
      <c r="BU27" s="5" t="n">
        <v>0.5950000000000001</v>
      </c>
      <c r="BV27" s="5" t="n">
        <v>-0.1416666666666667</v>
      </c>
      <c r="BW27" s="5" t="n">
        <v>0.2833333333333333</v>
      </c>
      <c r="BX27" s="5" t="n">
        <v>-0.4958333333333332</v>
      </c>
      <c r="BY27" s="5" t="n">
        <v>0</v>
      </c>
      <c r="BZ27" s="5" t="n">
        <v>0</v>
      </c>
      <c r="CA27" s="5" t="n">
        <v>0.5666666666666665</v>
      </c>
      <c r="CB27" s="5" t="n">
        <v>-1</v>
      </c>
      <c r="CC27" s="5" t="n">
        <v>1</v>
      </c>
      <c r="CD27" s="5" t="n">
        <v>-0.05795454545454545</v>
      </c>
      <c r="CE27" s="5" t="n">
        <v>0.6375</v>
      </c>
    </row>
  </sheetData>
  <mergeCells count="2">
    <mergeCell ref="A1:CE1"/>
    <mergeCell ref="A2:C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E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 ht="30" customHeight="1">
      <c r="A1" s="1" t="inlineStr">
        <is>
          <t>FORMAL — v4 23×80 Expected Canonical Codebook</t>
        </is>
      </c>
    </row>
    <row r="2" ht="38" customHeight="1">
      <c r="A2" s="2" t="inlineStr">
        <is>
          <t>Canonical expected response values -3…+3. Positive means Pole A. This is the source of truth for the next scoring-weight rebuild.</t>
        </is>
      </c>
    </row>
    <row r="3"/>
    <row r="4">
      <c r="A4" s="3" t="inlineStr">
        <is>
          <t>#</t>
        </is>
      </c>
      <c r="B4" s="3" t="inlineStr">
        <is>
          <t>中文</t>
        </is>
      </c>
      <c r="C4" s="3" t="inlineStr">
        <is>
          <t>English</t>
        </is>
      </c>
      <c r="D4" s="3" t="inlineStr">
        <is>
          <t>G01</t>
        </is>
      </c>
      <c r="E4" s="3" t="inlineStr">
        <is>
          <t>G02</t>
        </is>
      </c>
      <c r="F4" s="3" t="inlineStr">
        <is>
          <t>G03</t>
        </is>
      </c>
      <c r="G4" s="3" t="inlineStr">
        <is>
          <t>G04</t>
        </is>
      </c>
      <c r="H4" s="3" t="inlineStr">
        <is>
          <t>G05</t>
        </is>
      </c>
      <c r="I4" s="3" t="inlineStr">
        <is>
          <t>G06</t>
        </is>
      </c>
      <c r="J4" s="3" t="inlineStr">
        <is>
          <t>G07</t>
        </is>
      </c>
      <c r="K4" s="3" t="inlineStr">
        <is>
          <t>G08</t>
        </is>
      </c>
      <c r="L4" s="3" t="inlineStr">
        <is>
          <t>G09</t>
        </is>
      </c>
      <c r="M4" s="3" t="inlineStr">
        <is>
          <t>G10</t>
        </is>
      </c>
      <c r="N4" s="3" t="inlineStr">
        <is>
          <t>G11</t>
        </is>
      </c>
      <c r="O4" s="3" t="inlineStr">
        <is>
          <t>G12</t>
        </is>
      </c>
      <c r="P4" s="3" t="inlineStr">
        <is>
          <t>G13</t>
        </is>
      </c>
      <c r="Q4" s="3" t="inlineStr">
        <is>
          <t>G14</t>
        </is>
      </c>
      <c r="R4" s="3" t="inlineStr">
        <is>
          <t>G15</t>
        </is>
      </c>
      <c r="S4" s="3" t="inlineStr">
        <is>
          <t>G16</t>
        </is>
      </c>
      <c r="T4" s="3" t="inlineStr">
        <is>
          <t>G17</t>
        </is>
      </c>
      <c r="U4" s="3" t="inlineStr">
        <is>
          <t>G18</t>
        </is>
      </c>
      <c r="V4" s="3" t="inlineStr">
        <is>
          <t>G19</t>
        </is>
      </c>
      <c r="W4" s="3" t="inlineStr">
        <is>
          <t>G20</t>
        </is>
      </c>
      <c r="X4" s="3" t="inlineStr">
        <is>
          <t>G21</t>
        </is>
      </c>
      <c r="Y4" s="3" t="inlineStr">
        <is>
          <t>G22</t>
        </is>
      </c>
      <c r="Z4" s="3" t="inlineStr">
        <is>
          <t>G23</t>
        </is>
      </c>
      <c r="AA4" s="3" t="inlineStr">
        <is>
          <t>G24</t>
        </is>
      </c>
      <c r="AB4" s="3" t="inlineStr">
        <is>
          <t>G25</t>
        </is>
      </c>
      <c r="AC4" s="3" t="inlineStr">
        <is>
          <t>G26</t>
        </is>
      </c>
      <c r="AD4" s="3" t="inlineStr">
        <is>
          <t>G27</t>
        </is>
      </c>
      <c r="AE4" s="3" t="inlineStr">
        <is>
          <t>G28</t>
        </is>
      </c>
      <c r="AF4" s="3" t="inlineStr">
        <is>
          <t>G29</t>
        </is>
      </c>
      <c r="AG4" s="3" t="inlineStr">
        <is>
          <t>G30</t>
        </is>
      </c>
      <c r="AH4" s="3" t="inlineStr">
        <is>
          <t>L01</t>
        </is>
      </c>
      <c r="AI4" s="3" t="inlineStr">
        <is>
          <t>L02</t>
        </is>
      </c>
      <c r="AJ4" s="3" t="inlineStr">
        <is>
          <t>L03</t>
        </is>
      </c>
      <c r="AK4" s="3" t="inlineStr">
        <is>
          <t>L04</t>
        </is>
      </c>
      <c r="AL4" s="3" t="inlineStr">
        <is>
          <t>L05</t>
        </is>
      </c>
      <c r="AM4" s="3" t="inlineStr">
        <is>
          <t>L06</t>
        </is>
      </c>
      <c r="AN4" s="3" t="inlineStr">
        <is>
          <t>L07</t>
        </is>
      </c>
      <c r="AO4" s="3" t="inlineStr">
        <is>
          <t>L08</t>
        </is>
      </c>
      <c r="AP4" s="3" t="inlineStr">
        <is>
          <t>L09</t>
        </is>
      </c>
      <c r="AQ4" s="3" t="inlineStr">
        <is>
          <t>L10</t>
        </is>
      </c>
      <c r="AR4" s="3" t="inlineStr">
        <is>
          <t>L11</t>
        </is>
      </c>
      <c r="AS4" s="3" t="inlineStr">
        <is>
          <t>L12</t>
        </is>
      </c>
      <c r="AT4" s="3" t="inlineStr">
        <is>
          <t>L13</t>
        </is>
      </c>
      <c r="AU4" s="3" t="inlineStr">
        <is>
          <t>L14</t>
        </is>
      </c>
      <c r="AV4" s="3" t="inlineStr">
        <is>
          <t>L15</t>
        </is>
      </c>
      <c r="AW4" s="3" t="inlineStr">
        <is>
          <t>L16</t>
        </is>
      </c>
      <c r="AX4" s="3" t="inlineStr">
        <is>
          <t>L17</t>
        </is>
      </c>
      <c r="AY4" s="3" t="inlineStr">
        <is>
          <t>L18</t>
        </is>
      </c>
      <c r="AZ4" s="3" t="inlineStr">
        <is>
          <t>L19</t>
        </is>
      </c>
      <c r="BA4" s="3" t="inlineStr">
        <is>
          <t>L20</t>
        </is>
      </c>
      <c r="BB4" s="3" t="inlineStr">
        <is>
          <t>L21</t>
        </is>
      </c>
      <c r="BC4" s="3" t="inlineStr">
        <is>
          <t>L22</t>
        </is>
      </c>
      <c r="BD4" s="3" t="inlineStr">
        <is>
          <t>L23</t>
        </is>
      </c>
      <c r="BE4" s="3" t="inlineStr">
        <is>
          <t>L24</t>
        </is>
      </c>
      <c r="BF4" s="3" t="inlineStr">
        <is>
          <t>L25</t>
        </is>
      </c>
      <c r="BG4" s="3" t="inlineStr">
        <is>
          <t>L26</t>
        </is>
      </c>
      <c r="BH4" s="3" t="inlineStr">
        <is>
          <t>L27</t>
        </is>
      </c>
      <c r="BI4" s="3" t="inlineStr">
        <is>
          <t>L28</t>
        </is>
      </c>
      <c r="BJ4" s="3" t="inlineStr">
        <is>
          <t>L29</t>
        </is>
      </c>
      <c r="BK4" s="3" t="inlineStr">
        <is>
          <t>L30</t>
        </is>
      </c>
      <c r="BL4" s="3" t="inlineStr">
        <is>
          <t>L31</t>
        </is>
      </c>
      <c r="BM4" s="3" t="inlineStr">
        <is>
          <t>L32</t>
        </is>
      </c>
      <c r="BN4" s="3" t="inlineStr">
        <is>
          <t>L33</t>
        </is>
      </c>
      <c r="BO4" s="3" t="inlineStr">
        <is>
          <t>L34</t>
        </is>
      </c>
      <c r="BP4" s="3" t="inlineStr">
        <is>
          <t>L35</t>
        </is>
      </c>
      <c r="BQ4" s="3" t="inlineStr">
        <is>
          <t>L36</t>
        </is>
      </c>
      <c r="BR4" s="3" t="inlineStr">
        <is>
          <t>L37</t>
        </is>
      </c>
      <c r="BS4" s="3" t="inlineStr">
        <is>
          <t>L38</t>
        </is>
      </c>
      <c r="BT4" s="3" t="inlineStr">
        <is>
          <t>A01</t>
        </is>
      </c>
      <c r="BU4" s="3" t="inlineStr">
        <is>
          <t>A02</t>
        </is>
      </c>
      <c r="BV4" s="3" t="inlineStr">
        <is>
          <t>A03</t>
        </is>
      </c>
      <c r="BW4" s="3" t="inlineStr">
        <is>
          <t>A04</t>
        </is>
      </c>
      <c r="BX4" s="3" t="inlineStr">
        <is>
          <t>A05</t>
        </is>
      </c>
      <c r="BY4" s="3" t="inlineStr">
        <is>
          <t>A06</t>
        </is>
      </c>
      <c r="BZ4" s="3" t="inlineStr">
        <is>
          <t>A07</t>
        </is>
      </c>
      <c r="CA4" s="3" t="inlineStr">
        <is>
          <t>A08</t>
        </is>
      </c>
      <c r="CB4" s="3" t="inlineStr">
        <is>
          <t>A09</t>
        </is>
      </c>
      <c r="CC4" s="3" t="inlineStr">
        <is>
          <t>A10</t>
        </is>
      </c>
      <c r="CD4" s="3" t="inlineStr">
        <is>
          <t>A11</t>
        </is>
      </c>
      <c r="CE4" s="3" t="inlineStr">
        <is>
          <t>A12</t>
        </is>
      </c>
    </row>
    <row r="5">
      <c r="A5" t="n">
        <v>1</v>
      </c>
      <c r="B5" t="inlineStr">
        <is>
          <t>昴宿星人</t>
        </is>
      </c>
      <c r="C5" t="inlineStr">
        <is>
          <t>Pleiadian</t>
        </is>
      </c>
      <c r="D5" s="7" t="n">
        <v>3</v>
      </c>
      <c r="E5" s="7" t="n">
        <v>1</v>
      </c>
      <c r="F5" s="7" t="n">
        <v>1</v>
      </c>
      <c r="G5" s="7" t="n">
        <v>-2</v>
      </c>
      <c r="H5" s="7" t="n">
        <v>-3</v>
      </c>
      <c r="I5" s="7" t="n">
        <v>1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-2</v>
      </c>
      <c r="O5" s="7" t="n">
        <v>-3</v>
      </c>
      <c r="P5" s="7" t="n">
        <v>-2</v>
      </c>
      <c r="Q5" s="7" t="n">
        <v>2</v>
      </c>
      <c r="R5" s="7" t="n">
        <v>-2</v>
      </c>
      <c r="S5" s="7" t="n">
        <v>3</v>
      </c>
      <c r="T5" s="7" t="n">
        <v>0</v>
      </c>
      <c r="U5" s="7" t="n">
        <v>0</v>
      </c>
      <c r="V5" s="7" t="n">
        <v>1</v>
      </c>
      <c r="W5" s="7" t="n">
        <v>0</v>
      </c>
      <c r="X5" s="7" t="n">
        <v>0</v>
      </c>
      <c r="Y5" s="7" t="n">
        <v>0</v>
      </c>
      <c r="Z5" s="7" t="n">
        <v>1</v>
      </c>
      <c r="AA5" s="7" t="n">
        <v>2</v>
      </c>
      <c r="AB5" s="7" t="n">
        <v>0</v>
      </c>
      <c r="AC5" s="7" t="n">
        <v>-1</v>
      </c>
      <c r="AD5" s="7" t="n">
        <v>0</v>
      </c>
      <c r="AE5" s="7" t="n">
        <v>0</v>
      </c>
      <c r="AF5" s="7" t="n">
        <v>2</v>
      </c>
      <c r="AG5" s="7" t="n">
        <v>-3</v>
      </c>
      <c r="AH5" s="8" t="n">
        <v>3</v>
      </c>
      <c r="AI5" s="8" t="n">
        <v>2</v>
      </c>
      <c r="AJ5" s="8" t="n">
        <v>3</v>
      </c>
      <c r="AK5" s="8" t="n">
        <v>-1</v>
      </c>
      <c r="AL5" s="8" t="n">
        <v>1</v>
      </c>
      <c r="AM5" s="8" t="n">
        <v>2</v>
      </c>
      <c r="AN5" s="8" t="n">
        <v>2</v>
      </c>
      <c r="AO5" s="8" t="n">
        <v>1</v>
      </c>
      <c r="AP5" s="8" t="n">
        <v>2</v>
      </c>
      <c r="AQ5" s="8" t="n">
        <v>3</v>
      </c>
      <c r="AR5" s="8" t="n">
        <v>-2</v>
      </c>
      <c r="AS5" s="8" t="n">
        <v>3</v>
      </c>
      <c r="AT5" s="8" t="n">
        <v>0</v>
      </c>
      <c r="AU5" s="8" t="n">
        <v>2</v>
      </c>
      <c r="AV5" s="8" t="n">
        <v>-1</v>
      </c>
      <c r="AW5" s="8" t="n">
        <v>0</v>
      </c>
      <c r="AX5" s="8" t="n">
        <v>-2</v>
      </c>
      <c r="AY5" s="8" t="n">
        <v>0</v>
      </c>
      <c r="AZ5" s="8" t="n">
        <v>0</v>
      </c>
      <c r="BA5" s="8" t="n">
        <v>0</v>
      </c>
      <c r="BB5" s="8" t="n">
        <v>-2</v>
      </c>
      <c r="BC5" s="8" t="n">
        <v>0</v>
      </c>
      <c r="BD5" s="8" t="n">
        <v>1</v>
      </c>
      <c r="BE5" s="8" t="n">
        <v>3</v>
      </c>
      <c r="BF5" s="8" t="n">
        <v>-1</v>
      </c>
      <c r="BG5" s="8" t="n">
        <v>1</v>
      </c>
      <c r="BH5" s="8" t="n">
        <v>-1</v>
      </c>
      <c r="BI5" s="8" t="n">
        <v>0</v>
      </c>
      <c r="BJ5" s="8" t="n">
        <v>1</v>
      </c>
      <c r="BK5" s="8" t="n">
        <v>-3</v>
      </c>
      <c r="BL5" s="8" t="n">
        <v>-2</v>
      </c>
      <c r="BM5" s="8" t="n">
        <v>0</v>
      </c>
      <c r="BN5" s="8" t="n">
        <v>-2</v>
      </c>
      <c r="BO5" s="8" t="n">
        <v>1</v>
      </c>
      <c r="BP5" s="8" t="n">
        <v>-2</v>
      </c>
      <c r="BQ5" s="8" t="n">
        <v>2</v>
      </c>
      <c r="BR5" s="8" t="n">
        <v>1</v>
      </c>
      <c r="BS5" s="8" t="n">
        <v>3</v>
      </c>
      <c r="BT5" s="9" t="n">
        <v>-3</v>
      </c>
      <c r="BU5" s="9" t="n">
        <v>3</v>
      </c>
      <c r="BV5" s="9" t="n">
        <v>-2</v>
      </c>
      <c r="BW5" s="9" t="n">
        <v>-2</v>
      </c>
      <c r="BX5" s="9" t="n">
        <v>-3</v>
      </c>
      <c r="BY5" s="9" t="n">
        <v>-3</v>
      </c>
      <c r="BZ5" s="9" t="n">
        <v>-2</v>
      </c>
      <c r="CA5" s="9" t="n">
        <v>-1</v>
      </c>
      <c r="CB5" s="9" t="n">
        <v>-3</v>
      </c>
      <c r="CC5" s="9" t="n">
        <v>0</v>
      </c>
      <c r="CD5" s="9" t="n">
        <v>-2</v>
      </c>
      <c r="CE5" s="9" t="n">
        <v>3</v>
      </c>
    </row>
    <row r="6">
      <c r="A6" t="n">
        <v>2</v>
      </c>
      <c r="B6" t="inlineStr">
        <is>
          <t>大角星人</t>
        </is>
      </c>
      <c r="C6" t="inlineStr">
        <is>
          <t>Arcturian</t>
        </is>
      </c>
      <c r="D6" s="7" t="n">
        <v>-1</v>
      </c>
      <c r="E6" s="7" t="n">
        <v>-2</v>
      </c>
      <c r="F6" s="7" t="n">
        <v>-1</v>
      </c>
      <c r="G6" s="7" t="n">
        <v>0</v>
      </c>
      <c r="H6" s="7" t="n">
        <v>2</v>
      </c>
      <c r="I6" s="7" t="n">
        <v>-1</v>
      </c>
      <c r="J6" s="7" t="n">
        <v>2</v>
      </c>
      <c r="K6" s="7" t="n">
        <v>2</v>
      </c>
      <c r="L6" s="7" t="n">
        <v>2</v>
      </c>
      <c r="M6" s="7" t="n">
        <v>0</v>
      </c>
      <c r="N6" s="7" t="n">
        <v>2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1</v>
      </c>
      <c r="T6" s="7" t="n">
        <v>-1</v>
      </c>
      <c r="U6" s="7" t="n">
        <v>0</v>
      </c>
      <c r="V6" s="7" t="n">
        <v>-1</v>
      </c>
      <c r="W6" s="7" t="n">
        <v>0</v>
      </c>
      <c r="X6" s="7" t="n">
        <v>2</v>
      </c>
      <c r="Y6" s="7" t="n">
        <v>0</v>
      </c>
      <c r="Z6" s="7" t="n">
        <v>-2</v>
      </c>
      <c r="AA6" s="7" t="n">
        <v>-1</v>
      </c>
      <c r="AB6" s="7" t="n">
        <v>-1</v>
      </c>
      <c r="AC6" s="7" t="n">
        <v>1</v>
      </c>
      <c r="AD6" s="7" t="n">
        <v>-1</v>
      </c>
      <c r="AE6" s="7" t="n">
        <v>1</v>
      </c>
      <c r="AF6" s="7" t="n">
        <v>1</v>
      </c>
      <c r="AG6" s="7" t="n">
        <v>-1</v>
      </c>
      <c r="AH6" s="8" t="n">
        <v>-2</v>
      </c>
      <c r="AI6" s="8" t="n">
        <v>0</v>
      </c>
      <c r="AJ6" s="8" t="n">
        <v>0</v>
      </c>
      <c r="AK6" s="8" t="n">
        <v>2</v>
      </c>
      <c r="AL6" s="8" t="n">
        <v>1</v>
      </c>
      <c r="AM6" s="8" t="n">
        <v>1</v>
      </c>
      <c r="AN6" s="8" t="n">
        <v>0</v>
      </c>
      <c r="AO6" s="8" t="n">
        <v>0</v>
      </c>
      <c r="AP6" s="8" t="n">
        <v>2</v>
      </c>
      <c r="AQ6" s="8" t="n">
        <v>3</v>
      </c>
      <c r="AR6" s="8" t="n">
        <v>-1</v>
      </c>
      <c r="AS6" s="8" t="n">
        <v>2</v>
      </c>
      <c r="AT6" s="8" t="n">
        <v>-2</v>
      </c>
      <c r="AU6" s="8" t="n">
        <v>0</v>
      </c>
      <c r="AV6" s="8" t="n">
        <v>-1</v>
      </c>
      <c r="AW6" s="8" t="n">
        <v>2</v>
      </c>
      <c r="AX6" s="8" t="n">
        <v>0</v>
      </c>
      <c r="AY6" s="8" t="n">
        <v>-2</v>
      </c>
      <c r="AZ6" s="8" t="n">
        <v>0</v>
      </c>
      <c r="BA6" s="8" t="n">
        <v>-2</v>
      </c>
      <c r="BB6" s="8" t="n">
        <v>-2</v>
      </c>
      <c r="BC6" s="8" t="n">
        <v>2</v>
      </c>
      <c r="BD6" s="8" t="n">
        <v>-1</v>
      </c>
      <c r="BE6" s="8" t="n">
        <v>0</v>
      </c>
      <c r="BF6" s="8" t="n">
        <v>-1</v>
      </c>
      <c r="BG6" s="8" t="n">
        <v>-1</v>
      </c>
      <c r="BH6" s="8" t="n">
        <v>0</v>
      </c>
      <c r="BI6" s="8" t="n">
        <v>-2</v>
      </c>
      <c r="BJ6" s="8" t="n">
        <v>0</v>
      </c>
      <c r="BK6" s="8" t="n">
        <v>-3</v>
      </c>
      <c r="BL6" s="8" t="n">
        <v>0</v>
      </c>
      <c r="BM6" s="8" t="n">
        <v>-2</v>
      </c>
      <c r="BN6" s="8" t="n">
        <v>2</v>
      </c>
      <c r="BO6" s="8" t="n">
        <v>0</v>
      </c>
      <c r="BP6" s="8" t="n">
        <v>0</v>
      </c>
      <c r="BQ6" s="8" t="n">
        <v>1</v>
      </c>
      <c r="BR6" s="8" t="n">
        <v>3</v>
      </c>
      <c r="BS6" s="8" t="n">
        <v>3</v>
      </c>
      <c r="BT6" s="9" t="n">
        <v>-3</v>
      </c>
      <c r="BU6" s="9" t="n">
        <v>3</v>
      </c>
      <c r="BV6" s="9" t="n">
        <v>-2</v>
      </c>
      <c r="BW6" s="9" t="n">
        <v>-1</v>
      </c>
      <c r="BX6" s="9" t="n">
        <v>-2</v>
      </c>
      <c r="BY6" s="9" t="n">
        <v>2</v>
      </c>
      <c r="BZ6" s="9" t="n">
        <v>0</v>
      </c>
      <c r="CA6" s="9" t="n">
        <v>-2</v>
      </c>
      <c r="CB6" s="9" t="n">
        <v>-2</v>
      </c>
      <c r="CC6" s="9" t="n">
        <v>0</v>
      </c>
      <c r="CD6" s="9" t="n">
        <v>-2</v>
      </c>
      <c r="CE6" s="9" t="n">
        <v>0</v>
      </c>
    </row>
    <row r="7">
      <c r="A7" t="n">
        <v>3</v>
      </c>
      <c r="B7" t="inlineStr">
        <is>
          <t>天狼星人</t>
        </is>
      </c>
      <c r="C7" t="inlineStr">
        <is>
          <t>Sirian</t>
        </is>
      </c>
      <c r="D7" s="7" t="n">
        <v>0</v>
      </c>
      <c r="E7" s="7" t="n">
        <v>2</v>
      </c>
      <c r="F7" s="7" t="n">
        <v>0</v>
      </c>
      <c r="G7" s="7" t="n">
        <v>0</v>
      </c>
      <c r="H7" s="7" t="n">
        <v>0</v>
      </c>
      <c r="I7" s="7" t="n">
        <v>2</v>
      </c>
      <c r="J7" s="7" t="n">
        <v>0</v>
      </c>
      <c r="K7" s="7" t="n">
        <v>-2</v>
      </c>
      <c r="L7" s="7" t="n">
        <v>-2</v>
      </c>
      <c r="M7" s="7" t="n">
        <v>0</v>
      </c>
      <c r="N7" s="7" t="n">
        <v>0</v>
      </c>
      <c r="O7" s="7" t="n">
        <v>-2</v>
      </c>
      <c r="P7" s="7" t="n">
        <v>3</v>
      </c>
      <c r="Q7" s="7" t="n">
        <v>0</v>
      </c>
      <c r="R7" s="7" t="n">
        <v>2</v>
      </c>
      <c r="S7" s="7" t="n">
        <v>1</v>
      </c>
      <c r="T7" s="7" t="n">
        <v>2</v>
      </c>
      <c r="U7" s="7" t="n">
        <v>2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1</v>
      </c>
      <c r="AA7" s="7" t="n">
        <v>-2</v>
      </c>
      <c r="AB7" s="7" t="n">
        <v>1</v>
      </c>
      <c r="AC7" s="7" t="n">
        <v>0</v>
      </c>
      <c r="AD7" s="7" t="n">
        <v>3</v>
      </c>
      <c r="AE7" s="7" t="n">
        <v>-3</v>
      </c>
      <c r="AF7" s="7" t="n">
        <v>1</v>
      </c>
      <c r="AG7" s="7" t="n">
        <v>-3</v>
      </c>
      <c r="AH7" s="8" t="n">
        <v>0</v>
      </c>
      <c r="AI7" s="8" t="n">
        <v>2</v>
      </c>
      <c r="AJ7" s="8" t="n">
        <v>1</v>
      </c>
      <c r="AK7" s="8" t="n">
        <v>2</v>
      </c>
      <c r="AL7" s="8" t="n">
        <v>1</v>
      </c>
      <c r="AM7" s="8" t="n">
        <v>2</v>
      </c>
      <c r="AN7" s="8" t="n">
        <v>2</v>
      </c>
      <c r="AO7" s="8" t="n">
        <v>0</v>
      </c>
      <c r="AP7" s="8" t="n">
        <v>3</v>
      </c>
      <c r="AQ7" s="8" t="n">
        <v>-1</v>
      </c>
      <c r="AR7" s="8" t="n">
        <v>1</v>
      </c>
      <c r="AS7" s="8" t="n">
        <v>3</v>
      </c>
      <c r="AT7" s="8" t="n">
        <v>1</v>
      </c>
      <c r="AU7" s="8" t="n">
        <v>0</v>
      </c>
      <c r="AV7" s="8" t="n">
        <v>1</v>
      </c>
      <c r="AW7" s="8" t="n">
        <v>-2</v>
      </c>
      <c r="AX7" s="8" t="n">
        <v>-3</v>
      </c>
      <c r="AY7" s="8" t="n">
        <v>2</v>
      </c>
      <c r="AZ7" s="8" t="n">
        <v>3</v>
      </c>
      <c r="BA7" s="8" t="n">
        <v>1</v>
      </c>
      <c r="BB7" s="8" t="n">
        <v>2</v>
      </c>
      <c r="BC7" s="8" t="n">
        <v>-1</v>
      </c>
      <c r="BD7" s="8" t="n">
        <v>-2</v>
      </c>
      <c r="BE7" s="8" t="n">
        <v>3</v>
      </c>
      <c r="BF7" s="8" t="n">
        <v>2</v>
      </c>
      <c r="BG7" s="8" t="n">
        <v>-2</v>
      </c>
      <c r="BH7" s="8" t="n">
        <v>0</v>
      </c>
      <c r="BI7" s="8" t="n">
        <v>2</v>
      </c>
      <c r="BJ7" s="8" t="n">
        <v>0</v>
      </c>
      <c r="BK7" s="8" t="n">
        <v>3</v>
      </c>
      <c r="BL7" s="8" t="n">
        <v>-2</v>
      </c>
      <c r="BM7" s="8" t="n">
        <v>1</v>
      </c>
      <c r="BN7" s="8" t="n">
        <v>-3</v>
      </c>
      <c r="BO7" s="8" t="n">
        <v>0</v>
      </c>
      <c r="BP7" s="8" t="n">
        <v>-2</v>
      </c>
      <c r="BQ7" s="8" t="n">
        <v>0</v>
      </c>
      <c r="BR7" s="8" t="n">
        <v>2</v>
      </c>
      <c r="BS7" s="8" t="n">
        <v>3</v>
      </c>
      <c r="BT7" s="9" t="n">
        <v>-2</v>
      </c>
      <c r="BU7" s="9" t="n">
        <v>0</v>
      </c>
      <c r="BV7" s="9" t="n">
        <v>3</v>
      </c>
      <c r="BW7" s="9" t="n">
        <v>2</v>
      </c>
      <c r="BX7" s="9" t="n">
        <v>-2</v>
      </c>
      <c r="BY7" s="9" t="n">
        <v>0</v>
      </c>
      <c r="BZ7" s="9" t="n">
        <v>-2</v>
      </c>
      <c r="CA7" s="9" t="n">
        <v>2</v>
      </c>
      <c r="CB7" s="9" t="n">
        <v>-3</v>
      </c>
      <c r="CC7" s="9" t="n">
        <v>0</v>
      </c>
      <c r="CD7" s="9" t="n">
        <v>0</v>
      </c>
      <c r="CE7" s="9" t="n">
        <v>3</v>
      </c>
    </row>
    <row r="8">
      <c r="A8" t="n">
        <v>4</v>
      </c>
      <c r="B8" t="inlineStr">
        <is>
          <t>仙女座人</t>
        </is>
      </c>
      <c r="C8" t="inlineStr">
        <is>
          <t>Andromedan</t>
        </is>
      </c>
      <c r="D8" s="7" t="n">
        <v>0</v>
      </c>
      <c r="E8" s="7" t="n">
        <v>-2</v>
      </c>
      <c r="F8" s="7" t="n">
        <v>1</v>
      </c>
      <c r="G8" s="7" t="n">
        <v>0</v>
      </c>
      <c r="H8" s="7" t="n">
        <v>-1</v>
      </c>
      <c r="I8" s="7" t="n">
        <v>-2</v>
      </c>
      <c r="J8" s="7" t="n">
        <v>3</v>
      </c>
      <c r="K8" s="7" t="n">
        <v>3</v>
      </c>
      <c r="L8" s="7" t="n">
        <v>3</v>
      </c>
      <c r="M8" s="7" t="n">
        <v>-2</v>
      </c>
      <c r="N8" s="7" t="n">
        <v>2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2</v>
      </c>
      <c r="T8" s="7" t="n">
        <v>-2</v>
      </c>
      <c r="U8" s="7" t="n">
        <v>-2</v>
      </c>
      <c r="V8" s="7" t="n">
        <v>1</v>
      </c>
      <c r="W8" s="7" t="n">
        <v>0</v>
      </c>
      <c r="X8" s="7" t="n">
        <v>0</v>
      </c>
      <c r="Y8" s="7" t="n">
        <v>0</v>
      </c>
      <c r="Z8" s="7" t="n">
        <v>-2</v>
      </c>
      <c r="AA8" s="7" t="n">
        <v>0</v>
      </c>
      <c r="AB8" s="7" t="n">
        <v>0</v>
      </c>
      <c r="AC8" s="7" t="n">
        <v>0</v>
      </c>
      <c r="AD8" s="7" t="n">
        <v>-3</v>
      </c>
      <c r="AE8" s="7" t="n">
        <v>2</v>
      </c>
      <c r="AF8" s="7" t="n">
        <v>0</v>
      </c>
      <c r="AG8" s="7" t="n">
        <v>-1</v>
      </c>
      <c r="AH8" s="8" t="n">
        <v>0</v>
      </c>
      <c r="AI8" s="8" t="n">
        <v>1</v>
      </c>
      <c r="AJ8" s="8" t="n">
        <v>1</v>
      </c>
      <c r="AK8" s="8" t="n">
        <v>1</v>
      </c>
      <c r="AL8" s="8" t="n">
        <v>1</v>
      </c>
      <c r="AM8" s="8" t="n">
        <v>2</v>
      </c>
      <c r="AN8" s="8" t="n">
        <v>0</v>
      </c>
      <c r="AO8" s="8" t="n">
        <v>2</v>
      </c>
      <c r="AP8" s="8" t="n">
        <v>-2</v>
      </c>
      <c r="AQ8" s="8" t="n">
        <v>2</v>
      </c>
      <c r="AR8" s="8" t="n">
        <v>-2</v>
      </c>
      <c r="AS8" s="8" t="n">
        <v>2</v>
      </c>
      <c r="AT8" s="8" t="n">
        <v>-1</v>
      </c>
      <c r="AU8" s="8" t="n">
        <v>1</v>
      </c>
      <c r="AV8" s="8" t="n">
        <v>-1</v>
      </c>
      <c r="AW8" s="8" t="n">
        <v>1</v>
      </c>
      <c r="AX8" s="8" t="n">
        <v>0</v>
      </c>
      <c r="AY8" s="8" t="n">
        <v>-2</v>
      </c>
      <c r="AZ8" s="8" t="n">
        <v>-3</v>
      </c>
      <c r="BA8" s="8" t="n">
        <v>-2</v>
      </c>
      <c r="BB8" s="8" t="n">
        <v>-3</v>
      </c>
      <c r="BC8" s="8" t="n">
        <v>0</v>
      </c>
      <c r="BD8" s="8" t="n">
        <v>1</v>
      </c>
      <c r="BE8" s="8" t="n">
        <v>2</v>
      </c>
      <c r="BF8" s="8" t="n">
        <v>-2</v>
      </c>
      <c r="BG8" s="8" t="n">
        <v>1</v>
      </c>
      <c r="BH8" s="8" t="n">
        <v>-2</v>
      </c>
      <c r="BI8" s="8" t="n">
        <v>-3</v>
      </c>
      <c r="BJ8" s="8" t="n">
        <v>2</v>
      </c>
      <c r="BK8" s="8" t="n">
        <v>-2</v>
      </c>
      <c r="BL8" s="8" t="n">
        <v>2</v>
      </c>
      <c r="BM8" s="8" t="n">
        <v>-1</v>
      </c>
      <c r="BN8" s="8" t="n">
        <v>2</v>
      </c>
      <c r="BO8" s="8" t="n">
        <v>2</v>
      </c>
      <c r="BP8" s="8" t="n">
        <v>2</v>
      </c>
      <c r="BQ8" s="8" t="n">
        <v>2</v>
      </c>
      <c r="BR8" s="8" t="n">
        <v>2</v>
      </c>
      <c r="BS8" s="8" t="n">
        <v>3</v>
      </c>
      <c r="BT8" s="9" t="n">
        <v>-3</v>
      </c>
      <c r="BU8" s="9" t="n">
        <v>3</v>
      </c>
      <c r="BV8" s="9" t="n">
        <v>-2</v>
      </c>
      <c r="BW8" s="9" t="n">
        <v>-3</v>
      </c>
      <c r="BX8" s="9" t="n">
        <v>-2</v>
      </c>
      <c r="BY8" s="9" t="n">
        <v>0</v>
      </c>
      <c r="BZ8" s="9" t="n">
        <v>-1</v>
      </c>
      <c r="CA8" s="9" t="n">
        <v>-2</v>
      </c>
      <c r="CB8" s="9" t="n">
        <v>-3</v>
      </c>
      <c r="CC8" s="9" t="n">
        <v>0</v>
      </c>
      <c r="CD8" s="9" t="n">
        <v>-2</v>
      </c>
      <c r="CE8" s="9" t="n">
        <v>2</v>
      </c>
    </row>
    <row r="9">
      <c r="A9" t="n">
        <v>5</v>
      </c>
      <c r="B9" t="inlineStr">
        <is>
          <t>天琴座人</t>
        </is>
      </c>
      <c r="C9" t="inlineStr">
        <is>
          <t>Lyran</t>
        </is>
      </c>
      <c r="D9" s="7" t="n">
        <v>-1</v>
      </c>
      <c r="E9" s="7" t="n">
        <v>-2</v>
      </c>
      <c r="F9" s="7" t="n">
        <v>0</v>
      </c>
      <c r="G9" s="7" t="n">
        <v>0</v>
      </c>
      <c r="H9" s="7" t="n">
        <v>1</v>
      </c>
      <c r="I9" s="7" t="n">
        <v>-2</v>
      </c>
      <c r="J9" s="7" t="n">
        <v>2</v>
      </c>
      <c r="K9" s="7" t="n">
        <v>0</v>
      </c>
      <c r="L9" s="7" t="n">
        <v>3</v>
      </c>
      <c r="M9" s="7" t="n">
        <v>0</v>
      </c>
      <c r="N9" s="7" t="n">
        <v>3</v>
      </c>
      <c r="O9" s="7" t="n">
        <v>2</v>
      </c>
      <c r="P9" s="7" t="n">
        <v>0</v>
      </c>
      <c r="Q9" s="7" t="n">
        <v>-2</v>
      </c>
      <c r="R9" s="7" t="n">
        <v>0</v>
      </c>
      <c r="S9" s="7" t="n">
        <v>0</v>
      </c>
      <c r="T9" s="7" t="n">
        <v>-1</v>
      </c>
      <c r="U9" s="7" t="n">
        <v>2</v>
      </c>
      <c r="V9" s="7" t="n">
        <v>-2</v>
      </c>
      <c r="W9" s="7" t="n">
        <v>0</v>
      </c>
      <c r="X9" s="7" t="n">
        <v>-2</v>
      </c>
      <c r="Y9" s="7" t="n">
        <v>0</v>
      </c>
      <c r="Z9" s="7" t="n">
        <v>-1</v>
      </c>
      <c r="AA9" s="7" t="n">
        <v>-1</v>
      </c>
      <c r="AB9" s="7" t="n">
        <v>-1</v>
      </c>
      <c r="AC9" s="7" t="n">
        <v>0</v>
      </c>
      <c r="AD9" s="7" t="n">
        <v>0</v>
      </c>
      <c r="AE9" s="7" t="n">
        <v>1</v>
      </c>
      <c r="AF9" s="7" t="n">
        <v>-2</v>
      </c>
      <c r="AG9" s="7" t="n">
        <v>1</v>
      </c>
      <c r="AH9" s="8" t="n">
        <v>-2</v>
      </c>
      <c r="AI9" s="8" t="n">
        <v>-1</v>
      </c>
      <c r="AJ9" s="8" t="n">
        <v>0</v>
      </c>
      <c r="AK9" s="8" t="n">
        <v>1</v>
      </c>
      <c r="AL9" s="8" t="n">
        <v>1</v>
      </c>
      <c r="AM9" s="8" t="n">
        <v>2</v>
      </c>
      <c r="AN9" s="8" t="n">
        <v>0</v>
      </c>
      <c r="AO9" s="8" t="n">
        <v>2</v>
      </c>
      <c r="AP9" s="8" t="n">
        <v>1</v>
      </c>
      <c r="AQ9" s="8" t="n">
        <v>2</v>
      </c>
      <c r="AR9" s="8" t="n">
        <v>1</v>
      </c>
      <c r="AS9" s="8" t="n">
        <v>2</v>
      </c>
      <c r="AT9" s="8" t="n">
        <v>-1</v>
      </c>
      <c r="AU9" s="8" t="n">
        <v>0</v>
      </c>
      <c r="AV9" s="8" t="n">
        <v>-1</v>
      </c>
      <c r="AW9" s="8" t="n">
        <v>3</v>
      </c>
      <c r="AX9" s="8" t="n">
        <v>2</v>
      </c>
      <c r="AY9" s="8" t="n">
        <v>-3</v>
      </c>
      <c r="AZ9" s="8" t="n">
        <v>3</v>
      </c>
      <c r="BA9" s="8" t="n">
        <v>-2</v>
      </c>
      <c r="BB9" s="8" t="n">
        <v>-2</v>
      </c>
      <c r="BC9" s="8" t="n">
        <v>3</v>
      </c>
      <c r="BD9" s="8" t="n">
        <v>1</v>
      </c>
      <c r="BE9" s="8" t="n">
        <v>1</v>
      </c>
      <c r="BF9" s="8" t="n">
        <v>-2</v>
      </c>
      <c r="BG9" s="8" t="n">
        <v>1</v>
      </c>
      <c r="BH9" s="8" t="n">
        <v>0</v>
      </c>
      <c r="BI9" s="8" t="n">
        <v>2</v>
      </c>
      <c r="BJ9" s="8" t="n">
        <v>2</v>
      </c>
      <c r="BK9" s="8" t="n">
        <v>-3</v>
      </c>
      <c r="BL9" s="8" t="n">
        <v>0</v>
      </c>
      <c r="BM9" s="8" t="n">
        <v>-1</v>
      </c>
      <c r="BN9" s="8" t="n">
        <v>3</v>
      </c>
      <c r="BO9" s="8" t="n">
        <v>2</v>
      </c>
      <c r="BP9" s="8" t="n">
        <v>0</v>
      </c>
      <c r="BQ9" s="8" t="n">
        <v>1</v>
      </c>
      <c r="BR9" s="8" t="n">
        <v>3</v>
      </c>
      <c r="BS9" s="8" t="n">
        <v>3</v>
      </c>
      <c r="BT9" s="9" t="n">
        <v>-3</v>
      </c>
      <c r="BU9" s="9" t="n">
        <v>3</v>
      </c>
      <c r="BV9" s="9" t="n">
        <v>-3</v>
      </c>
      <c r="BW9" s="9" t="n">
        <v>-1</v>
      </c>
      <c r="BX9" s="9" t="n">
        <v>-1</v>
      </c>
      <c r="BY9" s="9" t="n">
        <v>2</v>
      </c>
      <c r="BZ9" s="9" t="n">
        <v>1</v>
      </c>
      <c r="CA9" s="9" t="n">
        <v>2</v>
      </c>
      <c r="CB9" s="9" t="n">
        <v>-2</v>
      </c>
      <c r="CC9" s="9" t="n">
        <v>0</v>
      </c>
      <c r="CD9" s="9" t="n">
        <v>-3</v>
      </c>
      <c r="CE9" s="9" t="n">
        <v>1</v>
      </c>
    </row>
    <row r="10">
      <c r="A10" t="n">
        <v>6</v>
      </c>
      <c r="B10" t="inlineStr">
        <is>
          <t>獵戶座人</t>
        </is>
      </c>
      <c r="C10" t="inlineStr">
        <is>
          <t>Orion</t>
        </is>
      </c>
      <c r="D10" s="7" t="n">
        <v>-3</v>
      </c>
      <c r="E10" s="7" t="n">
        <v>-1</v>
      </c>
      <c r="F10" s="7" t="n">
        <v>0</v>
      </c>
      <c r="G10" s="7" t="n">
        <v>3</v>
      </c>
      <c r="H10" s="7" t="n">
        <v>1</v>
      </c>
      <c r="I10" s="7" t="n">
        <v>1</v>
      </c>
      <c r="J10" s="7" t="n">
        <v>2</v>
      </c>
      <c r="K10" s="7" t="n">
        <v>0</v>
      </c>
      <c r="L10" s="7" t="n">
        <v>0</v>
      </c>
      <c r="M10" s="7" t="n">
        <v>0</v>
      </c>
      <c r="N10" s="7" t="n">
        <v>-2</v>
      </c>
      <c r="O10" s="7" t="n">
        <v>2</v>
      </c>
      <c r="P10" s="7" t="n">
        <v>2</v>
      </c>
      <c r="Q10" s="7" t="n">
        <v>0</v>
      </c>
      <c r="R10" s="7" t="n">
        <v>2</v>
      </c>
      <c r="S10" s="7" t="n">
        <v>0</v>
      </c>
      <c r="T10" s="7" t="n">
        <v>0</v>
      </c>
      <c r="U10" s="7" t="n">
        <v>0</v>
      </c>
      <c r="V10" s="7" t="n">
        <v>2</v>
      </c>
      <c r="W10" s="7" t="n">
        <v>0</v>
      </c>
      <c r="X10" s="7" t="n">
        <v>3</v>
      </c>
      <c r="Y10" s="7" t="n">
        <v>0</v>
      </c>
      <c r="Z10" s="7" t="n">
        <v>-2</v>
      </c>
      <c r="AA10" s="7" t="n">
        <v>-1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1</v>
      </c>
      <c r="AG10" s="7" t="n">
        <v>-3</v>
      </c>
      <c r="AH10" s="8" t="n">
        <v>-2</v>
      </c>
      <c r="AI10" s="8" t="n">
        <v>1</v>
      </c>
      <c r="AJ10" s="8" t="n">
        <v>0</v>
      </c>
      <c r="AK10" s="8" t="n">
        <v>2</v>
      </c>
      <c r="AL10" s="8" t="n">
        <v>1</v>
      </c>
      <c r="AM10" s="8" t="n">
        <v>1</v>
      </c>
      <c r="AN10" s="8" t="n">
        <v>0</v>
      </c>
      <c r="AO10" s="8" t="n">
        <v>-2</v>
      </c>
      <c r="AP10" s="8" t="n">
        <v>1</v>
      </c>
      <c r="AQ10" s="8" t="n">
        <v>0</v>
      </c>
      <c r="AR10" s="8" t="n">
        <v>3</v>
      </c>
      <c r="AS10" s="8" t="n">
        <v>2</v>
      </c>
      <c r="AT10" s="8" t="n">
        <v>1</v>
      </c>
      <c r="AU10" s="8" t="n">
        <v>2</v>
      </c>
      <c r="AV10" s="8" t="n">
        <v>2</v>
      </c>
      <c r="AW10" s="8" t="n">
        <v>-2</v>
      </c>
      <c r="AX10" s="8" t="n">
        <v>-2</v>
      </c>
      <c r="AY10" s="8" t="n">
        <v>3</v>
      </c>
      <c r="AZ10" s="8" t="n">
        <v>-1</v>
      </c>
      <c r="BA10" s="8" t="n">
        <v>0</v>
      </c>
      <c r="BB10" s="8" t="n">
        <v>0</v>
      </c>
      <c r="BC10" s="8" t="n">
        <v>-2</v>
      </c>
      <c r="BD10" s="8" t="n">
        <v>-2</v>
      </c>
      <c r="BE10" s="8" t="n">
        <v>2</v>
      </c>
      <c r="BF10" s="8" t="n">
        <v>1</v>
      </c>
      <c r="BG10" s="8" t="n">
        <v>-2</v>
      </c>
      <c r="BH10" s="8" t="n">
        <v>0</v>
      </c>
      <c r="BI10" s="8" t="n">
        <v>-2</v>
      </c>
      <c r="BJ10" s="8" t="n">
        <v>-2</v>
      </c>
      <c r="BK10" s="8" t="n">
        <v>0</v>
      </c>
      <c r="BL10" s="8" t="n">
        <v>0</v>
      </c>
      <c r="BM10" s="8" t="n">
        <v>1</v>
      </c>
      <c r="BN10" s="8" t="n">
        <v>-3</v>
      </c>
      <c r="BO10" s="8" t="n">
        <v>-2</v>
      </c>
      <c r="BP10" s="8" t="n">
        <v>0</v>
      </c>
      <c r="BQ10" s="8" t="n">
        <v>3</v>
      </c>
      <c r="BR10" s="8" t="n">
        <v>-2</v>
      </c>
      <c r="BS10" s="8" t="n">
        <v>3</v>
      </c>
      <c r="BT10" s="9" t="n">
        <v>-3</v>
      </c>
      <c r="BU10" s="9" t="n">
        <v>0</v>
      </c>
      <c r="BV10" s="9" t="n">
        <v>3</v>
      </c>
      <c r="BW10" s="9" t="n">
        <v>0</v>
      </c>
      <c r="BX10" s="9" t="n">
        <v>1</v>
      </c>
      <c r="BY10" s="9" t="n">
        <v>2</v>
      </c>
      <c r="BZ10" s="9" t="n">
        <v>-1</v>
      </c>
      <c r="CA10" s="9" t="n">
        <v>-2</v>
      </c>
      <c r="CB10" s="9" t="n">
        <v>-3</v>
      </c>
      <c r="CC10" s="9" t="n">
        <v>0</v>
      </c>
      <c r="CD10" s="9" t="n">
        <v>1</v>
      </c>
      <c r="CE10" s="9" t="n">
        <v>2</v>
      </c>
    </row>
    <row r="11">
      <c r="A11" t="n">
        <v>7</v>
      </c>
      <c r="B11" t="inlineStr">
        <is>
          <t>明塔卡星人</t>
        </is>
      </c>
      <c r="C11" t="inlineStr">
        <is>
          <t>Mintakan</t>
        </is>
      </c>
      <c r="D11" s="7" t="n">
        <v>1</v>
      </c>
      <c r="E11" s="7" t="n">
        <v>1</v>
      </c>
      <c r="F11" s="7" t="n">
        <v>1</v>
      </c>
      <c r="G11" s="7" t="n">
        <v>-2</v>
      </c>
      <c r="H11" s="7" t="n">
        <v>-1</v>
      </c>
      <c r="I11" s="7" t="n">
        <v>1</v>
      </c>
      <c r="J11" s="7" t="n">
        <v>0</v>
      </c>
      <c r="K11" s="7" t="n">
        <v>-2</v>
      </c>
      <c r="L11" s="7" t="n">
        <v>0</v>
      </c>
      <c r="M11" s="7" t="n">
        <v>0</v>
      </c>
      <c r="N11" s="7" t="n">
        <v>-2</v>
      </c>
      <c r="O11" s="7" t="n">
        <v>-3</v>
      </c>
      <c r="P11" s="7" t="n">
        <v>-2</v>
      </c>
      <c r="Q11" s="7" t="n">
        <v>2</v>
      </c>
      <c r="R11" s="7" t="n">
        <v>-2</v>
      </c>
      <c r="S11" s="7" t="n">
        <v>3</v>
      </c>
      <c r="T11" s="7" t="n">
        <v>1</v>
      </c>
      <c r="U11" s="7" t="n">
        <v>1</v>
      </c>
      <c r="V11" s="7" t="n">
        <v>1</v>
      </c>
      <c r="W11" s="7" t="n">
        <v>-3</v>
      </c>
      <c r="X11" s="7" t="n">
        <v>0</v>
      </c>
      <c r="Y11" s="7" t="n">
        <v>-1</v>
      </c>
      <c r="Z11" s="7" t="n">
        <v>1</v>
      </c>
      <c r="AA11" s="7" t="n">
        <v>1</v>
      </c>
      <c r="AB11" s="7" t="n">
        <v>0</v>
      </c>
      <c r="AC11" s="7" t="n">
        <v>-1</v>
      </c>
      <c r="AD11" s="7" t="n">
        <v>1</v>
      </c>
      <c r="AE11" s="7" t="n">
        <v>0</v>
      </c>
      <c r="AF11" s="7" t="n">
        <v>2</v>
      </c>
      <c r="AG11" s="7" t="n">
        <v>-3</v>
      </c>
      <c r="AH11" s="8" t="n">
        <v>0</v>
      </c>
      <c r="AI11" s="8" t="n">
        <v>-1</v>
      </c>
      <c r="AJ11" s="8" t="n">
        <v>-3</v>
      </c>
      <c r="AK11" s="8" t="n">
        <v>-1</v>
      </c>
      <c r="AL11" s="8" t="n">
        <v>-3</v>
      </c>
      <c r="AM11" s="8" t="n">
        <v>-3</v>
      </c>
      <c r="AN11" s="8" t="n">
        <v>2</v>
      </c>
      <c r="AO11" s="8" t="n">
        <v>1</v>
      </c>
      <c r="AP11" s="8" t="n">
        <v>3</v>
      </c>
      <c r="AQ11" s="8" t="n">
        <v>3</v>
      </c>
      <c r="AR11" s="8" t="n">
        <v>-1</v>
      </c>
      <c r="AS11" s="8" t="n">
        <v>3</v>
      </c>
      <c r="AT11" s="8" t="n">
        <v>1</v>
      </c>
      <c r="AU11" s="8" t="n">
        <v>2</v>
      </c>
      <c r="AV11" s="8" t="n">
        <v>-1</v>
      </c>
      <c r="AW11" s="8" t="n">
        <v>0</v>
      </c>
      <c r="AX11" s="8" t="n">
        <v>-2</v>
      </c>
      <c r="AY11" s="8" t="n">
        <v>0</v>
      </c>
      <c r="AZ11" s="8" t="n">
        <v>0</v>
      </c>
      <c r="BA11" s="8" t="n">
        <v>0</v>
      </c>
      <c r="BB11" s="8" t="n">
        <v>-2</v>
      </c>
      <c r="BC11" s="8" t="n">
        <v>0</v>
      </c>
      <c r="BD11" s="8" t="n">
        <v>1</v>
      </c>
      <c r="BE11" s="8" t="n">
        <v>3</v>
      </c>
      <c r="BF11" s="8" t="n">
        <v>-1</v>
      </c>
      <c r="BG11" s="8" t="n">
        <v>1</v>
      </c>
      <c r="BH11" s="8" t="n">
        <v>-1</v>
      </c>
      <c r="BI11" s="8" t="n">
        <v>0</v>
      </c>
      <c r="BJ11" s="8" t="n">
        <v>1</v>
      </c>
      <c r="BK11" s="8" t="n">
        <v>-3</v>
      </c>
      <c r="BL11" s="8" t="n">
        <v>-3</v>
      </c>
      <c r="BM11" s="8" t="n">
        <v>1</v>
      </c>
      <c r="BN11" s="8" t="n">
        <v>-2</v>
      </c>
      <c r="BO11" s="8" t="n">
        <v>1</v>
      </c>
      <c r="BP11" s="8" t="n">
        <v>-3</v>
      </c>
      <c r="BQ11" s="8" t="n">
        <v>3</v>
      </c>
      <c r="BR11" s="8" t="n">
        <v>1</v>
      </c>
      <c r="BS11" s="8" t="n">
        <v>3</v>
      </c>
      <c r="BT11" s="9" t="n">
        <v>3</v>
      </c>
      <c r="BU11" s="9" t="n">
        <v>3</v>
      </c>
      <c r="BV11" s="9" t="n">
        <v>-2</v>
      </c>
      <c r="BW11" s="9" t="n">
        <v>-2</v>
      </c>
      <c r="BX11" s="9" t="n">
        <v>-3</v>
      </c>
      <c r="BY11" s="9" t="n">
        <v>0</v>
      </c>
      <c r="BZ11" s="9" t="n">
        <v>1</v>
      </c>
      <c r="CA11" s="9" t="n">
        <v>0</v>
      </c>
      <c r="CB11" s="9" t="n">
        <v>-3</v>
      </c>
      <c r="CC11" s="9" t="n">
        <v>-3</v>
      </c>
      <c r="CD11" s="9" t="n">
        <v>-2</v>
      </c>
      <c r="CE11" s="9" t="n">
        <v>3</v>
      </c>
    </row>
    <row r="12">
      <c r="A12" t="n">
        <v>8</v>
      </c>
      <c r="B12" t="inlineStr">
        <is>
          <t>金星人</t>
        </is>
      </c>
      <c r="C12" t="inlineStr">
        <is>
          <t>Venusian</t>
        </is>
      </c>
      <c r="D12" s="7" t="n">
        <v>1</v>
      </c>
      <c r="E12" s="7" t="n">
        <v>1</v>
      </c>
      <c r="F12" s="7" t="n">
        <v>3</v>
      </c>
      <c r="G12" s="7" t="n">
        <v>-2</v>
      </c>
      <c r="H12" s="7" t="n">
        <v>-1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-3</v>
      </c>
      <c r="P12" s="7" t="n">
        <v>-2</v>
      </c>
      <c r="Q12" s="7" t="n">
        <v>2</v>
      </c>
      <c r="R12" s="7" t="n">
        <v>0</v>
      </c>
      <c r="S12" s="7" t="n">
        <v>3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1</v>
      </c>
      <c r="AA12" s="7" t="n">
        <v>1</v>
      </c>
      <c r="AB12" s="7" t="n">
        <v>0</v>
      </c>
      <c r="AC12" s="7" t="n">
        <v>-1</v>
      </c>
      <c r="AD12" s="7" t="n">
        <v>0</v>
      </c>
      <c r="AE12" s="7" t="n">
        <v>0</v>
      </c>
      <c r="AF12" s="7" t="n">
        <v>2</v>
      </c>
      <c r="AG12" s="7" t="n">
        <v>-3</v>
      </c>
      <c r="AH12" s="8" t="n">
        <v>-3</v>
      </c>
      <c r="AI12" s="8" t="n">
        <v>-1</v>
      </c>
      <c r="AJ12" s="8" t="n">
        <v>1</v>
      </c>
      <c r="AK12" s="8" t="n">
        <v>2</v>
      </c>
      <c r="AL12" s="8" t="n">
        <v>3</v>
      </c>
      <c r="AM12" s="8" t="n">
        <v>2</v>
      </c>
      <c r="AN12" s="8" t="n">
        <v>-3</v>
      </c>
      <c r="AO12" s="8" t="n">
        <v>-1</v>
      </c>
      <c r="AP12" s="8" t="n">
        <v>2</v>
      </c>
      <c r="AQ12" s="8" t="n">
        <v>3</v>
      </c>
      <c r="AR12" s="8" t="n">
        <v>-2</v>
      </c>
      <c r="AS12" s="8" t="n">
        <v>3</v>
      </c>
      <c r="AT12" s="8" t="n">
        <v>1</v>
      </c>
      <c r="AU12" s="8" t="n">
        <v>1</v>
      </c>
      <c r="AV12" s="8" t="n">
        <v>-1</v>
      </c>
      <c r="AW12" s="8" t="n">
        <v>1</v>
      </c>
      <c r="AX12" s="8" t="n">
        <v>-1</v>
      </c>
      <c r="AY12" s="8" t="n">
        <v>-2</v>
      </c>
      <c r="AZ12" s="8" t="n">
        <v>0</v>
      </c>
      <c r="BA12" s="8" t="n">
        <v>-1</v>
      </c>
      <c r="BB12" s="8" t="n">
        <v>-1</v>
      </c>
      <c r="BC12" s="8" t="n">
        <v>1</v>
      </c>
      <c r="BD12" s="8" t="n">
        <v>1</v>
      </c>
      <c r="BE12" s="8" t="n">
        <v>3</v>
      </c>
      <c r="BF12" s="8" t="n">
        <v>-1</v>
      </c>
      <c r="BG12" s="8" t="n">
        <v>1</v>
      </c>
      <c r="BH12" s="8" t="n">
        <v>0</v>
      </c>
      <c r="BI12" s="8" t="n">
        <v>0</v>
      </c>
      <c r="BJ12" s="8" t="n">
        <v>-1</v>
      </c>
      <c r="BK12" s="8" t="n">
        <v>-3</v>
      </c>
      <c r="BL12" s="8" t="n">
        <v>-3</v>
      </c>
      <c r="BM12" s="8" t="n">
        <v>1</v>
      </c>
      <c r="BN12" s="8" t="n">
        <v>0</v>
      </c>
      <c r="BO12" s="8" t="n">
        <v>-1</v>
      </c>
      <c r="BP12" s="8" t="n">
        <v>-2</v>
      </c>
      <c r="BQ12" s="8" t="n">
        <v>2</v>
      </c>
      <c r="BR12" s="8" t="n">
        <v>3</v>
      </c>
      <c r="BS12" s="8" t="n">
        <v>3</v>
      </c>
      <c r="BT12" s="9" t="n">
        <v>-3</v>
      </c>
      <c r="BU12" s="9" t="n">
        <v>3</v>
      </c>
      <c r="BV12" s="9" t="n">
        <v>-3</v>
      </c>
      <c r="BW12" s="9" t="n">
        <v>-1</v>
      </c>
      <c r="BX12" s="9" t="n">
        <v>-3</v>
      </c>
      <c r="BY12" s="9" t="n">
        <v>3</v>
      </c>
      <c r="BZ12" s="9" t="n">
        <v>1</v>
      </c>
      <c r="CA12" s="9" t="n">
        <v>0</v>
      </c>
      <c r="CB12" s="9" t="n">
        <v>-3</v>
      </c>
      <c r="CC12" s="9" t="n">
        <v>0</v>
      </c>
      <c r="CD12" s="9" t="n">
        <v>-2</v>
      </c>
      <c r="CE12" s="9" t="n">
        <v>3</v>
      </c>
    </row>
    <row r="13">
      <c r="A13" t="n">
        <v>9</v>
      </c>
      <c r="B13" t="inlineStr">
        <is>
          <t>哈達爾星人</t>
        </is>
      </c>
      <c r="C13" t="inlineStr">
        <is>
          <t>Hadarian</t>
        </is>
      </c>
      <c r="D13" s="7" t="n">
        <v>1</v>
      </c>
      <c r="E13" s="7" t="n">
        <v>2</v>
      </c>
      <c r="F13" s="7" t="n">
        <v>1</v>
      </c>
      <c r="G13" s="7" t="n">
        <v>-2</v>
      </c>
      <c r="H13" s="7" t="n">
        <v>-1</v>
      </c>
      <c r="I13" s="7" t="n">
        <v>1</v>
      </c>
      <c r="J13" s="7" t="n">
        <v>-2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-3</v>
      </c>
      <c r="P13" s="7" t="n">
        <v>-3</v>
      </c>
      <c r="Q13" s="7" t="n">
        <v>0</v>
      </c>
      <c r="R13" s="7" t="n">
        <v>-2</v>
      </c>
      <c r="S13" s="7" t="n">
        <v>3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3</v>
      </c>
      <c r="AA13" s="7" t="n">
        <v>1</v>
      </c>
      <c r="AB13" s="7" t="n">
        <v>0</v>
      </c>
      <c r="AC13" s="7" t="n">
        <v>-1</v>
      </c>
      <c r="AD13" s="7" t="n">
        <v>1</v>
      </c>
      <c r="AE13" s="7" t="n">
        <v>0</v>
      </c>
      <c r="AF13" s="7" t="n">
        <v>1</v>
      </c>
      <c r="AG13" s="7" t="n">
        <v>-2</v>
      </c>
      <c r="AH13" s="8" t="n">
        <v>0</v>
      </c>
      <c r="AI13" s="8" t="n">
        <v>-2</v>
      </c>
      <c r="AJ13" s="8" t="n">
        <v>1</v>
      </c>
      <c r="AK13" s="8" t="n">
        <v>-2</v>
      </c>
      <c r="AL13" s="8" t="n">
        <v>1</v>
      </c>
      <c r="AM13" s="8" t="n">
        <v>3</v>
      </c>
      <c r="AN13" s="8" t="n">
        <v>3</v>
      </c>
      <c r="AO13" s="8" t="n">
        <v>0</v>
      </c>
      <c r="AP13" s="8" t="n">
        <v>2</v>
      </c>
      <c r="AQ13" s="8" t="n">
        <v>3</v>
      </c>
      <c r="AR13" s="8" t="n">
        <v>-2</v>
      </c>
      <c r="AS13" s="8" t="n">
        <v>3</v>
      </c>
      <c r="AT13" s="8" t="n">
        <v>0</v>
      </c>
      <c r="AU13" s="8" t="n">
        <v>1</v>
      </c>
      <c r="AV13" s="8" t="n">
        <v>-1</v>
      </c>
      <c r="AW13" s="8" t="n">
        <v>2</v>
      </c>
      <c r="AX13" s="8" t="n">
        <v>1</v>
      </c>
      <c r="AY13" s="8" t="n">
        <v>-3</v>
      </c>
      <c r="AZ13" s="8" t="n">
        <v>0</v>
      </c>
      <c r="BA13" s="8" t="n">
        <v>0</v>
      </c>
      <c r="BB13" s="8" t="n">
        <v>-1</v>
      </c>
      <c r="BC13" s="8" t="n">
        <v>2</v>
      </c>
      <c r="BD13" s="8" t="n">
        <v>2</v>
      </c>
      <c r="BE13" s="8" t="n">
        <v>3</v>
      </c>
      <c r="BF13" s="8" t="n">
        <v>-1</v>
      </c>
      <c r="BG13" s="8" t="n">
        <v>2</v>
      </c>
      <c r="BH13" s="8" t="n">
        <v>0</v>
      </c>
      <c r="BI13" s="8" t="n">
        <v>0</v>
      </c>
      <c r="BJ13" s="8" t="n">
        <v>0</v>
      </c>
      <c r="BK13" s="8" t="n">
        <v>-3</v>
      </c>
      <c r="BL13" s="8" t="n">
        <v>-2</v>
      </c>
      <c r="BM13" s="8" t="n">
        <v>0</v>
      </c>
      <c r="BN13" s="8" t="n">
        <v>0</v>
      </c>
      <c r="BO13" s="8" t="n">
        <v>0</v>
      </c>
      <c r="BP13" s="8" t="n">
        <v>-1</v>
      </c>
      <c r="BQ13" s="8" t="n">
        <v>2</v>
      </c>
      <c r="BR13" s="8" t="n">
        <v>3</v>
      </c>
      <c r="BS13" s="8" t="n">
        <v>2</v>
      </c>
      <c r="BT13" s="9" t="n">
        <v>-3</v>
      </c>
      <c r="BU13" s="9" t="n">
        <v>3</v>
      </c>
      <c r="BV13" s="9" t="n">
        <v>-3</v>
      </c>
      <c r="BW13" s="9" t="n">
        <v>-1</v>
      </c>
      <c r="BX13" s="9" t="n">
        <v>-3</v>
      </c>
      <c r="BY13" s="9" t="n">
        <v>0</v>
      </c>
      <c r="BZ13" s="9" t="n">
        <v>2</v>
      </c>
      <c r="CA13" s="9" t="n">
        <v>0</v>
      </c>
      <c r="CB13" s="9" t="n">
        <v>-3</v>
      </c>
      <c r="CC13" s="9" t="n">
        <v>0</v>
      </c>
      <c r="CD13" s="9" t="n">
        <v>-3</v>
      </c>
      <c r="CE13" s="9" t="n">
        <v>3</v>
      </c>
    </row>
    <row r="14">
      <c r="A14" t="n">
        <v>10</v>
      </c>
      <c r="B14" t="inlineStr">
        <is>
          <t>北極星人</t>
        </is>
      </c>
      <c r="C14" t="inlineStr">
        <is>
          <t>Polarian</t>
        </is>
      </c>
      <c r="D14" s="7" t="n">
        <v>0</v>
      </c>
      <c r="E14" s="7" t="n">
        <v>2</v>
      </c>
      <c r="F14" s="7" t="n">
        <v>0</v>
      </c>
      <c r="G14" s="7" t="n">
        <v>0</v>
      </c>
      <c r="H14" s="7" t="n">
        <v>0</v>
      </c>
      <c r="I14" s="7" t="n">
        <v>3</v>
      </c>
      <c r="J14" s="7" t="n">
        <v>0</v>
      </c>
      <c r="K14" s="7" t="n">
        <v>-3</v>
      </c>
      <c r="L14" s="7" t="n">
        <v>-2</v>
      </c>
      <c r="M14" s="7" t="n">
        <v>0</v>
      </c>
      <c r="N14" s="7" t="n">
        <v>-2</v>
      </c>
      <c r="O14" s="7" t="n">
        <v>-2</v>
      </c>
      <c r="P14" s="7" t="n">
        <v>0</v>
      </c>
      <c r="Q14" s="7" t="n">
        <v>2</v>
      </c>
      <c r="R14" s="7" t="n">
        <v>3</v>
      </c>
      <c r="S14" s="7" t="n">
        <v>0</v>
      </c>
      <c r="T14" s="7" t="n">
        <v>2</v>
      </c>
      <c r="U14" s="7" t="n">
        <v>3</v>
      </c>
      <c r="V14" s="7" t="n">
        <v>-1</v>
      </c>
      <c r="W14" s="7" t="n">
        <v>0</v>
      </c>
      <c r="X14" s="7" t="n">
        <v>0</v>
      </c>
      <c r="Y14" s="7" t="n">
        <v>0</v>
      </c>
      <c r="Z14" s="7" t="n">
        <v>1</v>
      </c>
      <c r="AA14" s="7" t="n">
        <v>0</v>
      </c>
      <c r="AB14" s="7" t="n">
        <v>-1</v>
      </c>
      <c r="AC14" s="7" t="n">
        <v>0</v>
      </c>
      <c r="AD14" s="7" t="n">
        <v>3</v>
      </c>
      <c r="AE14" s="7" t="n">
        <v>-1</v>
      </c>
      <c r="AF14" s="7" t="n">
        <v>1</v>
      </c>
      <c r="AG14" s="7" t="n">
        <v>-3</v>
      </c>
      <c r="AH14" s="8" t="n">
        <v>0</v>
      </c>
      <c r="AI14" s="8" t="n">
        <v>0</v>
      </c>
      <c r="AJ14" s="8" t="n">
        <v>1</v>
      </c>
      <c r="AK14" s="8" t="n">
        <v>0</v>
      </c>
      <c r="AL14" s="8" t="n">
        <v>1</v>
      </c>
      <c r="AM14" s="8" t="n">
        <v>2</v>
      </c>
      <c r="AN14" s="8" t="n">
        <v>2</v>
      </c>
      <c r="AO14" s="8" t="n">
        <v>0</v>
      </c>
      <c r="AP14" s="8" t="n">
        <v>3</v>
      </c>
      <c r="AQ14" s="8" t="n">
        <v>0</v>
      </c>
      <c r="AR14" s="8" t="n">
        <v>2</v>
      </c>
      <c r="AS14" s="8" t="n">
        <v>3</v>
      </c>
      <c r="AT14" s="8" t="n">
        <v>3</v>
      </c>
      <c r="AU14" s="8" t="n">
        <v>3</v>
      </c>
      <c r="AV14" s="8" t="n">
        <v>0</v>
      </c>
      <c r="AW14" s="8" t="n">
        <v>0</v>
      </c>
      <c r="AX14" s="8" t="n">
        <v>-2</v>
      </c>
      <c r="AY14" s="8" t="n">
        <v>2</v>
      </c>
      <c r="AZ14" s="8" t="n">
        <v>3</v>
      </c>
      <c r="BA14" s="8" t="n">
        <v>2</v>
      </c>
      <c r="BB14" s="8" t="n">
        <v>3</v>
      </c>
      <c r="BC14" s="8" t="n">
        <v>-2</v>
      </c>
      <c r="BD14" s="8" t="n">
        <v>-2</v>
      </c>
      <c r="BE14" s="8" t="n">
        <v>2</v>
      </c>
      <c r="BF14" s="8" t="n">
        <v>3</v>
      </c>
      <c r="BG14" s="8" t="n">
        <v>-2</v>
      </c>
      <c r="BH14" s="8" t="n">
        <v>2</v>
      </c>
      <c r="BI14" s="8" t="n">
        <v>3</v>
      </c>
      <c r="BJ14" s="8" t="n">
        <v>0</v>
      </c>
      <c r="BK14" s="8" t="n">
        <v>-3</v>
      </c>
      <c r="BL14" s="8" t="n">
        <v>-3</v>
      </c>
      <c r="BM14" s="8" t="n">
        <v>3</v>
      </c>
      <c r="BN14" s="8" t="n">
        <v>-2</v>
      </c>
      <c r="BO14" s="8" t="n">
        <v>0</v>
      </c>
      <c r="BP14" s="8" t="n">
        <v>-3</v>
      </c>
      <c r="BQ14" s="8" t="n">
        <v>2</v>
      </c>
      <c r="BR14" s="8" t="n">
        <v>2</v>
      </c>
      <c r="BS14" s="8" t="n">
        <v>3</v>
      </c>
      <c r="BT14" s="9" t="n">
        <v>-3</v>
      </c>
      <c r="BU14" s="9" t="n">
        <v>1</v>
      </c>
      <c r="BV14" s="9" t="n">
        <v>0</v>
      </c>
      <c r="BW14" s="9" t="n">
        <v>3</v>
      </c>
      <c r="BX14" s="9" t="n">
        <v>-1</v>
      </c>
      <c r="BY14" s="9" t="n">
        <v>0</v>
      </c>
      <c r="BZ14" s="9" t="n">
        <v>0</v>
      </c>
      <c r="CA14" s="9" t="n">
        <v>3</v>
      </c>
      <c r="CB14" s="9" t="n">
        <v>-3</v>
      </c>
      <c r="CC14" s="9" t="n">
        <v>0</v>
      </c>
      <c r="CD14" s="9" t="n">
        <v>2</v>
      </c>
      <c r="CE14" s="9" t="n">
        <v>2</v>
      </c>
    </row>
    <row r="15">
      <c r="A15" t="n">
        <v>11</v>
      </c>
      <c r="B15" t="inlineStr">
        <is>
          <t>半人馬座α星人</t>
        </is>
      </c>
      <c r="C15" t="inlineStr">
        <is>
          <t>Alpha Centaurian</t>
        </is>
      </c>
      <c r="D15" s="7" t="n">
        <v>-2</v>
      </c>
      <c r="E15" s="7" t="n">
        <v>1</v>
      </c>
      <c r="F15" s="7" t="n">
        <v>-3</v>
      </c>
      <c r="G15" s="7" t="n">
        <v>2</v>
      </c>
      <c r="H15" s="7" t="n">
        <v>3</v>
      </c>
      <c r="I15" s="7" t="n">
        <v>2</v>
      </c>
      <c r="J15" s="7" t="n">
        <v>0</v>
      </c>
      <c r="K15" s="7" t="n">
        <v>0</v>
      </c>
      <c r="L15" s="7" t="n">
        <v>-2</v>
      </c>
      <c r="M15" s="7" t="n">
        <v>0</v>
      </c>
      <c r="N15" s="7" t="n">
        <v>-2</v>
      </c>
      <c r="O15" s="7" t="n">
        <v>-2</v>
      </c>
      <c r="P15" s="7" t="n">
        <v>0</v>
      </c>
      <c r="Q15" s="7" t="n">
        <v>0</v>
      </c>
      <c r="R15" s="7" t="n">
        <v>0</v>
      </c>
      <c r="S15" s="7" t="n">
        <v>-2</v>
      </c>
      <c r="T15" s="7" t="n">
        <v>1</v>
      </c>
      <c r="U15" s="7" t="n">
        <v>2</v>
      </c>
      <c r="V15" s="7" t="n">
        <v>-2</v>
      </c>
      <c r="W15" s="7" t="n">
        <v>0</v>
      </c>
      <c r="X15" s="7" t="n">
        <v>0</v>
      </c>
      <c r="Y15" s="7" t="n">
        <v>1</v>
      </c>
      <c r="Z15" s="7" t="n">
        <v>0</v>
      </c>
      <c r="AA15" s="7" t="n">
        <v>-1</v>
      </c>
      <c r="AB15" s="7" t="n">
        <v>-1</v>
      </c>
      <c r="AC15" s="7" t="n">
        <v>2</v>
      </c>
      <c r="AD15" s="7" t="n">
        <v>1</v>
      </c>
      <c r="AE15" s="7" t="n">
        <v>-2</v>
      </c>
      <c r="AF15" s="7" t="n">
        <v>1</v>
      </c>
      <c r="AG15" s="7" t="n">
        <v>-3</v>
      </c>
      <c r="AH15" s="8" t="n">
        <v>0</v>
      </c>
      <c r="AI15" s="8" t="n">
        <v>-1</v>
      </c>
      <c r="AJ15" s="8" t="n">
        <v>0</v>
      </c>
      <c r="AK15" s="8" t="n">
        <v>-1</v>
      </c>
      <c r="AL15" s="8" t="n">
        <v>0</v>
      </c>
      <c r="AM15" s="8" t="n">
        <v>2</v>
      </c>
      <c r="AN15" s="8" t="n">
        <v>3</v>
      </c>
      <c r="AO15" s="8" t="n">
        <v>0</v>
      </c>
      <c r="AP15" s="8" t="n">
        <v>3</v>
      </c>
      <c r="AQ15" s="8" t="n">
        <v>2</v>
      </c>
      <c r="AR15" s="8" t="n">
        <v>1</v>
      </c>
      <c r="AS15" s="8" t="n">
        <v>3</v>
      </c>
      <c r="AT15" s="8" t="n">
        <v>-3</v>
      </c>
      <c r="AU15" s="8" t="n">
        <v>3</v>
      </c>
      <c r="AV15" s="8" t="n">
        <v>1</v>
      </c>
      <c r="AW15" s="8" t="n">
        <v>0</v>
      </c>
      <c r="AX15" s="8" t="n">
        <v>-2</v>
      </c>
      <c r="AY15" s="8" t="n">
        <v>2</v>
      </c>
      <c r="AZ15" s="8" t="n">
        <v>3</v>
      </c>
      <c r="BA15" s="8" t="n">
        <v>1</v>
      </c>
      <c r="BB15" s="8" t="n">
        <v>1</v>
      </c>
      <c r="BC15" s="8" t="n">
        <v>0</v>
      </c>
      <c r="BD15" s="8" t="n">
        <v>-3</v>
      </c>
      <c r="BE15" s="8" t="n">
        <v>0</v>
      </c>
      <c r="BF15" s="8" t="n">
        <v>1</v>
      </c>
      <c r="BG15" s="8" t="n">
        <v>-3</v>
      </c>
      <c r="BH15" s="8" t="n">
        <v>0</v>
      </c>
      <c r="BI15" s="8" t="n">
        <v>0</v>
      </c>
      <c r="BJ15" s="8" t="n">
        <v>0</v>
      </c>
      <c r="BK15" s="8" t="n">
        <v>-3</v>
      </c>
      <c r="BL15" s="8" t="n">
        <v>-2</v>
      </c>
      <c r="BM15" s="8" t="n">
        <v>-3</v>
      </c>
      <c r="BN15" s="8" t="n">
        <v>-2</v>
      </c>
      <c r="BO15" s="8" t="n">
        <v>0</v>
      </c>
      <c r="BP15" s="8" t="n">
        <v>-1</v>
      </c>
      <c r="BQ15" s="8" t="n">
        <v>1</v>
      </c>
      <c r="BR15" s="8" t="n">
        <v>2</v>
      </c>
      <c r="BS15" s="8" t="n">
        <v>3</v>
      </c>
      <c r="BT15" s="9" t="n">
        <v>-3</v>
      </c>
      <c r="BU15" s="9" t="n">
        <v>3</v>
      </c>
      <c r="BV15" s="9" t="n">
        <v>0</v>
      </c>
      <c r="BW15" s="9" t="n">
        <v>0</v>
      </c>
      <c r="BX15" s="9" t="n">
        <v>1</v>
      </c>
      <c r="BY15" s="9" t="n">
        <v>0</v>
      </c>
      <c r="BZ15" s="9" t="n">
        <v>1</v>
      </c>
      <c r="CA15" s="9" t="n">
        <v>0</v>
      </c>
      <c r="CB15" s="9" t="n">
        <v>-3</v>
      </c>
      <c r="CC15" s="9" t="n">
        <v>0</v>
      </c>
      <c r="CD15" s="9" t="n">
        <v>0</v>
      </c>
      <c r="CE15" s="9" t="n">
        <v>0</v>
      </c>
    </row>
    <row r="16">
      <c r="A16" t="n">
        <v>12</v>
      </c>
      <c r="B16" t="inlineStr">
        <is>
          <t>織女星人</t>
        </is>
      </c>
      <c r="C16" t="inlineStr">
        <is>
          <t>Vegan</t>
        </is>
      </c>
      <c r="D16" s="7" t="n">
        <v>-1</v>
      </c>
      <c r="E16" s="7" t="n">
        <v>-3</v>
      </c>
      <c r="F16" s="7" t="n">
        <v>1</v>
      </c>
      <c r="G16" s="7" t="n">
        <v>2</v>
      </c>
      <c r="H16" s="7" t="n">
        <v>0</v>
      </c>
      <c r="I16" s="7" t="n">
        <v>-2</v>
      </c>
      <c r="J16" s="7" t="n">
        <v>2</v>
      </c>
      <c r="K16" s="7" t="n">
        <v>3</v>
      </c>
      <c r="L16" s="7" t="n">
        <v>3</v>
      </c>
      <c r="M16" s="7" t="n">
        <v>0</v>
      </c>
      <c r="N16" s="7" t="n">
        <v>2</v>
      </c>
      <c r="O16" s="7" t="n">
        <v>0</v>
      </c>
      <c r="P16" s="7" t="n">
        <v>2</v>
      </c>
      <c r="Q16" s="7" t="n">
        <v>-2</v>
      </c>
      <c r="R16" s="7" t="n">
        <v>0</v>
      </c>
      <c r="S16" s="7" t="n">
        <v>1</v>
      </c>
      <c r="T16" s="7" t="n">
        <v>-2</v>
      </c>
      <c r="U16" s="7" t="n">
        <v>-2</v>
      </c>
      <c r="V16" s="7" t="n">
        <v>1</v>
      </c>
      <c r="W16" s="7" t="n">
        <v>0</v>
      </c>
      <c r="X16" s="7" t="n">
        <v>2</v>
      </c>
      <c r="Y16" s="7" t="n">
        <v>0</v>
      </c>
      <c r="Z16" s="7" t="n">
        <v>-2</v>
      </c>
      <c r="AA16" s="7" t="n">
        <v>-1</v>
      </c>
      <c r="AB16" s="7" t="n">
        <v>0</v>
      </c>
      <c r="AC16" s="7" t="n">
        <v>0</v>
      </c>
      <c r="AD16" s="7" t="n">
        <v>-3</v>
      </c>
      <c r="AE16" s="7" t="n">
        <v>2</v>
      </c>
      <c r="AF16" s="7" t="n">
        <v>0</v>
      </c>
      <c r="AG16" s="7" t="n">
        <v>-2</v>
      </c>
      <c r="AH16" s="8" t="n">
        <v>-2</v>
      </c>
      <c r="AI16" s="8" t="n">
        <v>2</v>
      </c>
      <c r="AJ16" s="8" t="n">
        <v>1</v>
      </c>
      <c r="AK16" s="8" t="n">
        <v>3</v>
      </c>
      <c r="AL16" s="8" t="n">
        <v>2</v>
      </c>
      <c r="AM16" s="8" t="n">
        <v>1</v>
      </c>
      <c r="AN16" s="8" t="n">
        <v>-3</v>
      </c>
      <c r="AO16" s="8" t="n">
        <v>-2</v>
      </c>
      <c r="AP16" s="8" t="n">
        <v>-2</v>
      </c>
      <c r="AQ16" s="8" t="n">
        <v>2</v>
      </c>
      <c r="AR16" s="8" t="n">
        <v>-1</v>
      </c>
      <c r="AS16" s="8" t="n">
        <v>2</v>
      </c>
      <c r="AT16" s="8" t="n">
        <v>-2</v>
      </c>
      <c r="AU16" s="8" t="n">
        <v>0</v>
      </c>
      <c r="AV16" s="8" t="n">
        <v>1</v>
      </c>
      <c r="AW16" s="8" t="n">
        <v>0</v>
      </c>
      <c r="AX16" s="8" t="n">
        <v>-2</v>
      </c>
      <c r="AY16" s="8" t="n">
        <v>-1</v>
      </c>
      <c r="AZ16" s="8" t="n">
        <v>-3</v>
      </c>
      <c r="BA16" s="8" t="n">
        <v>-2</v>
      </c>
      <c r="BB16" s="8" t="n">
        <v>-3</v>
      </c>
      <c r="BC16" s="8" t="n">
        <v>1</v>
      </c>
      <c r="BD16" s="8" t="n">
        <v>1</v>
      </c>
      <c r="BE16" s="8" t="n">
        <v>2</v>
      </c>
      <c r="BF16" s="8" t="n">
        <v>-2</v>
      </c>
      <c r="BG16" s="8" t="n">
        <v>1</v>
      </c>
      <c r="BH16" s="8" t="n">
        <v>-1</v>
      </c>
      <c r="BI16" s="8" t="n">
        <v>-3</v>
      </c>
      <c r="BJ16" s="8" t="n">
        <v>-2</v>
      </c>
      <c r="BK16" s="8" t="n">
        <v>-1</v>
      </c>
      <c r="BL16" s="8" t="n">
        <v>3</v>
      </c>
      <c r="BM16" s="8" t="n">
        <v>-2</v>
      </c>
      <c r="BN16" s="8" t="n">
        <v>2</v>
      </c>
      <c r="BO16" s="8" t="n">
        <v>-2</v>
      </c>
      <c r="BP16" s="8" t="n">
        <v>3</v>
      </c>
      <c r="BQ16" s="8" t="n">
        <v>2</v>
      </c>
      <c r="BR16" s="8" t="n">
        <v>2</v>
      </c>
      <c r="BS16" s="8" t="n">
        <v>3</v>
      </c>
      <c r="BT16" s="9" t="n">
        <v>-3</v>
      </c>
      <c r="BU16" s="9" t="n">
        <v>2</v>
      </c>
      <c r="BV16" s="9" t="n">
        <v>0</v>
      </c>
      <c r="BW16" s="9" t="n">
        <v>-2</v>
      </c>
      <c r="BX16" s="9" t="n">
        <v>-1</v>
      </c>
      <c r="BY16" s="9" t="n">
        <v>2</v>
      </c>
      <c r="BZ16" s="9" t="n">
        <v>-2</v>
      </c>
      <c r="CA16" s="9" t="n">
        <v>-3</v>
      </c>
      <c r="CB16" s="9" t="n">
        <v>-3</v>
      </c>
      <c r="CC16" s="9" t="n">
        <v>0</v>
      </c>
      <c r="CD16" s="9" t="n">
        <v>-2</v>
      </c>
      <c r="CE16" s="9" t="n">
        <v>2</v>
      </c>
    </row>
    <row r="17">
      <c r="A17" t="n">
        <v>13</v>
      </c>
      <c r="B17" t="inlineStr">
        <is>
          <t>貓科星族</t>
        </is>
      </c>
      <c r="C17" t="inlineStr">
        <is>
          <t>Feline / Urmah</t>
        </is>
      </c>
      <c r="D17" s="7" t="n">
        <v>-1</v>
      </c>
      <c r="E17" s="7" t="n">
        <v>-2</v>
      </c>
      <c r="F17" s="7" t="n">
        <v>1</v>
      </c>
      <c r="G17" s="7" t="n">
        <v>0</v>
      </c>
      <c r="H17" s="7" t="n">
        <v>0</v>
      </c>
      <c r="I17" s="7" t="n">
        <v>2</v>
      </c>
      <c r="J17" s="7" t="n">
        <v>-2</v>
      </c>
      <c r="K17" s="7" t="n">
        <v>-2</v>
      </c>
      <c r="L17" s="7" t="n">
        <v>3</v>
      </c>
      <c r="M17" s="7" t="n">
        <v>0</v>
      </c>
      <c r="N17" s="7" t="n">
        <v>-2</v>
      </c>
      <c r="O17" s="7" t="n">
        <v>2</v>
      </c>
      <c r="P17" s="7" t="n">
        <v>3</v>
      </c>
      <c r="Q17" s="7" t="n">
        <v>-2</v>
      </c>
      <c r="R17" s="7" t="n">
        <v>2</v>
      </c>
      <c r="S17" s="7" t="n">
        <v>1</v>
      </c>
      <c r="T17" s="7" t="n">
        <v>1</v>
      </c>
      <c r="U17" s="7" t="n">
        <v>1</v>
      </c>
      <c r="V17" s="7" t="n">
        <v>0</v>
      </c>
      <c r="W17" s="7" t="n">
        <v>0</v>
      </c>
      <c r="X17" s="7" t="n">
        <v>-2</v>
      </c>
      <c r="Y17" s="7" t="n">
        <v>0</v>
      </c>
      <c r="Z17" s="7" t="n">
        <v>1</v>
      </c>
      <c r="AA17" s="7" t="n">
        <v>-3</v>
      </c>
      <c r="AB17" s="7" t="n">
        <v>2</v>
      </c>
      <c r="AC17" s="7" t="n">
        <v>-1</v>
      </c>
      <c r="AD17" s="7" t="n">
        <v>2</v>
      </c>
      <c r="AE17" s="7" t="n">
        <v>0</v>
      </c>
      <c r="AF17" s="7" t="n">
        <v>-2</v>
      </c>
      <c r="AG17" s="7" t="n">
        <v>-3</v>
      </c>
      <c r="AH17" s="8" t="n">
        <v>-2</v>
      </c>
      <c r="AI17" s="8" t="n">
        <v>1</v>
      </c>
      <c r="AJ17" s="8" t="n">
        <v>0</v>
      </c>
      <c r="AK17" s="8" t="n">
        <v>2</v>
      </c>
      <c r="AL17" s="8" t="n">
        <v>1</v>
      </c>
      <c r="AM17" s="8" t="n">
        <v>2</v>
      </c>
      <c r="AN17" s="8" t="n">
        <v>0</v>
      </c>
      <c r="AO17" s="8" t="n">
        <v>0</v>
      </c>
      <c r="AP17" s="8" t="n">
        <v>0</v>
      </c>
      <c r="AQ17" s="8" t="n">
        <v>-1</v>
      </c>
      <c r="AR17" s="8" t="n">
        <v>3</v>
      </c>
      <c r="AS17" s="8" t="n">
        <v>3</v>
      </c>
      <c r="AT17" s="8" t="n">
        <v>2</v>
      </c>
      <c r="AU17" s="8" t="n">
        <v>1</v>
      </c>
      <c r="AV17" s="8" t="n">
        <v>2</v>
      </c>
      <c r="AW17" s="8" t="n">
        <v>-3</v>
      </c>
      <c r="AX17" s="8" t="n">
        <v>-3</v>
      </c>
      <c r="AY17" s="8" t="n">
        <v>3</v>
      </c>
      <c r="AZ17" s="8" t="n">
        <v>2</v>
      </c>
      <c r="BA17" s="8" t="n">
        <v>3</v>
      </c>
      <c r="BB17" s="8" t="n">
        <v>-1</v>
      </c>
      <c r="BC17" s="8" t="n">
        <v>-2</v>
      </c>
      <c r="BD17" s="8" t="n">
        <v>3</v>
      </c>
      <c r="BE17" s="8" t="n">
        <v>3</v>
      </c>
      <c r="BF17" s="8" t="n">
        <v>3</v>
      </c>
      <c r="BG17" s="8" t="n">
        <v>3</v>
      </c>
      <c r="BH17" s="8" t="n">
        <v>0</v>
      </c>
      <c r="BI17" s="8" t="n">
        <v>3</v>
      </c>
      <c r="BJ17" s="8" t="n">
        <v>0</v>
      </c>
      <c r="BK17" s="8" t="n">
        <v>0</v>
      </c>
      <c r="BL17" s="8" t="n">
        <v>-2</v>
      </c>
      <c r="BM17" s="8" t="n">
        <v>2</v>
      </c>
      <c r="BN17" s="8" t="n">
        <v>3</v>
      </c>
      <c r="BO17" s="8" t="n">
        <v>0</v>
      </c>
      <c r="BP17" s="8" t="n">
        <v>-1</v>
      </c>
      <c r="BQ17" s="8" t="n">
        <v>2</v>
      </c>
      <c r="BR17" s="8" t="n">
        <v>3</v>
      </c>
      <c r="BS17" s="8" t="n">
        <v>2</v>
      </c>
      <c r="BT17" s="9" t="n">
        <v>-3</v>
      </c>
      <c r="BU17" s="9" t="n">
        <v>0</v>
      </c>
      <c r="BV17" s="9" t="n">
        <v>3</v>
      </c>
      <c r="BW17" s="9" t="n">
        <v>1</v>
      </c>
      <c r="BX17" s="9" t="n">
        <v>-1</v>
      </c>
      <c r="BY17" s="9" t="n">
        <v>2</v>
      </c>
      <c r="BZ17" s="9" t="n">
        <v>-1</v>
      </c>
      <c r="CA17" s="9" t="n">
        <v>3</v>
      </c>
      <c r="CB17" s="9" t="n">
        <v>-3</v>
      </c>
      <c r="CC17" s="9" t="n">
        <v>0</v>
      </c>
      <c r="CD17" s="9" t="n">
        <v>2</v>
      </c>
      <c r="CE17" s="9" t="n">
        <v>3</v>
      </c>
    </row>
    <row r="18">
      <c r="A18" t="n">
        <v>14</v>
      </c>
      <c r="B18" t="inlineStr">
        <is>
          <t>藍鳥人</t>
        </is>
      </c>
      <c r="C18" t="inlineStr">
        <is>
          <t>Avian / Blue Avian</t>
        </is>
      </c>
      <c r="D18" s="7" t="n">
        <v>-1</v>
      </c>
      <c r="E18" s="7" t="n">
        <v>-2</v>
      </c>
      <c r="F18" s="7" t="n">
        <v>0</v>
      </c>
      <c r="G18" s="7" t="n">
        <v>0</v>
      </c>
      <c r="H18" s="7" t="n">
        <v>1</v>
      </c>
      <c r="I18" s="7" t="n">
        <v>1</v>
      </c>
      <c r="J18" s="7" t="n">
        <v>3</v>
      </c>
      <c r="K18" s="7" t="n">
        <v>3</v>
      </c>
      <c r="L18" s="7" t="n">
        <v>2</v>
      </c>
      <c r="M18" s="7" t="n">
        <v>0</v>
      </c>
      <c r="N18" s="7" t="n">
        <v>-2</v>
      </c>
      <c r="O18" s="7" t="n">
        <v>-2</v>
      </c>
      <c r="P18" s="7" t="n">
        <v>0</v>
      </c>
      <c r="Q18" s="7" t="n">
        <v>0</v>
      </c>
      <c r="R18" s="7" t="n">
        <v>2</v>
      </c>
      <c r="S18" s="7" t="n">
        <v>0</v>
      </c>
      <c r="T18" s="7" t="n">
        <v>-2</v>
      </c>
      <c r="U18" s="7" t="n">
        <v>-2</v>
      </c>
      <c r="V18" s="7" t="n">
        <v>2</v>
      </c>
      <c r="W18" s="7" t="n">
        <v>0</v>
      </c>
      <c r="X18" s="7" t="n">
        <v>3</v>
      </c>
      <c r="Y18" s="7" t="n">
        <v>-1</v>
      </c>
      <c r="Z18" s="7" t="n">
        <v>-3</v>
      </c>
      <c r="AA18" s="7" t="n">
        <v>-1</v>
      </c>
      <c r="AB18" s="7" t="n">
        <v>0</v>
      </c>
      <c r="AC18" s="7" t="n">
        <v>0</v>
      </c>
      <c r="AD18" s="7" t="n">
        <v>-2</v>
      </c>
      <c r="AE18" s="7" t="n">
        <v>1</v>
      </c>
      <c r="AF18" s="7" t="n">
        <v>2</v>
      </c>
      <c r="AG18" s="7" t="n">
        <v>-3</v>
      </c>
      <c r="AH18" s="8" t="n">
        <v>-2</v>
      </c>
      <c r="AI18" s="8" t="n">
        <v>0</v>
      </c>
      <c r="AJ18" s="8" t="n">
        <v>0</v>
      </c>
      <c r="AK18" s="8" t="n">
        <v>2</v>
      </c>
      <c r="AL18" s="8" t="n">
        <v>1</v>
      </c>
      <c r="AM18" s="8" t="n">
        <v>1</v>
      </c>
      <c r="AN18" s="8" t="n">
        <v>0</v>
      </c>
      <c r="AO18" s="8" t="n">
        <v>0</v>
      </c>
      <c r="AP18" s="8" t="n">
        <v>-2</v>
      </c>
      <c r="AQ18" s="8" t="n">
        <v>2</v>
      </c>
      <c r="AR18" s="8" t="n">
        <v>-3</v>
      </c>
      <c r="AS18" s="8" t="n">
        <v>0</v>
      </c>
      <c r="AT18" s="8" t="n">
        <v>-1</v>
      </c>
      <c r="AU18" s="8" t="n">
        <v>2</v>
      </c>
      <c r="AV18" s="8" t="n">
        <v>-2</v>
      </c>
      <c r="AW18" s="8" t="n">
        <v>-1</v>
      </c>
      <c r="AX18" s="8" t="n">
        <v>-2</v>
      </c>
      <c r="AY18" s="8" t="n">
        <v>2</v>
      </c>
      <c r="AZ18" s="8" t="n">
        <v>-3</v>
      </c>
      <c r="BA18" s="8" t="n">
        <v>1</v>
      </c>
      <c r="BB18" s="8" t="n">
        <v>-1</v>
      </c>
      <c r="BC18" s="8" t="n">
        <v>-1</v>
      </c>
      <c r="BD18" s="8" t="n">
        <v>-2</v>
      </c>
      <c r="BE18" s="8" t="n">
        <v>1</v>
      </c>
      <c r="BF18" s="8" t="n">
        <v>2</v>
      </c>
      <c r="BG18" s="8" t="n">
        <v>-2</v>
      </c>
      <c r="BH18" s="8" t="n">
        <v>1</v>
      </c>
      <c r="BI18" s="8" t="n">
        <v>-3</v>
      </c>
      <c r="BJ18" s="8" t="n">
        <v>0</v>
      </c>
      <c r="BK18" s="8" t="n">
        <v>-2</v>
      </c>
      <c r="BL18" s="8" t="n">
        <v>3</v>
      </c>
      <c r="BM18" s="8" t="n">
        <v>-1</v>
      </c>
      <c r="BN18" s="8" t="n">
        <v>-2</v>
      </c>
      <c r="BO18" s="8" t="n">
        <v>0</v>
      </c>
      <c r="BP18" s="8" t="n">
        <v>3</v>
      </c>
      <c r="BQ18" s="8" t="n">
        <v>3</v>
      </c>
      <c r="BR18" s="8" t="n">
        <v>-2</v>
      </c>
      <c r="BS18" s="8" t="n">
        <v>3</v>
      </c>
      <c r="BT18" s="9" t="n">
        <v>-3</v>
      </c>
      <c r="BU18" s="9" t="n">
        <v>2</v>
      </c>
      <c r="BV18" s="9" t="n">
        <v>0</v>
      </c>
      <c r="BW18" s="9" t="n">
        <v>0</v>
      </c>
      <c r="BX18" s="9" t="n">
        <v>-1</v>
      </c>
      <c r="BY18" s="9" t="n">
        <v>2</v>
      </c>
      <c r="BZ18" s="9" t="n">
        <v>0</v>
      </c>
      <c r="CA18" s="9" t="n">
        <v>-3</v>
      </c>
      <c r="CB18" s="9" t="n">
        <v>-2</v>
      </c>
      <c r="CC18" s="9" t="n">
        <v>0</v>
      </c>
      <c r="CD18" s="9" t="n">
        <v>1</v>
      </c>
      <c r="CE18" s="9" t="n">
        <v>1</v>
      </c>
    </row>
    <row r="19">
      <c r="A19" t="n">
        <v>15</v>
      </c>
      <c r="B19" t="inlineStr">
        <is>
          <t>火星人</t>
        </is>
      </c>
      <c r="C19" t="inlineStr">
        <is>
          <t>Martian</t>
        </is>
      </c>
      <c r="D19" s="7" t="n">
        <v>0</v>
      </c>
      <c r="E19" s="7" t="n">
        <v>-1</v>
      </c>
      <c r="F19" s="7" t="n">
        <v>0</v>
      </c>
      <c r="G19" s="7" t="n">
        <v>-2</v>
      </c>
      <c r="H19" s="7" t="n">
        <v>0</v>
      </c>
      <c r="I19" s="7" t="n">
        <v>-3</v>
      </c>
      <c r="J19" s="7" t="n">
        <v>-2</v>
      </c>
      <c r="K19" s="7" t="n">
        <v>0</v>
      </c>
      <c r="L19" s="7" t="n">
        <v>2</v>
      </c>
      <c r="M19" s="7" t="n">
        <v>0</v>
      </c>
      <c r="N19" s="7" t="n">
        <v>3</v>
      </c>
      <c r="O19" s="7" t="n">
        <v>3</v>
      </c>
      <c r="P19" s="7" t="n">
        <v>0</v>
      </c>
      <c r="Q19" s="7" t="n">
        <v>-2</v>
      </c>
      <c r="R19" s="7" t="n">
        <v>-2</v>
      </c>
      <c r="S19" s="7" t="n">
        <v>1</v>
      </c>
      <c r="T19" s="7" t="n">
        <v>1</v>
      </c>
      <c r="U19" s="7" t="n">
        <v>0</v>
      </c>
      <c r="V19" s="7" t="n">
        <v>0</v>
      </c>
      <c r="W19" s="7" t="n">
        <v>0</v>
      </c>
      <c r="X19" s="7" t="n">
        <v>-2</v>
      </c>
      <c r="Y19" s="7" t="n">
        <v>0</v>
      </c>
      <c r="Z19" s="7" t="n">
        <v>1</v>
      </c>
      <c r="AA19" s="7" t="n">
        <v>-2</v>
      </c>
      <c r="AB19" s="7" t="n">
        <v>2</v>
      </c>
      <c r="AC19" s="7" t="n">
        <v>-1</v>
      </c>
      <c r="AD19" s="7" t="n">
        <v>-1</v>
      </c>
      <c r="AE19" s="7" t="n">
        <v>-1</v>
      </c>
      <c r="AF19" s="7" t="n">
        <v>-2</v>
      </c>
      <c r="AG19" s="7" t="n">
        <v>2</v>
      </c>
      <c r="AH19" s="8" t="n">
        <v>0</v>
      </c>
      <c r="AI19" s="8" t="n">
        <v>-1</v>
      </c>
      <c r="AJ19" s="8" t="n">
        <v>0</v>
      </c>
      <c r="AK19" s="8" t="n">
        <v>-1</v>
      </c>
      <c r="AL19" s="8" t="n">
        <v>0</v>
      </c>
      <c r="AM19" s="8" t="n">
        <v>2</v>
      </c>
      <c r="AN19" s="8" t="n">
        <v>3</v>
      </c>
      <c r="AO19" s="8" t="n">
        <v>2</v>
      </c>
      <c r="AP19" s="8" t="n">
        <v>0</v>
      </c>
      <c r="AQ19" s="8" t="n">
        <v>3</v>
      </c>
      <c r="AR19" s="8" t="n">
        <v>2</v>
      </c>
      <c r="AS19" s="8" t="n">
        <v>3</v>
      </c>
      <c r="AT19" s="8" t="n">
        <v>0</v>
      </c>
      <c r="AU19" s="8" t="n">
        <v>-2</v>
      </c>
      <c r="AV19" s="8" t="n">
        <v>0</v>
      </c>
      <c r="AW19" s="8" t="n">
        <v>2</v>
      </c>
      <c r="AX19" s="8" t="n">
        <v>2</v>
      </c>
      <c r="AY19" s="8" t="n">
        <v>-3</v>
      </c>
      <c r="AZ19" s="8" t="n">
        <v>1</v>
      </c>
      <c r="BA19" s="8" t="n">
        <v>-3</v>
      </c>
      <c r="BB19" s="8" t="n">
        <v>-3</v>
      </c>
      <c r="BC19" s="8" t="n">
        <v>3</v>
      </c>
      <c r="BD19" s="8" t="n">
        <v>3</v>
      </c>
      <c r="BE19" s="8" t="n">
        <v>3</v>
      </c>
      <c r="BF19" s="8" t="n">
        <v>-3</v>
      </c>
      <c r="BG19" s="8" t="n">
        <v>3</v>
      </c>
      <c r="BH19" s="8" t="n">
        <v>-2</v>
      </c>
      <c r="BI19" s="8" t="n">
        <v>1</v>
      </c>
      <c r="BJ19" s="8" t="n">
        <v>2</v>
      </c>
      <c r="BK19" s="8" t="n">
        <v>-3</v>
      </c>
      <c r="BL19" s="8" t="n">
        <v>-1</v>
      </c>
      <c r="BM19" s="8" t="n">
        <v>0</v>
      </c>
      <c r="BN19" s="8" t="n">
        <v>2</v>
      </c>
      <c r="BO19" s="8" t="n">
        <v>2</v>
      </c>
      <c r="BP19" s="8" t="n">
        <v>0</v>
      </c>
      <c r="BQ19" s="8" t="n">
        <v>2</v>
      </c>
      <c r="BR19" s="8" t="n">
        <v>3</v>
      </c>
      <c r="BS19" s="8" t="n">
        <v>2</v>
      </c>
      <c r="BT19" s="9" t="n">
        <v>-3</v>
      </c>
      <c r="BU19" s="9" t="n">
        <v>3</v>
      </c>
      <c r="BV19" s="9" t="n">
        <v>-3</v>
      </c>
      <c r="BW19" s="9" t="n">
        <v>-3</v>
      </c>
      <c r="BX19" s="9" t="n">
        <v>-2</v>
      </c>
      <c r="BY19" s="9" t="n">
        <v>0</v>
      </c>
      <c r="BZ19" s="9" t="n">
        <v>1</v>
      </c>
      <c r="CA19" s="9" t="n">
        <v>1</v>
      </c>
      <c r="CB19" s="9" t="n">
        <v>-3</v>
      </c>
      <c r="CC19" s="9" t="n">
        <v>0</v>
      </c>
      <c r="CD19" s="9" t="n">
        <v>-3</v>
      </c>
      <c r="CE19" s="9" t="n">
        <v>3</v>
      </c>
    </row>
    <row r="20">
      <c r="A20" t="n">
        <v>16</v>
      </c>
      <c r="B20" t="inlineStr">
        <is>
          <t>馬爾德克人</t>
        </is>
      </c>
      <c r="C20" t="inlineStr">
        <is>
          <t>Maldekian</t>
        </is>
      </c>
      <c r="D20" s="7" t="n">
        <v>-3</v>
      </c>
      <c r="E20" s="7" t="n">
        <v>1</v>
      </c>
      <c r="F20" s="7" t="n">
        <v>-2</v>
      </c>
      <c r="G20" s="7" t="n">
        <v>3</v>
      </c>
      <c r="H20" s="7" t="n">
        <v>2</v>
      </c>
      <c r="I20" s="7" t="n">
        <v>3</v>
      </c>
      <c r="J20" s="7" t="n">
        <v>0</v>
      </c>
      <c r="K20" s="7" t="n">
        <v>-2</v>
      </c>
      <c r="L20" s="7" t="n">
        <v>0</v>
      </c>
      <c r="M20" s="7" t="n">
        <v>0</v>
      </c>
      <c r="N20" s="7" t="n">
        <v>-2</v>
      </c>
      <c r="O20" s="7" t="n">
        <v>0</v>
      </c>
      <c r="P20" s="7" t="n">
        <v>3</v>
      </c>
      <c r="Q20" s="7" t="n">
        <v>-2</v>
      </c>
      <c r="R20" s="7" t="n">
        <v>3</v>
      </c>
      <c r="S20" s="7" t="n">
        <v>-1</v>
      </c>
      <c r="T20" s="7" t="n">
        <v>1</v>
      </c>
      <c r="U20" s="7" t="n">
        <v>3</v>
      </c>
      <c r="V20" s="7" t="n">
        <v>-2</v>
      </c>
      <c r="W20" s="7" t="n">
        <v>0</v>
      </c>
      <c r="X20" s="7" t="n">
        <v>0</v>
      </c>
      <c r="Y20" s="7" t="n">
        <v>1</v>
      </c>
      <c r="Z20" s="7" t="n">
        <v>1</v>
      </c>
      <c r="AA20" s="7" t="n">
        <v>-2</v>
      </c>
      <c r="AB20" s="7" t="n">
        <v>-1</v>
      </c>
      <c r="AC20" s="7" t="n">
        <v>1</v>
      </c>
      <c r="AD20" s="7" t="n">
        <v>3</v>
      </c>
      <c r="AE20" s="7" t="n">
        <v>-1</v>
      </c>
      <c r="AF20" s="7" t="n">
        <v>-1</v>
      </c>
      <c r="AG20" s="7" t="n">
        <v>-3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2</v>
      </c>
      <c r="AN20" s="8" t="n">
        <v>3</v>
      </c>
      <c r="AO20" s="8" t="n">
        <v>-1</v>
      </c>
      <c r="AP20" s="8" t="n">
        <v>3</v>
      </c>
      <c r="AQ20" s="8" t="n">
        <v>-2</v>
      </c>
      <c r="AR20" s="8" t="n">
        <v>3</v>
      </c>
      <c r="AS20" s="8" t="n">
        <v>3</v>
      </c>
      <c r="AT20" s="8" t="n">
        <v>1</v>
      </c>
      <c r="AU20" s="8" t="n">
        <v>3</v>
      </c>
      <c r="AV20" s="8" t="n">
        <v>3</v>
      </c>
      <c r="AW20" s="8" t="n">
        <v>-2</v>
      </c>
      <c r="AX20" s="8" t="n">
        <v>-3</v>
      </c>
      <c r="AY20" s="8" t="n">
        <v>3</v>
      </c>
      <c r="AZ20" s="8" t="n">
        <v>3</v>
      </c>
      <c r="BA20" s="8" t="n">
        <v>3</v>
      </c>
      <c r="BB20" s="8" t="n">
        <v>2</v>
      </c>
      <c r="BC20" s="8" t="n">
        <v>-3</v>
      </c>
      <c r="BD20" s="8" t="n">
        <v>-2</v>
      </c>
      <c r="BE20" s="8" t="n">
        <v>1</v>
      </c>
      <c r="BF20" s="8" t="n">
        <v>3</v>
      </c>
      <c r="BG20" s="8" t="n">
        <v>-2</v>
      </c>
      <c r="BH20" s="8" t="n">
        <v>1</v>
      </c>
      <c r="BI20" s="8" t="n">
        <v>3</v>
      </c>
      <c r="BJ20" s="8" t="n">
        <v>-1</v>
      </c>
      <c r="BK20" s="8" t="n">
        <v>0</v>
      </c>
      <c r="BL20" s="8" t="n">
        <v>-2</v>
      </c>
      <c r="BM20" s="8" t="n">
        <v>1</v>
      </c>
      <c r="BN20" s="8" t="n">
        <v>0</v>
      </c>
      <c r="BO20" s="8" t="n">
        <v>-1</v>
      </c>
      <c r="BP20" s="8" t="n">
        <v>-1</v>
      </c>
      <c r="BQ20" s="8" t="n">
        <v>1</v>
      </c>
      <c r="BR20" s="8" t="n">
        <v>2</v>
      </c>
      <c r="BS20" s="8" t="n">
        <v>3</v>
      </c>
      <c r="BT20" s="9" t="n">
        <v>-3</v>
      </c>
      <c r="BU20" s="9" t="n">
        <v>-3</v>
      </c>
      <c r="BV20" s="9" t="n">
        <v>3</v>
      </c>
      <c r="BW20" s="9" t="n">
        <v>3</v>
      </c>
      <c r="BX20" s="9" t="n">
        <v>2</v>
      </c>
      <c r="BY20" s="9" t="n">
        <v>0</v>
      </c>
      <c r="BZ20" s="9" t="n">
        <v>0</v>
      </c>
      <c r="CA20" s="9" t="n">
        <v>3</v>
      </c>
      <c r="CB20" s="9" t="n">
        <v>-3</v>
      </c>
      <c r="CC20" s="9" t="n">
        <v>0</v>
      </c>
      <c r="CD20" s="9" t="n">
        <v>3</v>
      </c>
      <c r="CE20" s="9" t="n">
        <v>1</v>
      </c>
    </row>
    <row r="21">
      <c r="A21" t="n">
        <v>17</v>
      </c>
      <c r="B21" t="inlineStr">
        <is>
          <t>天龍座人</t>
        </is>
      </c>
      <c r="C21" t="inlineStr">
        <is>
          <t>Draconian</t>
        </is>
      </c>
      <c r="D21" s="7" t="n">
        <v>-1</v>
      </c>
      <c r="E21" s="7" t="n">
        <v>0</v>
      </c>
      <c r="F21" s="7" t="n">
        <v>-2</v>
      </c>
      <c r="G21" s="7" t="n">
        <v>0</v>
      </c>
      <c r="H21" s="7" t="n">
        <v>2</v>
      </c>
      <c r="I21" s="7" t="n">
        <v>0</v>
      </c>
      <c r="J21" s="7" t="n">
        <v>2</v>
      </c>
      <c r="K21" s="7" t="n">
        <v>-2</v>
      </c>
      <c r="L21" s="7" t="n">
        <v>-2</v>
      </c>
      <c r="M21" s="7" t="n">
        <v>3</v>
      </c>
      <c r="N21" s="7" t="n">
        <v>2</v>
      </c>
      <c r="O21" s="7" t="n">
        <v>2</v>
      </c>
      <c r="P21" s="7" t="n">
        <v>2</v>
      </c>
      <c r="Q21" s="7" t="n">
        <v>-2</v>
      </c>
      <c r="R21" s="7" t="n">
        <v>2</v>
      </c>
      <c r="S21" s="7" t="n">
        <v>-1</v>
      </c>
      <c r="T21" s="7" t="n">
        <v>2</v>
      </c>
      <c r="U21" s="7" t="n">
        <v>2</v>
      </c>
      <c r="V21" s="7" t="n">
        <v>-1</v>
      </c>
      <c r="W21" s="7" t="n">
        <v>0</v>
      </c>
      <c r="X21" s="7" t="n">
        <v>-2</v>
      </c>
      <c r="Y21" s="7" t="n">
        <v>-1</v>
      </c>
      <c r="Z21" s="7" t="n">
        <v>-2</v>
      </c>
      <c r="AA21" s="7" t="n">
        <v>-2</v>
      </c>
      <c r="AB21" s="7" t="n">
        <v>1</v>
      </c>
      <c r="AC21" s="7" t="n">
        <v>-1</v>
      </c>
      <c r="AD21" s="7" t="n">
        <v>2</v>
      </c>
      <c r="AE21" s="7" t="n">
        <v>-3</v>
      </c>
      <c r="AF21" s="7" t="n">
        <v>-2</v>
      </c>
      <c r="AG21" s="7" t="n">
        <v>-1</v>
      </c>
      <c r="AH21" s="8" t="n">
        <v>0</v>
      </c>
      <c r="AI21" s="8" t="n">
        <v>1</v>
      </c>
      <c r="AJ21" s="8" t="n">
        <v>0</v>
      </c>
      <c r="AK21" s="8" t="n">
        <v>1</v>
      </c>
      <c r="AL21" s="8" t="n">
        <v>0</v>
      </c>
      <c r="AM21" s="8" t="n">
        <v>1</v>
      </c>
      <c r="AN21" s="8" t="n">
        <v>2</v>
      </c>
      <c r="AO21" s="8" t="n">
        <v>2</v>
      </c>
      <c r="AP21" s="8" t="n">
        <v>3</v>
      </c>
      <c r="AQ21" s="8" t="n">
        <v>1</v>
      </c>
      <c r="AR21" s="8" t="n">
        <v>2</v>
      </c>
      <c r="AS21" s="8" t="n">
        <v>-2</v>
      </c>
      <c r="AT21" s="8" t="n">
        <v>0</v>
      </c>
      <c r="AU21" s="8" t="n">
        <v>-3</v>
      </c>
      <c r="AV21" s="8" t="n">
        <v>-2</v>
      </c>
      <c r="AW21" s="8" t="n">
        <v>0</v>
      </c>
      <c r="AX21" s="8" t="n">
        <v>-1</v>
      </c>
      <c r="AY21" s="8" t="n">
        <v>-1</v>
      </c>
      <c r="AZ21" s="8" t="n">
        <v>3</v>
      </c>
      <c r="BA21" s="8" t="n">
        <v>-2</v>
      </c>
      <c r="BB21" s="8" t="n">
        <v>3</v>
      </c>
      <c r="BC21" s="8" t="n">
        <v>3</v>
      </c>
      <c r="BD21" s="8" t="n">
        <v>-3</v>
      </c>
      <c r="BE21" s="8" t="n">
        <v>2</v>
      </c>
      <c r="BF21" s="8" t="n">
        <v>0</v>
      </c>
      <c r="BG21" s="8" t="n">
        <v>-3</v>
      </c>
      <c r="BH21" s="8" t="n">
        <v>3</v>
      </c>
      <c r="BI21" s="8" t="n">
        <v>3</v>
      </c>
      <c r="BJ21" s="8" t="n">
        <v>2</v>
      </c>
      <c r="BK21" s="8" t="n">
        <v>-2</v>
      </c>
      <c r="BL21" s="8" t="n">
        <v>-1</v>
      </c>
      <c r="BM21" s="8" t="n">
        <v>0</v>
      </c>
      <c r="BN21" s="8" t="n">
        <v>-2</v>
      </c>
      <c r="BO21" s="8" t="n">
        <v>2</v>
      </c>
      <c r="BP21" s="8" t="n">
        <v>-1</v>
      </c>
      <c r="BQ21" s="8" t="n">
        <v>1</v>
      </c>
      <c r="BR21" s="8" t="n">
        <v>3</v>
      </c>
      <c r="BS21" s="8" t="n">
        <v>3</v>
      </c>
      <c r="BT21" s="9" t="n">
        <v>-3</v>
      </c>
      <c r="BU21" s="9" t="n">
        <v>1</v>
      </c>
      <c r="BV21" s="9" t="n">
        <v>0</v>
      </c>
      <c r="BW21" s="9" t="n">
        <v>3</v>
      </c>
      <c r="BX21" s="9" t="n">
        <v>-1</v>
      </c>
      <c r="BY21" s="9" t="n">
        <v>0</v>
      </c>
      <c r="BZ21" s="9" t="n">
        <v>-1</v>
      </c>
      <c r="CA21" s="9" t="n">
        <v>3</v>
      </c>
      <c r="CB21" s="9" t="n">
        <v>-1</v>
      </c>
      <c r="CC21" s="9" t="n">
        <v>0</v>
      </c>
      <c r="CD21" s="9" t="n">
        <v>-2</v>
      </c>
      <c r="CE21" s="9" t="n">
        <v>2</v>
      </c>
    </row>
    <row r="22">
      <c r="A22" t="n">
        <v>18</v>
      </c>
      <c r="B22" t="inlineStr">
        <is>
          <t>爬蟲族</t>
        </is>
      </c>
      <c r="C22" t="inlineStr">
        <is>
          <t>Reptilian</t>
        </is>
      </c>
      <c r="D22" s="7" t="n">
        <v>-1</v>
      </c>
      <c r="E22" s="7" t="n">
        <v>-2</v>
      </c>
      <c r="F22" s="7" t="n">
        <v>-1</v>
      </c>
      <c r="G22" s="7" t="n">
        <v>0</v>
      </c>
      <c r="H22" s="7" t="n">
        <v>1</v>
      </c>
      <c r="I22" s="7" t="n">
        <v>-2</v>
      </c>
      <c r="J22" s="7" t="n">
        <v>-2</v>
      </c>
      <c r="K22" s="7" t="n">
        <v>0</v>
      </c>
      <c r="L22" s="7" t="n">
        <v>2</v>
      </c>
      <c r="M22" s="7" t="n">
        <v>0</v>
      </c>
      <c r="N22" s="7" t="n">
        <v>2</v>
      </c>
      <c r="O22" s="7" t="n">
        <v>2</v>
      </c>
      <c r="P22" s="7" t="n">
        <v>3</v>
      </c>
      <c r="Q22" s="7" t="n">
        <v>-2</v>
      </c>
      <c r="R22" s="7" t="n">
        <v>-2</v>
      </c>
      <c r="S22" s="7" t="n">
        <v>0</v>
      </c>
      <c r="T22" s="7" t="n">
        <v>1</v>
      </c>
      <c r="U22" s="7" t="n">
        <v>0</v>
      </c>
      <c r="V22" s="7" t="n">
        <v>0</v>
      </c>
      <c r="W22" s="7" t="n">
        <v>0</v>
      </c>
      <c r="X22" s="7" t="n">
        <v>-2</v>
      </c>
      <c r="Y22" s="7" t="n">
        <v>0</v>
      </c>
      <c r="Z22" s="7" t="n">
        <v>0</v>
      </c>
      <c r="AA22" s="7" t="n">
        <v>-3</v>
      </c>
      <c r="AB22" s="7" t="n">
        <v>2</v>
      </c>
      <c r="AC22" s="7" t="n">
        <v>0</v>
      </c>
      <c r="AD22" s="7" t="n">
        <v>-1</v>
      </c>
      <c r="AE22" s="7" t="n">
        <v>-1</v>
      </c>
      <c r="AF22" s="7" t="n">
        <v>-2</v>
      </c>
      <c r="AG22" s="7" t="n">
        <v>-2</v>
      </c>
      <c r="AH22" s="8" t="n">
        <v>0</v>
      </c>
      <c r="AI22" s="8" t="n">
        <v>2</v>
      </c>
      <c r="AJ22" s="8" t="n">
        <v>0</v>
      </c>
      <c r="AK22" s="8" t="n">
        <v>2</v>
      </c>
      <c r="AL22" s="8" t="n">
        <v>0</v>
      </c>
      <c r="AM22" s="8" t="n">
        <v>1</v>
      </c>
      <c r="AN22" s="8" t="n">
        <v>2</v>
      </c>
      <c r="AO22" s="8" t="n">
        <v>1</v>
      </c>
      <c r="AP22" s="8" t="n">
        <v>0</v>
      </c>
      <c r="AQ22" s="8" t="n">
        <v>2</v>
      </c>
      <c r="AR22" s="8" t="n">
        <v>2</v>
      </c>
      <c r="AS22" s="8" t="n">
        <v>3</v>
      </c>
      <c r="AT22" s="8" t="n">
        <v>-1</v>
      </c>
      <c r="AU22" s="8" t="n">
        <v>-1</v>
      </c>
      <c r="AV22" s="8" t="n">
        <v>2</v>
      </c>
      <c r="AW22" s="8" t="n">
        <v>-1</v>
      </c>
      <c r="AX22" s="8" t="n">
        <v>-2</v>
      </c>
      <c r="AY22" s="8" t="n">
        <v>0</v>
      </c>
      <c r="AZ22" s="8" t="n">
        <v>1</v>
      </c>
      <c r="BA22" s="8" t="n">
        <v>-3</v>
      </c>
      <c r="BB22" s="8" t="n">
        <v>-3</v>
      </c>
      <c r="BC22" s="8" t="n">
        <v>1</v>
      </c>
      <c r="BD22" s="8" t="n">
        <v>2</v>
      </c>
      <c r="BE22" s="8" t="n">
        <v>3</v>
      </c>
      <c r="BF22" s="8" t="n">
        <v>-3</v>
      </c>
      <c r="BG22" s="8" t="n">
        <v>2</v>
      </c>
      <c r="BH22" s="8" t="n">
        <v>-3</v>
      </c>
      <c r="BI22" s="8" t="n">
        <v>1</v>
      </c>
      <c r="BJ22" s="8" t="n">
        <v>1</v>
      </c>
      <c r="BK22" s="8" t="n">
        <v>0</v>
      </c>
      <c r="BL22" s="8" t="n">
        <v>-1</v>
      </c>
      <c r="BM22" s="8" t="n">
        <v>-1</v>
      </c>
      <c r="BN22" s="8" t="n">
        <v>2</v>
      </c>
      <c r="BO22" s="8" t="n">
        <v>1</v>
      </c>
      <c r="BP22" s="8" t="n">
        <v>0</v>
      </c>
      <c r="BQ22" s="8" t="n">
        <v>2</v>
      </c>
      <c r="BR22" s="8" t="n">
        <v>3</v>
      </c>
      <c r="BS22" s="8" t="n">
        <v>2</v>
      </c>
      <c r="BT22" s="9" t="n">
        <v>-3</v>
      </c>
      <c r="BU22" s="9" t="n">
        <v>2</v>
      </c>
      <c r="BV22" s="9" t="n">
        <v>3</v>
      </c>
      <c r="BW22" s="9" t="n">
        <v>-3</v>
      </c>
      <c r="BX22" s="9" t="n">
        <v>-1</v>
      </c>
      <c r="BY22" s="9" t="n">
        <v>0</v>
      </c>
      <c r="BZ22" s="9" t="n">
        <v>-2</v>
      </c>
      <c r="CA22" s="9" t="n">
        <v>1</v>
      </c>
      <c r="CB22" s="9" t="n">
        <v>-3</v>
      </c>
      <c r="CC22" s="9" t="n">
        <v>0</v>
      </c>
      <c r="CD22" s="9" t="n">
        <v>-3</v>
      </c>
      <c r="CE22" s="9" t="n">
        <v>3</v>
      </c>
    </row>
    <row r="23">
      <c r="A23" t="n">
        <v>19</v>
      </c>
      <c r="B23" t="inlineStr">
        <is>
          <t>灰人</t>
        </is>
      </c>
      <c r="C23" t="inlineStr">
        <is>
          <t>Zeta / Grey</t>
        </is>
      </c>
      <c r="D23" s="7" t="n">
        <v>-3</v>
      </c>
      <c r="E23" s="7" t="n">
        <v>-2</v>
      </c>
      <c r="F23" s="7" t="n">
        <v>-2</v>
      </c>
      <c r="G23" s="7" t="n">
        <v>3</v>
      </c>
      <c r="H23" s="7" t="n">
        <v>3</v>
      </c>
      <c r="I23" s="7" t="n">
        <v>3</v>
      </c>
      <c r="J23" s="7" t="n">
        <v>2</v>
      </c>
      <c r="K23" s="7" t="n">
        <v>0</v>
      </c>
      <c r="L23" s="7" t="n">
        <v>0</v>
      </c>
      <c r="M23" s="7" t="n">
        <v>0</v>
      </c>
      <c r="N23" s="7" t="n">
        <v>-3</v>
      </c>
      <c r="O23" s="7" t="n">
        <v>-2</v>
      </c>
      <c r="P23" s="7" t="n">
        <v>2</v>
      </c>
      <c r="Q23" s="7" t="n">
        <v>-2</v>
      </c>
      <c r="R23" s="7" t="n">
        <v>3</v>
      </c>
      <c r="S23" s="7" t="n">
        <v>-1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-3</v>
      </c>
      <c r="AA23" s="7" t="n">
        <v>-2</v>
      </c>
      <c r="AB23" s="7" t="n">
        <v>0</v>
      </c>
      <c r="AC23" s="7" t="n">
        <v>1</v>
      </c>
      <c r="AD23" s="7" t="n">
        <v>1</v>
      </c>
      <c r="AE23" s="7" t="n">
        <v>0</v>
      </c>
      <c r="AF23" s="7" t="n">
        <v>0</v>
      </c>
      <c r="AG23" s="7" t="n">
        <v>-3</v>
      </c>
      <c r="AH23" s="8" t="n">
        <v>-2</v>
      </c>
      <c r="AI23" s="8" t="n">
        <v>0</v>
      </c>
      <c r="AJ23" s="8" t="n">
        <v>-1</v>
      </c>
      <c r="AK23" s="8" t="n">
        <v>2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1</v>
      </c>
      <c r="AQ23" s="8" t="n">
        <v>-1</v>
      </c>
      <c r="AR23" s="8" t="n">
        <v>1</v>
      </c>
      <c r="AS23" s="8" t="n">
        <v>2</v>
      </c>
      <c r="AT23" s="8" t="n">
        <v>1</v>
      </c>
      <c r="AU23" s="8" t="n">
        <v>3</v>
      </c>
      <c r="AV23" s="8" t="n">
        <v>2</v>
      </c>
      <c r="AW23" s="8" t="n">
        <v>-3</v>
      </c>
      <c r="AX23" s="8" t="n">
        <v>-3</v>
      </c>
      <c r="AY23" s="8" t="n">
        <v>3</v>
      </c>
      <c r="AZ23" s="8" t="n">
        <v>0</v>
      </c>
      <c r="BA23" s="8" t="n">
        <v>3</v>
      </c>
      <c r="BB23" s="8" t="n">
        <v>2</v>
      </c>
      <c r="BC23" s="8" t="n">
        <v>-3</v>
      </c>
      <c r="BD23" s="8" t="n">
        <v>-3</v>
      </c>
      <c r="BE23" s="8" t="n">
        <v>1</v>
      </c>
      <c r="BF23" s="8" t="n">
        <v>3</v>
      </c>
      <c r="BG23" s="8" t="n">
        <v>-3</v>
      </c>
      <c r="BH23" s="8" t="n">
        <v>2</v>
      </c>
      <c r="BI23" s="8" t="n">
        <v>1</v>
      </c>
      <c r="BJ23" s="8" t="n">
        <v>0</v>
      </c>
      <c r="BK23" s="8" t="n">
        <v>-2</v>
      </c>
      <c r="BL23" s="8" t="n">
        <v>0</v>
      </c>
      <c r="BM23" s="8" t="n">
        <v>1</v>
      </c>
      <c r="BN23" s="8" t="n">
        <v>0</v>
      </c>
      <c r="BO23" s="8" t="n">
        <v>0</v>
      </c>
      <c r="BP23" s="8" t="n">
        <v>0</v>
      </c>
      <c r="BQ23" s="8" t="n">
        <v>3</v>
      </c>
      <c r="BR23" s="8" t="n">
        <v>0</v>
      </c>
      <c r="BS23" s="8" t="n">
        <v>3</v>
      </c>
      <c r="BT23" s="9" t="n">
        <v>-3</v>
      </c>
      <c r="BU23" s="9" t="n">
        <v>-2</v>
      </c>
      <c r="BV23" s="9" t="n">
        <v>3</v>
      </c>
      <c r="BW23" s="9" t="n">
        <v>2</v>
      </c>
      <c r="BX23" s="9" t="n">
        <v>3</v>
      </c>
      <c r="BY23" s="9" t="n">
        <v>2</v>
      </c>
      <c r="BZ23" s="9" t="n">
        <v>0</v>
      </c>
      <c r="CA23" s="9" t="n">
        <v>2</v>
      </c>
      <c r="CB23" s="9" t="n">
        <v>-3</v>
      </c>
      <c r="CC23" s="9" t="n">
        <v>0</v>
      </c>
      <c r="CD23" s="9" t="n">
        <v>3</v>
      </c>
      <c r="CE23" s="9" t="n">
        <v>1</v>
      </c>
    </row>
    <row r="24">
      <c r="A24" t="n">
        <v>20</v>
      </c>
      <c r="B24" t="inlineStr">
        <is>
          <t>阿努納奇</t>
        </is>
      </c>
      <c r="C24" t="inlineStr">
        <is>
          <t>Anunnaki / Nibiruan</t>
        </is>
      </c>
      <c r="D24" s="7" t="n">
        <v>-1</v>
      </c>
      <c r="E24" s="7" t="n">
        <v>0</v>
      </c>
      <c r="F24" s="7" t="n">
        <v>-3</v>
      </c>
      <c r="G24" s="7" t="n">
        <v>0</v>
      </c>
      <c r="H24" s="7" t="n">
        <v>3</v>
      </c>
      <c r="I24" s="7" t="n">
        <v>2</v>
      </c>
      <c r="J24" s="7" t="n">
        <v>3</v>
      </c>
      <c r="K24" s="7" t="n">
        <v>-2</v>
      </c>
      <c r="L24" s="7" t="n">
        <v>-2</v>
      </c>
      <c r="M24" s="7" t="n">
        <v>3</v>
      </c>
      <c r="N24" s="7" t="n">
        <v>0</v>
      </c>
      <c r="O24" s="7" t="n">
        <v>2</v>
      </c>
      <c r="P24" s="7" t="n">
        <v>2</v>
      </c>
      <c r="Q24" s="7" t="n">
        <v>-2</v>
      </c>
      <c r="R24" s="7" t="n">
        <v>2</v>
      </c>
      <c r="S24" s="7" t="n">
        <v>-2</v>
      </c>
      <c r="T24" s="7" t="n">
        <v>2</v>
      </c>
      <c r="U24" s="7" t="n">
        <v>3</v>
      </c>
      <c r="V24" s="7" t="n">
        <v>-2</v>
      </c>
      <c r="W24" s="7" t="n">
        <v>0</v>
      </c>
      <c r="X24" s="7" t="n">
        <v>0</v>
      </c>
      <c r="Y24" s="7" t="n">
        <v>-1</v>
      </c>
      <c r="Z24" s="7" t="n">
        <v>-3</v>
      </c>
      <c r="AA24" s="7" t="n">
        <v>-2</v>
      </c>
      <c r="AB24" s="7" t="n">
        <v>-1</v>
      </c>
      <c r="AC24" s="7" t="n">
        <v>0</v>
      </c>
      <c r="AD24" s="7" t="n">
        <v>3</v>
      </c>
      <c r="AE24" s="7" t="n">
        <v>-2</v>
      </c>
      <c r="AF24" s="7" t="n">
        <v>-1</v>
      </c>
      <c r="AG24" s="7" t="n">
        <v>-2</v>
      </c>
      <c r="AH24" s="8" t="n">
        <v>0</v>
      </c>
      <c r="AI24" s="8" t="n">
        <v>1</v>
      </c>
      <c r="AJ24" s="8" t="n">
        <v>0</v>
      </c>
      <c r="AK24" s="8" t="n">
        <v>1</v>
      </c>
      <c r="AL24" s="8" t="n">
        <v>0</v>
      </c>
      <c r="AM24" s="8" t="n">
        <v>1</v>
      </c>
      <c r="AN24" s="8" t="n">
        <v>2</v>
      </c>
      <c r="AO24" s="8" t="n">
        <v>2</v>
      </c>
      <c r="AP24" s="8" t="n">
        <v>3</v>
      </c>
      <c r="AQ24" s="8" t="n">
        <v>1</v>
      </c>
      <c r="AR24" s="8" t="n">
        <v>2</v>
      </c>
      <c r="AS24" s="8" t="n">
        <v>-3</v>
      </c>
      <c r="AT24" s="8" t="n">
        <v>-1</v>
      </c>
      <c r="AU24" s="8" t="n">
        <v>0</v>
      </c>
      <c r="AV24" s="8" t="n">
        <v>-3</v>
      </c>
      <c r="AW24" s="8" t="n">
        <v>0</v>
      </c>
      <c r="AX24" s="8" t="n">
        <v>-2</v>
      </c>
      <c r="AY24" s="8" t="n">
        <v>1</v>
      </c>
      <c r="AZ24" s="8" t="n">
        <v>3</v>
      </c>
      <c r="BA24" s="8" t="n">
        <v>1</v>
      </c>
      <c r="BB24" s="8" t="n">
        <v>3</v>
      </c>
      <c r="BC24" s="8" t="n">
        <v>2</v>
      </c>
      <c r="BD24" s="8" t="n">
        <v>-3</v>
      </c>
      <c r="BE24" s="8" t="n">
        <v>-2</v>
      </c>
      <c r="BF24" s="8" t="n">
        <v>2</v>
      </c>
      <c r="BG24" s="8" t="n">
        <v>-3</v>
      </c>
      <c r="BH24" s="8" t="n">
        <v>3</v>
      </c>
      <c r="BI24" s="8" t="n">
        <v>3</v>
      </c>
      <c r="BJ24" s="8" t="n">
        <v>2</v>
      </c>
      <c r="BK24" s="8" t="n">
        <v>-2</v>
      </c>
      <c r="BL24" s="8" t="n">
        <v>0</v>
      </c>
      <c r="BM24" s="8" t="n">
        <v>-1</v>
      </c>
      <c r="BN24" s="8" t="n">
        <v>-2</v>
      </c>
      <c r="BO24" s="8" t="n">
        <v>2</v>
      </c>
      <c r="BP24" s="8" t="n">
        <v>-1</v>
      </c>
      <c r="BQ24" s="8" t="n">
        <v>1</v>
      </c>
      <c r="BR24" s="8" t="n">
        <v>2</v>
      </c>
      <c r="BS24" s="8" t="n">
        <v>3</v>
      </c>
      <c r="BT24" s="9" t="n">
        <v>-3</v>
      </c>
      <c r="BU24" s="9" t="n">
        <v>1</v>
      </c>
      <c r="BV24" s="9" t="n">
        <v>2</v>
      </c>
      <c r="BW24" s="9" t="n">
        <v>3</v>
      </c>
      <c r="BX24" s="9" t="n">
        <v>0</v>
      </c>
      <c r="BY24" s="9" t="n">
        <v>0</v>
      </c>
      <c r="BZ24" s="9" t="n">
        <v>-1</v>
      </c>
      <c r="CA24" s="9" t="n">
        <v>2</v>
      </c>
      <c r="CB24" s="9" t="n">
        <v>2</v>
      </c>
      <c r="CC24" s="9" t="n">
        <v>0</v>
      </c>
      <c r="CD24" s="9" t="n">
        <v>-1</v>
      </c>
      <c r="CE24" s="9" t="n">
        <v>-2</v>
      </c>
    </row>
    <row r="25">
      <c r="A25" t="n">
        <v>21</v>
      </c>
      <c r="B25" t="inlineStr">
        <is>
          <t>鯨魚座τ星人</t>
        </is>
      </c>
      <c r="C25" t="inlineStr">
        <is>
          <t>Tau Cetian</t>
        </is>
      </c>
      <c r="D25" s="7" t="n">
        <v>0</v>
      </c>
      <c r="E25" s="7" t="n">
        <v>0</v>
      </c>
      <c r="F25" s="7" t="n">
        <v>-1</v>
      </c>
      <c r="G25" s="7" t="n">
        <v>0</v>
      </c>
      <c r="H25" s="7" t="n">
        <v>1</v>
      </c>
      <c r="I25" s="7" t="n">
        <v>1</v>
      </c>
      <c r="J25" s="7" t="n">
        <v>2</v>
      </c>
      <c r="K25" s="7" t="n">
        <v>0</v>
      </c>
      <c r="L25" s="7" t="n">
        <v>0</v>
      </c>
      <c r="M25" s="7" t="n">
        <v>-2</v>
      </c>
      <c r="N25" s="7" t="n">
        <v>0</v>
      </c>
      <c r="O25" s="7" t="n">
        <v>-2</v>
      </c>
      <c r="P25" s="7" t="n">
        <v>-2</v>
      </c>
      <c r="Q25" s="7" t="n">
        <v>3</v>
      </c>
      <c r="R25" s="7" t="n">
        <v>2</v>
      </c>
      <c r="S25" s="7" t="n">
        <v>-1</v>
      </c>
      <c r="T25" s="7" t="n">
        <v>0</v>
      </c>
      <c r="U25" s="7" t="n">
        <v>0</v>
      </c>
      <c r="V25" s="7" t="n">
        <v>1</v>
      </c>
      <c r="W25" s="7" t="n">
        <v>0</v>
      </c>
      <c r="X25" s="7" t="n">
        <v>3</v>
      </c>
      <c r="Y25" s="7" t="n">
        <v>0</v>
      </c>
      <c r="Z25" s="7" t="n">
        <v>-1</v>
      </c>
      <c r="AA25" s="7" t="n">
        <v>1</v>
      </c>
      <c r="AB25" s="7" t="n">
        <v>0</v>
      </c>
      <c r="AC25" s="7" t="n">
        <v>2</v>
      </c>
      <c r="AD25" s="7" t="n">
        <v>1</v>
      </c>
      <c r="AE25" s="7" t="n">
        <v>0</v>
      </c>
      <c r="AF25" s="7" t="n">
        <v>3</v>
      </c>
      <c r="AG25" s="7" t="n">
        <v>-2</v>
      </c>
      <c r="AH25" s="8" t="n">
        <v>0</v>
      </c>
      <c r="AI25" s="8" t="n">
        <v>0</v>
      </c>
      <c r="AJ25" s="8" t="n">
        <v>1</v>
      </c>
      <c r="AK25" s="8" t="n">
        <v>0</v>
      </c>
      <c r="AL25" s="8" t="n">
        <v>1</v>
      </c>
      <c r="AM25" s="8" t="n">
        <v>2</v>
      </c>
      <c r="AN25" s="8" t="n">
        <v>0</v>
      </c>
      <c r="AO25" s="8" t="n">
        <v>-1</v>
      </c>
      <c r="AP25" s="8" t="n">
        <v>1</v>
      </c>
      <c r="AQ25" s="8" t="n">
        <v>2</v>
      </c>
      <c r="AR25" s="8" t="n">
        <v>-1</v>
      </c>
      <c r="AS25" s="8" t="n">
        <v>3</v>
      </c>
      <c r="AT25" s="8" t="n">
        <v>0</v>
      </c>
      <c r="AU25" s="8" t="n">
        <v>2</v>
      </c>
      <c r="AV25" s="8" t="n">
        <v>0</v>
      </c>
      <c r="AW25" s="8" t="n">
        <v>1</v>
      </c>
      <c r="AX25" s="8" t="n">
        <v>0</v>
      </c>
      <c r="AY25" s="8" t="n">
        <v>-2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-2</v>
      </c>
      <c r="BE25" s="8" t="n">
        <v>1</v>
      </c>
      <c r="BF25" s="8" t="n">
        <v>1</v>
      </c>
      <c r="BG25" s="8" t="n">
        <v>-2</v>
      </c>
      <c r="BH25" s="8" t="n">
        <v>0</v>
      </c>
      <c r="BI25" s="8" t="n">
        <v>-3</v>
      </c>
      <c r="BJ25" s="8" t="n">
        <v>-1</v>
      </c>
      <c r="BK25" s="8" t="n">
        <v>-3</v>
      </c>
      <c r="BL25" s="8" t="n">
        <v>-3</v>
      </c>
      <c r="BM25" s="8" t="n">
        <v>0</v>
      </c>
      <c r="BN25" s="8" t="n">
        <v>-2</v>
      </c>
      <c r="BO25" s="8" t="n">
        <v>-1</v>
      </c>
      <c r="BP25" s="8" t="n">
        <v>-3</v>
      </c>
      <c r="BQ25" s="8" t="n">
        <v>3</v>
      </c>
      <c r="BR25" s="8" t="n">
        <v>0</v>
      </c>
      <c r="BS25" s="8" t="n">
        <v>3</v>
      </c>
      <c r="BT25" s="9" t="n">
        <v>-3</v>
      </c>
      <c r="BU25" s="9" t="n">
        <v>3</v>
      </c>
      <c r="BV25" s="9" t="n">
        <v>-3</v>
      </c>
      <c r="BW25" s="9" t="n">
        <v>0</v>
      </c>
      <c r="BX25" s="9" t="n">
        <v>-1</v>
      </c>
      <c r="BY25" s="9" t="n">
        <v>0</v>
      </c>
      <c r="BZ25" s="9" t="n">
        <v>0</v>
      </c>
      <c r="CA25" s="9" t="n">
        <v>-3</v>
      </c>
      <c r="CB25" s="9" t="n">
        <v>-3</v>
      </c>
      <c r="CC25" s="9" t="n">
        <v>0</v>
      </c>
      <c r="CD25" s="9" t="n">
        <v>0</v>
      </c>
      <c r="CE25" s="9" t="n">
        <v>1</v>
      </c>
    </row>
    <row r="26">
      <c r="A26" t="n">
        <v>22</v>
      </c>
      <c r="B26" t="inlineStr">
        <is>
          <t>安塔瑞斯星人</t>
        </is>
      </c>
      <c r="C26" t="inlineStr">
        <is>
          <t>Antarian</t>
        </is>
      </c>
      <c r="D26" s="7" t="n">
        <v>-1</v>
      </c>
      <c r="E26" s="7" t="n">
        <v>0</v>
      </c>
      <c r="F26" s="7" t="n">
        <v>-2</v>
      </c>
      <c r="G26" s="7" t="n">
        <v>0</v>
      </c>
      <c r="H26" s="7" t="n">
        <v>2</v>
      </c>
      <c r="I26" s="7" t="n">
        <v>2</v>
      </c>
      <c r="J26" s="7" t="n">
        <v>2</v>
      </c>
      <c r="K26" s="7" t="n">
        <v>0</v>
      </c>
      <c r="L26" s="7" t="n">
        <v>0</v>
      </c>
      <c r="M26" s="7" t="n">
        <v>0</v>
      </c>
      <c r="N26" s="7" t="n">
        <v>-2</v>
      </c>
      <c r="O26" s="7" t="n">
        <v>2</v>
      </c>
      <c r="P26" s="7" t="n">
        <v>3</v>
      </c>
      <c r="Q26" s="7" t="n">
        <v>0</v>
      </c>
      <c r="R26" s="7" t="n">
        <v>3</v>
      </c>
      <c r="S26" s="7" t="n">
        <v>-1</v>
      </c>
      <c r="T26" s="7" t="n">
        <v>1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-1</v>
      </c>
      <c r="AA26" s="7" t="n">
        <v>-3</v>
      </c>
      <c r="AB26" s="7" t="n">
        <v>2</v>
      </c>
      <c r="AC26" s="7" t="n">
        <v>1</v>
      </c>
      <c r="AD26" s="7" t="n">
        <v>1</v>
      </c>
      <c r="AE26" s="7" t="n">
        <v>-2</v>
      </c>
      <c r="AF26" s="7" t="n">
        <v>-1</v>
      </c>
      <c r="AG26" s="7" t="n">
        <v>-3</v>
      </c>
      <c r="AH26" s="8" t="n">
        <v>0</v>
      </c>
      <c r="AI26" s="8" t="n">
        <v>1</v>
      </c>
      <c r="AJ26" s="8" t="n">
        <v>0</v>
      </c>
      <c r="AK26" s="8" t="n">
        <v>1</v>
      </c>
      <c r="AL26" s="8" t="n">
        <v>0</v>
      </c>
      <c r="AM26" s="8" t="n">
        <v>2</v>
      </c>
      <c r="AN26" s="8" t="n">
        <v>3</v>
      </c>
      <c r="AO26" s="8" t="n">
        <v>2</v>
      </c>
      <c r="AP26" s="8" t="n">
        <v>1</v>
      </c>
      <c r="AQ26" s="8" t="n">
        <v>-1</v>
      </c>
      <c r="AR26" s="8" t="n">
        <v>1</v>
      </c>
      <c r="AS26" s="8" t="n">
        <v>2</v>
      </c>
      <c r="AT26" s="8" t="n">
        <v>1</v>
      </c>
      <c r="AU26" s="8" t="n">
        <v>1</v>
      </c>
      <c r="AV26" s="8" t="n">
        <v>0</v>
      </c>
      <c r="AW26" s="8" t="n">
        <v>-3</v>
      </c>
      <c r="AX26" s="8" t="n">
        <v>-3</v>
      </c>
      <c r="AY26" s="8" t="n">
        <v>3</v>
      </c>
      <c r="AZ26" s="8" t="n">
        <v>1</v>
      </c>
      <c r="BA26" s="8" t="n">
        <v>2</v>
      </c>
      <c r="BB26" s="8" t="n">
        <v>2</v>
      </c>
      <c r="BC26" s="8" t="n">
        <v>-3</v>
      </c>
      <c r="BD26" s="8" t="n">
        <v>-3</v>
      </c>
      <c r="BE26" s="8" t="n">
        <v>2</v>
      </c>
      <c r="BF26" s="8" t="n">
        <v>3</v>
      </c>
      <c r="BG26" s="8" t="n">
        <v>-3</v>
      </c>
      <c r="BH26" s="8" t="n">
        <v>1</v>
      </c>
      <c r="BI26" s="8" t="n">
        <v>0</v>
      </c>
      <c r="BJ26" s="8" t="n">
        <v>2</v>
      </c>
      <c r="BK26" s="8" t="n">
        <v>0</v>
      </c>
      <c r="BL26" s="8" t="n">
        <v>-1</v>
      </c>
      <c r="BM26" s="8" t="n">
        <v>1</v>
      </c>
      <c r="BN26" s="8" t="n">
        <v>0</v>
      </c>
      <c r="BO26" s="8" t="n">
        <v>2</v>
      </c>
      <c r="BP26" s="8" t="n">
        <v>-1</v>
      </c>
      <c r="BQ26" s="8" t="n">
        <v>2</v>
      </c>
      <c r="BR26" s="8" t="n">
        <v>1</v>
      </c>
      <c r="BS26" s="8" t="n">
        <v>3</v>
      </c>
      <c r="BT26" s="9" t="n">
        <v>-3</v>
      </c>
      <c r="BU26" s="9" t="n">
        <v>-2</v>
      </c>
      <c r="BV26" s="9" t="n">
        <v>3</v>
      </c>
      <c r="BW26" s="9" t="n">
        <v>2</v>
      </c>
      <c r="BX26" s="9" t="n">
        <v>-1</v>
      </c>
      <c r="BY26" s="9" t="n">
        <v>0</v>
      </c>
      <c r="BZ26" s="9" t="n">
        <v>-1</v>
      </c>
      <c r="CA26" s="9" t="n">
        <v>1</v>
      </c>
      <c r="CB26" s="9" t="n">
        <v>-3</v>
      </c>
      <c r="CC26" s="9" t="n">
        <v>0</v>
      </c>
      <c r="CD26" s="9" t="n">
        <v>3</v>
      </c>
      <c r="CE26" s="9" t="n">
        <v>2</v>
      </c>
    </row>
    <row r="27">
      <c r="A27" t="n">
        <v>23</v>
      </c>
      <c r="B27" t="inlineStr">
        <is>
          <t>地球源靈魂</t>
        </is>
      </c>
      <c r="C27" t="inlineStr">
        <is>
          <t>Earth-Origin Soul</t>
        </is>
      </c>
      <c r="D27" s="7" t="n">
        <v>0</v>
      </c>
      <c r="E27" s="7" t="n">
        <v>2</v>
      </c>
      <c r="F27" s="7" t="n">
        <v>0</v>
      </c>
      <c r="G27" s="7" t="n">
        <v>0</v>
      </c>
      <c r="H27" s="7" t="n">
        <v>0</v>
      </c>
      <c r="I27" s="7" t="n">
        <v>1</v>
      </c>
      <c r="J27" s="7" t="n">
        <v>-2</v>
      </c>
      <c r="K27" s="7" t="n">
        <v>-3</v>
      </c>
      <c r="L27" s="7" t="n">
        <v>-2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2</v>
      </c>
      <c r="R27" s="7" t="n">
        <v>2</v>
      </c>
      <c r="S27" s="7" t="n">
        <v>1</v>
      </c>
      <c r="T27" s="7" t="n">
        <v>2</v>
      </c>
      <c r="U27" s="7" t="n">
        <v>3</v>
      </c>
      <c r="V27" s="7" t="n">
        <v>-2</v>
      </c>
      <c r="W27" s="7" t="n">
        <v>3</v>
      </c>
      <c r="X27" s="7" t="n">
        <v>0</v>
      </c>
      <c r="Y27" s="7" t="n">
        <v>2</v>
      </c>
      <c r="Z27" s="7" t="n">
        <v>2</v>
      </c>
      <c r="AA27" s="7" t="n">
        <v>-1</v>
      </c>
      <c r="AB27" s="7" t="n">
        <v>-1</v>
      </c>
      <c r="AC27" s="7" t="n">
        <v>0</v>
      </c>
      <c r="AD27" s="7" t="n">
        <v>3</v>
      </c>
      <c r="AE27" s="7" t="n">
        <v>-2</v>
      </c>
      <c r="AF27" s="7" t="n">
        <v>1</v>
      </c>
      <c r="AG27" s="7" t="n">
        <v>-2</v>
      </c>
      <c r="AH27" s="8" t="n">
        <v>0</v>
      </c>
      <c r="AI27" s="8" t="n">
        <v>0</v>
      </c>
      <c r="AJ27" s="8" t="n">
        <v>3</v>
      </c>
      <c r="AK27" s="8" t="n">
        <v>0</v>
      </c>
      <c r="AL27" s="8" t="n">
        <v>3</v>
      </c>
      <c r="AM27" s="8" t="n">
        <v>3</v>
      </c>
      <c r="AN27" s="8" t="n">
        <v>2</v>
      </c>
      <c r="AO27" s="8" t="n">
        <v>-1</v>
      </c>
      <c r="AP27" s="8" t="n">
        <v>3</v>
      </c>
      <c r="AQ27" s="8" t="n">
        <v>1</v>
      </c>
      <c r="AR27" s="8" t="n">
        <v>3</v>
      </c>
      <c r="AS27" s="8" t="n">
        <v>3</v>
      </c>
      <c r="AT27" s="8" t="n">
        <v>2</v>
      </c>
      <c r="AU27" s="8" t="n">
        <v>2</v>
      </c>
      <c r="AV27" s="8" t="n">
        <v>1</v>
      </c>
      <c r="AW27" s="8" t="n">
        <v>1</v>
      </c>
      <c r="AX27" s="8" t="n">
        <v>-1</v>
      </c>
      <c r="AY27" s="8" t="n">
        <v>0</v>
      </c>
      <c r="AZ27" s="8" t="n">
        <v>3</v>
      </c>
      <c r="BA27" s="8" t="n">
        <v>0</v>
      </c>
      <c r="BB27" s="8" t="n">
        <v>2</v>
      </c>
      <c r="BC27" s="8" t="n">
        <v>0</v>
      </c>
      <c r="BD27" s="8" t="n">
        <v>-1</v>
      </c>
      <c r="BE27" s="8" t="n">
        <v>2</v>
      </c>
      <c r="BF27" s="8" t="n">
        <v>1</v>
      </c>
      <c r="BG27" s="8" t="n">
        <v>-1</v>
      </c>
      <c r="BH27" s="8" t="n">
        <v>1</v>
      </c>
      <c r="BI27" s="8" t="n">
        <v>2</v>
      </c>
      <c r="BJ27" s="8" t="n">
        <v>-1</v>
      </c>
      <c r="BK27" s="8" t="n">
        <v>-3</v>
      </c>
      <c r="BL27" s="8" t="n">
        <v>-3</v>
      </c>
      <c r="BM27" s="8" t="n">
        <v>2</v>
      </c>
      <c r="BN27" s="8" t="n">
        <v>-2</v>
      </c>
      <c r="BO27" s="8" t="n">
        <v>-1</v>
      </c>
      <c r="BP27" s="8" t="n">
        <v>-3</v>
      </c>
      <c r="BQ27" s="8" t="n">
        <v>-2</v>
      </c>
      <c r="BR27" s="8" t="n">
        <v>3</v>
      </c>
      <c r="BS27" s="8" t="n">
        <v>-3</v>
      </c>
      <c r="BT27" s="9" t="n">
        <v>-3</v>
      </c>
      <c r="BU27" s="9" t="n">
        <v>2</v>
      </c>
      <c r="BV27" s="9" t="n">
        <v>0</v>
      </c>
      <c r="BW27" s="9" t="n">
        <v>1</v>
      </c>
      <c r="BX27" s="9" t="n">
        <v>-2</v>
      </c>
      <c r="BY27" s="9" t="n">
        <v>0</v>
      </c>
      <c r="BZ27" s="9" t="n">
        <v>0</v>
      </c>
      <c r="CA27" s="9" t="n">
        <v>2</v>
      </c>
      <c r="CB27" s="9" t="n">
        <v>-3</v>
      </c>
      <c r="CC27" s="9" t="n">
        <v>3</v>
      </c>
      <c r="CD27" s="9" t="n">
        <v>0</v>
      </c>
      <c r="CE27" s="9" t="n">
        <v>2</v>
      </c>
    </row>
  </sheetData>
  <mergeCells count="2">
    <mergeCell ref="A1:CE1"/>
    <mergeCell ref="A2:C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E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</cols>
  <sheetData>
    <row r="1">
      <c r="A1" s="18" t="inlineStr">
        <is>
          <t>Formula Mirror — Expected Codebook Quantization Check</t>
        </is>
      </c>
    </row>
    <row r="2">
      <c r="A2" s="13" t="inlineStr">
        <is>
          <t>This sheet re-derives 08_EXPECTED_CODEBOOK_V4 from 07_CONTINUOUS_CODEBOOK using numeric controls in 04_CODEBOOK_CONTROL. It is a reproducibility check; 08 remains the immediately readable frozen value table.</t>
        </is>
      </c>
    </row>
    <row r="3"/>
    <row r="4">
      <c r="A4" s="19" t="inlineStr">
        <is>
          <t>#</t>
        </is>
      </c>
      <c r="B4" s="19" t="inlineStr">
        <is>
          <t>中文</t>
        </is>
      </c>
      <c r="C4" s="19" t="inlineStr">
        <is>
          <t>English</t>
        </is>
      </c>
      <c r="D4" s="19" t="inlineStr">
        <is>
          <t>G01</t>
        </is>
      </c>
      <c r="E4" s="19" t="inlineStr">
        <is>
          <t>G02</t>
        </is>
      </c>
      <c r="F4" s="19" t="inlineStr">
        <is>
          <t>G03</t>
        </is>
      </c>
      <c r="G4" s="19" t="inlineStr">
        <is>
          <t>G04</t>
        </is>
      </c>
      <c r="H4" s="19" t="inlineStr">
        <is>
          <t>G05</t>
        </is>
      </c>
      <c r="I4" s="19" t="inlineStr">
        <is>
          <t>G06</t>
        </is>
      </c>
      <c r="J4" s="19" t="inlineStr">
        <is>
          <t>G07</t>
        </is>
      </c>
      <c r="K4" s="19" t="inlineStr">
        <is>
          <t>G08</t>
        </is>
      </c>
      <c r="L4" s="19" t="inlineStr">
        <is>
          <t>G09</t>
        </is>
      </c>
      <c r="M4" s="19" t="inlineStr">
        <is>
          <t>G10</t>
        </is>
      </c>
      <c r="N4" s="19" t="inlineStr">
        <is>
          <t>G11</t>
        </is>
      </c>
      <c r="O4" s="19" t="inlineStr">
        <is>
          <t>G12</t>
        </is>
      </c>
      <c r="P4" s="19" t="inlineStr">
        <is>
          <t>G13</t>
        </is>
      </c>
      <c r="Q4" s="19" t="inlineStr">
        <is>
          <t>G14</t>
        </is>
      </c>
      <c r="R4" s="19" t="inlineStr">
        <is>
          <t>G15</t>
        </is>
      </c>
      <c r="S4" s="19" t="inlineStr">
        <is>
          <t>G16</t>
        </is>
      </c>
      <c r="T4" s="19" t="inlineStr">
        <is>
          <t>G17</t>
        </is>
      </c>
      <c r="U4" s="19" t="inlineStr">
        <is>
          <t>G18</t>
        </is>
      </c>
      <c r="V4" s="19" t="inlineStr">
        <is>
          <t>G19</t>
        </is>
      </c>
      <c r="W4" s="19" t="inlineStr">
        <is>
          <t>G20</t>
        </is>
      </c>
      <c r="X4" s="19" t="inlineStr">
        <is>
          <t>G21</t>
        </is>
      </c>
      <c r="Y4" s="19" t="inlineStr">
        <is>
          <t>G22</t>
        </is>
      </c>
      <c r="Z4" s="19" t="inlineStr">
        <is>
          <t>G23</t>
        </is>
      </c>
      <c r="AA4" s="19" t="inlineStr">
        <is>
          <t>G24</t>
        </is>
      </c>
      <c r="AB4" s="19" t="inlineStr">
        <is>
          <t>G25</t>
        </is>
      </c>
      <c r="AC4" s="19" t="inlineStr">
        <is>
          <t>G26</t>
        </is>
      </c>
      <c r="AD4" s="19" t="inlineStr">
        <is>
          <t>G27</t>
        </is>
      </c>
      <c r="AE4" s="19" t="inlineStr">
        <is>
          <t>G28</t>
        </is>
      </c>
      <c r="AF4" s="19" t="inlineStr">
        <is>
          <t>G29</t>
        </is>
      </c>
      <c r="AG4" s="19" t="inlineStr">
        <is>
          <t>G30</t>
        </is>
      </c>
      <c r="AH4" s="19" t="inlineStr">
        <is>
          <t>L01</t>
        </is>
      </c>
      <c r="AI4" s="19" t="inlineStr">
        <is>
          <t>L02</t>
        </is>
      </c>
      <c r="AJ4" s="19" t="inlineStr">
        <is>
          <t>L03</t>
        </is>
      </c>
      <c r="AK4" s="19" t="inlineStr">
        <is>
          <t>L04</t>
        </is>
      </c>
      <c r="AL4" s="19" t="inlineStr">
        <is>
          <t>L05</t>
        </is>
      </c>
      <c r="AM4" s="19" t="inlineStr">
        <is>
          <t>L06</t>
        </is>
      </c>
      <c r="AN4" s="19" t="inlineStr">
        <is>
          <t>L07</t>
        </is>
      </c>
      <c r="AO4" s="19" t="inlineStr">
        <is>
          <t>L08</t>
        </is>
      </c>
      <c r="AP4" s="19" t="inlineStr">
        <is>
          <t>L09</t>
        </is>
      </c>
      <c r="AQ4" s="19" t="inlineStr">
        <is>
          <t>L10</t>
        </is>
      </c>
      <c r="AR4" s="19" t="inlineStr">
        <is>
          <t>L11</t>
        </is>
      </c>
      <c r="AS4" s="19" t="inlineStr">
        <is>
          <t>L12</t>
        </is>
      </c>
      <c r="AT4" s="19" t="inlineStr">
        <is>
          <t>L13</t>
        </is>
      </c>
      <c r="AU4" s="19" t="inlineStr">
        <is>
          <t>L14</t>
        </is>
      </c>
      <c r="AV4" s="19" t="inlineStr">
        <is>
          <t>L15</t>
        </is>
      </c>
      <c r="AW4" s="19" t="inlineStr">
        <is>
          <t>L16</t>
        </is>
      </c>
      <c r="AX4" s="19" t="inlineStr">
        <is>
          <t>L17</t>
        </is>
      </c>
      <c r="AY4" s="19" t="inlineStr">
        <is>
          <t>L18</t>
        </is>
      </c>
      <c r="AZ4" s="19" t="inlineStr">
        <is>
          <t>L19</t>
        </is>
      </c>
      <c r="BA4" s="19" t="inlineStr">
        <is>
          <t>L20</t>
        </is>
      </c>
      <c r="BB4" s="19" t="inlineStr">
        <is>
          <t>L21</t>
        </is>
      </c>
      <c r="BC4" s="19" t="inlineStr">
        <is>
          <t>L22</t>
        </is>
      </c>
      <c r="BD4" s="19" t="inlineStr">
        <is>
          <t>L23</t>
        </is>
      </c>
      <c r="BE4" s="19" t="inlineStr">
        <is>
          <t>L24</t>
        </is>
      </c>
      <c r="BF4" s="19" t="inlineStr">
        <is>
          <t>L25</t>
        </is>
      </c>
      <c r="BG4" s="19" t="inlineStr">
        <is>
          <t>L26</t>
        </is>
      </c>
      <c r="BH4" s="19" t="inlineStr">
        <is>
          <t>L27</t>
        </is>
      </c>
      <c r="BI4" s="19" t="inlineStr">
        <is>
          <t>L28</t>
        </is>
      </c>
      <c r="BJ4" s="19" t="inlineStr">
        <is>
          <t>L29</t>
        </is>
      </c>
      <c r="BK4" s="19" t="inlineStr">
        <is>
          <t>L30</t>
        </is>
      </c>
      <c r="BL4" s="19" t="inlineStr">
        <is>
          <t>L31</t>
        </is>
      </c>
      <c r="BM4" s="19" t="inlineStr">
        <is>
          <t>L32</t>
        </is>
      </c>
      <c r="BN4" s="19" t="inlineStr">
        <is>
          <t>L33</t>
        </is>
      </c>
      <c r="BO4" s="19" t="inlineStr">
        <is>
          <t>L34</t>
        </is>
      </c>
      <c r="BP4" s="19" t="inlineStr">
        <is>
          <t>L35</t>
        </is>
      </c>
      <c r="BQ4" s="19" t="inlineStr">
        <is>
          <t>L36</t>
        </is>
      </c>
      <c r="BR4" s="19" t="inlineStr">
        <is>
          <t>L37</t>
        </is>
      </c>
      <c r="BS4" s="19" t="inlineStr">
        <is>
          <t>L38</t>
        </is>
      </c>
      <c r="BT4" s="19" t="inlineStr">
        <is>
          <t>A01</t>
        </is>
      </c>
      <c r="BU4" s="19" t="inlineStr">
        <is>
          <t>A02</t>
        </is>
      </c>
      <c r="BV4" s="19" t="inlineStr">
        <is>
          <t>A03</t>
        </is>
      </c>
      <c r="BW4" s="19" t="inlineStr">
        <is>
          <t>A04</t>
        </is>
      </c>
      <c r="BX4" s="19" t="inlineStr">
        <is>
          <t>A05</t>
        </is>
      </c>
      <c r="BY4" s="19" t="inlineStr">
        <is>
          <t>A06</t>
        </is>
      </c>
      <c r="BZ4" s="19" t="inlineStr">
        <is>
          <t>A07</t>
        </is>
      </c>
      <c r="CA4" s="19" t="inlineStr">
        <is>
          <t>A08</t>
        </is>
      </c>
      <c r="CB4" s="19" t="inlineStr">
        <is>
          <t>A09</t>
        </is>
      </c>
      <c r="CC4" s="19" t="inlineStr">
        <is>
          <t>A10</t>
        </is>
      </c>
      <c r="CD4" s="19" t="inlineStr">
        <is>
          <t>A11</t>
        </is>
      </c>
      <c r="CE4" s="19" t="inlineStr">
        <is>
          <t>A12</t>
        </is>
      </c>
    </row>
    <row r="5">
      <c r="A5" t="n">
        <v>1</v>
      </c>
      <c r="B5" t="inlineStr">
        <is>
          <t>昴宿星人</t>
        </is>
      </c>
      <c r="C5" t="inlineStr">
        <is>
          <t>Pleiadian</t>
        </is>
      </c>
      <c r="D5" s="7">
        <f>IF(ABS('07_CONTINUOUS_CODEBOOK'!D5)&lt;'04_CODEBOOK_CONTROL'!$B$15,0,SIGN('07_CONTINUOUS_CODEBOOK'!D5)*IF(ABS('07_CONTINUOUS_CODEBOOK'!D5)&lt;'04_CODEBOOK_CONTROL'!$B$16,1,IF(ABS('07_CONTINUOUS_CODEBOOK'!D5)&lt;'04_CODEBOOK_CONTROL'!$B$17,2,3)))</f>
        <v/>
      </c>
      <c r="E5" s="7">
        <f>IF(ABS('07_CONTINUOUS_CODEBOOK'!E5)&lt;'04_CODEBOOK_CONTROL'!$B$15,0,SIGN('07_CONTINUOUS_CODEBOOK'!E5)*IF(ABS('07_CONTINUOUS_CODEBOOK'!E5)&lt;'04_CODEBOOK_CONTROL'!$B$16,1,IF(ABS('07_CONTINUOUS_CODEBOOK'!E5)&lt;'04_CODEBOOK_CONTROL'!$B$17,2,3)))</f>
        <v/>
      </c>
      <c r="F5" s="7">
        <f>IF(ABS('07_CONTINUOUS_CODEBOOK'!F5)&lt;'04_CODEBOOK_CONTROL'!$B$15,0,SIGN('07_CONTINUOUS_CODEBOOK'!F5)*IF(ABS('07_CONTINUOUS_CODEBOOK'!F5)&lt;'04_CODEBOOK_CONTROL'!$B$16,1,IF(ABS('07_CONTINUOUS_CODEBOOK'!F5)&lt;'04_CODEBOOK_CONTROL'!$B$17,2,3)))</f>
        <v/>
      </c>
      <c r="G5" s="7">
        <f>IF(ABS('07_CONTINUOUS_CODEBOOK'!G5)&lt;'04_CODEBOOK_CONTROL'!$B$15,0,SIGN('07_CONTINUOUS_CODEBOOK'!G5)*IF(ABS('07_CONTINUOUS_CODEBOOK'!G5)&lt;'04_CODEBOOK_CONTROL'!$B$16,1,IF(ABS('07_CONTINUOUS_CODEBOOK'!G5)&lt;'04_CODEBOOK_CONTROL'!$B$17,2,3)))</f>
        <v/>
      </c>
      <c r="H5" s="7">
        <f>IF(ABS('07_CONTINUOUS_CODEBOOK'!H5)&lt;'04_CODEBOOK_CONTROL'!$B$15,0,SIGN('07_CONTINUOUS_CODEBOOK'!H5)*IF(ABS('07_CONTINUOUS_CODEBOOK'!H5)&lt;'04_CODEBOOK_CONTROL'!$B$16,1,IF(ABS('07_CONTINUOUS_CODEBOOK'!H5)&lt;'04_CODEBOOK_CONTROL'!$B$17,2,3)))</f>
        <v/>
      </c>
      <c r="I5" s="7">
        <f>IF(ABS('07_CONTINUOUS_CODEBOOK'!I5)&lt;'04_CODEBOOK_CONTROL'!$B$15,0,SIGN('07_CONTINUOUS_CODEBOOK'!I5)*IF(ABS('07_CONTINUOUS_CODEBOOK'!I5)&lt;'04_CODEBOOK_CONTROL'!$B$16,1,IF(ABS('07_CONTINUOUS_CODEBOOK'!I5)&lt;'04_CODEBOOK_CONTROL'!$B$17,2,3)))</f>
        <v/>
      </c>
      <c r="J5" s="7">
        <f>IF(ABS('07_CONTINUOUS_CODEBOOK'!J5)&lt;'04_CODEBOOK_CONTROL'!$B$15,0,SIGN('07_CONTINUOUS_CODEBOOK'!J5)*IF(ABS('07_CONTINUOUS_CODEBOOK'!J5)&lt;'04_CODEBOOK_CONTROL'!$B$16,1,IF(ABS('07_CONTINUOUS_CODEBOOK'!J5)&lt;'04_CODEBOOK_CONTROL'!$B$17,2,3)))</f>
        <v/>
      </c>
      <c r="K5" s="7">
        <f>IF(ABS('07_CONTINUOUS_CODEBOOK'!K5)&lt;'04_CODEBOOK_CONTROL'!$B$15,0,SIGN('07_CONTINUOUS_CODEBOOK'!K5)*IF(ABS('07_CONTINUOUS_CODEBOOK'!K5)&lt;'04_CODEBOOK_CONTROL'!$B$16,1,IF(ABS('07_CONTINUOUS_CODEBOOK'!K5)&lt;'04_CODEBOOK_CONTROL'!$B$17,2,3)))</f>
        <v/>
      </c>
      <c r="L5" s="7">
        <f>IF(ABS('07_CONTINUOUS_CODEBOOK'!L5)&lt;'04_CODEBOOK_CONTROL'!$B$15,0,SIGN('07_CONTINUOUS_CODEBOOK'!L5)*IF(ABS('07_CONTINUOUS_CODEBOOK'!L5)&lt;'04_CODEBOOK_CONTROL'!$B$16,1,IF(ABS('07_CONTINUOUS_CODEBOOK'!L5)&lt;'04_CODEBOOK_CONTROL'!$B$17,2,3)))</f>
        <v/>
      </c>
      <c r="M5" s="7">
        <f>IF(ABS('07_CONTINUOUS_CODEBOOK'!M5)&lt;'04_CODEBOOK_CONTROL'!$B$15,0,SIGN('07_CONTINUOUS_CODEBOOK'!M5)*IF(ABS('07_CONTINUOUS_CODEBOOK'!M5)&lt;'04_CODEBOOK_CONTROL'!$B$16,1,IF(ABS('07_CONTINUOUS_CODEBOOK'!M5)&lt;'04_CODEBOOK_CONTROL'!$B$17,2,3)))</f>
        <v/>
      </c>
      <c r="N5" s="7">
        <f>IF(ABS('07_CONTINUOUS_CODEBOOK'!N5)&lt;'04_CODEBOOK_CONTROL'!$B$15,0,SIGN('07_CONTINUOUS_CODEBOOK'!N5)*IF(ABS('07_CONTINUOUS_CODEBOOK'!N5)&lt;'04_CODEBOOK_CONTROL'!$B$16,1,IF(ABS('07_CONTINUOUS_CODEBOOK'!N5)&lt;'04_CODEBOOK_CONTROL'!$B$17,2,3)))</f>
        <v/>
      </c>
      <c r="O5" s="7">
        <f>IF(ABS('07_CONTINUOUS_CODEBOOK'!O5)&lt;'04_CODEBOOK_CONTROL'!$B$15,0,SIGN('07_CONTINUOUS_CODEBOOK'!O5)*IF(ABS('07_CONTINUOUS_CODEBOOK'!O5)&lt;'04_CODEBOOK_CONTROL'!$B$16,1,IF(ABS('07_CONTINUOUS_CODEBOOK'!O5)&lt;'04_CODEBOOK_CONTROL'!$B$17,2,3)))</f>
        <v/>
      </c>
      <c r="P5" s="7">
        <f>IF(ABS('07_CONTINUOUS_CODEBOOK'!P5)&lt;'04_CODEBOOK_CONTROL'!$B$15,0,SIGN('07_CONTINUOUS_CODEBOOK'!P5)*IF(ABS('07_CONTINUOUS_CODEBOOK'!P5)&lt;'04_CODEBOOK_CONTROL'!$B$16,1,IF(ABS('07_CONTINUOUS_CODEBOOK'!P5)&lt;'04_CODEBOOK_CONTROL'!$B$17,2,3)))</f>
        <v/>
      </c>
      <c r="Q5" s="7">
        <f>IF(ABS('07_CONTINUOUS_CODEBOOK'!Q5)&lt;'04_CODEBOOK_CONTROL'!$B$15,0,SIGN('07_CONTINUOUS_CODEBOOK'!Q5)*IF(ABS('07_CONTINUOUS_CODEBOOK'!Q5)&lt;'04_CODEBOOK_CONTROL'!$B$16,1,IF(ABS('07_CONTINUOUS_CODEBOOK'!Q5)&lt;'04_CODEBOOK_CONTROL'!$B$17,2,3)))</f>
        <v/>
      </c>
      <c r="R5" s="7">
        <f>IF(ABS('07_CONTINUOUS_CODEBOOK'!R5)&lt;'04_CODEBOOK_CONTROL'!$B$15,0,SIGN('07_CONTINUOUS_CODEBOOK'!R5)*IF(ABS('07_CONTINUOUS_CODEBOOK'!R5)&lt;'04_CODEBOOK_CONTROL'!$B$16,1,IF(ABS('07_CONTINUOUS_CODEBOOK'!R5)&lt;'04_CODEBOOK_CONTROL'!$B$17,2,3)))</f>
        <v/>
      </c>
      <c r="S5" s="7">
        <f>IF(ABS('07_CONTINUOUS_CODEBOOK'!S5)&lt;'04_CODEBOOK_CONTROL'!$B$15,0,SIGN('07_CONTINUOUS_CODEBOOK'!S5)*IF(ABS('07_CONTINUOUS_CODEBOOK'!S5)&lt;'04_CODEBOOK_CONTROL'!$B$16,1,IF(ABS('07_CONTINUOUS_CODEBOOK'!S5)&lt;'04_CODEBOOK_CONTROL'!$B$17,2,3)))</f>
        <v/>
      </c>
      <c r="T5" s="7">
        <f>IF(ABS('07_CONTINUOUS_CODEBOOK'!T5)&lt;'04_CODEBOOK_CONTROL'!$B$15,0,SIGN('07_CONTINUOUS_CODEBOOK'!T5)*IF(ABS('07_CONTINUOUS_CODEBOOK'!T5)&lt;'04_CODEBOOK_CONTROL'!$B$16,1,IF(ABS('07_CONTINUOUS_CODEBOOK'!T5)&lt;'04_CODEBOOK_CONTROL'!$B$17,2,3)))</f>
        <v/>
      </c>
      <c r="U5" s="7">
        <f>IF(ABS('07_CONTINUOUS_CODEBOOK'!U5)&lt;'04_CODEBOOK_CONTROL'!$B$15,0,SIGN('07_CONTINUOUS_CODEBOOK'!U5)*IF(ABS('07_CONTINUOUS_CODEBOOK'!U5)&lt;'04_CODEBOOK_CONTROL'!$B$16,1,IF(ABS('07_CONTINUOUS_CODEBOOK'!U5)&lt;'04_CODEBOOK_CONTROL'!$B$17,2,3)))</f>
        <v/>
      </c>
      <c r="V5" s="7">
        <f>IF(ABS('07_CONTINUOUS_CODEBOOK'!V5)&lt;'04_CODEBOOK_CONTROL'!$B$15,0,SIGN('07_CONTINUOUS_CODEBOOK'!V5)*IF(ABS('07_CONTINUOUS_CODEBOOK'!V5)&lt;'04_CODEBOOK_CONTROL'!$B$16,1,IF(ABS('07_CONTINUOUS_CODEBOOK'!V5)&lt;'04_CODEBOOK_CONTROL'!$B$17,2,3)))</f>
        <v/>
      </c>
      <c r="W5" s="7">
        <f>IF(ABS('07_CONTINUOUS_CODEBOOK'!W5)&lt;'04_CODEBOOK_CONTROL'!$B$15,0,SIGN('07_CONTINUOUS_CODEBOOK'!W5)*IF(ABS('07_CONTINUOUS_CODEBOOK'!W5)&lt;'04_CODEBOOK_CONTROL'!$B$16,1,IF(ABS('07_CONTINUOUS_CODEBOOK'!W5)&lt;'04_CODEBOOK_CONTROL'!$B$17,2,3)))</f>
        <v/>
      </c>
      <c r="X5" s="7">
        <f>IF(ABS('07_CONTINUOUS_CODEBOOK'!X5)&lt;'04_CODEBOOK_CONTROL'!$B$15,0,SIGN('07_CONTINUOUS_CODEBOOK'!X5)*IF(ABS('07_CONTINUOUS_CODEBOOK'!X5)&lt;'04_CODEBOOK_CONTROL'!$B$16,1,IF(ABS('07_CONTINUOUS_CODEBOOK'!X5)&lt;'04_CODEBOOK_CONTROL'!$B$17,2,3)))</f>
        <v/>
      </c>
      <c r="Y5" s="7">
        <f>IF(ABS('07_CONTINUOUS_CODEBOOK'!Y5)&lt;'04_CODEBOOK_CONTROL'!$B$15,0,SIGN('07_CONTINUOUS_CODEBOOK'!Y5)*IF(ABS('07_CONTINUOUS_CODEBOOK'!Y5)&lt;'04_CODEBOOK_CONTROL'!$B$16,1,IF(ABS('07_CONTINUOUS_CODEBOOK'!Y5)&lt;'04_CODEBOOK_CONTROL'!$B$17,2,3)))</f>
        <v/>
      </c>
      <c r="Z5" s="7">
        <f>IF(ABS('07_CONTINUOUS_CODEBOOK'!Z5)&lt;'04_CODEBOOK_CONTROL'!$B$15,0,SIGN('07_CONTINUOUS_CODEBOOK'!Z5)*IF(ABS('07_CONTINUOUS_CODEBOOK'!Z5)&lt;'04_CODEBOOK_CONTROL'!$B$16,1,IF(ABS('07_CONTINUOUS_CODEBOOK'!Z5)&lt;'04_CODEBOOK_CONTROL'!$B$17,2,3)))</f>
        <v/>
      </c>
      <c r="AA5" s="7">
        <f>IF(ABS('07_CONTINUOUS_CODEBOOK'!AA5)&lt;'04_CODEBOOK_CONTROL'!$B$15,0,SIGN('07_CONTINUOUS_CODEBOOK'!AA5)*IF(ABS('07_CONTINUOUS_CODEBOOK'!AA5)&lt;'04_CODEBOOK_CONTROL'!$B$16,1,IF(ABS('07_CONTINUOUS_CODEBOOK'!AA5)&lt;'04_CODEBOOK_CONTROL'!$B$17,2,3)))</f>
        <v/>
      </c>
      <c r="AB5" s="7">
        <f>IF(ABS('07_CONTINUOUS_CODEBOOK'!AB5)&lt;'04_CODEBOOK_CONTROL'!$B$15,0,SIGN('07_CONTINUOUS_CODEBOOK'!AB5)*IF(ABS('07_CONTINUOUS_CODEBOOK'!AB5)&lt;'04_CODEBOOK_CONTROL'!$B$16,1,IF(ABS('07_CONTINUOUS_CODEBOOK'!AB5)&lt;'04_CODEBOOK_CONTROL'!$B$17,2,3)))</f>
        <v/>
      </c>
      <c r="AC5" s="7">
        <f>IF(ABS('07_CONTINUOUS_CODEBOOK'!AC5)&lt;'04_CODEBOOK_CONTROL'!$B$15,0,SIGN('07_CONTINUOUS_CODEBOOK'!AC5)*IF(ABS('07_CONTINUOUS_CODEBOOK'!AC5)&lt;'04_CODEBOOK_CONTROL'!$B$16,1,IF(ABS('07_CONTINUOUS_CODEBOOK'!AC5)&lt;'04_CODEBOOK_CONTROL'!$B$17,2,3)))</f>
        <v/>
      </c>
      <c r="AD5" s="7">
        <f>IF(ABS('07_CONTINUOUS_CODEBOOK'!AD5)&lt;'04_CODEBOOK_CONTROL'!$B$15,0,SIGN('07_CONTINUOUS_CODEBOOK'!AD5)*IF(ABS('07_CONTINUOUS_CODEBOOK'!AD5)&lt;'04_CODEBOOK_CONTROL'!$B$16,1,IF(ABS('07_CONTINUOUS_CODEBOOK'!AD5)&lt;'04_CODEBOOK_CONTROL'!$B$17,2,3)))</f>
        <v/>
      </c>
      <c r="AE5" s="7">
        <f>IF(ABS('07_CONTINUOUS_CODEBOOK'!AE5)&lt;'04_CODEBOOK_CONTROL'!$B$15,0,SIGN('07_CONTINUOUS_CODEBOOK'!AE5)*IF(ABS('07_CONTINUOUS_CODEBOOK'!AE5)&lt;'04_CODEBOOK_CONTROL'!$B$16,1,IF(ABS('07_CONTINUOUS_CODEBOOK'!AE5)&lt;'04_CODEBOOK_CONTROL'!$B$17,2,3)))</f>
        <v/>
      </c>
      <c r="AF5" s="7">
        <f>IF(ABS('07_CONTINUOUS_CODEBOOK'!AF5)&lt;'04_CODEBOOK_CONTROL'!$B$15,0,SIGN('07_CONTINUOUS_CODEBOOK'!AF5)*IF(ABS('07_CONTINUOUS_CODEBOOK'!AF5)&lt;'04_CODEBOOK_CONTROL'!$B$16,1,IF(ABS('07_CONTINUOUS_CODEBOOK'!AF5)&lt;'04_CODEBOOK_CONTROL'!$B$17,2,3)))</f>
        <v/>
      </c>
      <c r="AG5" s="7">
        <f>IF(ABS('07_CONTINUOUS_CODEBOOK'!AG5)&lt;'04_CODEBOOK_CONTROL'!$B$15,0,SIGN('07_CONTINUOUS_CODEBOOK'!AG5)*IF(ABS('07_CONTINUOUS_CODEBOOK'!AG5)&lt;'04_CODEBOOK_CONTROL'!$B$16,1,IF(ABS('07_CONTINUOUS_CODEBOOK'!AG5)&lt;'04_CODEBOOK_CONTROL'!$B$17,2,3)))</f>
        <v/>
      </c>
      <c r="AH5" s="7">
        <f>IF(ABS('07_CONTINUOUS_CODEBOOK'!AH5)&lt;'04_CODEBOOK_CONTROL'!$B$15,0,SIGN('07_CONTINUOUS_CODEBOOK'!AH5)*IF(ABS('07_CONTINUOUS_CODEBOOK'!AH5)&lt;'04_CODEBOOK_CONTROL'!$B$16,1,IF(ABS('07_CONTINUOUS_CODEBOOK'!AH5)&lt;'04_CODEBOOK_CONTROL'!$B$17,2,3)))</f>
        <v/>
      </c>
      <c r="AI5" s="7">
        <f>IF(ABS('07_CONTINUOUS_CODEBOOK'!AI5)&lt;'04_CODEBOOK_CONTROL'!$B$15,0,SIGN('07_CONTINUOUS_CODEBOOK'!AI5)*IF(ABS('07_CONTINUOUS_CODEBOOK'!AI5)&lt;'04_CODEBOOK_CONTROL'!$B$16,1,IF(ABS('07_CONTINUOUS_CODEBOOK'!AI5)&lt;'04_CODEBOOK_CONTROL'!$B$17,2,3)))</f>
        <v/>
      </c>
      <c r="AJ5" s="7">
        <f>IF(ABS('07_CONTINUOUS_CODEBOOK'!AJ5)&lt;'04_CODEBOOK_CONTROL'!$B$15,0,SIGN('07_CONTINUOUS_CODEBOOK'!AJ5)*IF(ABS('07_CONTINUOUS_CODEBOOK'!AJ5)&lt;'04_CODEBOOK_CONTROL'!$B$16,1,IF(ABS('07_CONTINUOUS_CODEBOOK'!AJ5)&lt;'04_CODEBOOK_CONTROL'!$B$17,2,3)))</f>
        <v/>
      </c>
      <c r="AK5" s="7">
        <f>IF(ABS('07_CONTINUOUS_CODEBOOK'!AK5)&lt;'04_CODEBOOK_CONTROL'!$B$15,0,SIGN('07_CONTINUOUS_CODEBOOK'!AK5)*IF(ABS('07_CONTINUOUS_CODEBOOK'!AK5)&lt;'04_CODEBOOK_CONTROL'!$B$16,1,IF(ABS('07_CONTINUOUS_CODEBOOK'!AK5)&lt;'04_CODEBOOK_CONTROL'!$B$17,2,3)))</f>
        <v/>
      </c>
      <c r="AL5" s="7">
        <f>IF(ABS('07_CONTINUOUS_CODEBOOK'!AL5)&lt;'04_CODEBOOK_CONTROL'!$B$15,0,SIGN('07_CONTINUOUS_CODEBOOK'!AL5)*IF(ABS('07_CONTINUOUS_CODEBOOK'!AL5)&lt;'04_CODEBOOK_CONTROL'!$B$16,1,IF(ABS('07_CONTINUOUS_CODEBOOK'!AL5)&lt;'04_CODEBOOK_CONTROL'!$B$17,2,3)))</f>
        <v/>
      </c>
      <c r="AM5" s="7">
        <f>IF(ABS('07_CONTINUOUS_CODEBOOK'!AM5)&lt;'04_CODEBOOK_CONTROL'!$B$15,0,SIGN('07_CONTINUOUS_CODEBOOK'!AM5)*IF(ABS('07_CONTINUOUS_CODEBOOK'!AM5)&lt;'04_CODEBOOK_CONTROL'!$B$16,1,IF(ABS('07_CONTINUOUS_CODEBOOK'!AM5)&lt;'04_CODEBOOK_CONTROL'!$B$17,2,3)))</f>
        <v/>
      </c>
      <c r="AN5" s="7">
        <f>IF(ABS('07_CONTINUOUS_CODEBOOK'!AN5)&lt;'04_CODEBOOK_CONTROL'!$B$15,0,SIGN('07_CONTINUOUS_CODEBOOK'!AN5)*IF(ABS('07_CONTINUOUS_CODEBOOK'!AN5)&lt;'04_CODEBOOK_CONTROL'!$B$16,1,IF(ABS('07_CONTINUOUS_CODEBOOK'!AN5)&lt;'04_CODEBOOK_CONTROL'!$B$17,2,3)))</f>
        <v/>
      </c>
      <c r="AO5" s="7">
        <f>IF(ABS('07_CONTINUOUS_CODEBOOK'!AO5)&lt;'04_CODEBOOK_CONTROL'!$B$15,0,SIGN('07_CONTINUOUS_CODEBOOK'!AO5)*IF(ABS('07_CONTINUOUS_CODEBOOK'!AO5)&lt;'04_CODEBOOK_CONTROL'!$B$16,1,IF(ABS('07_CONTINUOUS_CODEBOOK'!AO5)&lt;'04_CODEBOOK_CONTROL'!$B$17,2,3)))</f>
        <v/>
      </c>
      <c r="AP5" s="7">
        <f>IF(ABS('07_CONTINUOUS_CODEBOOK'!AP5)&lt;'04_CODEBOOK_CONTROL'!$B$15,0,SIGN('07_CONTINUOUS_CODEBOOK'!AP5)*IF(ABS('07_CONTINUOUS_CODEBOOK'!AP5)&lt;'04_CODEBOOK_CONTROL'!$B$16,1,IF(ABS('07_CONTINUOUS_CODEBOOK'!AP5)&lt;'04_CODEBOOK_CONTROL'!$B$17,2,3)))</f>
        <v/>
      </c>
      <c r="AQ5" s="7">
        <f>IF(ABS('07_CONTINUOUS_CODEBOOK'!AQ5)&lt;'04_CODEBOOK_CONTROL'!$B$15,0,SIGN('07_CONTINUOUS_CODEBOOK'!AQ5)*IF(ABS('07_CONTINUOUS_CODEBOOK'!AQ5)&lt;'04_CODEBOOK_CONTROL'!$B$16,1,IF(ABS('07_CONTINUOUS_CODEBOOK'!AQ5)&lt;'04_CODEBOOK_CONTROL'!$B$17,2,3)))</f>
        <v/>
      </c>
      <c r="AR5" s="7">
        <f>IF(ABS('07_CONTINUOUS_CODEBOOK'!AR5)&lt;'04_CODEBOOK_CONTROL'!$B$15,0,SIGN('07_CONTINUOUS_CODEBOOK'!AR5)*IF(ABS('07_CONTINUOUS_CODEBOOK'!AR5)&lt;'04_CODEBOOK_CONTROL'!$B$16,1,IF(ABS('07_CONTINUOUS_CODEBOOK'!AR5)&lt;'04_CODEBOOK_CONTROL'!$B$17,2,3)))</f>
        <v/>
      </c>
      <c r="AS5" s="7">
        <f>IF(ABS('07_CONTINUOUS_CODEBOOK'!AS5)&lt;'04_CODEBOOK_CONTROL'!$B$15,0,SIGN('07_CONTINUOUS_CODEBOOK'!AS5)*IF(ABS('07_CONTINUOUS_CODEBOOK'!AS5)&lt;'04_CODEBOOK_CONTROL'!$B$16,1,IF(ABS('07_CONTINUOUS_CODEBOOK'!AS5)&lt;'04_CODEBOOK_CONTROL'!$B$17,2,3)))</f>
        <v/>
      </c>
      <c r="AT5" s="7">
        <f>IF(ABS('07_CONTINUOUS_CODEBOOK'!AT5)&lt;'04_CODEBOOK_CONTROL'!$B$15,0,SIGN('07_CONTINUOUS_CODEBOOK'!AT5)*IF(ABS('07_CONTINUOUS_CODEBOOK'!AT5)&lt;'04_CODEBOOK_CONTROL'!$B$16,1,IF(ABS('07_CONTINUOUS_CODEBOOK'!AT5)&lt;'04_CODEBOOK_CONTROL'!$B$17,2,3)))</f>
        <v/>
      </c>
      <c r="AU5" s="7">
        <f>IF(ABS('07_CONTINUOUS_CODEBOOK'!AU5)&lt;'04_CODEBOOK_CONTROL'!$B$15,0,SIGN('07_CONTINUOUS_CODEBOOK'!AU5)*IF(ABS('07_CONTINUOUS_CODEBOOK'!AU5)&lt;'04_CODEBOOK_CONTROL'!$B$16,1,IF(ABS('07_CONTINUOUS_CODEBOOK'!AU5)&lt;'04_CODEBOOK_CONTROL'!$B$17,2,3)))</f>
        <v/>
      </c>
      <c r="AV5" s="7">
        <f>IF(ABS('07_CONTINUOUS_CODEBOOK'!AV5)&lt;'04_CODEBOOK_CONTROL'!$B$15,0,SIGN('07_CONTINUOUS_CODEBOOK'!AV5)*IF(ABS('07_CONTINUOUS_CODEBOOK'!AV5)&lt;'04_CODEBOOK_CONTROL'!$B$16,1,IF(ABS('07_CONTINUOUS_CODEBOOK'!AV5)&lt;'04_CODEBOOK_CONTROL'!$B$17,2,3)))</f>
        <v/>
      </c>
      <c r="AW5" s="7">
        <f>IF(ABS('07_CONTINUOUS_CODEBOOK'!AW5)&lt;'04_CODEBOOK_CONTROL'!$B$15,0,SIGN('07_CONTINUOUS_CODEBOOK'!AW5)*IF(ABS('07_CONTINUOUS_CODEBOOK'!AW5)&lt;'04_CODEBOOK_CONTROL'!$B$16,1,IF(ABS('07_CONTINUOUS_CODEBOOK'!AW5)&lt;'04_CODEBOOK_CONTROL'!$B$17,2,3)))</f>
        <v/>
      </c>
      <c r="AX5" s="7">
        <f>IF(ABS('07_CONTINUOUS_CODEBOOK'!AX5)&lt;'04_CODEBOOK_CONTROL'!$B$15,0,SIGN('07_CONTINUOUS_CODEBOOK'!AX5)*IF(ABS('07_CONTINUOUS_CODEBOOK'!AX5)&lt;'04_CODEBOOK_CONTROL'!$B$16,1,IF(ABS('07_CONTINUOUS_CODEBOOK'!AX5)&lt;'04_CODEBOOK_CONTROL'!$B$17,2,3)))</f>
        <v/>
      </c>
      <c r="AY5" s="7">
        <f>IF(ABS('07_CONTINUOUS_CODEBOOK'!AY5)&lt;'04_CODEBOOK_CONTROL'!$B$15,0,SIGN('07_CONTINUOUS_CODEBOOK'!AY5)*IF(ABS('07_CONTINUOUS_CODEBOOK'!AY5)&lt;'04_CODEBOOK_CONTROL'!$B$16,1,IF(ABS('07_CONTINUOUS_CODEBOOK'!AY5)&lt;'04_CODEBOOK_CONTROL'!$B$17,2,3)))</f>
        <v/>
      </c>
      <c r="AZ5" s="7">
        <f>IF(ABS('07_CONTINUOUS_CODEBOOK'!AZ5)&lt;'04_CODEBOOK_CONTROL'!$B$15,0,SIGN('07_CONTINUOUS_CODEBOOK'!AZ5)*IF(ABS('07_CONTINUOUS_CODEBOOK'!AZ5)&lt;'04_CODEBOOK_CONTROL'!$B$16,1,IF(ABS('07_CONTINUOUS_CODEBOOK'!AZ5)&lt;'04_CODEBOOK_CONTROL'!$B$17,2,3)))</f>
        <v/>
      </c>
      <c r="BA5" s="7">
        <f>IF(ABS('07_CONTINUOUS_CODEBOOK'!BA5)&lt;'04_CODEBOOK_CONTROL'!$B$15,0,SIGN('07_CONTINUOUS_CODEBOOK'!BA5)*IF(ABS('07_CONTINUOUS_CODEBOOK'!BA5)&lt;'04_CODEBOOK_CONTROL'!$B$16,1,IF(ABS('07_CONTINUOUS_CODEBOOK'!BA5)&lt;'04_CODEBOOK_CONTROL'!$B$17,2,3)))</f>
        <v/>
      </c>
      <c r="BB5" s="7">
        <f>IF(ABS('07_CONTINUOUS_CODEBOOK'!BB5)&lt;'04_CODEBOOK_CONTROL'!$B$15,0,SIGN('07_CONTINUOUS_CODEBOOK'!BB5)*IF(ABS('07_CONTINUOUS_CODEBOOK'!BB5)&lt;'04_CODEBOOK_CONTROL'!$B$16,1,IF(ABS('07_CONTINUOUS_CODEBOOK'!BB5)&lt;'04_CODEBOOK_CONTROL'!$B$17,2,3)))</f>
        <v/>
      </c>
      <c r="BC5" s="7">
        <f>IF(ABS('07_CONTINUOUS_CODEBOOK'!BC5)&lt;'04_CODEBOOK_CONTROL'!$B$15,0,SIGN('07_CONTINUOUS_CODEBOOK'!BC5)*IF(ABS('07_CONTINUOUS_CODEBOOK'!BC5)&lt;'04_CODEBOOK_CONTROL'!$B$16,1,IF(ABS('07_CONTINUOUS_CODEBOOK'!BC5)&lt;'04_CODEBOOK_CONTROL'!$B$17,2,3)))</f>
        <v/>
      </c>
      <c r="BD5" s="7">
        <f>IF(ABS('07_CONTINUOUS_CODEBOOK'!BD5)&lt;'04_CODEBOOK_CONTROL'!$B$15,0,SIGN('07_CONTINUOUS_CODEBOOK'!BD5)*IF(ABS('07_CONTINUOUS_CODEBOOK'!BD5)&lt;'04_CODEBOOK_CONTROL'!$B$16,1,IF(ABS('07_CONTINUOUS_CODEBOOK'!BD5)&lt;'04_CODEBOOK_CONTROL'!$B$17,2,3)))</f>
        <v/>
      </c>
      <c r="BE5" s="7">
        <f>IF(ABS('07_CONTINUOUS_CODEBOOK'!BE5)&lt;'04_CODEBOOK_CONTROL'!$B$15,0,SIGN('07_CONTINUOUS_CODEBOOK'!BE5)*IF(ABS('07_CONTINUOUS_CODEBOOK'!BE5)&lt;'04_CODEBOOK_CONTROL'!$B$16,1,IF(ABS('07_CONTINUOUS_CODEBOOK'!BE5)&lt;'04_CODEBOOK_CONTROL'!$B$17,2,3)))</f>
        <v/>
      </c>
      <c r="BF5" s="7">
        <f>IF(ABS('07_CONTINUOUS_CODEBOOK'!BF5)&lt;'04_CODEBOOK_CONTROL'!$B$15,0,SIGN('07_CONTINUOUS_CODEBOOK'!BF5)*IF(ABS('07_CONTINUOUS_CODEBOOK'!BF5)&lt;'04_CODEBOOK_CONTROL'!$B$16,1,IF(ABS('07_CONTINUOUS_CODEBOOK'!BF5)&lt;'04_CODEBOOK_CONTROL'!$B$17,2,3)))</f>
        <v/>
      </c>
      <c r="BG5" s="7">
        <f>IF(ABS('07_CONTINUOUS_CODEBOOK'!BG5)&lt;'04_CODEBOOK_CONTROL'!$B$15,0,SIGN('07_CONTINUOUS_CODEBOOK'!BG5)*IF(ABS('07_CONTINUOUS_CODEBOOK'!BG5)&lt;'04_CODEBOOK_CONTROL'!$B$16,1,IF(ABS('07_CONTINUOUS_CODEBOOK'!BG5)&lt;'04_CODEBOOK_CONTROL'!$B$17,2,3)))</f>
        <v/>
      </c>
      <c r="BH5" s="7">
        <f>IF(ABS('07_CONTINUOUS_CODEBOOK'!BH5)&lt;'04_CODEBOOK_CONTROL'!$B$15,0,SIGN('07_CONTINUOUS_CODEBOOK'!BH5)*IF(ABS('07_CONTINUOUS_CODEBOOK'!BH5)&lt;'04_CODEBOOK_CONTROL'!$B$16,1,IF(ABS('07_CONTINUOUS_CODEBOOK'!BH5)&lt;'04_CODEBOOK_CONTROL'!$B$17,2,3)))</f>
        <v/>
      </c>
      <c r="BI5" s="7">
        <f>IF(ABS('07_CONTINUOUS_CODEBOOK'!BI5)&lt;'04_CODEBOOK_CONTROL'!$B$15,0,SIGN('07_CONTINUOUS_CODEBOOK'!BI5)*IF(ABS('07_CONTINUOUS_CODEBOOK'!BI5)&lt;'04_CODEBOOK_CONTROL'!$B$16,1,IF(ABS('07_CONTINUOUS_CODEBOOK'!BI5)&lt;'04_CODEBOOK_CONTROL'!$B$17,2,3)))</f>
        <v/>
      </c>
      <c r="BJ5" s="7">
        <f>IF(ABS('07_CONTINUOUS_CODEBOOK'!BJ5)&lt;'04_CODEBOOK_CONTROL'!$B$15,0,SIGN('07_CONTINUOUS_CODEBOOK'!BJ5)*IF(ABS('07_CONTINUOUS_CODEBOOK'!BJ5)&lt;'04_CODEBOOK_CONTROL'!$B$16,1,IF(ABS('07_CONTINUOUS_CODEBOOK'!BJ5)&lt;'04_CODEBOOK_CONTROL'!$B$17,2,3)))</f>
        <v/>
      </c>
      <c r="BK5" s="7">
        <f>IF(ABS('07_CONTINUOUS_CODEBOOK'!BK5)&lt;'04_CODEBOOK_CONTROL'!$B$15,0,SIGN('07_CONTINUOUS_CODEBOOK'!BK5)*IF(ABS('07_CONTINUOUS_CODEBOOK'!BK5)&lt;'04_CODEBOOK_CONTROL'!$B$16,1,IF(ABS('07_CONTINUOUS_CODEBOOK'!BK5)&lt;'04_CODEBOOK_CONTROL'!$B$17,2,3)))</f>
        <v/>
      </c>
      <c r="BL5" s="7">
        <f>IF(ABS('07_CONTINUOUS_CODEBOOK'!BL5)&lt;'04_CODEBOOK_CONTROL'!$B$15,0,SIGN('07_CONTINUOUS_CODEBOOK'!BL5)*IF(ABS('07_CONTINUOUS_CODEBOOK'!BL5)&lt;'04_CODEBOOK_CONTROL'!$B$16,1,IF(ABS('07_CONTINUOUS_CODEBOOK'!BL5)&lt;'04_CODEBOOK_CONTROL'!$B$17,2,3)))</f>
        <v/>
      </c>
      <c r="BM5" s="7">
        <f>IF(ABS('07_CONTINUOUS_CODEBOOK'!BM5)&lt;'04_CODEBOOK_CONTROL'!$B$15,0,SIGN('07_CONTINUOUS_CODEBOOK'!BM5)*IF(ABS('07_CONTINUOUS_CODEBOOK'!BM5)&lt;'04_CODEBOOK_CONTROL'!$B$16,1,IF(ABS('07_CONTINUOUS_CODEBOOK'!BM5)&lt;'04_CODEBOOK_CONTROL'!$B$17,2,3)))</f>
        <v/>
      </c>
      <c r="BN5" s="7">
        <f>IF(ABS('07_CONTINUOUS_CODEBOOK'!BN5)&lt;'04_CODEBOOK_CONTROL'!$B$15,0,SIGN('07_CONTINUOUS_CODEBOOK'!BN5)*IF(ABS('07_CONTINUOUS_CODEBOOK'!BN5)&lt;'04_CODEBOOK_CONTROL'!$B$16,1,IF(ABS('07_CONTINUOUS_CODEBOOK'!BN5)&lt;'04_CODEBOOK_CONTROL'!$B$17,2,3)))</f>
        <v/>
      </c>
      <c r="BO5" s="7">
        <f>IF(ABS('07_CONTINUOUS_CODEBOOK'!BO5)&lt;'04_CODEBOOK_CONTROL'!$B$15,0,SIGN('07_CONTINUOUS_CODEBOOK'!BO5)*IF(ABS('07_CONTINUOUS_CODEBOOK'!BO5)&lt;'04_CODEBOOK_CONTROL'!$B$16,1,IF(ABS('07_CONTINUOUS_CODEBOOK'!BO5)&lt;'04_CODEBOOK_CONTROL'!$B$17,2,3)))</f>
        <v/>
      </c>
      <c r="BP5" s="7">
        <f>IF(ABS('07_CONTINUOUS_CODEBOOK'!BP5)&lt;'04_CODEBOOK_CONTROL'!$B$15,0,SIGN('07_CONTINUOUS_CODEBOOK'!BP5)*IF(ABS('07_CONTINUOUS_CODEBOOK'!BP5)&lt;'04_CODEBOOK_CONTROL'!$B$16,1,IF(ABS('07_CONTINUOUS_CODEBOOK'!BP5)&lt;'04_CODEBOOK_CONTROL'!$B$17,2,3)))</f>
        <v/>
      </c>
      <c r="BQ5" s="7">
        <f>IF(ABS('07_CONTINUOUS_CODEBOOK'!BQ5)&lt;'04_CODEBOOK_CONTROL'!$B$15,0,SIGN('07_CONTINUOUS_CODEBOOK'!BQ5)*IF(ABS('07_CONTINUOUS_CODEBOOK'!BQ5)&lt;'04_CODEBOOK_CONTROL'!$B$16,1,IF(ABS('07_CONTINUOUS_CODEBOOK'!BQ5)&lt;'04_CODEBOOK_CONTROL'!$B$17,2,3)))</f>
        <v/>
      </c>
      <c r="BR5" s="7">
        <f>IF(ABS('07_CONTINUOUS_CODEBOOK'!BR5)&lt;'04_CODEBOOK_CONTROL'!$B$15,0,SIGN('07_CONTINUOUS_CODEBOOK'!BR5)*IF(ABS('07_CONTINUOUS_CODEBOOK'!BR5)&lt;'04_CODEBOOK_CONTROL'!$B$16,1,IF(ABS('07_CONTINUOUS_CODEBOOK'!BR5)&lt;'04_CODEBOOK_CONTROL'!$B$17,2,3)))</f>
        <v/>
      </c>
      <c r="BS5" s="7">
        <f>IF(ABS('07_CONTINUOUS_CODEBOOK'!BS5)&lt;'04_CODEBOOK_CONTROL'!$B$15,0,SIGN('07_CONTINUOUS_CODEBOOK'!BS5)*IF(ABS('07_CONTINUOUS_CODEBOOK'!BS5)&lt;'04_CODEBOOK_CONTROL'!$B$16,1,IF(ABS('07_CONTINUOUS_CODEBOOK'!BS5)&lt;'04_CODEBOOK_CONTROL'!$B$17,2,3)))</f>
        <v/>
      </c>
      <c r="BT5" s="7">
        <f>IF(ABS('07_CONTINUOUS_CODEBOOK'!BT5)&lt;'04_CODEBOOK_CONTROL'!$B$15,0,SIGN('07_CONTINUOUS_CODEBOOK'!BT5)*IF(ABS('07_CONTINUOUS_CODEBOOK'!BT5)&lt;'04_CODEBOOK_CONTROL'!$B$16,1,IF(ABS('07_CONTINUOUS_CODEBOOK'!BT5)&lt;'04_CODEBOOK_CONTROL'!$B$17,2,3)))</f>
        <v/>
      </c>
      <c r="BU5" s="7">
        <f>IF(ABS('07_CONTINUOUS_CODEBOOK'!BU5)&lt;'04_CODEBOOK_CONTROL'!$B$15,0,SIGN('07_CONTINUOUS_CODEBOOK'!BU5)*IF(ABS('07_CONTINUOUS_CODEBOOK'!BU5)&lt;'04_CODEBOOK_CONTROL'!$B$16,1,IF(ABS('07_CONTINUOUS_CODEBOOK'!BU5)&lt;'04_CODEBOOK_CONTROL'!$B$17,2,3)))</f>
        <v/>
      </c>
      <c r="BV5" s="7">
        <f>IF(ABS('07_CONTINUOUS_CODEBOOK'!BV5)&lt;'04_CODEBOOK_CONTROL'!$B$15,0,SIGN('07_CONTINUOUS_CODEBOOK'!BV5)*IF(ABS('07_CONTINUOUS_CODEBOOK'!BV5)&lt;'04_CODEBOOK_CONTROL'!$B$16,1,IF(ABS('07_CONTINUOUS_CODEBOOK'!BV5)&lt;'04_CODEBOOK_CONTROL'!$B$17,2,3)))</f>
        <v/>
      </c>
      <c r="BW5" s="7">
        <f>IF(ABS('07_CONTINUOUS_CODEBOOK'!BW5)&lt;'04_CODEBOOK_CONTROL'!$B$15,0,SIGN('07_CONTINUOUS_CODEBOOK'!BW5)*IF(ABS('07_CONTINUOUS_CODEBOOK'!BW5)&lt;'04_CODEBOOK_CONTROL'!$B$16,1,IF(ABS('07_CONTINUOUS_CODEBOOK'!BW5)&lt;'04_CODEBOOK_CONTROL'!$B$17,2,3)))</f>
        <v/>
      </c>
      <c r="BX5" s="7">
        <f>IF(ABS('07_CONTINUOUS_CODEBOOK'!BX5)&lt;'04_CODEBOOK_CONTROL'!$B$15,0,SIGN('07_CONTINUOUS_CODEBOOK'!BX5)*IF(ABS('07_CONTINUOUS_CODEBOOK'!BX5)&lt;'04_CODEBOOK_CONTROL'!$B$16,1,IF(ABS('07_CONTINUOUS_CODEBOOK'!BX5)&lt;'04_CODEBOOK_CONTROL'!$B$17,2,3)))</f>
        <v/>
      </c>
      <c r="BY5" s="7">
        <f>IF(ABS('07_CONTINUOUS_CODEBOOK'!BY5)&lt;'04_CODEBOOK_CONTROL'!$B$15,0,SIGN('07_CONTINUOUS_CODEBOOK'!BY5)*IF(ABS('07_CONTINUOUS_CODEBOOK'!BY5)&lt;'04_CODEBOOK_CONTROL'!$B$16,1,IF(ABS('07_CONTINUOUS_CODEBOOK'!BY5)&lt;'04_CODEBOOK_CONTROL'!$B$17,2,3)))</f>
        <v/>
      </c>
      <c r="BZ5" s="7">
        <f>IF(ABS('07_CONTINUOUS_CODEBOOK'!BZ5)&lt;'04_CODEBOOK_CONTROL'!$B$15,0,SIGN('07_CONTINUOUS_CODEBOOK'!BZ5)*IF(ABS('07_CONTINUOUS_CODEBOOK'!BZ5)&lt;'04_CODEBOOK_CONTROL'!$B$16,1,IF(ABS('07_CONTINUOUS_CODEBOOK'!BZ5)&lt;'04_CODEBOOK_CONTROL'!$B$17,2,3)))</f>
        <v/>
      </c>
      <c r="CA5" s="7">
        <f>IF(ABS('07_CONTINUOUS_CODEBOOK'!CA5)&lt;'04_CODEBOOK_CONTROL'!$B$15,0,SIGN('07_CONTINUOUS_CODEBOOK'!CA5)*IF(ABS('07_CONTINUOUS_CODEBOOK'!CA5)&lt;'04_CODEBOOK_CONTROL'!$B$16,1,IF(ABS('07_CONTINUOUS_CODEBOOK'!CA5)&lt;'04_CODEBOOK_CONTROL'!$B$17,2,3)))</f>
        <v/>
      </c>
      <c r="CB5" s="7">
        <f>IF(ABS('07_CONTINUOUS_CODEBOOK'!CB5)&lt;'04_CODEBOOK_CONTROL'!$B$15,0,SIGN('07_CONTINUOUS_CODEBOOK'!CB5)*IF(ABS('07_CONTINUOUS_CODEBOOK'!CB5)&lt;'04_CODEBOOK_CONTROL'!$B$16,1,IF(ABS('07_CONTINUOUS_CODEBOOK'!CB5)&lt;'04_CODEBOOK_CONTROL'!$B$17,2,3)))</f>
        <v/>
      </c>
      <c r="CC5" s="7">
        <f>IF(ABS('07_CONTINUOUS_CODEBOOK'!CC5)&lt;'04_CODEBOOK_CONTROL'!$B$15,0,SIGN('07_CONTINUOUS_CODEBOOK'!CC5)*IF(ABS('07_CONTINUOUS_CODEBOOK'!CC5)&lt;'04_CODEBOOK_CONTROL'!$B$16,1,IF(ABS('07_CONTINUOUS_CODEBOOK'!CC5)&lt;'04_CODEBOOK_CONTROL'!$B$17,2,3)))</f>
        <v/>
      </c>
      <c r="CD5" s="7">
        <f>IF(ABS('07_CONTINUOUS_CODEBOOK'!CD5)&lt;'04_CODEBOOK_CONTROL'!$B$15,0,SIGN('07_CONTINUOUS_CODEBOOK'!CD5)*IF(ABS('07_CONTINUOUS_CODEBOOK'!CD5)&lt;'04_CODEBOOK_CONTROL'!$B$16,1,IF(ABS('07_CONTINUOUS_CODEBOOK'!CD5)&lt;'04_CODEBOOK_CONTROL'!$B$17,2,3)))</f>
        <v/>
      </c>
      <c r="CE5" s="7">
        <f>IF(ABS('07_CONTINUOUS_CODEBOOK'!CE5)&lt;'04_CODEBOOK_CONTROL'!$B$15,0,SIGN('07_CONTINUOUS_CODEBOOK'!CE5)*IF(ABS('07_CONTINUOUS_CODEBOOK'!CE5)&lt;'04_CODEBOOK_CONTROL'!$B$16,1,IF(ABS('07_CONTINUOUS_CODEBOOK'!CE5)&lt;'04_CODEBOOK_CONTROL'!$B$17,2,3)))</f>
        <v/>
      </c>
    </row>
    <row r="6">
      <c r="A6" t="n">
        <v>2</v>
      </c>
      <c r="B6" t="inlineStr">
        <is>
          <t>大角星人</t>
        </is>
      </c>
      <c r="C6" t="inlineStr">
        <is>
          <t>Arcturian</t>
        </is>
      </c>
      <c r="D6" s="7">
        <f>IF(ABS('07_CONTINUOUS_CODEBOOK'!D6)&lt;'04_CODEBOOK_CONTROL'!$B$15,0,SIGN('07_CONTINUOUS_CODEBOOK'!D6)*IF(ABS('07_CONTINUOUS_CODEBOOK'!D6)&lt;'04_CODEBOOK_CONTROL'!$B$16,1,IF(ABS('07_CONTINUOUS_CODEBOOK'!D6)&lt;'04_CODEBOOK_CONTROL'!$B$17,2,3)))</f>
        <v/>
      </c>
      <c r="E6" s="7">
        <f>IF(ABS('07_CONTINUOUS_CODEBOOK'!E6)&lt;'04_CODEBOOK_CONTROL'!$B$15,0,SIGN('07_CONTINUOUS_CODEBOOK'!E6)*IF(ABS('07_CONTINUOUS_CODEBOOK'!E6)&lt;'04_CODEBOOK_CONTROL'!$B$16,1,IF(ABS('07_CONTINUOUS_CODEBOOK'!E6)&lt;'04_CODEBOOK_CONTROL'!$B$17,2,3)))</f>
        <v/>
      </c>
      <c r="F6" s="7">
        <f>IF(ABS('07_CONTINUOUS_CODEBOOK'!F6)&lt;'04_CODEBOOK_CONTROL'!$B$15,0,SIGN('07_CONTINUOUS_CODEBOOK'!F6)*IF(ABS('07_CONTINUOUS_CODEBOOK'!F6)&lt;'04_CODEBOOK_CONTROL'!$B$16,1,IF(ABS('07_CONTINUOUS_CODEBOOK'!F6)&lt;'04_CODEBOOK_CONTROL'!$B$17,2,3)))</f>
        <v/>
      </c>
      <c r="G6" s="7">
        <f>IF(ABS('07_CONTINUOUS_CODEBOOK'!G6)&lt;'04_CODEBOOK_CONTROL'!$B$15,0,SIGN('07_CONTINUOUS_CODEBOOK'!G6)*IF(ABS('07_CONTINUOUS_CODEBOOK'!G6)&lt;'04_CODEBOOK_CONTROL'!$B$16,1,IF(ABS('07_CONTINUOUS_CODEBOOK'!G6)&lt;'04_CODEBOOK_CONTROL'!$B$17,2,3)))</f>
        <v/>
      </c>
      <c r="H6" s="7">
        <f>IF(ABS('07_CONTINUOUS_CODEBOOK'!H6)&lt;'04_CODEBOOK_CONTROL'!$B$15,0,SIGN('07_CONTINUOUS_CODEBOOK'!H6)*IF(ABS('07_CONTINUOUS_CODEBOOK'!H6)&lt;'04_CODEBOOK_CONTROL'!$B$16,1,IF(ABS('07_CONTINUOUS_CODEBOOK'!H6)&lt;'04_CODEBOOK_CONTROL'!$B$17,2,3)))</f>
        <v/>
      </c>
      <c r="I6" s="7">
        <f>IF(ABS('07_CONTINUOUS_CODEBOOK'!I6)&lt;'04_CODEBOOK_CONTROL'!$B$15,0,SIGN('07_CONTINUOUS_CODEBOOK'!I6)*IF(ABS('07_CONTINUOUS_CODEBOOK'!I6)&lt;'04_CODEBOOK_CONTROL'!$B$16,1,IF(ABS('07_CONTINUOUS_CODEBOOK'!I6)&lt;'04_CODEBOOK_CONTROL'!$B$17,2,3)))</f>
        <v/>
      </c>
      <c r="J6" s="7">
        <f>IF(ABS('07_CONTINUOUS_CODEBOOK'!J6)&lt;'04_CODEBOOK_CONTROL'!$B$15,0,SIGN('07_CONTINUOUS_CODEBOOK'!J6)*IF(ABS('07_CONTINUOUS_CODEBOOK'!J6)&lt;'04_CODEBOOK_CONTROL'!$B$16,1,IF(ABS('07_CONTINUOUS_CODEBOOK'!J6)&lt;'04_CODEBOOK_CONTROL'!$B$17,2,3)))</f>
        <v/>
      </c>
      <c r="K6" s="7">
        <f>IF(ABS('07_CONTINUOUS_CODEBOOK'!K6)&lt;'04_CODEBOOK_CONTROL'!$B$15,0,SIGN('07_CONTINUOUS_CODEBOOK'!K6)*IF(ABS('07_CONTINUOUS_CODEBOOK'!K6)&lt;'04_CODEBOOK_CONTROL'!$B$16,1,IF(ABS('07_CONTINUOUS_CODEBOOK'!K6)&lt;'04_CODEBOOK_CONTROL'!$B$17,2,3)))</f>
        <v/>
      </c>
      <c r="L6" s="7">
        <f>IF(ABS('07_CONTINUOUS_CODEBOOK'!L6)&lt;'04_CODEBOOK_CONTROL'!$B$15,0,SIGN('07_CONTINUOUS_CODEBOOK'!L6)*IF(ABS('07_CONTINUOUS_CODEBOOK'!L6)&lt;'04_CODEBOOK_CONTROL'!$B$16,1,IF(ABS('07_CONTINUOUS_CODEBOOK'!L6)&lt;'04_CODEBOOK_CONTROL'!$B$17,2,3)))</f>
        <v/>
      </c>
      <c r="M6" s="7">
        <f>IF(ABS('07_CONTINUOUS_CODEBOOK'!M6)&lt;'04_CODEBOOK_CONTROL'!$B$15,0,SIGN('07_CONTINUOUS_CODEBOOK'!M6)*IF(ABS('07_CONTINUOUS_CODEBOOK'!M6)&lt;'04_CODEBOOK_CONTROL'!$B$16,1,IF(ABS('07_CONTINUOUS_CODEBOOK'!M6)&lt;'04_CODEBOOK_CONTROL'!$B$17,2,3)))</f>
        <v/>
      </c>
      <c r="N6" s="7">
        <f>IF(ABS('07_CONTINUOUS_CODEBOOK'!N6)&lt;'04_CODEBOOK_CONTROL'!$B$15,0,SIGN('07_CONTINUOUS_CODEBOOK'!N6)*IF(ABS('07_CONTINUOUS_CODEBOOK'!N6)&lt;'04_CODEBOOK_CONTROL'!$B$16,1,IF(ABS('07_CONTINUOUS_CODEBOOK'!N6)&lt;'04_CODEBOOK_CONTROL'!$B$17,2,3)))</f>
        <v/>
      </c>
      <c r="O6" s="7">
        <f>IF(ABS('07_CONTINUOUS_CODEBOOK'!O6)&lt;'04_CODEBOOK_CONTROL'!$B$15,0,SIGN('07_CONTINUOUS_CODEBOOK'!O6)*IF(ABS('07_CONTINUOUS_CODEBOOK'!O6)&lt;'04_CODEBOOK_CONTROL'!$B$16,1,IF(ABS('07_CONTINUOUS_CODEBOOK'!O6)&lt;'04_CODEBOOK_CONTROL'!$B$17,2,3)))</f>
        <v/>
      </c>
      <c r="P6" s="7">
        <f>IF(ABS('07_CONTINUOUS_CODEBOOK'!P6)&lt;'04_CODEBOOK_CONTROL'!$B$15,0,SIGN('07_CONTINUOUS_CODEBOOK'!P6)*IF(ABS('07_CONTINUOUS_CODEBOOK'!P6)&lt;'04_CODEBOOK_CONTROL'!$B$16,1,IF(ABS('07_CONTINUOUS_CODEBOOK'!P6)&lt;'04_CODEBOOK_CONTROL'!$B$17,2,3)))</f>
        <v/>
      </c>
      <c r="Q6" s="7">
        <f>IF(ABS('07_CONTINUOUS_CODEBOOK'!Q6)&lt;'04_CODEBOOK_CONTROL'!$B$15,0,SIGN('07_CONTINUOUS_CODEBOOK'!Q6)*IF(ABS('07_CONTINUOUS_CODEBOOK'!Q6)&lt;'04_CODEBOOK_CONTROL'!$B$16,1,IF(ABS('07_CONTINUOUS_CODEBOOK'!Q6)&lt;'04_CODEBOOK_CONTROL'!$B$17,2,3)))</f>
        <v/>
      </c>
      <c r="R6" s="7">
        <f>IF(ABS('07_CONTINUOUS_CODEBOOK'!R6)&lt;'04_CODEBOOK_CONTROL'!$B$15,0,SIGN('07_CONTINUOUS_CODEBOOK'!R6)*IF(ABS('07_CONTINUOUS_CODEBOOK'!R6)&lt;'04_CODEBOOK_CONTROL'!$B$16,1,IF(ABS('07_CONTINUOUS_CODEBOOK'!R6)&lt;'04_CODEBOOK_CONTROL'!$B$17,2,3)))</f>
        <v/>
      </c>
      <c r="S6" s="7">
        <f>IF(ABS('07_CONTINUOUS_CODEBOOK'!S6)&lt;'04_CODEBOOK_CONTROL'!$B$15,0,SIGN('07_CONTINUOUS_CODEBOOK'!S6)*IF(ABS('07_CONTINUOUS_CODEBOOK'!S6)&lt;'04_CODEBOOK_CONTROL'!$B$16,1,IF(ABS('07_CONTINUOUS_CODEBOOK'!S6)&lt;'04_CODEBOOK_CONTROL'!$B$17,2,3)))</f>
        <v/>
      </c>
      <c r="T6" s="7">
        <f>IF(ABS('07_CONTINUOUS_CODEBOOK'!T6)&lt;'04_CODEBOOK_CONTROL'!$B$15,0,SIGN('07_CONTINUOUS_CODEBOOK'!T6)*IF(ABS('07_CONTINUOUS_CODEBOOK'!T6)&lt;'04_CODEBOOK_CONTROL'!$B$16,1,IF(ABS('07_CONTINUOUS_CODEBOOK'!T6)&lt;'04_CODEBOOK_CONTROL'!$B$17,2,3)))</f>
        <v/>
      </c>
      <c r="U6" s="7">
        <f>IF(ABS('07_CONTINUOUS_CODEBOOK'!U6)&lt;'04_CODEBOOK_CONTROL'!$B$15,0,SIGN('07_CONTINUOUS_CODEBOOK'!U6)*IF(ABS('07_CONTINUOUS_CODEBOOK'!U6)&lt;'04_CODEBOOK_CONTROL'!$B$16,1,IF(ABS('07_CONTINUOUS_CODEBOOK'!U6)&lt;'04_CODEBOOK_CONTROL'!$B$17,2,3)))</f>
        <v/>
      </c>
      <c r="V6" s="7">
        <f>IF(ABS('07_CONTINUOUS_CODEBOOK'!V6)&lt;'04_CODEBOOK_CONTROL'!$B$15,0,SIGN('07_CONTINUOUS_CODEBOOK'!V6)*IF(ABS('07_CONTINUOUS_CODEBOOK'!V6)&lt;'04_CODEBOOK_CONTROL'!$B$16,1,IF(ABS('07_CONTINUOUS_CODEBOOK'!V6)&lt;'04_CODEBOOK_CONTROL'!$B$17,2,3)))</f>
        <v/>
      </c>
      <c r="W6" s="7">
        <f>IF(ABS('07_CONTINUOUS_CODEBOOK'!W6)&lt;'04_CODEBOOK_CONTROL'!$B$15,0,SIGN('07_CONTINUOUS_CODEBOOK'!W6)*IF(ABS('07_CONTINUOUS_CODEBOOK'!W6)&lt;'04_CODEBOOK_CONTROL'!$B$16,1,IF(ABS('07_CONTINUOUS_CODEBOOK'!W6)&lt;'04_CODEBOOK_CONTROL'!$B$17,2,3)))</f>
        <v/>
      </c>
      <c r="X6" s="7">
        <f>IF(ABS('07_CONTINUOUS_CODEBOOK'!X6)&lt;'04_CODEBOOK_CONTROL'!$B$15,0,SIGN('07_CONTINUOUS_CODEBOOK'!X6)*IF(ABS('07_CONTINUOUS_CODEBOOK'!X6)&lt;'04_CODEBOOK_CONTROL'!$B$16,1,IF(ABS('07_CONTINUOUS_CODEBOOK'!X6)&lt;'04_CODEBOOK_CONTROL'!$B$17,2,3)))</f>
        <v/>
      </c>
      <c r="Y6" s="7">
        <f>IF(ABS('07_CONTINUOUS_CODEBOOK'!Y6)&lt;'04_CODEBOOK_CONTROL'!$B$15,0,SIGN('07_CONTINUOUS_CODEBOOK'!Y6)*IF(ABS('07_CONTINUOUS_CODEBOOK'!Y6)&lt;'04_CODEBOOK_CONTROL'!$B$16,1,IF(ABS('07_CONTINUOUS_CODEBOOK'!Y6)&lt;'04_CODEBOOK_CONTROL'!$B$17,2,3)))</f>
        <v/>
      </c>
      <c r="Z6" s="7">
        <f>IF(ABS('07_CONTINUOUS_CODEBOOK'!Z6)&lt;'04_CODEBOOK_CONTROL'!$B$15,0,SIGN('07_CONTINUOUS_CODEBOOK'!Z6)*IF(ABS('07_CONTINUOUS_CODEBOOK'!Z6)&lt;'04_CODEBOOK_CONTROL'!$B$16,1,IF(ABS('07_CONTINUOUS_CODEBOOK'!Z6)&lt;'04_CODEBOOK_CONTROL'!$B$17,2,3)))</f>
        <v/>
      </c>
      <c r="AA6" s="7">
        <f>IF(ABS('07_CONTINUOUS_CODEBOOK'!AA6)&lt;'04_CODEBOOK_CONTROL'!$B$15,0,SIGN('07_CONTINUOUS_CODEBOOK'!AA6)*IF(ABS('07_CONTINUOUS_CODEBOOK'!AA6)&lt;'04_CODEBOOK_CONTROL'!$B$16,1,IF(ABS('07_CONTINUOUS_CODEBOOK'!AA6)&lt;'04_CODEBOOK_CONTROL'!$B$17,2,3)))</f>
        <v/>
      </c>
      <c r="AB6" s="7">
        <f>IF(ABS('07_CONTINUOUS_CODEBOOK'!AB6)&lt;'04_CODEBOOK_CONTROL'!$B$15,0,SIGN('07_CONTINUOUS_CODEBOOK'!AB6)*IF(ABS('07_CONTINUOUS_CODEBOOK'!AB6)&lt;'04_CODEBOOK_CONTROL'!$B$16,1,IF(ABS('07_CONTINUOUS_CODEBOOK'!AB6)&lt;'04_CODEBOOK_CONTROL'!$B$17,2,3)))</f>
        <v/>
      </c>
      <c r="AC6" s="7">
        <f>IF(ABS('07_CONTINUOUS_CODEBOOK'!AC6)&lt;'04_CODEBOOK_CONTROL'!$B$15,0,SIGN('07_CONTINUOUS_CODEBOOK'!AC6)*IF(ABS('07_CONTINUOUS_CODEBOOK'!AC6)&lt;'04_CODEBOOK_CONTROL'!$B$16,1,IF(ABS('07_CONTINUOUS_CODEBOOK'!AC6)&lt;'04_CODEBOOK_CONTROL'!$B$17,2,3)))</f>
        <v/>
      </c>
      <c r="AD6" s="7">
        <f>IF(ABS('07_CONTINUOUS_CODEBOOK'!AD6)&lt;'04_CODEBOOK_CONTROL'!$B$15,0,SIGN('07_CONTINUOUS_CODEBOOK'!AD6)*IF(ABS('07_CONTINUOUS_CODEBOOK'!AD6)&lt;'04_CODEBOOK_CONTROL'!$B$16,1,IF(ABS('07_CONTINUOUS_CODEBOOK'!AD6)&lt;'04_CODEBOOK_CONTROL'!$B$17,2,3)))</f>
        <v/>
      </c>
      <c r="AE6" s="7">
        <f>IF(ABS('07_CONTINUOUS_CODEBOOK'!AE6)&lt;'04_CODEBOOK_CONTROL'!$B$15,0,SIGN('07_CONTINUOUS_CODEBOOK'!AE6)*IF(ABS('07_CONTINUOUS_CODEBOOK'!AE6)&lt;'04_CODEBOOK_CONTROL'!$B$16,1,IF(ABS('07_CONTINUOUS_CODEBOOK'!AE6)&lt;'04_CODEBOOK_CONTROL'!$B$17,2,3)))</f>
        <v/>
      </c>
      <c r="AF6" s="7">
        <f>IF(ABS('07_CONTINUOUS_CODEBOOK'!AF6)&lt;'04_CODEBOOK_CONTROL'!$B$15,0,SIGN('07_CONTINUOUS_CODEBOOK'!AF6)*IF(ABS('07_CONTINUOUS_CODEBOOK'!AF6)&lt;'04_CODEBOOK_CONTROL'!$B$16,1,IF(ABS('07_CONTINUOUS_CODEBOOK'!AF6)&lt;'04_CODEBOOK_CONTROL'!$B$17,2,3)))</f>
        <v/>
      </c>
      <c r="AG6" s="7">
        <f>IF(ABS('07_CONTINUOUS_CODEBOOK'!AG6)&lt;'04_CODEBOOK_CONTROL'!$B$15,0,SIGN('07_CONTINUOUS_CODEBOOK'!AG6)*IF(ABS('07_CONTINUOUS_CODEBOOK'!AG6)&lt;'04_CODEBOOK_CONTROL'!$B$16,1,IF(ABS('07_CONTINUOUS_CODEBOOK'!AG6)&lt;'04_CODEBOOK_CONTROL'!$B$17,2,3)))</f>
        <v/>
      </c>
      <c r="AH6" s="7">
        <f>IF(ABS('07_CONTINUOUS_CODEBOOK'!AH6)&lt;'04_CODEBOOK_CONTROL'!$B$15,0,SIGN('07_CONTINUOUS_CODEBOOK'!AH6)*IF(ABS('07_CONTINUOUS_CODEBOOK'!AH6)&lt;'04_CODEBOOK_CONTROL'!$B$16,1,IF(ABS('07_CONTINUOUS_CODEBOOK'!AH6)&lt;'04_CODEBOOK_CONTROL'!$B$17,2,3)))</f>
        <v/>
      </c>
      <c r="AI6" s="7">
        <f>IF(ABS('07_CONTINUOUS_CODEBOOK'!AI6)&lt;'04_CODEBOOK_CONTROL'!$B$15,0,SIGN('07_CONTINUOUS_CODEBOOK'!AI6)*IF(ABS('07_CONTINUOUS_CODEBOOK'!AI6)&lt;'04_CODEBOOK_CONTROL'!$B$16,1,IF(ABS('07_CONTINUOUS_CODEBOOK'!AI6)&lt;'04_CODEBOOK_CONTROL'!$B$17,2,3)))</f>
        <v/>
      </c>
      <c r="AJ6" s="7">
        <f>IF(ABS('07_CONTINUOUS_CODEBOOK'!AJ6)&lt;'04_CODEBOOK_CONTROL'!$B$15,0,SIGN('07_CONTINUOUS_CODEBOOK'!AJ6)*IF(ABS('07_CONTINUOUS_CODEBOOK'!AJ6)&lt;'04_CODEBOOK_CONTROL'!$B$16,1,IF(ABS('07_CONTINUOUS_CODEBOOK'!AJ6)&lt;'04_CODEBOOK_CONTROL'!$B$17,2,3)))</f>
        <v/>
      </c>
      <c r="AK6" s="7">
        <f>IF(ABS('07_CONTINUOUS_CODEBOOK'!AK6)&lt;'04_CODEBOOK_CONTROL'!$B$15,0,SIGN('07_CONTINUOUS_CODEBOOK'!AK6)*IF(ABS('07_CONTINUOUS_CODEBOOK'!AK6)&lt;'04_CODEBOOK_CONTROL'!$B$16,1,IF(ABS('07_CONTINUOUS_CODEBOOK'!AK6)&lt;'04_CODEBOOK_CONTROL'!$B$17,2,3)))</f>
        <v/>
      </c>
      <c r="AL6" s="7">
        <f>IF(ABS('07_CONTINUOUS_CODEBOOK'!AL6)&lt;'04_CODEBOOK_CONTROL'!$B$15,0,SIGN('07_CONTINUOUS_CODEBOOK'!AL6)*IF(ABS('07_CONTINUOUS_CODEBOOK'!AL6)&lt;'04_CODEBOOK_CONTROL'!$B$16,1,IF(ABS('07_CONTINUOUS_CODEBOOK'!AL6)&lt;'04_CODEBOOK_CONTROL'!$B$17,2,3)))</f>
        <v/>
      </c>
      <c r="AM6" s="7">
        <f>IF(ABS('07_CONTINUOUS_CODEBOOK'!AM6)&lt;'04_CODEBOOK_CONTROL'!$B$15,0,SIGN('07_CONTINUOUS_CODEBOOK'!AM6)*IF(ABS('07_CONTINUOUS_CODEBOOK'!AM6)&lt;'04_CODEBOOK_CONTROL'!$B$16,1,IF(ABS('07_CONTINUOUS_CODEBOOK'!AM6)&lt;'04_CODEBOOK_CONTROL'!$B$17,2,3)))</f>
        <v/>
      </c>
      <c r="AN6" s="7">
        <f>IF(ABS('07_CONTINUOUS_CODEBOOK'!AN6)&lt;'04_CODEBOOK_CONTROL'!$B$15,0,SIGN('07_CONTINUOUS_CODEBOOK'!AN6)*IF(ABS('07_CONTINUOUS_CODEBOOK'!AN6)&lt;'04_CODEBOOK_CONTROL'!$B$16,1,IF(ABS('07_CONTINUOUS_CODEBOOK'!AN6)&lt;'04_CODEBOOK_CONTROL'!$B$17,2,3)))</f>
        <v/>
      </c>
      <c r="AO6" s="7">
        <f>IF(ABS('07_CONTINUOUS_CODEBOOK'!AO6)&lt;'04_CODEBOOK_CONTROL'!$B$15,0,SIGN('07_CONTINUOUS_CODEBOOK'!AO6)*IF(ABS('07_CONTINUOUS_CODEBOOK'!AO6)&lt;'04_CODEBOOK_CONTROL'!$B$16,1,IF(ABS('07_CONTINUOUS_CODEBOOK'!AO6)&lt;'04_CODEBOOK_CONTROL'!$B$17,2,3)))</f>
        <v/>
      </c>
      <c r="AP6" s="7">
        <f>IF(ABS('07_CONTINUOUS_CODEBOOK'!AP6)&lt;'04_CODEBOOK_CONTROL'!$B$15,0,SIGN('07_CONTINUOUS_CODEBOOK'!AP6)*IF(ABS('07_CONTINUOUS_CODEBOOK'!AP6)&lt;'04_CODEBOOK_CONTROL'!$B$16,1,IF(ABS('07_CONTINUOUS_CODEBOOK'!AP6)&lt;'04_CODEBOOK_CONTROL'!$B$17,2,3)))</f>
        <v/>
      </c>
      <c r="AQ6" s="7">
        <f>IF(ABS('07_CONTINUOUS_CODEBOOK'!AQ6)&lt;'04_CODEBOOK_CONTROL'!$B$15,0,SIGN('07_CONTINUOUS_CODEBOOK'!AQ6)*IF(ABS('07_CONTINUOUS_CODEBOOK'!AQ6)&lt;'04_CODEBOOK_CONTROL'!$B$16,1,IF(ABS('07_CONTINUOUS_CODEBOOK'!AQ6)&lt;'04_CODEBOOK_CONTROL'!$B$17,2,3)))</f>
        <v/>
      </c>
      <c r="AR6" s="7">
        <f>IF(ABS('07_CONTINUOUS_CODEBOOK'!AR6)&lt;'04_CODEBOOK_CONTROL'!$B$15,0,SIGN('07_CONTINUOUS_CODEBOOK'!AR6)*IF(ABS('07_CONTINUOUS_CODEBOOK'!AR6)&lt;'04_CODEBOOK_CONTROL'!$B$16,1,IF(ABS('07_CONTINUOUS_CODEBOOK'!AR6)&lt;'04_CODEBOOK_CONTROL'!$B$17,2,3)))</f>
        <v/>
      </c>
      <c r="AS6" s="7">
        <f>IF(ABS('07_CONTINUOUS_CODEBOOK'!AS6)&lt;'04_CODEBOOK_CONTROL'!$B$15,0,SIGN('07_CONTINUOUS_CODEBOOK'!AS6)*IF(ABS('07_CONTINUOUS_CODEBOOK'!AS6)&lt;'04_CODEBOOK_CONTROL'!$B$16,1,IF(ABS('07_CONTINUOUS_CODEBOOK'!AS6)&lt;'04_CODEBOOK_CONTROL'!$B$17,2,3)))</f>
        <v/>
      </c>
      <c r="AT6" s="7">
        <f>IF(ABS('07_CONTINUOUS_CODEBOOK'!AT6)&lt;'04_CODEBOOK_CONTROL'!$B$15,0,SIGN('07_CONTINUOUS_CODEBOOK'!AT6)*IF(ABS('07_CONTINUOUS_CODEBOOK'!AT6)&lt;'04_CODEBOOK_CONTROL'!$B$16,1,IF(ABS('07_CONTINUOUS_CODEBOOK'!AT6)&lt;'04_CODEBOOK_CONTROL'!$B$17,2,3)))</f>
        <v/>
      </c>
      <c r="AU6" s="7">
        <f>IF(ABS('07_CONTINUOUS_CODEBOOK'!AU6)&lt;'04_CODEBOOK_CONTROL'!$B$15,0,SIGN('07_CONTINUOUS_CODEBOOK'!AU6)*IF(ABS('07_CONTINUOUS_CODEBOOK'!AU6)&lt;'04_CODEBOOK_CONTROL'!$B$16,1,IF(ABS('07_CONTINUOUS_CODEBOOK'!AU6)&lt;'04_CODEBOOK_CONTROL'!$B$17,2,3)))</f>
        <v/>
      </c>
      <c r="AV6" s="7">
        <f>IF(ABS('07_CONTINUOUS_CODEBOOK'!AV6)&lt;'04_CODEBOOK_CONTROL'!$B$15,0,SIGN('07_CONTINUOUS_CODEBOOK'!AV6)*IF(ABS('07_CONTINUOUS_CODEBOOK'!AV6)&lt;'04_CODEBOOK_CONTROL'!$B$16,1,IF(ABS('07_CONTINUOUS_CODEBOOK'!AV6)&lt;'04_CODEBOOK_CONTROL'!$B$17,2,3)))</f>
        <v/>
      </c>
      <c r="AW6" s="7">
        <f>IF(ABS('07_CONTINUOUS_CODEBOOK'!AW6)&lt;'04_CODEBOOK_CONTROL'!$B$15,0,SIGN('07_CONTINUOUS_CODEBOOK'!AW6)*IF(ABS('07_CONTINUOUS_CODEBOOK'!AW6)&lt;'04_CODEBOOK_CONTROL'!$B$16,1,IF(ABS('07_CONTINUOUS_CODEBOOK'!AW6)&lt;'04_CODEBOOK_CONTROL'!$B$17,2,3)))</f>
        <v/>
      </c>
      <c r="AX6" s="7">
        <f>IF(ABS('07_CONTINUOUS_CODEBOOK'!AX6)&lt;'04_CODEBOOK_CONTROL'!$B$15,0,SIGN('07_CONTINUOUS_CODEBOOK'!AX6)*IF(ABS('07_CONTINUOUS_CODEBOOK'!AX6)&lt;'04_CODEBOOK_CONTROL'!$B$16,1,IF(ABS('07_CONTINUOUS_CODEBOOK'!AX6)&lt;'04_CODEBOOK_CONTROL'!$B$17,2,3)))</f>
        <v/>
      </c>
      <c r="AY6" s="7">
        <f>IF(ABS('07_CONTINUOUS_CODEBOOK'!AY6)&lt;'04_CODEBOOK_CONTROL'!$B$15,0,SIGN('07_CONTINUOUS_CODEBOOK'!AY6)*IF(ABS('07_CONTINUOUS_CODEBOOK'!AY6)&lt;'04_CODEBOOK_CONTROL'!$B$16,1,IF(ABS('07_CONTINUOUS_CODEBOOK'!AY6)&lt;'04_CODEBOOK_CONTROL'!$B$17,2,3)))</f>
        <v/>
      </c>
      <c r="AZ6" s="7">
        <f>IF(ABS('07_CONTINUOUS_CODEBOOK'!AZ6)&lt;'04_CODEBOOK_CONTROL'!$B$15,0,SIGN('07_CONTINUOUS_CODEBOOK'!AZ6)*IF(ABS('07_CONTINUOUS_CODEBOOK'!AZ6)&lt;'04_CODEBOOK_CONTROL'!$B$16,1,IF(ABS('07_CONTINUOUS_CODEBOOK'!AZ6)&lt;'04_CODEBOOK_CONTROL'!$B$17,2,3)))</f>
        <v/>
      </c>
      <c r="BA6" s="7">
        <f>IF(ABS('07_CONTINUOUS_CODEBOOK'!BA6)&lt;'04_CODEBOOK_CONTROL'!$B$15,0,SIGN('07_CONTINUOUS_CODEBOOK'!BA6)*IF(ABS('07_CONTINUOUS_CODEBOOK'!BA6)&lt;'04_CODEBOOK_CONTROL'!$B$16,1,IF(ABS('07_CONTINUOUS_CODEBOOK'!BA6)&lt;'04_CODEBOOK_CONTROL'!$B$17,2,3)))</f>
        <v/>
      </c>
      <c r="BB6" s="7">
        <f>IF(ABS('07_CONTINUOUS_CODEBOOK'!BB6)&lt;'04_CODEBOOK_CONTROL'!$B$15,0,SIGN('07_CONTINUOUS_CODEBOOK'!BB6)*IF(ABS('07_CONTINUOUS_CODEBOOK'!BB6)&lt;'04_CODEBOOK_CONTROL'!$B$16,1,IF(ABS('07_CONTINUOUS_CODEBOOK'!BB6)&lt;'04_CODEBOOK_CONTROL'!$B$17,2,3)))</f>
        <v/>
      </c>
      <c r="BC6" s="7">
        <f>IF(ABS('07_CONTINUOUS_CODEBOOK'!BC6)&lt;'04_CODEBOOK_CONTROL'!$B$15,0,SIGN('07_CONTINUOUS_CODEBOOK'!BC6)*IF(ABS('07_CONTINUOUS_CODEBOOK'!BC6)&lt;'04_CODEBOOK_CONTROL'!$B$16,1,IF(ABS('07_CONTINUOUS_CODEBOOK'!BC6)&lt;'04_CODEBOOK_CONTROL'!$B$17,2,3)))</f>
        <v/>
      </c>
      <c r="BD6" s="7">
        <f>IF(ABS('07_CONTINUOUS_CODEBOOK'!BD6)&lt;'04_CODEBOOK_CONTROL'!$B$15,0,SIGN('07_CONTINUOUS_CODEBOOK'!BD6)*IF(ABS('07_CONTINUOUS_CODEBOOK'!BD6)&lt;'04_CODEBOOK_CONTROL'!$B$16,1,IF(ABS('07_CONTINUOUS_CODEBOOK'!BD6)&lt;'04_CODEBOOK_CONTROL'!$B$17,2,3)))</f>
        <v/>
      </c>
      <c r="BE6" s="7">
        <f>IF(ABS('07_CONTINUOUS_CODEBOOK'!BE6)&lt;'04_CODEBOOK_CONTROL'!$B$15,0,SIGN('07_CONTINUOUS_CODEBOOK'!BE6)*IF(ABS('07_CONTINUOUS_CODEBOOK'!BE6)&lt;'04_CODEBOOK_CONTROL'!$B$16,1,IF(ABS('07_CONTINUOUS_CODEBOOK'!BE6)&lt;'04_CODEBOOK_CONTROL'!$B$17,2,3)))</f>
        <v/>
      </c>
      <c r="BF6" s="7">
        <f>IF(ABS('07_CONTINUOUS_CODEBOOK'!BF6)&lt;'04_CODEBOOK_CONTROL'!$B$15,0,SIGN('07_CONTINUOUS_CODEBOOK'!BF6)*IF(ABS('07_CONTINUOUS_CODEBOOK'!BF6)&lt;'04_CODEBOOK_CONTROL'!$B$16,1,IF(ABS('07_CONTINUOUS_CODEBOOK'!BF6)&lt;'04_CODEBOOK_CONTROL'!$B$17,2,3)))</f>
        <v/>
      </c>
      <c r="BG6" s="7">
        <f>IF(ABS('07_CONTINUOUS_CODEBOOK'!BG6)&lt;'04_CODEBOOK_CONTROL'!$B$15,0,SIGN('07_CONTINUOUS_CODEBOOK'!BG6)*IF(ABS('07_CONTINUOUS_CODEBOOK'!BG6)&lt;'04_CODEBOOK_CONTROL'!$B$16,1,IF(ABS('07_CONTINUOUS_CODEBOOK'!BG6)&lt;'04_CODEBOOK_CONTROL'!$B$17,2,3)))</f>
        <v/>
      </c>
      <c r="BH6" s="7">
        <f>IF(ABS('07_CONTINUOUS_CODEBOOK'!BH6)&lt;'04_CODEBOOK_CONTROL'!$B$15,0,SIGN('07_CONTINUOUS_CODEBOOK'!BH6)*IF(ABS('07_CONTINUOUS_CODEBOOK'!BH6)&lt;'04_CODEBOOK_CONTROL'!$B$16,1,IF(ABS('07_CONTINUOUS_CODEBOOK'!BH6)&lt;'04_CODEBOOK_CONTROL'!$B$17,2,3)))</f>
        <v/>
      </c>
      <c r="BI6" s="7">
        <f>IF(ABS('07_CONTINUOUS_CODEBOOK'!BI6)&lt;'04_CODEBOOK_CONTROL'!$B$15,0,SIGN('07_CONTINUOUS_CODEBOOK'!BI6)*IF(ABS('07_CONTINUOUS_CODEBOOK'!BI6)&lt;'04_CODEBOOK_CONTROL'!$B$16,1,IF(ABS('07_CONTINUOUS_CODEBOOK'!BI6)&lt;'04_CODEBOOK_CONTROL'!$B$17,2,3)))</f>
        <v/>
      </c>
      <c r="BJ6" s="7">
        <f>IF(ABS('07_CONTINUOUS_CODEBOOK'!BJ6)&lt;'04_CODEBOOK_CONTROL'!$B$15,0,SIGN('07_CONTINUOUS_CODEBOOK'!BJ6)*IF(ABS('07_CONTINUOUS_CODEBOOK'!BJ6)&lt;'04_CODEBOOK_CONTROL'!$B$16,1,IF(ABS('07_CONTINUOUS_CODEBOOK'!BJ6)&lt;'04_CODEBOOK_CONTROL'!$B$17,2,3)))</f>
        <v/>
      </c>
      <c r="BK6" s="7">
        <f>IF(ABS('07_CONTINUOUS_CODEBOOK'!BK6)&lt;'04_CODEBOOK_CONTROL'!$B$15,0,SIGN('07_CONTINUOUS_CODEBOOK'!BK6)*IF(ABS('07_CONTINUOUS_CODEBOOK'!BK6)&lt;'04_CODEBOOK_CONTROL'!$B$16,1,IF(ABS('07_CONTINUOUS_CODEBOOK'!BK6)&lt;'04_CODEBOOK_CONTROL'!$B$17,2,3)))</f>
        <v/>
      </c>
      <c r="BL6" s="7">
        <f>IF(ABS('07_CONTINUOUS_CODEBOOK'!BL6)&lt;'04_CODEBOOK_CONTROL'!$B$15,0,SIGN('07_CONTINUOUS_CODEBOOK'!BL6)*IF(ABS('07_CONTINUOUS_CODEBOOK'!BL6)&lt;'04_CODEBOOK_CONTROL'!$B$16,1,IF(ABS('07_CONTINUOUS_CODEBOOK'!BL6)&lt;'04_CODEBOOK_CONTROL'!$B$17,2,3)))</f>
        <v/>
      </c>
      <c r="BM6" s="7">
        <f>IF(ABS('07_CONTINUOUS_CODEBOOK'!BM6)&lt;'04_CODEBOOK_CONTROL'!$B$15,0,SIGN('07_CONTINUOUS_CODEBOOK'!BM6)*IF(ABS('07_CONTINUOUS_CODEBOOK'!BM6)&lt;'04_CODEBOOK_CONTROL'!$B$16,1,IF(ABS('07_CONTINUOUS_CODEBOOK'!BM6)&lt;'04_CODEBOOK_CONTROL'!$B$17,2,3)))</f>
        <v/>
      </c>
      <c r="BN6" s="7">
        <f>IF(ABS('07_CONTINUOUS_CODEBOOK'!BN6)&lt;'04_CODEBOOK_CONTROL'!$B$15,0,SIGN('07_CONTINUOUS_CODEBOOK'!BN6)*IF(ABS('07_CONTINUOUS_CODEBOOK'!BN6)&lt;'04_CODEBOOK_CONTROL'!$B$16,1,IF(ABS('07_CONTINUOUS_CODEBOOK'!BN6)&lt;'04_CODEBOOK_CONTROL'!$B$17,2,3)))</f>
        <v/>
      </c>
      <c r="BO6" s="7">
        <f>IF(ABS('07_CONTINUOUS_CODEBOOK'!BO6)&lt;'04_CODEBOOK_CONTROL'!$B$15,0,SIGN('07_CONTINUOUS_CODEBOOK'!BO6)*IF(ABS('07_CONTINUOUS_CODEBOOK'!BO6)&lt;'04_CODEBOOK_CONTROL'!$B$16,1,IF(ABS('07_CONTINUOUS_CODEBOOK'!BO6)&lt;'04_CODEBOOK_CONTROL'!$B$17,2,3)))</f>
        <v/>
      </c>
      <c r="BP6" s="7">
        <f>IF(ABS('07_CONTINUOUS_CODEBOOK'!BP6)&lt;'04_CODEBOOK_CONTROL'!$B$15,0,SIGN('07_CONTINUOUS_CODEBOOK'!BP6)*IF(ABS('07_CONTINUOUS_CODEBOOK'!BP6)&lt;'04_CODEBOOK_CONTROL'!$B$16,1,IF(ABS('07_CONTINUOUS_CODEBOOK'!BP6)&lt;'04_CODEBOOK_CONTROL'!$B$17,2,3)))</f>
        <v/>
      </c>
      <c r="BQ6" s="7">
        <f>IF(ABS('07_CONTINUOUS_CODEBOOK'!BQ6)&lt;'04_CODEBOOK_CONTROL'!$B$15,0,SIGN('07_CONTINUOUS_CODEBOOK'!BQ6)*IF(ABS('07_CONTINUOUS_CODEBOOK'!BQ6)&lt;'04_CODEBOOK_CONTROL'!$B$16,1,IF(ABS('07_CONTINUOUS_CODEBOOK'!BQ6)&lt;'04_CODEBOOK_CONTROL'!$B$17,2,3)))</f>
        <v/>
      </c>
      <c r="BR6" s="7">
        <f>IF(ABS('07_CONTINUOUS_CODEBOOK'!BR6)&lt;'04_CODEBOOK_CONTROL'!$B$15,0,SIGN('07_CONTINUOUS_CODEBOOK'!BR6)*IF(ABS('07_CONTINUOUS_CODEBOOK'!BR6)&lt;'04_CODEBOOK_CONTROL'!$B$16,1,IF(ABS('07_CONTINUOUS_CODEBOOK'!BR6)&lt;'04_CODEBOOK_CONTROL'!$B$17,2,3)))</f>
        <v/>
      </c>
      <c r="BS6" s="7">
        <f>IF(ABS('07_CONTINUOUS_CODEBOOK'!BS6)&lt;'04_CODEBOOK_CONTROL'!$B$15,0,SIGN('07_CONTINUOUS_CODEBOOK'!BS6)*IF(ABS('07_CONTINUOUS_CODEBOOK'!BS6)&lt;'04_CODEBOOK_CONTROL'!$B$16,1,IF(ABS('07_CONTINUOUS_CODEBOOK'!BS6)&lt;'04_CODEBOOK_CONTROL'!$B$17,2,3)))</f>
        <v/>
      </c>
      <c r="BT6" s="7">
        <f>IF(ABS('07_CONTINUOUS_CODEBOOK'!BT6)&lt;'04_CODEBOOK_CONTROL'!$B$15,0,SIGN('07_CONTINUOUS_CODEBOOK'!BT6)*IF(ABS('07_CONTINUOUS_CODEBOOK'!BT6)&lt;'04_CODEBOOK_CONTROL'!$B$16,1,IF(ABS('07_CONTINUOUS_CODEBOOK'!BT6)&lt;'04_CODEBOOK_CONTROL'!$B$17,2,3)))</f>
        <v/>
      </c>
      <c r="BU6" s="7">
        <f>IF(ABS('07_CONTINUOUS_CODEBOOK'!BU6)&lt;'04_CODEBOOK_CONTROL'!$B$15,0,SIGN('07_CONTINUOUS_CODEBOOK'!BU6)*IF(ABS('07_CONTINUOUS_CODEBOOK'!BU6)&lt;'04_CODEBOOK_CONTROL'!$B$16,1,IF(ABS('07_CONTINUOUS_CODEBOOK'!BU6)&lt;'04_CODEBOOK_CONTROL'!$B$17,2,3)))</f>
        <v/>
      </c>
      <c r="BV6" s="7">
        <f>IF(ABS('07_CONTINUOUS_CODEBOOK'!BV6)&lt;'04_CODEBOOK_CONTROL'!$B$15,0,SIGN('07_CONTINUOUS_CODEBOOK'!BV6)*IF(ABS('07_CONTINUOUS_CODEBOOK'!BV6)&lt;'04_CODEBOOK_CONTROL'!$B$16,1,IF(ABS('07_CONTINUOUS_CODEBOOK'!BV6)&lt;'04_CODEBOOK_CONTROL'!$B$17,2,3)))</f>
        <v/>
      </c>
      <c r="BW6" s="7">
        <f>IF(ABS('07_CONTINUOUS_CODEBOOK'!BW6)&lt;'04_CODEBOOK_CONTROL'!$B$15,0,SIGN('07_CONTINUOUS_CODEBOOK'!BW6)*IF(ABS('07_CONTINUOUS_CODEBOOK'!BW6)&lt;'04_CODEBOOK_CONTROL'!$B$16,1,IF(ABS('07_CONTINUOUS_CODEBOOK'!BW6)&lt;'04_CODEBOOK_CONTROL'!$B$17,2,3)))</f>
        <v/>
      </c>
      <c r="BX6" s="7">
        <f>IF(ABS('07_CONTINUOUS_CODEBOOK'!BX6)&lt;'04_CODEBOOK_CONTROL'!$B$15,0,SIGN('07_CONTINUOUS_CODEBOOK'!BX6)*IF(ABS('07_CONTINUOUS_CODEBOOK'!BX6)&lt;'04_CODEBOOK_CONTROL'!$B$16,1,IF(ABS('07_CONTINUOUS_CODEBOOK'!BX6)&lt;'04_CODEBOOK_CONTROL'!$B$17,2,3)))</f>
        <v/>
      </c>
      <c r="BY6" s="7">
        <f>IF(ABS('07_CONTINUOUS_CODEBOOK'!BY6)&lt;'04_CODEBOOK_CONTROL'!$B$15,0,SIGN('07_CONTINUOUS_CODEBOOK'!BY6)*IF(ABS('07_CONTINUOUS_CODEBOOK'!BY6)&lt;'04_CODEBOOK_CONTROL'!$B$16,1,IF(ABS('07_CONTINUOUS_CODEBOOK'!BY6)&lt;'04_CODEBOOK_CONTROL'!$B$17,2,3)))</f>
        <v/>
      </c>
      <c r="BZ6" s="7">
        <f>IF(ABS('07_CONTINUOUS_CODEBOOK'!BZ6)&lt;'04_CODEBOOK_CONTROL'!$B$15,0,SIGN('07_CONTINUOUS_CODEBOOK'!BZ6)*IF(ABS('07_CONTINUOUS_CODEBOOK'!BZ6)&lt;'04_CODEBOOK_CONTROL'!$B$16,1,IF(ABS('07_CONTINUOUS_CODEBOOK'!BZ6)&lt;'04_CODEBOOK_CONTROL'!$B$17,2,3)))</f>
        <v/>
      </c>
      <c r="CA6" s="7">
        <f>IF(ABS('07_CONTINUOUS_CODEBOOK'!CA6)&lt;'04_CODEBOOK_CONTROL'!$B$15,0,SIGN('07_CONTINUOUS_CODEBOOK'!CA6)*IF(ABS('07_CONTINUOUS_CODEBOOK'!CA6)&lt;'04_CODEBOOK_CONTROL'!$B$16,1,IF(ABS('07_CONTINUOUS_CODEBOOK'!CA6)&lt;'04_CODEBOOK_CONTROL'!$B$17,2,3)))</f>
        <v/>
      </c>
      <c r="CB6" s="7">
        <f>IF(ABS('07_CONTINUOUS_CODEBOOK'!CB6)&lt;'04_CODEBOOK_CONTROL'!$B$15,0,SIGN('07_CONTINUOUS_CODEBOOK'!CB6)*IF(ABS('07_CONTINUOUS_CODEBOOK'!CB6)&lt;'04_CODEBOOK_CONTROL'!$B$16,1,IF(ABS('07_CONTINUOUS_CODEBOOK'!CB6)&lt;'04_CODEBOOK_CONTROL'!$B$17,2,3)))</f>
        <v/>
      </c>
      <c r="CC6" s="7">
        <f>IF(ABS('07_CONTINUOUS_CODEBOOK'!CC6)&lt;'04_CODEBOOK_CONTROL'!$B$15,0,SIGN('07_CONTINUOUS_CODEBOOK'!CC6)*IF(ABS('07_CONTINUOUS_CODEBOOK'!CC6)&lt;'04_CODEBOOK_CONTROL'!$B$16,1,IF(ABS('07_CONTINUOUS_CODEBOOK'!CC6)&lt;'04_CODEBOOK_CONTROL'!$B$17,2,3)))</f>
        <v/>
      </c>
      <c r="CD6" s="7">
        <f>IF(ABS('07_CONTINUOUS_CODEBOOK'!CD6)&lt;'04_CODEBOOK_CONTROL'!$B$15,0,SIGN('07_CONTINUOUS_CODEBOOK'!CD6)*IF(ABS('07_CONTINUOUS_CODEBOOK'!CD6)&lt;'04_CODEBOOK_CONTROL'!$B$16,1,IF(ABS('07_CONTINUOUS_CODEBOOK'!CD6)&lt;'04_CODEBOOK_CONTROL'!$B$17,2,3)))</f>
        <v/>
      </c>
      <c r="CE6" s="7">
        <f>IF(ABS('07_CONTINUOUS_CODEBOOK'!CE6)&lt;'04_CODEBOOK_CONTROL'!$B$15,0,SIGN('07_CONTINUOUS_CODEBOOK'!CE6)*IF(ABS('07_CONTINUOUS_CODEBOOK'!CE6)&lt;'04_CODEBOOK_CONTROL'!$B$16,1,IF(ABS('07_CONTINUOUS_CODEBOOK'!CE6)&lt;'04_CODEBOOK_CONTROL'!$B$17,2,3)))</f>
        <v/>
      </c>
    </row>
    <row r="7">
      <c r="A7" t="n">
        <v>3</v>
      </c>
      <c r="B7" t="inlineStr">
        <is>
          <t>天狼星人</t>
        </is>
      </c>
      <c r="C7" t="inlineStr">
        <is>
          <t>Sirian</t>
        </is>
      </c>
      <c r="D7" s="7">
        <f>IF(ABS('07_CONTINUOUS_CODEBOOK'!D7)&lt;'04_CODEBOOK_CONTROL'!$B$15,0,SIGN('07_CONTINUOUS_CODEBOOK'!D7)*IF(ABS('07_CONTINUOUS_CODEBOOK'!D7)&lt;'04_CODEBOOK_CONTROL'!$B$16,1,IF(ABS('07_CONTINUOUS_CODEBOOK'!D7)&lt;'04_CODEBOOK_CONTROL'!$B$17,2,3)))</f>
        <v/>
      </c>
      <c r="E7" s="7">
        <f>IF(ABS('07_CONTINUOUS_CODEBOOK'!E7)&lt;'04_CODEBOOK_CONTROL'!$B$15,0,SIGN('07_CONTINUOUS_CODEBOOK'!E7)*IF(ABS('07_CONTINUOUS_CODEBOOK'!E7)&lt;'04_CODEBOOK_CONTROL'!$B$16,1,IF(ABS('07_CONTINUOUS_CODEBOOK'!E7)&lt;'04_CODEBOOK_CONTROL'!$B$17,2,3)))</f>
        <v/>
      </c>
      <c r="F7" s="7">
        <f>IF(ABS('07_CONTINUOUS_CODEBOOK'!F7)&lt;'04_CODEBOOK_CONTROL'!$B$15,0,SIGN('07_CONTINUOUS_CODEBOOK'!F7)*IF(ABS('07_CONTINUOUS_CODEBOOK'!F7)&lt;'04_CODEBOOK_CONTROL'!$B$16,1,IF(ABS('07_CONTINUOUS_CODEBOOK'!F7)&lt;'04_CODEBOOK_CONTROL'!$B$17,2,3)))</f>
        <v/>
      </c>
      <c r="G7" s="7">
        <f>IF(ABS('07_CONTINUOUS_CODEBOOK'!G7)&lt;'04_CODEBOOK_CONTROL'!$B$15,0,SIGN('07_CONTINUOUS_CODEBOOK'!G7)*IF(ABS('07_CONTINUOUS_CODEBOOK'!G7)&lt;'04_CODEBOOK_CONTROL'!$B$16,1,IF(ABS('07_CONTINUOUS_CODEBOOK'!G7)&lt;'04_CODEBOOK_CONTROL'!$B$17,2,3)))</f>
        <v/>
      </c>
      <c r="H7" s="7">
        <f>IF(ABS('07_CONTINUOUS_CODEBOOK'!H7)&lt;'04_CODEBOOK_CONTROL'!$B$15,0,SIGN('07_CONTINUOUS_CODEBOOK'!H7)*IF(ABS('07_CONTINUOUS_CODEBOOK'!H7)&lt;'04_CODEBOOK_CONTROL'!$B$16,1,IF(ABS('07_CONTINUOUS_CODEBOOK'!H7)&lt;'04_CODEBOOK_CONTROL'!$B$17,2,3)))</f>
        <v/>
      </c>
      <c r="I7" s="7">
        <f>IF(ABS('07_CONTINUOUS_CODEBOOK'!I7)&lt;'04_CODEBOOK_CONTROL'!$B$15,0,SIGN('07_CONTINUOUS_CODEBOOK'!I7)*IF(ABS('07_CONTINUOUS_CODEBOOK'!I7)&lt;'04_CODEBOOK_CONTROL'!$B$16,1,IF(ABS('07_CONTINUOUS_CODEBOOK'!I7)&lt;'04_CODEBOOK_CONTROL'!$B$17,2,3)))</f>
        <v/>
      </c>
      <c r="J7" s="7">
        <f>IF(ABS('07_CONTINUOUS_CODEBOOK'!J7)&lt;'04_CODEBOOK_CONTROL'!$B$15,0,SIGN('07_CONTINUOUS_CODEBOOK'!J7)*IF(ABS('07_CONTINUOUS_CODEBOOK'!J7)&lt;'04_CODEBOOK_CONTROL'!$B$16,1,IF(ABS('07_CONTINUOUS_CODEBOOK'!J7)&lt;'04_CODEBOOK_CONTROL'!$B$17,2,3)))</f>
        <v/>
      </c>
      <c r="K7" s="7">
        <f>IF(ABS('07_CONTINUOUS_CODEBOOK'!K7)&lt;'04_CODEBOOK_CONTROL'!$B$15,0,SIGN('07_CONTINUOUS_CODEBOOK'!K7)*IF(ABS('07_CONTINUOUS_CODEBOOK'!K7)&lt;'04_CODEBOOK_CONTROL'!$B$16,1,IF(ABS('07_CONTINUOUS_CODEBOOK'!K7)&lt;'04_CODEBOOK_CONTROL'!$B$17,2,3)))</f>
        <v/>
      </c>
      <c r="L7" s="7">
        <f>IF(ABS('07_CONTINUOUS_CODEBOOK'!L7)&lt;'04_CODEBOOK_CONTROL'!$B$15,0,SIGN('07_CONTINUOUS_CODEBOOK'!L7)*IF(ABS('07_CONTINUOUS_CODEBOOK'!L7)&lt;'04_CODEBOOK_CONTROL'!$B$16,1,IF(ABS('07_CONTINUOUS_CODEBOOK'!L7)&lt;'04_CODEBOOK_CONTROL'!$B$17,2,3)))</f>
        <v/>
      </c>
      <c r="M7" s="7">
        <f>IF(ABS('07_CONTINUOUS_CODEBOOK'!M7)&lt;'04_CODEBOOK_CONTROL'!$B$15,0,SIGN('07_CONTINUOUS_CODEBOOK'!M7)*IF(ABS('07_CONTINUOUS_CODEBOOK'!M7)&lt;'04_CODEBOOK_CONTROL'!$B$16,1,IF(ABS('07_CONTINUOUS_CODEBOOK'!M7)&lt;'04_CODEBOOK_CONTROL'!$B$17,2,3)))</f>
        <v/>
      </c>
      <c r="N7" s="7">
        <f>IF(ABS('07_CONTINUOUS_CODEBOOK'!N7)&lt;'04_CODEBOOK_CONTROL'!$B$15,0,SIGN('07_CONTINUOUS_CODEBOOK'!N7)*IF(ABS('07_CONTINUOUS_CODEBOOK'!N7)&lt;'04_CODEBOOK_CONTROL'!$B$16,1,IF(ABS('07_CONTINUOUS_CODEBOOK'!N7)&lt;'04_CODEBOOK_CONTROL'!$B$17,2,3)))</f>
        <v/>
      </c>
      <c r="O7" s="7">
        <f>IF(ABS('07_CONTINUOUS_CODEBOOK'!O7)&lt;'04_CODEBOOK_CONTROL'!$B$15,0,SIGN('07_CONTINUOUS_CODEBOOK'!O7)*IF(ABS('07_CONTINUOUS_CODEBOOK'!O7)&lt;'04_CODEBOOK_CONTROL'!$B$16,1,IF(ABS('07_CONTINUOUS_CODEBOOK'!O7)&lt;'04_CODEBOOK_CONTROL'!$B$17,2,3)))</f>
        <v/>
      </c>
      <c r="P7" s="7">
        <f>IF(ABS('07_CONTINUOUS_CODEBOOK'!P7)&lt;'04_CODEBOOK_CONTROL'!$B$15,0,SIGN('07_CONTINUOUS_CODEBOOK'!P7)*IF(ABS('07_CONTINUOUS_CODEBOOK'!P7)&lt;'04_CODEBOOK_CONTROL'!$B$16,1,IF(ABS('07_CONTINUOUS_CODEBOOK'!P7)&lt;'04_CODEBOOK_CONTROL'!$B$17,2,3)))</f>
        <v/>
      </c>
      <c r="Q7" s="7">
        <f>IF(ABS('07_CONTINUOUS_CODEBOOK'!Q7)&lt;'04_CODEBOOK_CONTROL'!$B$15,0,SIGN('07_CONTINUOUS_CODEBOOK'!Q7)*IF(ABS('07_CONTINUOUS_CODEBOOK'!Q7)&lt;'04_CODEBOOK_CONTROL'!$B$16,1,IF(ABS('07_CONTINUOUS_CODEBOOK'!Q7)&lt;'04_CODEBOOK_CONTROL'!$B$17,2,3)))</f>
        <v/>
      </c>
      <c r="R7" s="7">
        <f>IF(ABS('07_CONTINUOUS_CODEBOOK'!R7)&lt;'04_CODEBOOK_CONTROL'!$B$15,0,SIGN('07_CONTINUOUS_CODEBOOK'!R7)*IF(ABS('07_CONTINUOUS_CODEBOOK'!R7)&lt;'04_CODEBOOK_CONTROL'!$B$16,1,IF(ABS('07_CONTINUOUS_CODEBOOK'!R7)&lt;'04_CODEBOOK_CONTROL'!$B$17,2,3)))</f>
        <v/>
      </c>
      <c r="S7" s="7">
        <f>IF(ABS('07_CONTINUOUS_CODEBOOK'!S7)&lt;'04_CODEBOOK_CONTROL'!$B$15,0,SIGN('07_CONTINUOUS_CODEBOOK'!S7)*IF(ABS('07_CONTINUOUS_CODEBOOK'!S7)&lt;'04_CODEBOOK_CONTROL'!$B$16,1,IF(ABS('07_CONTINUOUS_CODEBOOK'!S7)&lt;'04_CODEBOOK_CONTROL'!$B$17,2,3)))</f>
        <v/>
      </c>
      <c r="T7" s="7">
        <f>IF(ABS('07_CONTINUOUS_CODEBOOK'!T7)&lt;'04_CODEBOOK_CONTROL'!$B$15,0,SIGN('07_CONTINUOUS_CODEBOOK'!T7)*IF(ABS('07_CONTINUOUS_CODEBOOK'!T7)&lt;'04_CODEBOOK_CONTROL'!$B$16,1,IF(ABS('07_CONTINUOUS_CODEBOOK'!T7)&lt;'04_CODEBOOK_CONTROL'!$B$17,2,3)))</f>
        <v/>
      </c>
      <c r="U7" s="7">
        <f>IF(ABS('07_CONTINUOUS_CODEBOOK'!U7)&lt;'04_CODEBOOK_CONTROL'!$B$15,0,SIGN('07_CONTINUOUS_CODEBOOK'!U7)*IF(ABS('07_CONTINUOUS_CODEBOOK'!U7)&lt;'04_CODEBOOK_CONTROL'!$B$16,1,IF(ABS('07_CONTINUOUS_CODEBOOK'!U7)&lt;'04_CODEBOOK_CONTROL'!$B$17,2,3)))</f>
        <v/>
      </c>
      <c r="V7" s="7">
        <f>IF(ABS('07_CONTINUOUS_CODEBOOK'!V7)&lt;'04_CODEBOOK_CONTROL'!$B$15,0,SIGN('07_CONTINUOUS_CODEBOOK'!V7)*IF(ABS('07_CONTINUOUS_CODEBOOK'!V7)&lt;'04_CODEBOOK_CONTROL'!$B$16,1,IF(ABS('07_CONTINUOUS_CODEBOOK'!V7)&lt;'04_CODEBOOK_CONTROL'!$B$17,2,3)))</f>
        <v/>
      </c>
      <c r="W7" s="7">
        <f>IF(ABS('07_CONTINUOUS_CODEBOOK'!W7)&lt;'04_CODEBOOK_CONTROL'!$B$15,0,SIGN('07_CONTINUOUS_CODEBOOK'!W7)*IF(ABS('07_CONTINUOUS_CODEBOOK'!W7)&lt;'04_CODEBOOK_CONTROL'!$B$16,1,IF(ABS('07_CONTINUOUS_CODEBOOK'!W7)&lt;'04_CODEBOOK_CONTROL'!$B$17,2,3)))</f>
        <v/>
      </c>
      <c r="X7" s="7">
        <f>IF(ABS('07_CONTINUOUS_CODEBOOK'!X7)&lt;'04_CODEBOOK_CONTROL'!$B$15,0,SIGN('07_CONTINUOUS_CODEBOOK'!X7)*IF(ABS('07_CONTINUOUS_CODEBOOK'!X7)&lt;'04_CODEBOOK_CONTROL'!$B$16,1,IF(ABS('07_CONTINUOUS_CODEBOOK'!X7)&lt;'04_CODEBOOK_CONTROL'!$B$17,2,3)))</f>
        <v/>
      </c>
      <c r="Y7" s="7">
        <f>IF(ABS('07_CONTINUOUS_CODEBOOK'!Y7)&lt;'04_CODEBOOK_CONTROL'!$B$15,0,SIGN('07_CONTINUOUS_CODEBOOK'!Y7)*IF(ABS('07_CONTINUOUS_CODEBOOK'!Y7)&lt;'04_CODEBOOK_CONTROL'!$B$16,1,IF(ABS('07_CONTINUOUS_CODEBOOK'!Y7)&lt;'04_CODEBOOK_CONTROL'!$B$17,2,3)))</f>
        <v/>
      </c>
      <c r="Z7" s="7">
        <f>IF(ABS('07_CONTINUOUS_CODEBOOK'!Z7)&lt;'04_CODEBOOK_CONTROL'!$B$15,0,SIGN('07_CONTINUOUS_CODEBOOK'!Z7)*IF(ABS('07_CONTINUOUS_CODEBOOK'!Z7)&lt;'04_CODEBOOK_CONTROL'!$B$16,1,IF(ABS('07_CONTINUOUS_CODEBOOK'!Z7)&lt;'04_CODEBOOK_CONTROL'!$B$17,2,3)))</f>
        <v/>
      </c>
      <c r="AA7" s="7">
        <f>IF(ABS('07_CONTINUOUS_CODEBOOK'!AA7)&lt;'04_CODEBOOK_CONTROL'!$B$15,0,SIGN('07_CONTINUOUS_CODEBOOK'!AA7)*IF(ABS('07_CONTINUOUS_CODEBOOK'!AA7)&lt;'04_CODEBOOK_CONTROL'!$B$16,1,IF(ABS('07_CONTINUOUS_CODEBOOK'!AA7)&lt;'04_CODEBOOK_CONTROL'!$B$17,2,3)))</f>
        <v/>
      </c>
      <c r="AB7" s="7">
        <f>IF(ABS('07_CONTINUOUS_CODEBOOK'!AB7)&lt;'04_CODEBOOK_CONTROL'!$B$15,0,SIGN('07_CONTINUOUS_CODEBOOK'!AB7)*IF(ABS('07_CONTINUOUS_CODEBOOK'!AB7)&lt;'04_CODEBOOK_CONTROL'!$B$16,1,IF(ABS('07_CONTINUOUS_CODEBOOK'!AB7)&lt;'04_CODEBOOK_CONTROL'!$B$17,2,3)))</f>
        <v/>
      </c>
      <c r="AC7" s="7">
        <f>IF(ABS('07_CONTINUOUS_CODEBOOK'!AC7)&lt;'04_CODEBOOK_CONTROL'!$B$15,0,SIGN('07_CONTINUOUS_CODEBOOK'!AC7)*IF(ABS('07_CONTINUOUS_CODEBOOK'!AC7)&lt;'04_CODEBOOK_CONTROL'!$B$16,1,IF(ABS('07_CONTINUOUS_CODEBOOK'!AC7)&lt;'04_CODEBOOK_CONTROL'!$B$17,2,3)))</f>
        <v/>
      </c>
      <c r="AD7" s="7">
        <f>IF(ABS('07_CONTINUOUS_CODEBOOK'!AD7)&lt;'04_CODEBOOK_CONTROL'!$B$15,0,SIGN('07_CONTINUOUS_CODEBOOK'!AD7)*IF(ABS('07_CONTINUOUS_CODEBOOK'!AD7)&lt;'04_CODEBOOK_CONTROL'!$B$16,1,IF(ABS('07_CONTINUOUS_CODEBOOK'!AD7)&lt;'04_CODEBOOK_CONTROL'!$B$17,2,3)))</f>
        <v/>
      </c>
      <c r="AE7" s="7">
        <f>IF(ABS('07_CONTINUOUS_CODEBOOK'!AE7)&lt;'04_CODEBOOK_CONTROL'!$B$15,0,SIGN('07_CONTINUOUS_CODEBOOK'!AE7)*IF(ABS('07_CONTINUOUS_CODEBOOK'!AE7)&lt;'04_CODEBOOK_CONTROL'!$B$16,1,IF(ABS('07_CONTINUOUS_CODEBOOK'!AE7)&lt;'04_CODEBOOK_CONTROL'!$B$17,2,3)))</f>
        <v/>
      </c>
      <c r="AF7" s="7">
        <f>IF(ABS('07_CONTINUOUS_CODEBOOK'!AF7)&lt;'04_CODEBOOK_CONTROL'!$B$15,0,SIGN('07_CONTINUOUS_CODEBOOK'!AF7)*IF(ABS('07_CONTINUOUS_CODEBOOK'!AF7)&lt;'04_CODEBOOK_CONTROL'!$B$16,1,IF(ABS('07_CONTINUOUS_CODEBOOK'!AF7)&lt;'04_CODEBOOK_CONTROL'!$B$17,2,3)))</f>
        <v/>
      </c>
      <c r="AG7" s="7">
        <f>IF(ABS('07_CONTINUOUS_CODEBOOK'!AG7)&lt;'04_CODEBOOK_CONTROL'!$B$15,0,SIGN('07_CONTINUOUS_CODEBOOK'!AG7)*IF(ABS('07_CONTINUOUS_CODEBOOK'!AG7)&lt;'04_CODEBOOK_CONTROL'!$B$16,1,IF(ABS('07_CONTINUOUS_CODEBOOK'!AG7)&lt;'04_CODEBOOK_CONTROL'!$B$17,2,3)))</f>
        <v/>
      </c>
      <c r="AH7" s="7">
        <f>IF(ABS('07_CONTINUOUS_CODEBOOK'!AH7)&lt;'04_CODEBOOK_CONTROL'!$B$15,0,SIGN('07_CONTINUOUS_CODEBOOK'!AH7)*IF(ABS('07_CONTINUOUS_CODEBOOK'!AH7)&lt;'04_CODEBOOK_CONTROL'!$B$16,1,IF(ABS('07_CONTINUOUS_CODEBOOK'!AH7)&lt;'04_CODEBOOK_CONTROL'!$B$17,2,3)))</f>
        <v/>
      </c>
      <c r="AI7" s="7">
        <f>IF(ABS('07_CONTINUOUS_CODEBOOK'!AI7)&lt;'04_CODEBOOK_CONTROL'!$B$15,0,SIGN('07_CONTINUOUS_CODEBOOK'!AI7)*IF(ABS('07_CONTINUOUS_CODEBOOK'!AI7)&lt;'04_CODEBOOK_CONTROL'!$B$16,1,IF(ABS('07_CONTINUOUS_CODEBOOK'!AI7)&lt;'04_CODEBOOK_CONTROL'!$B$17,2,3)))</f>
        <v/>
      </c>
      <c r="AJ7" s="7">
        <f>IF(ABS('07_CONTINUOUS_CODEBOOK'!AJ7)&lt;'04_CODEBOOK_CONTROL'!$B$15,0,SIGN('07_CONTINUOUS_CODEBOOK'!AJ7)*IF(ABS('07_CONTINUOUS_CODEBOOK'!AJ7)&lt;'04_CODEBOOK_CONTROL'!$B$16,1,IF(ABS('07_CONTINUOUS_CODEBOOK'!AJ7)&lt;'04_CODEBOOK_CONTROL'!$B$17,2,3)))</f>
        <v/>
      </c>
      <c r="AK7" s="7">
        <f>IF(ABS('07_CONTINUOUS_CODEBOOK'!AK7)&lt;'04_CODEBOOK_CONTROL'!$B$15,0,SIGN('07_CONTINUOUS_CODEBOOK'!AK7)*IF(ABS('07_CONTINUOUS_CODEBOOK'!AK7)&lt;'04_CODEBOOK_CONTROL'!$B$16,1,IF(ABS('07_CONTINUOUS_CODEBOOK'!AK7)&lt;'04_CODEBOOK_CONTROL'!$B$17,2,3)))</f>
        <v/>
      </c>
      <c r="AL7" s="7">
        <f>IF(ABS('07_CONTINUOUS_CODEBOOK'!AL7)&lt;'04_CODEBOOK_CONTROL'!$B$15,0,SIGN('07_CONTINUOUS_CODEBOOK'!AL7)*IF(ABS('07_CONTINUOUS_CODEBOOK'!AL7)&lt;'04_CODEBOOK_CONTROL'!$B$16,1,IF(ABS('07_CONTINUOUS_CODEBOOK'!AL7)&lt;'04_CODEBOOK_CONTROL'!$B$17,2,3)))</f>
        <v/>
      </c>
      <c r="AM7" s="7">
        <f>IF(ABS('07_CONTINUOUS_CODEBOOK'!AM7)&lt;'04_CODEBOOK_CONTROL'!$B$15,0,SIGN('07_CONTINUOUS_CODEBOOK'!AM7)*IF(ABS('07_CONTINUOUS_CODEBOOK'!AM7)&lt;'04_CODEBOOK_CONTROL'!$B$16,1,IF(ABS('07_CONTINUOUS_CODEBOOK'!AM7)&lt;'04_CODEBOOK_CONTROL'!$B$17,2,3)))</f>
        <v/>
      </c>
      <c r="AN7" s="7">
        <f>IF(ABS('07_CONTINUOUS_CODEBOOK'!AN7)&lt;'04_CODEBOOK_CONTROL'!$B$15,0,SIGN('07_CONTINUOUS_CODEBOOK'!AN7)*IF(ABS('07_CONTINUOUS_CODEBOOK'!AN7)&lt;'04_CODEBOOK_CONTROL'!$B$16,1,IF(ABS('07_CONTINUOUS_CODEBOOK'!AN7)&lt;'04_CODEBOOK_CONTROL'!$B$17,2,3)))</f>
        <v/>
      </c>
      <c r="AO7" s="7">
        <f>IF(ABS('07_CONTINUOUS_CODEBOOK'!AO7)&lt;'04_CODEBOOK_CONTROL'!$B$15,0,SIGN('07_CONTINUOUS_CODEBOOK'!AO7)*IF(ABS('07_CONTINUOUS_CODEBOOK'!AO7)&lt;'04_CODEBOOK_CONTROL'!$B$16,1,IF(ABS('07_CONTINUOUS_CODEBOOK'!AO7)&lt;'04_CODEBOOK_CONTROL'!$B$17,2,3)))</f>
        <v/>
      </c>
      <c r="AP7" s="7">
        <f>IF(ABS('07_CONTINUOUS_CODEBOOK'!AP7)&lt;'04_CODEBOOK_CONTROL'!$B$15,0,SIGN('07_CONTINUOUS_CODEBOOK'!AP7)*IF(ABS('07_CONTINUOUS_CODEBOOK'!AP7)&lt;'04_CODEBOOK_CONTROL'!$B$16,1,IF(ABS('07_CONTINUOUS_CODEBOOK'!AP7)&lt;'04_CODEBOOK_CONTROL'!$B$17,2,3)))</f>
        <v/>
      </c>
      <c r="AQ7" s="7">
        <f>IF(ABS('07_CONTINUOUS_CODEBOOK'!AQ7)&lt;'04_CODEBOOK_CONTROL'!$B$15,0,SIGN('07_CONTINUOUS_CODEBOOK'!AQ7)*IF(ABS('07_CONTINUOUS_CODEBOOK'!AQ7)&lt;'04_CODEBOOK_CONTROL'!$B$16,1,IF(ABS('07_CONTINUOUS_CODEBOOK'!AQ7)&lt;'04_CODEBOOK_CONTROL'!$B$17,2,3)))</f>
        <v/>
      </c>
      <c r="AR7" s="7">
        <f>IF(ABS('07_CONTINUOUS_CODEBOOK'!AR7)&lt;'04_CODEBOOK_CONTROL'!$B$15,0,SIGN('07_CONTINUOUS_CODEBOOK'!AR7)*IF(ABS('07_CONTINUOUS_CODEBOOK'!AR7)&lt;'04_CODEBOOK_CONTROL'!$B$16,1,IF(ABS('07_CONTINUOUS_CODEBOOK'!AR7)&lt;'04_CODEBOOK_CONTROL'!$B$17,2,3)))</f>
        <v/>
      </c>
      <c r="AS7" s="7">
        <f>IF(ABS('07_CONTINUOUS_CODEBOOK'!AS7)&lt;'04_CODEBOOK_CONTROL'!$B$15,0,SIGN('07_CONTINUOUS_CODEBOOK'!AS7)*IF(ABS('07_CONTINUOUS_CODEBOOK'!AS7)&lt;'04_CODEBOOK_CONTROL'!$B$16,1,IF(ABS('07_CONTINUOUS_CODEBOOK'!AS7)&lt;'04_CODEBOOK_CONTROL'!$B$17,2,3)))</f>
        <v/>
      </c>
      <c r="AT7" s="7">
        <f>IF(ABS('07_CONTINUOUS_CODEBOOK'!AT7)&lt;'04_CODEBOOK_CONTROL'!$B$15,0,SIGN('07_CONTINUOUS_CODEBOOK'!AT7)*IF(ABS('07_CONTINUOUS_CODEBOOK'!AT7)&lt;'04_CODEBOOK_CONTROL'!$B$16,1,IF(ABS('07_CONTINUOUS_CODEBOOK'!AT7)&lt;'04_CODEBOOK_CONTROL'!$B$17,2,3)))</f>
        <v/>
      </c>
      <c r="AU7" s="7">
        <f>IF(ABS('07_CONTINUOUS_CODEBOOK'!AU7)&lt;'04_CODEBOOK_CONTROL'!$B$15,0,SIGN('07_CONTINUOUS_CODEBOOK'!AU7)*IF(ABS('07_CONTINUOUS_CODEBOOK'!AU7)&lt;'04_CODEBOOK_CONTROL'!$B$16,1,IF(ABS('07_CONTINUOUS_CODEBOOK'!AU7)&lt;'04_CODEBOOK_CONTROL'!$B$17,2,3)))</f>
        <v/>
      </c>
      <c r="AV7" s="7">
        <f>IF(ABS('07_CONTINUOUS_CODEBOOK'!AV7)&lt;'04_CODEBOOK_CONTROL'!$B$15,0,SIGN('07_CONTINUOUS_CODEBOOK'!AV7)*IF(ABS('07_CONTINUOUS_CODEBOOK'!AV7)&lt;'04_CODEBOOK_CONTROL'!$B$16,1,IF(ABS('07_CONTINUOUS_CODEBOOK'!AV7)&lt;'04_CODEBOOK_CONTROL'!$B$17,2,3)))</f>
        <v/>
      </c>
      <c r="AW7" s="7">
        <f>IF(ABS('07_CONTINUOUS_CODEBOOK'!AW7)&lt;'04_CODEBOOK_CONTROL'!$B$15,0,SIGN('07_CONTINUOUS_CODEBOOK'!AW7)*IF(ABS('07_CONTINUOUS_CODEBOOK'!AW7)&lt;'04_CODEBOOK_CONTROL'!$B$16,1,IF(ABS('07_CONTINUOUS_CODEBOOK'!AW7)&lt;'04_CODEBOOK_CONTROL'!$B$17,2,3)))</f>
        <v/>
      </c>
      <c r="AX7" s="7">
        <f>IF(ABS('07_CONTINUOUS_CODEBOOK'!AX7)&lt;'04_CODEBOOK_CONTROL'!$B$15,0,SIGN('07_CONTINUOUS_CODEBOOK'!AX7)*IF(ABS('07_CONTINUOUS_CODEBOOK'!AX7)&lt;'04_CODEBOOK_CONTROL'!$B$16,1,IF(ABS('07_CONTINUOUS_CODEBOOK'!AX7)&lt;'04_CODEBOOK_CONTROL'!$B$17,2,3)))</f>
        <v/>
      </c>
      <c r="AY7" s="7">
        <f>IF(ABS('07_CONTINUOUS_CODEBOOK'!AY7)&lt;'04_CODEBOOK_CONTROL'!$B$15,0,SIGN('07_CONTINUOUS_CODEBOOK'!AY7)*IF(ABS('07_CONTINUOUS_CODEBOOK'!AY7)&lt;'04_CODEBOOK_CONTROL'!$B$16,1,IF(ABS('07_CONTINUOUS_CODEBOOK'!AY7)&lt;'04_CODEBOOK_CONTROL'!$B$17,2,3)))</f>
        <v/>
      </c>
      <c r="AZ7" s="7">
        <f>IF(ABS('07_CONTINUOUS_CODEBOOK'!AZ7)&lt;'04_CODEBOOK_CONTROL'!$B$15,0,SIGN('07_CONTINUOUS_CODEBOOK'!AZ7)*IF(ABS('07_CONTINUOUS_CODEBOOK'!AZ7)&lt;'04_CODEBOOK_CONTROL'!$B$16,1,IF(ABS('07_CONTINUOUS_CODEBOOK'!AZ7)&lt;'04_CODEBOOK_CONTROL'!$B$17,2,3)))</f>
        <v/>
      </c>
      <c r="BA7" s="7">
        <f>IF(ABS('07_CONTINUOUS_CODEBOOK'!BA7)&lt;'04_CODEBOOK_CONTROL'!$B$15,0,SIGN('07_CONTINUOUS_CODEBOOK'!BA7)*IF(ABS('07_CONTINUOUS_CODEBOOK'!BA7)&lt;'04_CODEBOOK_CONTROL'!$B$16,1,IF(ABS('07_CONTINUOUS_CODEBOOK'!BA7)&lt;'04_CODEBOOK_CONTROL'!$B$17,2,3)))</f>
        <v/>
      </c>
      <c r="BB7" s="7">
        <f>IF(ABS('07_CONTINUOUS_CODEBOOK'!BB7)&lt;'04_CODEBOOK_CONTROL'!$B$15,0,SIGN('07_CONTINUOUS_CODEBOOK'!BB7)*IF(ABS('07_CONTINUOUS_CODEBOOK'!BB7)&lt;'04_CODEBOOK_CONTROL'!$B$16,1,IF(ABS('07_CONTINUOUS_CODEBOOK'!BB7)&lt;'04_CODEBOOK_CONTROL'!$B$17,2,3)))</f>
        <v/>
      </c>
      <c r="BC7" s="7">
        <f>IF(ABS('07_CONTINUOUS_CODEBOOK'!BC7)&lt;'04_CODEBOOK_CONTROL'!$B$15,0,SIGN('07_CONTINUOUS_CODEBOOK'!BC7)*IF(ABS('07_CONTINUOUS_CODEBOOK'!BC7)&lt;'04_CODEBOOK_CONTROL'!$B$16,1,IF(ABS('07_CONTINUOUS_CODEBOOK'!BC7)&lt;'04_CODEBOOK_CONTROL'!$B$17,2,3)))</f>
        <v/>
      </c>
      <c r="BD7" s="7">
        <f>IF(ABS('07_CONTINUOUS_CODEBOOK'!BD7)&lt;'04_CODEBOOK_CONTROL'!$B$15,0,SIGN('07_CONTINUOUS_CODEBOOK'!BD7)*IF(ABS('07_CONTINUOUS_CODEBOOK'!BD7)&lt;'04_CODEBOOK_CONTROL'!$B$16,1,IF(ABS('07_CONTINUOUS_CODEBOOK'!BD7)&lt;'04_CODEBOOK_CONTROL'!$B$17,2,3)))</f>
        <v/>
      </c>
      <c r="BE7" s="7">
        <f>IF(ABS('07_CONTINUOUS_CODEBOOK'!BE7)&lt;'04_CODEBOOK_CONTROL'!$B$15,0,SIGN('07_CONTINUOUS_CODEBOOK'!BE7)*IF(ABS('07_CONTINUOUS_CODEBOOK'!BE7)&lt;'04_CODEBOOK_CONTROL'!$B$16,1,IF(ABS('07_CONTINUOUS_CODEBOOK'!BE7)&lt;'04_CODEBOOK_CONTROL'!$B$17,2,3)))</f>
        <v/>
      </c>
      <c r="BF7" s="7">
        <f>IF(ABS('07_CONTINUOUS_CODEBOOK'!BF7)&lt;'04_CODEBOOK_CONTROL'!$B$15,0,SIGN('07_CONTINUOUS_CODEBOOK'!BF7)*IF(ABS('07_CONTINUOUS_CODEBOOK'!BF7)&lt;'04_CODEBOOK_CONTROL'!$B$16,1,IF(ABS('07_CONTINUOUS_CODEBOOK'!BF7)&lt;'04_CODEBOOK_CONTROL'!$B$17,2,3)))</f>
        <v/>
      </c>
      <c r="BG7" s="7">
        <f>IF(ABS('07_CONTINUOUS_CODEBOOK'!BG7)&lt;'04_CODEBOOK_CONTROL'!$B$15,0,SIGN('07_CONTINUOUS_CODEBOOK'!BG7)*IF(ABS('07_CONTINUOUS_CODEBOOK'!BG7)&lt;'04_CODEBOOK_CONTROL'!$B$16,1,IF(ABS('07_CONTINUOUS_CODEBOOK'!BG7)&lt;'04_CODEBOOK_CONTROL'!$B$17,2,3)))</f>
        <v/>
      </c>
      <c r="BH7" s="7">
        <f>IF(ABS('07_CONTINUOUS_CODEBOOK'!BH7)&lt;'04_CODEBOOK_CONTROL'!$B$15,0,SIGN('07_CONTINUOUS_CODEBOOK'!BH7)*IF(ABS('07_CONTINUOUS_CODEBOOK'!BH7)&lt;'04_CODEBOOK_CONTROL'!$B$16,1,IF(ABS('07_CONTINUOUS_CODEBOOK'!BH7)&lt;'04_CODEBOOK_CONTROL'!$B$17,2,3)))</f>
        <v/>
      </c>
      <c r="BI7" s="7">
        <f>IF(ABS('07_CONTINUOUS_CODEBOOK'!BI7)&lt;'04_CODEBOOK_CONTROL'!$B$15,0,SIGN('07_CONTINUOUS_CODEBOOK'!BI7)*IF(ABS('07_CONTINUOUS_CODEBOOK'!BI7)&lt;'04_CODEBOOK_CONTROL'!$B$16,1,IF(ABS('07_CONTINUOUS_CODEBOOK'!BI7)&lt;'04_CODEBOOK_CONTROL'!$B$17,2,3)))</f>
        <v/>
      </c>
      <c r="BJ7" s="7">
        <f>IF(ABS('07_CONTINUOUS_CODEBOOK'!BJ7)&lt;'04_CODEBOOK_CONTROL'!$B$15,0,SIGN('07_CONTINUOUS_CODEBOOK'!BJ7)*IF(ABS('07_CONTINUOUS_CODEBOOK'!BJ7)&lt;'04_CODEBOOK_CONTROL'!$B$16,1,IF(ABS('07_CONTINUOUS_CODEBOOK'!BJ7)&lt;'04_CODEBOOK_CONTROL'!$B$17,2,3)))</f>
        <v/>
      </c>
      <c r="BK7" s="7">
        <f>IF(ABS('07_CONTINUOUS_CODEBOOK'!BK7)&lt;'04_CODEBOOK_CONTROL'!$B$15,0,SIGN('07_CONTINUOUS_CODEBOOK'!BK7)*IF(ABS('07_CONTINUOUS_CODEBOOK'!BK7)&lt;'04_CODEBOOK_CONTROL'!$B$16,1,IF(ABS('07_CONTINUOUS_CODEBOOK'!BK7)&lt;'04_CODEBOOK_CONTROL'!$B$17,2,3)))</f>
        <v/>
      </c>
      <c r="BL7" s="7">
        <f>IF(ABS('07_CONTINUOUS_CODEBOOK'!BL7)&lt;'04_CODEBOOK_CONTROL'!$B$15,0,SIGN('07_CONTINUOUS_CODEBOOK'!BL7)*IF(ABS('07_CONTINUOUS_CODEBOOK'!BL7)&lt;'04_CODEBOOK_CONTROL'!$B$16,1,IF(ABS('07_CONTINUOUS_CODEBOOK'!BL7)&lt;'04_CODEBOOK_CONTROL'!$B$17,2,3)))</f>
        <v/>
      </c>
      <c r="BM7" s="7">
        <f>IF(ABS('07_CONTINUOUS_CODEBOOK'!BM7)&lt;'04_CODEBOOK_CONTROL'!$B$15,0,SIGN('07_CONTINUOUS_CODEBOOK'!BM7)*IF(ABS('07_CONTINUOUS_CODEBOOK'!BM7)&lt;'04_CODEBOOK_CONTROL'!$B$16,1,IF(ABS('07_CONTINUOUS_CODEBOOK'!BM7)&lt;'04_CODEBOOK_CONTROL'!$B$17,2,3)))</f>
        <v/>
      </c>
      <c r="BN7" s="7">
        <f>IF(ABS('07_CONTINUOUS_CODEBOOK'!BN7)&lt;'04_CODEBOOK_CONTROL'!$B$15,0,SIGN('07_CONTINUOUS_CODEBOOK'!BN7)*IF(ABS('07_CONTINUOUS_CODEBOOK'!BN7)&lt;'04_CODEBOOK_CONTROL'!$B$16,1,IF(ABS('07_CONTINUOUS_CODEBOOK'!BN7)&lt;'04_CODEBOOK_CONTROL'!$B$17,2,3)))</f>
        <v/>
      </c>
      <c r="BO7" s="7">
        <f>IF(ABS('07_CONTINUOUS_CODEBOOK'!BO7)&lt;'04_CODEBOOK_CONTROL'!$B$15,0,SIGN('07_CONTINUOUS_CODEBOOK'!BO7)*IF(ABS('07_CONTINUOUS_CODEBOOK'!BO7)&lt;'04_CODEBOOK_CONTROL'!$B$16,1,IF(ABS('07_CONTINUOUS_CODEBOOK'!BO7)&lt;'04_CODEBOOK_CONTROL'!$B$17,2,3)))</f>
        <v/>
      </c>
      <c r="BP7" s="7">
        <f>IF(ABS('07_CONTINUOUS_CODEBOOK'!BP7)&lt;'04_CODEBOOK_CONTROL'!$B$15,0,SIGN('07_CONTINUOUS_CODEBOOK'!BP7)*IF(ABS('07_CONTINUOUS_CODEBOOK'!BP7)&lt;'04_CODEBOOK_CONTROL'!$B$16,1,IF(ABS('07_CONTINUOUS_CODEBOOK'!BP7)&lt;'04_CODEBOOK_CONTROL'!$B$17,2,3)))</f>
        <v/>
      </c>
      <c r="BQ7" s="7">
        <f>IF(ABS('07_CONTINUOUS_CODEBOOK'!BQ7)&lt;'04_CODEBOOK_CONTROL'!$B$15,0,SIGN('07_CONTINUOUS_CODEBOOK'!BQ7)*IF(ABS('07_CONTINUOUS_CODEBOOK'!BQ7)&lt;'04_CODEBOOK_CONTROL'!$B$16,1,IF(ABS('07_CONTINUOUS_CODEBOOK'!BQ7)&lt;'04_CODEBOOK_CONTROL'!$B$17,2,3)))</f>
        <v/>
      </c>
      <c r="BR7" s="7">
        <f>IF(ABS('07_CONTINUOUS_CODEBOOK'!BR7)&lt;'04_CODEBOOK_CONTROL'!$B$15,0,SIGN('07_CONTINUOUS_CODEBOOK'!BR7)*IF(ABS('07_CONTINUOUS_CODEBOOK'!BR7)&lt;'04_CODEBOOK_CONTROL'!$B$16,1,IF(ABS('07_CONTINUOUS_CODEBOOK'!BR7)&lt;'04_CODEBOOK_CONTROL'!$B$17,2,3)))</f>
        <v/>
      </c>
      <c r="BS7" s="7">
        <f>IF(ABS('07_CONTINUOUS_CODEBOOK'!BS7)&lt;'04_CODEBOOK_CONTROL'!$B$15,0,SIGN('07_CONTINUOUS_CODEBOOK'!BS7)*IF(ABS('07_CONTINUOUS_CODEBOOK'!BS7)&lt;'04_CODEBOOK_CONTROL'!$B$16,1,IF(ABS('07_CONTINUOUS_CODEBOOK'!BS7)&lt;'04_CODEBOOK_CONTROL'!$B$17,2,3)))</f>
        <v/>
      </c>
      <c r="BT7" s="7">
        <f>IF(ABS('07_CONTINUOUS_CODEBOOK'!BT7)&lt;'04_CODEBOOK_CONTROL'!$B$15,0,SIGN('07_CONTINUOUS_CODEBOOK'!BT7)*IF(ABS('07_CONTINUOUS_CODEBOOK'!BT7)&lt;'04_CODEBOOK_CONTROL'!$B$16,1,IF(ABS('07_CONTINUOUS_CODEBOOK'!BT7)&lt;'04_CODEBOOK_CONTROL'!$B$17,2,3)))</f>
        <v/>
      </c>
      <c r="BU7" s="7">
        <f>IF(ABS('07_CONTINUOUS_CODEBOOK'!BU7)&lt;'04_CODEBOOK_CONTROL'!$B$15,0,SIGN('07_CONTINUOUS_CODEBOOK'!BU7)*IF(ABS('07_CONTINUOUS_CODEBOOK'!BU7)&lt;'04_CODEBOOK_CONTROL'!$B$16,1,IF(ABS('07_CONTINUOUS_CODEBOOK'!BU7)&lt;'04_CODEBOOK_CONTROL'!$B$17,2,3)))</f>
        <v/>
      </c>
      <c r="BV7" s="7">
        <f>IF(ABS('07_CONTINUOUS_CODEBOOK'!BV7)&lt;'04_CODEBOOK_CONTROL'!$B$15,0,SIGN('07_CONTINUOUS_CODEBOOK'!BV7)*IF(ABS('07_CONTINUOUS_CODEBOOK'!BV7)&lt;'04_CODEBOOK_CONTROL'!$B$16,1,IF(ABS('07_CONTINUOUS_CODEBOOK'!BV7)&lt;'04_CODEBOOK_CONTROL'!$B$17,2,3)))</f>
        <v/>
      </c>
      <c r="BW7" s="7">
        <f>IF(ABS('07_CONTINUOUS_CODEBOOK'!BW7)&lt;'04_CODEBOOK_CONTROL'!$B$15,0,SIGN('07_CONTINUOUS_CODEBOOK'!BW7)*IF(ABS('07_CONTINUOUS_CODEBOOK'!BW7)&lt;'04_CODEBOOK_CONTROL'!$B$16,1,IF(ABS('07_CONTINUOUS_CODEBOOK'!BW7)&lt;'04_CODEBOOK_CONTROL'!$B$17,2,3)))</f>
        <v/>
      </c>
      <c r="BX7" s="7">
        <f>IF(ABS('07_CONTINUOUS_CODEBOOK'!BX7)&lt;'04_CODEBOOK_CONTROL'!$B$15,0,SIGN('07_CONTINUOUS_CODEBOOK'!BX7)*IF(ABS('07_CONTINUOUS_CODEBOOK'!BX7)&lt;'04_CODEBOOK_CONTROL'!$B$16,1,IF(ABS('07_CONTINUOUS_CODEBOOK'!BX7)&lt;'04_CODEBOOK_CONTROL'!$B$17,2,3)))</f>
        <v/>
      </c>
      <c r="BY7" s="7">
        <f>IF(ABS('07_CONTINUOUS_CODEBOOK'!BY7)&lt;'04_CODEBOOK_CONTROL'!$B$15,0,SIGN('07_CONTINUOUS_CODEBOOK'!BY7)*IF(ABS('07_CONTINUOUS_CODEBOOK'!BY7)&lt;'04_CODEBOOK_CONTROL'!$B$16,1,IF(ABS('07_CONTINUOUS_CODEBOOK'!BY7)&lt;'04_CODEBOOK_CONTROL'!$B$17,2,3)))</f>
        <v/>
      </c>
      <c r="BZ7" s="7">
        <f>IF(ABS('07_CONTINUOUS_CODEBOOK'!BZ7)&lt;'04_CODEBOOK_CONTROL'!$B$15,0,SIGN('07_CONTINUOUS_CODEBOOK'!BZ7)*IF(ABS('07_CONTINUOUS_CODEBOOK'!BZ7)&lt;'04_CODEBOOK_CONTROL'!$B$16,1,IF(ABS('07_CONTINUOUS_CODEBOOK'!BZ7)&lt;'04_CODEBOOK_CONTROL'!$B$17,2,3)))</f>
        <v/>
      </c>
      <c r="CA7" s="7">
        <f>IF(ABS('07_CONTINUOUS_CODEBOOK'!CA7)&lt;'04_CODEBOOK_CONTROL'!$B$15,0,SIGN('07_CONTINUOUS_CODEBOOK'!CA7)*IF(ABS('07_CONTINUOUS_CODEBOOK'!CA7)&lt;'04_CODEBOOK_CONTROL'!$B$16,1,IF(ABS('07_CONTINUOUS_CODEBOOK'!CA7)&lt;'04_CODEBOOK_CONTROL'!$B$17,2,3)))</f>
        <v/>
      </c>
      <c r="CB7" s="7">
        <f>IF(ABS('07_CONTINUOUS_CODEBOOK'!CB7)&lt;'04_CODEBOOK_CONTROL'!$B$15,0,SIGN('07_CONTINUOUS_CODEBOOK'!CB7)*IF(ABS('07_CONTINUOUS_CODEBOOK'!CB7)&lt;'04_CODEBOOK_CONTROL'!$B$16,1,IF(ABS('07_CONTINUOUS_CODEBOOK'!CB7)&lt;'04_CODEBOOK_CONTROL'!$B$17,2,3)))</f>
        <v/>
      </c>
      <c r="CC7" s="7">
        <f>IF(ABS('07_CONTINUOUS_CODEBOOK'!CC7)&lt;'04_CODEBOOK_CONTROL'!$B$15,0,SIGN('07_CONTINUOUS_CODEBOOK'!CC7)*IF(ABS('07_CONTINUOUS_CODEBOOK'!CC7)&lt;'04_CODEBOOK_CONTROL'!$B$16,1,IF(ABS('07_CONTINUOUS_CODEBOOK'!CC7)&lt;'04_CODEBOOK_CONTROL'!$B$17,2,3)))</f>
        <v/>
      </c>
      <c r="CD7" s="7">
        <f>IF(ABS('07_CONTINUOUS_CODEBOOK'!CD7)&lt;'04_CODEBOOK_CONTROL'!$B$15,0,SIGN('07_CONTINUOUS_CODEBOOK'!CD7)*IF(ABS('07_CONTINUOUS_CODEBOOK'!CD7)&lt;'04_CODEBOOK_CONTROL'!$B$16,1,IF(ABS('07_CONTINUOUS_CODEBOOK'!CD7)&lt;'04_CODEBOOK_CONTROL'!$B$17,2,3)))</f>
        <v/>
      </c>
      <c r="CE7" s="7">
        <f>IF(ABS('07_CONTINUOUS_CODEBOOK'!CE7)&lt;'04_CODEBOOK_CONTROL'!$B$15,0,SIGN('07_CONTINUOUS_CODEBOOK'!CE7)*IF(ABS('07_CONTINUOUS_CODEBOOK'!CE7)&lt;'04_CODEBOOK_CONTROL'!$B$16,1,IF(ABS('07_CONTINUOUS_CODEBOOK'!CE7)&lt;'04_CODEBOOK_CONTROL'!$B$17,2,3)))</f>
        <v/>
      </c>
    </row>
    <row r="8">
      <c r="A8" t="n">
        <v>4</v>
      </c>
      <c r="B8" t="inlineStr">
        <is>
          <t>仙女座人</t>
        </is>
      </c>
      <c r="C8" t="inlineStr">
        <is>
          <t>Andromedan</t>
        </is>
      </c>
      <c r="D8" s="7">
        <f>IF(ABS('07_CONTINUOUS_CODEBOOK'!D8)&lt;'04_CODEBOOK_CONTROL'!$B$15,0,SIGN('07_CONTINUOUS_CODEBOOK'!D8)*IF(ABS('07_CONTINUOUS_CODEBOOK'!D8)&lt;'04_CODEBOOK_CONTROL'!$B$16,1,IF(ABS('07_CONTINUOUS_CODEBOOK'!D8)&lt;'04_CODEBOOK_CONTROL'!$B$17,2,3)))</f>
        <v/>
      </c>
      <c r="E8" s="7">
        <f>IF(ABS('07_CONTINUOUS_CODEBOOK'!E8)&lt;'04_CODEBOOK_CONTROL'!$B$15,0,SIGN('07_CONTINUOUS_CODEBOOK'!E8)*IF(ABS('07_CONTINUOUS_CODEBOOK'!E8)&lt;'04_CODEBOOK_CONTROL'!$B$16,1,IF(ABS('07_CONTINUOUS_CODEBOOK'!E8)&lt;'04_CODEBOOK_CONTROL'!$B$17,2,3)))</f>
        <v/>
      </c>
      <c r="F8" s="7">
        <f>IF(ABS('07_CONTINUOUS_CODEBOOK'!F8)&lt;'04_CODEBOOK_CONTROL'!$B$15,0,SIGN('07_CONTINUOUS_CODEBOOK'!F8)*IF(ABS('07_CONTINUOUS_CODEBOOK'!F8)&lt;'04_CODEBOOK_CONTROL'!$B$16,1,IF(ABS('07_CONTINUOUS_CODEBOOK'!F8)&lt;'04_CODEBOOK_CONTROL'!$B$17,2,3)))</f>
        <v/>
      </c>
      <c r="G8" s="7">
        <f>IF(ABS('07_CONTINUOUS_CODEBOOK'!G8)&lt;'04_CODEBOOK_CONTROL'!$B$15,0,SIGN('07_CONTINUOUS_CODEBOOK'!G8)*IF(ABS('07_CONTINUOUS_CODEBOOK'!G8)&lt;'04_CODEBOOK_CONTROL'!$B$16,1,IF(ABS('07_CONTINUOUS_CODEBOOK'!G8)&lt;'04_CODEBOOK_CONTROL'!$B$17,2,3)))</f>
        <v/>
      </c>
      <c r="H8" s="7">
        <f>IF(ABS('07_CONTINUOUS_CODEBOOK'!H8)&lt;'04_CODEBOOK_CONTROL'!$B$15,0,SIGN('07_CONTINUOUS_CODEBOOK'!H8)*IF(ABS('07_CONTINUOUS_CODEBOOK'!H8)&lt;'04_CODEBOOK_CONTROL'!$B$16,1,IF(ABS('07_CONTINUOUS_CODEBOOK'!H8)&lt;'04_CODEBOOK_CONTROL'!$B$17,2,3)))</f>
        <v/>
      </c>
      <c r="I8" s="7">
        <f>IF(ABS('07_CONTINUOUS_CODEBOOK'!I8)&lt;'04_CODEBOOK_CONTROL'!$B$15,0,SIGN('07_CONTINUOUS_CODEBOOK'!I8)*IF(ABS('07_CONTINUOUS_CODEBOOK'!I8)&lt;'04_CODEBOOK_CONTROL'!$B$16,1,IF(ABS('07_CONTINUOUS_CODEBOOK'!I8)&lt;'04_CODEBOOK_CONTROL'!$B$17,2,3)))</f>
        <v/>
      </c>
      <c r="J8" s="7">
        <f>IF(ABS('07_CONTINUOUS_CODEBOOK'!J8)&lt;'04_CODEBOOK_CONTROL'!$B$15,0,SIGN('07_CONTINUOUS_CODEBOOK'!J8)*IF(ABS('07_CONTINUOUS_CODEBOOK'!J8)&lt;'04_CODEBOOK_CONTROL'!$B$16,1,IF(ABS('07_CONTINUOUS_CODEBOOK'!J8)&lt;'04_CODEBOOK_CONTROL'!$B$17,2,3)))</f>
        <v/>
      </c>
      <c r="K8" s="7">
        <f>IF(ABS('07_CONTINUOUS_CODEBOOK'!K8)&lt;'04_CODEBOOK_CONTROL'!$B$15,0,SIGN('07_CONTINUOUS_CODEBOOK'!K8)*IF(ABS('07_CONTINUOUS_CODEBOOK'!K8)&lt;'04_CODEBOOK_CONTROL'!$B$16,1,IF(ABS('07_CONTINUOUS_CODEBOOK'!K8)&lt;'04_CODEBOOK_CONTROL'!$B$17,2,3)))</f>
        <v/>
      </c>
      <c r="L8" s="7">
        <f>IF(ABS('07_CONTINUOUS_CODEBOOK'!L8)&lt;'04_CODEBOOK_CONTROL'!$B$15,0,SIGN('07_CONTINUOUS_CODEBOOK'!L8)*IF(ABS('07_CONTINUOUS_CODEBOOK'!L8)&lt;'04_CODEBOOK_CONTROL'!$B$16,1,IF(ABS('07_CONTINUOUS_CODEBOOK'!L8)&lt;'04_CODEBOOK_CONTROL'!$B$17,2,3)))</f>
        <v/>
      </c>
      <c r="M8" s="7">
        <f>IF(ABS('07_CONTINUOUS_CODEBOOK'!M8)&lt;'04_CODEBOOK_CONTROL'!$B$15,0,SIGN('07_CONTINUOUS_CODEBOOK'!M8)*IF(ABS('07_CONTINUOUS_CODEBOOK'!M8)&lt;'04_CODEBOOK_CONTROL'!$B$16,1,IF(ABS('07_CONTINUOUS_CODEBOOK'!M8)&lt;'04_CODEBOOK_CONTROL'!$B$17,2,3)))</f>
        <v/>
      </c>
      <c r="N8" s="7">
        <f>IF(ABS('07_CONTINUOUS_CODEBOOK'!N8)&lt;'04_CODEBOOK_CONTROL'!$B$15,0,SIGN('07_CONTINUOUS_CODEBOOK'!N8)*IF(ABS('07_CONTINUOUS_CODEBOOK'!N8)&lt;'04_CODEBOOK_CONTROL'!$B$16,1,IF(ABS('07_CONTINUOUS_CODEBOOK'!N8)&lt;'04_CODEBOOK_CONTROL'!$B$17,2,3)))</f>
        <v/>
      </c>
      <c r="O8" s="7">
        <f>IF(ABS('07_CONTINUOUS_CODEBOOK'!O8)&lt;'04_CODEBOOK_CONTROL'!$B$15,0,SIGN('07_CONTINUOUS_CODEBOOK'!O8)*IF(ABS('07_CONTINUOUS_CODEBOOK'!O8)&lt;'04_CODEBOOK_CONTROL'!$B$16,1,IF(ABS('07_CONTINUOUS_CODEBOOK'!O8)&lt;'04_CODEBOOK_CONTROL'!$B$17,2,3)))</f>
        <v/>
      </c>
      <c r="P8" s="7">
        <f>IF(ABS('07_CONTINUOUS_CODEBOOK'!P8)&lt;'04_CODEBOOK_CONTROL'!$B$15,0,SIGN('07_CONTINUOUS_CODEBOOK'!P8)*IF(ABS('07_CONTINUOUS_CODEBOOK'!P8)&lt;'04_CODEBOOK_CONTROL'!$B$16,1,IF(ABS('07_CONTINUOUS_CODEBOOK'!P8)&lt;'04_CODEBOOK_CONTROL'!$B$17,2,3)))</f>
        <v/>
      </c>
      <c r="Q8" s="7">
        <f>IF(ABS('07_CONTINUOUS_CODEBOOK'!Q8)&lt;'04_CODEBOOK_CONTROL'!$B$15,0,SIGN('07_CONTINUOUS_CODEBOOK'!Q8)*IF(ABS('07_CONTINUOUS_CODEBOOK'!Q8)&lt;'04_CODEBOOK_CONTROL'!$B$16,1,IF(ABS('07_CONTINUOUS_CODEBOOK'!Q8)&lt;'04_CODEBOOK_CONTROL'!$B$17,2,3)))</f>
        <v/>
      </c>
      <c r="R8" s="7">
        <f>IF(ABS('07_CONTINUOUS_CODEBOOK'!R8)&lt;'04_CODEBOOK_CONTROL'!$B$15,0,SIGN('07_CONTINUOUS_CODEBOOK'!R8)*IF(ABS('07_CONTINUOUS_CODEBOOK'!R8)&lt;'04_CODEBOOK_CONTROL'!$B$16,1,IF(ABS('07_CONTINUOUS_CODEBOOK'!R8)&lt;'04_CODEBOOK_CONTROL'!$B$17,2,3)))</f>
        <v/>
      </c>
      <c r="S8" s="7">
        <f>IF(ABS('07_CONTINUOUS_CODEBOOK'!S8)&lt;'04_CODEBOOK_CONTROL'!$B$15,0,SIGN('07_CONTINUOUS_CODEBOOK'!S8)*IF(ABS('07_CONTINUOUS_CODEBOOK'!S8)&lt;'04_CODEBOOK_CONTROL'!$B$16,1,IF(ABS('07_CONTINUOUS_CODEBOOK'!S8)&lt;'04_CODEBOOK_CONTROL'!$B$17,2,3)))</f>
        <v/>
      </c>
      <c r="T8" s="7">
        <f>IF(ABS('07_CONTINUOUS_CODEBOOK'!T8)&lt;'04_CODEBOOK_CONTROL'!$B$15,0,SIGN('07_CONTINUOUS_CODEBOOK'!T8)*IF(ABS('07_CONTINUOUS_CODEBOOK'!T8)&lt;'04_CODEBOOK_CONTROL'!$B$16,1,IF(ABS('07_CONTINUOUS_CODEBOOK'!T8)&lt;'04_CODEBOOK_CONTROL'!$B$17,2,3)))</f>
        <v/>
      </c>
      <c r="U8" s="7">
        <f>IF(ABS('07_CONTINUOUS_CODEBOOK'!U8)&lt;'04_CODEBOOK_CONTROL'!$B$15,0,SIGN('07_CONTINUOUS_CODEBOOK'!U8)*IF(ABS('07_CONTINUOUS_CODEBOOK'!U8)&lt;'04_CODEBOOK_CONTROL'!$B$16,1,IF(ABS('07_CONTINUOUS_CODEBOOK'!U8)&lt;'04_CODEBOOK_CONTROL'!$B$17,2,3)))</f>
        <v/>
      </c>
      <c r="V8" s="7">
        <f>IF(ABS('07_CONTINUOUS_CODEBOOK'!V8)&lt;'04_CODEBOOK_CONTROL'!$B$15,0,SIGN('07_CONTINUOUS_CODEBOOK'!V8)*IF(ABS('07_CONTINUOUS_CODEBOOK'!V8)&lt;'04_CODEBOOK_CONTROL'!$B$16,1,IF(ABS('07_CONTINUOUS_CODEBOOK'!V8)&lt;'04_CODEBOOK_CONTROL'!$B$17,2,3)))</f>
        <v/>
      </c>
      <c r="W8" s="7">
        <f>IF(ABS('07_CONTINUOUS_CODEBOOK'!W8)&lt;'04_CODEBOOK_CONTROL'!$B$15,0,SIGN('07_CONTINUOUS_CODEBOOK'!W8)*IF(ABS('07_CONTINUOUS_CODEBOOK'!W8)&lt;'04_CODEBOOK_CONTROL'!$B$16,1,IF(ABS('07_CONTINUOUS_CODEBOOK'!W8)&lt;'04_CODEBOOK_CONTROL'!$B$17,2,3)))</f>
        <v/>
      </c>
      <c r="X8" s="7">
        <f>IF(ABS('07_CONTINUOUS_CODEBOOK'!X8)&lt;'04_CODEBOOK_CONTROL'!$B$15,0,SIGN('07_CONTINUOUS_CODEBOOK'!X8)*IF(ABS('07_CONTINUOUS_CODEBOOK'!X8)&lt;'04_CODEBOOK_CONTROL'!$B$16,1,IF(ABS('07_CONTINUOUS_CODEBOOK'!X8)&lt;'04_CODEBOOK_CONTROL'!$B$17,2,3)))</f>
        <v/>
      </c>
      <c r="Y8" s="7">
        <f>IF(ABS('07_CONTINUOUS_CODEBOOK'!Y8)&lt;'04_CODEBOOK_CONTROL'!$B$15,0,SIGN('07_CONTINUOUS_CODEBOOK'!Y8)*IF(ABS('07_CONTINUOUS_CODEBOOK'!Y8)&lt;'04_CODEBOOK_CONTROL'!$B$16,1,IF(ABS('07_CONTINUOUS_CODEBOOK'!Y8)&lt;'04_CODEBOOK_CONTROL'!$B$17,2,3)))</f>
        <v/>
      </c>
      <c r="Z8" s="7">
        <f>IF(ABS('07_CONTINUOUS_CODEBOOK'!Z8)&lt;'04_CODEBOOK_CONTROL'!$B$15,0,SIGN('07_CONTINUOUS_CODEBOOK'!Z8)*IF(ABS('07_CONTINUOUS_CODEBOOK'!Z8)&lt;'04_CODEBOOK_CONTROL'!$B$16,1,IF(ABS('07_CONTINUOUS_CODEBOOK'!Z8)&lt;'04_CODEBOOK_CONTROL'!$B$17,2,3)))</f>
        <v/>
      </c>
      <c r="AA8" s="7">
        <f>IF(ABS('07_CONTINUOUS_CODEBOOK'!AA8)&lt;'04_CODEBOOK_CONTROL'!$B$15,0,SIGN('07_CONTINUOUS_CODEBOOK'!AA8)*IF(ABS('07_CONTINUOUS_CODEBOOK'!AA8)&lt;'04_CODEBOOK_CONTROL'!$B$16,1,IF(ABS('07_CONTINUOUS_CODEBOOK'!AA8)&lt;'04_CODEBOOK_CONTROL'!$B$17,2,3)))</f>
        <v/>
      </c>
      <c r="AB8" s="7">
        <f>IF(ABS('07_CONTINUOUS_CODEBOOK'!AB8)&lt;'04_CODEBOOK_CONTROL'!$B$15,0,SIGN('07_CONTINUOUS_CODEBOOK'!AB8)*IF(ABS('07_CONTINUOUS_CODEBOOK'!AB8)&lt;'04_CODEBOOK_CONTROL'!$B$16,1,IF(ABS('07_CONTINUOUS_CODEBOOK'!AB8)&lt;'04_CODEBOOK_CONTROL'!$B$17,2,3)))</f>
        <v/>
      </c>
      <c r="AC8" s="7">
        <f>IF(ABS('07_CONTINUOUS_CODEBOOK'!AC8)&lt;'04_CODEBOOK_CONTROL'!$B$15,0,SIGN('07_CONTINUOUS_CODEBOOK'!AC8)*IF(ABS('07_CONTINUOUS_CODEBOOK'!AC8)&lt;'04_CODEBOOK_CONTROL'!$B$16,1,IF(ABS('07_CONTINUOUS_CODEBOOK'!AC8)&lt;'04_CODEBOOK_CONTROL'!$B$17,2,3)))</f>
        <v/>
      </c>
      <c r="AD8" s="7">
        <f>IF(ABS('07_CONTINUOUS_CODEBOOK'!AD8)&lt;'04_CODEBOOK_CONTROL'!$B$15,0,SIGN('07_CONTINUOUS_CODEBOOK'!AD8)*IF(ABS('07_CONTINUOUS_CODEBOOK'!AD8)&lt;'04_CODEBOOK_CONTROL'!$B$16,1,IF(ABS('07_CONTINUOUS_CODEBOOK'!AD8)&lt;'04_CODEBOOK_CONTROL'!$B$17,2,3)))</f>
        <v/>
      </c>
      <c r="AE8" s="7">
        <f>IF(ABS('07_CONTINUOUS_CODEBOOK'!AE8)&lt;'04_CODEBOOK_CONTROL'!$B$15,0,SIGN('07_CONTINUOUS_CODEBOOK'!AE8)*IF(ABS('07_CONTINUOUS_CODEBOOK'!AE8)&lt;'04_CODEBOOK_CONTROL'!$B$16,1,IF(ABS('07_CONTINUOUS_CODEBOOK'!AE8)&lt;'04_CODEBOOK_CONTROL'!$B$17,2,3)))</f>
        <v/>
      </c>
      <c r="AF8" s="7">
        <f>IF(ABS('07_CONTINUOUS_CODEBOOK'!AF8)&lt;'04_CODEBOOK_CONTROL'!$B$15,0,SIGN('07_CONTINUOUS_CODEBOOK'!AF8)*IF(ABS('07_CONTINUOUS_CODEBOOK'!AF8)&lt;'04_CODEBOOK_CONTROL'!$B$16,1,IF(ABS('07_CONTINUOUS_CODEBOOK'!AF8)&lt;'04_CODEBOOK_CONTROL'!$B$17,2,3)))</f>
        <v/>
      </c>
      <c r="AG8" s="7">
        <f>IF(ABS('07_CONTINUOUS_CODEBOOK'!AG8)&lt;'04_CODEBOOK_CONTROL'!$B$15,0,SIGN('07_CONTINUOUS_CODEBOOK'!AG8)*IF(ABS('07_CONTINUOUS_CODEBOOK'!AG8)&lt;'04_CODEBOOK_CONTROL'!$B$16,1,IF(ABS('07_CONTINUOUS_CODEBOOK'!AG8)&lt;'04_CODEBOOK_CONTROL'!$B$17,2,3)))</f>
        <v/>
      </c>
      <c r="AH8" s="7">
        <f>IF(ABS('07_CONTINUOUS_CODEBOOK'!AH8)&lt;'04_CODEBOOK_CONTROL'!$B$15,0,SIGN('07_CONTINUOUS_CODEBOOK'!AH8)*IF(ABS('07_CONTINUOUS_CODEBOOK'!AH8)&lt;'04_CODEBOOK_CONTROL'!$B$16,1,IF(ABS('07_CONTINUOUS_CODEBOOK'!AH8)&lt;'04_CODEBOOK_CONTROL'!$B$17,2,3)))</f>
        <v/>
      </c>
      <c r="AI8" s="7">
        <f>IF(ABS('07_CONTINUOUS_CODEBOOK'!AI8)&lt;'04_CODEBOOK_CONTROL'!$B$15,0,SIGN('07_CONTINUOUS_CODEBOOK'!AI8)*IF(ABS('07_CONTINUOUS_CODEBOOK'!AI8)&lt;'04_CODEBOOK_CONTROL'!$B$16,1,IF(ABS('07_CONTINUOUS_CODEBOOK'!AI8)&lt;'04_CODEBOOK_CONTROL'!$B$17,2,3)))</f>
        <v/>
      </c>
      <c r="AJ8" s="7">
        <f>IF(ABS('07_CONTINUOUS_CODEBOOK'!AJ8)&lt;'04_CODEBOOK_CONTROL'!$B$15,0,SIGN('07_CONTINUOUS_CODEBOOK'!AJ8)*IF(ABS('07_CONTINUOUS_CODEBOOK'!AJ8)&lt;'04_CODEBOOK_CONTROL'!$B$16,1,IF(ABS('07_CONTINUOUS_CODEBOOK'!AJ8)&lt;'04_CODEBOOK_CONTROL'!$B$17,2,3)))</f>
        <v/>
      </c>
      <c r="AK8" s="7">
        <f>IF(ABS('07_CONTINUOUS_CODEBOOK'!AK8)&lt;'04_CODEBOOK_CONTROL'!$B$15,0,SIGN('07_CONTINUOUS_CODEBOOK'!AK8)*IF(ABS('07_CONTINUOUS_CODEBOOK'!AK8)&lt;'04_CODEBOOK_CONTROL'!$B$16,1,IF(ABS('07_CONTINUOUS_CODEBOOK'!AK8)&lt;'04_CODEBOOK_CONTROL'!$B$17,2,3)))</f>
        <v/>
      </c>
      <c r="AL8" s="7">
        <f>IF(ABS('07_CONTINUOUS_CODEBOOK'!AL8)&lt;'04_CODEBOOK_CONTROL'!$B$15,0,SIGN('07_CONTINUOUS_CODEBOOK'!AL8)*IF(ABS('07_CONTINUOUS_CODEBOOK'!AL8)&lt;'04_CODEBOOK_CONTROL'!$B$16,1,IF(ABS('07_CONTINUOUS_CODEBOOK'!AL8)&lt;'04_CODEBOOK_CONTROL'!$B$17,2,3)))</f>
        <v/>
      </c>
      <c r="AM8" s="7">
        <f>IF(ABS('07_CONTINUOUS_CODEBOOK'!AM8)&lt;'04_CODEBOOK_CONTROL'!$B$15,0,SIGN('07_CONTINUOUS_CODEBOOK'!AM8)*IF(ABS('07_CONTINUOUS_CODEBOOK'!AM8)&lt;'04_CODEBOOK_CONTROL'!$B$16,1,IF(ABS('07_CONTINUOUS_CODEBOOK'!AM8)&lt;'04_CODEBOOK_CONTROL'!$B$17,2,3)))</f>
        <v/>
      </c>
      <c r="AN8" s="7">
        <f>IF(ABS('07_CONTINUOUS_CODEBOOK'!AN8)&lt;'04_CODEBOOK_CONTROL'!$B$15,0,SIGN('07_CONTINUOUS_CODEBOOK'!AN8)*IF(ABS('07_CONTINUOUS_CODEBOOK'!AN8)&lt;'04_CODEBOOK_CONTROL'!$B$16,1,IF(ABS('07_CONTINUOUS_CODEBOOK'!AN8)&lt;'04_CODEBOOK_CONTROL'!$B$17,2,3)))</f>
        <v/>
      </c>
      <c r="AO8" s="7">
        <f>IF(ABS('07_CONTINUOUS_CODEBOOK'!AO8)&lt;'04_CODEBOOK_CONTROL'!$B$15,0,SIGN('07_CONTINUOUS_CODEBOOK'!AO8)*IF(ABS('07_CONTINUOUS_CODEBOOK'!AO8)&lt;'04_CODEBOOK_CONTROL'!$B$16,1,IF(ABS('07_CONTINUOUS_CODEBOOK'!AO8)&lt;'04_CODEBOOK_CONTROL'!$B$17,2,3)))</f>
        <v/>
      </c>
      <c r="AP8" s="7">
        <f>IF(ABS('07_CONTINUOUS_CODEBOOK'!AP8)&lt;'04_CODEBOOK_CONTROL'!$B$15,0,SIGN('07_CONTINUOUS_CODEBOOK'!AP8)*IF(ABS('07_CONTINUOUS_CODEBOOK'!AP8)&lt;'04_CODEBOOK_CONTROL'!$B$16,1,IF(ABS('07_CONTINUOUS_CODEBOOK'!AP8)&lt;'04_CODEBOOK_CONTROL'!$B$17,2,3)))</f>
        <v/>
      </c>
      <c r="AQ8" s="7">
        <f>IF(ABS('07_CONTINUOUS_CODEBOOK'!AQ8)&lt;'04_CODEBOOK_CONTROL'!$B$15,0,SIGN('07_CONTINUOUS_CODEBOOK'!AQ8)*IF(ABS('07_CONTINUOUS_CODEBOOK'!AQ8)&lt;'04_CODEBOOK_CONTROL'!$B$16,1,IF(ABS('07_CONTINUOUS_CODEBOOK'!AQ8)&lt;'04_CODEBOOK_CONTROL'!$B$17,2,3)))</f>
        <v/>
      </c>
      <c r="AR8" s="7">
        <f>IF(ABS('07_CONTINUOUS_CODEBOOK'!AR8)&lt;'04_CODEBOOK_CONTROL'!$B$15,0,SIGN('07_CONTINUOUS_CODEBOOK'!AR8)*IF(ABS('07_CONTINUOUS_CODEBOOK'!AR8)&lt;'04_CODEBOOK_CONTROL'!$B$16,1,IF(ABS('07_CONTINUOUS_CODEBOOK'!AR8)&lt;'04_CODEBOOK_CONTROL'!$B$17,2,3)))</f>
        <v/>
      </c>
      <c r="AS8" s="7">
        <f>IF(ABS('07_CONTINUOUS_CODEBOOK'!AS8)&lt;'04_CODEBOOK_CONTROL'!$B$15,0,SIGN('07_CONTINUOUS_CODEBOOK'!AS8)*IF(ABS('07_CONTINUOUS_CODEBOOK'!AS8)&lt;'04_CODEBOOK_CONTROL'!$B$16,1,IF(ABS('07_CONTINUOUS_CODEBOOK'!AS8)&lt;'04_CODEBOOK_CONTROL'!$B$17,2,3)))</f>
        <v/>
      </c>
      <c r="AT8" s="7">
        <f>IF(ABS('07_CONTINUOUS_CODEBOOK'!AT8)&lt;'04_CODEBOOK_CONTROL'!$B$15,0,SIGN('07_CONTINUOUS_CODEBOOK'!AT8)*IF(ABS('07_CONTINUOUS_CODEBOOK'!AT8)&lt;'04_CODEBOOK_CONTROL'!$B$16,1,IF(ABS('07_CONTINUOUS_CODEBOOK'!AT8)&lt;'04_CODEBOOK_CONTROL'!$B$17,2,3)))</f>
        <v/>
      </c>
      <c r="AU8" s="7">
        <f>IF(ABS('07_CONTINUOUS_CODEBOOK'!AU8)&lt;'04_CODEBOOK_CONTROL'!$B$15,0,SIGN('07_CONTINUOUS_CODEBOOK'!AU8)*IF(ABS('07_CONTINUOUS_CODEBOOK'!AU8)&lt;'04_CODEBOOK_CONTROL'!$B$16,1,IF(ABS('07_CONTINUOUS_CODEBOOK'!AU8)&lt;'04_CODEBOOK_CONTROL'!$B$17,2,3)))</f>
        <v/>
      </c>
      <c r="AV8" s="7">
        <f>IF(ABS('07_CONTINUOUS_CODEBOOK'!AV8)&lt;'04_CODEBOOK_CONTROL'!$B$15,0,SIGN('07_CONTINUOUS_CODEBOOK'!AV8)*IF(ABS('07_CONTINUOUS_CODEBOOK'!AV8)&lt;'04_CODEBOOK_CONTROL'!$B$16,1,IF(ABS('07_CONTINUOUS_CODEBOOK'!AV8)&lt;'04_CODEBOOK_CONTROL'!$B$17,2,3)))</f>
        <v/>
      </c>
      <c r="AW8" s="7">
        <f>IF(ABS('07_CONTINUOUS_CODEBOOK'!AW8)&lt;'04_CODEBOOK_CONTROL'!$B$15,0,SIGN('07_CONTINUOUS_CODEBOOK'!AW8)*IF(ABS('07_CONTINUOUS_CODEBOOK'!AW8)&lt;'04_CODEBOOK_CONTROL'!$B$16,1,IF(ABS('07_CONTINUOUS_CODEBOOK'!AW8)&lt;'04_CODEBOOK_CONTROL'!$B$17,2,3)))</f>
        <v/>
      </c>
      <c r="AX8" s="7">
        <f>IF(ABS('07_CONTINUOUS_CODEBOOK'!AX8)&lt;'04_CODEBOOK_CONTROL'!$B$15,0,SIGN('07_CONTINUOUS_CODEBOOK'!AX8)*IF(ABS('07_CONTINUOUS_CODEBOOK'!AX8)&lt;'04_CODEBOOK_CONTROL'!$B$16,1,IF(ABS('07_CONTINUOUS_CODEBOOK'!AX8)&lt;'04_CODEBOOK_CONTROL'!$B$17,2,3)))</f>
        <v/>
      </c>
      <c r="AY8" s="7">
        <f>IF(ABS('07_CONTINUOUS_CODEBOOK'!AY8)&lt;'04_CODEBOOK_CONTROL'!$B$15,0,SIGN('07_CONTINUOUS_CODEBOOK'!AY8)*IF(ABS('07_CONTINUOUS_CODEBOOK'!AY8)&lt;'04_CODEBOOK_CONTROL'!$B$16,1,IF(ABS('07_CONTINUOUS_CODEBOOK'!AY8)&lt;'04_CODEBOOK_CONTROL'!$B$17,2,3)))</f>
        <v/>
      </c>
      <c r="AZ8" s="7">
        <f>IF(ABS('07_CONTINUOUS_CODEBOOK'!AZ8)&lt;'04_CODEBOOK_CONTROL'!$B$15,0,SIGN('07_CONTINUOUS_CODEBOOK'!AZ8)*IF(ABS('07_CONTINUOUS_CODEBOOK'!AZ8)&lt;'04_CODEBOOK_CONTROL'!$B$16,1,IF(ABS('07_CONTINUOUS_CODEBOOK'!AZ8)&lt;'04_CODEBOOK_CONTROL'!$B$17,2,3)))</f>
        <v/>
      </c>
      <c r="BA8" s="7">
        <f>IF(ABS('07_CONTINUOUS_CODEBOOK'!BA8)&lt;'04_CODEBOOK_CONTROL'!$B$15,0,SIGN('07_CONTINUOUS_CODEBOOK'!BA8)*IF(ABS('07_CONTINUOUS_CODEBOOK'!BA8)&lt;'04_CODEBOOK_CONTROL'!$B$16,1,IF(ABS('07_CONTINUOUS_CODEBOOK'!BA8)&lt;'04_CODEBOOK_CONTROL'!$B$17,2,3)))</f>
        <v/>
      </c>
      <c r="BB8" s="7">
        <f>IF(ABS('07_CONTINUOUS_CODEBOOK'!BB8)&lt;'04_CODEBOOK_CONTROL'!$B$15,0,SIGN('07_CONTINUOUS_CODEBOOK'!BB8)*IF(ABS('07_CONTINUOUS_CODEBOOK'!BB8)&lt;'04_CODEBOOK_CONTROL'!$B$16,1,IF(ABS('07_CONTINUOUS_CODEBOOK'!BB8)&lt;'04_CODEBOOK_CONTROL'!$B$17,2,3)))</f>
        <v/>
      </c>
      <c r="BC8" s="7">
        <f>IF(ABS('07_CONTINUOUS_CODEBOOK'!BC8)&lt;'04_CODEBOOK_CONTROL'!$B$15,0,SIGN('07_CONTINUOUS_CODEBOOK'!BC8)*IF(ABS('07_CONTINUOUS_CODEBOOK'!BC8)&lt;'04_CODEBOOK_CONTROL'!$B$16,1,IF(ABS('07_CONTINUOUS_CODEBOOK'!BC8)&lt;'04_CODEBOOK_CONTROL'!$B$17,2,3)))</f>
        <v/>
      </c>
      <c r="BD8" s="7">
        <f>IF(ABS('07_CONTINUOUS_CODEBOOK'!BD8)&lt;'04_CODEBOOK_CONTROL'!$B$15,0,SIGN('07_CONTINUOUS_CODEBOOK'!BD8)*IF(ABS('07_CONTINUOUS_CODEBOOK'!BD8)&lt;'04_CODEBOOK_CONTROL'!$B$16,1,IF(ABS('07_CONTINUOUS_CODEBOOK'!BD8)&lt;'04_CODEBOOK_CONTROL'!$B$17,2,3)))</f>
        <v/>
      </c>
      <c r="BE8" s="7">
        <f>IF(ABS('07_CONTINUOUS_CODEBOOK'!BE8)&lt;'04_CODEBOOK_CONTROL'!$B$15,0,SIGN('07_CONTINUOUS_CODEBOOK'!BE8)*IF(ABS('07_CONTINUOUS_CODEBOOK'!BE8)&lt;'04_CODEBOOK_CONTROL'!$B$16,1,IF(ABS('07_CONTINUOUS_CODEBOOK'!BE8)&lt;'04_CODEBOOK_CONTROL'!$B$17,2,3)))</f>
        <v/>
      </c>
      <c r="BF8" s="7">
        <f>IF(ABS('07_CONTINUOUS_CODEBOOK'!BF8)&lt;'04_CODEBOOK_CONTROL'!$B$15,0,SIGN('07_CONTINUOUS_CODEBOOK'!BF8)*IF(ABS('07_CONTINUOUS_CODEBOOK'!BF8)&lt;'04_CODEBOOK_CONTROL'!$B$16,1,IF(ABS('07_CONTINUOUS_CODEBOOK'!BF8)&lt;'04_CODEBOOK_CONTROL'!$B$17,2,3)))</f>
        <v/>
      </c>
      <c r="BG8" s="7">
        <f>IF(ABS('07_CONTINUOUS_CODEBOOK'!BG8)&lt;'04_CODEBOOK_CONTROL'!$B$15,0,SIGN('07_CONTINUOUS_CODEBOOK'!BG8)*IF(ABS('07_CONTINUOUS_CODEBOOK'!BG8)&lt;'04_CODEBOOK_CONTROL'!$B$16,1,IF(ABS('07_CONTINUOUS_CODEBOOK'!BG8)&lt;'04_CODEBOOK_CONTROL'!$B$17,2,3)))</f>
        <v/>
      </c>
      <c r="BH8" s="7">
        <f>IF(ABS('07_CONTINUOUS_CODEBOOK'!BH8)&lt;'04_CODEBOOK_CONTROL'!$B$15,0,SIGN('07_CONTINUOUS_CODEBOOK'!BH8)*IF(ABS('07_CONTINUOUS_CODEBOOK'!BH8)&lt;'04_CODEBOOK_CONTROL'!$B$16,1,IF(ABS('07_CONTINUOUS_CODEBOOK'!BH8)&lt;'04_CODEBOOK_CONTROL'!$B$17,2,3)))</f>
        <v/>
      </c>
      <c r="BI8" s="7">
        <f>IF(ABS('07_CONTINUOUS_CODEBOOK'!BI8)&lt;'04_CODEBOOK_CONTROL'!$B$15,0,SIGN('07_CONTINUOUS_CODEBOOK'!BI8)*IF(ABS('07_CONTINUOUS_CODEBOOK'!BI8)&lt;'04_CODEBOOK_CONTROL'!$B$16,1,IF(ABS('07_CONTINUOUS_CODEBOOK'!BI8)&lt;'04_CODEBOOK_CONTROL'!$B$17,2,3)))</f>
        <v/>
      </c>
      <c r="BJ8" s="7">
        <f>IF(ABS('07_CONTINUOUS_CODEBOOK'!BJ8)&lt;'04_CODEBOOK_CONTROL'!$B$15,0,SIGN('07_CONTINUOUS_CODEBOOK'!BJ8)*IF(ABS('07_CONTINUOUS_CODEBOOK'!BJ8)&lt;'04_CODEBOOK_CONTROL'!$B$16,1,IF(ABS('07_CONTINUOUS_CODEBOOK'!BJ8)&lt;'04_CODEBOOK_CONTROL'!$B$17,2,3)))</f>
        <v/>
      </c>
      <c r="BK8" s="7">
        <f>IF(ABS('07_CONTINUOUS_CODEBOOK'!BK8)&lt;'04_CODEBOOK_CONTROL'!$B$15,0,SIGN('07_CONTINUOUS_CODEBOOK'!BK8)*IF(ABS('07_CONTINUOUS_CODEBOOK'!BK8)&lt;'04_CODEBOOK_CONTROL'!$B$16,1,IF(ABS('07_CONTINUOUS_CODEBOOK'!BK8)&lt;'04_CODEBOOK_CONTROL'!$B$17,2,3)))</f>
        <v/>
      </c>
      <c r="BL8" s="7">
        <f>IF(ABS('07_CONTINUOUS_CODEBOOK'!BL8)&lt;'04_CODEBOOK_CONTROL'!$B$15,0,SIGN('07_CONTINUOUS_CODEBOOK'!BL8)*IF(ABS('07_CONTINUOUS_CODEBOOK'!BL8)&lt;'04_CODEBOOK_CONTROL'!$B$16,1,IF(ABS('07_CONTINUOUS_CODEBOOK'!BL8)&lt;'04_CODEBOOK_CONTROL'!$B$17,2,3)))</f>
        <v/>
      </c>
      <c r="BM8" s="7">
        <f>IF(ABS('07_CONTINUOUS_CODEBOOK'!BM8)&lt;'04_CODEBOOK_CONTROL'!$B$15,0,SIGN('07_CONTINUOUS_CODEBOOK'!BM8)*IF(ABS('07_CONTINUOUS_CODEBOOK'!BM8)&lt;'04_CODEBOOK_CONTROL'!$B$16,1,IF(ABS('07_CONTINUOUS_CODEBOOK'!BM8)&lt;'04_CODEBOOK_CONTROL'!$B$17,2,3)))</f>
        <v/>
      </c>
      <c r="BN8" s="7">
        <f>IF(ABS('07_CONTINUOUS_CODEBOOK'!BN8)&lt;'04_CODEBOOK_CONTROL'!$B$15,0,SIGN('07_CONTINUOUS_CODEBOOK'!BN8)*IF(ABS('07_CONTINUOUS_CODEBOOK'!BN8)&lt;'04_CODEBOOK_CONTROL'!$B$16,1,IF(ABS('07_CONTINUOUS_CODEBOOK'!BN8)&lt;'04_CODEBOOK_CONTROL'!$B$17,2,3)))</f>
        <v/>
      </c>
      <c r="BO8" s="7">
        <f>IF(ABS('07_CONTINUOUS_CODEBOOK'!BO8)&lt;'04_CODEBOOK_CONTROL'!$B$15,0,SIGN('07_CONTINUOUS_CODEBOOK'!BO8)*IF(ABS('07_CONTINUOUS_CODEBOOK'!BO8)&lt;'04_CODEBOOK_CONTROL'!$B$16,1,IF(ABS('07_CONTINUOUS_CODEBOOK'!BO8)&lt;'04_CODEBOOK_CONTROL'!$B$17,2,3)))</f>
        <v/>
      </c>
      <c r="BP8" s="7">
        <f>IF(ABS('07_CONTINUOUS_CODEBOOK'!BP8)&lt;'04_CODEBOOK_CONTROL'!$B$15,0,SIGN('07_CONTINUOUS_CODEBOOK'!BP8)*IF(ABS('07_CONTINUOUS_CODEBOOK'!BP8)&lt;'04_CODEBOOK_CONTROL'!$B$16,1,IF(ABS('07_CONTINUOUS_CODEBOOK'!BP8)&lt;'04_CODEBOOK_CONTROL'!$B$17,2,3)))</f>
        <v/>
      </c>
      <c r="BQ8" s="7">
        <f>IF(ABS('07_CONTINUOUS_CODEBOOK'!BQ8)&lt;'04_CODEBOOK_CONTROL'!$B$15,0,SIGN('07_CONTINUOUS_CODEBOOK'!BQ8)*IF(ABS('07_CONTINUOUS_CODEBOOK'!BQ8)&lt;'04_CODEBOOK_CONTROL'!$B$16,1,IF(ABS('07_CONTINUOUS_CODEBOOK'!BQ8)&lt;'04_CODEBOOK_CONTROL'!$B$17,2,3)))</f>
        <v/>
      </c>
      <c r="BR8" s="7">
        <f>IF(ABS('07_CONTINUOUS_CODEBOOK'!BR8)&lt;'04_CODEBOOK_CONTROL'!$B$15,0,SIGN('07_CONTINUOUS_CODEBOOK'!BR8)*IF(ABS('07_CONTINUOUS_CODEBOOK'!BR8)&lt;'04_CODEBOOK_CONTROL'!$B$16,1,IF(ABS('07_CONTINUOUS_CODEBOOK'!BR8)&lt;'04_CODEBOOK_CONTROL'!$B$17,2,3)))</f>
        <v/>
      </c>
      <c r="BS8" s="7">
        <f>IF(ABS('07_CONTINUOUS_CODEBOOK'!BS8)&lt;'04_CODEBOOK_CONTROL'!$B$15,0,SIGN('07_CONTINUOUS_CODEBOOK'!BS8)*IF(ABS('07_CONTINUOUS_CODEBOOK'!BS8)&lt;'04_CODEBOOK_CONTROL'!$B$16,1,IF(ABS('07_CONTINUOUS_CODEBOOK'!BS8)&lt;'04_CODEBOOK_CONTROL'!$B$17,2,3)))</f>
        <v/>
      </c>
      <c r="BT8" s="7">
        <f>IF(ABS('07_CONTINUOUS_CODEBOOK'!BT8)&lt;'04_CODEBOOK_CONTROL'!$B$15,0,SIGN('07_CONTINUOUS_CODEBOOK'!BT8)*IF(ABS('07_CONTINUOUS_CODEBOOK'!BT8)&lt;'04_CODEBOOK_CONTROL'!$B$16,1,IF(ABS('07_CONTINUOUS_CODEBOOK'!BT8)&lt;'04_CODEBOOK_CONTROL'!$B$17,2,3)))</f>
        <v/>
      </c>
      <c r="BU8" s="7">
        <f>IF(ABS('07_CONTINUOUS_CODEBOOK'!BU8)&lt;'04_CODEBOOK_CONTROL'!$B$15,0,SIGN('07_CONTINUOUS_CODEBOOK'!BU8)*IF(ABS('07_CONTINUOUS_CODEBOOK'!BU8)&lt;'04_CODEBOOK_CONTROL'!$B$16,1,IF(ABS('07_CONTINUOUS_CODEBOOK'!BU8)&lt;'04_CODEBOOK_CONTROL'!$B$17,2,3)))</f>
        <v/>
      </c>
      <c r="BV8" s="7">
        <f>IF(ABS('07_CONTINUOUS_CODEBOOK'!BV8)&lt;'04_CODEBOOK_CONTROL'!$B$15,0,SIGN('07_CONTINUOUS_CODEBOOK'!BV8)*IF(ABS('07_CONTINUOUS_CODEBOOK'!BV8)&lt;'04_CODEBOOK_CONTROL'!$B$16,1,IF(ABS('07_CONTINUOUS_CODEBOOK'!BV8)&lt;'04_CODEBOOK_CONTROL'!$B$17,2,3)))</f>
        <v/>
      </c>
      <c r="BW8" s="7">
        <f>IF(ABS('07_CONTINUOUS_CODEBOOK'!BW8)&lt;'04_CODEBOOK_CONTROL'!$B$15,0,SIGN('07_CONTINUOUS_CODEBOOK'!BW8)*IF(ABS('07_CONTINUOUS_CODEBOOK'!BW8)&lt;'04_CODEBOOK_CONTROL'!$B$16,1,IF(ABS('07_CONTINUOUS_CODEBOOK'!BW8)&lt;'04_CODEBOOK_CONTROL'!$B$17,2,3)))</f>
        <v/>
      </c>
      <c r="BX8" s="7">
        <f>IF(ABS('07_CONTINUOUS_CODEBOOK'!BX8)&lt;'04_CODEBOOK_CONTROL'!$B$15,0,SIGN('07_CONTINUOUS_CODEBOOK'!BX8)*IF(ABS('07_CONTINUOUS_CODEBOOK'!BX8)&lt;'04_CODEBOOK_CONTROL'!$B$16,1,IF(ABS('07_CONTINUOUS_CODEBOOK'!BX8)&lt;'04_CODEBOOK_CONTROL'!$B$17,2,3)))</f>
        <v/>
      </c>
      <c r="BY8" s="7">
        <f>IF(ABS('07_CONTINUOUS_CODEBOOK'!BY8)&lt;'04_CODEBOOK_CONTROL'!$B$15,0,SIGN('07_CONTINUOUS_CODEBOOK'!BY8)*IF(ABS('07_CONTINUOUS_CODEBOOK'!BY8)&lt;'04_CODEBOOK_CONTROL'!$B$16,1,IF(ABS('07_CONTINUOUS_CODEBOOK'!BY8)&lt;'04_CODEBOOK_CONTROL'!$B$17,2,3)))</f>
        <v/>
      </c>
      <c r="BZ8" s="7">
        <f>IF(ABS('07_CONTINUOUS_CODEBOOK'!BZ8)&lt;'04_CODEBOOK_CONTROL'!$B$15,0,SIGN('07_CONTINUOUS_CODEBOOK'!BZ8)*IF(ABS('07_CONTINUOUS_CODEBOOK'!BZ8)&lt;'04_CODEBOOK_CONTROL'!$B$16,1,IF(ABS('07_CONTINUOUS_CODEBOOK'!BZ8)&lt;'04_CODEBOOK_CONTROL'!$B$17,2,3)))</f>
        <v/>
      </c>
      <c r="CA8" s="7">
        <f>IF(ABS('07_CONTINUOUS_CODEBOOK'!CA8)&lt;'04_CODEBOOK_CONTROL'!$B$15,0,SIGN('07_CONTINUOUS_CODEBOOK'!CA8)*IF(ABS('07_CONTINUOUS_CODEBOOK'!CA8)&lt;'04_CODEBOOK_CONTROL'!$B$16,1,IF(ABS('07_CONTINUOUS_CODEBOOK'!CA8)&lt;'04_CODEBOOK_CONTROL'!$B$17,2,3)))</f>
        <v/>
      </c>
      <c r="CB8" s="7">
        <f>IF(ABS('07_CONTINUOUS_CODEBOOK'!CB8)&lt;'04_CODEBOOK_CONTROL'!$B$15,0,SIGN('07_CONTINUOUS_CODEBOOK'!CB8)*IF(ABS('07_CONTINUOUS_CODEBOOK'!CB8)&lt;'04_CODEBOOK_CONTROL'!$B$16,1,IF(ABS('07_CONTINUOUS_CODEBOOK'!CB8)&lt;'04_CODEBOOK_CONTROL'!$B$17,2,3)))</f>
        <v/>
      </c>
      <c r="CC8" s="7">
        <f>IF(ABS('07_CONTINUOUS_CODEBOOK'!CC8)&lt;'04_CODEBOOK_CONTROL'!$B$15,0,SIGN('07_CONTINUOUS_CODEBOOK'!CC8)*IF(ABS('07_CONTINUOUS_CODEBOOK'!CC8)&lt;'04_CODEBOOK_CONTROL'!$B$16,1,IF(ABS('07_CONTINUOUS_CODEBOOK'!CC8)&lt;'04_CODEBOOK_CONTROL'!$B$17,2,3)))</f>
        <v/>
      </c>
      <c r="CD8" s="7">
        <f>IF(ABS('07_CONTINUOUS_CODEBOOK'!CD8)&lt;'04_CODEBOOK_CONTROL'!$B$15,0,SIGN('07_CONTINUOUS_CODEBOOK'!CD8)*IF(ABS('07_CONTINUOUS_CODEBOOK'!CD8)&lt;'04_CODEBOOK_CONTROL'!$B$16,1,IF(ABS('07_CONTINUOUS_CODEBOOK'!CD8)&lt;'04_CODEBOOK_CONTROL'!$B$17,2,3)))</f>
        <v/>
      </c>
      <c r="CE8" s="7">
        <f>IF(ABS('07_CONTINUOUS_CODEBOOK'!CE8)&lt;'04_CODEBOOK_CONTROL'!$B$15,0,SIGN('07_CONTINUOUS_CODEBOOK'!CE8)*IF(ABS('07_CONTINUOUS_CODEBOOK'!CE8)&lt;'04_CODEBOOK_CONTROL'!$B$16,1,IF(ABS('07_CONTINUOUS_CODEBOOK'!CE8)&lt;'04_CODEBOOK_CONTROL'!$B$17,2,3)))</f>
        <v/>
      </c>
    </row>
    <row r="9">
      <c r="A9" t="n">
        <v>5</v>
      </c>
      <c r="B9" t="inlineStr">
        <is>
          <t>天琴座人</t>
        </is>
      </c>
      <c r="C9" t="inlineStr">
        <is>
          <t>Lyran</t>
        </is>
      </c>
      <c r="D9" s="7">
        <f>IF(ABS('07_CONTINUOUS_CODEBOOK'!D9)&lt;'04_CODEBOOK_CONTROL'!$B$15,0,SIGN('07_CONTINUOUS_CODEBOOK'!D9)*IF(ABS('07_CONTINUOUS_CODEBOOK'!D9)&lt;'04_CODEBOOK_CONTROL'!$B$16,1,IF(ABS('07_CONTINUOUS_CODEBOOK'!D9)&lt;'04_CODEBOOK_CONTROL'!$B$17,2,3)))</f>
        <v/>
      </c>
      <c r="E9" s="7">
        <f>IF(ABS('07_CONTINUOUS_CODEBOOK'!E9)&lt;'04_CODEBOOK_CONTROL'!$B$15,0,SIGN('07_CONTINUOUS_CODEBOOK'!E9)*IF(ABS('07_CONTINUOUS_CODEBOOK'!E9)&lt;'04_CODEBOOK_CONTROL'!$B$16,1,IF(ABS('07_CONTINUOUS_CODEBOOK'!E9)&lt;'04_CODEBOOK_CONTROL'!$B$17,2,3)))</f>
        <v/>
      </c>
      <c r="F9" s="7">
        <f>IF(ABS('07_CONTINUOUS_CODEBOOK'!F9)&lt;'04_CODEBOOK_CONTROL'!$B$15,0,SIGN('07_CONTINUOUS_CODEBOOK'!F9)*IF(ABS('07_CONTINUOUS_CODEBOOK'!F9)&lt;'04_CODEBOOK_CONTROL'!$B$16,1,IF(ABS('07_CONTINUOUS_CODEBOOK'!F9)&lt;'04_CODEBOOK_CONTROL'!$B$17,2,3)))</f>
        <v/>
      </c>
      <c r="G9" s="7">
        <f>IF(ABS('07_CONTINUOUS_CODEBOOK'!G9)&lt;'04_CODEBOOK_CONTROL'!$B$15,0,SIGN('07_CONTINUOUS_CODEBOOK'!G9)*IF(ABS('07_CONTINUOUS_CODEBOOK'!G9)&lt;'04_CODEBOOK_CONTROL'!$B$16,1,IF(ABS('07_CONTINUOUS_CODEBOOK'!G9)&lt;'04_CODEBOOK_CONTROL'!$B$17,2,3)))</f>
        <v/>
      </c>
      <c r="H9" s="7">
        <f>IF(ABS('07_CONTINUOUS_CODEBOOK'!H9)&lt;'04_CODEBOOK_CONTROL'!$B$15,0,SIGN('07_CONTINUOUS_CODEBOOK'!H9)*IF(ABS('07_CONTINUOUS_CODEBOOK'!H9)&lt;'04_CODEBOOK_CONTROL'!$B$16,1,IF(ABS('07_CONTINUOUS_CODEBOOK'!H9)&lt;'04_CODEBOOK_CONTROL'!$B$17,2,3)))</f>
        <v/>
      </c>
      <c r="I9" s="7">
        <f>IF(ABS('07_CONTINUOUS_CODEBOOK'!I9)&lt;'04_CODEBOOK_CONTROL'!$B$15,0,SIGN('07_CONTINUOUS_CODEBOOK'!I9)*IF(ABS('07_CONTINUOUS_CODEBOOK'!I9)&lt;'04_CODEBOOK_CONTROL'!$B$16,1,IF(ABS('07_CONTINUOUS_CODEBOOK'!I9)&lt;'04_CODEBOOK_CONTROL'!$B$17,2,3)))</f>
        <v/>
      </c>
      <c r="J9" s="7">
        <f>IF(ABS('07_CONTINUOUS_CODEBOOK'!J9)&lt;'04_CODEBOOK_CONTROL'!$B$15,0,SIGN('07_CONTINUOUS_CODEBOOK'!J9)*IF(ABS('07_CONTINUOUS_CODEBOOK'!J9)&lt;'04_CODEBOOK_CONTROL'!$B$16,1,IF(ABS('07_CONTINUOUS_CODEBOOK'!J9)&lt;'04_CODEBOOK_CONTROL'!$B$17,2,3)))</f>
        <v/>
      </c>
      <c r="K9" s="7">
        <f>IF(ABS('07_CONTINUOUS_CODEBOOK'!K9)&lt;'04_CODEBOOK_CONTROL'!$B$15,0,SIGN('07_CONTINUOUS_CODEBOOK'!K9)*IF(ABS('07_CONTINUOUS_CODEBOOK'!K9)&lt;'04_CODEBOOK_CONTROL'!$B$16,1,IF(ABS('07_CONTINUOUS_CODEBOOK'!K9)&lt;'04_CODEBOOK_CONTROL'!$B$17,2,3)))</f>
        <v/>
      </c>
      <c r="L9" s="7">
        <f>IF(ABS('07_CONTINUOUS_CODEBOOK'!L9)&lt;'04_CODEBOOK_CONTROL'!$B$15,0,SIGN('07_CONTINUOUS_CODEBOOK'!L9)*IF(ABS('07_CONTINUOUS_CODEBOOK'!L9)&lt;'04_CODEBOOK_CONTROL'!$B$16,1,IF(ABS('07_CONTINUOUS_CODEBOOK'!L9)&lt;'04_CODEBOOK_CONTROL'!$B$17,2,3)))</f>
        <v/>
      </c>
      <c r="M9" s="7">
        <f>IF(ABS('07_CONTINUOUS_CODEBOOK'!M9)&lt;'04_CODEBOOK_CONTROL'!$B$15,0,SIGN('07_CONTINUOUS_CODEBOOK'!M9)*IF(ABS('07_CONTINUOUS_CODEBOOK'!M9)&lt;'04_CODEBOOK_CONTROL'!$B$16,1,IF(ABS('07_CONTINUOUS_CODEBOOK'!M9)&lt;'04_CODEBOOK_CONTROL'!$B$17,2,3)))</f>
        <v/>
      </c>
      <c r="N9" s="7">
        <f>IF(ABS('07_CONTINUOUS_CODEBOOK'!N9)&lt;'04_CODEBOOK_CONTROL'!$B$15,0,SIGN('07_CONTINUOUS_CODEBOOK'!N9)*IF(ABS('07_CONTINUOUS_CODEBOOK'!N9)&lt;'04_CODEBOOK_CONTROL'!$B$16,1,IF(ABS('07_CONTINUOUS_CODEBOOK'!N9)&lt;'04_CODEBOOK_CONTROL'!$B$17,2,3)))</f>
        <v/>
      </c>
      <c r="O9" s="7">
        <f>IF(ABS('07_CONTINUOUS_CODEBOOK'!O9)&lt;'04_CODEBOOK_CONTROL'!$B$15,0,SIGN('07_CONTINUOUS_CODEBOOK'!O9)*IF(ABS('07_CONTINUOUS_CODEBOOK'!O9)&lt;'04_CODEBOOK_CONTROL'!$B$16,1,IF(ABS('07_CONTINUOUS_CODEBOOK'!O9)&lt;'04_CODEBOOK_CONTROL'!$B$17,2,3)))</f>
        <v/>
      </c>
      <c r="P9" s="7">
        <f>IF(ABS('07_CONTINUOUS_CODEBOOK'!P9)&lt;'04_CODEBOOK_CONTROL'!$B$15,0,SIGN('07_CONTINUOUS_CODEBOOK'!P9)*IF(ABS('07_CONTINUOUS_CODEBOOK'!P9)&lt;'04_CODEBOOK_CONTROL'!$B$16,1,IF(ABS('07_CONTINUOUS_CODEBOOK'!P9)&lt;'04_CODEBOOK_CONTROL'!$B$17,2,3)))</f>
        <v/>
      </c>
      <c r="Q9" s="7">
        <f>IF(ABS('07_CONTINUOUS_CODEBOOK'!Q9)&lt;'04_CODEBOOK_CONTROL'!$B$15,0,SIGN('07_CONTINUOUS_CODEBOOK'!Q9)*IF(ABS('07_CONTINUOUS_CODEBOOK'!Q9)&lt;'04_CODEBOOK_CONTROL'!$B$16,1,IF(ABS('07_CONTINUOUS_CODEBOOK'!Q9)&lt;'04_CODEBOOK_CONTROL'!$B$17,2,3)))</f>
        <v/>
      </c>
      <c r="R9" s="7">
        <f>IF(ABS('07_CONTINUOUS_CODEBOOK'!R9)&lt;'04_CODEBOOK_CONTROL'!$B$15,0,SIGN('07_CONTINUOUS_CODEBOOK'!R9)*IF(ABS('07_CONTINUOUS_CODEBOOK'!R9)&lt;'04_CODEBOOK_CONTROL'!$B$16,1,IF(ABS('07_CONTINUOUS_CODEBOOK'!R9)&lt;'04_CODEBOOK_CONTROL'!$B$17,2,3)))</f>
        <v/>
      </c>
      <c r="S9" s="7">
        <f>IF(ABS('07_CONTINUOUS_CODEBOOK'!S9)&lt;'04_CODEBOOK_CONTROL'!$B$15,0,SIGN('07_CONTINUOUS_CODEBOOK'!S9)*IF(ABS('07_CONTINUOUS_CODEBOOK'!S9)&lt;'04_CODEBOOK_CONTROL'!$B$16,1,IF(ABS('07_CONTINUOUS_CODEBOOK'!S9)&lt;'04_CODEBOOK_CONTROL'!$B$17,2,3)))</f>
        <v/>
      </c>
      <c r="T9" s="7">
        <f>IF(ABS('07_CONTINUOUS_CODEBOOK'!T9)&lt;'04_CODEBOOK_CONTROL'!$B$15,0,SIGN('07_CONTINUOUS_CODEBOOK'!T9)*IF(ABS('07_CONTINUOUS_CODEBOOK'!T9)&lt;'04_CODEBOOK_CONTROL'!$B$16,1,IF(ABS('07_CONTINUOUS_CODEBOOK'!T9)&lt;'04_CODEBOOK_CONTROL'!$B$17,2,3)))</f>
        <v/>
      </c>
      <c r="U9" s="7">
        <f>IF(ABS('07_CONTINUOUS_CODEBOOK'!U9)&lt;'04_CODEBOOK_CONTROL'!$B$15,0,SIGN('07_CONTINUOUS_CODEBOOK'!U9)*IF(ABS('07_CONTINUOUS_CODEBOOK'!U9)&lt;'04_CODEBOOK_CONTROL'!$B$16,1,IF(ABS('07_CONTINUOUS_CODEBOOK'!U9)&lt;'04_CODEBOOK_CONTROL'!$B$17,2,3)))</f>
        <v/>
      </c>
      <c r="V9" s="7">
        <f>IF(ABS('07_CONTINUOUS_CODEBOOK'!V9)&lt;'04_CODEBOOK_CONTROL'!$B$15,0,SIGN('07_CONTINUOUS_CODEBOOK'!V9)*IF(ABS('07_CONTINUOUS_CODEBOOK'!V9)&lt;'04_CODEBOOK_CONTROL'!$B$16,1,IF(ABS('07_CONTINUOUS_CODEBOOK'!V9)&lt;'04_CODEBOOK_CONTROL'!$B$17,2,3)))</f>
        <v/>
      </c>
      <c r="W9" s="7">
        <f>IF(ABS('07_CONTINUOUS_CODEBOOK'!W9)&lt;'04_CODEBOOK_CONTROL'!$B$15,0,SIGN('07_CONTINUOUS_CODEBOOK'!W9)*IF(ABS('07_CONTINUOUS_CODEBOOK'!W9)&lt;'04_CODEBOOK_CONTROL'!$B$16,1,IF(ABS('07_CONTINUOUS_CODEBOOK'!W9)&lt;'04_CODEBOOK_CONTROL'!$B$17,2,3)))</f>
        <v/>
      </c>
      <c r="X9" s="7">
        <f>IF(ABS('07_CONTINUOUS_CODEBOOK'!X9)&lt;'04_CODEBOOK_CONTROL'!$B$15,0,SIGN('07_CONTINUOUS_CODEBOOK'!X9)*IF(ABS('07_CONTINUOUS_CODEBOOK'!X9)&lt;'04_CODEBOOK_CONTROL'!$B$16,1,IF(ABS('07_CONTINUOUS_CODEBOOK'!X9)&lt;'04_CODEBOOK_CONTROL'!$B$17,2,3)))</f>
        <v/>
      </c>
      <c r="Y9" s="7">
        <f>IF(ABS('07_CONTINUOUS_CODEBOOK'!Y9)&lt;'04_CODEBOOK_CONTROL'!$B$15,0,SIGN('07_CONTINUOUS_CODEBOOK'!Y9)*IF(ABS('07_CONTINUOUS_CODEBOOK'!Y9)&lt;'04_CODEBOOK_CONTROL'!$B$16,1,IF(ABS('07_CONTINUOUS_CODEBOOK'!Y9)&lt;'04_CODEBOOK_CONTROL'!$B$17,2,3)))</f>
        <v/>
      </c>
      <c r="Z9" s="7">
        <f>IF(ABS('07_CONTINUOUS_CODEBOOK'!Z9)&lt;'04_CODEBOOK_CONTROL'!$B$15,0,SIGN('07_CONTINUOUS_CODEBOOK'!Z9)*IF(ABS('07_CONTINUOUS_CODEBOOK'!Z9)&lt;'04_CODEBOOK_CONTROL'!$B$16,1,IF(ABS('07_CONTINUOUS_CODEBOOK'!Z9)&lt;'04_CODEBOOK_CONTROL'!$B$17,2,3)))</f>
        <v/>
      </c>
      <c r="AA9" s="7">
        <f>IF(ABS('07_CONTINUOUS_CODEBOOK'!AA9)&lt;'04_CODEBOOK_CONTROL'!$B$15,0,SIGN('07_CONTINUOUS_CODEBOOK'!AA9)*IF(ABS('07_CONTINUOUS_CODEBOOK'!AA9)&lt;'04_CODEBOOK_CONTROL'!$B$16,1,IF(ABS('07_CONTINUOUS_CODEBOOK'!AA9)&lt;'04_CODEBOOK_CONTROL'!$B$17,2,3)))</f>
        <v/>
      </c>
      <c r="AB9" s="7">
        <f>IF(ABS('07_CONTINUOUS_CODEBOOK'!AB9)&lt;'04_CODEBOOK_CONTROL'!$B$15,0,SIGN('07_CONTINUOUS_CODEBOOK'!AB9)*IF(ABS('07_CONTINUOUS_CODEBOOK'!AB9)&lt;'04_CODEBOOK_CONTROL'!$B$16,1,IF(ABS('07_CONTINUOUS_CODEBOOK'!AB9)&lt;'04_CODEBOOK_CONTROL'!$B$17,2,3)))</f>
        <v/>
      </c>
      <c r="AC9" s="7">
        <f>IF(ABS('07_CONTINUOUS_CODEBOOK'!AC9)&lt;'04_CODEBOOK_CONTROL'!$B$15,0,SIGN('07_CONTINUOUS_CODEBOOK'!AC9)*IF(ABS('07_CONTINUOUS_CODEBOOK'!AC9)&lt;'04_CODEBOOK_CONTROL'!$B$16,1,IF(ABS('07_CONTINUOUS_CODEBOOK'!AC9)&lt;'04_CODEBOOK_CONTROL'!$B$17,2,3)))</f>
        <v/>
      </c>
      <c r="AD9" s="7">
        <f>IF(ABS('07_CONTINUOUS_CODEBOOK'!AD9)&lt;'04_CODEBOOK_CONTROL'!$B$15,0,SIGN('07_CONTINUOUS_CODEBOOK'!AD9)*IF(ABS('07_CONTINUOUS_CODEBOOK'!AD9)&lt;'04_CODEBOOK_CONTROL'!$B$16,1,IF(ABS('07_CONTINUOUS_CODEBOOK'!AD9)&lt;'04_CODEBOOK_CONTROL'!$B$17,2,3)))</f>
        <v/>
      </c>
      <c r="AE9" s="7">
        <f>IF(ABS('07_CONTINUOUS_CODEBOOK'!AE9)&lt;'04_CODEBOOK_CONTROL'!$B$15,0,SIGN('07_CONTINUOUS_CODEBOOK'!AE9)*IF(ABS('07_CONTINUOUS_CODEBOOK'!AE9)&lt;'04_CODEBOOK_CONTROL'!$B$16,1,IF(ABS('07_CONTINUOUS_CODEBOOK'!AE9)&lt;'04_CODEBOOK_CONTROL'!$B$17,2,3)))</f>
        <v/>
      </c>
      <c r="AF9" s="7">
        <f>IF(ABS('07_CONTINUOUS_CODEBOOK'!AF9)&lt;'04_CODEBOOK_CONTROL'!$B$15,0,SIGN('07_CONTINUOUS_CODEBOOK'!AF9)*IF(ABS('07_CONTINUOUS_CODEBOOK'!AF9)&lt;'04_CODEBOOK_CONTROL'!$B$16,1,IF(ABS('07_CONTINUOUS_CODEBOOK'!AF9)&lt;'04_CODEBOOK_CONTROL'!$B$17,2,3)))</f>
        <v/>
      </c>
      <c r="AG9" s="7">
        <f>IF(ABS('07_CONTINUOUS_CODEBOOK'!AG9)&lt;'04_CODEBOOK_CONTROL'!$B$15,0,SIGN('07_CONTINUOUS_CODEBOOK'!AG9)*IF(ABS('07_CONTINUOUS_CODEBOOK'!AG9)&lt;'04_CODEBOOK_CONTROL'!$B$16,1,IF(ABS('07_CONTINUOUS_CODEBOOK'!AG9)&lt;'04_CODEBOOK_CONTROL'!$B$17,2,3)))</f>
        <v/>
      </c>
      <c r="AH9" s="7">
        <f>IF(ABS('07_CONTINUOUS_CODEBOOK'!AH9)&lt;'04_CODEBOOK_CONTROL'!$B$15,0,SIGN('07_CONTINUOUS_CODEBOOK'!AH9)*IF(ABS('07_CONTINUOUS_CODEBOOK'!AH9)&lt;'04_CODEBOOK_CONTROL'!$B$16,1,IF(ABS('07_CONTINUOUS_CODEBOOK'!AH9)&lt;'04_CODEBOOK_CONTROL'!$B$17,2,3)))</f>
        <v/>
      </c>
      <c r="AI9" s="7">
        <f>IF(ABS('07_CONTINUOUS_CODEBOOK'!AI9)&lt;'04_CODEBOOK_CONTROL'!$B$15,0,SIGN('07_CONTINUOUS_CODEBOOK'!AI9)*IF(ABS('07_CONTINUOUS_CODEBOOK'!AI9)&lt;'04_CODEBOOK_CONTROL'!$B$16,1,IF(ABS('07_CONTINUOUS_CODEBOOK'!AI9)&lt;'04_CODEBOOK_CONTROL'!$B$17,2,3)))</f>
        <v/>
      </c>
      <c r="AJ9" s="7">
        <f>IF(ABS('07_CONTINUOUS_CODEBOOK'!AJ9)&lt;'04_CODEBOOK_CONTROL'!$B$15,0,SIGN('07_CONTINUOUS_CODEBOOK'!AJ9)*IF(ABS('07_CONTINUOUS_CODEBOOK'!AJ9)&lt;'04_CODEBOOK_CONTROL'!$B$16,1,IF(ABS('07_CONTINUOUS_CODEBOOK'!AJ9)&lt;'04_CODEBOOK_CONTROL'!$B$17,2,3)))</f>
        <v/>
      </c>
      <c r="AK9" s="7">
        <f>IF(ABS('07_CONTINUOUS_CODEBOOK'!AK9)&lt;'04_CODEBOOK_CONTROL'!$B$15,0,SIGN('07_CONTINUOUS_CODEBOOK'!AK9)*IF(ABS('07_CONTINUOUS_CODEBOOK'!AK9)&lt;'04_CODEBOOK_CONTROL'!$B$16,1,IF(ABS('07_CONTINUOUS_CODEBOOK'!AK9)&lt;'04_CODEBOOK_CONTROL'!$B$17,2,3)))</f>
        <v/>
      </c>
      <c r="AL9" s="7">
        <f>IF(ABS('07_CONTINUOUS_CODEBOOK'!AL9)&lt;'04_CODEBOOK_CONTROL'!$B$15,0,SIGN('07_CONTINUOUS_CODEBOOK'!AL9)*IF(ABS('07_CONTINUOUS_CODEBOOK'!AL9)&lt;'04_CODEBOOK_CONTROL'!$B$16,1,IF(ABS('07_CONTINUOUS_CODEBOOK'!AL9)&lt;'04_CODEBOOK_CONTROL'!$B$17,2,3)))</f>
        <v/>
      </c>
      <c r="AM9" s="7">
        <f>IF(ABS('07_CONTINUOUS_CODEBOOK'!AM9)&lt;'04_CODEBOOK_CONTROL'!$B$15,0,SIGN('07_CONTINUOUS_CODEBOOK'!AM9)*IF(ABS('07_CONTINUOUS_CODEBOOK'!AM9)&lt;'04_CODEBOOK_CONTROL'!$B$16,1,IF(ABS('07_CONTINUOUS_CODEBOOK'!AM9)&lt;'04_CODEBOOK_CONTROL'!$B$17,2,3)))</f>
        <v/>
      </c>
      <c r="AN9" s="7">
        <f>IF(ABS('07_CONTINUOUS_CODEBOOK'!AN9)&lt;'04_CODEBOOK_CONTROL'!$B$15,0,SIGN('07_CONTINUOUS_CODEBOOK'!AN9)*IF(ABS('07_CONTINUOUS_CODEBOOK'!AN9)&lt;'04_CODEBOOK_CONTROL'!$B$16,1,IF(ABS('07_CONTINUOUS_CODEBOOK'!AN9)&lt;'04_CODEBOOK_CONTROL'!$B$17,2,3)))</f>
        <v/>
      </c>
      <c r="AO9" s="7">
        <f>IF(ABS('07_CONTINUOUS_CODEBOOK'!AO9)&lt;'04_CODEBOOK_CONTROL'!$B$15,0,SIGN('07_CONTINUOUS_CODEBOOK'!AO9)*IF(ABS('07_CONTINUOUS_CODEBOOK'!AO9)&lt;'04_CODEBOOK_CONTROL'!$B$16,1,IF(ABS('07_CONTINUOUS_CODEBOOK'!AO9)&lt;'04_CODEBOOK_CONTROL'!$B$17,2,3)))</f>
        <v/>
      </c>
      <c r="AP9" s="7">
        <f>IF(ABS('07_CONTINUOUS_CODEBOOK'!AP9)&lt;'04_CODEBOOK_CONTROL'!$B$15,0,SIGN('07_CONTINUOUS_CODEBOOK'!AP9)*IF(ABS('07_CONTINUOUS_CODEBOOK'!AP9)&lt;'04_CODEBOOK_CONTROL'!$B$16,1,IF(ABS('07_CONTINUOUS_CODEBOOK'!AP9)&lt;'04_CODEBOOK_CONTROL'!$B$17,2,3)))</f>
        <v/>
      </c>
      <c r="AQ9" s="7">
        <f>IF(ABS('07_CONTINUOUS_CODEBOOK'!AQ9)&lt;'04_CODEBOOK_CONTROL'!$B$15,0,SIGN('07_CONTINUOUS_CODEBOOK'!AQ9)*IF(ABS('07_CONTINUOUS_CODEBOOK'!AQ9)&lt;'04_CODEBOOK_CONTROL'!$B$16,1,IF(ABS('07_CONTINUOUS_CODEBOOK'!AQ9)&lt;'04_CODEBOOK_CONTROL'!$B$17,2,3)))</f>
        <v/>
      </c>
      <c r="AR9" s="7">
        <f>IF(ABS('07_CONTINUOUS_CODEBOOK'!AR9)&lt;'04_CODEBOOK_CONTROL'!$B$15,0,SIGN('07_CONTINUOUS_CODEBOOK'!AR9)*IF(ABS('07_CONTINUOUS_CODEBOOK'!AR9)&lt;'04_CODEBOOK_CONTROL'!$B$16,1,IF(ABS('07_CONTINUOUS_CODEBOOK'!AR9)&lt;'04_CODEBOOK_CONTROL'!$B$17,2,3)))</f>
        <v/>
      </c>
      <c r="AS9" s="7">
        <f>IF(ABS('07_CONTINUOUS_CODEBOOK'!AS9)&lt;'04_CODEBOOK_CONTROL'!$B$15,0,SIGN('07_CONTINUOUS_CODEBOOK'!AS9)*IF(ABS('07_CONTINUOUS_CODEBOOK'!AS9)&lt;'04_CODEBOOK_CONTROL'!$B$16,1,IF(ABS('07_CONTINUOUS_CODEBOOK'!AS9)&lt;'04_CODEBOOK_CONTROL'!$B$17,2,3)))</f>
        <v/>
      </c>
      <c r="AT9" s="7">
        <f>IF(ABS('07_CONTINUOUS_CODEBOOK'!AT9)&lt;'04_CODEBOOK_CONTROL'!$B$15,0,SIGN('07_CONTINUOUS_CODEBOOK'!AT9)*IF(ABS('07_CONTINUOUS_CODEBOOK'!AT9)&lt;'04_CODEBOOK_CONTROL'!$B$16,1,IF(ABS('07_CONTINUOUS_CODEBOOK'!AT9)&lt;'04_CODEBOOK_CONTROL'!$B$17,2,3)))</f>
        <v/>
      </c>
      <c r="AU9" s="7">
        <f>IF(ABS('07_CONTINUOUS_CODEBOOK'!AU9)&lt;'04_CODEBOOK_CONTROL'!$B$15,0,SIGN('07_CONTINUOUS_CODEBOOK'!AU9)*IF(ABS('07_CONTINUOUS_CODEBOOK'!AU9)&lt;'04_CODEBOOK_CONTROL'!$B$16,1,IF(ABS('07_CONTINUOUS_CODEBOOK'!AU9)&lt;'04_CODEBOOK_CONTROL'!$B$17,2,3)))</f>
        <v/>
      </c>
      <c r="AV9" s="7">
        <f>IF(ABS('07_CONTINUOUS_CODEBOOK'!AV9)&lt;'04_CODEBOOK_CONTROL'!$B$15,0,SIGN('07_CONTINUOUS_CODEBOOK'!AV9)*IF(ABS('07_CONTINUOUS_CODEBOOK'!AV9)&lt;'04_CODEBOOK_CONTROL'!$B$16,1,IF(ABS('07_CONTINUOUS_CODEBOOK'!AV9)&lt;'04_CODEBOOK_CONTROL'!$B$17,2,3)))</f>
        <v/>
      </c>
      <c r="AW9" s="7">
        <f>IF(ABS('07_CONTINUOUS_CODEBOOK'!AW9)&lt;'04_CODEBOOK_CONTROL'!$B$15,0,SIGN('07_CONTINUOUS_CODEBOOK'!AW9)*IF(ABS('07_CONTINUOUS_CODEBOOK'!AW9)&lt;'04_CODEBOOK_CONTROL'!$B$16,1,IF(ABS('07_CONTINUOUS_CODEBOOK'!AW9)&lt;'04_CODEBOOK_CONTROL'!$B$17,2,3)))</f>
        <v/>
      </c>
      <c r="AX9" s="7">
        <f>IF(ABS('07_CONTINUOUS_CODEBOOK'!AX9)&lt;'04_CODEBOOK_CONTROL'!$B$15,0,SIGN('07_CONTINUOUS_CODEBOOK'!AX9)*IF(ABS('07_CONTINUOUS_CODEBOOK'!AX9)&lt;'04_CODEBOOK_CONTROL'!$B$16,1,IF(ABS('07_CONTINUOUS_CODEBOOK'!AX9)&lt;'04_CODEBOOK_CONTROL'!$B$17,2,3)))</f>
        <v/>
      </c>
      <c r="AY9" s="7">
        <f>IF(ABS('07_CONTINUOUS_CODEBOOK'!AY9)&lt;'04_CODEBOOK_CONTROL'!$B$15,0,SIGN('07_CONTINUOUS_CODEBOOK'!AY9)*IF(ABS('07_CONTINUOUS_CODEBOOK'!AY9)&lt;'04_CODEBOOK_CONTROL'!$B$16,1,IF(ABS('07_CONTINUOUS_CODEBOOK'!AY9)&lt;'04_CODEBOOK_CONTROL'!$B$17,2,3)))</f>
        <v/>
      </c>
      <c r="AZ9" s="7">
        <f>IF(ABS('07_CONTINUOUS_CODEBOOK'!AZ9)&lt;'04_CODEBOOK_CONTROL'!$B$15,0,SIGN('07_CONTINUOUS_CODEBOOK'!AZ9)*IF(ABS('07_CONTINUOUS_CODEBOOK'!AZ9)&lt;'04_CODEBOOK_CONTROL'!$B$16,1,IF(ABS('07_CONTINUOUS_CODEBOOK'!AZ9)&lt;'04_CODEBOOK_CONTROL'!$B$17,2,3)))</f>
        <v/>
      </c>
      <c r="BA9" s="7">
        <f>IF(ABS('07_CONTINUOUS_CODEBOOK'!BA9)&lt;'04_CODEBOOK_CONTROL'!$B$15,0,SIGN('07_CONTINUOUS_CODEBOOK'!BA9)*IF(ABS('07_CONTINUOUS_CODEBOOK'!BA9)&lt;'04_CODEBOOK_CONTROL'!$B$16,1,IF(ABS('07_CONTINUOUS_CODEBOOK'!BA9)&lt;'04_CODEBOOK_CONTROL'!$B$17,2,3)))</f>
        <v/>
      </c>
      <c r="BB9" s="7">
        <f>IF(ABS('07_CONTINUOUS_CODEBOOK'!BB9)&lt;'04_CODEBOOK_CONTROL'!$B$15,0,SIGN('07_CONTINUOUS_CODEBOOK'!BB9)*IF(ABS('07_CONTINUOUS_CODEBOOK'!BB9)&lt;'04_CODEBOOK_CONTROL'!$B$16,1,IF(ABS('07_CONTINUOUS_CODEBOOK'!BB9)&lt;'04_CODEBOOK_CONTROL'!$B$17,2,3)))</f>
        <v/>
      </c>
      <c r="BC9" s="7">
        <f>IF(ABS('07_CONTINUOUS_CODEBOOK'!BC9)&lt;'04_CODEBOOK_CONTROL'!$B$15,0,SIGN('07_CONTINUOUS_CODEBOOK'!BC9)*IF(ABS('07_CONTINUOUS_CODEBOOK'!BC9)&lt;'04_CODEBOOK_CONTROL'!$B$16,1,IF(ABS('07_CONTINUOUS_CODEBOOK'!BC9)&lt;'04_CODEBOOK_CONTROL'!$B$17,2,3)))</f>
        <v/>
      </c>
      <c r="BD9" s="7">
        <f>IF(ABS('07_CONTINUOUS_CODEBOOK'!BD9)&lt;'04_CODEBOOK_CONTROL'!$B$15,0,SIGN('07_CONTINUOUS_CODEBOOK'!BD9)*IF(ABS('07_CONTINUOUS_CODEBOOK'!BD9)&lt;'04_CODEBOOK_CONTROL'!$B$16,1,IF(ABS('07_CONTINUOUS_CODEBOOK'!BD9)&lt;'04_CODEBOOK_CONTROL'!$B$17,2,3)))</f>
        <v/>
      </c>
      <c r="BE9" s="7">
        <f>IF(ABS('07_CONTINUOUS_CODEBOOK'!BE9)&lt;'04_CODEBOOK_CONTROL'!$B$15,0,SIGN('07_CONTINUOUS_CODEBOOK'!BE9)*IF(ABS('07_CONTINUOUS_CODEBOOK'!BE9)&lt;'04_CODEBOOK_CONTROL'!$B$16,1,IF(ABS('07_CONTINUOUS_CODEBOOK'!BE9)&lt;'04_CODEBOOK_CONTROL'!$B$17,2,3)))</f>
        <v/>
      </c>
      <c r="BF9" s="7">
        <f>IF(ABS('07_CONTINUOUS_CODEBOOK'!BF9)&lt;'04_CODEBOOK_CONTROL'!$B$15,0,SIGN('07_CONTINUOUS_CODEBOOK'!BF9)*IF(ABS('07_CONTINUOUS_CODEBOOK'!BF9)&lt;'04_CODEBOOK_CONTROL'!$B$16,1,IF(ABS('07_CONTINUOUS_CODEBOOK'!BF9)&lt;'04_CODEBOOK_CONTROL'!$B$17,2,3)))</f>
        <v/>
      </c>
      <c r="BG9" s="7">
        <f>IF(ABS('07_CONTINUOUS_CODEBOOK'!BG9)&lt;'04_CODEBOOK_CONTROL'!$B$15,0,SIGN('07_CONTINUOUS_CODEBOOK'!BG9)*IF(ABS('07_CONTINUOUS_CODEBOOK'!BG9)&lt;'04_CODEBOOK_CONTROL'!$B$16,1,IF(ABS('07_CONTINUOUS_CODEBOOK'!BG9)&lt;'04_CODEBOOK_CONTROL'!$B$17,2,3)))</f>
        <v/>
      </c>
      <c r="BH9" s="7">
        <f>IF(ABS('07_CONTINUOUS_CODEBOOK'!BH9)&lt;'04_CODEBOOK_CONTROL'!$B$15,0,SIGN('07_CONTINUOUS_CODEBOOK'!BH9)*IF(ABS('07_CONTINUOUS_CODEBOOK'!BH9)&lt;'04_CODEBOOK_CONTROL'!$B$16,1,IF(ABS('07_CONTINUOUS_CODEBOOK'!BH9)&lt;'04_CODEBOOK_CONTROL'!$B$17,2,3)))</f>
        <v/>
      </c>
      <c r="BI9" s="7">
        <f>IF(ABS('07_CONTINUOUS_CODEBOOK'!BI9)&lt;'04_CODEBOOK_CONTROL'!$B$15,0,SIGN('07_CONTINUOUS_CODEBOOK'!BI9)*IF(ABS('07_CONTINUOUS_CODEBOOK'!BI9)&lt;'04_CODEBOOK_CONTROL'!$B$16,1,IF(ABS('07_CONTINUOUS_CODEBOOK'!BI9)&lt;'04_CODEBOOK_CONTROL'!$B$17,2,3)))</f>
        <v/>
      </c>
      <c r="BJ9" s="7">
        <f>IF(ABS('07_CONTINUOUS_CODEBOOK'!BJ9)&lt;'04_CODEBOOK_CONTROL'!$B$15,0,SIGN('07_CONTINUOUS_CODEBOOK'!BJ9)*IF(ABS('07_CONTINUOUS_CODEBOOK'!BJ9)&lt;'04_CODEBOOK_CONTROL'!$B$16,1,IF(ABS('07_CONTINUOUS_CODEBOOK'!BJ9)&lt;'04_CODEBOOK_CONTROL'!$B$17,2,3)))</f>
        <v/>
      </c>
      <c r="BK9" s="7">
        <f>IF(ABS('07_CONTINUOUS_CODEBOOK'!BK9)&lt;'04_CODEBOOK_CONTROL'!$B$15,0,SIGN('07_CONTINUOUS_CODEBOOK'!BK9)*IF(ABS('07_CONTINUOUS_CODEBOOK'!BK9)&lt;'04_CODEBOOK_CONTROL'!$B$16,1,IF(ABS('07_CONTINUOUS_CODEBOOK'!BK9)&lt;'04_CODEBOOK_CONTROL'!$B$17,2,3)))</f>
        <v/>
      </c>
      <c r="BL9" s="7">
        <f>IF(ABS('07_CONTINUOUS_CODEBOOK'!BL9)&lt;'04_CODEBOOK_CONTROL'!$B$15,0,SIGN('07_CONTINUOUS_CODEBOOK'!BL9)*IF(ABS('07_CONTINUOUS_CODEBOOK'!BL9)&lt;'04_CODEBOOK_CONTROL'!$B$16,1,IF(ABS('07_CONTINUOUS_CODEBOOK'!BL9)&lt;'04_CODEBOOK_CONTROL'!$B$17,2,3)))</f>
        <v/>
      </c>
      <c r="BM9" s="7">
        <f>IF(ABS('07_CONTINUOUS_CODEBOOK'!BM9)&lt;'04_CODEBOOK_CONTROL'!$B$15,0,SIGN('07_CONTINUOUS_CODEBOOK'!BM9)*IF(ABS('07_CONTINUOUS_CODEBOOK'!BM9)&lt;'04_CODEBOOK_CONTROL'!$B$16,1,IF(ABS('07_CONTINUOUS_CODEBOOK'!BM9)&lt;'04_CODEBOOK_CONTROL'!$B$17,2,3)))</f>
        <v/>
      </c>
      <c r="BN9" s="7">
        <f>IF(ABS('07_CONTINUOUS_CODEBOOK'!BN9)&lt;'04_CODEBOOK_CONTROL'!$B$15,0,SIGN('07_CONTINUOUS_CODEBOOK'!BN9)*IF(ABS('07_CONTINUOUS_CODEBOOK'!BN9)&lt;'04_CODEBOOK_CONTROL'!$B$16,1,IF(ABS('07_CONTINUOUS_CODEBOOK'!BN9)&lt;'04_CODEBOOK_CONTROL'!$B$17,2,3)))</f>
        <v/>
      </c>
      <c r="BO9" s="7">
        <f>IF(ABS('07_CONTINUOUS_CODEBOOK'!BO9)&lt;'04_CODEBOOK_CONTROL'!$B$15,0,SIGN('07_CONTINUOUS_CODEBOOK'!BO9)*IF(ABS('07_CONTINUOUS_CODEBOOK'!BO9)&lt;'04_CODEBOOK_CONTROL'!$B$16,1,IF(ABS('07_CONTINUOUS_CODEBOOK'!BO9)&lt;'04_CODEBOOK_CONTROL'!$B$17,2,3)))</f>
        <v/>
      </c>
      <c r="BP9" s="7">
        <f>IF(ABS('07_CONTINUOUS_CODEBOOK'!BP9)&lt;'04_CODEBOOK_CONTROL'!$B$15,0,SIGN('07_CONTINUOUS_CODEBOOK'!BP9)*IF(ABS('07_CONTINUOUS_CODEBOOK'!BP9)&lt;'04_CODEBOOK_CONTROL'!$B$16,1,IF(ABS('07_CONTINUOUS_CODEBOOK'!BP9)&lt;'04_CODEBOOK_CONTROL'!$B$17,2,3)))</f>
        <v/>
      </c>
      <c r="BQ9" s="7">
        <f>IF(ABS('07_CONTINUOUS_CODEBOOK'!BQ9)&lt;'04_CODEBOOK_CONTROL'!$B$15,0,SIGN('07_CONTINUOUS_CODEBOOK'!BQ9)*IF(ABS('07_CONTINUOUS_CODEBOOK'!BQ9)&lt;'04_CODEBOOK_CONTROL'!$B$16,1,IF(ABS('07_CONTINUOUS_CODEBOOK'!BQ9)&lt;'04_CODEBOOK_CONTROL'!$B$17,2,3)))</f>
        <v/>
      </c>
      <c r="BR9" s="7">
        <f>IF(ABS('07_CONTINUOUS_CODEBOOK'!BR9)&lt;'04_CODEBOOK_CONTROL'!$B$15,0,SIGN('07_CONTINUOUS_CODEBOOK'!BR9)*IF(ABS('07_CONTINUOUS_CODEBOOK'!BR9)&lt;'04_CODEBOOK_CONTROL'!$B$16,1,IF(ABS('07_CONTINUOUS_CODEBOOK'!BR9)&lt;'04_CODEBOOK_CONTROL'!$B$17,2,3)))</f>
        <v/>
      </c>
      <c r="BS9" s="7">
        <f>IF(ABS('07_CONTINUOUS_CODEBOOK'!BS9)&lt;'04_CODEBOOK_CONTROL'!$B$15,0,SIGN('07_CONTINUOUS_CODEBOOK'!BS9)*IF(ABS('07_CONTINUOUS_CODEBOOK'!BS9)&lt;'04_CODEBOOK_CONTROL'!$B$16,1,IF(ABS('07_CONTINUOUS_CODEBOOK'!BS9)&lt;'04_CODEBOOK_CONTROL'!$B$17,2,3)))</f>
        <v/>
      </c>
      <c r="BT9" s="7">
        <f>IF(ABS('07_CONTINUOUS_CODEBOOK'!BT9)&lt;'04_CODEBOOK_CONTROL'!$B$15,0,SIGN('07_CONTINUOUS_CODEBOOK'!BT9)*IF(ABS('07_CONTINUOUS_CODEBOOK'!BT9)&lt;'04_CODEBOOK_CONTROL'!$B$16,1,IF(ABS('07_CONTINUOUS_CODEBOOK'!BT9)&lt;'04_CODEBOOK_CONTROL'!$B$17,2,3)))</f>
        <v/>
      </c>
      <c r="BU9" s="7">
        <f>IF(ABS('07_CONTINUOUS_CODEBOOK'!BU9)&lt;'04_CODEBOOK_CONTROL'!$B$15,0,SIGN('07_CONTINUOUS_CODEBOOK'!BU9)*IF(ABS('07_CONTINUOUS_CODEBOOK'!BU9)&lt;'04_CODEBOOK_CONTROL'!$B$16,1,IF(ABS('07_CONTINUOUS_CODEBOOK'!BU9)&lt;'04_CODEBOOK_CONTROL'!$B$17,2,3)))</f>
        <v/>
      </c>
      <c r="BV9" s="7">
        <f>IF(ABS('07_CONTINUOUS_CODEBOOK'!BV9)&lt;'04_CODEBOOK_CONTROL'!$B$15,0,SIGN('07_CONTINUOUS_CODEBOOK'!BV9)*IF(ABS('07_CONTINUOUS_CODEBOOK'!BV9)&lt;'04_CODEBOOK_CONTROL'!$B$16,1,IF(ABS('07_CONTINUOUS_CODEBOOK'!BV9)&lt;'04_CODEBOOK_CONTROL'!$B$17,2,3)))</f>
        <v/>
      </c>
      <c r="BW9" s="7">
        <f>IF(ABS('07_CONTINUOUS_CODEBOOK'!BW9)&lt;'04_CODEBOOK_CONTROL'!$B$15,0,SIGN('07_CONTINUOUS_CODEBOOK'!BW9)*IF(ABS('07_CONTINUOUS_CODEBOOK'!BW9)&lt;'04_CODEBOOK_CONTROL'!$B$16,1,IF(ABS('07_CONTINUOUS_CODEBOOK'!BW9)&lt;'04_CODEBOOK_CONTROL'!$B$17,2,3)))</f>
        <v/>
      </c>
      <c r="BX9" s="7">
        <f>IF(ABS('07_CONTINUOUS_CODEBOOK'!BX9)&lt;'04_CODEBOOK_CONTROL'!$B$15,0,SIGN('07_CONTINUOUS_CODEBOOK'!BX9)*IF(ABS('07_CONTINUOUS_CODEBOOK'!BX9)&lt;'04_CODEBOOK_CONTROL'!$B$16,1,IF(ABS('07_CONTINUOUS_CODEBOOK'!BX9)&lt;'04_CODEBOOK_CONTROL'!$B$17,2,3)))</f>
        <v/>
      </c>
      <c r="BY9" s="7">
        <f>IF(ABS('07_CONTINUOUS_CODEBOOK'!BY9)&lt;'04_CODEBOOK_CONTROL'!$B$15,0,SIGN('07_CONTINUOUS_CODEBOOK'!BY9)*IF(ABS('07_CONTINUOUS_CODEBOOK'!BY9)&lt;'04_CODEBOOK_CONTROL'!$B$16,1,IF(ABS('07_CONTINUOUS_CODEBOOK'!BY9)&lt;'04_CODEBOOK_CONTROL'!$B$17,2,3)))</f>
        <v/>
      </c>
      <c r="BZ9" s="7">
        <f>IF(ABS('07_CONTINUOUS_CODEBOOK'!BZ9)&lt;'04_CODEBOOK_CONTROL'!$B$15,0,SIGN('07_CONTINUOUS_CODEBOOK'!BZ9)*IF(ABS('07_CONTINUOUS_CODEBOOK'!BZ9)&lt;'04_CODEBOOK_CONTROL'!$B$16,1,IF(ABS('07_CONTINUOUS_CODEBOOK'!BZ9)&lt;'04_CODEBOOK_CONTROL'!$B$17,2,3)))</f>
        <v/>
      </c>
      <c r="CA9" s="7">
        <f>IF(ABS('07_CONTINUOUS_CODEBOOK'!CA9)&lt;'04_CODEBOOK_CONTROL'!$B$15,0,SIGN('07_CONTINUOUS_CODEBOOK'!CA9)*IF(ABS('07_CONTINUOUS_CODEBOOK'!CA9)&lt;'04_CODEBOOK_CONTROL'!$B$16,1,IF(ABS('07_CONTINUOUS_CODEBOOK'!CA9)&lt;'04_CODEBOOK_CONTROL'!$B$17,2,3)))</f>
        <v/>
      </c>
      <c r="CB9" s="7">
        <f>IF(ABS('07_CONTINUOUS_CODEBOOK'!CB9)&lt;'04_CODEBOOK_CONTROL'!$B$15,0,SIGN('07_CONTINUOUS_CODEBOOK'!CB9)*IF(ABS('07_CONTINUOUS_CODEBOOK'!CB9)&lt;'04_CODEBOOK_CONTROL'!$B$16,1,IF(ABS('07_CONTINUOUS_CODEBOOK'!CB9)&lt;'04_CODEBOOK_CONTROL'!$B$17,2,3)))</f>
        <v/>
      </c>
      <c r="CC9" s="7">
        <f>IF(ABS('07_CONTINUOUS_CODEBOOK'!CC9)&lt;'04_CODEBOOK_CONTROL'!$B$15,0,SIGN('07_CONTINUOUS_CODEBOOK'!CC9)*IF(ABS('07_CONTINUOUS_CODEBOOK'!CC9)&lt;'04_CODEBOOK_CONTROL'!$B$16,1,IF(ABS('07_CONTINUOUS_CODEBOOK'!CC9)&lt;'04_CODEBOOK_CONTROL'!$B$17,2,3)))</f>
        <v/>
      </c>
      <c r="CD9" s="7">
        <f>IF(ABS('07_CONTINUOUS_CODEBOOK'!CD9)&lt;'04_CODEBOOK_CONTROL'!$B$15,0,SIGN('07_CONTINUOUS_CODEBOOK'!CD9)*IF(ABS('07_CONTINUOUS_CODEBOOK'!CD9)&lt;'04_CODEBOOK_CONTROL'!$B$16,1,IF(ABS('07_CONTINUOUS_CODEBOOK'!CD9)&lt;'04_CODEBOOK_CONTROL'!$B$17,2,3)))</f>
        <v/>
      </c>
      <c r="CE9" s="7">
        <f>IF(ABS('07_CONTINUOUS_CODEBOOK'!CE9)&lt;'04_CODEBOOK_CONTROL'!$B$15,0,SIGN('07_CONTINUOUS_CODEBOOK'!CE9)*IF(ABS('07_CONTINUOUS_CODEBOOK'!CE9)&lt;'04_CODEBOOK_CONTROL'!$B$16,1,IF(ABS('07_CONTINUOUS_CODEBOOK'!CE9)&lt;'04_CODEBOOK_CONTROL'!$B$17,2,3)))</f>
        <v/>
      </c>
    </row>
    <row r="10">
      <c r="A10" t="n">
        <v>6</v>
      </c>
      <c r="B10" t="inlineStr">
        <is>
          <t>獵戶座人</t>
        </is>
      </c>
      <c r="C10" t="inlineStr">
        <is>
          <t>Orion</t>
        </is>
      </c>
      <c r="D10" s="7">
        <f>IF(ABS('07_CONTINUOUS_CODEBOOK'!D10)&lt;'04_CODEBOOK_CONTROL'!$B$15,0,SIGN('07_CONTINUOUS_CODEBOOK'!D10)*IF(ABS('07_CONTINUOUS_CODEBOOK'!D10)&lt;'04_CODEBOOK_CONTROL'!$B$16,1,IF(ABS('07_CONTINUOUS_CODEBOOK'!D10)&lt;'04_CODEBOOK_CONTROL'!$B$17,2,3)))</f>
        <v/>
      </c>
      <c r="E10" s="7">
        <f>IF(ABS('07_CONTINUOUS_CODEBOOK'!E10)&lt;'04_CODEBOOK_CONTROL'!$B$15,0,SIGN('07_CONTINUOUS_CODEBOOK'!E10)*IF(ABS('07_CONTINUOUS_CODEBOOK'!E10)&lt;'04_CODEBOOK_CONTROL'!$B$16,1,IF(ABS('07_CONTINUOUS_CODEBOOK'!E10)&lt;'04_CODEBOOK_CONTROL'!$B$17,2,3)))</f>
        <v/>
      </c>
      <c r="F10" s="7">
        <f>IF(ABS('07_CONTINUOUS_CODEBOOK'!F10)&lt;'04_CODEBOOK_CONTROL'!$B$15,0,SIGN('07_CONTINUOUS_CODEBOOK'!F10)*IF(ABS('07_CONTINUOUS_CODEBOOK'!F10)&lt;'04_CODEBOOK_CONTROL'!$B$16,1,IF(ABS('07_CONTINUOUS_CODEBOOK'!F10)&lt;'04_CODEBOOK_CONTROL'!$B$17,2,3)))</f>
        <v/>
      </c>
      <c r="G10" s="7">
        <f>IF(ABS('07_CONTINUOUS_CODEBOOK'!G10)&lt;'04_CODEBOOK_CONTROL'!$B$15,0,SIGN('07_CONTINUOUS_CODEBOOK'!G10)*IF(ABS('07_CONTINUOUS_CODEBOOK'!G10)&lt;'04_CODEBOOK_CONTROL'!$B$16,1,IF(ABS('07_CONTINUOUS_CODEBOOK'!G10)&lt;'04_CODEBOOK_CONTROL'!$B$17,2,3)))</f>
        <v/>
      </c>
      <c r="H10" s="7">
        <f>IF(ABS('07_CONTINUOUS_CODEBOOK'!H10)&lt;'04_CODEBOOK_CONTROL'!$B$15,0,SIGN('07_CONTINUOUS_CODEBOOK'!H10)*IF(ABS('07_CONTINUOUS_CODEBOOK'!H10)&lt;'04_CODEBOOK_CONTROL'!$B$16,1,IF(ABS('07_CONTINUOUS_CODEBOOK'!H10)&lt;'04_CODEBOOK_CONTROL'!$B$17,2,3)))</f>
        <v/>
      </c>
      <c r="I10" s="7">
        <f>IF(ABS('07_CONTINUOUS_CODEBOOK'!I10)&lt;'04_CODEBOOK_CONTROL'!$B$15,0,SIGN('07_CONTINUOUS_CODEBOOK'!I10)*IF(ABS('07_CONTINUOUS_CODEBOOK'!I10)&lt;'04_CODEBOOK_CONTROL'!$B$16,1,IF(ABS('07_CONTINUOUS_CODEBOOK'!I10)&lt;'04_CODEBOOK_CONTROL'!$B$17,2,3)))</f>
        <v/>
      </c>
      <c r="J10" s="7">
        <f>IF(ABS('07_CONTINUOUS_CODEBOOK'!J10)&lt;'04_CODEBOOK_CONTROL'!$B$15,0,SIGN('07_CONTINUOUS_CODEBOOK'!J10)*IF(ABS('07_CONTINUOUS_CODEBOOK'!J10)&lt;'04_CODEBOOK_CONTROL'!$B$16,1,IF(ABS('07_CONTINUOUS_CODEBOOK'!J10)&lt;'04_CODEBOOK_CONTROL'!$B$17,2,3)))</f>
        <v/>
      </c>
      <c r="K10" s="7">
        <f>IF(ABS('07_CONTINUOUS_CODEBOOK'!K10)&lt;'04_CODEBOOK_CONTROL'!$B$15,0,SIGN('07_CONTINUOUS_CODEBOOK'!K10)*IF(ABS('07_CONTINUOUS_CODEBOOK'!K10)&lt;'04_CODEBOOK_CONTROL'!$B$16,1,IF(ABS('07_CONTINUOUS_CODEBOOK'!K10)&lt;'04_CODEBOOK_CONTROL'!$B$17,2,3)))</f>
        <v/>
      </c>
      <c r="L10" s="7">
        <f>IF(ABS('07_CONTINUOUS_CODEBOOK'!L10)&lt;'04_CODEBOOK_CONTROL'!$B$15,0,SIGN('07_CONTINUOUS_CODEBOOK'!L10)*IF(ABS('07_CONTINUOUS_CODEBOOK'!L10)&lt;'04_CODEBOOK_CONTROL'!$B$16,1,IF(ABS('07_CONTINUOUS_CODEBOOK'!L10)&lt;'04_CODEBOOK_CONTROL'!$B$17,2,3)))</f>
        <v/>
      </c>
      <c r="M10" s="7">
        <f>IF(ABS('07_CONTINUOUS_CODEBOOK'!M10)&lt;'04_CODEBOOK_CONTROL'!$B$15,0,SIGN('07_CONTINUOUS_CODEBOOK'!M10)*IF(ABS('07_CONTINUOUS_CODEBOOK'!M10)&lt;'04_CODEBOOK_CONTROL'!$B$16,1,IF(ABS('07_CONTINUOUS_CODEBOOK'!M10)&lt;'04_CODEBOOK_CONTROL'!$B$17,2,3)))</f>
        <v/>
      </c>
      <c r="N10" s="7">
        <f>IF(ABS('07_CONTINUOUS_CODEBOOK'!N10)&lt;'04_CODEBOOK_CONTROL'!$B$15,0,SIGN('07_CONTINUOUS_CODEBOOK'!N10)*IF(ABS('07_CONTINUOUS_CODEBOOK'!N10)&lt;'04_CODEBOOK_CONTROL'!$B$16,1,IF(ABS('07_CONTINUOUS_CODEBOOK'!N10)&lt;'04_CODEBOOK_CONTROL'!$B$17,2,3)))</f>
        <v/>
      </c>
      <c r="O10" s="7">
        <f>IF(ABS('07_CONTINUOUS_CODEBOOK'!O10)&lt;'04_CODEBOOK_CONTROL'!$B$15,0,SIGN('07_CONTINUOUS_CODEBOOK'!O10)*IF(ABS('07_CONTINUOUS_CODEBOOK'!O10)&lt;'04_CODEBOOK_CONTROL'!$B$16,1,IF(ABS('07_CONTINUOUS_CODEBOOK'!O10)&lt;'04_CODEBOOK_CONTROL'!$B$17,2,3)))</f>
        <v/>
      </c>
      <c r="P10" s="7">
        <f>IF(ABS('07_CONTINUOUS_CODEBOOK'!P10)&lt;'04_CODEBOOK_CONTROL'!$B$15,0,SIGN('07_CONTINUOUS_CODEBOOK'!P10)*IF(ABS('07_CONTINUOUS_CODEBOOK'!P10)&lt;'04_CODEBOOK_CONTROL'!$B$16,1,IF(ABS('07_CONTINUOUS_CODEBOOK'!P10)&lt;'04_CODEBOOK_CONTROL'!$B$17,2,3)))</f>
        <v/>
      </c>
      <c r="Q10" s="7">
        <f>IF(ABS('07_CONTINUOUS_CODEBOOK'!Q10)&lt;'04_CODEBOOK_CONTROL'!$B$15,0,SIGN('07_CONTINUOUS_CODEBOOK'!Q10)*IF(ABS('07_CONTINUOUS_CODEBOOK'!Q10)&lt;'04_CODEBOOK_CONTROL'!$B$16,1,IF(ABS('07_CONTINUOUS_CODEBOOK'!Q10)&lt;'04_CODEBOOK_CONTROL'!$B$17,2,3)))</f>
        <v/>
      </c>
      <c r="R10" s="7">
        <f>IF(ABS('07_CONTINUOUS_CODEBOOK'!R10)&lt;'04_CODEBOOK_CONTROL'!$B$15,0,SIGN('07_CONTINUOUS_CODEBOOK'!R10)*IF(ABS('07_CONTINUOUS_CODEBOOK'!R10)&lt;'04_CODEBOOK_CONTROL'!$B$16,1,IF(ABS('07_CONTINUOUS_CODEBOOK'!R10)&lt;'04_CODEBOOK_CONTROL'!$B$17,2,3)))</f>
        <v/>
      </c>
      <c r="S10" s="7">
        <f>IF(ABS('07_CONTINUOUS_CODEBOOK'!S10)&lt;'04_CODEBOOK_CONTROL'!$B$15,0,SIGN('07_CONTINUOUS_CODEBOOK'!S10)*IF(ABS('07_CONTINUOUS_CODEBOOK'!S10)&lt;'04_CODEBOOK_CONTROL'!$B$16,1,IF(ABS('07_CONTINUOUS_CODEBOOK'!S10)&lt;'04_CODEBOOK_CONTROL'!$B$17,2,3)))</f>
        <v/>
      </c>
      <c r="T10" s="7">
        <f>IF(ABS('07_CONTINUOUS_CODEBOOK'!T10)&lt;'04_CODEBOOK_CONTROL'!$B$15,0,SIGN('07_CONTINUOUS_CODEBOOK'!T10)*IF(ABS('07_CONTINUOUS_CODEBOOK'!T10)&lt;'04_CODEBOOK_CONTROL'!$B$16,1,IF(ABS('07_CONTINUOUS_CODEBOOK'!T10)&lt;'04_CODEBOOK_CONTROL'!$B$17,2,3)))</f>
        <v/>
      </c>
      <c r="U10" s="7">
        <f>IF(ABS('07_CONTINUOUS_CODEBOOK'!U10)&lt;'04_CODEBOOK_CONTROL'!$B$15,0,SIGN('07_CONTINUOUS_CODEBOOK'!U10)*IF(ABS('07_CONTINUOUS_CODEBOOK'!U10)&lt;'04_CODEBOOK_CONTROL'!$B$16,1,IF(ABS('07_CONTINUOUS_CODEBOOK'!U10)&lt;'04_CODEBOOK_CONTROL'!$B$17,2,3)))</f>
        <v/>
      </c>
      <c r="V10" s="7">
        <f>IF(ABS('07_CONTINUOUS_CODEBOOK'!V10)&lt;'04_CODEBOOK_CONTROL'!$B$15,0,SIGN('07_CONTINUOUS_CODEBOOK'!V10)*IF(ABS('07_CONTINUOUS_CODEBOOK'!V10)&lt;'04_CODEBOOK_CONTROL'!$B$16,1,IF(ABS('07_CONTINUOUS_CODEBOOK'!V10)&lt;'04_CODEBOOK_CONTROL'!$B$17,2,3)))</f>
        <v/>
      </c>
      <c r="W10" s="7">
        <f>IF(ABS('07_CONTINUOUS_CODEBOOK'!W10)&lt;'04_CODEBOOK_CONTROL'!$B$15,0,SIGN('07_CONTINUOUS_CODEBOOK'!W10)*IF(ABS('07_CONTINUOUS_CODEBOOK'!W10)&lt;'04_CODEBOOK_CONTROL'!$B$16,1,IF(ABS('07_CONTINUOUS_CODEBOOK'!W10)&lt;'04_CODEBOOK_CONTROL'!$B$17,2,3)))</f>
        <v/>
      </c>
      <c r="X10" s="7">
        <f>IF(ABS('07_CONTINUOUS_CODEBOOK'!X10)&lt;'04_CODEBOOK_CONTROL'!$B$15,0,SIGN('07_CONTINUOUS_CODEBOOK'!X10)*IF(ABS('07_CONTINUOUS_CODEBOOK'!X10)&lt;'04_CODEBOOK_CONTROL'!$B$16,1,IF(ABS('07_CONTINUOUS_CODEBOOK'!X10)&lt;'04_CODEBOOK_CONTROL'!$B$17,2,3)))</f>
        <v/>
      </c>
      <c r="Y10" s="7">
        <f>IF(ABS('07_CONTINUOUS_CODEBOOK'!Y10)&lt;'04_CODEBOOK_CONTROL'!$B$15,0,SIGN('07_CONTINUOUS_CODEBOOK'!Y10)*IF(ABS('07_CONTINUOUS_CODEBOOK'!Y10)&lt;'04_CODEBOOK_CONTROL'!$B$16,1,IF(ABS('07_CONTINUOUS_CODEBOOK'!Y10)&lt;'04_CODEBOOK_CONTROL'!$B$17,2,3)))</f>
        <v/>
      </c>
      <c r="Z10" s="7">
        <f>IF(ABS('07_CONTINUOUS_CODEBOOK'!Z10)&lt;'04_CODEBOOK_CONTROL'!$B$15,0,SIGN('07_CONTINUOUS_CODEBOOK'!Z10)*IF(ABS('07_CONTINUOUS_CODEBOOK'!Z10)&lt;'04_CODEBOOK_CONTROL'!$B$16,1,IF(ABS('07_CONTINUOUS_CODEBOOK'!Z10)&lt;'04_CODEBOOK_CONTROL'!$B$17,2,3)))</f>
        <v/>
      </c>
      <c r="AA10" s="7">
        <f>IF(ABS('07_CONTINUOUS_CODEBOOK'!AA10)&lt;'04_CODEBOOK_CONTROL'!$B$15,0,SIGN('07_CONTINUOUS_CODEBOOK'!AA10)*IF(ABS('07_CONTINUOUS_CODEBOOK'!AA10)&lt;'04_CODEBOOK_CONTROL'!$B$16,1,IF(ABS('07_CONTINUOUS_CODEBOOK'!AA10)&lt;'04_CODEBOOK_CONTROL'!$B$17,2,3)))</f>
        <v/>
      </c>
      <c r="AB10" s="7">
        <f>IF(ABS('07_CONTINUOUS_CODEBOOK'!AB10)&lt;'04_CODEBOOK_CONTROL'!$B$15,0,SIGN('07_CONTINUOUS_CODEBOOK'!AB10)*IF(ABS('07_CONTINUOUS_CODEBOOK'!AB10)&lt;'04_CODEBOOK_CONTROL'!$B$16,1,IF(ABS('07_CONTINUOUS_CODEBOOK'!AB10)&lt;'04_CODEBOOK_CONTROL'!$B$17,2,3)))</f>
        <v/>
      </c>
      <c r="AC10" s="7">
        <f>IF(ABS('07_CONTINUOUS_CODEBOOK'!AC10)&lt;'04_CODEBOOK_CONTROL'!$B$15,0,SIGN('07_CONTINUOUS_CODEBOOK'!AC10)*IF(ABS('07_CONTINUOUS_CODEBOOK'!AC10)&lt;'04_CODEBOOK_CONTROL'!$B$16,1,IF(ABS('07_CONTINUOUS_CODEBOOK'!AC10)&lt;'04_CODEBOOK_CONTROL'!$B$17,2,3)))</f>
        <v/>
      </c>
      <c r="AD10" s="7">
        <f>IF(ABS('07_CONTINUOUS_CODEBOOK'!AD10)&lt;'04_CODEBOOK_CONTROL'!$B$15,0,SIGN('07_CONTINUOUS_CODEBOOK'!AD10)*IF(ABS('07_CONTINUOUS_CODEBOOK'!AD10)&lt;'04_CODEBOOK_CONTROL'!$B$16,1,IF(ABS('07_CONTINUOUS_CODEBOOK'!AD10)&lt;'04_CODEBOOK_CONTROL'!$B$17,2,3)))</f>
        <v/>
      </c>
      <c r="AE10" s="7">
        <f>IF(ABS('07_CONTINUOUS_CODEBOOK'!AE10)&lt;'04_CODEBOOK_CONTROL'!$B$15,0,SIGN('07_CONTINUOUS_CODEBOOK'!AE10)*IF(ABS('07_CONTINUOUS_CODEBOOK'!AE10)&lt;'04_CODEBOOK_CONTROL'!$B$16,1,IF(ABS('07_CONTINUOUS_CODEBOOK'!AE10)&lt;'04_CODEBOOK_CONTROL'!$B$17,2,3)))</f>
        <v/>
      </c>
      <c r="AF10" s="7">
        <f>IF(ABS('07_CONTINUOUS_CODEBOOK'!AF10)&lt;'04_CODEBOOK_CONTROL'!$B$15,0,SIGN('07_CONTINUOUS_CODEBOOK'!AF10)*IF(ABS('07_CONTINUOUS_CODEBOOK'!AF10)&lt;'04_CODEBOOK_CONTROL'!$B$16,1,IF(ABS('07_CONTINUOUS_CODEBOOK'!AF10)&lt;'04_CODEBOOK_CONTROL'!$B$17,2,3)))</f>
        <v/>
      </c>
      <c r="AG10" s="7">
        <f>IF(ABS('07_CONTINUOUS_CODEBOOK'!AG10)&lt;'04_CODEBOOK_CONTROL'!$B$15,0,SIGN('07_CONTINUOUS_CODEBOOK'!AG10)*IF(ABS('07_CONTINUOUS_CODEBOOK'!AG10)&lt;'04_CODEBOOK_CONTROL'!$B$16,1,IF(ABS('07_CONTINUOUS_CODEBOOK'!AG10)&lt;'04_CODEBOOK_CONTROL'!$B$17,2,3)))</f>
        <v/>
      </c>
      <c r="AH10" s="7">
        <f>IF(ABS('07_CONTINUOUS_CODEBOOK'!AH10)&lt;'04_CODEBOOK_CONTROL'!$B$15,0,SIGN('07_CONTINUOUS_CODEBOOK'!AH10)*IF(ABS('07_CONTINUOUS_CODEBOOK'!AH10)&lt;'04_CODEBOOK_CONTROL'!$B$16,1,IF(ABS('07_CONTINUOUS_CODEBOOK'!AH10)&lt;'04_CODEBOOK_CONTROL'!$B$17,2,3)))</f>
        <v/>
      </c>
      <c r="AI10" s="7">
        <f>IF(ABS('07_CONTINUOUS_CODEBOOK'!AI10)&lt;'04_CODEBOOK_CONTROL'!$B$15,0,SIGN('07_CONTINUOUS_CODEBOOK'!AI10)*IF(ABS('07_CONTINUOUS_CODEBOOK'!AI10)&lt;'04_CODEBOOK_CONTROL'!$B$16,1,IF(ABS('07_CONTINUOUS_CODEBOOK'!AI10)&lt;'04_CODEBOOK_CONTROL'!$B$17,2,3)))</f>
        <v/>
      </c>
      <c r="AJ10" s="7">
        <f>IF(ABS('07_CONTINUOUS_CODEBOOK'!AJ10)&lt;'04_CODEBOOK_CONTROL'!$B$15,0,SIGN('07_CONTINUOUS_CODEBOOK'!AJ10)*IF(ABS('07_CONTINUOUS_CODEBOOK'!AJ10)&lt;'04_CODEBOOK_CONTROL'!$B$16,1,IF(ABS('07_CONTINUOUS_CODEBOOK'!AJ10)&lt;'04_CODEBOOK_CONTROL'!$B$17,2,3)))</f>
        <v/>
      </c>
      <c r="AK10" s="7">
        <f>IF(ABS('07_CONTINUOUS_CODEBOOK'!AK10)&lt;'04_CODEBOOK_CONTROL'!$B$15,0,SIGN('07_CONTINUOUS_CODEBOOK'!AK10)*IF(ABS('07_CONTINUOUS_CODEBOOK'!AK10)&lt;'04_CODEBOOK_CONTROL'!$B$16,1,IF(ABS('07_CONTINUOUS_CODEBOOK'!AK10)&lt;'04_CODEBOOK_CONTROL'!$B$17,2,3)))</f>
        <v/>
      </c>
      <c r="AL10" s="7">
        <f>IF(ABS('07_CONTINUOUS_CODEBOOK'!AL10)&lt;'04_CODEBOOK_CONTROL'!$B$15,0,SIGN('07_CONTINUOUS_CODEBOOK'!AL10)*IF(ABS('07_CONTINUOUS_CODEBOOK'!AL10)&lt;'04_CODEBOOK_CONTROL'!$B$16,1,IF(ABS('07_CONTINUOUS_CODEBOOK'!AL10)&lt;'04_CODEBOOK_CONTROL'!$B$17,2,3)))</f>
        <v/>
      </c>
      <c r="AM10" s="7">
        <f>IF(ABS('07_CONTINUOUS_CODEBOOK'!AM10)&lt;'04_CODEBOOK_CONTROL'!$B$15,0,SIGN('07_CONTINUOUS_CODEBOOK'!AM10)*IF(ABS('07_CONTINUOUS_CODEBOOK'!AM10)&lt;'04_CODEBOOK_CONTROL'!$B$16,1,IF(ABS('07_CONTINUOUS_CODEBOOK'!AM10)&lt;'04_CODEBOOK_CONTROL'!$B$17,2,3)))</f>
        <v/>
      </c>
      <c r="AN10" s="7">
        <f>IF(ABS('07_CONTINUOUS_CODEBOOK'!AN10)&lt;'04_CODEBOOK_CONTROL'!$B$15,0,SIGN('07_CONTINUOUS_CODEBOOK'!AN10)*IF(ABS('07_CONTINUOUS_CODEBOOK'!AN10)&lt;'04_CODEBOOK_CONTROL'!$B$16,1,IF(ABS('07_CONTINUOUS_CODEBOOK'!AN10)&lt;'04_CODEBOOK_CONTROL'!$B$17,2,3)))</f>
        <v/>
      </c>
      <c r="AO10" s="7">
        <f>IF(ABS('07_CONTINUOUS_CODEBOOK'!AO10)&lt;'04_CODEBOOK_CONTROL'!$B$15,0,SIGN('07_CONTINUOUS_CODEBOOK'!AO10)*IF(ABS('07_CONTINUOUS_CODEBOOK'!AO10)&lt;'04_CODEBOOK_CONTROL'!$B$16,1,IF(ABS('07_CONTINUOUS_CODEBOOK'!AO10)&lt;'04_CODEBOOK_CONTROL'!$B$17,2,3)))</f>
        <v/>
      </c>
      <c r="AP10" s="7">
        <f>IF(ABS('07_CONTINUOUS_CODEBOOK'!AP10)&lt;'04_CODEBOOK_CONTROL'!$B$15,0,SIGN('07_CONTINUOUS_CODEBOOK'!AP10)*IF(ABS('07_CONTINUOUS_CODEBOOK'!AP10)&lt;'04_CODEBOOK_CONTROL'!$B$16,1,IF(ABS('07_CONTINUOUS_CODEBOOK'!AP10)&lt;'04_CODEBOOK_CONTROL'!$B$17,2,3)))</f>
        <v/>
      </c>
      <c r="AQ10" s="7">
        <f>IF(ABS('07_CONTINUOUS_CODEBOOK'!AQ10)&lt;'04_CODEBOOK_CONTROL'!$B$15,0,SIGN('07_CONTINUOUS_CODEBOOK'!AQ10)*IF(ABS('07_CONTINUOUS_CODEBOOK'!AQ10)&lt;'04_CODEBOOK_CONTROL'!$B$16,1,IF(ABS('07_CONTINUOUS_CODEBOOK'!AQ10)&lt;'04_CODEBOOK_CONTROL'!$B$17,2,3)))</f>
        <v/>
      </c>
      <c r="AR10" s="7">
        <f>IF(ABS('07_CONTINUOUS_CODEBOOK'!AR10)&lt;'04_CODEBOOK_CONTROL'!$B$15,0,SIGN('07_CONTINUOUS_CODEBOOK'!AR10)*IF(ABS('07_CONTINUOUS_CODEBOOK'!AR10)&lt;'04_CODEBOOK_CONTROL'!$B$16,1,IF(ABS('07_CONTINUOUS_CODEBOOK'!AR10)&lt;'04_CODEBOOK_CONTROL'!$B$17,2,3)))</f>
        <v/>
      </c>
      <c r="AS10" s="7">
        <f>IF(ABS('07_CONTINUOUS_CODEBOOK'!AS10)&lt;'04_CODEBOOK_CONTROL'!$B$15,0,SIGN('07_CONTINUOUS_CODEBOOK'!AS10)*IF(ABS('07_CONTINUOUS_CODEBOOK'!AS10)&lt;'04_CODEBOOK_CONTROL'!$B$16,1,IF(ABS('07_CONTINUOUS_CODEBOOK'!AS10)&lt;'04_CODEBOOK_CONTROL'!$B$17,2,3)))</f>
        <v/>
      </c>
      <c r="AT10" s="7">
        <f>IF(ABS('07_CONTINUOUS_CODEBOOK'!AT10)&lt;'04_CODEBOOK_CONTROL'!$B$15,0,SIGN('07_CONTINUOUS_CODEBOOK'!AT10)*IF(ABS('07_CONTINUOUS_CODEBOOK'!AT10)&lt;'04_CODEBOOK_CONTROL'!$B$16,1,IF(ABS('07_CONTINUOUS_CODEBOOK'!AT10)&lt;'04_CODEBOOK_CONTROL'!$B$17,2,3)))</f>
        <v/>
      </c>
      <c r="AU10" s="7">
        <f>IF(ABS('07_CONTINUOUS_CODEBOOK'!AU10)&lt;'04_CODEBOOK_CONTROL'!$B$15,0,SIGN('07_CONTINUOUS_CODEBOOK'!AU10)*IF(ABS('07_CONTINUOUS_CODEBOOK'!AU10)&lt;'04_CODEBOOK_CONTROL'!$B$16,1,IF(ABS('07_CONTINUOUS_CODEBOOK'!AU10)&lt;'04_CODEBOOK_CONTROL'!$B$17,2,3)))</f>
        <v/>
      </c>
      <c r="AV10" s="7">
        <f>IF(ABS('07_CONTINUOUS_CODEBOOK'!AV10)&lt;'04_CODEBOOK_CONTROL'!$B$15,0,SIGN('07_CONTINUOUS_CODEBOOK'!AV10)*IF(ABS('07_CONTINUOUS_CODEBOOK'!AV10)&lt;'04_CODEBOOK_CONTROL'!$B$16,1,IF(ABS('07_CONTINUOUS_CODEBOOK'!AV10)&lt;'04_CODEBOOK_CONTROL'!$B$17,2,3)))</f>
        <v/>
      </c>
      <c r="AW10" s="7">
        <f>IF(ABS('07_CONTINUOUS_CODEBOOK'!AW10)&lt;'04_CODEBOOK_CONTROL'!$B$15,0,SIGN('07_CONTINUOUS_CODEBOOK'!AW10)*IF(ABS('07_CONTINUOUS_CODEBOOK'!AW10)&lt;'04_CODEBOOK_CONTROL'!$B$16,1,IF(ABS('07_CONTINUOUS_CODEBOOK'!AW10)&lt;'04_CODEBOOK_CONTROL'!$B$17,2,3)))</f>
        <v/>
      </c>
      <c r="AX10" s="7">
        <f>IF(ABS('07_CONTINUOUS_CODEBOOK'!AX10)&lt;'04_CODEBOOK_CONTROL'!$B$15,0,SIGN('07_CONTINUOUS_CODEBOOK'!AX10)*IF(ABS('07_CONTINUOUS_CODEBOOK'!AX10)&lt;'04_CODEBOOK_CONTROL'!$B$16,1,IF(ABS('07_CONTINUOUS_CODEBOOK'!AX10)&lt;'04_CODEBOOK_CONTROL'!$B$17,2,3)))</f>
        <v/>
      </c>
      <c r="AY10" s="7">
        <f>IF(ABS('07_CONTINUOUS_CODEBOOK'!AY10)&lt;'04_CODEBOOK_CONTROL'!$B$15,0,SIGN('07_CONTINUOUS_CODEBOOK'!AY10)*IF(ABS('07_CONTINUOUS_CODEBOOK'!AY10)&lt;'04_CODEBOOK_CONTROL'!$B$16,1,IF(ABS('07_CONTINUOUS_CODEBOOK'!AY10)&lt;'04_CODEBOOK_CONTROL'!$B$17,2,3)))</f>
        <v/>
      </c>
      <c r="AZ10" s="7">
        <f>IF(ABS('07_CONTINUOUS_CODEBOOK'!AZ10)&lt;'04_CODEBOOK_CONTROL'!$B$15,0,SIGN('07_CONTINUOUS_CODEBOOK'!AZ10)*IF(ABS('07_CONTINUOUS_CODEBOOK'!AZ10)&lt;'04_CODEBOOK_CONTROL'!$B$16,1,IF(ABS('07_CONTINUOUS_CODEBOOK'!AZ10)&lt;'04_CODEBOOK_CONTROL'!$B$17,2,3)))</f>
        <v/>
      </c>
      <c r="BA10" s="7">
        <f>IF(ABS('07_CONTINUOUS_CODEBOOK'!BA10)&lt;'04_CODEBOOK_CONTROL'!$B$15,0,SIGN('07_CONTINUOUS_CODEBOOK'!BA10)*IF(ABS('07_CONTINUOUS_CODEBOOK'!BA10)&lt;'04_CODEBOOK_CONTROL'!$B$16,1,IF(ABS('07_CONTINUOUS_CODEBOOK'!BA10)&lt;'04_CODEBOOK_CONTROL'!$B$17,2,3)))</f>
        <v/>
      </c>
      <c r="BB10" s="7">
        <f>IF(ABS('07_CONTINUOUS_CODEBOOK'!BB10)&lt;'04_CODEBOOK_CONTROL'!$B$15,0,SIGN('07_CONTINUOUS_CODEBOOK'!BB10)*IF(ABS('07_CONTINUOUS_CODEBOOK'!BB10)&lt;'04_CODEBOOK_CONTROL'!$B$16,1,IF(ABS('07_CONTINUOUS_CODEBOOK'!BB10)&lt;'04_CODEBOOK_CONTROL'!$B$17,2,3)))</f>
        <v/>
      </c>
      <c r="BC10" s="7">
        <f>IF(ABS('07_CONTINUOUS_CODEBOOK'!BC10)&lt;'04_CODEBOOK_CONTROL'!$B$15,0,SIGN('07_CONTINUOUS_CODEBOOK'!BC10)*IF(ABS('07_CONTINUOUS_CODEBOOK'!BC10)&lt;'04_CODEBOOK_CONTROL'!$B$16,1,IF(ABS('07_CONTINUOUS_CODEBOOK'!BC10)&lt;'04_CODEBOOK_CONTROL'!$B$17,2,3)))</f>
        <v/>
      </c>
      <c r="BD10" s="7">
        <f>IF(ABS('07_CONTINUOUS_CODEBOOK'!BD10)&lt;'04_CODEBOOK_CONTROL'!$B$15,0,SIGN('07_CONTINUOUS_CODEBOOK'!BD10)*IF(ABS('07_CONTINUOUS_CODEBOOK'!BD10)&lt;'04_CODEBOOK_CONTROL'!$B$16,1,IF(ABS('07_CONTINUOUS_CODEBOOK'!BD10)&lt;'04_CODEBOOK_CONTROL'!$B$17,2,3)))</f>
        <v/>
      </c>
      <c r="BE10" s="7">
        <f>IF(ABS('07_CONTINUOUS_CODEBOOK'!BE10)&lt;'04_CODEBOOK_CONTROL'!$B$15,0,SIGN('07_CONTINUOUS_CODEBOOK'!BE10)*IF(ABS('07_CONTINUOUS_CODEBOOK'!BE10)&lt;'04_CODEBOOK_CONTROL'!$B$16,1,IF(ABS('07_CONTINUOUS_CODEBOOK'!BE10)&lt;'04_CODEBOOK_CONTROL'!$B$17,2,3)))</f>
        <v/>
      </c>
      <c r="BF10" s="7">
        <f>IF(ABS('07_CONTINUOUS_CODEBOOK'!BF10)&lt;'04_CODEBOOK_CONTROL'!$B$15,0,SIGN('07_CONTINUOUS_CODEBOOK'!BF10)*IF(ABS('07_CONTINUOUS_CODEBOOK'!BF10)&lt;'04_CODEBOOK_CONTROL'!$B$16,1,IF(ABS('07_CONTINUOUS_CODEBOOK'!BF10)&lt;'04_CODEBOOK_CONTROL'!$B$17,2,3)))</f>
        <v/>
      </c>
      <c r="BG10" s="7">
        <f>IF(ABS('07_CONTINUOUS_CODEBOOK'!BG10)&lt;'04_CODEBOOK_CONTROL'!$B$15,0,SIGN('07_CONTINUOUS_CODEBOOK'!BG10)*IF(ABS('07_CONTINUOUS_CODEBOOK'!BG10)&lt;'04_CODEBOOK_CONTROL'!$B$16,1,IF(ABS('07_CONTINUOUS_CODEBOOK'!BG10)&lt;'04_CODEBOOK_CONTROL'!$B$17,2,3)))</f>
        <v/>
      </c>
      <c r="BH10" s="7">
        <f>IF(ABS('07_CONTINUOUS_CODEBOOK'!BH10)&lt;'04_CODEBOOK_CONTROL'!$B$15,0,SIGN('07_CONTINUOUS_CODEBOOK'!BH10)*IF(ABS('07_CONTINUOUS_CODEBOOK'!BH10)&lt;'04_CODEBOOK_CONTROL'!$B$16,1,IF(ABS('07_CONTINUOUS_CODEBOOK'!BH10)&lt;'04_CODEBOOK_CONTROL'!$B$17,2,3)))</f>
        <v/>
      </c>
      <c r="BI10" s="7">
        <f>IF(ABS('07_CONTINUOUS_CODEBOOK'!BI10)&lt;'04_CODEBOOK_CONTROL'!$B$15,0,SIGN('07_CONTINUOUS_CODEBOOK'!BI10)*IF(ABS('07_CONTINUOUS_CODEBOOK'!BI10)&lt;'04_CODEBOOK_CONTROL'!$B$16,1,IF(ABS('07_CONTINUOUS_CODEBOOK'!BI10)&lt;'04_CODEBOOK_CONTROL'!$B$17,2,3)))</f>
        <v/>
      </c>
      <c r="BJ10" s="7">
        <f>IF(ABS('07_CONTINUOUS_CODEBOOK'!BJ10)&lt;'04_CODEBOOK_CONTROL'!$B$15,0,SIGN('07_CONTINUOUS_CODEBOOK'!BJ10)*IF(ABS('07_CONTINUOUS_CODEBOOK'!BJ10)&lt;'04_CODEBOOK_CONTROL'!$B$16,1,IF(ABS('07_CONTINUOUS_CODEBOOK'!BJ10)&lt;'04_CODEBOOK_CONTROL'!$B$17,2,3)))</f>
        <v/>
      </c>
      <c r="BK10" s="7">
        <f>IF(ABS('07_CONTINUOUS_CODEBOOK'!BK10)&lt;'04_CODEBOOK_CONTROL'!$B$15,0,SIGN('07_CONTINUOUS_CODEBOOK'!BK10)*IF(ABS('07_CONTINUOUS_CODEBOOK'!BK10)&lt;'04_CODEBOOK_CONTROL'!$B$16,1,IF(ABS('07_CONTINUOUS_CODEBOOK'!BK10)&lt;'04_CODEBOOK_CONTROL'!$B$17,2,3)))</f>
        <v/>
      </c>
      <c r="BL10" s="7">
        <f>IF(ABS('07_CONTINUOUS_CODEBOOK'!BL10)&lt;'04_CODEBOOK_CONTROL'!$B$15,0,SIGN('07_CONTINUOUS_CODEBOOK'!BL10)*IF(ABS('07_CONTINUOUS_CODEBOOK'!BL10)&lt;'04_CODEBOOK_CONTROL'!$B$16,1,IF(ABS('07_CONTINUOUS_CODEBOOK'!BL10)&lt;'04_CODEBOOK_CONTROL'!$B$17,2,3)))</f>
        <v/>
      </c>
      <c r="BM10" s="7">
        <f>IF(ABS('07_CONTINUOUS_CODEBOOK'!BM10)&lt;'04_CODEBOOK_CONTROL'!$B$15,0,SIGN('07_CONTINUOUS_CODEBOOK'!BM10)*IF(ABS('07_CONTINUOUS_CODEBOOK'!BM10)&lt;'04_CODEBOOK_CONTROL'!$B$16,1,IF(ABS('07_CONTINUOUS_CODEBOOK'!BM10)&lt;'04_CODEBOOK_CONTROL'!$B$17,2,3)))</f>
        <v/>
      </c>
      <c r="BN10" s="7">
        <f>IF(ABS('07_CONTINUOUS_CODEBOOK'!BN10)&lt;'04_CODEBOOK_CONTROL'!$B$15,0,SIGN('07_CONTINUOUS_CODEBOOK'!BN10)*IF(ABS('07_CONTINUOUS_CODEBOOK'!BN10)&lt;'04_CODEBOOK_CONTROL'!$B$16,1,IF(ABS('07_CONTINUOUS_CODEBOOK'!BN10)&lt;'04_CODEBOOK_CONTROL'!$B$17,2,3)))</f>
        <v/>
      </c>
      <c r="BO10" s="7">
        <f>IF(ABS('07_CONTINUOUS_CODEBOOK'!BO10)&lt;'04_CODEBOOK_CONTROL'!$B$15,0,SIGN('07_CONTINUOUS_CODEBOOK'!BO10)*IF(ABS('07_CONTINUOUS_CODEBOOK'!BO10)&lt;'04_CODEBOOK_CONTROL'!$B$16,1,IF(ABS('07_CONTINUOUS_CODEBOOK'!BO10)&lt;'04_CODEBOOK_CONTROL'!$B$17,2,3)))</f>
        <v/>
      </c>
      <c r="BP10" s="7">
        <f>IF(ABS('07_CONTINUOUS_CODEBOOK'!BP10)&lt;'04_CODEBOOK_CONTROL'!$B$15,0,SIGN('07_CONTINUOUS_CODEBOOK'!BP10)*IF(ABS('07_CONTINUOUS_CODEBOOK'!BP10)&lt;'04_CODEBOOK_CONTROL'!$B$16,1,IF(ABS('07_CONTINUOUS_CODEBOOK'!BP10)&lt;'04_CODEBOOK_CONTROL'!$B$17,2,3)))</f>
        <v/>
      </c>
      <c r="BQ10" s="7">
        <f>IF(ABS('07_CONTINUOUS_CODEBOOK'!BQ10)&lt;'04_CODEBOOK_CONTROL'!$B$15,0,SIGN('07_CONTINUOUS_CODEBOOK'!BQ10)*IF(ABS('07_CONTINUOUS_CODEBOOK'!BQ10)&lt;'04_CODEBOOK_CONTROL'!$B$16,1,IF(ABS('07_CONTINUOUS_CODEBOOK'!BQ10)&lt;'04_CODEBOOK_CONTROL'!$B$17,2,3)))</f>
        <v/>
      </c>
      <c r="BR10" s="7">
        <f>IF(ABS('07_CONTINUOUS_CODEBOOK'!BR10)&lt;'04_CODEBOOK_CONTROL'!$B$15,0,SIGN('07_CONTINUOUS_CODEBOOK'!BR10)*IF(ABS('07_CONTINUOUS_CODEBOOK'!BR10)&lt;'04_CODEBOOK_CONTROL'!$B$16,1,IF(ABS('07_CONTINUOUS_CODEBOOK'!BR10)&lt;'04_CODEBOOK_CONTROL'!$B$17,2,3)))</f>
        <v/>
      </c>
      <c r="BS10" s="7">
        <f>IF(ABS('07_CONTINUOUS_CODEBOOK'!BS10)&lt;'04_CODEBOOK_CONTROL'!$B$15,0,SIGN('07_CONTINUOUS_CODEBOOK'!BS10)*IF(ABS('07_CONTINUOUS_CODEBOOK'!BS10)&lt;'04_CODEBOOK_CONTROL'!$B$16,1,IF(ABS('07_CONTINUOUS_CODEBOOK'!BS10)&lt;'04_CODEBOOK_CONTROL'!$B$17,2,3)))</f>
        <v/>
      </c>
      <c r="BT10" s="7">
        <f>IF(ABS('07_CONTINUOUS_CODEBOOK'!BT10)&lt;'04_CODEBOOK_CONTROL'!$B$15,0,SIGN('07_CONTINUOUS_CODEBOOK'!BT10)*IF(ABS('07_CONTINUOUS_CODEBOOK'!BT10)&lt;'04_CODEBOOK_CONTROL'!$B$16,1,IF(ABS('07_CONTINUOUS_CODEBOOK'!BT10)&lt;'04_CODEBOOK_CONTROL'!$B$17,2,3)))</f>
        <v/>
      </c>
      <c r="BU10" s="7">
        <f>IF(ABS('07_CONTINUOUS_CODEBOOK'!BU10)&lt;'04_CODEBOOK_CONTROL'!$B$15,0,SIGN('07_CONTINUOUS_CODEBOOK'!BU10)*IF(ABS('07_CONTINUOUS_CODEBOOK'!BU10)&lt;'04_CODEBOOK_CONTROL'!$B$16,1,IF(ABS('07_CONTINUOUS_CODEBOOK'!BU10)&lt;'04_CODEBOOK_CONTROL'!$B$17,2,3)))</f>
        <v/>
      </c>
      <c r="BV10" s="7">
        <f>IF(ABS('07_CONTINUOUS_CODEBOOK'!BV10)&lt;'04_CODEBOOK_CONTROL'!$B$15,0,SIGN('07_CONTINUOUS_CODEBOOK'!BV10)*IF(ABS('07_CONTINUOUS_CODEBOOK'!BV10)&lt;'04_CODEBOOK_CONTROL'!$B$16,1,IF(ABS('07_CONTINUOUS_CODEBOOK'!BV10)&lt;'04_CODEBOOK_CONTROL'!$B$17,2,3)))</f>
        <v/>
      </c>
      <c r="BW10" s="7">
        <f>IF(ABS('07_CONTINUOUS_CODEBOOK'!BW10)&lt;'04_CODEBOOK_CONTROL'!$B$15,0,SIGN('07_CONTINUOUS_CODEBOOK'!BW10)*IF(ABS('07_CONTINUOUS_CODEBOOK'!BW10)&lt;'04_CODEBOOK_CONTROL'!$B$16,1,IF(ABS('07_CONTINUOUS_CODEBOOK'!BW10)&lt;'04_CODEBOOK_CONTROL'!$B$17,2,3)))</f>
        <v/>
      </c>
      <c r="BX10" s="7">
        <f>IF(ABS('07_CONTINUOUS_CODEBOOK'!BX10)&lt;'04_CODEBOOK_CONTROL'!$B$15,0,SIGN('07_CONTINUOUS_CODEBOOK'!BX10)*IF(ABS('07_CONTINUOUS_CODEBOOK'!BX10)&lt;'04_CODEBOOK_CONTROL'!$B$16,1,IF(ABS('07_CONTINUOUS_CODEBOOK'!BX10)&lt;'04_CODEBOOK_CONTROL'!$B$17,2,3)))</f>
        <v/>
      </c>
      <c r="BY10" s="7">
        <f>IF(ABS('07_CONTINUOUS_CODEBOOK'!BY10)&lt;'04_CODEBOOK_CONTROL'!$B$15,0,SIGN('07_CONTINUOUS_CODEBOOK'!BY10)*IF(ABS('07_CONTINUOUS_CODEBOOK'!BY10)&lt;'04_CODEBOOK_CONTROL'!$B$16,1,IF(ABS('07_CONTINUOUS_CODEBOOK'!BY10)&lt;'04_CODEBOOK_CONTROL'!$B$17,2,3)))</f>
        <v/>
      </c>
      <c r="BZ10" s="7">
        <f>IF(ABS('07_CONTINUOUS_CODEBOOK'!BZ10)&lt;'04_CODEBOOK_CONTROL'!$B$15,0,SIGN('07_CONTINUOUS_CODEBOOK'!BZ10)*IF(ABS('07_CONTINUOUS_CODEBOOK'!BZ10)&lt;'04_CODEBOOK_CONTROL'!$B$16,1,IF(ABS('07_CONTINUOUS_CODEBOOK'!BZ10)&lt;'04_CODEBOOK_CONTROL'!$B$17,2,3)))</f>
        <v/>
      </c>
      <c r="CA10" s="7">
        <f>IF(ABS('07_CONTINUOUS_CODEBOOK'!CA10)&lt;'04_CODEBOOK_CONTROL'!$B$15,0,SIGN('07_CONTINUOUS_CODEBOOK'!CA10)*IF(ABS('07_CONTINUOUS_CODEBOOK'!CA10)&lt;'04_CODEBOOK_CONTROL'!$B$16,1,IF(ABS('07_CONTINUOUS_CODEBOOK'!CA10)&lt;'04_CODEBOOK_CONTROL'!$B$17,2,3)))</f>
        <v/>
      </c>
      <c r="CB10" s="7">
        <f>IF(ABS('07_CONTINUOUS_CODEBOOK'!CB10)&lt;'04_CODEBOOK_CONTROL'!$B$15,0,SIGN('07_CONTINUOUS_CODEBOOK'!CB10)*IF(ABS('07_CONTINUOUS_CODEBOOK'!CB10)&lt;'04_CODEBOOK_CONTROL'!$B$16,1,IF(ABS('07_CONTINUOUS_CODEBOOK'!CB10)&lt;'04_CODEBOOK_CONTROL'!$B$17,2,3)))</f>
        <v/>
      </c>
      <c r="CC10" s="7">
        <f>IF(ABS('07_CONTINUOUS_CODEBOOK'!CC10)&lt;'04_CODEBOOK_CONTROL'!$B$15,0,SIGN('07_CONTINUOUS_CODEBOOK'!CC10)*IF(ABS('07_CONTINUOUS_CODEBOOK'!CC10)&lt;'04_CODEBOOK_CONTROL'!$B$16,1,IF(ABS('07_CONTINUOUS_CODEBOOK'!CC10)&lt;'04_CODEBOOK_CONTROL'!$B$17,2,3)))</f>
        <v/>
      </c>
      <c r="CD10" s="7">
        <f>IF(ABS('07_CONTINUOUS_CODEBOOK'!CD10)&lt;'04_CODEBOOK_CONTROL'!$B$15,0,SIGN('07_CONTINUOUS_CODEBOOK'!CD10)*IF(ABS('07_CONTINUOUS_CODEBOOK'!CD10)&lt;'04_CODEBOOK_CONTROL'!$B$16,1,IF(ABS('07_CONTINUOUS_CODEBOOK'!CD10)&lt;'04_CODEBOOK_CONTROL'!$B$17,2,3)))</f>
        <v/>
      </c>
      <c r="CE10" s="7">
        <f>IF(ABS('07_CONTINUOUS_CODEBOOK'!CE10)&lt;'04_CODEBOOK_CONTROL'!$B$15,0,SIGN('07_CONTINUOUS_CODEBOOK'!CE10)*IF(ABS('07_CONTINUOUS_CODEBOOK'!CE10)&lt;'04_CODEBOOK_CONTROL'!$B$16,1,IF(ABS('07_CONTINUOUS_CODEBOOK'!CE10)&lt;'04_CODEBOOK_CONTROL'!$B$17,2,3)))</f>
        <v/>
      </c>
    </row>
    <row r="11">
      <c r="A11" t="n">
        <v>7</v>
      </c>
      <c r="B11" t="inlineStr">
        <is>
          <t>明塔卡星人</t>
        </is>
      </c>
      <c r="C11" t="inlineStr">
        <is>
          <t>Mintakan</t>
        </is>
      </c>
      <c r="D11" s="7">
        <f>IF(ABS('07_CONTINUOUS_CODEBOOK'!D11)&lt;'04_CODEBOOK_CONTROL'!$B$15,0,SIGN('07_CONTINUOUS_CODEBOOK'!D11)*IF(ABS('07_CONTINUOUS_CODEBOOK'!D11)&lt;'04_CODEBOOK_CONTROL'!$B$16,1,IF(ABS('07_CONTINUOUS_CODEBOOK'!D11)&lt;'04_CODEBOOK_CONTROL'!$B$17,2,3)))</f>
        <v/>
      </c>
      <c r="E11" s="7">
        <f>IF(ABS('07_CONTINUOUS_CODEBOOK'!E11)&lt;'04_CODEBOOK_CONTROL'!$B$15,0,SIGN('07_CONTINUOUS_CODEBOOK'!E11)*IF(ABS('07_CONTINUOUS_CODEBOOK'!E11)&lt;'04_CODEBOOK_CONTROL'!$B$16,1,IF(ABS('07_CONTINUOUS_CODEBOOK'!E11)&lt;'04_CODEBOOK_CONTROL'!$B$17,2,3)))</f>
        <v/>
      </c>
      <c r="F11" s="7">
        <f>IF(ABS('07_CONTINUOUS_CODEBOOK'!F11)&lt;'04_CODEBOOK_CONTROL'!$B$15,0,SIGN('07_CONTINUOUS_CODEBOOK'!F11)*IF(ABS('07_CONTINUOUS_CODEBOOK'!F11)&lt;'04_CODEBOOK_CONTROL'!$B$16,1,IF(ABS('07_CONTINUOUS_CODEBOOK'!F11)&lt;'04_CODEBOOK_CONTROL'!$B$17,2,3)))</f>
        <v/>
      </c>
      <c r="G11" s="7">
        <f>IF(ABS('07_CONTINUOUS_CODEBOOK'!G11)&lt;'04_CODEBOOK_CONTROL'!$B$15,0,SIGN('07_CONTINUOUS_CODEBOOK'!G11)*IF(ABS('07_CONTINUOUS_CODEBOOK'!G11)&lt;'04_CODEBOOK_CONTROL'!$B$16,1,IF(ABS('07_CONTINUOUS_CODEBOOK'!G11)&lt;'04_CODEBOOK_CONTROL'!$B$17,2,3)))</f>
        <v/>
      </c>
      <c r="H11" s="7">
        <f>IF(ABS('07_CONTINUOUS_CODEBOOK'!H11)&lt;'04_CODEBOOK_CONTROL'!$B$15,0,SIGN('07_CONTINUOUS_CODEBOOK'!H11)*IF(ABS('07_CONTINUOUS_CODEBOOK'!H11)&lt;'04_CODEBOOK_CONTROL'!$B$16,1,IF(ABS('07_CONTINUOUS_CODEBOOK'!H11)&lt;'04_CODEBOOK_CONTROL'!$B$17,2,3)))</f>
        <v/>
      </c>
      <c r="I11" s="7">
        <f>IF(ABS('07_CONTINUOUS_CODEBOOK'!I11)&lt;'04_CODEBOOK_CONTROL'!$B$15,0,SIGN('07_CONTINUOUS_CODEBOOK'!I11)*IF(ABS('07_CONTINUOUS_CODEBOOK'!I11)&lt;'04_CODEBOOK_CONTROL'!$B$16,1,IF(ABS('07_CONTINUOUS_CODEBOOK'!I11)&lt;'04_CODEBOOK_CONTROL'!$B$17,2,3)))</f>
        <v/>
      </c>
      <c r="J11" s="7">
        <f>IF(ABS('07_CONTINUOUS_CODEBOOK'!J11)&lt;'04_CODEBOOK_CONTROL'!$B$15,0,SIGN('07_CONTINUOUS_CODEBOOK'!J11)*IF(ABS('07_CONTINUOUS_CODEBOOK'!J11)&lt;'04_CODEBOOK_CONTROL'!$B$16,1,IF(ABS('07_CONTINUOUS_CODEBOOK'!J11)&lt;'04_CODEBOOK_CONTROL'!$B$17,2,3)))</f>
        <v/>
      </c>
      <c r="K11" s="7">
        <f>IF(ABS('07_CONTINUOUS_CODEBOOK'!K11)&lt;'04_CODEBOOK_CONTROL'!$B$15,0,SIGN('07_CONTINUOUS_CODEBOOK'!K11)*IF(ABS('07_CONTINUOUS_CODEBOOK'!K11)&lt;'04_CODEBOOK_CONTROL'!$B$16,1,IF(ABS('07_CONTINUOUS_CODEBOOK'!K11)&lt;'04_CODEBOOK_CONTROL'!$B$17,2,3)))</f>
        <v/>
      </c>
      <c r="L11" s="7">
        <f>IF(ABS('07_CONTINUOUS_CODEBOOK'!L11)&lt;'04_CODEBOOK_CONTROL'!$B$15,0,SIGN('07_CONTINUOUS_CODEBOOK'!L11)*IF(ABS('07_CONTINUOUS_CODEBOOK'!L11)&lt;'04_CODEBOOK_CONTROL'!$B$16,1,IF(ABS('07_CONTINUOUS_CODEBOOK'!L11)&lt;'04_CODEBOOK_CONTROL'!$B$17,2,3)))</f>
        <v/>
      </c>
      <c r="M11" s="7">
        <f>IF(ABS('07_CONTINUOUS_CODEBOOK'!M11)&lt;'04_CODEBOOK_CONTROL'!$B$15,0,SIGN('07_CONTINUOUS_CODEBOOK'!M11)*IF(ABS('07_CONTINUOUS_CODEBOOK'!M11)&lt;'04_CODEBOOK_CONTROL'!$B$16,1,IF(ABS('07_CONTINUOUS_CODEBOOK'!M11)&lt;'04_CODEBOOK_CONTROL'!$B$17,2,3)))</f>
        <v/>
      </c>
      <c r="N11" s="7">
        <f>IF(ABS('07_CONTINUOUS_CODEBOOK'!N11)&lt;'04_CODEBOOK_CONTROL'!$B$15,0,SIGN('07_CONTINUOUS_CODEBOOK'!N11)*IF(ABS('07_CONTINUOUS_CODEBOOK'!N11)&lt;'04_CODEBOOK_CONTROL'!$B$16,1,IF(ABS('07_CONTINUOUS_CODEBOOK'!N11)&lt;'04_CODEBOOK_CONTROL'!$B$17,2,3)))</f>
        <v/>
      </c>
      <c r="O11" s="7">
        <f>IF(ABS('07_CONTINUOUS_CODEBOOK'!O11)&lt;'04_CODEBOOK_CONTROL'!$B$15,0,SIGN('07_CONTINUOUS_CODEBOOK'!O11)*IF(ABS('07_CONTINUOUS_CODEBOOK'!O11)&lt;'04_CODEBOOK_CONTROL'!$B$16,1,IF(ABS('07_CONTINUOUS_CODEBOOK'!O11)&lt;'04_CODEBOOK_CONTROL'!$B$17,2,3)))</f>
        <v/>
      </c>
      <c r="P11" s="7">
        <f>IF(ABS('07_CONTINUOUS_CODEBOOK'!P11)&lt;'04_CODEBOOK_CONTROL'!$B$15,0,SIGN('07_CONTINUOUS_CODEBOOK'!P11)*IF(ABS('07_CONTINUOUS_CODEBOOK'!P11)&lt;'04_CODEBOOK_CONTROL'!$B$16,1,IF(ABS('07_CONTINUOUS_CODEBOOK'!P11)&lt;'04_CODEBOOK_CONTROL'!$B$17,2,3)))</f>
        <v/>
      </c>
      <c r="Q11" s="7">
        <f>IF(ABS('07_CONTINUOUS_CODEBOOK'!Q11)&lt;'04_CODEBOOK_CONTROL'!$B$15,0,SIGN('07_CONTINUOUS_CODEBOOK'!Q11)*IF(ABS('07_CONTINUOUS_CODEBOOK'!Q11)&lt;'04_CODEBOOK_CONTROL'!$B$16,1,IF(ABS('07_CONTINUOUS_CODEBOOK'!Q11)&lt;'04_CODEBOOK_CONTROL'!$B$17,2,3)))</f>
        <v/>
      </c>
      <c r="R11" s="7">
        <f>IF(ABS('07_CONTINUOUS_CODEBOOK'!R11)&lt;'04_CODEBOOK_CONTROL'!$B$15,0,SIGN('07_CONTINUOUS_CODEBOOK'!R11)*IF(ABS('07_CONTINUOUS_CODEBOOK'!R11)&lt;'04_CODEBOOK_CONTROL'!$B$16,1,IF(ABS('07_CONTINUOUS_CODEBOOK'!R11)&lt;'04_CODEBOOK_CONTROL'!$B$17,2,3)))</f>
        <v/>
      </c>
      <c r="S11" s="7">
        <f>IF(ABS('07_CONTINUOUS_CODEBOOK'!S11)&lt;'04_CODEBOOK_CONTROL'!$B$15,0,SIGN('07_CONTINUOUS_CODEBOOK'!S11)*IF(ABS('07_CONTINUOUS_CODEBOOK'!S11)&lt;'04_CODEBOOK_CONTROL'!$B$16,1,IF(ABS('07_CONTINUOUS_CODEBOOK'!S11)&lt;'04_CODEBOOK_CONTROL'!$B$17,2,3)))</f>
        <v/>
      </c>
      <c r="T11" s="7">
        <f>IF(ABS('07_CONTINUOUS_CODEBOOK'!T11)&lt;'04_CODEBOOK_CONTROL'!$B$15,0,SIGN('07_CONTINUOUS_CODEBOOK'!T11)*IF(ABS('07_CONTINUOUS_CODEBOOK'!T11)&lt;'04_CODEBOOK_CONTROL'!$B$16,1,IF(ABS('07_CONTINUOUS_CODEBOOK'!T11)&lt;'04_CODEBOOK_CONTROL'!$B$17,2,3)))</f>
        <v/>
      </c>
      <c r="U11" s="7">
        <f>IF(ABS('07_CONTINUOUS_CODEBOOK'!U11)&lt;'04_CODEBOOK_CONTROL'!$B$15,0,SIGN('07_CONTINUOUS_CODEBOOK'!U11)*IF(ABS('07_CONTINUOUS_CODEBOOK'!U11)&lt;'04_CODEBOOK_CONTROL'!$B$16,1,IF(ABS('07_CONTINUOUS_CODEBOOK'!U11)&lt;'04_CODEBOOK_CONTROL'!$B$17,2,3)))</f>
        <v/>
      </c>
      <c r="V11" s="7">
        <f>IF(ABS('07_CONTINUOUS_CODEBOOK'!V11)&lt;'04_CODEBOOK_CONTROL'!$B$15,0,SIGN('07_CONTINUOUS_CODEBOOK'!V11)*IF(ABS('07_CONTINUOUS_CODEBOOK'!V11)&lt;'04_CODEBOOK_CONTROL'!$B$16,1,IF(ABS('07_CONTINUOUS_CODEBOOK'!V11)&lt;'04_CODEBOOK_CONTROL'!$B$17,2,3)))</f>
        <v/>
      </c>
      <c r="W11" s="7">
        <f>IF(ABS('07_CONTINUOUS_CODEBOOK'!W11)&lt;'04_CODEBOOK_CONTROL'!$B$15,0,SIGN('07_CONTINUOUS_CODEBOOK'!W11)*IF(ABS('07_CONTINUOUS_CODEBOOK'!W11)&lt;'04_CODEBOOK_CONTROL'!$B$16,1,IF(ABS('07_CONTINUOUS_CODEBOOK'!W11)&lt;'04_CODEBOOK_CONTROL'!$B$17,2,3)))</f>
        <v/>
      </c>
      <c r="X11" s="7">
        <f>IF(ABS('07_CONTINUOUS_CODEBOOK'!X11)&lt;'04_CODEBOOK_CONTROL'!$B$15,0,SIGN('07_CONTINUOUS_CODEBOOK'!X11)*IF(ABS('07_CONTINUOUS_CODEBOOK'!X11)&lt;'04_CODEBOOK_CONTROL'!$B$16,1,IF(ABS('07_CONTINUOUS_CODEBOOK'!X11)&lt;'04_CODEBOOK_CONTROL'!$B$17,2,3)))</f>
        <v/>
      </c>
      <c r="Y11" s="7">
        <f>IF(ABS('07_CONTINUOUS_CODEBOOK'!Y11)&lt;'04_CODEBOOK_CONTROL'!$B$15,0,SIGN('07_CONTINUOUS_CODEBOOK'!Y11)*IF(ABS('07_CONTINUOUS_CODEBOOK'!Y11)&lt;'04_CODEBOOK_CONTROL'!$B$16,1,IF(ABS('07_CONTINUOUS_CODEBOOK'!Y11)&lt;'04_CODEBOOK_CONTROL'!$B$17,2,3)))</f>
        <v/>
      </c>
      <c r="Z11" s="7">
        <f>IF(ABS('07_CONTINUOUS_CODEBOOK'!Z11)&lt;'04_CODEBOOK_CONTROL'!$B$15,0,SIGN('07_CONTINUOUS_CODEBOOK'!Z11)*IF(ABS('07_CONTINUOUS_CODEBOOK'!Z11)&lt;'04_CODEBOOK_CONTROL'!$B$16,1,IF(ABS('07_CONTINUOUS_CODEBOOK'!Z11)&lt;'04_CODEBOOK_CONTROL'!$B$17,2,3)))</f>
        <v/>
      </c>
      <c r="AA11" s="7">
        <f>IF(ABS('07_CONTINUOUS_CODEBOOK'!AA11)&lt;'04_CODEBOOK_CONTROL'!$B$15,0,SIGN('07_CONTINUOUS_CODEBOOK'!AA11)*IF(ABS('07_CONTINUOUS_CODEBOOK'!AA11)&lt;'04_CODEBOOK_CONTROL'!$B$16,1,IF(ABS('07_CONTINUOUS_CODEBOOK'!AA11)&lt;'04_CODEBOOK_CONTROL'!$B$17,2,3)))</f>
        <v/>
      </c>
      <c r="AB11" s="7">
        <f>IF(ABS('07_CONTINUOUS_CODEBOOK'!AB11)&lt;'04_CODEBOOK_CONTROL'!$B$15,0,SIGN('07_CONTINUOUS_CODEBOOK'!AB11)*IF(ABS('07_CONTINUOUS_CODEBOOK'!AB11)&lt;'04_CODEBOOK_CONTROL'!$B$16,1,IF(ABS('07_CONTINUOUS_CODEBOOK'!AB11)&lt;'04_CODEBOOK_CONTROL'!$B$17,2,3)))</f>
        <v/>
      </c>
      <c r="AC11" s="7">
        <f>IF(ABS('07_CONTINUOUS_CODEBOOK'!AC11)&lt;'04_CODEBOOK_CONTROL'!$B$15,0,SIGN('07_CONTINUOUS_CODEBOOK'!AC11)*IF(ABS('07_CONTINUOUS_CODEBOOK'!AC11)&lt;'04_CODEBOOK_CONTROL'!$B$16,1,IF(ABS('07_CONTINUOUS_CODEBOOK'!AC11)&lt;'04_CODEBOOK_CONTROL'!$B$17,2,3)))</f>
        <v/>
      </c>
      <c r="AD11" s="7">
        <f>IF(ABS('07_CONTINUOUS_CODEBOOK'!AD11)&lt;'04_CODEBOOK_CONTROL'!$B$15,0,SIGN('07_CONTINUOUS_CODEBOOK'!AD11)*IF(ABS('07_CONTINUOUS_CODEBOOK'!AD11)&lt;'04_CODEBOOK_CONTROL'!$B$16,1,IF(ABS('07_CONTINUOUS_CODEBOOK'!AD11)&lt;'04_CODEBOOK_CONTROL'!$B$17,2,3)))</f>
        <v/>
      </c>
      <c r="AE11" s="7">
        <f>IF(ABS('07_CONTINUOUS_CODEBOOK'!AE11)&lt;'04_CODEBOOK_CONTROL'!$B$15,0,SIGN('07_CONTINUOUS_CODEBOOK'!AE11)*IF(ABS('07_CONTINUOUS_CODEBOOK'!AE11)&lt;'04_CODEBOOK_CONTROL'!$B$16,1,IF(ABS('07_CONTINUOUS_CODEBOOK'!AE11)&lt;'04_CODEBOOK_CONTROL'!$B$17,2,3)))</f>
        <v/>
      </c>
      <c r="AF11" s="7">
        <f>IF(ABS('07_CONTINUOUS_CODEBOOK'!AF11)&lt;'04_CODEBOOK_CONTROL'!$B$15,0,SIGN('07_CONTINUOUS_CODEBOOK'!AF11)*IF(ABS('07_CONTINUOUS_CODEBOOK'!AF11)&lt;'04_CODEBOOK_CONTROL'!$B$16,1,IF(ABS('07_CONTINUOUS_CODEBOOK'!AF11)&lt;'04_CODEBOOK_CONTROL'!$B$17,2,3)))</f>
        <v/>
      </c>
      <c r="AG11" s="7">
        <f>IF(ABS('07_CONTINUOUS_CODEBOOK'!AG11)&lt;'04_CODEBOOK_CONTROL'!$B$15,0,SIGN('07_CONTINUOUS_CODEBOOK'!AG11)*IF(ABS('07_CONTINUOUS_CODEBOOK'!AG11)&lt;'04_CODEBOOK_CONTROL'!$B$16,1,IF(ABS('07_CONTINUOUS_CODEBOOK'!AG11)&lt;'04_CODEBOOK_CONTROL'!$B$17,2,3)))</f>
        <v/>
      </c>
      <c r="AH11" s="7">
        <f>IF(ABS('07_CONTINUOUS_CODEBOOK'!AH11)&lt;'04_CODEBOOK_CONTROL'!$B$15,0,SIGN('07_CONTINUOUS_CODEBOOK'!AH11)*IF(ABS('07_CONTINUOUS_CODEBOOK'!AH11)&lt;'04_CODEBOOK_CONTROL'!$B$16,1,IF(ABS('07_CONTINUOUS_CODEBOOK'!AH11)&lt;'04_CODEBOOK_CONTROL'!$B$17,2,3)))</f>
        <v/>
      </c>
      <c r="AI11" s="7">
        <f>IF(ABS('07_CONTINUOUS_CODEBOOK'!AI11)&lt;'04_CODEBOOK_CONTROL'!$B$15,0,SIGN('07_CONTINUOUS_CODEBOOK'!AI11)*IF(ABS('07_CONTINUOUS_CODEBOOK'!AI11)&lt;'04_CODEBOOK_CONTROL'!$B$16,1,IF(ABS('07_CONTINUOUS_CODEBOOK'!AI11)&lt;'04_CODEBOOK_CONTROL'!$B$17,2,3)))</f>
        <v/>
      </c>
      <c r="AJ11" s="7">
        <f>IF(ABS('07_CONTINUOUS_CODEBOOK'!AJ11)&lt;'04_CODEBOOK_CONTROL'!$B$15,0,SIGN('07_CONTINUOUS_CODEBOOK'!AJ11)*IF(ABS('07_CONTINUOUS_CODEBOOK'!AJ11)&lt;'04_CODEBOOK_CONTROL'!$B$16,1,IF(ABS('07_CONTINUOUS_CODEBOOK'!AJ11)&lt;'04_CODEBOOK_CONTROL'!$B$17,2,3)))</f>
        <v/>
      </c>
      <c r="AK11" s="7">
        <f>IF(ABS('07_CONTINUOUS_CODEBOOK'!AK11)&lt;'04_CODEBOOK_CONTROL'!$B$15,0,SIGN('07_CONTINUOUS_CODEBOOK'!AK11)*IF(ABS('07_CONTINUOUS_CODEBOOK'!AK11)&lt;'04_CODEBOOK_CONTROL'!$B$16,1,IF(ABS('07_CONTINUOUS_CODEBOOK'!AK11)&lt;'04_CODEBOOK_CONTROL'!$B$17,2,3)))</f>
        <v/>
      </c>
      <c r="AL11" s="7">
        <f>IF(ABS('07_CONTINUOUS_CODEBOOK'!AL11)&lt;'04_CODEBOOK_CONTROL'!$B$15,0,SIGN('07_CONTINUOUS_CODEBOOK'!AL11)*IF(ABS('07_CONTINUOUS_CODEBOOK'!AL11)&lt;'04_CODEBOOK_CONTROL'!$B$16,1,IF(ABS('07_CONTINUOUS_CODEBOOK'!AL11)&lt;'04_CODEBOOK_CONTROL'!$B$17,2,3)))</f>
        <v/>
      </c>
      <c r="AM11" s="7">
        <f>IF(ABS('07_CONTINUOUS_CODEBOOK'!AM11)&lt;'04_CODEBOOK_CONTROL'!$B$15,0,SIGN('07_CONTINUOUS_CODEBOOK'!AM11)*IF(ABS('07_CONTINUOUS_CODEBOOK'!AM11)&lt;'04_CODEBOOK_CONTROL'!$B$16,1,IF(ABS('07_CONTINUOUS_CODEBOOK'!AM11)&lt;'04_CODEBOOK_CONTROL'!$B$17,2,3)))</f>
        <v/>
      </c>
      <c r="AN11" s="7">
        <f>IF(ABS('07_CONTINUOUS_CODEBOOK'!AN11)&lt;'04_CODEBOOK_CONTROL'!$B$15,0,SIGN('07_CONTINUOUS_CODEBOOK'!AN11)*IF(ABS('07_CONTINUOUS_CODEBOOK'!AN11)&lt;'04_CODEBOOK_CONTROL'!$B$16,1,IF(ABS('07_CONTINUOUS_CODEBOOK'!AN11)&lt;'04_CODEBOOK_CONTROL'!$B$17,2,3)))</f>
        <v/>
      </c>
      <c r="AO11" s="7">
        <f>IF(ABS('07_CONTINUOUS_CODEBOOK'!AO11)&lt;'04_CODEBOOK_CONTROL'!$B$15,0,SIGN('07_CONTINUOUS_CODEBOOK'!AO11)*IF(ABS('07_CONTINUOUS_CODEBOOK'!AO11)&lt;'04_CODEBOOK_CONTROL'!$B$16,1,IF(ABS('07_CONTINUOUS_CODEBOOK'!AO11)&lt;'04_CODEBOOK_CONTROL'!$B$17,2,3)))</f>
        <v/>
      </c>
      <c r="AP11" s="7">
        <f>IF(ABS('07_CONTINUOUS_CODEBOOK'!AP11)&lt;'04_CODEBOOK_CONTROL'!$B$15,0,SIGN('07_CONTINUOUS_CODEBOOK'!AP11)*IF(ABS('07_CONTINUOUS_CODEBOOK'!AP11)&lt;'04_CODEBOOK_CONTROL'!$B$16,1,IF(ABS('07_CONTINUOUS_CODEBOOK'!AP11)&lt;'04_CODEBOOK_CONTROL'!$B$17,2,3)))</f>
        <v/>
      </c>
      <c r="AQ11" s="7">
        <f>IF(ABS('07_CONTINUOUS_CODEBOOK'!AQ11)&lt;'04_CODEBOOK_CONTROL'!$B$15,0,SIGN('07_CONTINUOUS_CODEBOOK'!AQ11)*IF(ABS('07_CONTINUOUS_CODEBOOK'!AQ11)&lt;'04_CODEBOOK_CONTROL'!$B$16,1,IF(ABS('07_CONTINUOUS_CODEBOOK'!AQ11)&lt;'04_CODEBOOK_CONTROL'!$B$17,2,3)))</f>
        <v/>
      </c>
      <c r="AR11" s="7">
        <f>IF(ABS('07_CONTINUOUS_CODEBOOK'!AR11)&lt;'04_CODEBOOK_CONTROL'!$B$15,0,SIGN('07_CONTINUOUS_CODEBOOK'!AR11)*IF(ABS('07_CONTINUOUS_CODEBOOK'!AR11)&lt;'04_CODEBOOK_CONTROL'!$B$16,1,IF(ABS('07_CONTINUOUS_CODEBOOK'!AR11)&lt;'04_CODEBOOK_CONTROL'!$B$17,2,3)))</f>
        <v/>
      </c>
      <c r="AS11" s="7">
        <f>IF(ABS('07_CONTINUOUS_CODEBOOK'!AS11)&lt;'04_CODEBOOK_CONTROL'!$B$15,0,SIGN('07_CONTINUOUS_CODEBOOK'!AS11)*IF(ABS('07_CONTINUOUS_CODEBOOK'!AS11)&lt;'04_CODEBOOK_CONTROL'!$B$16,1,IF(ABS('07_CONTINUOUS_CODEBOOK'!AS11)&lt;'04_CODEBOOK_CONTROL'!$B$17,2,3)))</f>
        <v/>
      </c>
      <c r="AT11" s="7">
        <f>IF(ABS('07_CONTINUOUS_CODEBOOK'!AT11)&lt;'04_CODEBOOK_CONTROL'!$B$15,0,SIGN('07_CONTINUOUS_CODEBOOK'!AT11)*IF(ABS('07_CONTINUOUS_CODEBOOK'!AT11)&lt;'04_CODEBOOK_CONTROL'!$B$16,1,IF(ABS('07_CONTINUOUS_CODEBOOK'!AT11)&lt;'04_CODEBOOK_CONTROL'!$B$17,2,3)))</f>
        <v/>
      </c>
      <c r="AU11" s="7">
        <f>IF(ABS('07_CONTINUOUS_CODEBOOK'!AU11)&lt;'04_CODEBOOK_CONTROL'!$B$15,0,SIGN('07_CONTINUOUS_CODEBOOK'!AU11)*IF(ABS('07_CONTINUOUS_CODEBOOK'!AU11)&lt;'04_CODEBOOK_CONTROL'!$B$16,1,IF(ABS('07_CONTINUOUS_CODEBOOK'!AU11)&lt;'04_CODEBOOK_CONTROL'!$B$17,2,3)))</f>
        <v/>
      </c>
      <c r="AV11" s="7">
        <f>IF(ABS('07_CONTINUOUS_CODEBOOK'!AV11)&lt;'04_CODEBOOK_CONTROL'!$B$15,0,SIGN('07_CONTINUOUS_CODEBOOK'!AV11)*IF(ABS('07_CONTINUOUS_CODEBOOK'!AV11)&lt;'04_CODEBOOK_CONTROL'!$B$16,1,IF(ABS('07_CONTINUOUS_CODEBOOK'!AV11)&lt;'04_CODEBOOK_CONTROL'!$B$17,2,3)))</f>
        <v/>
      </c>
      <c r="AW11" s="7">
        <f>IF(ABS('07_CONTINUOUS_CODEBOOK'!AW11)&lt;'04_CODEBOOK_CONTROL'!$B$15,0,SIGN('07_CONTINUOUS_CODEBOOK'!AW11)*IF(ABS('07_CONTINUOUS_CODEBOOK'!AW11)&lt;'04_CODEBOOK_CONTROL'!$B$16,1,IF(ABS('07_CONTINUOUS_CODEBOOK'!AW11)&lt;'04_CODEBOOK_CONTROL'!$B$17,2,3)))</f>
        <v/>
      </c>
      <c r="AX11" s="7">
        <f>IF(ABS('07_CONTINUOUS_CODEBOOK'!AX11)&lt;'04_CODEBOOK_CONTROL'!$B$15,0,SIGN('07_CONTINUOUS_CODEBOOK'!AX11)*IF(ABS('07_CONTINUOUS_CODEBOOK'!AX11)&lt;'04_CODEBOOK_CONTROL'!$B$16,1,IF(ABS('07_CONTINUOUS_CODEBOOK'!AX11)&lt;'04_CODEBOOK_CONTROL'!$B$17,2,3)))</f>
        <v/>
      </c>
      <c r="AY11" s="7">
        <f>IF(ABS('07_CONTINUOUS_CODEBOOK'!AY11)&lt;'04_CODEBOOK_CONTROL'!$B$15,0,SIGN('07_CONTINUOUS_CODEBOOK'!AY11)*IF(ABS('07_CONTINUOUS_CODEBOOK'!AY11)&lt;'04_CODEBOOK_CONTROL'!$B$16,1,IF(ABS('07_CONTINUOUS_CODEBOOK'!AY11)&lt;'04_CODEBOOK_CONTROL'!$B$17,2,3)))</f>
        <v/>
      </c>
      <c r="AZ11" s="7">
        <f>IF(ABS('07_CONTINUOUS_CODEBOOK'!AZ11)&lt;'04_CODEBOOK_CONTROL'!$B$15,0,SIGN('07_CONTINUOUS_CODEBOOK'!AZ11)*IF(ABS('07_CONTINUOUS_CODEBOOK'!AZ11)&lt;'04_CODEBOOK_CONTROL'!$B$16,1,IF(ABS('07_CONTINUOUS_CODEBOOK'!AZ11)&lt;'04_CODEBOOK_CONTROL'!$B$17,2,3)))</f>
        <v/>
      </c>
      <c r="BA11" s="7">
        <f>IF(ABS('07_CONTINUOUS_CODEBOOK'!BA11)&lt;'04_CODEBOOK_CONTROL'!$B$15,0,SIGN('07_CONTINUOUS_CODEBOOK'!BA11)*IF(ABS('07_CONTINUOUS_CODEBOOK'!BA11)&lt;'04_CODEBOOK_CONTROL'!$B$16,1,IF(ABS('07_CONTINUOUS_CODEBOOK'!BA11)&lt;'04_CODEBOOK_CONTROL'!$B$17,2,3)))</f>
        <v/>
      </c>
      <c r="BB11" s="7">
        <f>IF(ABS('07_CONTINUOUS_CODEBOOK'!BB11)&lt;'04_CODEBOOK_CONTROL'!$B$15,0,SIGN('07_CONTINUOUS_CODEBOOK'!BB11)*IF(ABS('07_CONTINUOUS_CODEBOOK'!BB11)&lt;'04_CODEBOOK_CONTROL'!$B$16,1,IF(ABS('07_CONTINUOUS_CODEBOOK'!BB11)&lt;'04_CODEBOOK_CONTROL'!$B$17,2,3)))</f>
        <v/>
      </c>
      <c r="BC11" s="7">
        <f>IF(ABS('07_CONTINUOUS_CODEBOOK'!BC11)&lt;'04_CODEBOOK_CONTROL'!$B$15,0,SIGN('07_CONTINUOUS_CODEBOOK'!BC11)*IF(ABS('07_CONTINUOUS_CODEBOOK'!BC11)&lt;'04_CODEBOOK_CONTROL'!$B$16,1,IF(ABS('07_CONTINUOUS_CODEBOOK'!BC11)&lt;'04_CODEBOOK_CONTROL'!$B$17,2,3)))</f>
        <v/>
      </c>
      <c r="BD11" s="7">
        <f>IF(ABS('07_CONTINUOUS_CODEBOOK'!BD11)&lt;'04_CODEBOOK_CONTROL'!$B$15,0,SIGN('07_CONTINUOUS_CODEBOOK'!BD11)*IF(ABS('07_CONTINUOUS_CODEBOOK'!BD11)&lt;'04_CODEBOOK_CONTROL'!$B$16,1,IF(ABS('07_CONTINUOUS_CODEBOOK'!BD11)&lt;'04_CODEBOOK_CONTROL'!$B$17,2,3)))</f>
        <v/>
      </c>
      <c r="BE11" s="7">
        <f>IF(ABS('07_CONTINUOUS_CODEBOOK'!BE11)&lt;'04_CODEBOOK_CONTROL'!$B$15,0,SIGN('07_CONTINUOUS_CODEBOOK'!BE11)*IF(ABS('07_CONTINUOUS_CODEBOOK'!BE11)&lt;'04_CODEBOOK_CONTROL'!$B$16,1,IF(ABS('07_CONTINUOUS_CODEBOOK'!BE11)&lt;'04_CODEBOOK_CONTROL'!$B$17,2,3)))</f>
        <v/>
      </c>
      <c r="BF11" s="7">
        <f>IF(ABS('07_CONTINUOUS_CODEBOOK'!BF11)&lt;'04_CODEBOOK_CONTROL'!$B$15,0,SIGN('07_CONTINUOUS_CODEBOOK'!BF11)*IF(ABS('07_CONTINUOUS_CODEBOOK'!BF11)&lt;'04_CODEBOOK_CONTROL'!$B$16,1,IF(ABS('07_CONTINUOUS_CODEBOOK'!BF11)&lt;'04_CODEBOOK_CONTROL'!$B$17,2,3)))</f>
        <v/>
      </c>
      <c r="BG11" s="7">
        <f>IF(ABS('07_CONTINUOUS_CODEBOOK'!BG11)&lt;'04_CODEBOOK_CONTROL'!$B$15,0,SIGN('07_CONTINUOUS_CODEBOOK'!BG11)*IF(ABS('07_CONTINUOUS_CODEBOOK'!BG11)&lt;'04_CODEBOOK_CONTROL'!$B$16,1,IF(ABS('07_CONTINUOUS_CODEBOOK'!BG11)&lt;'04_CODEBOOK_CONTROL'!$B$17,2,3)))</f>
        <v/>
      </c>
      <c r="BH11" s="7">
        <f>IF(ABS('07_CONTINUOUS_CODEBOOK'!BH11)&lt;'04_CODEBOOK_CONTROL'!$B$15,0,SIGN('07_CONTINUOUS_CODEBOOK'!BH11)*IF(ABS('07_CONTINUOUS_CODEBOOK'!BH11)&lt;'04_CODEBOOK_CONTROL'!$B$16,1,IF(ABS('07_CONTINUOUS_CODEBOOK'!BH11)&lt;'04_CODEBOOK_CONTROL'!$B$17,2,3)))</f>
        <v/>
      </c>
      <c r="BI11" s="7">
        <f>IF(ABS('07_CONTINUOUS_CODEBOOK'!BI11)&lt;'04_CODEBOOK_CONTROL'!$B$15,0,SIGN('07_CONTINUOUS_CODEBOOK'!BI11)*IF(ABS('07_CONTINUOUS_CODEBOOK'!BI11)&lt;'04_CODEBOOK_CONTROL'!$B$16,1,IF(ABS('07_CONTINUOUS_CODEBOOK'!BI11)&lt;'04_CODEBOOK_CONTROL'!$B$17,2,3)))</f>
        <v/>
      </c>
      <c r="BJ11" s="7">
        <f>IF(ABS('07_CONTINUOUS_CODEBOOK'!BJ11)&lt;'04_CODEBOOK_CONTROL'!$B$15,0,SIGN('07_CONTINUOUS_CODEBOOK'!BJ11)*IF(ABS('07_CONTINUOUS_CODEBOOK'!BJ11)&lt;'04_CODEBOOK_CONTROL'!$B$16,1,IF(ABS('07_CONTINUOUS_CODEBOOK'!BJ11)&lt;'04_CODEBOOK_CONTROL'!$B$17,2,3)))</f>
        <v/>
      </c>
      <c r="BK11" s="7">
        <f>IF(ABS('07_CONTINUOUS_CODEBOOK'!BK11)&lt;'04_CODEBOOK_CONTROL'!$B$15,0,SIGN('07_CONTINUOUS_CODEBOOK'!BK11)*IF(ABS('07_CONTINUOUS_CODEBOOK'!BK11)&lt;'04_CODEBOOK_CONTROL'!$B$16,1,IF(ABS('07_CONTINUOUS_CODEBOOK'!BK11)&lt;'04_CODEBOOK_CONTROL'!$B$17,2,3)))</f>
        <v/>
      </c>
      <c r="BL11" s="7">
        <f>IF(ABS('07_CONTINUOUS_CODEBOOK'!BL11)&lt;'04_CODEBOOK_CONTROL'!$B$15,0,SIGN('07_CONTINUOUS_CODEBOOK'!BL11)*IF(ABS('07_CONTINUOUS_CODEBOOK'!BL11)&lt;'04_CODEBOOK_CONTROL'!$B$16,1,IF(ABS('07_CONTINUOUS_CODEBOOK'!BL11)&lt;'04_CODEBOOK_CONTROL'!$B$17,2,3)))</f>
        <v/>
      </c>
      <c r="BM11" s="7">
        <f>IF(ABS('07_CONTINUOUS_CODEBOOK'!BM11)&lt;'04_CODEBOOK_CONTROL'!$B$15,0,SIGN('07_CONTINUOUS_CODEBOOK'!BM11)*IF(ABS('07_CONTINUOUS_CODEBOOK'!BM11)&lt;'04_CODEBOOK_CONTROL'!$B$16,1,IF(ABS('07_CONTINUOUS_CODEBOOK'!BM11)&lt;'04_CODEBOOK_CONTROL'!$B$17,2,3)))</f>
        <v/>
      </c>
      <c r="BN11" s="7">
        <f>IF(ABS('07_CONTINUOUS_CODEBOOK'!BN11)&lt;'04_CODEBOOK_CONTROL'!$B$15,0,SIGN('07_CONTINUOUS_CODEBOOK'!BN11)*IF(ABS('07_CONTINUOUS_CODEBOOK'!BN11)&lt;'04_CODEBOOK_CONTROL'!$B$16,1,IF(ABS('07_CONTINUOUS_CODEBOOK'!BN11)&lt;'04_CODEBOOK_CONTROL'!$B$17,2,3)))</f>
        <v/>
      </c>
      <c r="BO11" s="7">
        <f>IF(ABS('07_CONTINUOUS_CODEBOOK'!BO11)&lt;'04_CODEBOOK_CONTROL'!$B$15,0,SIGN('07_CONTINUOUS_CODEBOOK'!BO11)*IF(ABS('07_CONTINUOUS_CODEBOOK'!BO11)&lt;'04_CODEBOOK_CONTROL'!$B$16,1,IF(ABS('07_CONTINUOUS_CODEBOOK'!BO11)&lt;'04_CODEBOOK_CONTROL'!$B$17,2,3)))</f>
        <v/>
      </c>
      <c r="BP11" s="7">
        <f>IF(ABS('07_CONTINUOUS_CODEBOOK'!BP11)&lt;'04_CODEBOOK_CONTROL'!$B$15,0,SIGN('07_CONTINUOUS_CODEBOOK'!BP11)*IF(ABS('07_CONTINUOUS_CODEBOOK'!BP11)&lt;'04_CODEBOOK_CONTROL'!$B$16,1,IF(ABS('07_CONTINUOUS_CODEBOOK'!BP11)&lt;'04_CODEBOOK_CONTROL'!$B$17,2,3)))</f>
        <v/>
      </c>
      <c r="BQ11" s="7">
        <f>IF(ABS('07_CONTINUOUS_CODEBOOK'!BQ11)&lt;'04_CODEBOOK_CONTROL'!$B$15,0,SIGN('07_CONTINUOUS_CODEBOOK'!BQ11)*IF(ABS('07_CONTINUOUS_CODEBOOK'!BQ11)&lt;'04_CODEBOOK_CONTROL'!$B$16,1,IF(ABS('07_CONTINUOUS_CODEBOOK'!BQ11)&lt;'04_CODEBOOK_CONTROL'!$B$17,2,3)))</f>
        <v/>
      </c>
      <c r="BR11" s="7">
        <f>IF(ABS('07_CONTINUOUS_CODEBOOK'!BR11)&lt;'04_CODEBOOK_CONTROL'!$B$15,0,SIGN('07_CONTINUOUS_CODEBOOK'!BR11)*IF(ABS('07_CONTINUOUS_CODEBOOK'!BR11)&lt;'04_CODEBOOK_CONTROL'!$B$16,1,IF(ABS('07_CONTINUOUS_CODEBOOK'!BR11)&lt;'04_CODEBOOK_CONTROL'!$B$17,2,3)))</f>
        <v/>
      </c>
      <c r="BS11" s="7">
        <f>IF(ABS('07_CONTINUOUS_CODEBOOK'!BS11)&lt;'04_CODEBOOK_CONTROL'!$B$15,0,SIGN('07_CONTINUOUS_CODEBOOK'!BS11)*IF(ABS('07_CONTINUOUS_CODEBOOK'!BS11)&lt;'04_CODEBOOK_CONTROL'!$B$16,1,IF(ABS('07_CONTINUOUS_CODEBOOK'!BS11)&lt;'04_CODEBOOK_CONTROL'!$B$17,2,3)))</f>
        <v/>
      </c>
      <c r="BT11" s="7">
        <f>IF(ABS('07_CONTINUOUS_CODEBOOK'!BT11)&lt;'04_CODEBOOK_CONTROL'!$B$15,0,SIGN('07_CONTINUOUS_CODEBOOK'!BT11)*IF(ABS('07_CONTINUOUS_CODEBOOK'!BT11)&lt;'04_CODEBOOK_CONTROL'!$B$16,1,IF(ABS('07_CONTINUOUS_CODEBOOK'!BT11)&lt;'04_CODEBOOK_CONTROL'!$B$17,2,3)))</f>
        <v/>
      </c>
      <c r="BU11" s="7">
        <f>IF(ABS('07_CONTINUOUS_CODEBOOK'!BU11)&lt;'04_CODEBOOK_CONTROL'!$B$15,0,SIGN('07_CONTINUOUS_CODEBOOK'!BU11)*IF(ABS('07_CONTINUOUS_CODEBOOK'!BU11)&lt;'04_CODEBOOK_CONTROL'!$B$16,1,IF(ABS('07_CONTINUOUS_CODEBOOK'!BU11)&lt;'04_CODEBOOK_CONTROL'!$B$17,2,3)))</f>
        <v/>
      </c>
      <c r="BV11" s="7">
        <f>IF(ABS('07_CONTINUOUS_CODEBOOK'!BV11)&lt;'04_CODEBOOK_CONTROL'!$B$15,0,SIGN('07_CONTINUOUS_CODEBOOK'!BV11)*IF(ABS('07_CONTINUOUS_CODEBOOK'!BV11)&lt;'04_CODEBOOK_CONTROL'!$B$16,1,IF(ABS('07_CONTINUOUS_CODEBOOK'!BV11)&lt;'04_CODEBOOK_CONTROL'!$B$17,2,3)))</f>
        <v/>
      </c>
      <c r="BW11" s="7">
        <f>IF(ABS('07_CONTINUOUS_CODEBOOK'!BW11)&lt;'04_CODEBOOK_CONTROL'!$B$15,0,SIGN('07_CONTINUOUS_CODEBOOK'!BW11)*IF(ABS('07_CONTINUOUS_CODEBOOK'!BW11)&lt;'04_CODEBOOK_CONTROL'!$B$16,1,IF(ABS('07_CONTINUOUS_CODEBOOK'!BW11)&lt;'04_CODEBOOK_CONTROL'!$B$17,2,3)))</f>
        <v/>
      </c>
      <c r="BX11" s="7">
        <f>IF(ABS('07_CONTINUOUS_CODEBOOK'!BX11)&lt;'04_CODEBOOK_CONTROL'!$B$15,0,SIGN('07_CONTINUOUS_CODEBOOK'!BX11)*IF(ABS('07_CONTINUOUS_CODEBOOK'!BX11)&lt;'04_CODEBOOK_CONTROL'!$B$16,1,IF(ABS('07_CONTINUOUS_CODEBOOK'!BX11)&lt;'04_CODEBOOK_CONTROL'!$B$17,2,3)))</f>
        <v/>
      </c>
      <c r="BY11" s="7">
        <f>IF(ABS('07_CONTINUOUS_CODEBOOK'!BY11)&lt;'04_CODEBOOK_CONTROL'!$B$15,0,SIGN('07_CONTINUOUS_CODEBOOK'!BY11)*IF(ABS('07_CONTINUOUS_CODEBOOK'!BY11)&lt;'04_CODEBOOK_CONTROL'!$B$16,1,IF(ABS('07_CONTINUOUS_CODEBOOK'!BY11)&lt;'04_CODEBOOK_CONTROL'!$B$17,2,3)))</f>
        <v/>
      </c>
      <c r="BZ11" s="7">
        <f>IF(ABS('07_CONTINUOUS_CODEBOOK'!BZ11)&lt;'04_CODEBOOK_CONTROL'!$B$15,0,SIGN('07_CONTINUOUS_CODEBOOK'!BZ11)*IF(ABS('07_CONTINUOUS_CODEBOOK'!BZ11)&lt;'04_CODEBOOK_CONTROL'!$B$16,1,IF(ABS('07_CONTINUOUS_CODEBOOK'!BZ11)&lt;'04_CODEBOOK_CONTROL'!$B$17,2,3)))</f>
        <v/>
      </c>
      <c r="CA11" s="7">
        <f>IF(ABS('07_CONTINUOUS_CODEBOOK'!CA11)&lt;'04_CODEBOOK_CONTROL'!$B$15,0,SIGN('07_CONTINUOUS_CODEBOOK'!CA11)*IF(ABS('07_CONTINUOUS_CODEBOOK'!CA11)&lt;'04_CODEBOOK_CONTROL'!$B$16,1,IF(ABS('07_CONTINUOUS_CODEBOOK'!CA11)&lt;'04_CODEBOOK_CONTROL'!$B$17,2,3)))</f>
        <v/>
      </c>
      <c r="CB11" s="7">
        <f>IF(ABS('07_CONTINUOUS_CODEBOOK'!CB11)&lt;'04_CODEBOOK_CONTROL'!$B$15,0,SIGN('07_CONTINUOUS_CODEBOOK'!CB11)*IF(ABS('07_CONTINUOUS_CODEBOOK'!CB11)&lt;'04_CODEBOOK_CONTROL'!$B$16,1,IF(ABS('07_CONTINUOUS_CODEBOOK'!CB11)&lt;'04_CODEBOOK_CONTROL'!$B$17,2,3)))</f>
        <v/>
      </c>
      <c r="CC11" s="7">
        <f>IF(ABS('07_CONTINUOUS_CODEBOOK'!CC11)&lt;'04_CODEBOOK_CONTROL'!$B$15,0,SIGN('07_CONTINUOUS_CODEBOOK'!CC11)*IF(ABS('07_CONTINUOUS_CODEBOOK'!CC11)&lt;'04_CODEBOOK_CONTROL'!$B$16,1,IF(ABS('07_CONTINUOUS_CODEBOOK'!CC11)&lt;'04_CODEBOOK_CONTROL'!$B$17,2,3)))</f>
        <v/>
      </c>
      <c r="CD11" s="7">
        <f>IF(ABS('07_CONTINUOUS_CODEBOOK'!CD11)&lt;'04_CODEBOOK_CONTROL'!$B$15,0,SIGN('07_CONTINUOUS_CODEBOOK'!CD11)*IF(ABS('07_CONTINUOUS_CODEBOOK'!CD11)&lt;'04_CODEBOOK_CONTROL'!$B$16,1,IF(ABS('07_CONTINUOUS_CODEBOOK'!CD11)&lt;'04_CODEBOOK_CONTROL'!$B$17,2,3)))</f>
        <v/>
      </c>
      <c r="CE11" s="7">
        <f>IF(ABS('07_CONTINUOUS_CODEBOOK'!CE11)&lt;'04_CODEBOOK_CONTROL'!$B$15,0,SIGN('07_CONTINUOUS_CODEBOOK'!CE11)*IF(ABS('07_CONTINUOUS_CODEBOOK'!CE11)&lt;'04_CODEBOOK_CONTROL'!$B$16,1,IF(ABS('07_CONTINUOUS_CODEBOOK'!CE11)&lt;'04_CODEBOOK_CONTROL'!$B$17,2,3)))</f>
        <v/>
      </c>
    </row>
    <row r="12">
      <c r="A12" t="n">
        <v>8</v>
      </c>
      <c r="B12" t="inlineStr">
        <is>
          <t>金星人</t>
        </is>
      </c>
      <c r="C12" t="inlineStr">
        <is>
          <t>Venusian</t>
        </is>
      </c>
      <c r="D12" s="7">
        <f>IF(ABS('07_CONTINUOUS_CODEBOOK'!D12)&lt;'04_CODEBOOK_CONTROL'!$B$15,0,SIGN('07_CONTINUOUS_CODEBOOK'!D12)*IF(ABS('07_CONTINUOUS_CODEBOOK'!D12)&lt;'04_CODEBOOK_CONTROL'!$B$16,1,IF(ABS('07_CONTINUOUS_CODEBOOK'!D12)&lt;'04_CODEBOOK_CONTROL'!$B$17,2,3)))</f>
        <v/>
      </c>
      <c r="E12" s="7">
        <f>IF(ABS('07_CONTINUOUS_CODEBOOK'!E12)&lt;'04_CODEBOOK_CONTROL'!$B$15,0,SIGN('07_CONTINUOUS_CODEBOOK'!E12)*IF(ABS('07_CONTINUOUS_CODEBOOK'!E12)&lt;'04_CODEBOOK_CONTROL'!$B$16,1,IF(ABS('07_CONTINUOUS_CODEBOOK'!E12)&lt;'04_CODEBOOK_CONTROL'!$B$17,2,3)))</f>
        <v/>
      </c>
      <c r="F12" s="7">
        <f>IF(ABS('07_CONTINUOUS_CODEBOOK'!F12)&lt;'04_CODEBOOK_CONTROL'!$B$15,0,SIGN('07_CONTINUOUS_CODEBOOK'!F12)*IF(ABS('07_CONTINUOUS_CODEBOOK'!F12)&lt;'04_CODEBOOK_CONTROL'!$B$16,1,IF(ABS('07_CONTINUOUS_CODEBOOK'!F12)&lt;'04_CODEBOOK_CONTROL'!$B$17,2,3)))</f>
        <v/>
      </c>
      <c r="G12" s="7">
        <f>IF(ABS('07_CONTINUOUS_CODEBOOK'!G12)&lt;'04_CODEBOOK_CONTROL'!$B$15,0,SIGN('07_CONTINUOUS_CODEBOOK'!G12)*IF(ABS('07_CONTINUOUS_CODEBOOK'!G12)&lt;'04_CODEBOOK_CONTROL'!$B$16,1,IF(ABS('07_CONTINUOUS_CODEBOOK'!G12)&lt;'04_CODEBOOK_CONTROL'!$B$17,2,3)))</f>
        <v/>
      </c>
      <c r="H12" s="7">
        <f>IF(ABS('07_CONTINUOUS_CODEBOOK'!H12)&lt;'04_CODEBOOK_CONTROL'!$B$15,0,SIGN('07_CONTINUOUS_CODEBOOK'!H12)*IF(ABS('07_CONTINUOUS_CODEBOOK'!H12)&lt;'04_CODEBOOK_CONTROL'!$B$16,1,IF(ABS('07_CONTINUOUS_CODEBOOK'!H12)&lt;'04_CODEBOOK_CONTROL'!$B$17,2,3)))</f>
        <v/>
      </c>
      <c r="I12" s="7">
        <f>IF(ABS('07_CONTINUOUS_CODEBOOK'!I12)&lt;'04_CODEBOOK_CONTROL'!$B$15,0,SIGN('07_CONTINUOUS_CODEBOOK'!I12)*IF(ABS('07_CONTINUOUS_CODEBOOK'!I12)&lt;'04_CODEBOOK_CONTROL'!$B$16,1,IF(ABS('07_CONTINUOUS_CODEBOOK'!I12)&lt;'04_CODEBOOK_CONTROL'!$B$17,2,3)))</f>
        <v/>
      </c>
      <c r="J12" s="7">
        <f>IF(ABS('07_CONTINUOUS_CODEBOOK'!J12)&lt;'04_CODEBOOK_CONTROL'!$B$15,0,SIGN('07_CONTINUOUS_CODEBOOK'!J12)*IF(ABS('07_CONTINUOUS_CODEBOOK'!J12)&lt;'04_CODEBOOK_CONTROL'!$B$16,1,IF(ABS('07_CONTINUOUS_CODEBOOK'!J12)&lt;'04_CODEBOOK_CONTROL'!$B$17,2,3)))</f>
        <v/>
      </c>
      <c r="K12" s="7">
        <f>IF(ABS('07_CONTINUOUS_CODEBOOK'!K12)&lt;'04_CODEBOOK_CONTROL'!$B$15,0,SIGN('07_CONTINUOUS_CODEBOOK'!K12)*IF(ABS('07_CONTINUOUS_CODEBOOK'!K12)&lt;'04_CODEBOOK_CONTROL'!$B$16,1,IF(ABS('07_CONTINUOUS_CODEBOOK'!K12)&lt;'04_CODEBOOK_CONTROL'!$B$17,2,3)))</f>
        <v/>
      </c>
      <c r="L12" s="7">
        <f>IF(ABS('07_CONTINUOUS_CODEBOOK'!L12)&lt;'04_CODEBOOK_CONTROL'!$B$15,0,SIGN('07_CONTINUOUS_CODEBOOK'!L12)*IF(ABS('07_CONTINUOUS_CODEBOOK'!L12)&lt;'04_CODEBOOK_CONTROL'!$B$16,1,IF(ABS('07_CONTINUOUS_CODEBOOK'!L12)&lt;'04_CODEBOOK_CONTROL'!$B$17,2,3)))</f>
        <v/>
      </c>
      <c r="M12" s="7">
        <f>IF(ABS('07_CONTINUOUS_CODEBOOK'!M12)&lt;'04_CODEBOOK_CONTROL'!$B$15,0,SIGN('07_CONTINUOUS_CODEBOOK'!M12)*IF(ABS('07_CONTINUOUS_CODEBOOK'!M12)&lt;'04_CODEBOOK_CONTROL'!$B$16,1,IF(ABS('07_CONTINUOUS_CODEBOOK'!M12)&lt;'04_CODEBOOK_CONTROL'!$B$17,2,3)))</f>
        <v/>
      </c>
      <c r="N12" s="7">
        <f>IF(ABS('07_CONTINUOUS_CODEBOOK'!N12)&lt;'04_CODEBOOK_CONTROL'!$B$15,0,SIGN('07_CONTINUOUS_CODEBOOK'!N12)*IF(ABS('07_CONTINUOUS_CODEBOOK'!N12)&lt;'04_CODEBOOK_CONTROL'!$B$16,1,IF(ABS('07_CONTINUOUS_CODEBOOK'!N12)&lt;'04_CODEBOOK_CONTROL'!$B$17,2,3)))</f>
        <v/>
      </c>
      <c r="O12" s="7">
        <f>IF(ABS('07_CONTINUOUS_CODEBOOK'!O12)&lt;'04_CODEBOOK_CONTROL'!$B$15,0,SIGN('07_CONTINUOUS_CODEBOOK'!O12)*IF(ABS('07_CONTINUOUS_CODEBOOK'!O12)&lt;'04_CODEBOOK_CONTROL'!$B$16,1,IF(ABS('07_CONTINUOUS_CODEBOOK'!O12)&lt;'04_CODEBOOK_CONTROL'!$B$17,2,3)))</f>
        <v/>
      </c>
      <c r="P12" s="7">
        <f>IF(ABS('07_CONTINUOUS_CODEBOOK'!P12)&lt;'04_CODEBOOK_CONTROL'!$B$15,0,SIGN('07_CONTINUOUS_CODEBOOK'!P12)*IF(ABS('07_CONTINUOUS_CODEBOOK'!P12)&lt;'04_CODEBOOK_CONTROL'!$B$16,1,IF(ABS('07_CONTINUOUS_CODEBOOK'!P12)&lt;'04_CODEBOOK_CONTROL'!$B$17,2,3)))</f>
        <v/>
      </c>
      <c r="Q12" s="7">
        <f>IF(ABS('07_CONTINUOUS_CODEBOOK'!Q12)&lt;'04_CODEBOOK_CONTROL'!$B$15,0,SIGN('07_CONTINUOUS_CODEBOOK'!Q12)*IF(ABS('07_CONTINUOUS_CODEBOOK'!Q12)&lt;'04_CODEBOOK_CONTROL'!$B$16,1,IF(ABS('07_CONTINUOUS_CODEBOOK'!Q12)&lt;'04_CODEBOOK_CONTROL'!$B$17,2,3)))</f>
        <v/>
      </c>
      <c r="R12" s="7">
        <f>IF(ABS('07_CONTINUOUS_CODEBOOK'!R12)&lt;'04_CODEBOOK_CONTROL'!$B$15,0,SIGN('07_CONTINUOUS_CODEBOOK'!R12)*IF(ABS('07_CONTINUOUS_CODEBOOK'!R12)&lt;'04_CODEBOOK_CONTROL'!$B$16,1,IF(ABS('07_CONTINUOUS_CODEBOOK'!R12)&lt;'04_CODEBOOK_CONTROL'!$B$17,2,3)))</f>
        <v/>
      </c>
      <c r="S12" s="7">
        <f>IF(ABS('07_CONTINUOUS_CODEBOOK'!S12)&lt;'04_CODEBOOK_CONTROL'!$B$15,0,SIGN('07_CONTINUOUS_CODEBOOK'!S12)*IF(ABS('07_CONTINUOUS_CODEBOOK'!S12)&lt;'04_CODEBOOK_CONTROL'!$B$16,1,IF(ABS('07_CONTINUOUS_CODEBOOK'!S12)&lt;'04_CODEBOOK_CONTROL'!$B$17,2,3)))</f>
        <v/>
      </c>
      <c r="T12" s="7">
        <f>IF(ABS('07_CONTINUOUS_CODEBOOK'!T12)&lt;'04_CODEBOOK_CONTROL'!$B$15,0,SIGN('07_CONTINUOUS_CODEBOOK'!T12)*IF(ABS('07_CONTINUOUS_CODEBOOK'!T12)&lt;'04_CODEBOOK_CONTROL'!$B$16,1,IF(ABS('07_CONTINUOUS_CODEBOOK'!T12)&lt;'04_CODEBOOK_CONTROL'!$B$17,2,3)))</f>
        <v/>
      </c>
      <c r="U12" s="7">
        <f>IF(ABS('07_CONTINUOUS_CODEBOOK'!U12)&lt;'04_CODEBOOK_CONTROL'!$B$15,0,SIGN('07_CONTINUOUS_CODEBOOK'!U12)*IF(ABS('07_CONTINUOUS_CODEBOOK'!U12)&lt;'04_CODEBOOK_CONTROL'!$B$16,1,IF(ABS('07_CONTINUOUS_CODEBOOK'!U12)&lt;'04_CODEBOOK_CONTROL'!$B$17,2,3)))</f>
        <v/>
      </c>
      <c r="V12" s="7">
        <f>IF(ABS('07_CONTINUOUS_CODEBOOK'!V12)&lt;'04_CODEBOOK_CONTROL'!$B$15,0,SIGN('07_CONTINUOUS_CODEBOOK'!V12)*IF(ABS('07_CONTINUOUS_CODEBOOK'!V12)&lt;'04_CODEBOOK_CONTROL'!$B$16,1,IF(ABS('07_CONTINUOUS_CODEBOOK'!V12)&lt;'04_CODEBOOK_CONTROL'!$B$17,2,3)))</f>
        <v/>
      </c>
      <c r="W12" s="7">
        <f>IF(ABS('07_CONTINUOUS_CODEBOOK'!W12)&lt;'04_CODEBOOK_CONTROL'!$B$15,0,SIGN('07_CONTINUOUS_CODEBOOK'!W12)*IF(ABS('07_CONTINUOUS_CODEBOOK'!W12)&lt;'04_CODEBOOK_CONTROL'!$B$16,1,IF(ABS('07_CONTINUOUS_CODEBOOK'!W12)&lt;'04_CODEBOOK_CONTROL'!$B$17,2,3)))</f>
        <v/>
      </c>
      <c r="X12" s="7">
        <f>IF(ABS('07_CONTINUOUS_CODEBOOK'!X12)&lt;'04_CODEBOOK_CONTROL'!$B$15,0,SIGN('07_CONTINUOUS_CODEBOOK'!X12)*IF(ABS('07_CONTINUOUS_CODEBOOK'!X12)&lt;'04_CODEBOOK_CONTROL'!$B$16,1,IF(ABS('07_CONTINUOUS_CODEBOOK'!X12)&lt;'04_CODEBOOK_CONTROL'!$B$17,2,3)))</f>
        <v/>
      </c>
      <c r="Y12" s="7">
        <f>IF(ABS('07_CONTINUOUS_CODEBOOK'!Y12)&lt;'04_CODEBOOK_CONTROL'!$B$15,0,SIGN('07_CONTINUOUS_CODEBOOK'!Y12)*IF(ABS('07_CONTINUOUS_CODEBOOK'!Y12)&lt;'04_CODEBOOK_CONTROL'!$B$16,1,IF(ABS('07_CONTINUOUS_CODEBOOK'!Y12)&lt;'04_CODEBOOK_CONTROL'!$B$17,2,3)))</f>
        <v/>
      </c>
      <c r="Z12" s="7">
        <f>IF(ABS('07_CONTINUOUS_CODEBOOK'!Z12)&lt;'04_CODEBOOK_CONTROL'!$B$15,0,SIGN('07_CONTINUOUS_CODEBOOK'!Z12)*IF(ABS('07_CONTINUOUS_CODEBOOK'!Z12)&lt;'04_CODEBOOK_CONTROL'!$B$16,1,IF(ABS('07_CONTINUOUS_CODEBOOK'!Z12)&lt;'04_CODEBOOK_CONTROL'!$B$17,2,3)))</f>
        <v/>
      </c>
      <c r="AA12" s="7">
        <f>IF(ABS('07_CONTINUOUS_CODEBOOK'!AA12)&lt;'04_CODEBOOK_CONTROL'!$B$15,0,SIGN('07_CONTINUOUS_CODEBOOK'!AA12)*IF(ABS('07_CONTINUOUS_CODEBOOK'!AA12)&lt;'04_CODEBOOK_CONTROL'!$B$16,1,IF(ABS('07_CONTINUOUS_CODEBOOK'!AA12)&lt;'04_CODEBOOK_CONTROL'!$B$17,2,3)))</f>
        <v/>
      </c>
      <c r="AB12" s="7">
        <f>IF(ABS('07_CONTINUOUS_CODEBOOK'!AB12)&lt;'04_CODEBOOK_CONTROL'!$B$15,0,SIGN('07_CONTINUOUS_CODEBOOK'!AB12)*IF(ABS('07_CONTINUOUS_CODEBOOK'!AB12)&lt;'04_CODEBOOK_CONTROL'!$B$16,1,IF(ABS('07_CONTINUOUS_CODEBOOK'!AB12)&lt;'04_CODEBOOK_CONTROL'!$B$17,2,3)))</f>
        <v/>
      </c>
      <c r="AC12" s="7">
        <f>IF(ABS('07_CONTINUOUS_CODEBOOK'!AC12)&lt;'04_CODEBOOK_CONTROL'!$B$15,0,SIGN('07_CONTINUOUS_CODEBOOK'!AC12)*IF(ABS('07_CONTINUOUS_CODEBOOK'!AC12)&lt;'04_CODEBOOK_CONTROL'!$B$16,1,IF(ABS('07_CONTINUOUS_CODEBOOK'!AC12)&lt;'04_CODEBOOK_CONTROL'!$B$17,2,3)))</f>
        <v/>
      </c>
      <c r="AD12" s="7">
        <f>IF(ABS('07_CONTINUOUS_CODEBOOK'!AD12)&lt;'04_CODEBOOK_CONTROL'!$B$15,0,SIGN('07_CONTINUOUS_CODEBOOK'!AD12)*IF(ABS('07_CONTINUOUS_CODEBOOK'!AD12)&lt;'04_CODEBOOK_CONTROL'!$B$16,1,IF(ABS('07_CONTINUOUS_CODEBOOK'!AD12)&lt;'04_CODEBOOK_CONTROL'!$B$17,2,3)))</f>
        <v/>
      </c>
      <c r="AE12" s="7">
        <f>IF(ABS('07_CONTINUOUS_CODEBOOK'!AE12)&lt;'04_CODEBOOK_CONTROL'!$B$15,0,SIGN('07_CONTINUOUS_CODEBOOK'!AE12)*IF(ABS('07_CONTINUOUS_CODEBOOK'!AE12)&lt;'04_CODEBOOK_CONTROL'!$B$16,1,IF(ABS('07_CONTINUOUS_CODEBOOK'!AE12)&lt;'04_CODEBOOK_CONTROL'!$B$17,2,3)))</f>
        <v/>
      </c>
      <c r="AF12" s="7">
        <f>IF(ABS('07_CONTINUOUS_CODEBOOK'!AF12)&lt;'04_CODEBOOK_CONTROL'!$B$15,0,SIGN('07_CONTINUOUS_CODEBOOK'!AF12)*IF(ABS('07_CONTINUOUS_CODEBOOK'!AF12)&lt;'04_CODEBOOK_CONTROL'!$B$16,1,IF(ABS('07_CONTINUOUS_CODEBOOK'!AF12)&lt;'04_CODEBOOK_CONTROL'!$B$17,2,3)))</f>
        <v/>
      </c>
      <c r="AG12" s="7">
        <f>IF(ABS('07_CONTINUOUS_CODEBOOK'!AG12)&lt;'04_CODEBOOK_CONTROL'!$B$15,0,SIGN('07_CONTINUOUS_CODEBOOK'!AG12)*IF(ABS('07_CONTINUOUS_CODEBOOK'!AG12)&lt;'04_CODEBOOK_CONTROL'!$B$16,1,IF(ABS('07_CONTINUOUS_CODEBOOK'!AG12)&lt;'04_CODEBOOK_CONTROL'!$B$17,2,3)))</f>
        <v/>
      </c>
      <c r="AH12" s="7">
        <f>IF(ABS('07_CONTINUOUS_CODEBOOK'!AH12)&lt;'04_CODEBOOK_CONTROL'!$B$15,0,SIGN('07_CONTINUOUS_CODEBOOK'!AH12)*IF(ABS('07_CONTINUOUS_CODEBOOK'!AH12)&lt;'04_CODEBOOK_CONTROL'!$B$16,1,IF(ABS('07_CONTINUOUS_CODEBOOK'!AH12)&lt;'04_CODEBOOK_CONTROL'!$B$17,2,3)))</f>
        <v/>
      </c>
      <c r="AI12" s="7">
        <f>IF(ABS('07_CONTINUOUS_CODEBOOK'!AI12)&lt;'04_CODEBOOK_CONTROL'!$B$15,0,SIGN('07_CONTINUOUS_CODEBOOK'!AI12)*IF(ABS('07_CONTINUOUS_CODEBOOK'!AI12)&lt;'04_CODEBOOK_CONTROL'!$B$16,1,IF(ABS('07_CONTINUOUS_CODEBOOK'!AI12)&lt;'04_CODEBOOK_CONTROL'!$B$17,2,3)))</f>
        <v/>
      </c>
      <c r="AJ12" s="7">
        <f>IF(ABS('07_CONTINUOUS_CODEBOOK'!AJ12)&lt;'04_CODEBOOK_CONTROL'!$B$15,0,SIGN('07_CONTINUOUS_CODEBOOK'!AJ12)*IF(ABS('07_CONTINUOUS_CODEBOOK'!AJ12)&lt;'04_CODEBOOK_CONTROL'!$B$16,1,IF(ABS('07_CONTINUOUS_CODEBOOK'!AJ12)&lt;'04_CODEBOOK_CONTROL'!$B$17,2,3)))</f>
        <v/>
      </c>
      <c r="AK12" s="7">
        <f>IF(ABS('07_CONTINUOUS_CODEBOOK'!AK12)&lt;'04_CODEBOOK_CONTROL'!$B$15,0,SIGN('07_CONTINUOUS_CODEBOOK'!AK12)*IF(ABS('07_CONTINUOUS_CODEBOOK'!AK12)&lt;'04_CODEBOOK_CONTROL'!$B$16,1,IF(ABS('07_CONTINUOUS_CODEBOOK'!AK12)&lt;'04_CODEBOOK_CONTROL'!$B$17,2,3)))</f>
        <v/>
      </c>
      <c r="AL12" s="7">
        <f>IF(ABS('07_CONTINUOUS_CODEBOOK'!AL12)&lt;'04_CODEBOOK_CONTROL'!$B$15,0,SIGN('07_CONTINUOUS_CODEBOOK'!AL12)*IF(ABS('07_CONTINUOUS_CODEBOOK'!AL12)&lt;'04_CODEBOOK_CONTROL'!$B$16,1,IF(ABS('07_CONTINUOUS_CODEBOOK'!AL12)&lt;'04_CODEBOOK_CONTROL'!$B$17,2,3)))</f>
        <v/>
      </c>
      <c r="AM12" s="7">
        <f>IF(ABS('07_CONTINUOUS_CODEBOOK'!AM12)&lt;'04_CODEBOOK_CONTROL'!$B$15,0,SIGN('07_CONTINUOUS_CODEBOOK'!AM12)*IF(ABS('07_CONTINUOUS_CODEBOOK'!AM12)&lt;'04_CODEBOOK_CONTROL'!$B$16,1,IF(ABS('07_CONTINUOUS_CODEBOOK'!AM12)&lt;'04_CODEBOOK_CONTROL'!$B$17,2,3)))</f>
        <v/>
      </c>
      <c r="AN12" s="7">
        <f>IF(ABS('07_CONTINUOUS_CODEBOOK'!AN12)&lt;'04_CODEBOOK_CONTROL'!$B$15,0,SIGN('07_CONTINUOUS_CODEBOOK'!AN12)*IF(ABS('07_CONTINUOUS_CODEBOOK'!AN12)&lt;'04_CODEBOOK_CONTROL'!$B$16,1,IF(ABS('07_CONTINUOUS_CODEBOOK'!AN12)&lt;'04_CODEBOOK_CONTROL'!$B$17,2,3)))</f>
        <v/>
      </c>
      <c r="AO12" s="7">
        <f>IF(ABS('07_CONTINUOUS_CODEBOOK'!AO12)&lt;'04_CODEBOOK_CONTROL'!$B$15,0,SIGN('07_CONTINUOUS_CODEBOOK'!AO12)*IF(ABS('07_CONTINUOUS_CODEBOOK'!AO12)&lt;'04_CODEBOOK_CONTROL'!$B$16,1,IF(ABS('07_CONTINUOUS_CODEBOOK'!AO12)&lt;'04_CODEBOOK_CONTROL'!$B$17,2,3)))</f>
        <v/>
      </c>
      <c r="AP12" s="7">
        <f>IF(ABS('07_CONTINUOUS_CODEBOOK'!AP12)&lt;'04_CODEBOOK_CONTROL'!$B$15,0,SIGN('07_CONTINUOUS_CODEBOOK'!AP12)*IF(ABS('07_CONTINUOUS_CODEBOOK'!AP12)&lt;'04_CODEBOOK_CONTROL'!$B$16,1,IF(ABS('07_CONTINUOUS_CODEBOOK'!AP12)&lt;'04_CODEBOOK_CONTROL'!$B$17,2,3)))</f>
        <v/>
      </c>
      <c r="AQ12" s="7">
        <f>IF(ABS('07_CONTINUOUS_CODEBOOK'!AQ12)&lt;'04_CODEBOOK_CONTROL'!$B$15,0,SIGN('07_CONTINUOUS_CODEBOOK'!AQ12)*IF(ABS('07_CONTINUOUS_CODEBOOK'!AQ12)&lt;'04_CODEBOOK_CONTROL'!$B$16,1,IF(ABS('07_CONTINUOUS_CODEBOOK'!AQ12)&lt;'04_CODEBOOK_CONTROL'!$B$17,2,3)))</f>
        <v/>
      </c>
      <c r="AR12" s="7">
        <f>IF(ABS('07_CONTINUOUS_CODEBOOK'!AR12)&lt;'04_CODEBOOK_CONTROL'!$B$15,0,SIGN('07_CONTINUOUS_CODEBOOK'!AR12)*IF(ABS('07_CONTINUOUS_CODEBOOK'!AR12)&lt;'04_CODEBOOK_CONTROL'!$B$16,1,IF(ABS('07_CONTINUOUS_CODEBOOK'!AR12)&lt;'04_CODEBOOK_CONTROL'!$B$17,2,3)))</f>
        <v/>
      </c>
      <c r="AS12" s="7">
        <f>IF(ABS('07_CONTINUOUS_CODEBOOK'!AS12)&lt;'04_CODEBOOK_CONTROL'!$B$15,0,SIGN('07_CONTINUOUS_CODEBOOK'!AS12)*IF(ABS('07_CONTINUOUS_CODEBOOK'!AS12)&lt;'04_CODEBOOK_CONTROL'!$B$16,1,IF(ABS('07_CONTINUOUS_CODEBOOK'!AS12)&lt;'04_CODEBOOK_CONTROL'!$B$17,2,3)))</f>
        <v/>
      </c>
      <c r="AT12" s="7">
        <f>IF(ABS('07_CONTINUOUS_CODEBOOK'!AT12)&lt;'04_CODEBOOK_CONTROL'!$B$15,0,SIGN('07_CONTINUOUS_CODEBOOK'!AT12)*IF(ABS('07_CONTINUOUS_CODEBOOK'!AT12)&lt;'04_CODEBOOK_CONTROL'!$B$16,1,IF(ABS('07_CONTINUOUS_CODEBOOK'!AT12)&lt;'04_CODEBOOK_CONTROL'!$B$17,2,3)))</f>
        <v/>
      </c>
      <c r="AU12" s="7">
        <f>IF(ABS('07_CONTINUOUS_CODEBOOK'!AU12)&lt;'04_CODEBOOK_CONTROL'!$B$15,0,SIGN('07_CONTINUOUS_CODEBOOK'!AU12)*IF(ABS('07_CONTINUOUS_CODEBOOK'!AU12)&lt;'04_CODEBOOK_CONTROL'!$B$16,1,IF(ABS('07_CONTINUOUS_CODEBOOK'!AU12)&lt;'04_CODEBOOK_CONTROL'!$B$17,2,3)))</f>
        <v/>
      </c>
      <c r="AV12" s="7">
        <f>IF(ABS('07_CONTINUOUS_CODEBOOK'!AV12)&lt;'04_CODEBOOK_CONTROL'!$B$15,0,SIGN('07_CONTINUOUS_CODEBOOK'!AV12)*IF(ABS('07_CONTINUOUS_CODEBOOK'!AV12)&lt;'04_CODEBOOK_CONTROL'!$B$16,1,IF(ABS('07_CONTINUOUS_CODEBOOK'!AV12)&lt;'04_CODEBOOK_CONTROL'!$B$17,2,3)))</f>
        <v/>
      </c>
      <c r="AW12" s="7">
        <f>IF(ABS('07_CONTINUOUS_CODEBOOK'!AW12)&lt;'04_CODEBOOK_CONTROL'!$B$15,0,SIGN('07_CONTINUOUS_CODEBOOK'!AW12)*IF(ABS('07_CONTINUOUS_CODEBOOK'!AW12)&lt;'04_CODEBOOK_CONTROL'!$B$16,1,IF(ABS('07_CONTINUOUS_CODEBOOK'!AW12)&lt;'04_CODEBOOK_CONTROL'!$B$17,2,3)))</f>
        <v/>
      </c>
      <c r="AX12" s="7">
        <f>IF(ABS('07_CONTINUOUS_CODEBOOK'!AX12)&lt;'04_CODEBOOK_CONTROL'!$B$15,0,SIGN('07_CONTINUOUS_CODEBOOK'!AX12)*IF(ABS('07_CONTINUOUS_CODEBOOK'!AX12)&lt;'04_CODEBOOK_CONTROL'!$B$16,1,IF(ABS('07_CONTINUOUS_CODEBOOK'!AX12)&lt;'04_CODEBOOK_CONTROL'!$B$17,2,3)))</f>
        <v/>
      </c>
      <c r="AY12" s="7">
        <f>IF(ABS('07_CONTINUOUS_CODEBOOK'!AY12)&lt;'04_CODEBOOK_CONTROL'!$B$15,0,SIGN('07_CONTINUOUS_CODEBOOK'!AY12)*IF(ABS('07_CONTINUOUS_CODEBOOK'!AY12)&lt;'04_CODEBOOK_CONTROL'!$B$16,1,IF(ABS('07_CONTINUOUS_CODEBOOK'!AY12)&lt;'04_CODEBOOK_CONTROL'!$B$17,2,3)))</f>
        <v/>
      </c>
      <c r="AZ12" s="7">
        <f>IF(ABS('07_CONTINUOUS_CODEBOOK'!AZ12)&lt;'04_CODEBOOK_CONTROL'!$B$15,0,SIGN('07_CONTINUOUS_CODEBOOK'!AZ12)*IF(ABS('07_CONTINUOUS_CODEBOOK'!AZ12)&lt;'04_CODEBOOK_CONTROL'!$B$16,1,IF(ABS('07_CONTINUOUS_CODEBOOK'!AZ12)&lt;'04_CODEBOOK_CONTROL'!$B$17,2,3)))</f>
        <v/>
      </c>
      <c r="BA12" s="7">
        <f>IF(ABS('07_CONTINUOUS_CODEBOOK'!BA12)&lt;'04_CODEBOOK_CONTROL'!$B$15,0,SIGN('07_CONTINUOUS_CODEBOOK'!BA12)*IF(ABS('07_CONTINUOUS_CODEBOOK'!BA12)&lt;'04_CODEBOOK_CONTROL'!$B$16,1,IF(ABS('07_CONTINUOUS_CODEBOOK'!BA12)&lt;'04_CODEBOOK_CONTROL'!$B$17,2,3)))</f>
        <v/>
      </c>
      <c r="BB12" s="7">
        <f>IF(ABS('07_CONTINUOUS_CODEBOOK'!BB12)&lt;'04_CODEBOOK_CONTROL'!$B$15,0,SIGN('07_CONTINUOUS_CODEBOOK'!BB12)*IF(ABS('07_CONTINUOUS_CODEBOOK'!BB12)&lt;'04_CODEBOOK_CONTROL'!$B$16,1,IF(ABS('07_CONTINUOUS_CODEBOOK'!BB12)&lt;'04_CODEBOOK_CONTROL'!$B$17,2,3)))</f>
        <v/>
      </c>
      <c r="BC12" s="7">
        <f>IF(ABS('07_CONTINUOUS_CODEBOOK'!BC12)&lt;'04_CODEBOOK_CONTROL'!$B$15,0,SIGN('07_CONTINUOUS_CODEBOOK'!BC12)*IF(ABS('07_CONTINUOUS_CODEBOOK'!BC12)&lt;'04_CODEBOOK_CONTROL'!$B$16,1,IF(ABS('07_CONTINUOUS_CODEBOOK'!BC12)&lt;'04_CODEBOOK_CONTROL'!$B$17,2,3)))</f>
        <v/>
      </c>
      <c r="BD12" s="7">
        <f>IF(ABS('07_CONTINUOUS_CODEBOOK'!BD12)&lt;'04_CODEBOOK_CONTROL'!$B$15,0,SIGN('07_CONTINUOUS_CODEBOOK'!BD12)*IF(ABS('07_CONTINUOUS_CODEBOOK'!BD12)&lt;'04_CODEBOOK_CONTROL'!$B$16,1,IF(ABS('07_CONTINUOUS_CODEBOOK'!BD12)&lt;'04_CODEBOOK_CONTROL'!$B$17,2,3)))</f>
        <v/>
      </c>
      <c r="BE12" s="7">
        <f>IF(ABS('07_CONTINUOUS_CODEBOOK'!BE12)&lt;'04_CODEBOOK_CONTROL'!$B$15,0,SIGN('07_CONTINUOUS_CODEBOOK'!BE12)*IF(ABS('07_CONTINUOUS_CODEBOOK'!BE12)&lt;'04_CODEBOOK_CONTROL'!$B$16,1,IF(ABS('07_CONTINUOUS_CODEBOOK'!BE12)&lt;'04_CODEBOOK_CONTROL'!$B$17,2,3)))</f>
        <v/>
      </c>
      <c r="BF12" s="7">
        <f>IF(ABS('07_CONTINUOUS_CODEBOOK'!BF12)&lt;'04_CODEBOOK_CONTROL'!$B$15,0,SIGN('07_CONTINUOUS_CODEBOOK'!BF12)*IF(ABS('07_CONTINUOUS_CODEBOOK'!BF12)&lt;'04_CODEBOOK_CONTROL'!$B$16,1,IF(ABS('07_CONTINUOUS_CODEBOOK'!BF12)&lt;'04_CODEBOOK_CONTROL'!$B$17,2,3)))</f>
        <v/>
      </c>
      <c r="BG12" s="7">
        <f>IF(ABS('07_CONTINUOUS_CODEBOOK'!BG12)&lt;'04_CODEBOOK_CONTROL'!$B$15,0,SIGN('07_CONTINUOUS_CODEBOOK'!BG12)*IF(ABS('07_CONTINUOUS_CODEBOOK'!BG12)&lt;'04_CODEBOOK_CONTROL'!$B$16,1,IF(ABS('07_CONTINUOUS_CODEBOOK'!BG12)&lt;'04_CODEBOOK_CONTROL'!$B$17,2,3)))</f>
        <v/>
      </c>
      <c r="BH12" s="7">
        <f>IF(ABS('07_CONTINUOUS_CODEBOOK'!BH12)&lt;'04_CODEBOOK_CONTROL'!$B$15,0,SIGN('07_CONTINUOUS_CODEBOOK'!BH12)*IF(ABS('07_CONTINUOUS_CODEBOOK'!BH12)&lt;'04_CODEBOOK_CONTROL'!$B$16,1,IF(ABS('07_CONTINUOUS_CODEBOOK'!BH12)&lt;'04_CODEBOOK_CONTROL'!$B$17,2,3)))</f>
        <v/>
      </c>
      <c r="BI12" s="7">
        <f>IF(ABS('07_CONTINUOUS_CODEBOOK'!BI12)&lt;'04_CODEBOOK_CONTROL'!$B$15,0,SIGN('07_CONTINUOUS_CODEBOOK'!BI12)*IF(ABS('07_CONTINUOUS_CODEBOOK'!BI12)&lt;'04_CODEBOOK_CONTROL'!$B$16,1,IF(ABS('07_CONTINUOUS_CODEBOOK'!BI12)&lt;'04_CODEBOOK_CONTROL'!$B$17,2,3)))</f>
        <v/>
      </c>
      <c r="BJ12" s="7">
        <f>IF(ABS('07_CONTINUOUS_CODEBOOK'!BJ12)&lt;'04_CODEBOOK_CONTROL'!$B$15,0,SIGN('07_CONTINUOUS_CODEBOOK'!BJ12)*IF(ABS('07_CONTINUOUS_CODEBOOK'!BJ12)&lt;'04_CODEBOOK_CONTROL'!$B$16,1,IF(ABS('07_CONTINUOUS_CODEBOOK'!BJ12)&lt;'04_CODEBOOK_CONTROL'!$B$17,2,3)))</f>
        <v/>
      </c>
      <c r="BK12" s="7">
        <f>IF(ABS('07_CONTINUOUS_CODEBOOK'!BK12)&lt;'04_CODEBOOK_CONTROL'!$B$15,0,SIGN('07_CONTINUOUS_CODEBOOK'!BK12)*IF(ABS('07_CONTINUOUS_CODEBOOK'!BK12)&lt;'04_CODEBOOK_CONTROL'!$B$16,1,IF(ABS('07_CONTINUOUS_CODEBOOK'!BK12)&lt;'04_CODEBOOK_CONTROL'!$B$17,2,3)))</f>
        <v/>
      </c>
      <c r="BL12" s="7">
        <f>IF(ABS('07_CONTINUOUS_CODEBOOK'!BL12)&lt;'04_CODEBOOK_CONTROL'!$B$15,0,SIGN('07_CONTINUOUS_CODEBOOK'!BL12)*IF(ABS('07_CONTINUOUS_CODEBOOK'!BL12)&lt;'04_CODEBOOK_CONTROL'!$B$16,1,IF(ABS('07_CONTINUOUS_CODEBOOK'!BL12)&lt;'04_CODEBOOK_CONTROL'!$B$17,2,3)))</f>
        <v/>
      </c>
      <c r="BM12" s="7">
        <f>IF(ABS('07_CONTINUOUS_CODEBOOK'!BM12)&lt;'04_CODEBOOK_CONTROL'!$B$15,0,SIGN('07_CONTINUOUS_CODEBOOK'!BM12)*IF(ABS('07_CONTINUOUS_CODEBOOK'!BM12)&lt;'04_CODEBOOK_CONTROL'!$B$16,1,IF(ABS('07_CONTINUOUS_CODEBOOK'!BM12)&lt;'04_CODEBOOK_CONTROL'!$B$17,2,3)))</f>
        <v/>
      </c>
      <c r="BN12" s="7">
        <f>IF(ABS('07_CONTINUOUS_CODEBOOK'!BN12)&lt;'04_CODEBOOK_CONTROL'!$B$15,0,SIGN('07_CONTINUOUS_CODEBOOK'!BN12)*IF(ABS('07_CONTINUOUS_CODEBOOK'!BN12)&lt;'04_CODEBOOK_CONTROL'!$B$16,1,IF(ABS('07_CONTINUOUS_CODEBOOK'!BN12)&lt;'04_CODEBOOK_CONTROL'!$B$17,2,3)))</f>
        <v/>
      </c>
      <c r="BO12" s="7">
        <f>IF(ABS('07_CONTINUOUS_CODEBOOK'!BO12)&lt;'04_CODEBOOK_CONTROL'!$B$15,0,SIGN('07_CONTINUOUS_CODEBOOK'!BO12)*IF(ABS('07_CONTINUOUS_CODEBOOK'!BO12)&lt;'04_CODEBOOK_CONTROL'!$B$16,1,IF(ABS('07_CONTINUOUS_CODEBOOK'!BO12)&lt;'04_CODEBOOK_CONTROL'!$B$17,2,3)))</f>
        <v/>
      </c>
      <c r="BP12" s="7">
        <f>IF(ABS('07_CONTINUOUS_CODEBOOK'!BP12)&lt;'04_CODEBOOK_CONTROL'!$B$15,0,SIGN('07_CONTINUOUS_CODEBOOK'!BP12)*IF(ABS('07_CONTINUOUS_CODEBOOK'!BP12)&lt;'04_CODEBOOK_CONTROL'!$B$16,1,IF(ABS('07_CONTINUOUS_CODEBOOK'!BP12)&lt;'04_CODEBOOK_CONTROL'!$B$17,2,3)))</f>
        <v/>
      </c>
      <c r="BQ12" s="7">
        <f>IF(ABS('07_CONTINUOUS_CODEBOOK'!BQ12)&lt;'04_CODEBOOK_CONTROL'!$B$15,0,SIGN('07_CONTINUOUS_CODEBOOK'!BQ12)*IF(ABS('07_CONTINUOUS_CODEBOOK'!BQ12)&lt;'04_CODEBOOK_CONTROL'!$B$16,1,IF(ABS('07_CONTINUOUS_CODEBOOK'!BQ12)&lt;'04_CODEBOOK_CONTROL'!$B$17,2,3)))</f>
        <v/>
      </c>
      <c r="BR12" s="7">
        <f>IF(ABS('07_CONTINUOUS_CODEBOOK'!BR12)&lt;'04_CODEBOOK_CONTROL'!$B$15,0,SIGN('07_CONTINUOUS_CODEBOOK'!BR12)*IF(ABS('07_CONTINUOUS_CODEBOOK'!BR12)&lt;'04_CODEBOOK_CONTROL'!$B$16,1,IF(ABS('07_CONTINUOUS_CODEBOOK'!BR12)&lt;'04_CODEBOOK_CONTROL'!$B$17,2,3)))</f>
        <v/>
      </c>
      <c r="BS12" s="7">
        <f>IF(ABS('07_CONTINUOUS_CODEBOOK'!BS12)&lt;'04_CODEBOOK_CONTROL'!$B$15,0,SIGN('07_CONTINUOUS_CODEBOOK'!BS12)*IF(ABS('07_CONTINUOUS_CODEBOOK'!BS12)&lt;'04_CODEBOOK_CONTROL'!$B$16,1,IF(ABS('07_CONTINUOUS_CODEBOOK'!BS12)&lt;'04_CODEBOOK_CONTROL'!$B$17,2,3)))</f>
        <v/>
      </c>
      <c r="BT12" s="7">
        <f>IF(ABS('07_CONTINUOUS_CODEBOOK'!BT12)&lt;'04_CODEBOOK_CONTROL'!$B$15,0,SIGN('07_CONTINUOUS_CODEBOOK'!BT12)*IF(ABS('07_CONTINUOUS_CODEBOOK'!BT12)&lt;'04_CODEBOOK_CONTROL'!$B$16,1,IF(ABS('07_CONTINUOUS_CODEBOOK'!BT12)&lt;'04_CODEBOOK_CONTROL'!$B$17,2,3)))</f>
        <v/>
      </c>
      <c r="BU12" s="7">
        <f>IF(ABS('07_CONTINUOUS_CODEBOOK'!BU12)&lt;'04_CODEBOOK_CONTROL'!$B$15,0,SIGN('07_CONTINUOUS_CODEBOOK'!BU12)*IF(ABS('07_CONTINUOUS_CODEBOOK'!BU12)&lt;'04_CODEBOOK_CONTROL'!$B$16,1,IF(ABS('07_CONTINUOUS_CODEBOOK'!BU12)&lt;'04_CODEBOOK_CONTROL'!$B$17,2,3)))</f>
        <v/>
      </c>
      <c r="BV12" s="7">
        <f>IF(ABS('07_CONTINUOUS_CODEBOOK'!BV12)&lt;'04_CODEBOOK_CONTROL'!$B$15,0,SIGN('07_CONTINUOUS_CODEBOOK'!BV12)*IF(ABS('07_CONTINUOUS_CODEBOOK'!BV12)&lt;'04_CODEBOOK_CONTROL'!$B$16,1,IF(ABS('07_CONTINUOUS_CODEBOOK'!BV12)&lt;'04_CODEBOOK_CONTROL'!$B$17,2,3)))</f>
        <v/>
      </c>
      <c r="BW12" s="7">
        <f>IF(ABS('07_CONTINUOUS_CODEBOOK'!BW12)&lt;'04_CODEBOOK_CONTROL'!$B$15,0,SIGN('07_CONTINUOUS_CODEBOOK'!BW12)*IF(ABS('07_CONTINUOUS_CODEBOOK'!BW12)&lt;'04_CODEBOOK_CONTROL'!$B$16,1,IF(ABS('07_CONTINUOUS_CODEBOOK'!BW12)&lt;'04_CODEBOOK_CONTROL'!$B$17,2,3)))</f>
        <v/>
      </c>
      <c r="BX12" s="7">
        <f>IF(ABS('07_CONTINUOUS_CODEBOOK'!BX12)&lt;'04_CODEBOOK_CONTROL'!$B$15,0,SIGN('07_CONTINUOUS_CODEBOOK'!BX12)*IF(ABS('07_CONTINUOUS_CODEBOOK'!BX12)&lt;'04_CODEBOOK_CONTROL'!$B$16,1,IF(ABS('07_CONTINUOUS_CODEBOOK'!BX12)&lt;'04_CODEBOOK_CONTROL'!$B$17,2,3)))</f>
        <v/>
      </c>
      <c r="BY12" s="7">
        <f>IF(ABS('07_CONTINUOUS_CODEBOOK'!BY12)&lt;'04_CODEBOOK_CONTROL'!$B$15,0,SIGN('07_CONTINUOUS_CODEBOOK'!BY12)*IF(ABS('07_CONTINUOUS_CODEBOOK'!BY12)&lt;'04_CODEBOOK_CONTROL'!$B$16,1,IF(ABS('07_CONTINUOUS_CODEBOOK'!BY12)&lt;'04_CODEBOOK_CONTROL'!$B$17,2,3)))</f>
        <v/>
      </c>
      <c r="BZ12" s="7">
        <f>IF(ABS('07_CONTINUOUS_CODEBOOK'!BZ12)&lt;'04_CODEBOOK_CONTROL'!$B$15,0,SIGN('07_CONTINUOUS_CODEBOOK'!BZ12)*IF(ABS('07_CONTINUOUS_CODEBOOK'!BZ12)&lt;'04_CODEBOOK_CONTROL'!$B$16,1,IF(ABS('07_CONTINUOUS_CODEBOOK'!BZ12)&lt;'04_CODEBOOK_CONTROL'!$B$17,2,3)))</f>
        <v/>
      </c>
      <c r="CA12" s="7">
        <f>IF(ABS('07_CONTINUOUS_CODEBOOK'!CA12)&lt;'04_CODEBOOK_CONTROL'!$B$15,0,SIGN('07_CONTINUOUS_CODEBOOK'!CA12)*IF(ABS('07_CONTINUOUS_CODEBOOK'!CA12)&lt;'04_CODEBOOK_CONTROL'!$B$16,1,IF(ABS('07_CONTINUOUS_CODEBOOK'!CA12)&lt;'04_CODEBOOK_CONTROL'!$B$17,2,3)))</f>
        <v/>
      </c>
      <c r="CB12" s="7">
        <f>IF(ABS('07_CONTINUOUS_CODEBOOK'!CB12)&lt;'04_CODEBOOK_CONTROL'!$B$15,0,SIGN('07_CONTINUOUS_CODEBOOK'!CB12)*IF(ABS('07_CONTINUOUS_CODEBOOK'!CB12)&lt;'04_CODEBOOK_CONTROL'!$B$16,1,IF(ABS('07_CONTINUOUS_CODEBOOK'!CB12)&lt;'04_CODEBOOK_CONTROL'!$B$17,2,3)))</f>
        <v/>
      </c>
      <c r="CC12" s="7">
        <f>IF(ABS('07_CONTINUOUS_CODEBOOK'!CC12)&lt;'04_CODEBOOK_CONTROL'!$B$15,0,SIGN('07_CONTINUOUS_CODEBOOK'!CC12)*IF(ABS('07_CONTINUOUS_CODEBOOK'!CC12)&lt;'04_CODEBOOK_CONTROL'!$B$16,1,IF(ABS('07_CONTINUOUS_CODEBOOK'!CC12)&lt;'04_CODEBOOK_CONTROL'!$B$17,2,3)))</f>
        <v/>
      </c>
      <c r="CD12" s="7">
        <f>IF(ABS('07_CONTINUOUS_CODEBOOK'!CD12)&lt;'04_CODEBOOK_CONTROL'!$B$15,0,SIGN('07_CONTINUOUS_CODEBOOK'!CD12)*IF(ABS('07_CONTINUOUS_CODEBOOK'!CD12)&lt;'04_CODEBOOK_CONTROL'!$B$16,1,IF(ABS('07_CONTINUOUS_CODEBOOK'!CD12)&lt;'04_CODEBOOK_CONTROL'!$B$17,2,3)))</f>
        <v/>
      </c>
      <c r="CE12" s="7">
        <f>IF(ABS('07_CONTINUOUS_CODEBOOK'!CE12)&lt;'04_CODEBOOK_CONTROL'!$B$15,0,SIGN('07_CONTINUOUS_CODEBOOK'!CE12)*IF(ABS('07_CONTINUOUS_CODEBOOK'!CE12)&lt;'04_CODEBOOK_CONTROL'!$B$16,1,IF(ABS('07_CONTINUOUS_CODEBOOK'!CE12)&lt;'04_CODEBOOK_CONTROL'!$B$17,2,3)))</f>
        <v/>
      </c>
    </row>
    <row r="13">
      <c r="A13" t="n">
        <v>9</v>
      </c>
      <c r="B13" t="inlineStr">
        <is>
          <t>哈達爾星人</t>
        </is>
      </c>
      <c r="C13" t="inlineStr">
        <is>
          <t>Hadarian</t>
        </is>
      </c>
      <c r="D13" s="7">
        <f>IF(ABS('07_CONTINUOUS_CODEBOOK'!D13)&lt;'04_CODEBOOK_CONTROL'!$B$15,0,SIGN('07_CONTINUOUS_CODEBOOK'!D13)*IF(ABS('07_CONTINUOUS_CODEBOOK'!D13)&lt;'04_CODEBOOK_CONTROL'!$B$16,1,IF(ABS('07_CONTINUOUS_CODEBOOK'!D13)&lt;'04_CODEBOOK_CONTROL'!$B$17,2,3)))</f>
        <v/>
      </c>
      <c r="E13" s="7">
        <f>IF(ABS('07_CONTINUOUS_CODEBOOK'!E13)&lt;'04_CODEBOOK_CONTROL'!$B$15,0,SIGN('07_CONTINUOUS_CODEBOOK'!E13)*IF(ABS('07_CONTINUOUS_CODEBOOK'!E13)&lt;'04_CODEBOOK_CONTROL'!$B$16,1,IF(ABS('07_CONTINUOUS_CODEBOOK'!E13)&lt;'04_CODEBOOK_CONTROL'!$B$17,2,3)))</f>
        <v/>
      </c>
      <c r="F13" s="7">
        <f>IF(ABS('07_CONTINUOUS_CODEBOOK'!F13)&lt;'04_CODEBOOK_CONTROL'!$B$15,0,SIGN('07_CONTINUOUS_CODEBOOK'!F13)*IF(ABS('07_CONTINUOUS_CODEBOOK'!F13)&lt;'04_CODEBOOK_CONTROL'!$B$16,1,IF(ABS('07_CONTINUOUS_CODEBOOK'!F13)&lt;'04_CODEBOOK_CONTROL'!$B$17,2,3)))</f>
        <v/>
      </c>
      <c r="G13" s="7">
        <f>IF(ABS('07_CONTINUOUS_CODEBOOK'!G13)&lt;'04_CODEBOOK_CONTROL'!$B$15,0,SIGN('07_CONTINUOUS_CODEBOOK'!G13)*IF(ABS('07_CONTINUOUS_CODEBOOK'!G13)&lt;'04_CODEBOOK_CONTROL'!$B$16,1,IF(ABS('07_CONTINUOUS_CODEBOOK'!G13)&lt;'04_CODEBOOK_CONTROL'!$B$17,2,3)))</f>
        <v/>
      </c>
      <c r="H13" s="7">
        <f>IF(ABS('07_CONTINUOUS_CODEBOOK'!H13)&lt;'04_CODEBOOK_CONTROL'!$B$15,0,SIGN('07_CONTINUOUS_CODEBOOK'!H13)*IF(ABS('07_CONTINUOUS_CODEBOOK'!H13)&lt;'04_CODEBOOK_CONTROL'!$B$16,1,IF(ABS('07_CONTINUOUS_CODEBOOK'!H13)&lt;'04_CODEBOOK_CONTROL'!$B$17,2,3)))</f>
        <v/>
      </c>
      <c r="I13" s="7">
        <f>IF(ABS('07_CONTINUOUS_CODEBOOK'!I13)&lt;'04_CODEBOOK_CONTROL'!$B$15,0,SIGN('07_CONTINUOUS_CODEBOOK'!I13)*IF(ABS('07_CONTINUOUS_CODEBOOK'!I13)&lt;'04_CODEBOOK_CONTROL'!$B$16,1,IF(ABS('07_CONTINUOUS_CODEBOOK'!I13)&lt;'04_CODEBOOK_CONTROL'!$B$17,2,3)))</f>
        <v/>
      </c>
      <c r="J13" s="7">
        <f>IF(ABS('07_CONTINUOUS_CODEBOOK'!J13)&lt;'04_CODEBOOK_CONTROL'!$B$15,0,SIGN('07_CONTINUOUS_CODEBOOK'!J13)*IF(ABS('07_CONTINUOUS_CODEBOOK'!J13)&lt;'04_CODEBOOK_CONTROL'!$B$16,1,IF(ABS('07_CONTINUOUS_CODEBOOK'!J13)&lt;'04_CODEBOOK_CONTROL'!$B$17,2,3)))</f>
        <v/>
      </c>
      <c r="K13" s="7">
        <f>IF(ABS('07_CONTINUOUS_CODEBOOK'!K13)&lt;'04_CODEBOOK_CONTROL'!$B$15,0,SIGN('07_CONTINUOUS_CODEBOOK'!K13)*IF(ABS('07_CONTINUOUS_CODEBOOK'!K13)&lt;'04_CODEBOOK_CONTROL'!$B$16,1,IF(ABS('07_CONTINUOUS_CODEBOOK'!K13)&lt;'04_CODEBOOK_CONTROL'!$B$17,2,3)))</f>
        <v/>
      </c>
      <c r="L13" s="7">
        <f>IF(ABS('07_CONTINUOUS_CODEBOOK'!L13)&lt;'04_CODEBOOK_CONTROL'!$B$15,0,SIGN('07_CONTINUOUS_CODEBOOK'!L13)*IF(ABS('07_CONTINUOUS_CODEBOOK'!L13)&lt;'04_CODEBOOK_CONTROL'!$B$16,1,IF(ABS('07_CONTINUOUS_CODEBOOK'!L13)&lt;'04_CODEBOOK_CONTROL'!$B$17,2,3)))</f>
        <v/>
      </c>
      <c r="M13" s="7">
        <f>IF(ABS('07_CONTINUOUS_CODEBOOK'!M13)&lt;'04_CODEBOOK_CONTROL'!$B$15,0,SIGN('07_CONTINUOUS_CODEBOOK'!M13)*IF(ABS('07_CONTINUOUS_CODEBOOK'!M13)&lt;'04_CODEBOOK_CONTROL'!$B$16,1,IF(ABS('07_CONTINUOUS_CODEBOOK'!M13)&lt;'04_CODEBOOK_CONTROL'!$B$17,2,3)))</f>
        <v/>
      </c>
      <c r="N13" s="7">
        <f>IF(ABS('07_CONTINUOUS_CODEBOOK'!N13)&lt;'04_CODEBOOK_CONTROL'!$B$15,0,SIGN('07_CONTINUOUS_CODEBOOK'!N13)*IF(ABS('07_CONTINUOUS_CODEBOOK'!N13)&lt;'04_CODEBOOK_CONTROL'!$B$16,1,IF(ABS('07_CONTINUOUS_CODEBOOK'!N13)&lt;'04_CODEBOOK_CONTROL'!$B$17,2,3)))</f>
        <v/>
      </c>
      <c r="O13" s="7">
        <f>IF(ABS('07_CONTINUOUS_CODEBOOK'!O13)&lt;'04_CODEBOOK_CONTROL'!$B$15,0,SIGN('07_CONTINUOUS_CODEBOOK'!O13)*IF(ABS('07_CONTINUOUS_CODEBOOK'!O13)&lt;'04_CODEBOOK_CONTROL'!$B$16,1,IF(ABS('07_CONTINUOUS_CODEBOOK'!O13)&lt;'04_CODEBOOK_CONTROL'!$B$17,2,3)))</f>
        <v/>
      </c>
      <c r="P13" s="7">
        <f>IF(ABS('07_CONTINUOUS_CODEBOOK'!P13)&lt;'04_CODEBOOK_CONTROL'!$B$15,0,SIGN('07_CONTINUOUS_CODEBOOK'!P13)*IF(ABS('07_CONTINUOUS_CODEBOOK'!P13)&lt;'04_CODEBOOK_CONTROL'!$B$16,1,IF(ABS('07_CONTINUOUS_CODEBOOK'!P13)&lt;'04_CODEBOOK_CONTROL'!$B$17,2,3)))</f>
        <v/>
      </c>
      <c r="Q13" s="7">
        <f>IF(ABS('07_CONTINUOUS_CODEBOOK'!Q13)&lt;'04_CODEBOOK_CONTROL'!$B$15,0,SIGN('07_CONTINUOUS_CODEBOOK'!Q13)*IF(ABS('07_CONTINUOUS_CODEBOOK'!Q13)&lt;'04_CODEBOOK_CONTROL'!$B$16,1,IF(ABS('07_CONTINUOUS_CODEBOOK'!Q13)&lt;'04_CODEBOOK_CONTROL'!$B$17,2,3)))</f>
        <v/>
      </c>
      <c r="R13" s="7">
        <f>IF(ABS('07_CONTINUOUS_CODEBOOK'!R13)&lt;'04_CODEBOOK_CONTROL'!$B$15,0,SIGN('07_CONTINUOUS_CODEBOOK'!R13)*IF(ABS('07_CONTINUOUS_CODEBOOK'!R13)&lt;'04_CODEBOOK_CONTROL'!$B$16,1,IF(ABS('07_CONTINUOUS_CODEBOOK'!R13)&lt;'04_CODEBOOK_CONTROL'!$B$17,2,3)))</f>
        <v/>
      </c>
      <c r="S13" s="7">
        <f>IF(ABS('07_CONTINUOUS_CODEBOOK'!S13)&lt;'04_CODEBOOK_CONTROL'!$B$15,0,SIGN('07_CONTINUOUS_CODEBOOK'!S13)*IF(ABS('07_CONTINUOUS_CODEBOOK'!S13)&lt;'04_CODEBOOK_CONTROL'!$B$16,1,IF(ABS('07_CONTINUOUS_CODEBOOK'!S13)&lt;'04_CODEBOOK_CONTROL'!$B$17,2,3)))</f>
        <v/>
      </c>
      <c r="T13" s="7">
        <f>IF(ABS('07_CONTINUOUS_CODEBOOK'!T13)&lt;'04_CODEBOOK_CONTROL'!$B$15,0,SIGN('07_CONTINUOUS_CODEBOOK'!T13)*IF(ABS('07_CONTINUOUS_CODEBOOK'!T13)&lt;'04_CODEBOOK_CONTROL'!$B$16,1,IF(ABS('07_CONTINUOUS_CODEBOOK'!T13)&lt;'04_CODEBOOK_CONTROL'!$B$17,2,3)))</f>
        <v/>
      </c>
      <c r="U13" s="7">
        <f>IF(ABS('07_CONTINUOUS_CODEBOOK'!U13)&lt;'04_CODEBOOK_CONTROL'!$B$15,0,SIGN('07_CONTINUOUS_CODEBOOK'!U13)*IF(ABS('07_CONTINUOUS_CODEBOOK'!U13)&lt;'04_CODEBOOK_CONTROL'!$B$16,1,IF(ABS('07_CONTINUOUS_CODEBOOK'!U13)&lt;'04_CODEBOOK_CONTROL'!$B$17,2,3)))</f>
        <v/>
      </c>
      <c r="V13" s="7">
        <f>IF(ABS('07_CONTINUOUS_CODEBOOK'!V13)&lt;'04_CODEBOOK_CONTROL'!$B$15,0,SIGN('07_CONTINUOUS_CODEBOOK'!V13)*IF(ABS('07_CONTINUOUS_CODEBOOK'!V13)&lt;'04_CODEBOOK_CONTROL'!$B$16,1,IF(ABS('07_CONTINUOUS_CODEBOOK'!V13)&lt;'04_CODEBOOK_CONTROL'!$B$17,2,3)))</f>
        <v/>
      </c>
      <c r="W13" s="7">
        <f>IF(ABS('07_CONTINUOUS_CODEBOOK'!W13)&lt;'04_CODEBOOK_CONTROL'!$B$15,0,SIGN('07_CONTINUOUS_CODEBOOK'!W13)*IF(ABS('07_CONTINUOUS_CODEBOOK'!W13)&lt;'04_CODEBOOK_CONTROL'!$B$16,1,IF(ABS('07_CONTINUOUS_CODEBOOK'!W13)&lt;'04_CODEBOOK_CONTROL'!$B$17,2,3)))</f>
        <v/>
      </c>
      <c r="X13" s="7">
        <f>IF(ABS('07_CONTINUOUS_CODEBOOK'!X13)&lt;'04_CODEBOOK_CONTROL'!$B$15,0,SIGN('07_CONTINUOUS_CODEBOOK'!X13)*IF(ABS('07_CONTINUOUS_CODEBOOK'!X13)&lt;'04_CODEBOOK_CONTROL'!$B$16,1,IF(ABS('07_CONTINUOUS_CODEBOOK'!X13)&lt;'04_CODEBOOK_CONTROL'!$B$17,2,3)))</f>
        <v/>
      </c>
      <c r="Y13" s="7">
        <f>IF(ABS('07_CONTINUOUS_CODEBOOK'!Y13)&lt;'04_CODEBOOK_CONTROL'!$B$15,0,SIGN('07_CONTINUOUS_CODEBOOK'!Y13)*IF(ABS('07_CONTINUOUS_CODEBOOK'!Y13)&lt;'04_CODEBOOK_CONTROL'!$B$16,1,IF(ABS('07_CONTINUOUS_CODEBOOK'!Y13)&lt;'04_CODEBOOK_CONTROL'!$B$17,2,3)))</f>
        <v/>
      </c>
      <c r="Z13" s="7">
        <f>IF(ABS('07_CONTINUOUS_CODEBOOK'!Z13)&lt;'04_CODEBOOK_CONTROL'!$B$15,0,SIGN('07_CONTINUOUS_CODEBOOK'!Z13)*IF(ABS('07_CONTINUOUS_CODEBOOK'!Z13)&lt;'04_CODEBOOK_CONTROL'!$B$16,1,IF(ABS('07_CONTINUOUS_CODEBOOK'!Z13)&lt;'04_CODEBOOK_CONTROL'!$B$17,2,3)))</f>
        <v/>
      </c>
      <c r="AA13" s="7">
        <f>IF(ABS('07_CONTINUOUS_CODEBOOK'!AA13)&lt;'04_CODEBOOK_CONTROL'!$B$15,0,SIGN('07_CONTINUOUS_CODEBOOK'!AA13)*IF(ABS('07_CONTINUOUS_CODEBOOK'!AA13)&lt;'04_CODEBOOK_CONTROL'!$B$16,1,IF(ABS('07_CONTINUOUS_CODEBOOK'!AA13)&lt;'04_CODEBOOK_CONTROL'!$B$17,2,3)))</f>
        <v/>
      </c>
      <c r="AB13" s="7">
        <f>IF(ABS('07_CONTINUOUS_CODEBOOK'!AB13)&lt;'04_CODEBOOK_CONTROL'!$B$15,0,SIGN('07_CONTINUOUS_CODEBOOK'!AB13)*IF(ABS('07_CONTINUOUS_CODEBOOK'!AB13)&lt;'04_CODEBOOK_CONTROL'!$B$16,1,IF(ABS('07_CONTINUOUS_CODEBOOK'!AB13)&lt;'04_CODEBOOK_CONTROL'!$B$17,2,3)))</f>
        <v/>
      </c>
      <c r="AC13" s="7">
        <f>IF(ABS('07_CONTINUOUS_CODEBOOK'!AC13)&lt;'04_CODEBOOK_CONTROL'!$B$15,0,SIGN('07_CONTINUOUS_CODEBOOK'!AC13)*IF(ABS('07_CONTINUOUS_CODEBOOK'!AC13)&lt;'04_CODEBOOK_CONTROL'!$B$16,1,IF(ABS('07_CONTINUOUS_CODEBOOK'!AC13)&lt;'04_CODEBOOK_CONTROL'!$B$17,2,3)))</f>
        <v/>
      </c>
      <c r="AD13" s="7">
        <f>IF(ABS('07_CONTINUOUS_CODEBOOK'!AD13)&lt;'04_CODEBOOK_CONTROL'!$B$15,0,SIGN('07_CONTINUOUS_CODEBOOK'!AD13)*IF(ABS('07_CONTINUOUS_CODEBOOK'!AD13)&lt;'04_CODEBOOK_CONTROL'!$B$16,1,IF(ABS('07_CONTINUOUS_CODEBOOK'!AD13)&lt;'04_CODEBOOK_CONTROL'!$B$17,2,3)))</f>
        <v/>
      </c>
      <c r="AE13" s="7">
        <f>IF(ABS('07_CONTINUOUS_CODEBOOK'!AE13)&lt;'04_CODEBOOK_CONTROL'!$B$15,0,SIGN('07_CONTINUOUS_CODEBOOK'!AE13)*IF(ABS('07_CONTINUOUS_CODEBOOK'!AE13)&lt;'04_CODEBOOK_CONTROL'!$B$16,1,IF(ABS('07_CONTINUOUS_CODEBOOK'!AE13)&lt;'04_CODEBOOK_CONTROL'!$B$17,2,3)))</f>
        <v/>
      </c>
      <c r="AF13" s="7">
        <f>IF(ABS('07_CONTINUOUS_CODEBOOK'!AF13)&lt;'04_CODEBOOK_CONTROL'!$B$15,0,SIGN('07_CONTINUOUS_CODEBOOK'!AF13)*IF(ABS('07_CONTINUOUS_CODEBOOK'!AF13)&lt;'04_CODEBOOK_CONTROL'!$B$16,1,IF(ABS('07_CONTINUOUS_CODEBOOK'!AF13)&lt;'04_CODEBOOK_CONTROL'!$B$17,2,3)))</f>
        <v/>
      </c>
      <c r="AG13" s="7">
        <f>IF(ABS('07_CONTINUOUS_CODEBOOK'!AG13)&lt;'04_CODEBOOK_CONTROL'!$B$15,0,SIGN('07_CONTINUOUS_CODEBOOK'!AG13)*IF(ABS('07_CONTINUOUS_CODEBOOK'!AG13)&lt;'04_CODEBOOK_CONTROL'!$B$16,1,IF(ABS('07_CONTINUOUS_CODEBOOK'!AG13)&lt;'04_CODEBOOK_CONTROL'!$B$17,2,3)))</f>
        <v/>
      </c>
      <c r="AH13" s="7">
        <f>IF(ABS('07_CONTINUOUS_CODEBOOK'!AH13)&lt;'04_CODEBOOK_CONTROL'!$B$15,0,SIGN('07_CONTINUOUS_CODEBOOK'!AH13)*IF(ABS('07_CONTINUOUS_CODEBOOK'!AH13)&lt;'04_CODEBOOK_CONTROL'!$B$16,1,IF(ABS('07_CONTINUOUS_CODEBOOK'!AH13)&lt;'04_CODEBOOK_CONTROL'!$B$17,2,3)))</f>
        <v/>
      </c>
      <c r="AI13" s="7">
        <f>IF(ABS('07_CONTINUOUS_CODEBOOK'!AI13)&lt;'04_CODEBOOK_CONTROL'!$B$15,0,SIGN('07_CONTINUOUS_CODEBOOK'!AI13)*IF(ABS('07_CONTINUOUS_CODEBOOK'!AI13)&lt;'04_CODEBOOK_CONTROL'!$B$16,1,IF(ABS('07_CONTINUOUS_CODEBOOK'!AI13)&lt;'04_CODEBOOK_CONTROL'!$B$17,2,3)))</f>
        <v/>
      </c>
      <c r="AJ13" s="7">
        <f>IF(ABS('07_CONTINUOUS_CODEBOOK'!AJ13)&lt;'04_CODEBOOK_CONTROL'!$B$15,0,SIGN('07_CONTINUOUS_CODEBOOK'!AJ13)*IF(ABS('07_CONTINUOUS_CODEBOOK'!AJ13)&lt;'04_CODEBOOK_CONTROL'!$B$16,1,IF(ABS('07_CONTINUOUS_CODEBOOK'!AJ13)&lt;'04_CODEBOOK_CONTROL'!$B$17,2,3)))</f>
        <v/>
      </c>
      <c r="AK13" s="7">
        <f>IF(ABS('07_CONTINUOUS_CODEBOOK'!AK13)&lt;'04_CODEBOOK_CONTROL'!$B$15,0,SIGN('07_CONTINUOUS_CODEBOOK'!AK13)*IF(ABS('07_CONTINUOUS_CODEBOOK'!AK13)&lt;'04_CODEBOOK_CONTROL'!$B$16,1,IF(ABS('07_CONTINUOUS_CODEBOOK'!AK13)&lt;'04_CODEBOOK_CONTROL'!$B$17,2,3)))</f>
        <v/>
      </c>
      <c r="AL13" s="7">
        <f>IF(ABS('07_CONTINUOUS_CODEBOOK'!AL13)&lt;'04_CODEBOOK_CONTROL'!$B$15,0,SIGN('07_CONTINUOUS_CODEBOOK'!AL13)*IF(ABS('07_CONTINUOUS_CODEBOOK'!AL13)&lt;'04_CODEBOOK_CONTROL'!$B$16,1,IF(ABS('07_CONTINUOUS_CODEBOOK'!AL13)&lt;'04_CODEBOOK_CONTROL'!$B$17,2,3)))</f>
        <v/>
      </c>
      <c r="AM13" s="7">
        <f>IF(ABS('07_CONTINUOUS_CODEBOOK'!AM13)&lt;'04_CODEBOOK_CONTROL'!$B$15,0,SIGN('07_CONTINUOUS_CODEBOOK'!AM13)*IF(ABS('07_CONTINUOUS_CODEBOOK'!AM13)&lt;'04_CODEBOOK_CONTROL'!$B$16,1,IF(ABS('07_CONTINUOUS_CODEBOOK'!AM13)&lt;'04_CODEBOOK_CONTROL'!$B$17,2,3)))</f>
        <v/>
      </c>
      <c r="AN13" s="7">
        <f>IF(ABS('07_CONTINUOUS_CODEBOOK'!AN13)&lt;'04_CODEBOOK_CONTROL'!$B$15,0,SIGN('07_CONTINUOUS_CODEBOOK'!AN13)*IF(ABS('07_CONTINUOUS_CODEBOOK'!AN13)&lt;'04_CODEBOOK_CONTROL'!$B$16,1,IF(ABS('07_CONTINUOUS_CODEBOOK'!AN13)&lt;'04_CODEBOOK_CONTROL'!$B$17,2,3)))</f>
        <v/>
      </c>
      <c r="AO13" s="7">
        <f>IF(ABS('07_CONTINUOUS_CODEBOOK'!AO13)&lt;'04_CODEBOOK_CONTROL'!$B$15,0,SIGN('07_CONTINUOUS_CODEBOOK'!AO13)*IF(ABS('07_CONTINUOUS_CODEBOOK'!AO13)&lt;'04_CODEBOOK_CONTROL'!$B$16,1,IF(ABS('07_CONTINUOUS_CODEBOOK'!AO13)&lt;'04_CODEBOOK_CONTROL'!$B$17,2,3)))</f>
        <v/>
      </c>
      <c r="AP13" s="7">
        <f>IF(ABS('07_CONTINUOUS_CODEBOOK'!AP13)&lt;'04_CODEBOOK_CONTROL'!$B$15,0,SIGN('07_CONTINUOUS_CODEBOOK'!AP13)*IF(ABS('07_CONTINUOUS_CODEBOOK'!AP13)&lt;'04_CODEBOOK_CONTROL'!$B$16,1,IF(ABS('07_CONTINUOUS_CODEBOOK'!AP13)&lt;'04_CODEBOOK_CONTROL'!$B$17,2,3)))</f>
        <v/>
      </c>
      <c r="AQ13" s="7">
        <f>IF(ABS('07_CONTINUOUS_CODEBOOK'!AQ13)&lt;'04_CODEBOOK_CONTROL'!$B$15,0,SIGN('07_CONTINUOUS_CODEBOOK'!AQ13)*IF(ABS('07_CONTINUOUS_CODEBOOK'!AQ13)&lt;'04_CODEBOOK_CONTROL'!$B$16,1,IF(ABS('07_CONTINUOUS_CODEBOOK'!AQ13)&lt;'04_CODEBOOK_CONTROL'!$B$17,2,3)))</f>
        <v/>
      </c>
      <c r="AR13" s="7">
        <f>IF(ABS('07_CONTINUOUS_CODEBOOK'!AR13)&lt;'04_CODEBOOK_CONTROL'!$B$15,0,SIGN('07_CONTINUOUS_CODEBOOK'!AR13)*IF(ABS('07_CONTINUOUS_CODEBOOK'!AR13)&lt;'04_CODEBOOK_CONTROL'!$B$16,1,IF(ABS('07_CONTINUOUS_CODEBOOK'!AR13)&lt;'04_CODEBOOK_CONTROL'!$B$17,2,3)))</f>
        <v/>
      </c>
      <c r="AS13" s="7">
        <f>IF(ABS('07_CONTINUOUS_CODEBOOK'!AS13)&lt;'04_CODEBOOK_CONTROL'!$B$15,0,SIGN('07_CONTINUOUS_CODEBOOK'!AS13)*IF(ABS('07_CONTINUOUS_CODEBOOK'!AS13)&lt;'04_CODEBOOK_CONTROL'!$B$16,1,IF(ABS('07_CONTINUOUS_CODEBOOK'!AS13)&lt;'04_CODEBOOK_CONTROL'!$B$17,2,3)))</f>
        <v/>
      </c>
      <c r="AT13" s="7">
        <f>IF(ABS('07_CONTINUOUS_CODEBOOK'!AT13)&lt;'04_CODEBOOK_CONTROL'!$B$15,0,SIGN('07_CONTINUOUS_CODEBOOK'!AT13)*IF(ABS('07_CONTINUOUS_CODEBOOK'!AT13)&lt;'04_CODEBOOK_CONTROL'!$B$16,1,IF(ABS('07_CONTINUOUS_CODEBOOK'!AT13)&lt;'04_CODEBOOK_CONTROL'!$B$17,2,3)))</f>
        <v/>
      </c>
      <c r="AU13" s="7">
        <f>IF(ABS('07_CONTINUOUS_CODEBOOK'!AU13)&lt;'04_CODEBOOK_CONTROL'!$B$15,0,SIGN('07_CONTINUOUS_CODEBOOK'!AU13)*IF(ABS('07_CONTINUOUS_CODEBOOK'!AU13)&lt;'04_CODEBOOK_CONTROL'!$B$16,1,IF(ABS('07_CONTINUOUS_CODEBOOK'!AU13)&lt;'04_CODEBOOK_CONTROL'!$B$17,2,3)))</f>
        <v/>
      </c>
      <c r="AV13" s="7">
        <f>IF(ABS('07_CONTINUOUS_CODEBOOK'!AV13)&lt;'04_CODEBOOK_CONTROL'!$B$15,0,SIGN('07_CONTINUOUS_CODEBOOK'!AV13)*IF(ABS('07_CONTINUOUS_CODEBOOK'!AV13)&lt;'04_CODEBOOK_CONTROL'!$B$16,1,IF(ABS('07_CONTINUOUS_CODEBOOK'!AV13)&lt;'04_CODEBOOK_CONTROL'!$B$17,2,3)))</f>
        <v/>
      </c>
      <c r="AW13" s="7">
        <f>IF(ABS('07_CONTINUOUS_CODEBOOK'!AW13)&lt;'04_CODEBOOK_CONTROL'!$B$15,0,SIGN('07_CONTINUOUS_CODEBOOK'!AW13)*IF(ABS('07_CONTINUOUS_CODEBOOK'!AW13)&lt;'04_CODEBOOK_CONTROL'!$B$16,1,IF(ABS('07_CONTINUOUS_CODEBOOK'!AW13)&lt;'04_CODEBOOK_CONTROL'!$B$17,2,3)))</f>
        <v/>
      </c>
      <c r="AX13" s="7">
        <f>IF(ABS('07_CONTINUOUS_CODEBOOK'!AX13)&lt;'04_CODEBOOK_CONTROL'!$B$15,0,SIGN('07_CONTINUOUS_CODEBOOK'!AX13)*IF(ABS('07_CONTINUOUS_CODEBOOK'!AX13)&lt;'04_CODEBOOK_CONTROL'!$B$16,1,IF(ABS('07_CONTINUOUS_CODEBOOK'!AX13)&lt;'04_CODEBOOK_CONTROL'!$B$17,2,3)))</f>
        <v/>
      </c>
      <c r="AY13" s="7">
        <f>IF(ABS('07_CONTINUOUS_CODEBOOK'!AY13)&lt;'04_CODEBOOK_CONTROL'!$B$15,0,SIGN('07_CONTINUOUS_CODEBOOK'!AY13)*IF(ABS('07_CONTINUOUS_CODEBOOK'!AY13)&lt;'04_CODEBOOK_CONTROL'!$B$16,1,IF(ABS('07_CONTINUOUS_CODEBOOK'!AY13)&lt;'04_CODEBOOK_CONTROL'!$B$17,2,3)))</f>
        <v/>
      </c>
      <c r="AZ13" s="7">
        <f>IF(ABS('07_CONTINUOUS_CODEBOOK'!AZ13)&lt;'04_CODEBOOK_CONTROL'!$B$15,0,SIGN('07_CONTINUOUS_CODEBOOK'!AZ13)*IF(ABS('07_CONTINUOUS_CODEBOOK'!AZ13)&lt;'04_CODEBOOK_CONTROL'!$B$16,1,IF(ABS('07_CONTINUOUS_CODEBOOK'!AZ13)&lt;'04_CODEBOOK_CONTROL'!$B$17,2,3)))</f>
        <v/>
      </c>
      <c r="BA13" s="7">
        <f>IF(ABS('07_CONTINUOUS_CODEBOOK'!BA13)&lt;'04_CODEBOOK_CONTROL'!$B$15,0,SIGN('07_CONTINUOUS_CODEBOOK'!BA13)*IF(ABS('07_CONTINUOUS_CODEBOOK'!BA13)&lt;'04_CODEBOOK_CONTROL'!$B$16,1,IF(ABS('07_CONTINUOUS_CODEBOOK'!BA13)&lt;'04_CODEBOOK_CONTROL'!$B$17,2,3)))</f>
        <v/>
      </c>
      <c r="BB13" s="7">
        <f>IF(ABS('07_CONTINUOUS_CODEBOOK'!BB13)&lt;'04_CODEBOOK_CONTROL'!$B$15,0,SIGN('07_CONTINUOUS_CODEBOOK'!BB13)*IF(ABS('07_CONTINUOUS_CODEBOOK'!BB13)&lt;'04_CODEBOOK_CONTROL'!$B$16,1,IF(ABS('07_CONTINUOUS_CODEBOOK'!BB13)&lt;'04_CODEBOOK_CONTROL'!$B$17,2,3)))</f>
        <v/>
      </c>
      <c r="BC13" s="7">
        <f>IF(ABS('07_CONTINUOUS_CODEBOOK'!BC13)&lt;'04_CODEBOOK_CONTROL'!$B$15,0,SIGN('07_CONTINUOUS_CODEBOOK'!BC13)*IF(ABS('07_CONTINUOUS_CODEBOOK'!BC13)&lt;'04_CODEBOOK_CONTROL'!$B$16,1,IF(ABS('07_CONTINUOUS_CODEBOOK'!BC13)&lt;'04_CODEBOOK_CONTROL'!$B$17,2,3)))</f>
        <v/>
      </c>
      <c r="BD13" s="7">
        <f>IF(ABS('07_CONTINUOUS_CODEBOOK'!BD13)&lt;'04_CODEBOOK_CONTROL'!$B$15,0,SIGN('07_CONTINUOUS_CODEBOOK'!BD13)*IF(ABS('07_CONTINUOUS_CODEBOOK'!BD13)&lt;'04_CODEBOOK_CONTROL'!$B$16,1,IF(ABS('07_CONTINUOUS_CODEBOOK'!BD13)&lt;'04_CODEBOOK_CONTROL'!$B$17,2,3)))</f>
        <v/>
      </c>
      <c r="BE13" s="7">
        <f>IF(ABS('07_CONTINUOUS_CODEBOOK'!BE13)&lt;'04_CODEBOOK_CONTROL'!$B$15,0,SIGN('07_CONTINUOUS_CODEBOOK'!BE13)*IF(ABS('07_CONTINUOUS_CODEBOOK'!BE13)&lt;'04_CODEBOOK_CONTROL'!$B$16,1,IF(ABS('07_CONTINUOUS_CODEBOOK'!BE13)&lt;'04_CODEBOOK_CONTROL'!$B$17,2,3)))</f>
        <v/>
      </c>
      <c r="BF13" s="7">
        <f>IF(ABS('07_CONTINUOUS_CODEBOOK'!BF13)&lt;'04_CODEBOOK_CONTROL'!$B$15,0,SIGN('07_CONTINUOUS_CODEBOOK'!BF13)*IF(ABS('07_CONTINUOUS_CODEBOOK'!BF13)&lt;'04_CODEBOOK_CONTROL'!$B$16,1,IF(ABS('07_CONTINUOUS_CODEBOOK'!BF13)&lt;'04_CODEBOOK_CONTROL'!$B$17,2,3)))</f>
        <v/>
      </c>
      <c r="BG13" s="7">
        <f>IF(ABS('07_CONTINUOUS_CODEBOOK'!BG13)&lt;'04_CODEBOOK_CONTROL'!$B$15,0,SIGN('07_CONTINUOUS_CODEBOOK'!BG13)*IF(ABS('07_CONTINUOUS_CODEBOOK'!BG13)&lt;'04_CODEBOOK_CONTROL'!$B$16,1,IF(ABS('07_CONTINUOUS_CODEBOOK'!BG13)&lt;'04_CODEBOOK_CONTROL'!$B$17,2,3)))</f>
        <v/>
      </c>
      <c r="BH13" s="7">
        <f>IF(ABS('07_CONTINUOUS_CODEBOOK'!BH13)&lt;'04_CODEBOOK_CONTROL'!$B$15,0,SIGN('07_CONTINUOUS_CODEBOOK'!BH13)*IF(ABS('07_CONTINUOUS_CODEBOOK'!BH13)&lt;'04_CODEBOOK_CONTROL'!$B$16,1,IF(ABS('07_CONTINUOUS_CODEBOOK'!BH13)&lt;'04_CODEBOOK_CONTROL'!$B$17,2,3)))</f>
        <v/>
      </c>
      <c r="BI13" s="7">
        <f>IF(ABS('07_CONTINUOUS_CODEBOOK'!BI13)&lt;'04_CODEBOOK_CONTROL'!$B$15,0,SIGN('07_CONTINUOUS_CODEBOOK'!BI13)*IF(ABS('07_CONTINUOUS_CODEBOOK'!BI13)&lt;'04_CODEBOOK_CONTROL'!$B$16,1,IF(ABS('07_CONTINUOUS_CODEBOOK'!BI13)&lt;'04_CODEBOOK_CONTROL'!$B$17,2,3)))</f>
        <v/>
      </c>
      <c r="BJ13" s="7">
        <f>IF(ABS('07_CONTINUOUS_CODEBOOK'!BJ13)&lt;'04_CODEBOOK_CONTROL'!$B$15,0,SIGN('07_CONTINUOUS_CODEBOOK'!BJ13)*IF(ABS('07_CONTINUOUS_CODEBOOK'!BJ13)&lt;'04_CODEBOOK_CONTROL'!$B$16,1,IF(ABS('07_CONTINUOUS_CODEBOOK'!BJ13)&lt;'04_CODEBOOK_CONTROL'!$B$17,2,3)))</f>
        <v/>
      </c>
      <c r="BK13" s="7">
        <f>IF(ABS('07_CONTINUOUS_CODEBOOK'!BK13)&lt;'04_CODEBOOK_CONTROL'!$B$15,0,SIGN('07_CONTINUOUS_CODEBOOK'!BK13)*IF(ABS('07_CONTINUOUS_CODEBOOK'!BK13)&lt;'04_CODEBOOK_CONTROL'!$B$16,1,IF(ABS('07_CONTINUOUS_CODEBOOK'!BK13)&lt;'04_CODEBOOK_CONTROL'!$B$17,2,3)))</f>
        <v/>
      </c>
      <c r="BL13" s="7">
        <f>IF(ABS('07_CONTINUOUS_CODEBOOK'!BL13)&lt;'04_CODEBOOK_CONTROL'!$B$15,0,SIGN('07_CONTINUOUS_CODEBOOK'!BL13)*IF(ABS('07_CONTINUOUS_CODEBOOK'!BL13)&lt;'04_CODEBOOK_CONTROL'!$B$16,1,IF(ABS('07_CONTINUOUS_CODEBOOK'!BL13)&lt;'04_CODEBOOK_CONTROL'!$B$17,2,3)))</f>
        <v/>
      </c>
      <c r="BM13" s="7">
        <f>IF(ABS('07_CONTINUOUS_CODEBOOK'!BM13)&lt;'04_CODEBOOK_CONTROL'!$B$15,0,SIGN('07_CONTINUOUS_CODEBOOK'!BM13)*IF(ABS('07_CONTINUOUS_CODEBOOK'!BM13)&lt;'04_CODEBOOK_CONTROL'!$B$16,1,IF(ABS('07_CONTINUOUS_CODEBOOK'!BM13)&lt;'04_CODEBOOK_CONTROL'!$B$17,2,3)))</f>
        <v/>
      </c>
      <c r="BN13" s="7">
        <f>IF(ABS('07_CONTINUOUS_CODEBOOK'!BN13)&lt;'04_CODEBOOK_CONTROL'!$B$15,0,SIGN('07_CONTINUOUS_CODEBOOK'!BN13)*IF(ABS('07_CONTINUOUS_CODEBOOK'!BN13)&lt;'04_CODEBOOK_CONTROL'!$B$16,1,IF(ABS('07_CONTINUOUS_CODEBOOK'!BN13)&lt;'04_CODEBOOK_CONTROL'!$B$17,2,3)))</f>
        <v/>
      </c>
      <c r="BO13" s="7">
        <f>IF(ABS('07_CONTINUOUS_CODEBOOK'!BO13)&lt;'04_CODEBOOK_CONTROL'!$B$15,0,SIGN('07_CONTINUOUS_CODEBOOK'!BO13)*IF(ABS('07_CONTINUOUS_CODEBOOK'!BO13)&lt;'04_CODEBOOK_CONTROL'!$B$16,1,IF(ABS('07_CONTINUOUS_CODEBOOK'!BO13)&lt;'04_CODEBOOK_CONTROL'!$B$17,2,3)))</f>
        <v/>
      </c>
      <c r="BP13" s="7">
        <f>IF(ABS('07_CONTINUOUS_CODEBOOK'!BP13)&lt;'04_CODEBOOK_CONTROL'!$B$15,0,SIGN('07_CONTINUOUS_CODEBOOK'!BP13)*IF(ABS('07_CONTINUOUS_CODEBOOK'!BP13)&lt;'04_CODEBOOK_CONTROL'!$B$16,1,IF(ABS('07_CONTINUOUS_CODEBOOK'!BP13)&lt;'04_CODEBOOK_CONTROL'!$B$17,2,3)))</f>
        <v/>
      </c>
      <c r="BQ13" s="7">
        <f>IF(ABS('07_CONTINUOUS_CODEBOOK'!BQ13)&lt;'04_CODEBOOK_CONTROL'!$B$15,0,SIGN('07_CONTINUOUS_CODEBOOK'!BQ13)*IF(ABS('07_CONTINUOUS_CODEBOOK'!BQ13)&lt;'04_CODEBOOK_CONTROL'!$B$16,1,IF(ABS('07_CONTINUOUS_CODEBOOK'!BQ13)&lt;'04_CODEBOOK_CONTROL'!$B$17,2,3)))</f>
        <v/>
      </c>
      <c r="BR13" s="7">
        <f>IF(ABS('07_CONTINUOUS_CODEBOOK'!BR13)&lt;'04_CODEBOOK_CONTROL'!$B$15,0,SIGN('07_CONTINUOUS_CODEBOOK'!BR13)*IF(ABS('07_CONTINUOUS_CODEBOOK'!BR13)&lt;'04_CODEBOOK_CONTROL'!$B$16,1,IF(ABS('07_CONTINUOUS_CODEBOOK'!BR13)&lt;'04_CODEBOOK_CONTROL'!$B$17,2,3)))</f>
        <v/>
      </c>
      <c r="BS13" s="7">
        <f>IF(ABS('07_CONTINUOUS_CODEBOOK'!BS13)&lt;'04_CODEBOOK_CONTROL'!$B$15,0,SIGN('07_CONTINUOUS_CODEBOOK'!BS13)*IF(ABS('07_CONTINUOUS_CODEBOOK'!BS13)&lt;'04_CODEBOOK_CONTROL'!$B$16,1,IF(ABS('07_CONTINUOUS_CODEBOOK'!BS13)&lt;'04_CODEBOOK_CONTROL'!$B$17,2,3)))</f>
        <v/>
      </c>
      <c r="BT13" s="7">
        <f>IF(ABS('07_CONTINUOUS_CODEBOOK'!BT13)&lt;'04_CODEBOOK_CONTROL'!$B$15,0,SIGN('07_CONTINUOUS_CODEBOOK'!BT13)*IF(ABS('07_CONTINUOUS_CODEBOOK'!BT13)&lt;'04_CODEBOOK_CONTROL'!$B$16,1,IF(ABS('07_CONTINUOUS_CODEBOOK'!BT13)&lt;'04_CODEBOOK_CONTROL'!$B$17,2,3)))</f>
        <v/>
      </c>
      <c r="BU13" s="7">
        <f>IF(ABS('07_CONTINUOUS_CODEBOOK'!BU13)&lt;'04_CODEBOOK_CONTROL'!$B$15,0,SIGN('07_CONTINUOUS_CODEBOOK'!BU13)*IF(ABS('07_CONTINUOUS_CODEBOOK'!BU13)&lt;'04_CODEBOOK_CONTROL'!$B$16,1,IF(ABS('07_CONTINUOUS_CODEBOOK'!BU13)&lt;'04_CODEBOOK_CONTROL'!$B$17,2,3)))</f>
        <v/>
      </c>
      <c r="BV13" s="7">
        <f>IF(ABS('07_CONTINUOUS_CODEBOOK'!BV13)&lt;'04_CODEBOOK_CONTROL'!$B$15,0,SIGN('07_CONTINUOUS_CODEBOOK'!BV13)*IF(ABS('07_CONTINUOUS_CODEBOOK'!BV13)&lt;'04_CODEBOOK_CONTROL'!$B$16,1,IF(ABS('07_CONTINUOUS_CODEBOOK'!BV13)&lt;'04_CODEBOOK_CONTROL'!$B$17,2,3)))</f>
        <v/>
      </c>
      <c r="BW13" s="7">
        <f>IF(ABS('07_CONTINUOUS_CODEBOOK'!BW13)&lt;'04_CODEBOOK_CONTROL'!$B$15,0,SIGN('07_CONTINUOUS_CODEBOOK'!BW13)*IF(ABS('07_CONTINUOUS_CODEBOOK'!BW13)&lt;'04_CODEBOOK_CONTROL'!$B$16,1,IF(ABS('07_CONTINUOUS_CODEBOOK'!BW13)&lt;'04_CODEBOOK_CONTROL'!$B$17,2,3)))</f>
        <v/>
      </c>
      <c r="BX13" s="7">
        <f>IF(ABS('07_CONTINUOUS_CODEBOOK'!BX13)&lt;'04_CODEBOOK_CONTROL'!$B$15,0,SIGN('07_CONTINUOUS_CODEBOOK'!BX13)*IF(ABS('07_CONTINUOUS_CODEBOOK'!BX13)&lt;'04_CODEBOOK_CONTROL'!$B$16,1,IF(ABS('07_CONTINUOUS_CODEBOOK'!BX13)&lt;'04_CODEBOOK_CONTROL'!$B$17,2,3)))</f>
        <v/>
      </c>
      <c r="BY13" s="7">
        <f>IF(ABS('07_CONTINUOUS_CODEBOOK'!BY13)&lt;'04_CODEBOOK_CONTROL'!$B$15,0,SIGN('07_CONTINUOUS_CODEBOOK'!BY13)*IF(ABS('07_CONTINUOUS_CODEBOOK'!BY13)&lt;'04_CODEBOOK_CONTROL'!$B$16,1,IF(ABS('07_CONTINUOUS_CODEBOOK'!BY13)&lt;'04_CODEBOOK_CONTROL'!$B$17,2,3)))</f>
        <v/>
      </c>
      <c r="BZ13" s="7">
        <f>IF(ABS('07_CONTINUOUS_CODEBOOK'!BZ13)&lt;'04_CODEBOOK_CONTROL'!$B$15,0,SIGN('07_CONTINUOUS_CODEBOOK'!BZ13)*IF(ABS('07_CONTINUOUS_CODEBOOK'!BZ13)&lt;'04_CODEBOOK_CONTROL'!$B$16,1,IF(ABS('07_CONTINUOUS_CODEBOOK'!BZ13)&lt;'04_CODEBOOK_CONTROL'!$B$17,2,3)))</f>
        <v/>
      </c>
      <c r="CA13" s="7">
        <f>IF(ABS('07_CONTINUOUS_CODEBOOK'!CA13)&lt;'04_CODEBOOK_CONTROL'!$B$15,0,SIGN('07_CONTINUOUS_CODEBOOK'!CA13)*IF(ABS('07_CONTINUOUS_CODEBOOK'!CA13)&lt;'04_CODEBOOK_CONTROL'!$B$16,1,IF(ABS('07_CONTINUOUS_CODEBOOK'!CA13)&lt;'04_CODEBOOK_CONTROL'!$B$17,2,3)))</f>
        <v/>
      </c>
      <c r="CB13" s="7">
        <f>IF(ABS('07_CONTINUOUS_CODEBOOK'!CB13)&lt;'04_CODEBOOK_CONTROL'!$B$15,0,SIGN('07_CONTINUOUS_CODEBOOK'!CB13)*IF(ABS('07_CONTINUOUS_CODEBOOK'!CB13)&lt;'04_CODEBOOK_CONTROL'!$B$16,1,IF(ABS('07_CONTINUOUS_CODEBOOK'!CB13)&lt;'04_CODEBOOK_CONTROL'!$B$17,2,3)))</f>
        <v/>
      </c>
      <c r="CC13" s="7">
        <f>IF(ABS('07_CONTINUOUS_CODEBOOK'!CC13)&lt;'04_CODEBOOK_CONTROL'!$B$15,0,SIGN('07_CONTINUOUS_CODEBOOK'!CC13)*IF(ABS('07_CONTINUOUS_CODEBOOK'!CC13)&lt;'04_CODEBOOK_CONTROL'!$B$16,1,IF(ABS('07_CONTINUOUS_CODEBOOK'!CC13)&lt;'04_CODEBOOK_CONTROL'!$B$17,2,3)))</f>
        <v/>
      </c>
      <c r="CD13" s="7">
        <f>IF(ABS('07_CONTINUOUS_CODEBOOK'!CD13)&lt;'04_CODEBOOK_CONTROL'!$B$15,0,SIGN('07_CONTINUOUS_CODEBOOK'!CD13)*IF(ABS('07_CONTINUOUS_CODEBOOK'!CD13)&lt;'04_CODEBOOK_CONTROL'!$B$16,1,IF(ABS('07_CONTINUOUS_CODEBOOK'!CD13)&lt;'04_CODEBOOK_CONTROL'!$B$17,2,3)))</f>
        <v/>
      </c>
      <c r="CE13" s="7">
        <f>IF(ABS('07_CONTINUOUS_CODEBOOK'!CE13)&lt;'04_CODEBOOK_CONTROL'!$B$15,0,SIGN('07_CONTINUOUS_CODEBOOK'!CE13)*IF(ABS('07_CONTINUOUS_CODEBOOK'!CE13)&lt;'04_CODEBOOK_CONTROL'!$B$16,1,IF(ABS('07_CONTINUOUS_CODEBOOK'!CE13)&lt;'04_CODEBOOK_CONTROL'!$B$17,2,3)))</f>
        <v/>
      </c>
    </row>
    <row r="14">
      <c r="A14" t="n">
        <v>10</v>
      </c>
      <c r="B14" t="inlineStr">
        <is>
          <t>北極星人</t>
        </is>
      </c>
      <c r="C14" t="inlineStr">
        <is>
          <t>Polarian</t>
        </is>
      </c>
      <c r="D14" s="7">
        <f>IF(ABS('07_CONTINUOUS_CODEBOOK'!D14)&lt;'04_CODEBOOK_CONTROL'!$B$15,0,SIGN('07_CONTINUOUS_CODEBOOK'!D14)*IF(ABS('07_CONTINUOUS_CODEBOOK'!D14)&lt;'04_CODEBOOK_CONTROL'!$B$16,1,IF(ABS('07_CONTINUOUS_CODEBOOK'!D14)&lt;'04_CODEBOOK_CONTROL'!$B$17,2,3)))</f>
        <v/>
      </c>
      <c r="E14" s="7">
        <f>IF(ABS('07_CONTINUOUS_CODEBOOK'!E14)&lt;'04_CODEBOOK_CONTROL'!$B$15,0,SIGN('07_CONTINUOUS_CODEBOOK'!E14)*IF(ABS('07_CONTINUOUS_CODEBOOK'!E14)&lt;'04_CODEBOOK_CONTROL'!$B$16,1,IF(ABS('07_CONTINUOUS_CODEBOOK'!E14)&lt;'04_CODEBOOK_CONTROL'!$B$17,2,3)))</f>
        <v/>
      </c>
      <c r="F14" s="7">
        <f>IF(ABS('07_CONTINUOUS_CODEBOOK'!F14)&lt;'04_CODEBOOK_CONTROL'!$B$15,0,SIGN('07_CONTINUOUS_CODEBOOK'!F14)*IF(ABS('07_CONTINUOUS_CODEBOOK'!F14)&lt;'04_CODEBOOK_CONTROL'!$B$16,1,IF(ABS('07_CONTINUOUS_CODEBOOK'!F14)&lt;'04_CODEBOOK_CONTROL'!$B$17,2,3)))</f>
        <v/>
      </c>
      <c r="G14" s="7">
        <f>IF(ABS('07_CONTINUOUS_CODEBOOK'!G14)&lt;'04_CODEBOOK_CONTROL'!$B$15,0,SIGN('07_CONTINUOUS_CODEBOOK'!G14)*IF(ABS('07_CONTINUOUS_CODEBOOK'!G14)&lt;'04_CODEBOOK_CONTROL'!$B$16,1,IF(ABS('07_CONTINUOUS_CODEBOOK'!G14)&lt;'04_CODEBOOK_CONTROL'!$B$17,2,3)))</f>
        <v/>
      </c>
      <c r="H14" s="7">
        <f>IF(ABS('07_CONTINUOUS_CODEBOOK'!H14)&lt;'04_CODEBOOK_CONTROL'!$B$15,0,SIGN('07_CONTINUOUS_CODEBOOK'!H14)*IF(ABS('07_CONTINUOUS_CODEBOOK'!H14)&lt;'04_CODEBOOK_CONTROL'!$B$16,1,IF(ABS('07_CONTINUOUS_CODEBOOK'!H14)&lt;'04_CODEBOOK_CONTROL'!$B$17,2,3)))</f>
        <v/>
      </c>
      <c r="I14" s="7">
        <f>IF(ABS('07_CONTINUOUS_CODEBOOK'!I14)&lt;'04_CODEBOOK_CONTROL'!$B$15,0,SIGN('07_CONTINUOUS_CODEBOOK'!I14)*IF(ABS('07_CONTINUOUS_CODEBOOK'!I14)&lt;'04_CODEBOOK_CONTROL'!$B$16,1,IF(ABS('07_CONTINUOUS_CODEBOOK'!I14)&lt;'04_CODEBOOK_CONTROL'!$B$17,2,3)))</f>
        <v/>
      </c>
      <c r="J14" s="7">
        <f>IF(ABS('07_CONTINUOUS_CODEBOOK'!J14)&lt;'04_CODEBOOK_CONTROL'!$B$15,0,SIGN('07_CONTINUOUS_CODEBOOK'!J14)*IF(ABS('07_CONTINUOUS_CODEBOOK'!J14)&lt;'04_CODEBOOK_CONTROL'!$B$16,1,IF(ABS('07_CONTINUOUS_CODEBOOK'!J14)&lt;'04_CODEBOOK_CONTROL'!$B$17,2,3)))</f>
        <v/>
      </c>
      <c r="K14" s="7">
        <f>IF(ABS('07_CONTINUOUS_CODEBOOK'!K14)&lt;'04_CODEBOOK_CONTROL'!$B$15,0,SIGN('07_CONTINUOUS_CODEBOOK'!K14)*IF(ABS('07_CONTINUOUS_CODEBOOK'!K14)&lt;'04_CODEBOOK_CONTROL'!$B$16,1,IF(ABS('07_CONTINUOUS_CODEBOOK'!K14)&lt;'04_CODEBOOK_CONTROL'!$B$17,2,3)))</f>
        <v/>
      </c>
      <c r="L14" s="7">
        <f>IF(ABS('07_CONTINUOUS_CODEBOOK'!L14)&lt;'04_CODEBOOK_CONTROL'!$B$15,0,SIGN('07_CONTINUOUS_CODEBOOK'!L14)*IF(ABS('07_CONTINUOUS_CODEBOOK'!L14)&lt;'04_CODEBOOK_CONTROL'!$B$16,1,IF(ABS('07_CONTINUOUS_CODEBOOK'!L14)&lt;'04_CODEBOOK_CONTROL'!$B$17,2,3)))</f>
        <v/>
      </c>
      <c r="M14" s="7">
        <f>IF(ABS('07_CONTINUOUS_CODEBOOK'!M14)&lt;'04_CODEBOOK_CONTROL'!$B$15,0,SIGN('07_CONTINUOUS_CODEBOOK'!M14)*IF(ABS('07_CONTINUOUS_CODEBOOK'!M14)&lt;'04_CODEBOOK_CONTROL'!$B$16,1,IF(ABS('07_CONTINUOUS_CODEBOOK'!M14)&lt;'04_CODEBOOK_CONTROL'!$B$17,2,3)))</f>
        <v/>
      </c>
      <c r="N14" s="7">
        <f>IF(ABS('07_CONTINUOUS_CODEBOOK'!N14)&lt;'04_CODEBOOK_CONTROL'!$B$15,0,SIGN('07_CONTINUOUS_CODEBOOK'!N14)*IF(ABS('07_CONTINUOUS_CODEBOOK'!N14)&lt;'04_CODEBOOK_CONTROL'!$B$16,1,IF(ABS('07_CONTINUOUS_CODEBOOK'!N14)&lt;'04_CODEBOOK_CONTROL'!$B$17,2,3)))</f>
        <v/>
      </c>
      <c r="O14" s="7">
        <f>IF(ABS('07_CONTINUOUS_CODEBOOK'!O14)&lt;'04_CODEBOOK_CONTROL'!$B$15,0,SIGN('07_CONTINUOUS_CODEBOOK'!O14)*IF(ABS('07_CONTINUOUS_CODEBOOK'!O14)&lt;'04_CODEBOOK_CONTROL'!$B$16,1,IF(ABS('07_CONTINUOUS_CODEBOOK'!O14)&lt;'04_CODEBOOK_CONTROL'!$B$17,2,3)))</f>
        <v/>
      </c>
      <c r="P14" s="7">
        <f>IF(ABS('07_CONTINUOUS_CODEBOOK'!P14)&lt;'04_CODEBOOK_CONTROL'!$B$15,0,SIGN('07_CONTINUOUS_CODEBOOK'!P14)*IF(ABS('07_CONTINUOUS_CODEBOOK'!P14)&lt;'04_CODEBOOK_CONTROL'!$B$16,1,IF(ABS('07_CONTINUOUS_CODEBOOK'!P14)&lt;'04_CODEBOOK_CONTROL'!$B$17,2,3)))</f>
        <v/>
      </c>
      <c r="Q14" s="7">
        <f>IF(ABS('07_CONTINUOUS_CODEBOOK'!Q14)&lt;'04_CODEBOOK_CONTROL'!$B$15,0,SIGN('07_CONTINUOUS_CODEBOOK'!Q14)*IF(ABS('07_CONTINUOUS_CODEBOOK'!Q14)&lt;'04_CODEBOOK_CONTROL'!$B$16,1,IF(ABS('07_CONTINUOUS_CODEBOOK'!Q14)&lt;'04_CODEBOOK_CONTROL'!$B$17,2,3)))</f>
        <v/>
      </c>
      <c r="R14" s="7">
        <f>IF(ABS('07_CONTINUOUS_CODEBOOK'!R14)&lt;'04_CODEBOOK_CONTROL'!$B$15,0,SIGN('07_CONTINUOUS_CODEBOOK'!R14)*IF(ABS('07_CONTINUOUS_CODEBOOK'!R14)&lt;'04_CODEBOOK_CONTROL'!$B$16,1,IF(ABS('07_CONTINUOUS_CODEBOOK'!R14)&lt;'04_CODEBOOK_CONTROL'!$B$17,2,3)))</f>
        <v/>
      </c>
      <c r="S14" s="7">
        <f>IF(ABS('07_CONTINUOUS_CODEBOOK'!S14)&lt;'04_CODEBOOK_CONTROL'!$B$15,0,SIGN('07_CONTINUOUS_CODEBOOK'!S14)*IF(ABS('07_CONTINUOUS_CODEBOOK'!S14)&lt;'04_CODEBOOK_CONTROL'!$B$16,1,IF(ABS('07_CONTINUOUS_CODEBOOK'!S14)&lt;'04_CODEBOOK_CONTROL'!$B$17,2,3)))</f>
        <v/>
      </c>
      <c r="T14" s="7">
        <f>IF(ABS('07_CONTINUOUS_CODEBOOK'!T14)&lt;'04_CODEBOOK_CONTROL'!$B$15,0,SIGN('07_CONTINUOUS_CODEBOOK'!T14)*IF(ABS('07_CONTINUOUS_CODEBOOK'!T14)&lt;'04_CODEBOOK_CONTROL'!$B$16,1,IF(ABS('07_CONTINUOUS_CODEBOOK'!T14)&lt;'04_CODEBOOK_CONTROL'!$B$17,2,3)))</f>
        <v/>
      </c>
      <c r="U14" s="7">
        <f>IF(ABS('07_CONTINUOUS_CODEBOOK'!U14)&lt;'04_CODEBOOK_CONTROL'!$B$15,0,SIGN('07_CONTINUOUS_CODEBOOK'!U14)*IF(ABS('07_CONTINUOUS_CODEBOOK'!U14)&lt;'04_CODEBOOK_CONTROL'!$B$16,1,IF(ABS('07_CONTINUOUS_CODEBOOK'!U14)&lt;'04_CODEBOOK_CONTROL'!$B$17,2,3)))</f>
        <v/>
      </c>
      <c r="V14" s="7">
        <f>IF(ABS('07_CONTINUOUS_CODEBOOK'!V14)&lt;'04_CODEBOOK_CONTROL'!$B$15,0,SIGN('07_CONTINUOUS_CODEBOOK'!V14)*IF(ABS('07_CONTINUOUS_CODEBOOK'!V14)&lt;'04_CODEBOOK_CONTROL'!$B$16,1,IF(ABS('07_CONTINUOUS_CODEBOOK'!V14)&lt;'04_CODEBOOK_CONTROL'!$B$17,2,3)))</f>
        <v/>
      </c>
      <c r="W14" s="7">
        <f>IF(ABS('07_CONTINUOUS_CODEBOOK'!W14)&lt;'04_CODEBOOK_CONTROL'!$B$15,0,SIGN('07_CONTINUOUS_CODEBOOK'!W14)*IF(ABS('07_CONTINUOUS_CODEBOOK'!W14)&lt;'04_CODEBOOK_CONTROL'!$B$16,1,IF(ABS('07_CONTINUOUS_CODEBOOK'!W14)&lt;'04_CODEBOOK_CONTROL'!$B$17,2,3)))</f>
        <v/>
      </c>
      <c r="X14" s="7">
        <f>IF(ABS('07_CONTINUOUS_CODEBOOK'!X14)&lt;'04_CODEBOOK_CONTROL'!$B$15,0,SIGN('07_CONTINUOUS_CODEBOOK'!X14)*IF(ABS('07_CONTINUOUS_CODEBOOK'!X14)&lt;'04_CODEBOOK_CONTROL'!$B$16,1,IF(ABS('07_CONTINUOUS_CODEBOOK'!X14)&lt;'04_CODEBOOK_CONTROL'!$B$17,2,3)))</f>
        <v/>
      </c>
      <c r="Y14" s="7">
        <f>IF(ABS('07_CONTINUOUS_CODEBOOK'!Y14)&lt;'04_CODEBOOK_CONTROL'!$B$15,0,SIGN('07_CONTINUOUS_CODEBOOK'!Y14)*IF(ABS('07_CONTINUOUS_CODEBOOK'!Y14)&lt;'04_CODEBOOK_CONTROL'!$B$16,1,IF(ABS('07_CONTINUOUS_CODEBOOK'!Y14)&lt;'04_CODEBOOK_CONTROL'!$B$17,2,3)))</f>
        <v/>
      </c>
      <c r="Z14" s="7">
        <f>IF(ABS('07_CONTINUOUS_CODEBOOK'!Z14)&lt;'04_CODEBOOK_CONTROL'!$B$15,0,SIGN('07_CONTINUOUS_CODEBOOK'!Z14)*IF(ABS('07_CONTINUOUS_CODEBOOK'!Z14)&lt;'04_CODEBOOK_CONTROL'!$B$16,1,IF(ABS('07_CONTINUOUS_CODEBOOK'!Z14)&lt;'04_CODEBOOK_CONTROL'!$B$17,2,3)))</f>
        <v/>
      </c>
      <c r="AA14" s="7">
        <f>IF(ABS('07_CONTINUOUS_CODEBOOK'!AA14)&lt;'04_CODEBOOK_CONTROL'!$B$15,0,SIGN('07_CONTINUOUS_CODEBOOK'!AA14)*IF(ABS('07_CONTINUOUS_CODEBOOK'!AA14)&lt;'04_CODEBOOK_CONTROL'!$B$16,1,IF(ABS('07_CONTINUOUS_CODEBOOK'!AA14)&lt;'04_CODEBOOK_CONTROL'!$B$17,2,3)))</f>
        <v/>
      </c>
      <c r="AB14" s="7">
        <f>IF(ABS('07_CONTINUOUS_CODEBOOK'!AB14)&lt;'04_CODEBOOK_CONTROL'!$B$15,0,SIGN('07_CONTINUOUS_CODEBOOK'!AB14)*IF(ABS('07_CONTINUOUS_CODEBOOK'!AB14)&lt;'04_CODEBOOK_CONTROL'!$B$16,1,IF(ABS('07_CONTINUOUS_CODEBOOK'!AB14)&lt;'04_CODEBOOK_CONTROL'!$B$17,2,3)))</f>
        <v/>
      </c>
      <c r="AC14" s="7">
        <f>IF(ABS('07_CONTINUOUS_CODEBOOK'!AC14)&lt;'04_CODEBOOK_CONTROL'!$B$15,0,SIGN('07_CONTINUOUS_CODEBOOK'!AC14)*IF(ABS('07_CONTINUOUS_CODEBOOK'!AC14)&lt;'04_CODEBOOK_CONTROL'!$B$16,1,IF(ABS('07_CONTINUOUS_CODEBOOK'!AC14)&lt;'04_CODEBOOK_CONTROL'!$B$17,2,3)))</f>
        <v/>
      </c>
      <c r="AD14" s="7">
        <f>IF(ABS('07_CONTINUOUS_CODEBOOK'!AD14)&lt;'04_CODEBOOK_CONTROL'!$B$15,0,SIGN('07_CONTINUOUS_CODEBOOK'!AD14)*IF(ABS('07_CONTINUOUS_CODEBOOK'!AD14)&lt;'04_CODEBOOK_CONTROL'!$B$16,1,IF(ABS('07_CONTINUOUS_CODEBOOK'!AD14)&lt;'04_CODEBOOK_CONTROL'!$B$17,2,3)))</f>
        <v/>
      </c>
      <c r="AE14" s="7">
        <f>IF(ABS('07_CONTINUOUS_CODEBOOK'!AE14)&lt;'04_CODEBOOK_CONTROL'!$B$15,0,SIGN('07_CONTINUOUS_CODEBOOK'!AE14)*IF(ABS('07_CONTINUOUS_CODEBOOK'!AE14)&lt;'04_CODEBOOK_CONTROL'!$B$16,1,IF(ABS('07_CONTINUOUS_CODEBOOK'!AE14)&lt;'04_CODEBOOK_CONTROL'!$B$17,2,3)))</f>
        <v/>
      </c>
      <c r="AF14" s="7">
        <f>IF(ABS('07_CONTINUOUS_CODEBOOK'!AF14)&lt;'04_CODEBOOK_CONTROL'!$B$15,0,SIGN('07_CONTINUOUS_CODEBOOK'!AF14)*IF(ABS('07_CONTINUOUS_CODEBOOK'!AF14)&lt;'04_CODEBOOK_CONTROL'!$B$16,1,IF(ABS('07_CONTINUOUS_CODEBOOK'!AF14)&lt;'04_CODEBOOK_CONTROL'!$B$17,2,3)))</f>
        <v/>
      </c>
      <c r="AG14" s="7">
        <f>IF(ABS('07_CONTINUOUS_CODEBOOK'!AG14)&lt;'04_CODEBOOK_CONTROL'!$B$15,0,SIGN('07_CONTINUOUS_CODEBOOK'!AG14)*IF(ABS('07_CONTINUOUS_CODEBOOK'!AG14)&lt;'04_CODEBOOK_CONTROL'!$B$16,1,IF(ABS('07_CONTINUOUS_CODEBOOK'!AG14)&lt;'04_CODEBOOK_CONTROL'!$B$17,2,3)))</f>
        <v/>
      </c>
      <c r="AH14" s="7">
        <f>IF(ABS('07_CONTINUOUS_CODEBOOK'!AH14)&lt;'04_CODEBOOK_CONTROL'!$B$15,0,SIGN('07_CONTINUOUS_CODEBOOK'!AH14)*IF(ABS('07_CONTINUOUS_CODEBOOK'!AH14)&lt;'04_CODEBOOK_CONTROL'!$B$16,1,IF(ABS('07_CONTINUOUS_CODEBOOK'!AH14)&lt;'04_CODEBOOK_CONTROL'!$B$17,2,3)))</f>
        <v/>
      </c>
      <c r="AI14" s="7">
        <f>IF(ABS('07_CONTINUOUS_CODEBOOK'!AI14)&lt;'04_CODEBOOK_CONTROL'!$B$15,0,SIGN('07_CONTINUOUS_CODEBOOK'!AI14)*IF(ABS('07_CONTINUOUS_CODEBOOK'!AI14)&lt;'04_CODEBOOK_CONTROL'!$B$16,1,IF(ABS('07_CONTINUOUS_CODEBOOK'!AI14)&lt;'04_CODEBOOK_CONTROL'!$B$17,2,3)))</f>
        <v/>
      </c>
      <c r="AJ14" s="7">
        <f>IF(ABS('07_CONTINUOUS_CODEBOOK'!AJ14)&lt;'04_CODEBOOK_CONTROL'!$B$15,0,SIGN('07_CONTINUOUS_CODEBOOK'!AJ14)*IF(ABS('07_CONTINUOUS_CODEBOOK'!AJ14)&lt;'04_CODEBOOK_CONTROL'!$B$16,1,IF(ABS('07_CONTINUOUS_CODEBOOK'!AJ14)&lt;'04_CODEBOOK_CONTROL'!$B$17,2,3)))</f>
        <v/>
      </c>
      <c r="AK14" s="7">
        <f>IF(ABS('07_CONTINUOUS_CODEBOOK'!AK14)&lt;'04_CODEBOOK_CONTROL'!$B$15,0,SIGN('07_CONTINUOUS_CODEBOOK'!AK14)*IF(ABS('07_CONTINUOUS_CODEBOOK'!AK14)&lt;'04_CODEBOOK_CONTROL'!$B$16,1,IF(ABS('07_CONTINUOUS_CODEBOOK'!AK14)&lt;'04_CODEBOOK_CONTROL'!$B$17,2,3)))</f>
        <v/>
      </c>
      <c r="AL14" s="7">
        <f>IF(ABS('07_CONTINUOUS_CODEBOOK'!AL14)&lt;'04_CODEBOOK_CONTROL'!$B$15,0,SIGN('07_CONTINUOUS_CODEBOOK'!AL14)*IF(ABS('07_CONTINUOUS_CODEBOOK'!AL14)&lt;'04_CODEBOOK_CONTROL'!$B$16,1,IF(ABS('07_CONTINUOUS_CODEBOOK'!AL14)&lt;'04_CODEBOOK_CONTROL'!$B$17,2,3)))</f>
        <v/>
      </c>
      <c r="AM14" s="7">
        <f>IF(ABS('07_CONTINUOUS_CODEBOOK'!AM14)&lt;'04_CODEBOOK_CONTROL'!$B$15,0,SIGN('07_CONTINUOUS_CODEBOOK'!AM14)*IF(ABS('07_CONTINUOUS_CODEBOOK'!AM14)&lt;'04_CODEBOOK_CONTROL'!$B$16,1,IF(ABS('07_CONTINUOUS_CODEBOOK'!AM14)&lt;'04_CODEBOOK_CONTROL'!$B$17,2,3)))</f>
        <v/>
      </c>
      <c r="AN14" s="7">
        <f>IF(ABS('07_CONTINUOUS_CODEBOOK'!AN14)&lt;'04_CODEBOOK_CONTROL'!$B$15,0,SIGN('07_CONTINUOUS_CODEBOOK'!AN14)*IF(ABS('07_CONTINUOUS_CODEBOOK'!AN14)&lt;'04_CODEBOOK_CONTROL'!$B$16,1,IF(ABS('07_CONTINUOUS_CODEBOOK'!AN14)&lt;'04_CODEBOOK_CONTROL'!$B$17,2,3)))</f>
        <v/>
      </c>
      <c r="AO14" s="7">
        <f>IF(ABS('07_CONTINUOUS_CODEBOOK'!AO14)&lt;'04_CODEBOOK_CONTROL'!$B$15,0,SIGN('07_CONTINUOUS_CODEBOOK'!AO14)*IF(ABS('07_CONTINUOUS_CODEBOOK'!AO14)&lt;'04_CODEBOOK_CONTROL'!$B$16,1,IF(ABS('07_CONTINUOUS_CODEBOOK'!AO14)&lt;'04_CODEBOOK_CONTROL'!$B$17,2,3)))</f>
        <v/>
      </c>
      <c r="AP14" s="7">
        <f>IF(ABS('07_CONTINUOUS_CODEBOOK'!AP14)&lt;'04_CODEBOOK_CONTROL'!$B$15,0,SIGN('07_CONTINUOUS_CODEBOOK'!AP14)*IF(ABS('07_CONTINUOUS_CODEBOOK'!AP14)&lt;'04_CODEBOOK_CONTROL'!$B$16,1,IF(ABS('07_CONTINUOUS_CODEBOOK'!AP14)&lt;'04_CODEBOOK_CONTROL'!$B$17,2,3)))</f>
        <v/>
      </c>
      <c r="AQ14" s="7">
        <f>IF(ABS('07_CONTINUOUS_CODEBOOK'!AQ14)&lt;'04_CODEBOOK_CONTROL'!$B$15,0,SIGN('07_CONTINUOUS_CODEBOOK'!AQ14)*IF(ABS('07_CONTINUOUS_CODEBOOK'!AQ14)&lt;'04_CODEBOOK_CONTROL'!$B$16,1,IF(ABS('07_CONTINUOUS_CODEBOOK'!AQ14)&lt;'04_CODEBOOK_CONTROL'!$B$17,2,3)))</f>
        <v/>
      </c>
      <c r="AR14" s="7">
        <f>IF(ABS('07_CONTINUOUS_CODEBOOK'!AR14)&lt;'04_CODEBOOK_CONTROL'!$B$15,0,SIGN('07_CONTINUOUS_CODEBOOK'!AR14)*IF(ABS('07_CONTINUOUS_CODEBOOK'!AR14)&lt;'04_CODEBOOK_CONTROL'!$B$16,1,IF(ABS('07_CONTINUOUS_CODEBOOK'!AR14)&lt;'04_CODEBOOK_CONTROL'!$B$17,2,3)))</f>
        <v/>
      </c>
      <c r="AS14" s="7">
        <f>IF(ABS('07_CONTINUOUS_CODEBOOK'!AS14)&lt;'04_CODEBOOK_CONTROL'!$B$15,0,SIGN('07_CONTINUOUS_CODEBOOK'!AS14)*IF(ABS('07_CONTINUOUS_CODEBOOK'!AS14)&lt;'04_CODEBOOK_CONTROL'!$B$16,1,IF(ABS('07_CONTINUOUS_CODEBOOK'!AS14)&lt;'04_CODEBOOK_CONTROL'!$B$17,2,3)))</f>
        <v/>
      </c>
      <c r="AT14" s="7">
        <f>IF(ABS('07_CONTINUOUS_CODEBOOK'!AT14)&lt;'04_CODEBOOK_CONTROL'!$B$15,0,SIGN('07_CONTINUOUS_CODEBOOK'!AT14)*IF(ABS('07_CONTINUOUS_CODEBOOK'!AT14)&lt;'04_CODEBOOK_CONTROL'!$B$16,1,IF(ABS('07_CONTINUOUS_CODEBOOK'!AT14)&lt;'04_CODEBOOK_CONTROL'!$B$17,2,3)))</f>
        <v/>
      </c>
      <c r="AU14" s="7">
        <f>IF(ABS('07_CONTINUOUS_CODEBOOK'!AU14)&lt;'04_CODEBOOK_CONTROL'!$B$15,0,SIGN('07_CONTINUOUS_CODEBOOK'!AU14)*IF(ABS('07_CONTINUOUS_CODEBOOK'!AU14)&lt;'04_CODEBOOK_CONTROL'!$B$16,1,IF(ABS('07_CONTINUOUS_CODEBOOK'!AU14)&lt;'04_CODEBOOK_CONTROL'!$B$17,2,3)))</f>
        <v/>
      </c>
      <c r="AV14" s="7">
        <f>IF(ABS('07_CONTINUOUS_CODEBOOK'!AV14)&lt;'04_CODEBOOK_CONTROL'!$B$15,0,SIGN('07_CONTINUOUS_CODEBOOK'!AV14)*IF(ABS('07_CONTINUOUS_CODEBOOK'!AV14)&lt;'04_CODEBOOK_CONTROL'!$B$16,1,IF(ABS('07_CONTINUOUS_CODEBOOK'!AV14)&lt;'04_CODEBOOK_CONTROL'!$B$17,2,3)))</f>
        <v/>
      </c>
      <c r="AW14" s="7">
        <f>IF(ABS('07_CONTINUOUS_CODEBOOK'!AW14)&lt;'04_CODEBOOK_CONTROL'!$B$15,0,SIGN('07_CONTINUOUS_CODEBOOK'!AW14)*IF(ABS('07_CONTINUOUS_CODEBOOK'!AW14)&lt;'04_CODEBOOK_CONTROL'!$B$16,1,IF(ABS('07_CONTINUOUS_CODEBOOK'!AW14)&lt;'04_CODEBOOK_CONTROL'!$B$17,2,3)))</f>
        <v/>
      </c>
      <c r="AX14" s="7">
        <f>IF(ABS('07_CONTINUOUS_CODEBOOK'!AX14)&lt;'04_CODEBOOK_CONTROL'!$B$15,0,SIGN('07_CONTINUOUS_CODEBOOK'!AX14)*IF(ABS('07_CONTINUOUS_CODEBOOK'!AX14)&lt;'04_CODEBOOK_CONTROL'!$B$16,1,IF(ABS('07_CONTINUOUS_CODEBOOK'!AX14)&lt;'04_CODEBOOK_CONTROL'!$B$17,2,3)))</f>
        <v/>
      </c>
      <c r="AY14" s="7">
        <f>IF(ABS('07_CONTINUOUS_CODEBOOK'!AY14)&lt;'04_CODEBOOK_CONTROL'!$B$15,0,SIGN('07_CONTINUOUS_CODEBOOK'!AY14)*IF(ABS('07_CONTINUOUS_CODEBOOK'!AY14)&lt;'04_CODEBOOK_CONTROL'!$B$16,1,IF(ABS('07_CONTINUOUS_CODEBOOK'!AY14)&lt;'04_CODEBOOK_CONTROL'!$B$17,2,3)))</f>
        <v/>
      </c>
      <c r="AZ14" s="7">
        <f>IF(ABS('07_CONTINUOUS_CODEBOOK'!AZ14)&lt;'04_CODEBOOK_CONTROL'!$B$15,0,SIGN('07_CONTINUOUS_CODEBOOK'!AZ14)*IF(ABS('07_CONTINUOUS_CODEBOOK'!AZ14)&lt;'04_CODEBOOK_CONTROL'!$B$16,1,IF(ABS('07_CONTINUOUS_CODEBOOK'!AZ14)&lt;'04_CODEBOOK_CONTROL'!$B$17,2,3)))</f>
        <v/>
      </c>
      <c r="BA14" s="7">
        <f>IF(ABS('07_CONTINUOUS_CODEBOOK'!BA14)&lt;'04_CODEBOOK_CONTROL'!$B$15,0,SIGN('07_CONTINUOUS_CODEBOOK'!BA14)*IF(ABS('07_CONTINUOUS_CODEBOOK'!BA14)&lt;'04_CODEBOOK_CONTROL'!$B$16,1,IF(ABS('07_CONTINUOUS_CODEBOOK'!BA14)&lt;'04_CODEBOOK_CONTROL'!$B$17,2,3)))</f>
        <v/>
      </c>
      <c r="BB14" s="7">
        <f>IF(ABS('07_CONTINUOUS_CODEBOOK'!BB14)&lt;'04_CODEBOOK_CONTROL'!$B$15,0,SIGN('07_CONTINUOUS_CODEBOOK'!BB14)*IF(ABS('07_CONTINUOUS_CODEBOOK'!BB14)&lt;'04_CODEBOOK_CONTROL'!$B$16,1,IF(ABS('07_CONTINUOUS_CODEBOOK'!BB14)&lt;'04_CODEBOOK_CONTROL'!$B$17,2,3)))</f>
        <v/>
      </c>
      <c r="BC14" s="7">
        <f>IF(ABS('07_CONTINUOUS_CODEBOOK'!BC14)&lt;'04_CODEBOOK_CONTROL'!$B$15,0,SIGN('07_CONTINUOUS_CODEBOOK'!BC14)*IF(ABS('07_CONTINUOUS_CODEBOOK'!BC14)&lt;'04_CODEBOOK_CONTROL'!$B$16,1,IF(ABS('07_CONTINUOUS_CODEBOOK'!BC14)&lt;'04_CODEBOOK_CONTROL'!$B$17,2,3)))</f>
        <v/>
      </c>
      <c r="BD14" s="7">
        <f>IF(ABS('07_CONTINUOUS_CODEBOOK'!BD14)&lt;'04_CODEBOOK_CONTROL'!$B$15,0,SIGN('07_CONTINUOUS_CODEBOOK'!BD14)*IF(ABS('07_CONTINUOUS_CODEBOOK'!BD14)&lt;'04_CODEBOOK_CONTROL'!$B$16,1,IF(ABS('07_CONTINUOUS_CODEBOOK'!BD14)&lt;'04_CODEBOOK_CONTROL'!$B$17,2,3)))</f>
        <v/>
      </c>
      <c r="BE14" s="7">
        <f>IF(ABS('07_CONTINUOUS_CODEBOOK'!BE14)&lt;'04_CODEBOOK_CONTROL'!$B$15,0,SIGN('07_CONTINUOUS_CODEBOOK'!BE14)*IF(ABS('07_CONTINUOUS_CODEBOOK'!BE14)&lt;'04_CODEBOOK_CONTROL'!$B$16,1,IF(ABS('07_CONTINUOUS_CODEBOOK'!BE14)&lt;'04_CODEBOOK_CONTROL'!$B$17,2,3)))</f>
        <v/>
      </c>
      <c r="BF14" s="7">
        <f>IF(ABS('07_CONTINUOUS_CODEBOOK'!BF14)&lt;'04_CODEBOOK_CONTROL'!$B$15,0,SIGN('07_CONTINUOUS_CODEBOOK'!BF14)*IF(ABS('07_CONTINUOUS_CODEBOOK'!BF14)&lt;'04_CODEBOOK_CONTROL'!$B$16,1,IF(ABS('07_CONTINUOUS_CODEBOOK'!BF14)&lt;'04_CODEBOOK_CONTROL'!$B$17,2,3)))</f>
        <v/>
      </c>
      <c r="BG14" s="7">
        <f>IF(ABS('07_CONTINUOUS_CODEBOOK'!BG14)&lt;'04_CODEBOOK_CONTROL'!$B$15,0,SIGN('07_CONTINUOUS_CODEBOOK'!BG14)*IF(ABS('07_CONTINUOUS_CODEBOOK'!BG14)&lt;'04_CODEBOOK_CONTROL'!$B$16,1,IF(ABS('07_CONTINUOUS_CODEBOOK'!BG14)&lt;'04_CODEBOOK_CONTROL'!$B$17,2,3)))</f>
        <v/>
      </c>
      <c r="BH14" s="7">
        <f>IF(ABS('07_CONTINUOUS_CODEBOOK'!BH14)&lt;'04_CODEBOOK_CONTROL'!$B$15,0,SIGN('07_CONTINUOUS_CODEBOOK'!BH14)*IF(ABS('07_CONTINUOUS_CODEBOOK'!BH14)&lt;'04_CODEBOOK_CONTROL'!$B$16,1,IF(ABS('07_CONTINUOUS_CODEBOOK'!BH14)&lt;'04_CODEBOOK_CONTROL'!$B$17,2,3)))</f>
        <v/>
      </c>
      <c r="BI14" s="7">
        <f>IF(ABS('07_CONTINUOUS_CODEBOOK'!BI14)&lt;'04_CODEBOOK_CONTROL'!$B$15,0,SIGN('07_CONTINUOUS_CODEBOOK'!BI14)*IF(ABS('07_CONTINUOUS_CODEBOOK'!BI14)&lt;'04_CODEBOOK_CONTROL'!$B$16,1,IF(ABS('07_CONTINUOUS_CODEBOOK'!BI14)&lt;'04_CODEBOOK_CONTROL'!$B$17,2,3)))</f>
        <v/>
      </c>
      <c r="BJ14" s="7">
        <f>IF(ABS('07_CONTINUOUS_CODEBOOK'!BJ14)&lt;'04_CODEBOOK_CONTROL'!$B$15,0,SIGN('07_CONTINUOUS_CODEBOOK'!BJ14)*IF(ABS('07_CONTINUOUS_CODEBOOK'!BJ14)&lt;'04_CODEBOOK_CONTROL'!$B$16,1,IF(ABS('07_CONTINUOUS_CODEBOOK'!BJ14)&lt;'04_CODEBOOK_CONTROL'!$B$17,2,3)))</f>
        <v/>
      </c>
      <c r="BK14" s="7">
        <f>IF(ABS('07_CONTINUOUS_CODEBOOK'!BK14)&lt;'04_CODEBOOK_CONTROL'!$B$15,0,SIGN('07_CONTINUOUS_CODEBOOK'!BK14)*IF(ABS('07_CONTINUOUS_CODEBOOK'!BK14)&lt;'04_CODEBOOK_CONTROL'!$B$16,1,IF(ABS('07_CONTINUOUS_CODEBOOK'!BK14)&lt;'04_CODEBOOK_CONTROL'!$B$17,2,3)))</f>
        <v/>
      </c>
      <c r="BL14" s="7">
        <f>IF(ABS('07_CONTINUOUS_CODEBOOK'!BL14)&lt;'04_CODEBOOK_CONTROL'!$B$15,0,SIGN('07_CONTINUOUS_CODEBOOK'!BL14)*IF(ABS('07_CONTINUOUS_CODEBOOK'!BL14)&lt;'04_CODEBOOK_CONTROL'!$B$16,1,IF(ABS('07_CONTINUOUS_CODEBOOK'!BL14)&lt;'04_CODEBOOK_CONTROL'!$B$17,2,3)))</f>
        <v/>
      </c>
      <c r="BM14" s="7">
        <f>IF(ABS('07_CONTINUOUS_CODEBOOK'!BM14)&lt;'04_CODEBOOK_CONTROL'!$B$15,0,SIGN('07_CONTINUOUS_CODEBOOK'!BM14)*IF(ABS('07_CONTINUOUS_CODEBOOK'!BM14)&lt;'04_CODEBOOK_CONTROL'!$B$16,1,IF(ABS('07_CONTINUOUS_CODEBOOK'!BM14)&lt;'04_CODEBOOK_CONTROL'!$B$17,2,3)))</f>
        <v/>
      </c>
      <c r="BN14" s="7">
        <f>IF(ABS('07_CONTINUOUS_CODEBOOK'!BN14)&lt;'04_CODEBOOK_CONTROL'!$B$15,0,SIGN('07_CONTINUOUS_CODEBOOK'!BN14)*IF(ABS('07_CONTINUOUS_CODEBOOK'!BN14)&lt;'04_CODEBOOK_CONTROL'!$B$16,1,IF(ABS('07_CONTINUOUS_CODEBOOK'!BN14)&lt;'04_CODEBOOK_CONTROL'!$B$17,2,3)))</f>
        <v/>
      </c>
      <c r="BO14" s="7">
        <f>IF(ABS('07_CONTINUOUS_CODEBOOK'!BO14)&lt;'04_CODEBOOK_CONTROL'!$B$15,0,SIGN('07_CONTINUOUS_CODEBOOK'!BO14)*IF(ABS('07_CONTINUOUS_CODEBOOK'!BO14)&lt;'04_CODEBOOK_CONTROL'!$B$16,1,IF(ABS('07_CONTINUOUS_CODEBOOK'!BO14)&lt;'04_CODEBOOK_CONTROL'!$B$17,2,3)))</f>
        <v/>
      </c>
      <c r="BP14" s="7">
        <f>IF(ABS('07_CONTINUOUS_CODEBOOK'!BP14)&lt;'04_CODEBOOK_CONTROL'!$B$15,0,SIGN('07_CONTINUOUS_CODEBOOK'!BP14)*IF(ABS('07_CONTINUOUS_CODEBOOK'!BP14)&lt;'04_CODEBOOK_CONTROL'!$B$16,1,IF(ABS('07_CONTINUOUS_CODEBOOK'!BP14)&lt;'04_CODEBOOK_CONTROL'!$B$17,2,3)))</f>
        <v/>
      </c>
      <c r="BQ14" s="7">
        <f>IF(ABS('07_CONTINUOUS_CODEBOOK'!BQ14)&lt;'04_CODEBOOK_CONTROL'!$B$15,0,SIGN('07_CONTINUOUS_CODEBOOK'!BQ14)*IF(ABS('07_CONTINUOUS_CODEBOOK'!BQ14)&lt;'04_CODEBOOK_CONTROL'!$B$16,1,IF(ABS('07_CONTINUOUS_CODEBOOK'!BQ14)&lt;'04_CODEBOOK_CONTROL'!$B$17,2,3)))</f>
        <v/>
      </c>
      <c r="BR14" s="7">
        <f>IF(ABS('07_CONTINUOUS_CODEBOOK'!BR14)&lt;'04_CODEBOOK_CONTROL'!$B$15,0,SIGN('07_CONTINUOUS_CODEBOOK'!BR14)*IF(ABS('07_CONTINUOUS_CODEBOOK'!BR14)&lt;'04_CODEBOOK_CONTROL'!$B$16,1,IF(ABS('07_CONTINUOUS_CODEBOOK'!BR14)&lt;'04_CODEBOOK_CONTROL'!$B$17,2,3)))</f>
        <v/>
      </c>
      <c r="BS14" s="7">
        <f>IF(ABS('07_CONTINUOUS_CODEBOOK'!BS14)&lt;'04_CODEBOOK_CONTROL'!$B$15,0,SIGN('07_CONTINUOUS_CODEBOOK'!BS14)*IF(ABS('07_CONTINUOUS_CODEBOOK'!BS14)&lt;'04_CODEBOOK_CONTROL'!$B$16,1,IF(ABS('07_CONTINUOUS_CODEBOOK'!BS14)&lt;'04_CODEBOOK_CONTROL'!$B$17,2,3)))</f>
        <v/>
      </c>
      <c r="BT14" s="7">
        <f>IF(ABS('07_CONTINUOUS_CODEBOOK'!BT14)&lt;'04_CODEBOOK_CONTROL'!$B$15,0,SIGN('07_CONTINUOUS_CODEBOOK'!BT14)*IF(ABS('07_CONTINUOUS_CODEBOOK'!BT14)&lt;'04_CODEBOOK_CONTROL'!$B$16,1,IF(ABS('07_CONTINUOUS_CODEBOOK'!BT14)&lt;'04_CODEBOOK_CONTROL'!$B$17,2,3)))</f>
        <v/>
      </c>
      <c r="BU14" s="7">
        <f>IF(ABS('07_CONTINUOUS_CODEBOOK'!BU14)&lt;'04_CODEBOOK_CONTROL'!$B$15,0,SIGN('07_CONTINUOUS_CODEBOOK'!BU14)*IF(ABS('07_CONTINUOUS_CODEBOOK'!BU14)&lt;'04_CODEBOOK_CONTROL'!$B$16,1,IF(ABS('07_CONTINUOUS_CODEBOOK'!BU14)&lt;'04_CODEBOOK_CONTROL'!$B$17,2,3)))</f>
        <v/>
      </c>
      <c r="BV14" s="7">
        <f>IF(ABS('07_CONTINUOUS_CODEBOOK'!BV14)&lt;'04_CODEBOOK_CONTROL'!$B$15,0,SIGN('07_CONTINUOUS_CODEBOOK'!BV14)*IF(ABS('07_CONTINUOUS_CODEBOOK'!BV14)&lt;'04_CODEBOOK_CONTROL'!$B$16,1,IF(ABS('07_CONTINUOUS_CODEBOOK'!BV14)&lt;'04_CODEBOOK_CONTROL'!$B$17,2,3)))</f>
        <v/>
      </c>
      <c r="BW14" s="7">
        <f>IF(ABS('07_CONTINUOUS_CODEBOOK'!BW14)&lt;'04_CODEBOOK_CONTROL'!$B$15,0,SIGN('07_CONTINUOUS_CODEBOOK'!BW14)*IF(ABS('07_CONTINUOUS_CODEBOOK'!BW14)&lt;'04_CODEBOOK_CONTROL'!$B$16,1,IF(ABS('07_CONTINUOUS_CODEBOOK'!BW14)&lt;'04_CODEBOOK_CONTROL'!$B$17,2,3)))</f>
        <v/>
      </c>
      <c r="BX14" s="7">
        <f>IF(ABS('07_CONTINUOUS_CODEBOOK'!BX14)&lt;'04_CODEBOOK_CONTROL'!$B$15,0,SIGN('07_CONTINUOUS_CODEBOOK'!BX14)*IF(ABS('07_CONTINUOUS_CODEBOOK'!BX14)&lt;'04_CODEBOOK_CONTROL'!$B$16,1,IF(ABS('07_CONTINUOUS_CODEBOOK'!BX14)&lt;'04_CODEBOOK_CONTROL'!$B$17,2,3)))</f>
        <v/>
      </c>
      <c r="BY14" s="7">
        <f>IF(ABS('07_CONTINUOUS_CODEBOOK'!BY14)&lt;'04_CODEBOOK_CONTROL'!$B$15,0,SIGN('07_CONTINUOUS_CODEBOOK'!BY14)*IF(ABS('07_CONTINUOUS_CODEBOOK'!BY14)&lt;'04_CODEBOOK_CONTROL'!$B$16,1,IF(ABS('07_CONTINUOUS_CODEBOOK'!BY14)&lt;'04_CODEBOOK_CONTROL'!$B$17,2,3)))</f>
        <v/>
      </c>
      <c r="BZ14" s="7">
        <f>IF(ABS('07_CONTINUOUS_CODEBOOK'!BZ14)&lt;'04_CODEBOOK_CONTROL'!$B$15,0,SIGN('07_CONTINUOUS_CODEBOOK'!BZ14)*IF(ABS('07_CONTINUOUS_CODEBOOK'!BZ14)&lt;'04_CODEBOOK_CONTROL'!$B$16,1,IF(ABS('07_CONTINUOUS_CODEBOOK'!BZ14)&lt;'04_CODEBOOK_CONTROL'!$B$17,2,3)))</f>
        <v/>
      </c>
      <c r="CA14" s="7">
        <f>IF(ABS('07_CONTINUOUS_CODEBOOK'!CA14)&lt;'04_CODEBOOK_CONTROL'!$B$15,0,SIGN('07_CONTINUOUS_CODEBOOK'!CA14)*IF(ABS('07_CONTINUOUS_CODEBOOK'!CA14)&lt;'04_CODEBOOK_CONTROL'!$B$16,1,IF(ABS('07_CONTINUOUS_CODEBOOK'!CA14)&lt;'04_CODEBOOK_CONTROL'!$B$17,2,3)))</f>
        <v/>
      </c>
      <c r="CB14" s="7">
        <f>IF(ABS('07_CONTINUOUS_CODEBOOK'!CB14)&lt;'04_CODEBOOK_CONTROL'!$B$15,0,SIGN('07_CONTINUOUS_CODEBOOK'!CB14)*IF(ABS('07_CONTINUOUS_CODEBOOK'!CB14)&lt;'04_CODEBOOK_CONTROL'!$B$16,1,IF(ABS('07_CONTINUOUS_CODEBOOK'!CB14)&lt;'04_CODEBOOK_CONTROL'!$B$17,2,3)))</f>
        <v/>
      </c>
      <c r="CC14" s="7">
        <f>IF(ABS('07_CONTINUOUS_CODEBOOK'!CC14)&lt;'04_CODEBOOK_CONTROL'!$B$15,0,SIGN('07_CONTINUOUS_CODEBOOK'!CC14)*IF(ABS('07_CONTINUOUS_CODEBOOK'!CC14)&lt;'04_CODEBOOK_CONTROL'!$B$16,1,IF(ABS('07_CONTINUOUS_CODEBOOK'!CC14)&lt;'04_CODEBOOK_CONTROL'!$B$17,2,3)))</f>
        <v/>
      </c>
      <c r="CD14" s="7">
        <f>IF(ABS('07_CONTINUOUS_CODEBOOK'!CD14)&lt;'04_CODEBOOK_CONTROL'!$B$15,0,SIGN('07_CONTINUOUS_CODEBOOK'!CD14)*IF(ABS('07_CONTINUOUS_CODEBOOK'!CD14)&lt;'04_CODEBOOK_CONTROL'!$B$16,1,IF(ABS('07_CONTINUOUS_CODEBOOK'!CD14)&lt;'04_CODEBOOK_CONTROL'!$B$17,2,3)))</f>
        <v/>
      </c>
      <c r="CE14" s="7">
        <f>IF(ABS('07_CONTINUOUS_CODEBOOK'!CE14)&lt;'04_CODEBOOK_CONTROL'!$B$15,0,SIGN('07_CONTINUOUS_CODEBOOK'!CE14)*IF(ABS('07_CONTINUOUS_CODEBOOK'!CE14)&lt;'04_CODEBOOK_CONTROL'!$B$16,1,IF(ABS('07_CONTINUOUS_CODEBOOK'!CE14)&lt;'04_CODEBOOK_CONTROL'!$B$17,2,3)))</f>
        <v/>
      </c>
    </row>
    <row r="15">
      <c r="A15" t="n">
        <v>11</v>
      </c>
      <c r="B15" t="inlineStr">
        <is>
          <t>半人馬座α星人</t>
        </is>
      </c>
      <c r="C15" t="inlineStr">
        <is>
          <t>Alpha Centaurian</t>
        </is>
      </c>
      <c r="D15" s="7">
        <f>IF(ABS('07_CONTINUOUS_CODEBOOK'!D15)&lt;'04_CODEBOOK_CONTROL'!$B$15,0,SIGN('07_CONTINUOUS_CODEBOOK'!D15)*IF(ABS('07_CONTINUOUS_CODEBOOK'!D15)&lt;'04_CODEBOOK_CONTROL'!$B$16,1,IF(ABS('07_CONTINUOUS_CODEBOOK'!D15)&lt;'04_CODEBOOK_CONTROL'!$B$17,2,3)))</f>
        <v/>
      </c>
      <c r="E15" s="7">
        <f>IF(ABS('07_CONTINUOUS_CODEBOOK'!E15)&lt;'04_CODEBOOK_CONTROL'!$B$15,0,SIGN('07_CONTINUOUS_CODEBOOK'!E15)*IF(ABS('07_CONTINUOUS_CODEBOOK'!E15)&lt;'04_CODEBOOK_CONTROL'!$B$16,1,IF(ABS('07_CONTINUOUS_CODEBOOK'!E15)&lt;'04_CODEBOOK_CONTROL'!$B$17,2,3)))</f>
        <v/>
      </c>
      <c r="F15" s="7">
        <f>IF(ABS('07_CONTINUOUS_CODEBOOK'!F15)&lt;'04_CODEBOOK_CONTROL'!$B$15,0,SIGN('07_CONTINUOUS_CODEBOOK'!F15)*IF(ABS('07_CONTINUOUS_CODEBOOK'!F15)&lt;'04_CODEBOOK_CONTROL'!$B$16,1,IF(ABS('07_CONTINUOUS_CODEBOOK'!F15)&lt;'04_CODEBOOK_CONTROL'!$B$17,2,3)))</f>
        <v/>
      </c>
      <c r="G15" s="7">
        <f>IF(ABS('07_CONTINUOUS_CODEBOOK'!G15)&lt;'04_CODEBOOK_CONTROL'!$B$15,0,SIGN('07_CONTINUOUS_CODEBOOK'!G15)*IF(ABS('07_CONTINUOUS_CODEBOOK'!G15)&lt;'04_CODEBOOK_CONTROL'!$B$16,1,IF(ABS('07_CONTINUOUS_CODEBOOK'!G15)&lt;'04_CODEBOOK_CONTROL'!$B$17,2,3)))</f>
        <v/>
      </c>
      <c r="H15" s="7">
        <f>IF(ABS('07_CONTINUOUS_CODEBOOK'!H15)&lt;'04_CODEBOOK_CONTROL'!$B$15,0,SIGN('07_CONTINUOUS_CODEBOOK'!H15)*IF(ABS('07_CONTINUOUS_CODEBOOK'!H15)&lt;'04_CODEBOOK_CONTROL'!$B$16,1,IF(ABS('07_CONTINUOUS_CODEBOOK'!H15)&lt;'04_CODEBOOK_CONTROL'!$B$17,2,3)))</f>
        <v/>
      </c>
      <c r="I15" s="7">
        <f>IF(ABS('07_CONTINUOUS_CODEBOOK'!I15)&lt;'04_CODEBOOK_CONTROL'!$B$15,0,SIGN('07_CONTINUOUS_CODEBOOK'!I15)*IF(ABS('07_CONTINUOUS_CODEBOOK'!I15)&lt;'04_CODEBOOK_CONTROL'!$B$16,1,IF(ABS('07_CONTINUOUS_CODEBOOK'!I15)&lt;'04_CODEBOOK_CONTROL'!$B$17,2,3)))</f>
        <v/>
      </c>
      <c r="J15" s="7">
        <f>IF(ABS('07_CONTINUOUS_CODEBOOK'!J15)&lt;'04_CODEBOOK_CONTROL'!$B$15,0,SIGN('07_CONTINUOUS_CODEBOOK'!J15)*IF(ABS('07_CONTINUOUS_CODEBOOK'!J15)&lt;'04_CODEBOOK_CONTROL'!$B$16,1,IF(ABS('07_CONTINUOUS_CODEBOOK'!J15)&lt;'04_CODEBOOK_CONTROL'!$B$17,2,3)))</f>
        <v/>
      </c>
      <c r="K15" s="7">
        <f>IF(ABS('07_CONTINUOUS_CODEBOOK'!K15)&lt;'04_CODEBOOK_CONTROL'!$B$15,0,SIGN('07_CONTINUOUS_CODEBOOK'!K15)*IF(ABS('07_CONTINUOUS_CODEBOOK'!K15)&lt;'04_CODEBOOK_CONTROL'!$B$16,1,IF(ABS('07_CONTINUOUS_CODEBOOK'!K15)&lt;'04_CODEBOOK_CONTROL'!$B$17,2,3)))</f>
        <v/>
      </c>
      <c r="L15" s="7">
        <f>IF(ABS('07_CONTINUOUS_CODEBOOK'!L15)&lt;'04_CODEBOOK_CONTROL'!$B$15,0,SIGN('07_CONTINUOUS_CODEBOOK'!L15)*IF(ABS('07_CONTINUOUS_CODEBOOK'!L15)&lt;'04_CODEBOOK_CONTROL'!$B$16,1,IF(ABS('07_CONTINUOUS_CODEBOOK'!L15)&lt;'04_CODEBOOK_CONTROL'!$B$17,2,3)))</f>
        <v/>
      </c>
      <c r="M15" s="7">
        <f>IF(ABS('07_CONTINUOUS_CODEBOOK'!M15)&lt;'04_CODEBOOK_CONTROL'!$B$15,0,SIGN('07_CONTINUOUS_CODEBOOK'!M15)*IF(ABS('07_CONTINUOUS_CODEBOOK'!M15)&lt;'04_CODEBOOK_CONTROL'!$B$16,1,IF(ABS('07_CONTINUOUS_CODEBOOK'!M15)&lt;'04_CODEBOOK_CONTROL'!$B$17,2,3)))</f>
        <v/>
      </c>
      <c r="N15" s="7">
        <f>IF(ABS('07_CONTINUOUS_CODEBOOK'!N15)&lt;'04_CODEBOOK_CONTROL'!$B$15,0,SIGN('07_CONTINUOUS_CODEBOOK'!N15)*IF(ABS('07_CONTINUOUS_CODEBOOK'!N15)&lt;'04_CODEBOOK_CONTROL'!$B$16,1,IF(ABS('07_CONTINUOUS_CODEBOOK'!N15)&lt;'04_CODEBOOK_CONTROL'!$B$17,2,3)))</f>
        <v/>
      </c>
      <c r="O15" s="7">
        <f>IF(ABS('07_CONTINUOUS_CODEBOOK'!O15)&lt;'04_CODEBOOK_CONTROL'!$B$15,0,SIGN('07_CONTINUOUS_CODEBOOK'!O15)*IF(ABS('07_CONTINUOUS_CODEBOOK'!O15)&lt;'04_CODEBOOK_CONTROL'!$B$16,1,IF(ABS('07_CONTINUOUS_CODEBOOK'!O15)&lt;'04_CODEBOOK_CONTROL'!$B$17,2,3)))</f>
        <v/>
      </c>
      <c r="P15" s="7">
        <f>IF(ABS('07_CONTINUOUS_CODEBOOK'!P15)&lt;'04_CODEBOOK_CONTROL'!$B$15,0,SIGN('07_CONTINUOUS_CODEBOOK'!P15)*IF(ABS('07_CONTINUOUS_CODEBOOK'!P15)&lt;'04_CODEBOOK_CONTROL'!$B$16,1,IF(ABS('07_CONTINUOUS_CODEBOOK'!P15)&lt;'04_CODEBOOK_CONTROL'!$B$17,2,3)))</f>
        <v/>
      </c>
      <c r="Q15" s="7">
        <f>IF(ABS('07_CONTINUOUS_CODEBOOK'!Q15)&lt;'04_CODEBOOK_CONTROL'!$B$15,0,SIGN('07_CONTINUOUS_CODEBOOK'!Q15)*IF(ABS('07_CONTINUOUS_CODEBOOK'!Q15)&lt;'04_CODEBOOK_CONTROL'!$B$16,1,IF(ABS('07_CONTINUOUS_CODEBOOK'!Q15)&lt;'04_CODEBOOK_CONTROL'!$B$17,2,3)))</f>
        <v/>
      </c>
      <c r="R15" s="7">
        <f>IF(ABS('07_CONTINUOUS_CODEBOOK'!R15)&lt;'04_CODEBOOK_CONTROL'!$B$15,0,SIGN('07_CONTINUOUS_CODEBOOK'!R15)*IF(ABS('07_CONTINUOUS_CODEBOOK'!R15)&lt;'04_CODEBOOK_CONTROL'!$B$16,1,IF(ABS('07_CONTINUOUS_CODEBOOK'!R15)&lt;'04_CODEBOOK_CONTROL'!$B$17,2,3)))</f>
        <v/>
      </c>
      <c r="S15" s="7">
        <f>IF(ABS('07_CONTINUOUS_CODEBOOK'!S15)&lt;'04_CODEBOOK_CONTROL'!$B$15,0,SIGN('07_CONTINUOUS_CODEBOOK'!S15)*IF(ABS('07_CONTINUOUS_CODEBOOK'!S15)&lt;'04_CODEBOOK_CONTROL'!$B$16,1,IF(ABS('07_CONTINUOUS_CODEBOOK'!S15)&lt;'04_CODEBOOK_CONTROL'!$B$17,2,3)))</f>
        <v/>
      </c>
      <c r="T15" s="7">
        <f>IF(ABS('07_CONTINUOUS_CODEBOOK'!T15)&lt;'04_CODEBOOK_CONTROL'!$B$15,0,SIGN('07_CONTINUOUS_CODEBOOK'!T15)*IF(ABS('07_CONTINUOUS_CODEBOOK'!T15)&lt;'04_CODEBOOK_CONTROL'!$B$16,1,IF(ABS('07_CONTINUOUS_CODEBOOK'!T15)&lt;'04_CODEBOOK_CONTROL'!$B$17,2,3)))</f>
        <v/>
      </c>
      <c r="U15" s="7">
        <f>IF(ABS('07_CONTINUOUS_CODEBOOK'!U15)&lt;'04_CODEBOOK_CONTROL'!$B$15,0,SIGN('07_CONTINUOUS_CODEBOOK'!U15)*IF(ABS('07_CONTINUOUS_CODEBOOK'!U15)&lt;'04_CODEBOOK_CONTROL'!$B$16,1,IF(ABS('07_CONTINUOUS_CODEBOOK'!U15)&lt;'04_CODEBOOK_CONTROL'!$B$17,2,3)))</f>
        <v/>
      </c>
      <c r="V15" s="7">
        <f>IF(ABS('07_CONTINUOUS_CODEBOOK'!V15)&lt;'04_CODEBOOK_CONTROL'!$B$15,0,SIGN('07_CONTINUOUS_CODEBOOK'!V15)*IF(ABS('07_CONTINUOUS_CODEBOOK'!V15)&lt;'04_CODEBOOK_CONTROL'!$B$16,1,IF(ABS('07_CONTINUOUS_CODEBOOK'!V15)&lt;'04_CODEBOOK_CONTROL'!$B$17,2,3)))</f>
        <v/>
      </c>
      <c r="W15" s="7">
        <f>IF(ABS('07_CONTINUOUS_CODEBOOK'!W15)&lt;'04_CODEBOOK_CONTROL'!$B$15,0,SIGN('07_CONTINUOUS_CODEBOOK'!W15)*IF(ABS('07_CONTINUOUS_CODEBOOK'!W15)&lt;'04_CODEBOOK_CONTROL'!$B$16,1,IF(ABS('07_CONTINUOUS_CODEBOOK'!W15)&lt;'04_CODEBOOK_CONTROL'!$B$17,2,3)))</f>
        <v/>
      </c>
      <c r="X15" s="7">
        <f>IF(ABS('07_CONTINUOUS_CODEBOOK'!X15)&lt;'04_CODEBOOK_CONTROL'!$B$15,0,SIGN('07_CONTINUOUS_CODEBOOK'!X15)*IF(ABS('07_CONTINUOUS_CODEBOOK'!X15)&lt;'04_CODEBOOK_CONTROL'!$B$16,1,IF(ABS('07_CONTINUOUS_CODEBOOK'!X15)&lt;'04_CODEBOOK_CONTROL'!$B$17,2,3)))</f>
        <v/>
      </c>
      <c r="Y15" s="7">
        <f>IF(ABS('07_CONTINUOUS_CODEBOOK'!Y15)&lt;'04_CODEBOOK_CONTROL'!$B$15,0,SIGN('07_CONTINUOUS_CODEBOOK'!Y15)*IF(ABS('07_CONTINUOUS_CODEBOOK'!Y15)&lt;'04_CODEBOOK_CONTROL'!$B$16,1,IF(ABS('07_CONTINUOUS_CODEBOOK'!Y15)&lt;'04_CODEBOOK_CONTROL'!$B$17,2,3)))</f>
        <v/>
      </c>
      <c r="Z15" s="7">
        <f>IF(ABS('07_CONTINUOUS_CODEBOOK'!Z15)&lt;'04_CODEBOOK_CONTROL'!$B$15,0,SIGN('07_CONTINUOUS_CODEBOOK'!Z15)*IF(ABS('07_CONTINUOUS_CODEBOOK'!Z15)&lt;'04_CODEBOOK_CONTROL'!$B$16,1,IF(ABS('07_CONTINUOUS_CODEBOOK'!Z15)&lt;'04_CODEBOOK_CONTROL'!$B$17,2,3)))</f>
        <v/>
      </c>
      <c r="AA15" s="7">
        <f>IF(ABS('07_CONTINUOUS_CODEBOOK'!AA15)&lt;'04_CODEBOOK_CONTROL'!$B$15,0,SIGN('07_CONTINUOUS_CODEBOOK'!AA15)*IF(ABS('07_CONTINUOUS_CODEBOOK'!AA15)&lt;'04_CODEBOOK_CONTROL'!$B$16,1,IF(ABS('07_CONTINUOUS_CODEBOOK'!AA15)&lt;'04_CODEBOOK_CONTROL'!$B$17,2,3)))</f>
        <v/>
      </c>
      <c r="AB15" s="7">
        <f>IF(ABS('07_CONTINUOUS_CODEBOOK'!AB15)&lt;'04_CODEBOOK_CONTROL'!$B$15,0,SIGN('07_CONTINUOUS_CODEBOOK'!AB15)*IF(ABS('07_CONTINUOUS_CODEBOOK'!AB15)&lt;'04_CODEBOOK_CONTROL'!$B$16,1,IF(ABS('07_CONTINUOUS_CODEBOOK'!AB15)&lt;'04_CODEBOOK_CONTROL'!$B$17,2,3)))</f>
        <v/>
      </c>
      <c r="AC15" s="7">
        <f>IF(ABS('07_CONTINUOUS_CODEBOOK'!AC15)&lt;'04_CODEBOOK_CONTROL'!$B$15,0,SIGN('07_CONTINUOUS_CODEBOOK'!AC15)*IF(ABS('07_CONTINUOUS_CODEBOOK'!AC15)&lt;'04_CODEBOOK_CONTROL'!$B$16,1,IF(ABS('07_CONTINUOUS_CODEBOOK'!AC15)&lt;'04_CODEBOOK_CONTROL'!$B$17,2,3)))</f>
        <v/>
      </c>
      <c r="AD15" s="7">
        <f>IF(ABS('07_CONTINUOUS_CODEBOOK'!AD15)&lt;'04_CODEBOOK_CONTROL'!$B$15,0,SIGN('07_CONTINUOUS_CODEBOOK'!AD15)*IF(ABS('07_CONTINUOUS_CODEBOOK'!AD15)&lt;'04_CODEBOOK_CONTROL'!$B$16,1,IF(ABS('07_CONTINUOUS_CODEBOOK'!AD15)&lt;'04_CODEBOOK_CONTROL'!$B$17,2,3)))</f>
        <v/>
      </c>
      <c r="AE15" s="7">
        <f>IF(ABS('07_CONTINUOUS_CODEBOOK'!AE15)&lt;'04_CODEBOOK_CONTROL'!$B$15,0,SIGN('07_CONTINUOUS_CODEBOOK'!AE15)*IF(ABS('07_CONTINUOUS_CODEBOOK'!AE15)&lt;'04_CODEBOOK_CONTROL'!$B$16,1,IF(ABS('07_CONTINUOUS_CODEBOOK'!AE15)&lt;'04_CODEBOOK_CONTROL'!$B$17,2,3)))</f>
        <v/>
      </c>
      <c r="AF15" s="7">
        <f>IF(ABS('07_CONTINUOUS_CODEBOOK'!AF15)&lt;'04_CODEBOOK_CONTROL'!$B$15,0,SIGN('07_CONTINUOUS_CODEBOOK'!AF15)*IF(ABS('07_CONTINUOUS_CODEBOOK'!AF15)&lt;'04_CODEBOOK_CONTROL'!$B$16,1,IF(ABS('07_CONTINUOUS_CODEBOOK'!AF15)&lt;'04_CODEBOOK_CONTROL'!$B$17,2,3)))</f>
        <v/>
      </c>
      <c r="AG15" s="7">
        <f>IF(ABS('07_CONTINUOUS_CODEBOOK'!AG15)&lt;'04_CODEBOOK_CONTROL'!$B$15,0,SIGN('07_CONTINUOUS_CODEBOOK'!AG15)*IF(ABS('07_CONTINUOUS_CODEBOOK'!AG15)&lt;'04_CODEBOOK_CONTROL'!$B$16,1,IF(ABS('07_CONTINUOUS_CODEBOOK'!AG15)&lt;'04_CODEBOOK_CONTROL'!$B$17,2,3)))</f>
        <v/>
      </c>
      <c r="AH15" s="7">
        <f>IF(ABS('07_CONTINUOUS_CODEBOOK'!AH15)&lt;'04_CODEBOOK_CONTROL'!$B$15,0,SIGN('07_CONTINUOUS_CODEBOOK'!AH15)*IF(ABS('07_CONTINUOUS_CODEBOOK'!AH15)&lt;'04_CODEBOOK_CONTROL'!$B$16,1,IF(ABS('07_CONTINUOUS_CODEBOOK'!AH15)&lt;'04_CODEBOOK_CONTROL'!$B$17,2,3)))</f>
        <v/>
      </c>
      <c r="AI15" s="7">
        <f>IF(ABS('07_CONTINUOUS_CODEBOOK'!AI15)&lt;'04_CODEBOOK_CONTROL'!$B$15,0,SIGN('07_CONTINUOUS_CODEBOOK'!AI15)*IF(ABS('07_CONTINUOUS_CODEBOOK'!AI15)&lt;'04_CODEBOOK_CONTROL'!$B$16,1,IF(ABS('07_CONTINUOUS_CODEBOOK'!AI15)&lt;'04_CODEBOOK_CONTROL'!$B$17,2,3)))</f>
        <v/>
      </c>
      <c r="AJ15" s="7">
        <f>IF(ABS('07_CONTINUOUS_CODEBOOK'!AJ15)&lt;'04_CODEBOOK_CONTROL'!$B$15,0,SIGN('07_CONTINUOUS_CODEBOOK'!AJ15)*IF(ABS('07_CONTINUOUS_CODEBOOK'!AJ15)&lt;'04_CODEBOOK_CONTROL'!$B$16,1,IF(ABS('07_CONTINUOUS_CODEBOOK'!AJ15)&lt;'04_CODEBOOK_CONTROL'!$B$17,2,3)))</f>
        <v/>
      </c>
      <c r="AK15" s="7">
        <f>IF(ABS('07_CONTINUOUS_CODEBOOK'!AK15)&lt;'04_CODEBOOK_CONTROL'!$B$15,0,SIGN('07_CONTINUOUS_CODEBOOK'!AK15)*IF(ABS('07_CONTINUOUS_CODEBOOK'!AK15)&lt;'04_CODEBOOK_CONTROL'!$B$16,1,IF(ABS('07_CONTINUOUS_CODEBOOK'!AK15)&lt;'04_CODEBOOK_CONTROL'!$B$17,2,3)))</f>
        <v/>
      </c>
      <c r="AL15" s="7">
        <f>IF(ABS('07_CONTINUOUS_CODEBOOK'!AL15)&lt;'04_CODEBOOK_CONTROL'!$B$15,0,SIGN('07_CONTINUOUS_CODEBOOK'!AL15)*IF(ABS('07_CONTINUOUS_CODEBOOK'!AL15)&lt;'04_CODEBOOK_CONTROL'!$B$16,1,IF(ABS('07_CONTINUOUS_CODEBOOK'!AL15)&lt;'04_CODEBOOK_CONTROL'!$B$17,2,3)))</f>
        <v/>
      </c>
      <c r="AM15" s="7">
        <f>IF(ABS('07_CONTINUOUS_CODEBOOK'!AM15)&lt;'04_CODEBOOK_CONTROL'!$B$15,0,SIGN('07_CONTINUOUS_CODEBOOK'!AM15)*IF(ABS('07_CONTINUOUS_CODEBOOK'!AM15)&lt;'04_CODEBOOK_CONTROL'!$B$16,1,IF(ABS('07_CONTINUOUS_CODEBOOK'!AM15)&lt;'04_CODEBOOK_CONTROL'!$B$17,2,3)))</f>
        <v/>
      </c>
      <c r="AN15" s="7">
        <f>IF(ABS('07_CONTINUOUS_CODEBOOK'!AN15)&lt;'04_CODEBOOK_CONTROL'!$B$15,0,SIGN('07_CONTINUOUS_CODEBOOK'!AN15)*IF(ABS('07_CONTINUOUS_CODEBOOK'!AN15)&lt;'04_CODEBOOK_CONTROL'!$B$16,1,IF(ABS('07_CONTINUOUS_CODEBOOK'!AN15)&lt;'04_CODEBOOK_CONTROL'!$B$17,2,3)))</f>
        <v/>
      </c>
      <c r="AO15" s="7">
        <f>IF(ABS('07_CONTINUOUS_CODEBOOK'!AO15)&lt;'04_CODEBOOK_CONTROL'!$B$15,0,SIGN('07_CONTINUOUS_CODEBOOK'!AO15)*IF(ABS('07_CONTINUOUS_CODEBOOK'!AO15)&lt;'04_CODEBOOK_CONTROL'!$B$16,1,IF(ABS('07_CONTINUOUS_CODEBOOK'!AO15)&lt;'04_CODEBOOK_CONTROL'!$B$17,2,3)))</f>
        <v/>
      </c>
      <c r="AP15" s="7">
        <f>IF(ABS('07_CONTINUOUS_CODEBOOK'!AP15)&lt;'04_CODEBOOK_CONTROL'!$B$15,0,SIGN('07_CONTINUOUS_CODEBOOK'!AP15)*IF(ABS('07_CONTINUOUS_CODEBOOK'!AP15)&lt;'04_CODEBOOK_CONTROL'!$B$16,1,IF(ABS('07_CONTINUOUS_CODEBOOK'!AP15)&lt;'04_CODEBOOK_CONTROL'!$B$17,2,3)))</f>
        <v/>
      </c>
      <c r="AQ15" s="7">
        <f>IF(ABS('07_CONTINUOUS_CODEBOOK'!AQ15)&lt;'04_CODEBOOK_CONTROL'!$B$15,0,SIGN('07_CONTINUOUS_CODEBOOK'!AQ15)*IF(ABS('07_CONTINUOUS_CODEBOOK'!AQ15)&lt;'04_CODEBOOK_CONTROL'!$B$16,1,IF(ABS('07_CONTINUOUS_CODEBOOK'!AQ15)&lt;'04_CODEBOOK_CONTROL'!$B$17,2,3)))</f>
        <v/>
      </c>
      <c r="AR15" s="7">
        <f>IF(ABS('07_CONTINUOUS_CODEBOOK'!AR15)&lt;'04_CODEBOOK_CONTROL'!$B$15,0,SIGN('07_CONTINUOUS_CODEBOOK'!AR15)*IF(ABS('07_CONTINUOUS_CODEBOOK'!AR15)&lt;'04_CODEBOOK_CONTROL'!$B$16,1,IF(ABS('07_CONTINUOUS_CODEBOOK'!AR15)&lt;'04_CODEBOOK_CONTROL'!$B$17,2,3)))</f>
        <v/>
      </c>
      <c r="AS15" s="7">
        <f>IF(ABS('07_CONTINUOUS_CODEBOOK'!AS15)&lt;'04_CODEBOOK_CONTROL'!$B$15,0,SIGN('07_CONTINUOUS_CODEBOOK'!AS15)*IF(ABS('07_CONTINUOUS_CODEBOOK'!AS15)&lt;'04_CODEBOOK_CONTROL'!$B$16,1,IF(ABS('07_CONTINUOUS_CODEBOOK'!AS15)&lt;'04_CODEBOOK_CONTROL'!$B$17,2,3)))</f>
        <v/>
      </c>
      <c r="AT15" s="7">
        <f>IF(ABS('07_CONTINUOUS_CODEBOOK'!AT15)&lt;'04_CODEBOOK_CONTROL'!$B$15,0,SIGN('07_CONTINUOUS_CODEBOOK'!AT15)*IF(ABS('07_CONTINUOUS_CODEBOOK'!AT15)&lt;'04_CODEBOOK_CONTROL'!$B$16,1,IF(ABS('07_CONTINUOUS_CODEBOOK'!AT15)&lt;'04_CODEBOOK_CONTROL'!$B$17,2,3)))</f>
        <v/>
      </c>
      <c r="AU15" s="7">
        <f>IF(ABS('07_CONTINUOUS_CODEBOOK'!AU15)&lt;'04_CODEBOOK_CONTROL'!$B$15,0,SIGN('07_CONTINUOUS_CODEBOOK'!AU15)*IF(ABS('07_CONTINUOUS_CODEBOOK'!AU15)&lt;'04_CODEBOOK_CONTROL'!$B$16,1,IF(ABS('07_CONTINUOUS_CODEBOOK'!AU15)&lt;'04_CODEBOOK_CONTROL'!$B$17,2,3)))</f>
        <v/>
      </c>
      <c r="AV15" s="7">
        <f>IF(ABS('07_CONTINUOUS_CODEBOOK'!AV15)&lt;'04_CODEBOOK_CONTROL'!$B$15,0,SIGN('07_CONTINUOUS_CODEBOOK'!AV15)*IF(ABS('07_CONTINUOUS_CODEBOOK'!AV15)&lt;'04_CODEBOOK_CONTROL'!$B$16,1,IF(ABS('07_CONTINUOUS_CODEBOOK'!AV15)&lt;'04_CODEBOOK_CONTROL'!$B$17,2,3)))</f>
        <v/>
      </c>
      <c r="AW15" s="7">
        <f>IF(ABS('07_CONTINUOUS_CODEBOOK'!AW15)&lt;'04_CODEBOOK_CONTROL'!$B$15,0,SIGN('07_CONTINUOUS_CODEBOOK'!AW15)*IF(ABS('07_CONTINUOUS_CODEBOOK'!AW15)&lt;'04_CODEBOOK_CONTROL'!$B$16,1,IF(ABS('07_CONTINUOUS_CODEBOOK'!AW15)&lt;'04_CODEBOOK_CONTROL'!$B$17,2,3)))</f>
        <v/>
      </c>
      <c r="AX15" s="7">
        <f>IF(ABS('07_CONTINUOUS_CODEBOOK'!AX15)&lt;'04_CODEBOOK_CONTROL'!$B$15,0,SIGN('07_CONTINUOUS_CODEBOOK'!AX15)*IF(ABS('07_CONTINUOUS_CODEBOOK'!AX15)&lt;'04_CODEBOOK_CONTROL'!$B$16,1,IF(ABS('07_CONTINUOUS_CODEBOOK'!AX15)&lt;'04_CODEBOOK_CONTROL'!$B$17,2,3)))</f>
        <v/>
      </c>
      <c r="AY15" s="7">
        <f>IF(ABS('07_CONTINUOUS_CODEBOOK'!AY15)&lt;'04_CODEBOOK_CONTROL'!$B$15,0,SIGN('07_CONTINUOUS_CODEBOOK'!AY15)*IF(ABS('07_CONTINUOUS_CODEBOOK'!AY15)&lt;'04_CODEBOOK_CONTROL'!$B$16,1,IF(ABS('07_CONTINUOUS_CODEBOOK'!AY15)&lt;'04_CODEBOOK_CONTROL'!$B$17,2,3)))</f>
        <v/>
      </c>
      <c r="AZ15" s="7">
        <f>IF(ABS('07_CONTINUOUS_CODEBOOK'!AZ15)&lt;'04_CODEBOOK_CONTROL'!$B$15,0,SIGN('07_CONTINUOUS_CODEBOOK'!AZ15)*IF(ABS('07_CONTINUOUS_CODEBOOK'!AZ15)&lt;'04_CODEBOOK_CONTROL'!$B$16,1,IF(ABS('07_CONTINUOUS_CODEBOOK'!AZ15)&lt;'04_CODEBOOK_CONTROL'!$B$17,2,3)))</f>
        <v/>
      </c>
      <c r="BA15" s="7">
        <f>IF(ABS('07_CONTINUOUS_CODEBOOK'!BA15)&lt;'04_CODEBOOK_CONTROL'!$B$15,0,SIGN('07_CONTINUOUS_CODEBOOK'!BA15)*IF(ABS('07_CONTINUOUS_CODEBOOK'!BA15)&lt;'04_CODEBOOK_CONTROL'!$B$16,1,IF(ABS('07_CONTINUOUS_CODEBOOK'!BA15)&lt;'04_CODEBOOK_CONTROL'!$B$17,2,3)))</f>
        <v/>
      </c>
      <c r="BB15" s="7">
        <f>IF(ABS('07_CONTINUOUS_CODEBOOK'!BB15)&lt;'04_CODEBOOK_CONTROL'!$B$15,0,SIGN('07_CONTINUOUS_CODEBOOK'!BB15)*IF(ABS('07_CONTINUOUS_CODEBOOK'!BB15)&lt;'04_CODEBOOK_CONTROL'!$B$16,1,IF(ABS('07_CONTINUOUS_CODEBOOK'!BB15)&lt;'04_CODEBOOK_CONTROL'!$B$17,2,3)))</f>
        <v/>
      </c>
      <c r="BC15" s="7">
        <f>IF(ABS('07_CONTINUOUS_CODEBOOK'!BC15)&lt;'04_CODEBOOK_CONTROL'!$B$15,0,SIGN('07_CONTINUOUS_CODEBOOK'!BC15)*IF(ABS('07_CONTINUOUS_CODEBOOK'!BC15)&lt;'04_CODEBOOK_CONTROL'!$B$16,1,IF(ABS('07_CONTINUOUS_CODEBOOK'!BC15)&lt;'04_CODEBOOK_CONTROL'!$B$17,2,3)))</f>
        <v/>
      </c>
      <c r="BD15" s="7">
        <f>IF(ABS('07_CONTINUOUS_CODEBOOK'!BD15)&lt;'04_CODEBOOK_CONTROL'!$B$15,0,SIGN('07_CONTINUOUS_CODEBOOK'!BD15)*IF(ABS('07_CONTINUOUS_CODEBOOK'!BD15)&lt;'04_CODEBOOK_CONTROL'!$B$16,1,IF(ABS('07_CONTINUOUS_CODEBOOK'!BD15)&lt;'04_CODEBOOK_CONTROL'!$B$17,2,3)))</f>
        <v/>
      </c>
      <c r="BE15" s="7">
        <f>IF(ABS('07_CONTINUOUS_CODEBOOK'!BE15)&lt;'04_CODEBOOK_CONTROL'!$B$15,0,SIGN('07_CONTINUOUS_CODEBOOK'!BE15)*IF(ABS('07_CONTINUOUS_CODEBOOK'!BE15)&lt;'04_CODEBOOK_CONTROL'!$B$16,1,IF(ABS('07_CONTINUOUS_CODEBOOK'!BE15)&lt;'04_CODEBOOK_CONTROL'!$B$17,2,3)))</f>
        <v/>
      </c>
      <c r="BF15" s="7">
        <f>IF(ABS('07_CONTINUOUS_CODEBOOK'!BF15)&lt;'04_CODEBOOK_CONTROL'!$B$15,0,SIGN('07_CONTINUOUS_CODEBOOK'!BF15)*IF(ABS('07_CONTINUOUS_CODEBOOK'!BF15)&lt;'04_CODEBOOK_CONTROL'!$B$16,1,IF(ABS('07_CONTINUOUS_CODEBOOK'!BF15)&lt;'04_CODEBOOK_CONTROL'!$B$17,2,3)))</f>
        <v/>
      </c>
      <c r="BG15" s="7">
        <f>IF(ABS('07_CONTINUOUS_CODEBOOK'!BG15)&lt;'04_CODEBOOK_CONTROL'!$B$15,0,SIGN('07_CONTINUOUS_CODEBOOK'!BG15)*IF(ABS('07_CONTINUOUS_CODEBOOK'!BG15)&lt;'04_CODEBOOK_CONTROL'!$B$16,1,IF(ABS('07_CONTINUOUS_CODEBOOK'!BG15)&lt;'04_CODEBOOK_CONTROL'!$B$17,2,3)))</f>
        <v/>
      </c>
      <c r="BH15" s="7">
        <f>IF(ABS('07_CONTINUOUS_CODEBOOK'!BH15)&lt;'04_CODEBOOK_CONTROL'!$B$15,0,SIGN('07_CONTINUOUS_CODEBOOK'!BH15)*IF(ABS('07_CONTINUOUS_CODEBOOK'!BH15)&lt;'04_CODEBOOK_CONTROL'!$B$16,1,IF(ABS('07_CONTINUOUS_CODEBOOK'!BH15)&lt;'04_CODEBOOK_CONTROL'!$B$17,2,3)))</f>
        <v/>
      </c>
      <c r="BI15" s="7">
        <f>IF(ABS('07_CONTINUOUS_CODEBOOK'!BI15)&lt;'04_CODEBOOK_CONTROL'!$B$15,0,SIGN('07_CONTINUOUS_CODEBOOK'!BI15)*IF(ABS('07_CONTINUOUS_CODEBOOK'!BI15)&lt;'04_CODEBOOK_CONTROL'!$B$16,1,IF(ABS('07_CONTINUOUS_CODEBOOK'!BI15)&lt;'04_CODEBOOK_CONTROL'!$B$17,2,3)))</f>
        <v/>
      </c>
      <c r="BJ15" s="7">
        <f>IF(ABS('07_CONTINUOUS_CODEBOOK'!BJ15)&lt;'04_CODEBOOK_CONTROL'!$B$15,0,SIGN('07_CONTINUOUS_CODEBOOK'!BJ15)*IF(ABS('07_CONTINUOUS_CODEBOOK'!BJ15)&lt;'04_CODEBOOK_CONTROL'!$B$16,1,IF(ABS('07_CONTINUOUS_CODEBOOK'!BJ15)&lt;'04_CODEBOOK_CONTROL'!$B$17,2,3)))</f>
        <v/>
      </c>
      <c r="BK15" s="7">
        <f>IF(ABS('07_CONTINUOUS_CODEBOOK'!BK15)&lt;'04_CODEBOOK_CONTROL'!$B$15,0,SIGN('07_CONTINUOUS_CODEBOOK'!BK15)*IF(ABS('07_CONTINUOUS_CODEBOOK'!BK15)&lt;'04_CODEBOOK_CONTROL'!$B$16,1,IF(ABS('07_CONTINUOUS_CODEBOOK'!BK15)&lt;'04_CODEBOOK_CONTROL'!$B$17,2,3)))</f>
        <v/>
      </c>
      <c r="BL15" s="7">
        <f>IF(ABS('07_CONTINUOUS_CODEBOOK'!BL15)&lt;'04_CODEBOOK_CONTROL'!$B$15,0,SIGN('07_CONTINUOUS_CODEBOOK'!BL15)*IF(ABS('07_CONTINUOUS_CODEBOOK'!BL15)&lt;'04_CODEBOOK_CONTROL'!$B$16,1,IF(ABS('07_CONTINUOUS_CODEBOOK'!BL15)&lt;'04_CODEBOOK_CONTROL'!$B$17,2,3)))</f>
        <v/>
      </c>
      <c r="BM15" s="7">
        <f>IF(ABS('07_CONTINUOUS_CODEBOOK'!BM15)&lt;'04_CODEBOOK_CONTROL'!$B$15,0,SIGN('07_CONTINUOUS_CODEBOOK'!BM15)*IF(ABS('07_CONTINUOUS_CODEBOOK'!BM15)&lt;'04_CODEBOOK_CONTROL'!$B$16,1,IF(ABS('07_CONTINUOUS_CODEBOOK'!BM15)&lt;'04_CODEBOOK_CONTROL'!$B$17,2,3)))</f>
        <v/>
      </c>
      <c r="BN15" s="7">
        <f>IF(ABS('07_CONTINUOUS_CODEBOOK'!BN15)&lt;'04_CODEBOOK_CONTROL'!$B$15,0,SIGN('07_CONTINUOUS_CODEBOOK'!BN15)*IF(ABS('07_CONTINUOUS_CODEBOOK'!BN15)&lt;'04_CODEBOOK_CONTROL'!$B$16,1,IF(ABS('07_CONTINUOUS_CODEBOOK'!BN15)&lt;'04_CODEBOOK_CONTROL'!$B$17,2,3)))</f>
        <v/>
      </c>
      <c r="BO15" s="7">
        <f>IF(ABS('07_CONTINUOUS_CODEBOOK'!BO15)&lt;'04_CODEBOOK_CONTROL'!$B$15,0,SIGN('07_CONTINUOUS_CODEBOOK'!BO15)*IF(ABS('07_CONTINUOUS_CODEBOOK'!BO15)&lt;'04_CODEBOOK_CONTROL'!$B$16,1,IF(ABS('07_CONTINUOUS_CODEBOOK'!BO15)&lt;'04_CODEBOOK_CONTROL'!$B$17,2,3)))</f>
        <v/>
      </c>
      <c r="BP15" s="7">
        <f>IF(ABS('07_CONTINUOUS_CODEBOOK'!BP15)&lt;'04_CODEBOOK_CONTROL'!$B$15,0,SIGN('07_CONTINUOUS_CODEBOOK'!BP15)*IF(ABS('07_CONTINUOUS_CODEBOOK'!BP15)&lt;'04_CODEBOOK_CONTROL'!$B$16,1,IF(ABS('07_CONTINUOUS_CODEBOOK'!BP15)&lt;'04_CODEBOOK_CONTROL'!$B$17,2,3)))</f>
        <v/>
      </c>
      <c r="BQ15" s="7">
        <f>IF(ABS('07_CONTINUOUS_CODEBOOK'!BQ15)&lt;'04_CODEBOOK_CONTROL'!$B$15,0,SIGN('07_CONTINUOUS_CODEBOOK'!BQ15)*IF(ABS('07_CONTINUOUS_CODEBOOK'!BQ15)&lt;'04_CODEBOOK_CONTROL'!$B$16,1,IF(ABS('07_CONTINUOUS_CODEBOOK'!BQ15)&lt;'04_CODEBOOK_CONTROL'!$B$17,2,3)))</f>
        <v/>
      </c>
      <c r="BR15" s="7">
        <f>IF(ABS('07_CONTINUOUS_CODEBOOK'!BR15)&lt;'04_CODEBOOK_CONTROL'!$B$15,0,SIGN('07_CONTINUOUS_CODEBOOK'!BR15)*IF(ABS('07_CONTINUOUS_CODEBOOK'!BR15)&lt;'04_CODEBOOK_CONTROL'!$B$16,1,IF(ABS('07_CONTINUOUS_CODEBOOK'!BR15)&lt;'04_CODEBOOK_CONTROL'!$B$17,2,3)))</f>
        <v/>
      </c>
      <c r="BS15" s="7">
        <f>IF(ABS('07_CONTINUOUS_CODEBOOK'!BS15)&lt;'04_CODEBOOK_CONTROL'!$B$15,0,SIGN('07_CONTINUOUS_CODEBOOK'!BS15)*IF(ABS('07_CONTINUOUS_CODEBOOK'!BS15)&lt;'04_CODEBOOK_CONTROL'!$B$16,1,IF(ABS('07_CONTINUOUS_CODEBOOK'!BS15)&lt;'04_CODEBOOK_CONTROL'!$B$17,2,3)))</f>
        <v/>
      </c>
      <c r="BT15" s="7">
        <f>IF(ABS('07_CONTINUOUS_CODEBOOK'!BT15)&lt;'04_CODEBOOK_CONTROL'!$B$15,0,SIGN('07_CONTINUOUS_CODEBOOK'!BT15)*IF(ABS('07_CONTINUOUS_CODEBOOK'!BT15)&lt;'04_CODEBOOK_CONTROL'!$B$16,1,IF(ABS('07_CONTINUOUS_CODEBOOK'!BT15)&lt;'04_CODEBOOK_CONTROL'!$B$17,2,3)))</f>
        <v/>
      </c>
      <c r="BU15" s="7">
        <f>IF(ABS('07_CONTINUOUS_CODEBOOK'!BU15)&lt;'04_CODEBOOK_CONTROL'!$B$15,0,SIGN('07_CONTINUOUS_CODEBOOK'!BU15)*IF(ABS('07_CONTINUOUS_CODEBOOK'!BU15)&lt;'04_CODEBOOK_CONTROL'!$B$16,1,IF(ABS('07_CONTINUOUS_CODEBOOK'!BU15)&lt;'04_CODEBOOK_CONTROL'!$B$17,2,3)))</f>
        <v/>
      </c>
      <c r="BV15" s="7">
        <f>IF(ABS('07_CONTINUOUS_CODEBOOK'!BV15)&lt;'04_CODEBOOK_CONTROL'!$B$15,0,SIGN('07_CONTINUOUS_CODEBOOK'!BV15)*IF(ABS('07_CONTINUOUS_CODEBOOK'!BV15)&lt;'04_CODEBOOK_CONTROL'!$B$16,1,IF(ABS('07_CONTINUOUS_CODEBOOK'!BV15)&lt;'04_CODEBOOK_CONTROL'!$B$17,2,3)))</f>
        <v/>
      </c>
      <c r="BW15" s="7">
        <f>IF(ABS('07_CONTINUOUS_CODEBOOK'!BW15)&lt;'04_CODEBOOK_CONTROL'!$B$15,0,SIGN('07_CONTINUOUS_CODEBOOK'!BW15)*IF(ABS('07_CONTINUOUS_CODEBOOK'!BW15)&lt;'04_CODEBOOK_CONTROL'!$B$16,1,IF(ABS('07_CONTINUOUS_CODEBOOK'!BW15)&lt;'04_CODEBOOK_CONTROL'!$B$17,2,3)))</f>
        <v/>
      </c>
      <c r="BX15" s="7">
        <f>IF(ABS('07_CONTINUOUS_CODEBOOK'!BX15)&lt;'04_CODEBOOK_CONTROL'!$B$15,0,SIGN('07_CONTINUOUS_CODEBOOK'!BX15)*IF(ABS('07_CONTINUOUS_CODEBOOK'!BX15)&lt;'04_CODEBOOK_CONTROL'!$B$16,1,IF(ABS('07_CONTINUOUS_CODEBOOK'!BX15)&lt;'04_CODEBOOK_CONTROL'!$B$17,2,3)))</f>
        <v/>
      </c>
      <c r="BY15" s="7">
        <f>IF(ABS('07_CONTINUOUS_CODEBOOK'!BY15)&lt;'04_CODEBOOK_CONTROL'!$B$15,0,SIGN('07_CONTINUOUS_CODEBOOK'!BY15)*IF(ABS('07_CONTINUOUS_CODEBOOK'!BY15)&lt;'04_CODEBOOK_CONTROL'!$B$16,1,IF(ABS('07_CONTINUOUS_CODEBOOK'!BY15)&lt;'04_CODEBOOK_CONTROL'!$B$17,2,3)))</f>
        <v/>
      </c>
      <c r="BZ15" s="7">
        <f>IF(ABS('07_CONTINUOUS_CODEBOOK'!BZ15)&lt;'04_CODEBOOK_CONTROL'!$B$15,0,SIGN('07_CONTINUOUS_CODEBOOK'!BZ15)*IF(ABS('07_CONTINUOUS_CODEBOOK'!BZ15)&lt;'04_CODEBOOK_CONTROL'!$B$16,1,IF(ABS('07_CONTINUOUS_CODEBOOK'!BZ15)&lt;'04_CODEBOOK_CONTROL'!$B$17,2,3)))</f>
        <v/>
      </c>
      <c r="CA15" s="7">
        <f>IF(ABS('07_CONTINUOUS_CODEBOOK'!CA15)&lt;'04_CODEBOOK_CONTROL'!$B$15,0,SIGN('07_CONTINUOUS_CODEBOOK'!CA15)*IF(ABS('07_CONTINUOUS_CODEBOOK'!CA15)&lt;'04_CODEBOOK_CONTROL'!$B$16,1,IF(ABS('07_CONTINUOUS_CODEBOOK'!CA15)&lt;'04_CODEBOOK_CONTROL'!$B$17,2,3)))</f>
        <v/>
      </c>
      <c r="CB15" s="7">
        <f>IF(ABS('07_CONTINUOUS_CODEBOOK'!CB15)&lt;'04_CODEBOOK_CONTROL'!$B$15,0,SIGN('07_CONTINUOUS_CODEBOOK'!CB15)*IF(ABS('07_CONTINUOUS_CODEBOOK'!CB15)&lt;'04_CODEBOOK_CONTROL'!$B$16,1,IF(ABS('07_CONTINUOUS_CODEBOOK'!CB15)&lt;'04_CODEBOOK_CONTROL'!$B$17,2,3)))</f>
        <v/>
      </c>
      <c r="CC15" s="7">
        <f>IF(ABS('07_CONTINUOUS_CODEBOOK'!CC15)&lt;'04_CODEBOOK_CONTROL'!$B$15,0,SIGN('07_CONTINUOUS_CODEBOOK'!CC15)*IF(ABS('07_CONTINUOUS_CODEBOOK'!CC15)&lt;'04_CODEBOOK_CONTROL'!$B$16,1,IF(ABS('07_CONTINUOUS_CODEBOOK'!CC15)&lt;'04_CODEBOOK_CONTROL'!$B$17,2,3)))</f>
        <v/>
      </c>
      <c r="CD15" s="7">
        <f>IF(ABS('07_CONTINUOUS_CODEBOOK'!CD15)&lt;'04_CODEBOOK_CONTROL'!$B$15,0,SIGN('07_CONTINUOUS_CODEBOOK'!CD15)*IF(ABS('07_CONTINUOUS_CODEBOOK'!CD15)&lt;'04_CODEBOOK_CONTROL'!$B$16,1,IF(ABS('07_CONTINUOUS_CODEBOOK'!CD15)&lt;'04_CODEBOOK_CONTROL'!$B$17,2,3)))</f>
        <v/>
      </c>
      <c r="CE15" s="7">
        <f>IF(ABS('07_CONTINUOUS_CODEBOOK'!CE15)&lt;'04_CODEBOOK_CONTROL'!$B$15,0,SIGN('07_CONTINUOUS_CODEBOOK'!CE15)*IF(ABS('07_CONTINUOUS_CODEBOOK'!CE15)&lt;'04_CODEBOOK_CONTROL'!$B$16,1,IF(ABS('07_CONTINUOUS_CODEBOOK'!CE15)&lt;'04_CODEBOOK_CONTROL'!$B$17,2,3)))</f>
        <v/>
      </c>
    </row>
    <row r="16">
      <c r="A16" t="n">
        <v>12</v>
      </c>
      <c r="B16" t="inlineStr">
        <is>
          <t>織女星人</t>
        </is>
      </c>
      <c r="C16" t="inlineStr">
        <is>
          <t>Vegan</t>
        </is>
      </c>
      <c r="D16" s="7">
        <f>IF(ABS('07_CONTINUOUS_CODEBOOK'!D16)&lt;'04_CODEBOOK_CONTROL'!$B$15,0,SIGN('07_CONTINUOUS_CODEBOOK'!D16)*IF(ABS('07_CONTINUOUS_CODEBOOK'!D16)&lt;'04_CODEBOOK_CONTROL'!$B$16,1,IF(ABS('07_CONTINUOUS_CODEBOOK'!D16)&lt;'04_CODEBOOK_CONTROL'!$B$17,2,3)))</f>
        <v/>
      </c>
      <c r="E16" s="7">
        <f>IF(ABS('07_CONTINUOUS_CODEBOOK'!E16)&lt;'04_CODEBOOK_CONTROL'!$B$15,0,SIGN('07_CONTINUOUS_CODEBOOK'!E16)*IF(ABS('07_CONTINUOUS_CODEBOOK'!E16)&lt;'04_CODEBOOK_CONTROL'!$B$16,1,IF(ABS('07_CONTINUOUS_CODEBOOK'!E16)&lt;'04_CODEBOOK_CONTROL'!$B$17,2,3)))</f>
        <v/>
      </c>
      <c r="F16" s="7">
        <f>IF(ABS('07_CONTINUOUS_CODEBOOK'!F16)&lt;'04_CODEBOOK_CONTROL'!$B$15,0,SIGN('07_CONTINUOUS_CODEBOOK'!F16)*IF(ABS('07_CONTINUOUS_CODEBOOK'!F16)&lt;'04_CODEBOOK_CONTROL'!$B$16,1,IF(ABS('07_CONTINUOUS_CODEBOOK'!F16)&lt;'04_CODEBOOK_CONTROL'!$B$17,2,3)))</f>
        <v/>
      </c>
      <c r="G16" s="7">
        <f>IF(ABS('07_CONTINUOUS_CODEBOOK'!G16)&lt;'04_CODEBOOK_CONTROL'!$B$15,0,SIGN('07_CONTINUOUS_CODEBOOK'!G16)*IF(ABS('07_CONTINUOUS_CODEBOOK'!G16)&lt;'04_CODEBOOK_CONTROL'!$B$16,1,IF(ABS('07_CONTINUOUS_CODEBOOK'!G16)&lt;'04_CODEBOOK_CONTROL'!$B$17,2,3)))</f>
        <v/>
      </c>
      <c r="H16" s="7">
        <f>IF(ABS('07_CONTINUOUS_CODEBOOK'!H16)&lt;'04_CODEBOOK_CONTROL'!$B$15,0,SIGN('07_CONTINUOUS_CODEBOOK'!H16)*IF(ABS('07_CONTINUOUS_CODEBOOK'!H16)&lt;'04_CODEBOOK_CONTROL'!$B$16,1,IF(ABS('07_CONTINUOUS_CODEBOOK'!H16)&lt;'04_CODEBOOK_CONTROL'!$B$17,2,3)))</f>
        <v/>
      </c>
      <c r="I16" s="7">
        <f>IF(ABS('07_CONTINUOUS_CODEBOOK'!I16)&lt;'04_CODEBOOK_CONTROL'!$B$15,0,SIGN('07_CONTINUOUS_CODEBOOK'!I16)*IF(ABS('07_CONTINUOUS_CODEBOOK'!I16)&lt;'04_CODEBOOK_CONTROL'!$B$16,1,IF(ABS('07_CONTINUOUS_CODEBOOK'!I16)&lt;'04_CODEBOOK_CONTROL'!$B$17,2,3)))</f>
        <v/>
      </c>
      <c r="J16" s="7">
        <f>IF(ABS('07_CONTINUOUS_CODEBOOK'!J16)&lt;'04_CODEBOOK_CONTROL'!$B$15,0,SIGN('07_CONTINUOUS_CODEBOOK'!J16)*IF(ABS('07_CONTINUOUS_CODEBOOK'!J16)&lt;'04_CODEBOOK_CONTROL'!$B$16,1,IF(ABS('07_CONTINUOUS_CODEBOOK'!J16)&lt;'04_CODEBOOK_CONTROL'!$B$17,2,3)))</f>
        <v/>
      </c>
      <c r="K16" s="7">
        <f>IF(ABS('07_CONTINUOUS_CODEBOOK'!K16)&lt;'04_CODEBOOK_CONTROL'!$B$15,0,SIGN('07_CONTINUOUS_CODEBOOK'!K16)*IF(ABS('07_CONTINUOUS_CODEBOOK'!K16)&lt;'04_CODEBOOK_CONTROL'!$B$16,1,IF(ABS('07_CONTINUOUS_CODEBOOK'!K16)&lt;'04_CODEBOOK_CONTROL'!$B$17,2,3)))</f>
        <v/>
      </c>
      <c r="L16" s="7">
        <f>IF(ABS('07_CONTINUOUS_CODEBOOK'!L16)&lt;'04_CODEBOOK_CONTROL'!$B$15,0,SIGN('07_CONTINUOUS_CODEBOOK'!L16)*IF(ABS('07_CONTINUOUS_CODEBOOK'!L16)&lt;'04_CODEBOOK_CONTROL'!$B$16,1,IF(ABS('07_CONTINUOUS_CODEBOOK'!L16)&lt;'04_CODEBOOK_CONTROL'!$B$17,2,3)))</f>
        <v/>
      </c>
      <c r="M16" s="7">
        <f>IF(ABS('07_CONTINUOUS_CODEBOOK'!M16)&lt;'04_CODEBOOK_CONTROL'!$B$15,0,SIGN('07_CONTINUOUS_CODEBOOK'!M16)*IF(ABS('07_CONTINUOUS_CODEBOOK'!M16)&lt;'04_CODEBOOK_CONTROL'!$B$16,1,IF(ABS('07_CONTINUOUS_CODEBOOK'!M16)&lt;'04_CODEBOOK_CONTROL'!$B$17,2,3)))</f>
        <v/>
      </c>
      <c r="N16" s="7">
        <f>IF(ABS('07_CONTINUOUS_CODEBOOK'!N16)&lt;'04_CODEBOOK_CONTROL'!$B$15,0,SIGN('07_CONTINUOUS_CODEBOOK'!N16)*IF(ABS('07_CONTINUOUS_CODEBOOK'!N16)&lt;'04_CODEBOOK_CONTROL'!$B$16,1,IF(ABS('07_CONTINUOUS_CODEBOOK'!N16)&lt;'04_CODEBOOK_CONTROL'!$B$17,2,3)))</f>
        <v/>
      </c>
      <c r="O16" s="7">
        <f>IF(ABS('07_CONTINUOUS_CODEBOOK'!O16)&lt;'04_CODEBOOK_CONTROL'!$B$15,0,SIGN('07_CONTINUOUS_CODEBOOK'!O16)*IF(ABS('07_CONTINUOUS_CODEBOOK'!O16)&lt;'04_CODEBOOK_CONTROL'!$B$16,1,IF(ABS('07_CONTINUOUS_CODEBOOK'!O16)&lt;'04_CODEBOOK_CONTROL'!$B$17,2,3)))</f>
        <v/>
      </c>
      <c r="P16" s="7">
        <f>IF(ABS('07_CONTINUOUS_CODEBOOK'!P16)&lt;'04_CODEBOOK_CONTROL'!$B$15,0,SIGN('07_CONTINUOUS_CODEBOOK'!P16)*IF(ABS('07_CONTINUOUS_CODEBOOK'!P16)&lt;'04_CODEBOOK_CONTROL'!$B$16,1,IF(ABS('07_CONTINUOUS_CODEBOOK'!P16)&lt;'04_CODEBOOK_CONTROL'!$B$17,2,3)))</f>
        <v/>
      </c>
      <c r="Q16" s="7">
        <f>IF(ABS('07_CONTINUOUS_CODEBOOK'!Q16)&lt;'04_CODEBOOK_CONTROL'!$B$15,0,SIGN('07_CONTINUOUS_CODEBOOK'!Q16)*IF(ABS('07_CONTINUOUS_CODEBOOK'!Q16)&lt;'04_CODEBOOK_CONTROL'!$B$16,1,IF(ABS('07_CONTINUOUS_CODEBOOK'!Q16)&lt;'04_CODEBOOK_CONTROL'!$B$17,2,3)))</f>
        <v/>
      </c>
      <c r="R16" s="7">
        <f>IF(ABS('07_CONTINUOUS_CODEBOOK'!R16)&lt;'04_CODEBOOK_CONTROL'!$B$15,0,SIGN('07_CONTINUOUS_CODEBOOK'!R16)*IF(ABS('07_CONTINUOUS_CODEBOOK'!R16)&lt;'04_CODEBOOK_CONTROL'!$B$16,1,IF(ABS('07_CONTINUOUS_CODEBOOK'!R16)&lt;'04_CODEBOOK_CONTROL'!$B$17,2,3)))</f>
        <v/>
      </c>
      <c r="S16" s="7">
        <f>IF(ABS('07_CONTINUOUS_CODEBOOK'!S16)&lt;'04_CODEBOOK_CONTROL'!$B$15,0,SIGN('07_CONTINUOUS_CODEBOOK'!S16)*IF(ABS('07_CONTINUOUS_CODEBOOK'!S16)&lt;'04_CODEBOOK_CONTROL'!$B$16,1,IF(ABS('07_CONTINUOUS_CODEBOOK'!S16)&lt;'04_CODEBOOK_CONTROL'!$B$17,2,3)))</f>
        <v/>
      </c>
      <c r="T16" s="7">
        <f>IF(ABS('07_CONTINUOUS_CODEBOOK'!T16)&lt;'04_CODEBOOK_CONTROL'!$B$15,0,SIGN('07_CONTINUOUS_CODEBOOK'!T16)*IF(ABS('07_CONTINUOUS_CODEBOOK'!T16)&lt;'04_CODEBOOK_CONTROL'!$B$16,1,IF(ABS('07_CONTINUOUS_CODEBOOK'!T16)&lt;'04_CODEBOOK_CONTROL'!$B$17,2,3)))</f>
        <v/>
      </c>
      <c r="U16" s="7">
        <f>IF(ABS('07_CONTINUOUS_CODEBOOK'!U16)&lt;'04_CODEBOOK_CONTROL'!$B$15,0,SIGN('07_CONTINUOUS_CODEBOOK'!U16)*IF(ABS('07_CONTINUOUS_CODEBOOK'!U16)&lt;'04_CODEBOOK_CONTROL'!$B$16,1,IF(ABS('07_CONTINUOUS_CODEBOOK'!U16)&lt;'04_CODEBOOK_CONTROL'!$B$17,2,3)))</f>
        <v/>
      </c>
      <c r="V16" s="7">
        <f>IF(ABS('07_CONTINUOUS_CODEBOOK'!V16)&lt;'04_CODEBOOK_CONTROL'!$B$15,0,SIGN('07_CONTINUOUS_CODEBOOK'!V16)*IF(ABS('07_CONTINUOUS_CODEBOOK'!V16)&lt;'04_CODEBOOK_CONTROL'!$B$16,1,IF(ABS('07_CONTINUOUS_CODEBOOK'!V16)&lt;'04_CODEBOOK_CONTROL'!$B$17,2,3)))</f>
        <v/>
      </c>
      <c r="W16" s="7">
        <f>IF(ABS('07_CONTINUOUS_CODEBOOK'!W16)&lt;'04_CODEBOOK_CONTROL'!$B$15,0,SIGN('07_CONTINUOUS_CODEBOOK'!W16)*IF(ABS('07_CONTINUOUS_CODEBOOK'!W16)&lt;'04_CODEBOOK_CONTROL'!$B$16,1,IF(ABS('07_CONTINUOUS_CODEBOOK'!W16)&lt;'04_CODEBOOK_CONTROL'!$B$17,2,3)))</f>
        <v/>
      </c>
      <c r="X16" s="7">
        <f>IF(ABS('07_CONTINUOUS_CODEBOOK'!X16)&lt;'04_CODEBOOK_CONTROL'!$B$15,0,SIGN('07_CONTINUOUS_CODEBOOK'!X16)*IF(ABS('07_CONTINUOUS_CODEBOOK'!X16)&lt;'04_CODEBOOK_CONTROL'!$B$16,1,IF(ABS('07_CONTINUOUS_CODEBOOK'!X16)&lt;'04_CODEBOOK_CONTROL'!$B$17,2,3)))</f>
        <v/>
      </c>
      <c r="Y16" s="7">
        <f>IF(ABS('07_CONTINUOUS_CODEBOOK'!Y16)&lt;'04_CODEBOOK_CONTROL'!$B$15,0,SIGN('07_CONTINUOUS_CODEBOOK'!Y16)*IF(ABS('07_CONTINUOUS_CODEBOOK'!Y16)&lt;'04_CODEBOOK_CONTROL'!$B$16,1,IF(ABS('07_CONTINUOUS_CODEBOOK'!Y16)&lt;'04_CODEBOOK_CONTROL'!$B$17,2,3)))</f>
        <v/>
      </c>
      <c r="Z16" s="7">
        <f>IF(ABS('07_CONTINUOUS_CODEBOOK'!Z16)&lt;'04_CODEBOOK_CONTROL'!$B$15,0,SIGN('07_CONTINUOUS_CODEBOOK'!Z16)*IF(ABS('07_CONTINUOUS_CODEBOOK'!Z16)&lt;'04_CODEBOOK_CONTROL'!$B$16,1,IF(ABS('07_CONTINUOUS_CODEBOOK'!Z16)&lt;'04_CODEBOOK_CONTROL'!$B$17,2,3)))</f>
        <v/>
      </c>
      <c r="AA16" s="7">
        <f>IF(ABS('07_CONTINUOUS_CODEBOOK'!AA16)&lt;'04_CODEBOOK_CONTROL'!$B$15,0,SIGN('07_CONTINUOUS_CODEBOOK'!AA16)*IF(ABS('07_CONTINUOUS_CODEBOOK'!AA16)&lt;'04_CODEBOOK_CONTROL'!$B$16,1,IF(ABS('07_CONTINUOUS_CODEBOOK'!AA16)&lt;'04_CODEBOOK_CONTROL'!$B$17,2,3)))</f>
        <v/>
      </c>
      <c r="AB16" s="7">
        <f>IF(ABS('07_CONTINUOUS_CODEBOOK'!AB16)&lt;'04_CODEBOOK_CONTROL'!$B$15,0,SIGN('07_CONTINUOUS_CODEBOOK'!AB16)*IF(ABS('07_CONTINUOUS_CODEBOOK'!AB16)&lt;'04_CODEBOOK_CONTROL'!$B$16,1,IF(ABS('07_CONTINUOUS_CODEBOOK'!AB16)&lt;'04_CODEBOOK_CONTROL'!$B$17,2,3)))</f>
        <v/>
      </c>
      <c r="AC16" s="7">
        <f>IF(ABS('07_CONTINUOUS_CODEBOOK'!AC16)&lt;'04_CODEBOOK_CONTROL'!$B$15,0,SIGN('07_CONTINUOUS_CODEBOOK'!AC16)*IF(ABS('07_CONTINUOUS_CODEBOOK'!AC16)&lt;'04_CODEBOOK_CONTROL'!$B$16,1,IF(ABS('07_CONTINUOUS_CODEBOOK'!AC16)&lt;'04_CODEBOOK_CONTROL'!$B$17,2,3)))</f>
        <v/>
      </c>
      <c r="AD16" s="7">
        <f>IF(ABS('07_CONTINUOUS_CODEBOOK'!AD16)&lt;'04_CODEBOOK_CONTROL'!$B$15,0,SIGN('07_CONTINUOUS_CODEBOOK'!AD16)*IF(ABS('07_CONTINUOUS_CODEBOOK'!AD16)&lt;'04_CODEBOOK_CONTROL'!$B$16,1,IF(ABS('07_CONTINUOUS_CODEBOOK'!AD16)&lt;'04_CODEBOOK_CONTROL'!$B$17,2,3)))</f>
        <v/>
      </c>
      <c r="AE16" s="7">
        <f>IF(ABS('07_CONTINUOUS_CODEBOOK'!AE16)&lt;'04_CODEBOOK_CONTROL'!$B$15,0,SIGN('07_CONTINUOUS_CODEBOOK'!AE16)*IF(ABS('07_CONTINUOUS_CODEBOOK'!AE16)&lt;'04_CODEBOOK_CONTROL'!$B$16,1,IF(ABS('07_CONTINUOUS_CODEBOOK'!AE16)&lt;'04_CODEBOOK_CONTROL'!$B$17,2,3)))</f>
        <v/>
      </c>
      <c r="AF16" s="7">
        <f>IF(ABS('07_CONTINUOUS_CODEBOOK'!AF16)&lt;'04_CODEBOOK_CONTROL'!$B$15,0,SIGN('07_CONTINUOUS_CODEBOOK'!AF16)*IF(ABS('07_CONTINUOUS_CODEBOOK'!AF16)&lt;'04_CODEBOOK_CONTROL'!$B$16,1,IF(ABS('07_CONTINUOUS_CODEBOOK'!AF16)&lt;'04_CODEBOOK_CONTROL'!$B$17,2,3)))</f>
        <v/>
      </c>
      <c r="AG16" s="7">
        <f>IF(ABS('07_CONTINUOUS_CODEBOOK'!AG16)&lt;'04_CODEBOOK_CONTROL'!$B$15,0,SIGN('07_CONTINUOUS_CODEBOOK'!AG16)*IF(ABS('07_CONTINUOUS_CODEBOOK'!AG16)&lt;'04_CODEBOOK_CONTROL'!$B$16,1,IF(ABS('07_CONTINUOUS_CODEBOOK'!AG16)&lt;'04_CODEBOOK_CONTROL'!$B$17,2,3)))</f>
        <v/>
      </c>
      <c r="AH16" s="7">
        <f>IF(ABS('07_CONTINUOUS_CODEBOOK'!AH16)&lt;'04_CODEBOOK_CONTROL'!$B$15,0,SIGN('07_CONTINUOUS_CODEBOOK'!AH16)*IF(ABS('07_CONTINUOUS_CODEBOOK'!AH16)&lt;'04_CODEBOOK_CONTROL'!$B$16,1,IF(ABS('07_CONTINUOUS_CODEBOOK'!AH16)&lt;'04_CODEBOOK_CONTROL'!$B$17,2,3)))</f>
        <v/>
      </c>
      <c r="AI16" s="7">
        <f>IF(ABS('07_CONTINUOUS_CODEBOOK'!AI16)&lt;'04_CODEBOOK_CONTROL'!$B$15,0,SIGN('07_CONTINUOUS_CODEBOOK'!AI16)*IF(ABS('07_CONTINUOUS_CODEBOOK'!AI16)&lt;'04_CODEBOOK_CONTROL'!$B$16,1,IF(ABS('07_CONTINUOUS_CODEBOOK'!AI16)&lt;'04_CODEBOOK_CONTROL'!$B$17,2,3)))</f>
        <v/>
      </c>
      <c r="AJ16" s="7">
        <f>IF(ABS('07_CONTINUOUS_CODEBOOK'!AJ16)&lt;'04_CODEBOOK_CONTROL'!$B$15,0,SIGN('07_CONTINUOUS_CODEBOOK'!AJ16)*IF(ABS('07_CONTINUOUS_CODEBOOK'!AJ16)&lt;'04_CODEBOOK_CONTROL'!$B$16,1,IF(ABS('07_CONTINUOUS_CODEBOOK'!AJ16)&lt;'04_CODEBOOK_CONTROL'!$B$17,2,3)))</f>
        <v/>
      </c>
      <c r="AK16" s="7">
        <f>IF(ABS('07_CONTINUOUS_CODEBOOK'!AK16)&lt;'04_CODEBOOK_CONTROL'!$B$15,0,SIGN('07_CONTINUOUS_CODEBOOK'!AK16)*IF(ABS('07_CONTINUOUS_CODEBOOK'!AK16)&lt;'04_CODEBOOK_CONTROL'!$B$16,1,IF(ABS('07_CONTINUOUS_CODEBOOK'!AK16)&lt;'04_CODEBOOK_CONTROL'!$B$17,2,3)))</f>
        <v/>
      </c>
      <c r="AL16" s="7">
        <f>IF(ABS('07_CONTINUOUS_CODEBOOK'!AL16)&lt;'04_CODEBOOK_CONTROL'!$B$15,0,SIGN('07_CONTINUOUS_CODEBOOK'!AL16)*IF(ABS('07_CONTINUOUS_CODEBOOK'!AL16)&lt;'04_CODEBOOK_CONTROL'!$B$16,1,IF(ABS('07_CONTINUOUS_CODEBOOK'!AL16)&lt;'04_CODEBOOK_CONTROL'!$B$17,2,3)))</f>
        <v/>
      </c>
      <c r="AM16" s="7">
        <f>IF(ABS('07_CONTINUOUS_CODEBOOK'!AM16)&lt;'04_CODEBOOK_CONTROL'!$B$15,0,SIGN('07_CONTINUOUS_CODEBOOK'!AM16)*IF(ABS('07_CONTINUOUS_CODEBOOK'!AM16)&lt;'04_CODEBOOK_CONTROL'!$B$16,1,IF(ABS('07_CONTINUOUS_CODEBOOK'!AM16)&lt;'04_CODEBOOK_CONTROL'!$B$17,2,3)))</f>
        <v/>
      </c>
      <c r="AN16" s="7">
        <f>IF(ABS('07_CONTINUOUS_CODEBOOK'!AN16)&lt;'04_CODEBOOK_CONTROL'!$B$15,0,SIGN('07_CONTINUOUS_CODEBOOK'!AN16)*IF(ABS('07_CONTINUOUS_CODEBOOK'!AN16)&lt;'04_CODEBOOK_CONTROL'!$B$16,1,IF(ABS('07_CONTINUOUS_CODEBOOK'!AN16)&lt;'04_CODEBOOK_CONTROL'!$B$17,2,3)))</f>
        <v/>
      </c>
      <c r="AO16" s="7">
        <f>IF(ABS('07_CONTINUOUS_CODEBOOK'!AO16)&lt;'04_CODEBOOK_CONTROL'!$B$15,0,SIGN('07_CONTINUOUS_CODEBOOK'!AO16)*IF(ABS('07_CONTINUOUS_CODEBOOK'!AO16)&lt;'04_CODEBOOK_CONTROL'!$B$16,1,IF(ABS('07_CONTINUOUS_CODEBOOK'!AO16)&lt;'04_CODEBOOK_CONTROL'!$B$17,2,3)))</f>
        <v/>
      </c>
      <c r="AP16" s="7">
        <f>IF(ABS('07_CONTINUOUS_CODEBOOK'!AP16)&lt;'04_CODEBOOK_CONTROL'!$B$15,0,SIGN('07_CONTINUOUS_CODEBOOK'!AP16)*IF(ABS('07_CONTINUOUS_CODEBOOK'!AP16)&lt;'04_CODEBOOK_CONTROL'!$B$16,1,IF(ABS('07_CONTINUOUS_CODEBOOK'!AP16)&lt;'04_CODEBOOK_CONTROL'!$B$17,2,3)))</f>
        <v/>
      </c>
      <c r="AQ16" s="7">
        <f>IF(ABS('07_CONTINUOUS_CODEBOOK'!AQ16)&lt;'04_CODEBOOK_CONTROL'!$B$15,0,SIGN('07_CONTINUOUS_CODEBOOK'!AQ16)*IF(ABS('07_CONTINUOUS_CODEBOOK'!AQ16)&lt;'04_CODEBOOK_CONTROL'!$B$16,1,IF(ABS('07_CONTINUOUS_CODEBOOK'!AQ16)&lt;'04_CODEBOOK_CONTROL'!$B$17,2,3)))</f>
        <v/>
      </c>
      <c r="AR16" s="7">
        <f>IF(ABS('07_CONTINUOUS_CODEBOOK'!AR16)&lt;'04_CODEBOOK_CONTROL'!$B$15,0,SIGN('07_CONTINUOUS_CODEBOOK'!AR16)*IF(ABS('07_CONTINUOUS_CODEBOOK'!AR16)&lt;'04_CODEBOOK_CONTROL'!$B$16,1,IF(ABS('07_CONTINUOUS_CODEBOOK'!AR16)&lt;'04_CODEBOOK_CONTROL'!$B$17,2,3)))</f>
        <v/>
      </c>
      <c r="AS16" s="7">
        <f>IF(ABS('07_CONTINUOUS_CODEBOOK'!AS16)&lt;'04_CODEBOOK_CONTROL'!$B$15,0,SIGN('07_CONTINUOUS_CODEBOOK'!AS16)*IF(ABS('07_CONTINUOUS_CODEBOOK'!AS16)&lt;'04_CODEBOOK_CONTROL'!$B$16,1,IF(ABS('07_CONTINUOUS_CODEBOOK'!AS16)&lt;'04_CODEBOOK_CONTROL'!$B$17,2,3)))</f>
        <v/>
      </c>
      <c r="AT16" s="7">
        <f>IF(ABS('07_CONTINUOUS_CODEBOOK'!AT16)&lt;'04_CODEBOOK_CONTROL'!$B$15,0,SIGN('07_CONTINUOUS_CODEBOOK'!AT16)*IF(ABS('07_CONTINUOUS_CODEBOOK'!AT16)&lt;'04_CODEBOOK_CONTROL'!$B$16,1,IF(ABS('07_CONTINUOUS_CODEBOOK'!AT16)&lt;'04_CODEBOOK_CONTROL'!$B$17,2,3)))</f>
        <v/>
      </c>
      <c r="AU16" s="7">
        <f>IF(ABS('07_CONTINUOUS_CODEBOOK'!AU16)&lt;'04_CODEBOOK_CONTROL'!$B$15,0,SIGN('07_CONTINUOUS_CODEBOOK'!AU16)*IF(ABS('07_CONTINUOUS_CODEBOOK'!AU16)&lt;'04_CODEBOOK_CONTROL'!$B$16,1,IF(ABS('07_CONTINUOUS_CODEBOOK'!AU16)&lt;'04_CODEBOOK_CONTROL'!$B$17,2,3)))</f>
        <v/>
      </c>
      <c r="AV16" s="7">
        <f>IF(ABS('07_CONTINUOUS_CODEBOOK'!AV16)&lt;'04_CODEBOOK_CONTROL'!$B$15,0,SIGN('07_CONTINUOUS_CODEBOOK'!AV16)*IF(ABS('07_CONTINUOUS_CODEBOOK'!AV16)&lt;'04_CODEBOOK_CONTROL'!$B$16,1,IF(ABS('07_CONTINUOUS_CODEBOOK'!AV16)&lt;'04_CODEBOOK_CONTROL'!$B$17,2,3)))</f>
        <v/>
      </c>
      <c r="AW16" s="7">
        <f>IF(ABS('07_CONTINUOUS_CODEBOOK'!AW16)&lt;'04_CODEBOOK_CONTROL'!$B$15,0,SIGN('07_CONTINUOUS_CODEBOOK'!AW16)*IF(ABS('07_CONTINUOUS_CODEBOOK'!AW16)&lt;'04_CODEBOOK_CONTROL'!$B$16,1,IF(ABS('07_CONTINUOUS_CODEBOOK'!AW16)&lt;'04_CODEBOOK_CONTROL'!$B$17,2,3)))</f>
        <v/>
      </c>
      <c r="AX16" s="7">
        <f>IF(ABS('07_CONTINUOUS_CODEBOOK'!AX16)&lt;'04_CODEBOOK_CONTROL'!$B$15,0,SIGN('07_CONTINUOUS_CODEBOOK'!AX16)*IF(ABS('07_CONTINUOUS_CODEBOOK'!AX16)&lt;'04_CODEBOOK_CONTROL'!$B$16,1,IF(ABS('07_CONTINUOUS_CODEBOOK'!AX16)&lt;'04_CODEBOOK_CONTROL'!$B$17,2,3)))</f>
        <v/>
      </c>
      <c r="AY16" s="7">
        <f>IF(ABS('07_CONTINUOUS_CODEBOOK'!AY16)&lt;'04_CODEBOOK_CONTROL'!$B$15,0,SIGN('07_CONTINUOUS_CODEBOOK'!AY16)*IF(ABS('07_CONTINUOUS_CODEBOOK'!AY16)&lt;'04_CODEBOOK_CONTROL'!$B$16,1,IF(ABS('07_CONTINUOUS_CODEBOOK'!AY16)&lt;'04_CODEBOOK_CONTROL'!$B$17,2,3)))</f>
        <v/>
      </c>
      <c r="AZ16" s="7">
        <f>IF(ABS('07_CONTINUOUS_CODEBOOK'!AZ16)&lt;'04_CODEBOOK_CONTROL'!$B$15,0,SIGN('07_CONTINUOUS_CODEBOOK'!AZ16)*IF(ABS('07_CONTINUOUS_CODEBOOK'!AZ16)&lt;'04_CODEBOOK_CONTROL'!$B$16,1,IF(ABS('07_CONTINUOUS_CODEBOOK'!AZ16)&lt;'04_CODEBOOK_CONTROL'!$B$17,2,3)))</f>
        <v/>
      </c>
      <c r="BA16" s="7">
        <f>IF(ABS('07_CONTINUOUS_CODEBOOK'!BA16)&lt;'04_CODEBOOK_CONTROL'!$B$15,0,SIGN('07_CONTINUOUS_CODEBOOK'!BA16)*IF(ABS('07_CONTINUOUS_CODEBOOK'!BA16)&lt;'04_CODEBOOK_CONTROL'!$B$16,1,IF(ABS('07_CONTINUOUS_CODEBOOK'!BA16)&lt;'04_CODEBOOK_CONTROL'!$B$17,2,3)))</f>
        <v/>
      </c>
      <c r="BB16" s="7">
        <f>IF(ABS('07_CONTINUOUS_CODEBOOK'!BB16)&lt;'04_CODEBOOK_CONTROL'!$B$15,0,SIGN('07_CONTINUOUS_CODEBOOK'!BB16)*IF(ABS('07_CONTINUOUS_CODEBOOK'!BB16)&lt;'04_CODEBOOK_CONTROL'!$B$16,1,IF(ABS('07_CONTINUOUS_CODEBOOK'!BB16)&lt;'04_CODEBOOK_CONTROL'!$B$17,2,3)))</f>
        <v/>
      </c>
      <c r="BC16" s="7">
        <f>IF(ABS('07_CONTINUOUS_CODEBOOK'!BC16)&lt;'04_CODEBOOK_CONTROL'!$B$15,0,SIGN('07_CONTINUOUS_CODEBOOK'!BC16)*IF(ABS('07_CONTINUOUS_CODEBOOK'!BC16)&lt;'04_CODEBOOK_CONTROL'!$B$16,1,IF(ABS('07_CONTINUOUS_CODEBOOK'!BC16)&lt;'04_CODEBOOK_CONTROL'!$B$17,2,3)))</f>
        <v/>
      </c>
      <c r="BD16" s="7">
        <f>IF(ABS('07_CONTINUOUS_CODEBOOK'!BD16)&lt;'04_CODEBOOK_CONTROL'!$B$15,0,SIGN('07_CONTINUOUS_CODEBOOK'!BD16)*IF(ABS('07_CONTINUOUS_CODEBOOK'!BD16)&lt;'04_CODEBOOK_CONTROL'!$B$16,1,IF(ABS('07_CONTINUOUS_CODEBOOK'!BD16)&lt;'04_CODEBOOK_CONTROL'!$B$17,2,3)))</f>
        <v/>
      </c>
      <c r="BE16" s="7">
        <f>IF(ABS('07_CONTINUOUS_CODEBOOK'!BE16)&lt;'04_CODEBOOK_CONTROL'!$B$15,0,SIGN('07_CONTINUOUS_CODEBOOK'!BE16)*IF(ABS('07_CONTINUOUS_CODEBOOK'!BE16)&lt;'04_CODEBOOK_CONTROL'!$B$16,1,IF(ABS('07_CONTINUOUS_CODEBOOK'!BE16)&lt;'04_CODEBOOK_CONTROL'!$B$17,2,3)))</f>
        <v/>
      </c>
      <c r="BF16" s="7">
        <f>IF(ABS('07_CONTINUOUS_CODEBOOK'!BF16)&lt;'04_CODEBOOK_CONTROL'!$B$15,0,SIGN('07_CONTINUOUS_CODEBOOK'!BF16)*IF(ABS('07_CONTINUOUS_CODEBOOK'!BF16)&lt;'04_CODEBOOK_CONTROL'!$B$16,1,IF(ABS('07_CONTINUOUS_CODEBOOK'!BF16)&lt;'04_CODEBOOK_CONTROL'!$B$17,2,3)))</f>
        <v/>
      </c>
      <c r="BG16" s="7">
        <f>IF(ABS('07_CONTINUOUS_CODEBOOK'!BG16)&lt;'04_CODEBOOK_CONTROL'!$B$15,0,SIGN('07_CONTINUOUS_CODEBOOK'!BG16)*IF(ABS('07_CONTINUOUS_CODEBOOK'!BG16)&lt;'04_CODEBOOK_CONTROL'!$B$16,1,IF(ABS('07_CONTINUOUS_CODEBOOK'!BG16)&lt;'04_CODEBOOK_CONTROL'!$B$17,2,3)))</f>
        <v/>
      </c>
      <c r="BH16" s="7">
        <f>IF(ABS('07_CONTINUOUS_CODEBOOK'!BH16)&lt;'04_CODEBOOK_CONTROL'!$B$15,0,SIGN('07_CONTINUOUS_CODEBOOK'!BH16)*IF(ABS('07_CONTINUOUS_CODEBOOK'!BH16)&lt;'04_CODEBOOK_CONTROL'!$B$16,1,IF(ABS('07_CONTINUOUS_CODEBOOK'!BH16)&lt;'04_CODEBOOK_CONTROL'!$B$17,2,3)))</f>
        <v/>
      </c>
      <c r="BI16" s="7">
        <f>IF(ABS('07_CONTINUOUS_CODEBOOK'!BI16)&lt;'04_CODEBOOK_CONTROL'!$B$15,0,SIGN('07_CONTINUOUS_CODEBOOK'!BI16)*IF(ABS('07_CONTINUOUS_CODEBOOK'!BI16)&lt;'04_CODEBOOK_CONTROL'!$B$16,1,IF(ABS('07_CONTINUOUS_CODEBOOK'!BI16)&lt;'04_CODEBOOK_CONTROL'!$B$17,2,3)))</f>
        <v/>
      </c>
      <c r="BJ16" s="7">
        <f>IF(ABS('07_CONTINUOUS_CODEBOOK'!BJ16)&lt;'04_CODEBOOK_CONTROL'!$B$15,0,SIGN('07_CONTINUOUS_CODEBOOK'!BJ16)*IF(ABS('07_CONTINUOUS_CODEBOOK'!BJ16)&lt;'04_CODEBOOK_CONTROL'!$B$16,1,IF(ABS('07_CONTINUOUS_CODEBOOK'!BJ16)&lt;'04_CODEBOOK_CONTROL'!$B$17,2,3)))</f>
        <v/>
      </c>
      <c r="BK16" s="7">
        <f>IF(ABS('07_CONTINUOUS_CODEBOOK'!BK16)&lt;'04_CODEBOOK_CONTROL'!$B$15,0,SIGN('07_CONTINUOUS_CODEBOOK'!BK16)*IF(ABS('07_CONTINUOUS_CODEBOOK'!BK16)&lt;'04_CODEBOOK_CONTROL'!$B$16,1,IF(ABS('07_CONTINUOUS_CODEBOOK'!BK16)&lt;'04_CODEBOOK_CONTROL'!$B$17,2,3)))</f>
        <v/>
      </c>
      <c r="BL16" s="7">
        <f>IF(ABS('07_CONTINUOUS_CODEBOOK'!BL16)&lt;'04_CODEBOOK_CONTROL'!$B$15,0,SIGN('07_CONTINUOUS_CODEBOOK'!BL16)*IF(ABS('07_CONTINUOUS_CODEBOOK'!BL16)&lt;'04_CODEBOOK_CONTROL'!$B$16,1,IF(ABS('07_CONTINUOUS_CODEBOOK'!BL16)&lt;'04_CODEBOOK_CONTROL'!$B$17,2,3)))</f>
        <v/>
      </c>
      <c r="BM16" s="7">
        <f>IF(ABS('07_CONTINUOUS_CODEBOOK'!BM16)&lt;'04_CODEBOOK_CONTROL'!$B$15,0,SIGN('07_CONTINUOUS_CODEBOOK'!BM16)*IF(ABS('07_CONTINUOUS_CODEBOOK'!BM16)&lt;'04_CODEBOOK_CONTROL'!$B$16,1,IF(ABS('07_CONTINUOUS_CODEBOOK'!BM16)&lt;'04_CODEBOOK_CONTROL'!$B$17,2,3)))</f>
        <v/>
      </c>
      <c r="BN16" s="7">
        <f>IF(ABS('07_CONTINUOUS_CODEBOOK'!BN16)&lt;'04_CODEBOOK_CONTROL'!$B$15,0,SIGN('07_CONTINUOUS_CODEBOOK'!BN16)*IF(ABS('07_CONTINUOUS_CODEBOOK'!BN16)&lt;'04_CODEBOOK_CONTROL'!$B$16,1,IF(ABS('07_CONTINUOUS_CODEBOOK'!BN16)&lt;'04_CODEBOOK_CONTROL'!$B$17,2,3)))</f>
        <v/>
      </c>
      <c r="BO16" s="7">
        <f>IF(ABS('07_CONTINUOUS_CODEBOOK'!BO16)&lt;'04_CODEBOOK_CONTROL'!$B$15,0,SIGN('07_CONTINUOUS_CODEBOOK'!BO16)*IF(ABS('07_CONTINUOUS_CODEBOOK'!BO16)&lt;'04_CODEBOOK_CONTROL'!$B$16,1,IF(ABS('07_CONTINUOUS_CODEBOOK'!BO16)&lt;'04_CODEBOOK_CONTROL'!$B$17,2,3)))</f>
        <v/>
      </c>
      <c r="BP16" s="7">
        <f>IF(ABS('07_CONTINUOUS_CODEBOOK'!BP16)&lt;'04_CODEBOOK_CONTROL'!$B$15,0,SIGN('07_CONTINUOUS_CODEBOOK'!BP16)*IF(ABS('07_CONTINUOUS_CODEBOOK'!BP16)&lt;'04_CODEBOOK_CONTROL'!$B$16,1,IF(ABS('07_CONTINUOUS_CODEBOOK'!BP16)&lt;'04_CODEBOOK_CONTROL'!$B$17,2,3)))</f>
        <v/>
      </c>
      <c r="BQ16" s="7">
        <f>IF(ABS('07_CONTINUOUS_CODEBOOK'!BQ16)&lt;'04_CODEBOOK_CONTROL'!$B$15,0,SIGN('07_CONTINUOUS_CODEBOOK'!BQ16)*IF(ABS('07_CONTINUOUS_CODEBOOK'!BQ16)&lt;'04_CODEBOOK_CONTROL'!$B$16,1,IF(ABS('07_CONTINUOUS_CODEBOOK'!BQ16)&lt;'04_CODEBOOK_CONTROL'!$B$17,2,3)))</f>
        <v/>
      </c>
      <c r="BR16" s="7">
        <f>IF(ABS('07_CONTINUOUS_CODEBOOK'!BR16)&lt;'04_CODEBOOK_CONTROL'!$B$15,0,SIGN('07_CONTINUOUS_CODEBOOK'!BR16)*IF(ABS('07_CONTINUOUS_CODEBOOK'!BR16)&lt;'04_CODEBOOK_CONTROL'!$B$16,1,IF(ABS('07_CONTINUOUS_CODEBOOK'!BR16)&lt;'04_CODEBOOK_CONTROL'!$B$17,2,3)))</f>
        <v/>
      </c>
      <c r="BS16" s="7">
        <f>IF(ABS('07_CONTINUOUS_CODEBOOK'!BS16)&lt;'04_CODEBOOK_CONTROL'!$B$15,0,SIGN('07_CONTINUOUS_CODEBOOK'!BS16)*IF(ABS('07_CONTINUOUS_CODEBOOK'!BS16)&lt;'04_CODEBOOK_CONTROL'!$B$16,1,IF(ABS('07_CONTINUOUS_CODEBOOK'!BS16)&lt;'04_CODEBOOK_CONTROL'!$B$17,2,3)))</f>
        <v/>
      </c>
      <c r="BT16" s="7">
        <f>IF(ABS('07_CONTINUOUS_CODEBOOK'!BT16)&lt;'04_CODEBOOK_CONTROL'!$B$15,0,SIGN('07_CONTINUOUS_CODEBOOK'!BT16)*IF(ABS('07_CONTINUOUS_CODEBOOK'!BT16)&lt;'04_CODEBOOK_CONTROL'!$B$16,1,IF(ABS('07_CONTINUOUS_CODEBOOK'!BT16)&lt;'04_CODEBOOK_CONTROL'!$B$17,2,3)))</f>
        <v/>
      </c>
      <c r="BU16" s="7">
        <f>IF(ABS('07_CONTINUOUS_CODEBOOK'!BU16)&lt;'04_CODEBOOK_CONTROL'!$B$15,0,SIGN('07_CONTINUOUS_CODEBOOK'!BU16)*IF(ABS('07_CONTINUOUS_CODEBOOK'!BU16)&lt;'04_CODEBOOK_CONTROL'!$B$16,1,IF(ABS('07_CONTINUOUS_CODEBOOK'!BU16)&lt;'04_CODEBOOK_CONTROL'!$B$17,2,3)))</f>
        <v/>
      </c>
      <c r="BV16" s="7">
        <f>IF(ABS('07_CONTINUOUS_CODEBOOK'!BV16)&lt;'04_CODEBOOK_CONTROL'!$B$15,0,SIGN('07_CONTINUOUS_CODEBOOK'!BV16)*IF(ABS('07_CONTINUOUS_CODEBOOK'!BV16)&lt;'04_CODEBOOK_CONTROL'!$B$16,1,IF(ABS('07_CONTINUOUS_CODEBOOK'!BV16)&lt;'04_CODEBOOK_CONTROL'!$B$17,2,3)))</f>
        <v/>
      </c>
      <c r="BW16" s="7">
        <f>IF(ABS('07_CONTINUOUS_CODEBOOK'!BW16)&lt;'04_CODEBOOK_CONTROL'!$B$15,0,SIGN('07_CONTINUOUS_CODEBOOK'!BW16)*IF(ABS('07_CONTINUOUS_CODEBOOK'!BW16)&lt;'04_CODEBOOK_CONTROL'!$B$16,1,IF(ABS('07_CONTINUOUS_CODEBOOK'!BW16)&lt;'04_CODEBOOK_CONTROL'!$B$17,2,3)))</f>
        <v/>
      </c>
      <c r="BX16" s="7">
        <f>IF(ABS('07_CONTINUOUS_CODEBOOK'!BX16)&lt;'04_CODEBOOK_CONTROL'!$B$15,0,SIGN('07_CONTINUOUS_CODEBOOK'!BX16)*IF(ABS('07_CONTINUOUS_CODEBOOK'!BX16)&lt;'04_CODEBOOK_CONTROL'!$B$16,1,IF(ABS('07_CONTINUOUS_CODEBOOK'!BX16)&lt;'04_CODEBOOK_CONTROL'!$B$17,2,3)))</f>
        <v/>
      </c>
      <c r="BY16" s="7">
        <f>IF(ABS('07_CONTINUOUS_CODEBOOK'!BY16)&lt;'04_CODEBOOK_CONTROL'!$B$15,0,SIGN('07_CONTINUOUS_CODEBOOK'!BY16)*IF(ABS('07_CONTINUOUS_CODEBOOK'!BY16)&lt;'04_CODEBOOK_CONTROL'!$B$16,1,IF(ABS('07_CONTINUOUS_CODEBOOK'!BY16)&lt;'04_CODEBOOK_CONTROL'!$B$17,2,3)))</f>
        <v/>
      </c>
      <c r="BZ16" s="7">
        <f>IF(ABS('07_CONTINUOUS_CODEBOOK'!BZ16)&lt;'04_CODEBOOK_CONTROL'!$B$15,0,SIGN('07_CONTINUOUS_CODEBOOK'!BZ16)*IF(ABS('07_CONTINUOUS_CODEBOOK'!BZ16)&lt;'04_CODEBOOK_CONTROL'!$B$16,1,IF(ABS('07_CONTINUOUS_CODEBOOK'!BZ16)&lt;'04_CODEBOOK_CONTROL'!$B$17,2,3)))</f>
        <v/>
      </c>
      <c r="CA16" s="7">
        <f>IF(ABS('07_CONTINUOUS_CODEBOOK'!CA16)&lt;'04_CODEBOOK_CONTROL'!$B$15,0,SIGN('07_CONTINUOUS_CODEBOOK'!CA16)*IF(ABS('07_CONTINUOUS_CODEBOOK'!CA16)&lt;'04_CODEBOOK_CONTROL'!$B$16,1,IF(ABS('07_CONTINUOUS_CODEBOOK'!CA16)&lt;'04_CODEBOOK_CONTROL'!$B$17,2,3)))</f>
        <v/>
      </c>
      <c r="CB16" s="7">
        <f>IF(ABS('07_CONTINUOUS_CODEBOOK'!CB16)&lt;'04_CODEBOOK_CONTROL'!$B$15,0,SIGN('07_CONTINUOUS_CODEBOOK'!CB16)*IF(ABS('07_CONTINUOUS_CODEBOOK'!CB16)&lt;'04_CODEBOOK_CONTROL'!$B$16,1,IF(ABS('07_CONTINUOUS_CODEBOOK'!CB16)&lt;'04_CODEBOOK_CONTROL'!$B$17,2,3)))</f>
        <v/>
      </c>
      <c r="CC16" s="7">
        <f>IF(ABS('07_CONTINUOUS_CODEBOOK'!CC16)&lt;'04_CODEBOOK_CONTROL'!$B$15,0,SIGN('07_CONTINUOUS_CODEBOOK'!CC16)*IF(ABS('07_CONTINUOUS_CODEBOOK'!CC16)&lt;'04_CODEBOOK_CONTROL'!$B$16,1,IF(ABS('07_CONTINUOUS_CODEBOOK'!CC16)&lt;'04_CODEBOOK_CONTROL'!$B$17,2,3)))</f>
        <v/>
      </c>
      <c r="CD16" s="7">
        <f>IF(ABS('07_CONTINUOUS_CODEBOOK'!CD16)&lt;'04_CODEBOOK_CONTROL'!$B$15,0,SIGN('07_CONTINUOUS_CODEBOOK'!CD16)*IF(ABS('07_CONTINUOUS_CODEBOOK'!CD16)&lt;'04_CODEBOOK_CONTROL'!$B$16,1,IF(ABS('07_CONTINUOUS_CODEBOOK'!CD16)&lt;'04_CODEBOOK_CONTROL'!$B$17,2,3)))</f>
        <v/>
      </c>
      <c r="CE16" s="7">
        <f>IF(ABS('07_CONTINUOUS_CODEBOOK'!CE16)&lt;'04_CODEBOOK_CONTROL'!$B$15,0,SIGN('07_CONTINUOUS_CODEBOOK'!CE16)*IF(ABS('07_CONTINUOUS_CODEBOOK'!CE16)&lt;'04_CODEBOOK_CONTROL'!$B$16,1,IF(ABS('07_CONTINUOUS_CODEBOOK'!CE16)&lt;'04_CODEBOOK_CONTROL'!$B$17,2,3)))</f>
        <v/>
      </c>
    </row>
    <row r="17">
      <c r="A17" t="n">
        <v>13</v>
      </c>
      <c r="B17" t="inlineStr">
        <is>
          <t>貓科星族</t>
        </is>
      </c>
      <c r="C17" t="inlineStr">
        <is>
          <t>Feline / Urmah</t>
        </is>
      </c>
      <c r="D17" s="7">
        <f>IF(ABS('07_CONTINUOUS_CODEBOOK'!D17)&lt;'04_CODEBOOK_CONTROL'!$B$15,0,SIGN('07_CONTINUOUS_CODEBOOK'!D17)*IF(ABS('07_CONTINUOUS_CODEBOOK'!D17)&lt;'04_CODEBOOK_CONTROL'!$B$16,1,IF(ABS('07_CONTINUOUS_CODEBOOK'!D17)&lt;'04_CODEBOOK_CONTROL'!$B$17,2,3)))</f>
        <v/>
      </c>
      <c r="E17" s="7">
        <f>IF(ABS('07_CONTINUOUS_CODEBOOK'!E17)&lt;'04_CODEBOOK_CONTROL'!$B$15,0,SIGN('07_CONTINUOUS_CODEBOOK'!E17)*IF(ABS('07_CONTINUOUS_CODEBOOK'!E17)&lt;'04_CODEBOOK_CONTROL'!$B$16,1,IF(ABS('07_CONTINUOUS_CODEBOOK'!E17)&lt;'04_CODEBOOK_CONTROL'!$B$17,2,3)))</f>
        <v/>
      </c>
      <c r="F17" s="7">
        <f>IF(ABS('07_CONTINUOUS_CODEBOOK'!F17)&lt;'04_CODEBOOK_CONTROL'!$B$15,0,SIGN('07_CONTINUOUS_CODEBOOK'!F17)*IF(ABS('07_CONTINUOUS_CODEBOOK'!F17)&lt;'04_CODEBOOK_CONTROL'!$B$16,1,IF(ABS('07_CONTINUOUS_CODEBOOK'!F17)&lt;'04_CODEBOOK_CONTROL'!$B$17,2,3)))</f>
        <v/>
      </c>
      <c r="G17" s="7">
        <f>IF(ABS('07_CONTINUOUS_CODEBOOK'!G17)&lt;'04_CODEBOOK_CONTROL'!$B$15,0,SIGN('07_CONTINUOUS_CODEBOOK'!G17)*IF(ABS('07_CONTINUOUS_CODEBOOK'!G17)&lt;'04_CODEBOOK_CONTROL'!$B$16,1,IF(ABS('07_CONTINUOUS_CODEBOOK'!G17)&lt;'04_CODEBOOK_CONTROL'!$B$17,2,3)))</f>
        <v/>
      </c>
      <c r="H17" s="7">
        <f>IF(ABS('07_CONTINUOUS_CODEBOOK'!H17)&lt;'04_CODEBOOK_CONTROL'!$B$15,0,SIGN('07_CONTINUOUS_CODEBOOK'!H17)*IF(ABS('07_CONTINUOUS_CODEBOOK'!H17)&lt;'04_CODEBOOK_CONTROL'!$B$16,1,IF(ABS('07_CONTINUOUS_CODEBOOK'!H17)&lt;'04_CODEBOOK_CONTROL'!$B$17,2,3)))</f>
        <v/>
      </c>
      <c r="I17" s="7">
        <f>IF(ABS('07_CONTINUOUS_CODEBOOK'!I17)&lt;'04_CODEBOOK_CONTROL'!$B$15,0,SIGN('07_CONTINUOUS_CODEBOOK'!I17)*IF(ABS('07_CONTINUOUS_CODEBOOK'!I17)&lt;'04_CODEBOOK_CONTROL'!$B$16,1,IF(ABS('07_CONTINUOUS_CODEBOOK'!I17)&lt;'04_CODEBOOK_CONTROL'!$B$17,2,3)))</f>
        <v/>
      </c>
      <c r="J17" s="7">
        <f>IF(ABS('07_CONTINUOUS_CODEBOOK'!J17)&lt;'04_CODEBOOK_CONTROL'!$B$15,0,SIGN('07_CONTINUOUS_CODEBOOK'!J17)*IF(ABS('07_CONTINUOUS_CODEBOOK'!J17)&lt;'04_CODEBOOK_CONTROL'!$B$16,1,IF(ABS('07_CONTINUOUS_CODEBOOK'!J17)&lt;'04_CODEBOOK_CONTROL'!$B$17,2,3)))</f>
        <v/>
      </c>
      <c r="K17" s="7">
        <f>IF(ABS('07_CONTINUOUS_CODEBOOK'!K17)&lt;'04_CODEBOOK_CONTROL'!$B$15,0,SIGN('07_CONTINUOUS_CODEBOOK'!K17)*IF(ABS('07_CONTINUOUS_CODEBOOK'!K17)&lt;'04_CODEBOOK_CONTROL'!$B$16,1,IF(ABS('07_CONTINUOUS_CODEBOOK'!K17)&lt;'04_CODEBOOK_CONTROL'!$B$17,2,3)))</f>
        <v/>
      </c>
      <c r="L17" s="7">
        <f>IF(ABS('07_CONTINUOUS_CODEBOOK'!L17)&lt;'04_CODEBOOK_CONTROL'!$B$15,0,SIGN('07_CONTINUOUS_CODEBOOK'!L17)*IF(ABS('07_CONTINUOUS_CODEBOOK'!L17)&lt;'04_CODEBOOK_CONTROL'!$B$16,1,IF(ABS('07_CONTINUOUS_CODEBOOK'!L17)&lt;'04_CODEBOOK_CONTROL'!$B$17,2,3)))</f>
        <v/>
      </c>
      <c r="M17" s="7">
        <f>IF(ABS('07_CONTINUOUS_CODEBOOK'!M17)&lt;'04_CODEBOOK_CONTROL'!$B$15,0,SIGN('07_CONTINUOUS_CODEBOOK'!M17)*IF(ABS('07_CONTINUOUS_CODEBOOK'!M17)&lt;'04_CODEBOOK_CONTROL'!$B$16,1,IF(ABS('07_CONTINUOUS_CODEBOOK'!M17)&lt;'04_CODEBOOK_CONTROL'!$B$17,2,3)))</f>
        <v/>
      </c>
      <c r="N17" s="7">
        <f>IF(ABS('07_CONTINUOUS_CODEBOOK'!N17)&lt;'04_CODEBOOK_CONTROL'!$B$15,0,SIGN('07_CONTINUOUS_CODEBOOK'!N17)*IF(ABS('07_CONTINUOUS_CODEBOOK'!N17)&lt;'04_CODEBOOK_CONTROL'!$B$16,1,IF(ABS('07_CONTINUOUS_CODEBOOK'!N17)&lt;'04_CODEBOOK_CONTROL'!$B$17,2,3)))</f>
        <v/>
      </c>
      <c r="O17" s="7">
        <f>IF(ABS('07_CONTINUOUS_CODEBOOK'!O17)&lt;'04_CODEBOOK_CONTROL'!$B$15,0,SIGN('07_CONTINUOUS_CODEBOOK'!O17)*IF(ABS('07_CONTINUOUS_CODEBOOK'!O17)&lt;'04_CODEBOOK_CONTROL'!$B$16,1,IF(ABS('07_CONTINUOUS_CODEBOOK'!O17)&lt;'04_CODEBOOK_CONTROL'!$B$17,2,3)))</f>
        <v/>
      </c>
      <c r="P17" s="7">
        <f>IF(ABS('07_CONTINUOUS_CODEBOOK'!P17)&lt;'04_CODEBOOK_CONTROL'!$B$15,0,SIGN('07_CONTINUOUS_CODEBOOK'!P17)*IF(ABS('07_CONTINUOUS_CODEBOOK'!P17)&lt;'04_CODEBOOK_CONTROL'!$B$16,1,IF(ABS('07_CONTINUOUS_CODEBOOK'!P17)&lt;'04_CODEBOOK_CONTROL'!$B$17,2,3)))</f>
        <v/>
      </c>
      <c r="Q17" s="7">
        <f>IF(ABS('07_CONTINUOUS_CODEBOOK'!Q17)&lt;'04_CODEBOOK_CONTROL'!$B$15,0,SIGN('07_CONTINUOUS_CODEBOOK'!Q17)*IF(ABS('07_CONTINUOUS_CODEBOOK'!Q17)&lt;'04_CODEBOOK_CONTROL'!$B$16,1,IF(ABS('07_CONTINUOUS_CODEBOOK'!Q17)&lt;'04_CODEBOOK_CONTROL'!$B$17,2,3)))</f>
        <v/>
      </c>
      <c r="R17" s="7">
        <f>IF(ABS('07_CONTINUOUS_CODEBOOK'!R17)&lt;'04_CODEBOOK_CONTROL'!$B$15,0,SIGN('07_CONTINUOUS_CODEBOOK'!R17)*IF(ABS('07_CONTINUOUS_CODEBOOK'!R17)&lt;'04_CODEBOOK_CONTROL'!$B$16,1,IF(ABS('07_CONTINUOUS_CODEBOOK'!R17)&lt;'04_CODEBOOK_CONTROL'!$B$17,2,3)))</f>
        <v/>
      </c>
      <c r="S17" s="7">
        <f>IF(ABS('07_CONTINUOUS_CODEBOOK'!S17)&lt;'04_CODEBOOK_CONTROL'!$B$15,0,SIGN('07_CONTINUOUS_CODEBOOK'!S17)*IF(ABS('07_CONTINUOUS_CODEBOOK'!S17)&lt;'04_CODEBOOK_CONTROL'!$B$16,1,IF(ABS('07_CONTINUOUS_CODEBOOK'!S17)&lt;'04_CODEBOOK_CONTROL'!$B$17,2,3)))</f>
        <v/>
      </c>
      <c r="T17" s="7">
        <f>IF(ABS('07_CONTINUOUS_CODEBOOK'!T17)&lt;'04_CODEBOOK_CONTROL'!$B$15,0,SIGN('07_CONTINUOUS_CODEBOOK'!T17)*IF(ABS('07_CONTINUOUS_CODEBOOK'!T17)&lt;'04_CODEBOOK_CONTROL'!$B$16,1,IF(ABS('07_CONTINUOUS_CODEBOOK'!T17)&lt;'04_CODEBOOK_CONTROL'!$B$17,2,3)))</f>
        <v/>
      </c>
      <c r="U17" s="7">
        <f>IF(ABS('07_CONTINUOUS_CODEBOOK'!U17)&lt;'04_CODEBOOK_CONTROL'!$B$15,0,SIGN('07_CONTINUOUS_CODEBOOK'!U17)*IF(ABS('07_CONTINUOUS_CODEBOOK'!U17)&lt;'04_CODEBOOK_CONTROL'!$B$16,1,IF(ABS('07_CONTINUOUS_CODEBOOK'!U17)&lt;'04_CODEBOOK_CONTROL'!$B$17,2,3)))</f>
        <v/>
      </c>
      <c r="V17" s="7">
        <f>IF(ABS('07_CONTINUOUS_CODEBOOK'!V17)&lt;'04_CODEBOOK_CONTROL'!$B$15,0,SIGN('07_CONTINUOUS_CODEBOOK'!V17)*IF(ABS('07_CONTINUOUS_CODEBOOK'!V17)&lt;'04_CODEBOOK_CONTROL'!$B$16,1,IF(ABS('07_CONTINUOUS_CODEBOOK'!V17)&lt;'04_CODEBOOK_CONTROL'!$B$17,2,3)))</f>
        <v/>
      </c>
      <c r="W17" s="7">
        <f>IF(ABS('07_CONTINUOUS_CODEBOOK'!W17)&lt;'04_CODEBOOK_CONTROL'!$B$15,0,SIGN('07_CONTINUOUS_CODEBOOK'!W17)*IF(ABS('07_CONTINUOUS_CODEBOOK'!W17)&lt;'04_CODEBOOK_CONTROL'!$B$16,1,IF(ABS('07_CONTINUOUS_CODEBOOK'!W17)&lt;'04_CODEBOOK_CONTROL'!$B$17,2,3)))</f>
        <v/>
      </c>
      <c r="X17" s="7">
        <f>IF(ABS('07_CONTINUOUS_CODEBOOK'!X17)&lt;'04_CODEBOOK_CONTROL'!$B$15,0,SIGN('07_CONTINUOUS_CODEBOOK'!X17)*IF(ABS('07_CONTINUOUS_CODEBOOK'!X17)&lt;'04_CODEBOOK_CONTROL'!$B$16,1,IF(ABS('07_CONTINUOUS_CODEBOOK'!X17)&lt;'04_CODEBOOK_CONTROL'!$B$17,2,3)))</f>
        <v/>
      </c>
      <c r="Y17" s="7">
        <f>IF(ABS('07_CONTINUOUS_CODEBOOK'!Y17)&lt;'04_CODEBOOK_CONTROL'!$B$15,0,SIGN('07_CONTINUOUS_CODEBOOK'!Y17)*IF(ABS('07_CONTINUOUS_CODEBOOK'!Y17)&lt;'04_CODEBOOK_CONTROL'!$B$16,1,IF(ABS('07_CONTINUOUS_CODEBOOK'!Y17)&lt;'04_CODEBOOK_CONTROL'!$B$17,2,3)))</f>
        <v/>
      </c>
      <c r="Z17" s="7">
        <f>IF(ABS('07_CONTINUOUS_CODEBOOK'!Z17)&lt;'04_CODEBOOK_CONTROL'!$B$15,0,SIGN('07_CONTINUOUS_CODEBOOK'!Z17)*IF(ABS('07_CONTINUOUS_CODEBOOK'!Z17)&lt;'04_CODEBOOK_CONTROL'!$B$16,1,IF(ABS('07_CONTINUOUS_CODEBOOK'!Z17)&lt;'04_CODEBOOK_CONTROL'!$B$17,2,3)))</f>
        <v/>
      </c>
      <c r="AA17" s="7">
        <f>IF(ABS('07_CONTINUOUS_CODEBOOK'!AA17)&lt;'04_CODEBOOK_CONTROL'!$B$15,0,SIGN('07_CONTINUOUS_CODEBOOK'!AA17)*IF(ABS('07_CONTINUOUS_CODEBOOK'!AA17)&lt;'04_CODEBOOK_CONTROL'!$B$16,1,IF(ABS('07_CONTINUOUS_CODEBOOK'!AA17)&lt;'04_CODEBOOK_CONTROL'!$B$17,2,3)))</f>
        <v/>
      </c>
      <c r="AB17" s="7">
        <f>IF(ABS('07_CONTINUOUS_CODEBOOK'!AB17)&lt;'04_CODEBOOK_CONTROL'!$B$15,0,SIGN('07_CONTINUOUS_CODEBOOK'!AB17)*IF(ABS('07_CONTINUOUS_CODEBOOK'!AB17)&lt;'04_CODEBOOK_CONTROL'!$B$16,1,IF(ABS('07_CONTINUOUS_CODEBOOK'!AB17)&lt;'04_CODEBOOK_CONTROL'!$B$17,2,3)))</f>
        <v/>
      </c>
      <c r="AC17" s="7">
        <f>IF(ABS('07_CONTINUOUS_CODEBOOK'!AC17)&lt;'04_CODEBOOK_CONTROL'!$B$15,0,SIGN('07_CONTINUOUS_CODEBOOK'!AC17)*IF(ABS('07_CONTINUOUS_CODEBOOK'!AC17)&lt;'04_CODEBOOK_CONTROL'!$B$16,1,IF(ABS('07_CONTINUOUS_CODEBOOK'!AC17)&lt;'04_CODEBOOK_CONTROL'!$B$17,2,3)))</f>
        <v/>
      </c>
      <c r="AD17" s="7">
        <f>IF(ABS('07_CONTINUOUS_CODEBOOK'!AD17)&lt;'04_CODEBOOK_CONTROL'!$B$15,0,SIGN('07_CONTINUOUS_CODEBOOK'!AD17)*IF(ABS('07_CONTINUOUS_CODEBOOK'!AD17)&lt;'04_CODEBOOK_CONTROL'!$B$16,1,IF(ABS('07_CONTINUOUS_CODEBOOK'!AD17)&lt;'04_CODEBOOK_CONTROL'!$B$17,2,3)))</f>
        <v/>
      </c>
      <c r="AE17" s="7">
        <f>IF(ABS('07_CONTINUOUS_CODEBOOK'!AE17)&lt;'04_CODEBOOK_CONTROL'!$B$15,0,SIGN('07_CONTINUOUS_CODEBOOK'!AE17)*IF(ABS('07_CONTINUOUS_CODEBOOK'!AE17)&lt;'04_CODEBOOK_CONTROL'!$B$16,1,IF(ABS('07_CONTINUOUS_CODEBOOK'!AE17)&lt;'04_CODEBOOK_CONTROL'!$B$17,2,3)))</f>
        <v/>
      </c>
      <c r="AF17" s="7">
        <f>IF(ABS('07_CONTINUOUS_CODEBOOK'!AF17)&lt;'04_CODEBOOK_CONTROL'!$B$15,0,SIGN('07_CONTINUOUS_CODEBOOK'!AF17)*IF(ABS('07_CONTINUOUS_CODEBOOK'!AF17)&lt;'04_CODEBOOK_CONTROL'!$B$16,1,IF(ABS('07_CONTINUOUS_CODEBOOK'!AF17)&lt;'04_CODEBOOK_CONTROL'!$B$17,2,3)))</f>
        <v/>
      </c>
      <c r="AG17" s="7">
        <f>IF(ABS('07_CONTINUOUS_CODEBOOK'!AG17)&lt;'04_CODEBOOK_CONTROL'!$B$15,0,SIGN('07_CONTINUOUS_CODEBOOK'!AG17)*IF(ABS('07_CONTINUOUS_CODEBOOK'!AG17)&lt;'04_CODEBOOK_CONTROL'!$B$16,1,IF(ABS('07_CONTINUOUS_CODEBOOK'!AG17)&lt;'04_CODEBOOK_CONTROL'!$B$17,2,3)))</f>
        <v/>
      </c>
      <c r="AH17" s="7">
        <f>IF(ABS('07_CONTINUOUS_CODEBOOK'!AH17)&lt;'04_CODEBOOK_CONTROL'!$B$15,0,SIGN('07_CONTINUOUS_CODEBOOK'!AH17)*IF(ABS('07_CONTINUOUS_CODEBOOK'!AH17)&lt;'04_CODEBOOK_CONTROL'!$B$16,1,IF(ABS('07_CONTINUOUS_CODEBOOK'!AH17)&lt;'04_CODEBOOK_CONTROL'!$B$17,2,3)))</f>
        <v/>
      </c>
      <c r="AI17" s="7">
        <f>IF(ABS('07_CONTINUOUS_CODEBOOK'!AI17)&lt;'04_CODEBOOK_CONTROL'!$B$15,0,SIGN('07_CONTINUOUS_CODEBOOK'!AI17)*IF(ABS('07_CONTINUOUS_CODEBOOK'!AI17)&lt;'04_CODEBOOK_CONTROL'!$B$16,1,IF(ABS('07_CONTINUOUS_CODEBOOK'!AI17)&lt;'04_CODEBOOK_CONTROL'!$B$17,2,3)))</f>
        <v/>
      </c>
      <c r="AJ17" s="7">
        <f>IF(ABS('07_CONTINUOUS_CODEBOOK'!AJ17)&lt;'04_CODEBOOK_CONTROL'!$B$15,0,SIGN('07_CONTINUOUS_CODEBOOK'!AJ17)*IF(ABS('07_CONTINUOUS_CODEBOOK'!AJ17)&lt;'04_CODEBOOK_CONTROL'!$B$16,1,IF(ABS('07_CONTINUOUS_CODEBOOK'!AJ17)&lt;'04_CODEBOOK_CONTROL'!$B$17,2,3)))</f>
        <v/>
      </c>
      <c r="AK17" s="7">
        <f>IF(ABS('07_CONTINUOUS_CODEBOOK'!AK17)&lt;'04_CODEBOOK_CONTROL'!$B$15,0,SIGN('07_CONTINUOUS_CODEBOOK'!AK17)*IF(ABS('07_CONTINUOUS_CODEBOOK'!AK17)&lt;'04_CODEBOOK_CONTROL'!$B$16,1,IF(ABS('07_CONTINUOUS_CODEBOOK'!AK17)&lt;'04_CODEBOOK_CONTROL'!$B$17,2,3)))</f>
        <v/>
      </c>
      <c r="AL17" s="7">
        <f>IF(ABS('07_CONTINUOUS_CODEBOOK'!AL17)&lt;'04_CODEBOOK_CONTROL'!$B$15,0,SIGN('07_CONTINUOUS_CODEBOOK'!AL17)*IF(ABS('07_CONTINUOUS_CODEBOOK'!AL17)&lt;'04_CODEBOOK_CONTROL'!$B$16,1,IF(ABS('07_CONTINUOUS_CODEBOOK'!AL17)&lt;'04_CODEBOOK_CONTROL'!$B$17,2,3)))</f>
        <v/>
      </c>
      <c r="AM17" s="7">
        <f>IF(ABS('07_CONTINUOUS_CODEBOOK'!AM17)&lt;'04_CODEBOOK_CONTROL'!$B$15,0,SIGN('07_CONTINUOUS_CODEBOOK'!AM17)*IF(ABS('07_CONTINUOUS_CODEBOOK'!AM17)&lt;'04_CODEBOOK_CONTROL'!$B$16,1,IF(ABS('07_CONTINUOUS_CODEBOOK'!AM17)&lt;'04_CODEBOOK_CONTROL'!$B$17,2,3)))</f>
        <v/>
      </c>
      <c r="AN17" s="7">
        <f>IF(ABS('07_CONTINUOUS_CODEBOOK'!AN17)&lt;'04_CODEBOOK_CONTROL'!$B$15,0,SIGN('07_CONTINUOUS_CODEBOOK'!AN17)*IF(ABS('07_CONTINUOUS_CODEBOOK'!AN17)&lt;'04_CODEBOOK_CONTROL'!$B$16,1,IF(ABS('07_CONTINUOUS_CODEBOOK'!AN17)&lt;'04_CODEBOOK_CONTROL'!$B$17,2,3)))</f>
        <v/>
      </c>
      <c r="AO17" s="7">
        <f>IF(ABS('07_CONTINUOUS_CODEBOOK'!AO17)&lt;'04_CODEBOOK_CONTROL'!$B$15,0,SIGN('07_CONTINUOUS_CODEBOOK'!AO17)*IF(ABS('07_CONTINUOUS_CODEBOOK'!AO17)&lt;'04_CODEBOOK_CONTROL'!$B$16,1,IF(ABS('07_CONTINUOUS_CODEBOOK'!AO17)&lt;'04_CODEBOOK_CONTROL'!$B$17,2,3)))</f>
        <v/>
      </c>
      <c r="AP17" s="7">
        <f>IF(ABS('07_CONTINUOUS_CODEBOOK'!AP17)&lt;'04_CODEBOOK_CONTROL'!$B$15,0,SIGN('07_CONTINUOUS_CODEBOOK'!AP17)*IF(ABS('07_CONTINUOUS_CODEBOOK'!AP17)&lt;'04_CODEBOOK_CONTROL'!$B$16,1,IF(ABS('07_CONTINUOUS_CODEBOOK'!AP17)&lt;'04_CODEBOOK_CONTROL'!$B$17,2,3)))</f>
        <v/>
      </c>
      <c r="AQ17" s="7">
        <f>IF(ABS('07_CONTINUOUS_CODEBOOK'!AQ17)&lt;'04_CODEBOOK_CONTROL'!$B$15,0,SIGN('07_CONTINUOUS_CODEBOOK'!AQ17)*IF(ABS('07_CONTINUOUS_CODEBOOK'!AQ17)&lt;'04_CODEBOOK_CONTROL'!$B$16,1,IF(ABS('07_CONTINUOUS_CODEBOOK'!AQ17)&lt;'04_CODEBOOK_CONTROL'!$B$17,2,3)))</f>
        <v/>
      </c>
      <c r="AR17" s="7">
        <f>IF(ABS('07_CONTINUOUS_CODEBOOK'!AR17)&lt;'04_CODEBOOK_CONTROL'!$B$15,0,SIGN('07_CONTINUOUS_CODEBOOK'!AR17)*IF(ABS('07_CONTINUOUS_CODEBOOK'!AR17)&lt;'04_CODEBOOK_CONTROL'!$B$16,1,IF(ABS('07_CONTINUOUS_CODEBOOK'!AR17)&lt;'04_CODEBOOK_CONTROL'!$B$17,2,3)))</f>
        <v/>
      </c>
      <c r="AS17" s="7">
        <f>IF(ABS('07_CONTINUOUS_CODEBOOK'!AS17)&lt;'04_CODEBOOK_CONTROL'!$B$15,0,SIGN('07_CONTINUOUS_CODEBOOK'!AS17)*IF(ABS('07_CONTINUOUS_CODEBOOK'!AS17)&lt;'04_CODEBOOK_CONTROL'!$B$16,1,IF(ABS('07_CONTINUOUS_CODEBOOK'!AS17)&lt;'04_CODEBOOK_CONTROL'!$B$17,2,3)))</f>
        <v/>
      </c>
      <c r="AT17" s="7">
        <f>IF(ABS('07_CONTINUOUS_CODEBOOK'!AT17)&lt;'04_CODEBOOK_CONTROL'!$B$15,0,SIGN('07_CONTINUOUS_CODEBOOK'!AT17)*IF(ABS('07_CONTINUOUS_CODEBOOK'!AT17)&lt;'04_CODEBOOK_CONTROL'!$B$16,1,IF(ABS('07_CONTINUOUS_CODEBOOK'!AT17)&lt;'04_CODEBOOK_CONTROL'!$B$17,2,3)))</f>
        <v/>
      </c>
      <c r="AU17" s="7">
        <f>IF(ABS('07_CONTINUOUS_CODEBOOK'!AU17)&lt;'04_CODEBOOK_CONTROL'!$B$15,0,SIGN('07_CONTINUOUS_CODEBOOK'!AU17)*IF(ABS('07_CONTINUOUS_CODEBOOK'!AU17)&lt;'04_CODEBOOK_CONTROL'!$B$16,1,IF(ABS('07_CONTINUOUS_CODEBOOK'!AU17)&lt;'04_CODEBOOK_CONTROL'!$B$17,2,3)))</f>
        <v/>
      </c>
      <c r="AV17" s="7">
        <f>IF(ABS('07_CONTINUOUS_CODEBOOK'!AV17)&lt;'04_CODEBOOK_CONTROL'!$B$15,0,SIGN('07_CONTINUOUS_CODEBOOK'!AV17)*IF(ABS('07_CONTINUOUS_CODEBOOK'!AV17)&lt;'04_CODEBOOK_CONTROL'!$B$16,1,IF(ABS('07_CONTINUOUS_CODEBOOK'!AV17)&lt;'04_CODEBOOK_CONTROL'!$B$17,2,3)))</f>
        <v/>
      </c>
      <c r="AW17" s="7">
        <f>IF(ABS('07_CONTINUOUS_CODEBOOK'!AW17)&lt;'04_CODEBOOK_CONTROL'!$B$15,0,SIGN('07_CONTINUOUS_CODEBOOK'!AW17)*IF(ABS('07_CONTINUOUS_CODEBOOK'!AW17)&lt;'04_CODEBOOK_CONTROL'!$B$16,1,IF(ABS('07_CONTINUOUS_CODEBOOK'!AW17)&lt;'04_CODEBOOK_CONTROL'!$B$17,2,3)))</f>
        <v/>
      </c>
      <c r="AX17" s="7">
        <f>IF(ABS('07_CONTINUOUS_CODEBOOK'!AX17)&lt;'04_CODEBOOK_CONTROL'!$B$15,0,SIGN('07_CONTINUOUS_CODEBOOK'!AX17)*IF(ABS('07_CONTINUOUS_CODEBOOK'!AX17)&lt;'04_CODEBOOK_CONTROL'!$B$16,1,IF(ABS('07_CONTINUOUS_CODEBOOK'!AX17)&lt;'04_CODEBOOK_CONTROL'!$B$17,2,3)))</f>
        <v/>
      </c>
      <c r="AY17" s="7">
        <f>IF(ABS('07_CONTINUOUS_CODEBOOK'!AY17)&lt;'04_CODEBOOK_CONTROL'!$B$15,0,SIGN('07_CONTINUOUS_CODEBOOK'!AY17)*IF(ABS('07_CONTINUOUS_CODEBOOK'!AY17)&lt;'04_CODEBOOK_CONTROL'!$B$16,1,IF(ABS('07_CONTINUOUS_CODEBOOK'!AY17)&lt;'04_CODEBOOK_CONTROL'!$B$17,2,3)))</f>
        <v/>
      </c>
      <c r="AZ17" s="7">
        <f>IF(ABS('07_CONTINUOUS_CODEBOOK'!AZ17)&lt;'04_CODEBOOK_CONTROL'!$B$15,0,SIGN('07_CONTINUOUS_CODEBOOK'!AZ17)*IF(ABS('07_CONTINUOUS_CODEBOOK'!AZ17)&lt;'04_CODEBOOK_CONTROL'!$B$16,1,IF(ABS('07_CONTINUOUS_CODEBOOK'!AZ17)&lt;'04_CODEBOOK_CONTROL'!$B$17,2,3)))</f>
        <v/>
      </c>
      <c r="BA17" s="7">
        <f>IF(ABS('07_CONTINUOUS_CODEBOOK'!BA17)&lt;'04_CODEBOOK_CONTROL'!$B$15,0,SIGN('07_CONTINUOUS_CODEBOOK'!BA17)*IF(ABS('07_CONTINUOUS_CODEBOOK'!BA17)&lt;'04_CODEBOOK_CONTROL'!$B$16,1,IF(ABS('07_CONTINUOUS_CODEBOOK'!BA17)&lt;'04_CODEBOOK_CONTROL'!$B$17,2,3)))</f>
        <v/>
      </c>
      <c r="BB17" s="7">
        <f>IF(ABS('07_CONTINUOUS_CODEBOOK'!BB17)&lt;'04_CODEBOOK_CONTROL'!$B$15,0,SIGN('07_CONTINUOUS_CODEBOOK'!BB17)*IF(ABS('07_CONTINUOUS_CODEBOOK'!BB17)&lt;'04_CODEBOOK_CONTROL'!$B$16,1,IF(ABS('07_CONTINUOUS_CODEBOOK'!BB17)&lt;'04_CODEBOOK_CONTROL'!$B$17,2,3)))</f>
        <v/>
      </c>
      <c r="BC17" s="7">
        <f>IF(ABS('07_CONTINUOUS_CODEBOOK'!BC17)&lt;'04_CODEBOOK_CONTROL'!$B$15,0,SIGN('07_CONTINUOUS_CODEBOOK'!BC17)*IF(ABS('07_CONTINUOUS_CODEBOOK'!BC17)&lt;'04_CODEBOOK_CONTROL'!$B$16,1,IF(ABS('07_CONTINUOUS_CODEBOOK'!BC17)&lt;'04_CODEBOOK_CONTROL'!$B$17,2,3)))</f>
        <v/>
      </c>
      <c r="BD17" s="7">
        <f>IF(ABS('07_CONTINUOUS_CODEBOOK'!BD17)&lt;'04_CODEBOOK_CONTROL'!$B$15,0,SIGN('07_CONTINUOUS_CODEBOOK'!BD17)*IF(ABS('07_CONTINUOUS_CODEBOOK'!BD17)&lt;'04_CODEBOOK_CONTROL'!$B$16,1,IF(ABS('07_CONTINUOUS_CODEBOOK'!BD17)&lt;'04_CODEBOOK_CONTROL'!$B$17,2,3)))</f>
        <v/>
      </c>
      <c r="BE17" s="7">
        <f>IF(ABS('07_CONTINUOUS_CODEBOOK'!BE17)&lt;'04_CODEBOOK_CONTROL'!$B$15,0,SIGN('07_CONTINUOUS_CODEBOOK'!BE17)*IF(ABS('07_CONTINUOUS_CODEBOOK'!BE17)&lt;'04_CODEBOOK_CONTROL'!$B$16,1,IF(ABS('07_CONTINUOUS_CODEBOOK'!BE17)&lt;'04_CODEBOOK_CONTROL'!$B$17,2,3)))</f>
        <v/>
      </c>
      <c r="BF17" s="7">
        <f>IF(ABS('07_CONTINUOUS_CODEBOOK'!BF17)&lt;'04_CODEBOOK_CONTROL'!$B$15,0,SIGN('07_CONTINUOUS_CODEBOOK'!BF17)*IF(ABS('07_CONTINUOUS_CODEBOOK'!BF17)&lt;'04_CODEBOOK_CONTROL'!$B$16,1,IF(ABS('07_CONTINUOUS_CODEBOOK'!BF17)&lt;'04_CODEBOOK_CONTROL'!$B$17,2,3)))</f>
        <v/>
      </c>
      <c r="BG17" s="7">
        <f>IF(ABS('07_CONTINUOUS_CODEBOOK'!BG17)&lt;'04_CODEBOOK_CONTROL'!$B$15,0,SIGN('07_CONTINUOUS_CODEBOOK'!BG17)*IF(ABS('07_CONTINUOUS_CODEBOOK'!BG17)&lt;'04_CODEBOOK_CONTROL'!$B$16,1,IF(ABS('07_CONTINUOUS_CODEBOOK'!BG17)&lt;'04_CODEBOOK_CONTROL'!$B$17,2,3)))</f>
        <v/>
      </c>
      <c r="BH17" s="7">
        <f>IF(ABS('07_CONTINUOUS_CODEBOOK'!BH17)&lt;'04_CODEBOOK_CONTROL'!$B$15,0,SIGN('07_CONTINUOUS_CODEBOOK'!BH17)*IF(ABS('07_CONTINUOUS_CODEBOOK'!BH17)&lt;'04_CODEBOOK_CONTROL'!$B$16,1,IF(ABS('07_CONTINUOUS_CODEBOOK'!BH17)&lt;'04_CODEBOOK_CONTROL'!$B$17,2,3)))</f>
        <v/>
      </c>
      <c r="BI17" s="7">
        <f>IF(ABS('07_CONTINUOUS_CODEBOOK'!BI17)&lt;'04_CODEBOOK_CONTROL'!$B$15,0,SIGN('07_CONTINUOUS_CODEBOOK'!BI17)*IF(ABS('07_CONTINUOUS_CODEBOOK'!BI17)&lt;'04_CODEBOOK_CONTROL'!$B$16,1,IF(ABS('07_CONTINUOUS_CODEBOOK'!BI17)&lt;'04_CODEBOOK_CONTROL'!$B$17,2,3)))</f>
        <v/>
      </c>
      <c r="BJ17" s="7">
        <f>IF(ABS('07_CONTINUOUS_CODEBOOK'!BJ17)&lt;'04_CODEBOOK_CONTROL'!$B$15,0,SIGN('07_CONTINUOUS_CODEBOOK'!BJ17)*IF(ABS('07_CONTINUOUS_CODEBOOK'!BJ17)&lt;'04_CODEBOOK_CONTROL'!$B$16,1,IF(ABS('07_CONTINUOUS_CODEBOOK'!BJ17)&lt;'04_CODEBOOK_CONTROL'!$B$17,2,3)))</f>
        <v/>
      </c>
      <c r="BK17" s="7">
        <f>IF(ABS('07_CONTINUOUS_CODEBOOK'!BK17)&lt;'04_CODEBOOK_CONTROL'!$B$15,0,SIGN('07_CONTINUOUS_CODEBOOK'!BK17)*IF(ABS('07_CONTINUOUS_CODEBOOK'!BK17)&lt;'04_CODEBOOK_CONTROL'!$B$16,1,IF(ABS('07_CONTINUOUS_CODEBOOK'!BK17)&lt;'04_CODEBOOK_CONTROL'!$B$17,2,3)))</f>
        <v/>
      </c>
      <c r="BL17" s="7">
        <f>IF(ABS('07_CONTINUOUS_CODEBOOK'!BL17)&lt;'04_CODEBOOK_CONTROL'!$B$15,0,SIGN('07_CONTINUOUS_CODEBOOK'!BL17)*IF(ABS('07_CONTINUOUS_CODEBOOK'!BL17)&lt;'04_CODEBOOK_CONTROL'!$B$16,1,IF(ABS('07_CONTINUOUS_CODEBOOK'!BL17)&lt;'04_CODEBOOK_CONTROL'!$B$17,2,3)))</f>
        <v/>
      </c>
      <c r="BM17" s="7">
        <f>IF(ABS('07_CONTINUOUS_CODEBOOK'!BM17)&lt;'04_CODEBOOK_CONTROL'!$B$15,0,SIGN('07_CONTINUOUS_CODEBOOK'!BM17)*IF(ABS('07_CONTINUOUS_CODEBOOK'!BM17)&lt;'04_CODEBOOK_CONTROL'!$B$16,1,IF(ABS('07_CONTINUOUS_CODEBOOK'!BM17)&lt;'04_CODEBOOK_CONTROL'!$B$17,2,3)))</f>
        <v/>
      </c>
      <c r="BN17" s="7">
        <f>IF(ABS('07_CONTINUOUS_CODEBOOK'!BN17)&lt;'04_CODEBOOK_CONTROL'!$B$15,0,SIGN('07_CONTINUOUS_CODEBOOK'!BN17)*IF(ABS('07_CONTINUOUS_CODEBOOK'!BN17)&lt;'04_CODEBOOK_CONTROL'!$B$16,1,IF(ABS('07_CONTINUOUS_CODEBOOK'!BN17)&lt;'04_CODEBOOK_CONTROL'!$B$17,2,3)))</f>
        <v/>
      </c>
      <c r="BO17" s="7">
        <f>IF(ABS('07_CONTINUOUS_CODEBOOK'!BO17)&lt;'04_CODEBOOK_CONTROL'!$B$15,0,SIGN('07_CONTINUOUS_CODEBOOK'!BO17)*IF(ABS('07_CONTINUOUS_CODEBOOK'!BO17)&lt;'04_CODEBOOK_CONTROL'!$B$16,1,IF(ABS('07_CONTINUOUS_CODEBOOK'!BO17)&lt;'04_CODEBOOK_CONTROL'!$B$17,2,3)))</f>
        <v/>
      </c>
      <c r="BP17" s="7">
        <f>IF(ABS('07_CONTINUOUS_CODEBOOK'!BP17)&lt;'04_CODEBOOK_CONTROL'!$B$15,0,SIGN('07_CONTINUOUS_CODEBOOK'!BP17)*IF(ABS('07_CONTINUOUS_CODEBOOK'!BP17)&lt;'04_CODEBOOK_CONTROL'!$B$16,1,IF(ABS('07_CONTINUOUS_CODEBOOK'!BP17)&lt;'04_CODEBOOK_CONTROL'!$B$17,2,3)))</f>
        <v/>
      </c>
      <c r="BQ17" s="7">
        <f>IF(ABS('07_CONTINUOUS_CODEBOOK'!BQ17)&lt;'04_CODEBOOK_CONTROL'!$B$15,0,SIGN('07_CONTINUOUS_CODEBOOK'!BQ17)*IF(ABS('07_CONTINUOUS_CODEBOOK'!BQ17)&lt;'04_CODEBOOK_CONTROL'!$B$16,1,IF(ABS('07_CONTINUOUS_CODEBOOK'!BQ17)&lt;'04_CODEBOOK_CONTROL'!$B$17,2,3)))</f>
        <v/>
      </c>
      <c r="BR17" s="7">
        <f>IF(ABS('07_CONTINUOUS_CODEBOOK'!BR17)&lt;'04_CODEBOOK_CONTROL'!$B$15,0,SIGN('07_CONTINUOUS_CODEBOOK'!BR17)*IF(ABS('07_CONTINUOUS_CODEBOOK'!BR17)&lt;'04_CODEBOOK_CONTROL'!$B$16,1,IF(ABS('07_CONTINUOUS_CODEBOOK'!BR17)&lt;'04_CODEBOOK_CONTROL'!$B$17,2,3)))</f>
        <v/>
      </c>
      <c r="BS17" s="7">
        <f>IF(ABS('07_CONTINUOUS_CODEBOOK'!BS17)&lt;'04_CODEBOOK_CONTROL'!$B$15,0,SIGN('07_CONTINUOUS_CODEBOOK'!BS17)*IF(ABS('07_CONTINUOUS_CODEBOOK'!BS17)&lt;'04_CODEBOOK_CONTROL'!$B$16,1,IF(ABS('07_CONTINUOUS_CODEBOOK'!BS17)&lt;'04_CODEBOOK_CONTROL'!$B$17,2,3)))</f>
        <v/>
      </c>
      <c r="BT17" s="7">
        <f>IF(ABS('07_CONTINUOUS_CODEBOOK'!BT17)&lt;'04_CODEBOOK_CONTROL'!$B$15,0,SIGN('07_CONTINUOUS_CODEBOOK'!BT17)*IF(ABS('07_CONTINUOUS_CODEBOOK'!BT17)&lt;'04_CODEBOOK_CONTROL'!$B$16,1,IF(ABS('07_CONTINUOUS_CODEBOOK'!BT17)&lt;'04_CODEBOOK_CONTROL'!$B$17,2,3)))</f>
        <v/>
      </c>
      <c r="BU17" s="7">
        <f>IF(ABS('07_CONTINUOUS_CODEBOOK'!BU17)&lt;'04_CODEBOOK_CONTROL'!$B$15,0,SIGN('07_CONTINUOUS_CODEBOOK'!BU17)*IF(ABS('07_CONTINUOUS_CODEBOOK'!BU17)&lt;'04_CODEBOOK_CONTROL'!$B$16,1,IF(ABS('07_CONTINUOUS_CODEBOOK'!BU17)&lt;'04_CODEBOOK_CONTROL'!$B$17,2,3)))</f>
        <v/>
      </c>
      <c r="BV17" s="7">
        <f>IF(ABS('07_CONTINUOUS_CODEBOOK'!BV17)&lt;'04_CODEBOOK_CONTROL'!$B$15,0,SIGN('07_CONTINUOUS_CODEBOOK'!BV17)*IF(ABS('07_CONTINUOUS_CODEBOOK'!BV17)&lt;'04_CODEBOOK_CONTROL'!$B$16,1,IF(ABS('07_CONTINUOUS_CODEBOOK'!BV17)&lt;'04_CODEBOOK_CONTROL'!$B$17,2,3)))</f>
        <v/>
      </c>
      <c r="BW17" s="7">
        <f>IF(ABS('07_CONTINUOUS_CODEBOOK'!BW17)&lt;'04_CODEBOOK_CONTROL'!$B$15,0,SIGN('07_CONTINUOUS_CODEBOOK'!BW17)*IF(ABS('07_CONTINUOUS_CODEBOOK'!BW17)&lt;'04_CODEBOOK_CONTROL'!$B$16,1,IF(ABS('07_CONTINUOUS_CODEBOOK'!BW17)&lt;'04_CODEBOOK_CONTROL'!$B$17,2,3)))</f>
        <v/>
      </c>
      <c r="BX17" s="7">
        <f>IF(ABS('07_CONTINUOUS_CODEBOOK'!BX17)&lt;'04_CODEBOOK_CONTROL'!$B$15,0,SIGN('07_CONTINUOUS_CODEBOOK'!BX17)*IF(ABS('07_CONTINUOUS_CODEBOOK'!BX17)&lt;'04_CODEBOOK_CONTROL'!$B$16,1,IF(ABS('07_CONTINUOUS_CODEBOOK'!BX17)&lt;'04_CODEBOOK_CONTROL'!$B$17,2,3)))</f>
        <v/>
      </c>
      <c r="BY17" s="7">
        <f>IF(ABS('07_CONTINUOUS_CODEBOOK'!BY17)&lt;'04_CODEBOOK_CONTROL'!$B$15,0,SIGN('07_CONTINUOUS_CODEBOOK'!BY17)*IF(ABS('07_CONTINUOUS_CODEBOOK'!BY17)&lt;'04_CODEBOOK_CONTROL'!$B$16,1,IF(ABS('07_CONTINUOUS_CODEBOOK'!BY17)&lt;'04_CODEBOOK_CONTROL'!$B$17,2,3)))</f>
        <v/>
      </c>
      <c r="BZ17" s="7">
        <f>IF(ABS('07_CONTINUOUS_CODEBOOK'!BZ17)&lt;'04_CODEBOOK_CONTROL'!$B$15,0,SIGN('07_CONTINUOUS_CODEBOOK'!BZ17)*IF(ABS('07_CONTINUOUS_CODEBOOK'!BZ17)&lt;'04_CODEBOOK_CONTROL'!$B$16,1,IF(ABS('07_CONTINUOUS_CODEBOOK'!BZ17)&lt;'04_CODEBOOK_CONTROL'!$B$17,2,3)))</f>
        <v/>
      </c>
      <c r="CA17" s="7">
        <f>IF(ABS('07_CONTINUOUS_CODEBOOK'!CA17)&lt;'04_CODEBOOK_CONTROL'!$B$15,0,SIGN('07_CONTINUOUS_CODEBOOK'!CA17)*IF(ABS('07_CONTINUOUS_CODEBOOK'!CA17)&lt;'04_CODEBOOK_CONTROL'!$B$16,1,IF(ABS('07_CONTINUOUS_CODEBOOK'!CA17)&lt;'04_CODEBOOK_CONTROL'!$B$17,2,3)))</f>
        <v/>
      </c>
      <c r="CB17" s="7">
        <f>IF(ABS('07_CONTINUOUS_CODEBOOK'!CB17)&lt;'04_CODEBOOK_CONTROL'!$B$15,0,SIGN('07_CONTINUOUS_CODEBOOK'!CB17)*IF(ABS('07_CONTINUOUS_CODEBOOK'!CB17)&lt;'04_CODEBOOK_CONTROL'!$B$16,1,IF(ABS('07_CONTINUOUS_CODEBOOK'!CB17)&lt;'04_CODEBOOK_CONTROL'!$B$17,2,3)))</f>
        <v/>
      </c>
      <c r="CC17" s="7">
        <f>IF(ABS('07_CONTINUOUS_CODEBOOK'!CC17)&lt;'04_CODEBOOK_CONTROL'!$B$15,0,SIGN('07_CONTINUOUS_CODEBOOK'!CC17)*IF(ABS('07_CONTINUOUS_CODEBOOK'!CC17)&lt;'04_CODEBOOK_CONTROL'!$B$16,1,IF(ABS('07_CONTINUOUS_CODEBOOK'!CC17)&lt;'04_CODEBOOK_CONTROL'!$B$17,2,3)))</f>
        <v/>
      </c>
      <c r="CD17" s="7">
        <f>IF(ABS('07_CONTINUOUS_CODEBOOK'!CD17)&lt;'04_CODEBOOK_CONTROL'!$B$15,0,SIGN('07_CONTINUOUS_CODEBOOK'!CD17)*IF(ABS('07_CONTINUOUS_CODEBOOK'!CD17)&lt;'04_CODEBOOK_CONTROL'!$B$16,1,IF(ABS('07_CONTINUOUS_CODEBOOK'!CD17)&lt;'04_CODEBOOK_CONTROL'!$B$17,2,3)))</f>
        <v/>
      </c>
      <c r="CE17" s="7">
        <f>IF(ABS('07_CONTINUOUS_CODEBOOK'!CE17)&lt;'04_CODEBOOK_CONTROL'!$B$15,0,SIGN('07_CONTINUOUS_CODEBOOK'!CE17)*IF(ABS('07_CONTINUOUS_CODEBOOK'!CE17)&lt;'04_CODEBOOK_CONTROL'!$B$16,1,IF(ABS('07_CONTINUOUS_CODEBOOK'!CE17)&lt;'04_CODEBOOK_CONTROL'!$B$17,2,3)))</f>
        <v/>
      </c>
    </row>
    <row r="18">
      <c r="A18" t="n">
        <v>14</v>
      </c>
      <c r="B18" t="inlineStr">
        <is>
          <t>藍鳥人</t>
        </is>
      </c>
      <c r="C18" t="inlineStr">
        <is>
          <t>Avian / Blue Avian</t>
        </is>
      </c>
      <c r="D18" s="7">
        <f>IF(ABS('07_CONTINUOUS_CODEBOOK'!D18)&lt;'04_CODEBOOK_CONTROL'!$B$15,0,SIGN('07_CONTINUOUS_CODEBOOK'!D18)*IF(ABS('07_CONTINUOUS_CODEBOOK'!D18)&lt;'04_CODEBOOK_CONTROL'!$B$16,1,IF(ABS('07_CONTINUOUS_CODEBOOK'!D18)&lt;'04_CODEBOOK_CONTROL'!$B$17,2,3)))</f>
        <v/>
      </c>
      <c r="E18" s="7">
        <f>IF(ABS('07_CONTINUOUS_CODEBOOK'!E18)&lt;'04_CODEBOOK_CONTROL'!$B$15,0,SIGN('07_CONTINUOUS_CODEBOOK'!E18)*IF(ABS('07_CONTINUOUS_CODEBOOK'!E18)&lt;'04_CODEBOOK_CONTROL'!$B$16,1,IF(ABS('07_CONTINUOUS_CODEBOOK'!E18)&lt;'04_CODEBOOK_CONTROL'!$B$17,2,3)))</f>
        <v/>
      </c>
      <c r="F18" s="7">
        <f>IF(ABS('07_CONTINUOUS_CODEBOOK'!F18)&lt;'04_CODEBOOK_CONTROL'!$B$15,0,SIGN('07_CONTINUOUS_CODEBOOK'!F18)*IF(ABS('07_CONTINUOUS_CODEBOOK'!F18)&lt;'04_CODEBOOK_CONTROL'!$B$16,1,IF(ABS('07_CONTINUOUS_CODEBOOK'!F18)&lt;'04_CODEBOOK_CONTROL'!$B$17,2,3)))</f>
        <v/>
      </c>
      <c r="G18" s="7">
        <f>IF(ABS('07_CONTINUOUS_CODEBOOK'!G18)&lt;'04_CODEBOOK_CONTROL'!$B$15,0,SIGN('07_CONTINUOUS_CODEBOOK'!G18)*IF(ABS('07_CONTINUOUS_CODEBOOK'!G18)&lt;'04_CODEBOOK_CONTROL'!$B$16,1,IF(ABS('07_CONTINUOUS_CODEBOOK'!G18)&lt;'04_CODEBOOK_CONTROL'!$B$17,2,3)))</f>
        <v/>
      </c>
      <c r="H18" s="7">
        <f>IF(ABS('07_CONTINUOUS_CODEBOOK'!H18)&lt;'04_CODEBOOK_CONTROL'!$B$15,0,SIGN('07_CONTINUOUS_CODEBOOK'!H18)*IF(ABS('07_CONTINUOUS_CODEBOOK'!H18)&lt;'04_CODEBOOK_CONTROL'!$B$16,1,IF(ABS('07_CONTINUOUS_CODEBOOK'!H18)&lt;'04_CODEBOOK_CONTROL'!$B$17,2,3)))</f>
        <v/>
      </c>
      <c r="I18" s="7">
        <f>IF(ABS('07_CONTINUOUS_CODEBOOK'!I18)&lt;'04_CODEBOOK_CONTROL'!$B$15,0,SIGN('07_CONTINUOUS_CODEBOOK'!I18)*IF(ABS('07_CONTINUOUS_CODEBOOK'!I18)&lt;'04_CODEBOOK_CONTROL'!$B$16,1,IF(ABS('07_CONTINUOUS_CODEBOOK'!I18)&lt;'04_CODEBOOK_CONTROL'!$B$17,2,3)))</f>
        <v/>
      </c>
      <c r="J18" s="7">
        <f>IF(ABS('07_CONTINUOUS_CODEBOOK'!J18)&lt;'04_CODEBOOK_CONTROL'!$B$15,0,SIGN('07_CONTINUOUS_CODEBOOK'!J18)*IF(ABS('07_CONTINUOUS_CODEBOOK'!J18)&lt;'04_CODEBOOK_CONTROL'!$B$16,1,IF(ABS('07_CONTINUOUS_CODEBOOK'!J18)&lt;'04_CODEBOOK_CONTROL'!$B$17,2,3)))</f>
        <v/>
      </c>
      <c r="K18" s="7">
        <f>IF(ABS('07_CONTINUOUS_CODEBOOK'!K18)&lt;'04_CODEBOOK_CONTROL'!$B$15,0,SIGN('07_CONTINUOUS_CODEBOOK'!K18)*IF(ABS('07_CONTINUOUS_CODEBOOK'!K18)&lt;'04_CODEBOOK_CONTROL'!$B$16,1,IF(ABS('07_CONTINUOUS_CODEBOOK'!K18)&lt;'04_CODEBOOK_CONTROL'!$B$17,2,3)))</f>
        <v/>
      </c>
      <c r="L18" s="7">
        <f>IF(ABS('07_CONTINUOUS_CODEBOOK'!L18)&lt;'04_CODEBOOK_CONTROL'!$B$15,0,SIGN('07_CONTINUOUS_CODEBOOK'!L18)*IF(ABS('07_CONTINUOUS_CODEBOOK'!L18)&lt;'04_CODEBOOK_CONTROL'!$B$16,1,IF(ABS('07_CONTINUOUS_CODEBOOK'!L18)&lt;'04_CODEBOOK_CONTROL'!$B$17,2,3)))</f>
        <v/>
      </c>
      <c r="M18" s="7">
        <f>IF(ABS('07_CONTINUOUS_CODEBOOK'!M18)&lt;'04_CODEBOOK_CONTROL'!$B$15,0,SIGN('07_CONTINUOUS_CODEBOOK'!M18)*IF(ABS('07_CONTINUOUS_CODEBOOK'!M18)&lt;'04_CODEBOOK_CONTROL'!$B$16,1,IF(ABS('07_CONTINUOUS_CODEBOOK'!M18)&lt;'04_CODEBOOK_CONTROL'!$B$17,2,3)))</f>
        <v/>
      </c>
      <c r="N18" s="7">
        <f>IF(ABS('07_CONTINUOUS_CODEBOOK'!N18)&lt;'04_CODEBOOK_CONTROL'!$B$15,0,SIGN('07_CONTINUOUS_CODEBOOK'!N18)*IF(ABS('07_CONTINUOUS_CODEBOOK'!N18)&lt;'04_CODEBOOK_CONTROL'!$B$16,1,IF(ABS('07_CONTINUOUS_CODEBOOK'!N18)&lt;'04_CODEBOOK_CONTROL'!$B$17,2,3)))</f>
        <v/>
      </c>
      <c r="O18" s="7">
        <f>IF(ABS('07_CONTINUOUS_CODEBOOK'!O18)&lt;'04_CODEBOOK_CONTROL'!$B$15,0,SIGN('07_CONTINUOUS_CODEBOOK'!O18)*IF(ABS('07_CONTINUOUS_CODEBOOK'!O18)&lt;'04_CODEBOOK_CONTROL'!$B$16,1,IF(ABS('07_CONTINUOUS_CODEBOOK'!O18)&lt;'04_CODEBOOK_CONTROL'!$B$17,2,3)))</f>
        <v/>
      </c>
      <c r="P18" s="7">
        <f>IF(ABS('07_CONTINUOUS_CODEBOOK'!P18)&lt;'04_CODEBOOK_CONTROL'!$B$15,0,SIGN('07_CONTINUOUS_CODEBOOK'!P18)*IF(ABS('07_CONTINUOUS_CODEBOOK'!P18)&lt;'04_CODEBOOK_CONTROL'!$B$16,1,IF(ABS('07_CONTINUOUS_CODEBOOK'!P18)&lt;'04_CODEBOOK_CONTROL'!$B$17,2,3)))</f>
        <v/>
      </c>
      <c r="Q18" s="7">
        <f>IF(ABS('07_CONTINUOUS_CODEBOOK'!Q18)&lt;'04_CODEBOOK_CONTROL'!$B$15,0,SIGN('07_CONTINUOUS_CODEBOOK'!Q18)*IF(ABS('07_CONTINUOUS_CODEBOOK'!Q18)&lt;'04_CODEBOOK_CONTROL'!$B$16,1,IF(ABS('07_CONTINUOUS_CODEBOOK'!Q18)&lt;'04_CODEBOOK_CONTROL'!$B$17,2,3)))</f>
        <v/>
      </c>
      <c r="R18" s="7">
        <f>IF(ABS('07_CONTINUOUS_CODEBOOK'!R18)&lt;'04_CODEBOOK_CONTROL'!$B$15,0,SIGN('07_CONTINUOUS_CODEBOOK'!R18)*IF(ABS('07_CONTINUOUS_CODEBOOK'!R18)&lt;'04_CODEBOOK_CONTROL'!$B$16,1,IF(ABS('07_CONTINUOUS_CODEBOOK'!R18)&lt;'04_CODEBOOK_CONTROL'!$B$17,2,3)))</f>
        <v/>
      </c>
      <c r="S18" s="7">
        <f>IF(ABS('07_CONTINUOUS_CODEBOOK'!S18)&lt;'04_CODEBOOK_CONTROL'!$B$15,0,SIGN('07_CONTINUOUS_CODEBOOK'!S18)*IF(ABS('07_CONTINUOUS_CODEBOOK'!S18)&lt;'04_CODEBOOK_CONTROL'!$B$16,1,IF(ABS('07_CONTINUOUS_CODEBOOK'!S18)&lt;'04_CODEBOOK_CONTROL'!$B$17,2,3)))</f>
        <v/>
      </c>
      <c r="T18" s="7">
        <f>IF(ABS('07_CONTINUOUS_CODEBOOK'!T18)&lt;'04_CODEBOOK_CONTROL'!$B$15,0,SIGN('07_CONTINUOUS_CODEBOOK'!T18)*IF(ABS('07_CONTINUOUS_CODEBOOK'!T18)&lt;'04_CODEBOOK_CONTROL'!$B$16,1,IF(ABS('07_CONTINUOUS_CODEBOOK'!T18)&lt;'04_CODEBOOK_CONTROL'!$B$17,2,3)))</f>
        <v/>
      </c>
      <c r="U18" s="7">
        <f>IF(ABS('07_CONTINUOUS_CODEBOOK'!U18)&lt;'04_CODEBOOK_CONTROL'!$B$15,0,SIGN('07_CONTINUOUS_CODEBOOK'!U18)*IF(ABS('07_CONTINUOUS_CODEBOOK'!U18)&lt;'04_CODEBOOK_CONTROL'!$B$16,1,IF(ABS('07_CONTINUOUS_CODEBOOK'!U18)&lt;'04_CODEBOOK_CONTROL'!$B$17,2,3)))</f>
        <v/>
      </c>
      <c r="V18" s="7">
        <f>IF(ABS('07_CONTINUOUS_CODEBOOK'!V18)&lt;'04_CODEBOOK_CONTROL'!$B$15,0,SIGN('07_CONTINUOUS_CODEBOOK'!V18)*IF(ABS('07_CONTINUOUS_CODEBOOK'!V18)&lt;'04_CODEBOOK_CONTROL'!$B$16,1,IF(ABS('07_CONTINUOUS_CODEBOOK'!V18)&lt;'04_CODEBOOK_CONTROL'!$B$17,2,3)))</f>
        <v/>
      </c>
      <c r="W18" s="7">
        <f>IF(ABS('07_CONTINUOUS_CODEBOOK'!W18)&lt;'04_CODEBOOK_CONTROL'!$B$15,0,SIGN('07_CONTINUOUS_CODEBOOK'!W18)*IF(ABS('07_CONTINUOUS_CODEBOOK'!W18)&lt;'04_CODEBOOK_CONTROL'!$B$16,1,IF(ABS('07_CONTINUOUS_CODEBOOK'!W18)&lt;'04_CODEBOOK_CONTROL'!$B$17,2,3)))</f>
        <v/>
      </c>
      <c r="X18" s="7">
        <f>IF(ABS('07_CONTINUOUS_CODEBOOK'!X18)&lt;'04_CODEBOOK_CONTROL'!$B$15,0,SIGN('07_CONTINUOUS_CODEBOOK'!X18)*IF(ABS('07_CONTINUOUS_CODEBOOK'!X18)&lt;'04_CODEBOOK_CONTROL'!$B$16,1,IF(ABS('07_CONTINUOUS_CODEBOOK'!X18)&lt;'04_CODEBOOK_CONTROL'!$B$17,2,3)))</f>
        <v/>
      </c>
      <c r="Y18" s="7">
        <f>IF(ABS('07_CONTINUOUS_CODEBOOK'!Y18)&lt;'04_CODEBOOK_CONTROL'!$B$15,0,SIGN('07_CONTINUOUS_CODEBOOK'!Y18)*IF(ABS('07_CONTINUOUS_CODEBOOK'!Y18)&lt;'04_CODEBOOK_CONTROL'!$B$16,1,IF(ABS('07_CONTINUOUS_CODEBOOK'!Y18)&lt;'04_CODEBOOK_CONTROL'!$B$17,2,3)))</f>
        <v/>
      </c>
      <c r="Z18" s="7">
        <f>IF(ABS('07_CONTINUOUS_CODEBOOK'!Z18)&lt;'04_CODEBOOK_CONTROL'!$B$15,0,SIGN('07_CONTINUOUS_CODEBOOK'!Z18)*IF(ABS('07_CONTINUOUS_CODEBOOK'!Z18)&lt;'04_CODEBOOK_CONTROL'!$B$16,1,IF(ABS('07_CONTINUOUS_CODEBOOK'!Z18)&lt;'04_CODEBOOK_CONTROL'!$B$17,2,3)))</f>
        <v/>
      </c>
      <c r="AA18" s="7">
        <f>IF(ABS('07_CONTINUOUS_CODEBOOK'!AA18)&lt;'04_CODEBOOK_CONTROL'!$B$15,0,SIGN('07_CONTINUOUS_CODEBOOK'!AA18)*IF(ABS('07_CONTINUOUS_CODEBOOK'!AA18)&lt;'04_CODEBOOK_CONTROL'!$B$16,1,IF(ABS('07_CONTINUOUS_CODEBOOK'!AA18)&lt;'04_CODEBOOK_CONTROL'!$B$17,2,3)))</f>
        <v/>
      </c>
      <c r="AB18" s="7">
        <f>IF(ABS('07_CONTINUOUS_CODEBOOK'!AB18)&lt;'04_CODEBOOK_CONTROL'!$B$15,0,SIGN('07_CONTINUOUS_CODEBOOK'!AB18)*IF(ABS('07_CONTINUOUS_CODEBOOK'!AB18)&lt;'04_CODEBOOK_CONTROL'!$B$16,1,IF(ABS('07_CONTINUOUS_CODEBOOK'!AB18)&lt;'04_CODEBOOK_CONTROL'!$B$17,2,3)))</f>
        <v/>
      </c>
      <c r="AC18" s="7">
        <f>IF(ABS('07_CONTINUOUS_CODEBOOK'!AC18)&lt;'04_CODEBOOK_CONTROL'!$B$15,0,SIGN('07_CONTINUOUS_CODEBOOK'!AC18)*IF(ABS('07_CONTINUOUS_CODEBOOK'!AC18)&lt;'04_CODEBOOK_CONTROL'!$B$16,1,IF(ABS('07_CONTINUOUS_CODEBOOK'!AC18)&lt;'04_CODEBOOK_CONTROL'!$B$17,2,3)))</f>
        <v/>
      </c>
      <c r="AD18" s="7">
        <f>IF(ABS('07_CONTINUOUS_CODEBOOK'!AD18)&lt;'04_CODEBOOK_CONTROL'!$B$15,0,SIGN('07_CONTINUOUS_CODEBOOK'!AD18)*IF(ABS('07_CONTINUOUS_CODEBOOK'!AD18)&lt;'04_CODEBOOK_CONTROL'!$B$16,1,IF(ABS('07_CONTINUOUS_CODEBOOK'!AD18)&lt;'04_CODEBOOK_CONTROL'!$B$17,2,3)))</f>
        <v/>
      </c>
      <c r="AE18" s="7">
        <f>IF(ABS('07_CONTINUOUS_CODEBOOK'!AE18)&lt;'04_CODEBOOK_CONTROL'!$B$15,0,SIGN('07_CONTINUOUS_CODEBOOK'!AE18)*IF(ABS('07_CONTINUOUS_CODEBOOK'!AE18)&lt;'04_CODEBOOK_CONTROL'!$B$16,1,IF(ABS('07_CONTINUOUS_CODEBOOK'!AE18)&lt;'04_CODEBOOK_CONTROL'!$B$17,2,3)))</f>
        <v/>
      </c>
      <c r="AF18" s="7">
        <f>IF(ABS('07_CONTINUOUS_CODEBOOK'!AF18)&lt;'04_CODEBOOK_CONTROL'!$B$15,0,SIGN('07_CONTINUOUS_CODEBOOK'!AF18)*IF(ABS('07_CONTINUOUS_CODEBOOK'!AF18)&lt;'04_CODEBOOK_CONTROL'!$B$16,1,IF(ABS('07_CONTINUOUS_CODEBOOK'!AF18)&lt;'04_CODEBOOK_CONTROL'!$B$17,2,3)))</f>
        <v/>
      </c>
      <c r="AG18" s="7">
        <f>IF(ABS('07_CONTINUOUS_CODEBOOK'!AG18)&lt;'04_CODEBOOK_CONTROL'!$B$15,0,SIGN('07_CONTINUOUS_CODEBOOK'!AG18)*IF(ABS('07_CONTINUOUS_CODEBOOK'!AG18)&lt;'04_CODEBOOK_CONTROL'!$B$16,1,IF(ABS('07_CONTINUOUS_CODEBOOK'!AG18)&lt;'04_CODEBOOK_CONTROL'!$B$17,2,3)))</f>
        <v/>
      </c>
      <c r="AH18" s="7">
        <f>IF(ABS('07_CONTINUOUS_CODEBOOK'!AH18)&lt;'04_CODEBOOK_CONTROL'!$B$15,0,SIGN('07_CONTINUOUS_CODEBOOK'!AH18)*IF(ABS('07_CONTINUOUS_CODEBOOK'!AH18)&lt;'04_CODEBOOK_CONTROL'!$B$16,1,IF(ABS('07_CONTINUOUS_CODEBOOK'!AH18)&lt;'04_CODEBOOK_CONTROL'!$B$17,2,3)))</f>
        <v/>
      </c>
      <c r="AI18" s="7">
        <f>IF(ABS('07_CONTINUOUS_CODEBOOK'!AI18)&lt;'04_CODEBOOK_CONTROL'!$B$15,0,SIGN('07_CONTINUOUS_CODEBOOK'!AI18)*IF(ABS('07_CONTINUOUS_CODEBOOK'!AI18)&lt;'04_CODEBOOK_CONTROL'!$B$16,1,IF(ABS('07_CONTINUOUS_CODEBOOK'!AI18)&lt;'04_CODEBOOK_CONTROL'!$B$17,2,3)))</f>
        <v/>
      </c>
      <c r="AJ18" s="7">
        <f>IF(ABS('07_CONTINUOUS_CODEBOOK'!AJ18)&lt;'04_CODEBOOK_CONTROL'!$B$15,0,SIGN('07_CONTINUOUS_CODEBOOK'!AJ18)*IF(ABS('07_CONTINUOUS_CODEBOOK'!AJ18)&lt;'04_CODEBOOK_CONTROL'!$B$16,1,IF(ABS('07_CONTINUOUS_CODEBOOK'!AJ18)&lt;'04_CODEBOOK_CONTROL'!$B$17,2,3)))</f>
        <v/>
      </c>
      <c r="AK18" s="7">
        <f>IF(ABS('07_CONTINUOUS_CODEBOOK'!AK18)&lt;'04_CODEBOOK_CONTROL'!$B$15,0,SIGN('07_CONTINUOUS_CODEBOOK'!AK18)*IF(ABS('07_CONTINUOUS_CODEBOOK'!AK18)&lt;'04_CODEBOOK_CONTROL'!$B$16,1,IF(ABS('07_CONTINUOUS_CODEBOOK'!AK18)&lt;'04_CODEBOOK_CONTROL'!$B$17,2,3)))</f>
        <v/>
      </c>
      <c r="AL18" s="7">
        <f>IF(ABS('07_CONTINUOUS_CODEBOOK'!AL18)&lt;'04_CODEBOOK_CONTROL'!$B$15,0,SIGN('07_CONTINUOUS_CODEBOOK'!AL18)*IF(ABS('07_CONTINUOUS_CODEBOOK'!AL18)&lt;'04_CODEBOOK_CONTROL'!$B$16,1,IF(ABS('07_CONTINUOUS_CODEBOOK'!AL18)&lt;'04_CODEBOOK_CONTROL'!$B$17,2,3)))</f>
        <v/>
      </c>
      <c r="AM18" s="7">
        <f>IF(ABS('07_CONTINUOUS_CODEBOOK'!AM18)&lt;'04_CODEBOOK_CONTROL'!$B$15,0,SIGN('07_CONTINUOUS_CODEBOOK'!AM18)*IF(ABS('07_CONTINUOUS_CODEBOOK'!AM18)&lt;'04_CODEBOOK_CONTROL'!$B$16,1,IF(ABS('07_CONTINUOUS_CODEBOOK'!AM18)&lt;'04_CODEBOOK_CONTROL'!$B$17,2,3)))</f>
        <v/>
      </c>
      <c r="AN18" s="7">
        <f>IF(ABS('07_CONTINUOUS_CODEBOOK'!AN18)&lt;'04_CODEBOOK_CONTROL'!$B$15,0,SIGN('07_CONTINUOUS_CODEBOOK'!AN18)*IF(ABS('07_CONTINUOUS_CODEBOOK'!AN18)&lt;'04_CODEBOOK_CONTROL'!$B$16,1,IF(ABS('07_CONTINUOUS_CODEBOOK'!AN18)&lt;'04_CODEBOOK_CONTROL'!$B$17,2,3)))</f>
        <v/>
      </c>
      <c r="AO18" s="7">
        <f>IF(ABS('07_CONTINUOUS_CODEBOOK'!AO18)&lt;'04_CODEBOOK_CONTROL'!$B$15,0,SIGN('07_CONTINUOUS_CODEBOOK'!AO18)*IF(ABS('07_CONTINUOUS_CODEBOOK'!AO18)&lt;'04_CODEBOOK_CONTROL'!$B$16,1,IF(ABS('07_CONTINUOUS_CODEBOOK'!AO18)&lt;'04_CODEBOOK_CONTROL'!$B$17,2,3)))</f>
        <v/>
      </c>
      <c r="AP18" s="7">
        <f>IF(ABS('07_CONTINUOUS_CODEBOOK'!AP18)&lt;'04_CODEBOOK_CONTROL'!$B$15,0,SIGN('07_CONTINUOUS_CODEBOOK'!AP18)*IF(ABS('07_CONTINUOUS_CODEBOOK'!AP18)&lt;'04_CODEBOOK_CONTROL'!$B$16,1,IF(ABS('07_CONTINUOUS_CODEBOOK'!AP18)&lt;'04_CODEBOOK_CONTROL'!$B$17,2,3)))</f>
        <v/>
      </c>
      <c r="AQ18" s="7">
        <f>IF(ABS('07_CONTINUOUS_CODEBOOK'!AQ18)&lt;'04_CODEBOOK_CONTROL'!$B$15,0,SIGN('07_CONTINUOUS_CODEBOOK'!AQ18)*IF(ABS('07_CONTINUOUS_CODEBOOK'!AQ18)&lt;'04_CODEBOOK_CONTROL'!$B$16,1,IF(ABS('07_CONTINUOUS_CODEBOOK'!AQ18)&lt;'04_CODEBOOK_CONTROL'!$B$17,2,3)))</f>
        <v/>
      </c>
      <c r="AR18" s="7">
        <f>IF(ABS('07_CONTINUOUS_CODEBOOK'!AR18)&lt;'04_CODEBOOK_CONTROL'!$B$15,0,SIGN('07_CONTINUOUS_CODEBOOK'!AR18)*IF(ABS('07_CONTINUOUS_CODEBOOK'!AR18)&lt;'04_CODEBOOK_CONTROL'!$B$16,1,IF(ABS('07_CONTINUOUS_CODEBOOK'!AR18)&lt;'04_CODEBOOK_CONTROL'!$B$17,2,3)))</f>
        <v/>
      </c>
      <c r="AS18" s="7">
        <f>IF(ABS('07_CONTINUOUS_CODEBOOK'!AS18)&lt;'04_CODEBOOK_CONTROL'!$B$15,0,SIGN('07_CONTINUOUS_CODEBOOK'!AS18)*IF(ABS('07_CONTINUOUS_CODEBOOK'!AS18)&lt;'04_CODEBOOK_CONTROL'!$B$16,1,IF(ABS('07_CONTINUOUS_CODEBOOK'!AS18)&lt;'04_CODEBOOK_CONTROL'!$B$17,2,3)))</f>
        <v/>
      </c>
      <c r="AT18" s="7">
        <f>IF(ABS('07_CONTINUOUS_CODEBOOK'!AT18)&lt;'04_CODEBOOK_CONTROL'!$B$15,0,SIGN('07_CONTINUOUS_CODEBOOK'!AT18)*IF(ABS('07_CONTINUOUS_CODEBOOK'!AT18)&lt;'04_CODEBOOK_CONTROL'!$B$16,1,IF(ABS('07_CONTINUOUS_CODEBOOK'!AT18)&lt;'04_CODEBOOK_CONTROL'!$B$17,2,3)))</f>
        <v/>
      </c>
      <c r="AU18" s="7">
        <f>IF(ABS('07_CONTINUOUS_CODEBOOK'!AU18)&lt;'04_CODEBOOK_CONTROL'!$B$15,0,SIGN('07_CONTINUOUS_CODEBOOK'!AU18)*IF(ABS('07_CONTINUOUS_CODEBOOK'!AU18)&lt;'04_CODEBOOK_CONTROL'!$B$16,1,IF(ABS('07_CONTINUOUS_CODEBOOK'!AU18)&lt;'04_CODEBOOK_CONTROL'!$B$17,2,3)))</f>
        <v/>
      </c>
      <c r="AV18" s="7">
        <f>IF(ABS('07_CONTINUOUS_CODEBOOK'!AV18)&lt;'04_CODEBOOK_CONTROL'!$B$15,0,SIGN('07_CONTINUOUS_CODEBOOK'!AV18)*IF(ABS('07_CONTINUOUS_CODEBOOK'!AV18)&lt;'04_CODEBOOK_CONTROL'!$B$16,1,IF(ABS('07_CONTINUOUS_CODEBOOK'!AV18)&lt;'04_CODEBOOK_CONTROL'!$B$17,2,3)))</f>
        <v/>
      </c>
      <c r="AW18" s="7">
        <f>IF(ABS('07_CONTINUOUS_CODEBOOK'!AW18)&lt;'04_CODEBOOK_CONTROL'!$B$15,0,SIGN('07_CONTINUOUS_CODEBOOK'!AW18)*IF(ABS('07_CONTINUOUS_CODEBOOK'!AW18)&lt;'04_CODEBOOK_CONTROL'!$B$16,1,IF(ABS('07_CONTINUOUS_CODEBOOK'!AW18)&lt;'04_CODEBOOK_CONTROL'!$B$17,2,3)))</f>
        <v/>
      </c>
      <c r="AX18" s="7">
        <f>IF(ABS('07_CONTINUOUS_CODEBOOK'!AX18)&lt;'04_CODEBOOK_CONTROL'!$B$15,0,SIGN('07_CONTINUOUS_CODEBOOK'!AX18)*IF(ABS('07_CONTINUOUS_CODEBOOK'!AX18)&lt;'04_CODEBOOK_CONTROL'!$B$16,1,IF(ABS('07_CONTINUOUS_CODEBOOK'!AX18)&lt;'04_CODEBOOK_CONTROL'!$B$17,2,3)))</f>
        <v/>
      </c>
      <c r="AY18" s="7">
        <f>IF(ABS('07_CONTINUOUS_CODEBOOK'!AY18)&lt;'04_CODEBOOK_CONTROL'!$B$15,0,SIGN('07_CONTINUOUS_CODEBOOK'!AY18)*IF(ABS('07_CONTINUOUS_CODEBOOK'!AY18)&lt;'04_CODEBOOK_CONTROL'!$B$16,1,IF(ABS('07_CONTINUOUS_CODEBOOK'!AY18)&lt;'04_CODEBOOK_CONTROL'!$B$17,2,3)))</f>
        <v/>
      </c>
      <c r="AZ18" s="7">
        <f>IF(ABS('07_CONTINUOUS_CODEBOOK'!AZ18)&lt;'04_CODEBOOK_CONTROL'!$B$15,0,SIGN('07_CONTINUOUS_CODEBOOK'!AZ18)*IF(ABS('07_CONTINUOUS_CODEBOOK'!AZ18)&lt;'04_CODEBOOK_CONTROL'!$B$16,1,IF(ABS('07_CONTINUOUS_CODEBOOK'!AZ18)&lt;'04_CODEBOOK_CONTROL'!$B$17,2,3)))</f>
        <v/>
      </c>
      <c r="BA18" s="7">
        <f>IF(ABS('07_CONTINUOUS_CODEBOOK'!BA18)&lt;'04_CODEBOOK_CONTROL'!$B$15,0,SIGN('07_CONTINUOUS_CODEBOOK'!BA18)*IF(ABS('07_CONTINUOUS_CODEBOOK'!BA18)&lt;'04_CODEBOOK_CONTROL'!$B$16,1,IF(ABS('07_CONTINUOUS_CODEBOOK'!BA18)&lt;'04_CODEBOOK_CONTROL'!$B$17,2,3)))</f>
        <v/>
      </c>
      <c r="BB18" s="7">
        <f>IF(ABS('07_CONTINUOUS_CODEBOOK'!BB18)&lt;'04_CODEBOOK_CONTROL'!$B$15,0,SIGN('07_CONTINUOUS_CODEBOOK'!BB18)*IF(ABS('07_CONTINUOUS_CODEBOOK'!BB18)&lt;'04_CODEBOOK_CONTROL'!$B$16,1,IF(ABS('07_CONTINUOUS_CODEBOOK'!BB18)&lt;'04_CODEBOOK_CONTROL'!$B$17,2,3)))</f>
        <v/>
      </c>
      <c r="BC18" s="7">
        <f>IF(ABS('07_CONTINUOUS_CODEBOOK'!BC18)&lt;'04_CODEBOOK_CONTROL'!$B$15,0,SIGN('07_CONTINUOUS_CODEBOOK'!BC18)*IF(ABS('07_CONTINUOUS_CODEBOOK'!BC18)&lt;'04_CODEBOOK_CONTROL'!$B$16,1,IF(ABS('07_CONTINUOUS_CODEBOOK'!BC18)&lt;'04_CODEBOOK_CONTROL'!$B$17,2,3)))</f>
        <v/>
      </c>
      <c r="BD18" s="7">
        <f>IF(ABS('07_CONTINUOUS_CODEBOOK'!BD18)&lt;'04_CODEBOOK_CONTROL'!$B$15,0,SIGN('07_CONTINUOUS_CODEBOOK'!BD18)*IF(ABS('07_CONTINUOUS_CODEBOOK'!BD18)&lt;'04_CODEBOOK_CONTROL'!$B$16,1,IF(ABS('07_CONTINUOUS_CODEBOOK'!BD18)&lt;'04_CODEBOOK_CONTROL'!$B$17,2,3)))</f>
        <v/>
      </c>
      <c r="BE18" s="7">
        <f>IF(ABS('07_CONTINUOUS_CODEBOOK'!BE18)&lt;'04_CODEBOOK_CONTROL'!$B$15,0,SIGN('07_CONTINUOUS_CODEBOOK'!BE18)*IF(ABS('07_CONTINUOUS_CODEBOOK'!BE18)&lt;'04_CODEBOOK_CONTROL'!$B$16,1,IF(ABS('07_CONTINUOUS_CODEBOOK'!BE18)&lt;'04_CODEBOOK_CONTROL'!$B$17,2,3)))</f>
        <v/>
      </c>
      <c r="BF18" s="7">
        <f>IF(ABS('07_CONTINUOUS_CODEBOOK'!BF18)&lt;'04_CODEBOOK_CONTROL'!$B$15,0,SIGN('07_CONTINUOUS_CODEBOOK'!BF18)*IF(ABS('07_CONTINUOUS_CODEBOOK'!BF18)&lt;'04_CODEBOOK_CONTROL'!$B$16,1,IF(ABS('07_CONTINUOUS_CODEBOOK'!BF18)&lt;'04_CODEBOOK_CONTROL'!$B$17,2,3)))</f>
        <v/>
      </c>
      <c r="BG18" s="7">
        <f>IF(ABS('07_CONTINUOUS_CODEBOOK'!BG18)&lt;'04_CODEBOOK_CONTROL'!$B$15,0,SIGN('07_CONTINUOUS_CODEBOOK'!BG18)*IF(ABS('07_CONTINUOUS_CODEBOOK'!BG18)&lt;'04_CODEBOOK_CONTROL'!$B$16,1,IF(ABS('07_CONTINUOUS_CODEBOOK'!BG18)&lt;'04_CODEBOOK_CONTROL'!$B$17,2,3)))</f>
        <v/>
      </c>
      <c r="BH18" s="7">
        <f>IF(ABS('07_CONTINUOUS_CODEBOOK'!BH18)&lt;'04_CODEBOOK_CONTROL'!$B$15,0,SIGN('07_CONTINUOUS_CODEBOOK'!BH18)*IF(ABS('07_CONTINUOUS_CODEBOOK'!BH18)&lt;'04_CODEBOOK_CONTROL'!$B$16,1,IF(ABS('07_CONTINUOUS_CODEBOOK'!BH18)&lt;'04_CODEBOOK_CONTROL'!$B$17,2,3)))</f>
        <v/>
      </c>
      <c r="BI18" s="7">
        <f>IF(ABS('07_CONTINUOUS_CODEBOOK'!BI18)&lt;'04_CODEBOOK_CONTROL'!$B$15,0,SIGN('07_CONTINUOUS_CODEBOOK'!BI18)*IF(ABS('07_CONTINUOUS_CODEBOOK'!BI18)&lt;'04_CODEBOOK_CONTROL'!$B$16,1,IF(ABS('07_CONTINUOUS_CODEBOOK'!BI18)&lt;'04_CODEBOOK_CONTROL'!$B$17,2,3)))</f>
        <v/>
      </c>
      <c r="BJ18" s="7">
        <f>IF(ABS('07_CONTINUOUS_CODEBOOK'!BJ18)&lt;'04_CODEBOOK_CONTROL'!$B$15,0,SIGN('07_CONTINUOUS_CODEBOOK'!BJ18)*IF(ABS('07_CONTINUOUS_CODEBOOK'!BJ18)&lt;'04_CODEBOOK_CONTROL'!$B$16,1,IF(ABS('07_CONTINUOUS_CODEBOOK'!BJ18)&lt;'04_CODEBOOK_CONTROL'!$B$17,2,3)))</f>
        <v/>
      </c>
      <c r="BK18" s="7">
        <f>IF(ABS('07_CONTINUOUS_CODEBOOK'!BK18)&lt;'04_CODEBOOK_CONTROL'!$B$15,0,SIGN('07_CONTINUOUS_CODEBOOK'!BK18)*IF(ABS('07_CONTINUOUS_CODEBOOK'!BK18)&lt;'04_CODEBOOK_CONTROL'!$B$16,1,IF(ABS('07_CONTINUOUS_CODEBOOK'!BK18)&lt;'04_CODEBOOK_CONTROL'!$B$17,2,3)))</f>
        <v/>
      </c>
      <c r="BL18" s="7">
        <f>IF(ABS('07_CONTINUOUS_CODEBOOK'!BL18)&lt;'04_CODEBOOK_CONTROL'!$B$15,0,SIGN('07_CONTINUOUS_CODEBOOK'!BL18)*IF(ABS('07_CONTINUOUS_CODEBOOK'!BL18)&lt;'04_CODEBOOK_CONTROL'!$B$16,1,IF(ABS('07_CONTINUOUS_CODEBOOK'!BL18)&lt;'04_CODEBOOK_CONTROL'!$B$17,2,3)))</f>
        <v/>
      </c>
      <c r="BM18" s="7">
        <f>IF(ABS('07_CONTINUOUS_CODEBOOK'!BM18)&lt;'04_CODEBOOK_CONTROL'!$B$15,0,SIGN('07_CONTINUOUS_CODEBOOK'!BM18)*IF(ABS('07_CONTINUOUS_CODEBOOK'!BM18)&lt;'04_CODEBOOK_CONTROL'!$B$16,1,IF(ABS('07_CONTINUOUS_CODEBOOK'!BM18)&lt;'04_CODEBOOK_CONTROL'!$B$17,2,3)))</f>
        <v/>
      </c>
      <c r="BN18" s="7">
        <f>IF(ABS('07_CONTINUOUS_CODEBOOK'!BN18)&lt;'04_CODEBOOK_CONTROL'!$B$15,0,SIGN('07_CONTINUOUS_CODEBOOK'!BN18)*IF(ABS('07_CONTINUOUS_CODEBOOK'!BN18)&lt;'04_CODEBOOK_CONTROL'!$B$16,1,IF(ABS('07_CONTINUOUS_CODEBOOK'!BN18)&lt;'04_CODEBOOK_CONTROL'!$B$17,2,3)))</f>
        <v/>
      </c>
      <c r="BO18" s="7">
        <f>IF(ABS('07_CONTINUOUS_CODEBOOK'!BO18)&lt;'04_CODEBOOK_CONTROL'!$B$15,0,SIGN('07_CONTINUOUS_CODEBOOK'!BO18)*IF(ABS('07_CONTINUOUS_CODEBOOK'!BO18)&lt;'04_CODEBOOK_CONTROL'!$B$16,1,IF(ABS('07_CONTINUOUS_CODEBOOK'!BO18)&lt;'04_CODEBOOK_CONTROL'!$B$17,2,3)))</f>
        <v/>
      </c>
      <c r="BP18" s="7">
        <f>IF(ABS('07_CONTINUOUS_CODEBOOK'!BP18)&lt;'04_CODEBOOK_CONTROL'!$B$15,0,SIGN('07_CONTINUOUS_CODEBOOK'!BP18)*IF(ABS('07_CONTINUOUS_CODEBOOK'!BP18)&lt;'04_CODEBOOK_CONTROL'!$B$16,1,IF(ABS('07_CONTINUOUS_CODEBOOK'!BP18)&lt;'04_CODEBOOK_CONTROL'!$B$17,2,3)))</f>
        <v/>
      </c>
      <c r="BQ18" s="7">
        <f>IF(ABS('07_CONTINUOUS_CODEBOOK'!BQ18)&lt;'04_CODEBOOK_CONTROL'!$B$15,0,SIGN('07_CONTINUOUS_CODEBOOK'!BQ18)*IF(ABS('07_CONTINUOUS_CODEBOOK'!BQ18)&lt;'04_CODEBOOK_CONTROL'!$B$16,1,IF(ABS('07_CONTINUOUS_CODEBOOK'!BQ18)&lt;'04_CODEBOOK_CONTROL'!$B$17,2,3)))</f>
        <v/>
      </c>
      <c r="BR18" s="7">
        <f>IF(ABS('07_CONTINUOUS_CODEBOOK'!BR18)&lt;'04_CODEBOOK_CONTROL'!$B$15,0,SIGN('07_CONTINUOUS_CODEBOOK'!BR18)*IF(ABS('07_CONTINUOUS_CODEBOOK'!BR18)&lt;'04_CODEBOOK_CONTROL'!$B$16,1,IF(ABS('07_CONTINUOUS_CODEBOOK'!BR18)&lt;'04_CODEBOOK_CONTROL'!$B$17,2,3)))</f>
        <v/>
      </c>
      <c r="BS18" s="7">
        <f>IF(ABS('07_CONTINUOUS_CODEBOOK'!BS18)&lt;'04_CODEBOOK_CONTROL'!$B$15,0,SIGN('07_CONTINUOUS_CODEBOOK'!BS18)*IF(ABS('07_CONTINUOUS_CODEBOOK'!BS18)&lt;'04_CODEBOOK_CONTROL'!$B$16,1,IF(ABS('07_CONTINUOUS_CODEBOOK'!BS18)&lt;'04_CODEBOOK_CONTROL'!$B$17,2,3)))</f>
        <v/>
      </c>
      <c r="BT18" s="7">
        <f>IF(ABS('07_CONTINUOUS_CODEBOOK'!BT18)&lt;'04_CODEBOOK_CONTROL'!$B$15,0,SIGN('07_CONTINUOUS_CODEBOOK'!BT18)*IF(ABS('07_CONTINUOUS_CODEBOOK'!BT18)&lt;'04_CODEBOOK_CONTROL'!$B$16,1,IF(ABS('07_CONTINUOUS_CODEBOOK'!BT18)&lt;'04_CODEBOOK_CONTROL'!$B$17,2,3)))</f>
        <v/>
      </c>
      <c r="BU18" s="7">
        <f>IF(ABS('07_CONTINUOUS_CODEBOOK'!BU18)&lt;'04_CODEBOOK_CONTROL'!$B$15,0,SIGN('07_CONTINUOUS_CODEBOOK'!BU18)*IF(ABS('07_CONTINUOUS_CODEBOOK'!BU18)&lt;'04_CODEBOOK_CONTROL'!$B$16,1,IF(ABS('07_CONTINUOUS_CODEBOOK'!BU18)&lt;'04_CODEBOOK_CONTROL'!$B$17,2,3)))</f>
        <v/>
      </c>
      <c r="BV18" s="7">
        <f>IF(ABS('07_CONTINUOUS_CODEBOOK'!BV18)&lt;'04_CODEBOOK_CONTROL'!$B$15,0,SIGN('07_CONTINUOUS_CODEBOOK'!BV18)*IF(ABS('07_CONTINUOUS_CODEBOOK'!BV18)&lt;'04_CODEBOOK_CONTROL'!$B$16,1,IF(ABS('07_CONTINUOUS_CODEBOOK'!BV18)&lt;'04_CODEBOOK_CONTROL'!$B$17,2,3)))</f>
        <v/>
      </c>
      <c r="BW18" s="7">
        <f>IF(ABS('07_CONTINUOUS_CODEBOOK'!BW18)&lt;'04_CODEBOOK_CONTROL'!$B$15,0,SIGN('07_CONTINUOUS_CODEBOOK'!BW18)*IF(ABS('07_CONTINUOUS_CODEBOOK'!BW18)&lt;'04_CODEBOOK_CONTROL'!$B$16,1,IF(ABS('07_CONTINUOUS_CODEBOOK'!BW18)&lt;'04_CODEBOOK_CONTROL'!$B$17,2,3)))</f>
        <v/>
      </c>
      <c r="BX18" s="7">
        <f>IF(ABS('07_CONTINUOUS_CODEBOOK'!BX18)&lt;'04_CODEBOOK_CONTROL'!$B$15,0,SIGN('07_CONTINUOUS_CODEBOOK'!BX18)*IF(ABS('07_CONTINUOUS_CODEBOOK'!BX18)&lt;'04_CODEBOOK_CONTROL'!$B$16,1,IF(ABS('07_CONTINUOUS_CODEBOOK'!BX18)&lt;'04_CODEBOOK_CONTROL'!$B$17,2,3)))</f>
        <v/>
      </c>
      <c r="BY18" s="7">
        <f>IF(ABS('07_CONTINUOUS_CODEBOOK'!BY18)&lt;'04_CODEBOOK_CONTROL'!$B$15,0,SIGN('07_CONTINUOUS_CODEBOOK'!BY18)*IF(ABS('07_CONTINUOUS_CODEBOOK'!BY18)&lt;'04_CODEBOOK_CONTROL'!$B$16,1,IF(ABS('07_CONTINUOUS_CODEBOOK'!BY18)&lt;'04_CODEBOOK_CONTROL'!$B$17,2,3)))</f>
        <v/>
      </c>
      <c r="BZ18" s="7">
        <f>IF(ABS('07_CONTINUOUS_CODEBOOK'!BZ18)&lt;'04_CODEBOOK_CONTROL'!$B$15,0,SIGN('07_CONTINUOUS_CODEBOOK'!BZ18)*IF(ABS('07_CONTINUOUS_CODEBOOK'!BZ18)&lt;'04_CODEBOOK_CONTROL'!$B$16,1,IF(ABS('07_CONTINUOUS_CODEBOOK'!BZ18)&lt;'04_CODEBOOK_CONTROL'!$B$17,2,3)))</f>
        <v/>
      </c>
      <c r="CA18" s="7">
        <f>IF(ABS('07_CONTINUOUS_CODEBOOK'!CA18)&lt;'04_CODEBOOK_CONTROL'!$B$15,0,SIGN('07_CONTINUOUS_CODEBOOK'!CA18)*IF(ABS('07_CONTINUOUS_CODEBOOK'!CA18)&lt;'04_CODEBOOK_CONTROL'!$B$16,1,IF(ABS('07_CONTINUOUS_CODEBOOK'!CA18)&lt;'04_CODEBOOK_CONTROL'!$B$17,2,3)))</f>
        <v/>
      </c>
      <c r="CB18" s="7">
        <f>IF(ABS('07_CONTINUOUS_CODEBOOK'!CB18)&lt;'04_CODEBOOK_CONTROL'!$B$15,0,SIGN('07_CONTINUOUS_CODEBOOK'!CB18)*IF(ABS('07_CONTINUOUS_CODEBOOK'!CB18)&lt;'04_CODEBOOK_CONTROL'!$B$16,1,IF(ABS('07_CONTINUOUS_CODEBOOK'!CB18)&lt;'04_CODEBOOK_CONTROL'!$B$17,2,3)))</f>
        <v/>
      </c>
      <c r="CC18" s="7">
        <f>IF(ABS('07_CONTINUOUS_CODEBOOK'!CC18)&lt;'04_CODEBOOK_CONTROL'!$B$15,0,SIGN('07_CONTINUOUS_CODEBOOK'!CC18)*IF(ABS('07_CONTINUOUS_CODEBOOK'!CC18)&lt;'04_CODEBOOK_CONTROL'!$B$16,1,IF(ABS('07_CONTINUOUS_CODEBOOK'!CC18)&lt;'04_CODEBOOK_CONTROL'!$B$17,2,3)))</f>
        <v/>
      </c>
      <c r="CD18" s="7">
        <f>IF(ABS('07_CONTINUOUS_CODEBOOK'!CD18)&lt;'04_CODEBOOK_CONTROL'!$B$15,0,SIGN('07_CONTINUOUS_CODEBOOK'!CD18)*IF(ABS('07_CONTINUOUS_CODEBOOK'!CD18)&lt;'04_CODEBOOK_CONTROL'!$B$16,1,IF(ABS('07_CONTINUOUS_CODEBOOK'!CD18)&lt;'04_CODEBOOK_CONTROL'!$B$17,2,3)))</f>
        <v/>
      </c>
      <c r="CE18" s="7">
        <f>IF(ABS('07_CONTINUOUS_CODEBOOK'!CE18)&lt;'04_CODEBOOK_CONTROL'!$B$15,0,SIGN('07_CONTINUOUS_CODEBOOK'!CE18)*IF(ABS('07_CONTINUOUS_CODEBOOK'!CE18)&lt;'04_CODEBOOK_CONTROL'!$B$16,1,IF(ABS('07_CONTINUOUS_CODEBOOK'!CE18)&lt;'04_CODEBOOK_CONTROL'!$B$17,2,3)))</f>
        <v/>
      </c>
    </row>
    <row r="19">
      <c r="A19" t="n">
        <v>15</v>
      </c>
      <c r="B19" t="inlineStr">
        <is>
          <t>火星人</t>
        </is>
      </c>
      <c r="C19" t="inlineStr">
        <is>
          <t>Martian</t>
        </is>
      </c>
      <c r="D19" s="7">
        <f>IF(ABS('07_CONTINUOUS_CODEBOOK'!D19)&lt;'04_CODEBOOK_CONTROL'!$B$15,0,SIGN('07_CONTINUOUS_CODEBOOK'!D19)*IF(ABS('07_CONTINUOUS_CODEBOOK'!D19)&lt;'04_CODEBOOK_CONTROL'!$B$16,1,IF(ABS('07_CONTINUOUS_CODEBOOK'!D19)&lt;'04_CODEBOOK_CONTROL'!$B$17,2,3)))</f>
        <v/>
      </c>
      <c r="E19" s="7">
        <f>IF(ABS('07_CONTINUOUS_CODEBOOK'!E19)&lt;'04_CODEBOOK_CONTROL'!$B$15,0,SIGN('07_CONTINUOUS_CODEBOOK'!E19)*IF(ABS('07_CONTINUOUS_CODEBOOK'!E19)&lt;'04_CODEBOOK_CONTROL'!$B$16,1,IF(ABS('07_CONTINUOUS_CODEBOOK'!E19)&lt;'04_CODEBOOK_CONTROL'!$B$17,2,3)))</f>
        <v/>
      </c>
      <c r="F19" s="7">
        <f>IF(ABS('07_CONTINUOUS_CODEBOOK'!F19)&lt;'04_CODEBOOK_CONTROL'!$B$15,0,SIGN('07_CONTINUOUS_CODEBOOK'!F19)*IF(ABS('07_CONTINUOUS_CODEBOOK'!F19)&lt;'04_CODEBOOK_CONTROL'!$B$16,1,IF(ABS('07_CONTINUOUS_CODEBOOK'!F19)&lt;'04_CODEBOOK_CONTROL'!$B$17,2,3)))</f>
        <v/>
      </c>
      <c r="G19" s="7">
        <f>IF(ABS('07_CONTINUOUS_CODEBOOK'!G19)&lt;'04_CODEBOOK_CONTROL'!$B$15,0,SIGN('07_CONTINUOUS_CODEBOOK'!G19)*IF(ABS('07_CONTINUOUS_CODEBOOK'!G19)&lt;'04_CODEBOOK_CONTROL'!$B$16,1,IF(ABS('07_CONTINUOUS_CODEBOOK'!G19)&lt;'04_CODEBOOK_CONTROL'!$B$17,2,3)))</f>
        <v/>
      </c>
      <c r="H19" s="7">
        <f>IF(ABS('07_CONTINUOUS_CODEBOOK'!H19)&lt;'04_CODEBOOK_CONTROL'!$B$15,0,SIGN('07_CONTINUOUS_CODEBOOK'!H19)*IF(ABS('07_CONTINUOUS_CODEBOOK'!H19)&lt;'04_CODEBOOK_CONTROL'!$B$16,1,IF(ABS('07_CONTINUOUS_CODEBOOK'!H19)&lt;'04_CODEBOOK_CONTROL'!$B$17,2,3)))</f>
        <v/>
      </c>
      <c r="I19" s="7">
        <f>IF(ABS('07_CONTINUOUS_CODEBOOK'!I19)&lt;'04_CODEBOOK_CONTROL'!$B$15,0,SIGN('07_CONTINUOUS_CODEBOOK'!I19)*IF(ABS('07_CONTINUOUS_CODEBOOK'!I19)&lt;'04_CODEBOOK_CONTROL'!$B$16,1,IF(ABS('07_CONTINUOUS_CODEBOOK'!I19)&lt;'04_CODEBOOK_CONTROL'!$B$17,2,3)))</f>
        <v/>
      </c>
      <c r="J19" s="7">
        <f>IF(ABS('07_CONTINUOUS_CODEBOOK'!J19)&lt;'04_CODEBOOK_CONTROL'!$B$15,0,SIGN('07_CONTINUOUS_CODEBOOK'!J19)*IF(ABS('07_CONTINUOUS_CODEBOOK'!J19)&lt;'04_CODEBOOK_CONTROL'!$B$16,1,IF(ABS('07_CONTINUOUS_CODEBOOK'!J19)&lt;'04_CODEBOOK_CONTROL'!$B$17,2,3)))</f>
        <v/>
      </c>
      <c r="K19" s="7">
        <f>IF(ABS('07_CONTINUOUS_CODEBOOK'!K19)&lt;'04_CODEBOOK_CONTROL'!$B$15,0,SIGN('07_CONTINUOUS_CODEBOOK'!K19)*IF(ABS('07_CONTINUOUS_CODEBOOK'!K19)&lt;'04_CODEBOOK_CONTROL'!$B$16,1,IF(ABS('07_CONTINUOUS_CODEBOOK'!K19)&lt;'04_CODEBOOK_CONTROL'!$B$17,2,3)))</f>
        <v/>
      </c>
      <c r="L19" s="7">
        <f>IF(ABS('07_CONTINUOUS_CODEBOOK'!L19)&lt;'04_CODEBOOK_CONTROL'!$B$15,0,SIGN('07_CONTINUOUS_CODEBOOK'!L19)*IF(ABS('07_CONTINUOUS_CODEBOOK'!L19)&lt;'04_CODEBOOK_CONTROL'!$B$16,1,IF(ABS('07_CONTINUOUS_CODEBOOK'!L19)&lt;'04_CODEBOOK_CONTROL'!$B$17,2,3)))</f>
        <v/>
      </c>
      <c r="M19" s="7">
        <f>IF(ABS('07_CONTINUOUS_CODEBOOK'!M19)&lt;'04_CODEBOOK_CONTROL'!$B$15,0,SIGN('07_CONTINUOUS_CODEBOOK'!M19)*IF(ABS('07_CONTINUOUS_CODEBOOK'!M19)&lt;'04_CODEBOOK_CONTROL'!$B$16,1,IF(ABS('07_CONTINUOUS_CODEBOOK'!M19)&lt;'04_CODEBOOK_CONTROL'!$B$17,2,3)))</f>
        <v/>
      </c>
      <c r="N19" s="7">
        <f>IF(ABS('07_CONTINUOUS_CODEBOOK'!N19)&lt;'04_CODEBOOK_CONTROL'!$B$15,0,SIGN('07_CONTINUOUS_CODEBOOK'!N19)*IF(ABS('07_CONTINUOUS_CODEBOOK'!N19)&lt;'04_CODEBOOK_CONTROL'!$B$16,1,IF(ABS('07_CONTINUOUS_CODEBOOK'!N19)&lt;'04_CODEBOOK_CONTROL'!$B$17,2,3)))</f>
        <v/>
      </c>
      <c r="O19" s="7">
        <f>IF(ABS('07_CONTINUOUS_CODEBOOK'!O19)&lt;'04_CODEBOOK_CONTROL'!$B$15,0,SIGN('07_CONTINUOUS_CODEBOOK'!O19)*IF(ABS('07_CONTINUOUS_CODEBOOK'!O19)&lt;'04_CODEBOOK_CONTROL'!$B$16,1,IF(ABS('07_CONTINUOUS_CODEBOOK'!O19)&lt;'04_CODEBOOK_CONTROL'!$B$17,2,3)))</f>
        <v/>
      </c>
      <c r="P19" s="7">
        <f>IF(ABS('07_CONTINUOUS_CODEBOOK'!P19)&lt;'04_CODEBOOK_CONTROL'!$B$15,0,SIGN('07_CONTINUOUS_CODEBOOK'!P19)*IF(ABS('07_CONTINUOUS_CODEBOOK'!P19)&lt;'04_CODEBOOK_CONTROL'!$B$16,1,IF(ABS('07_CONTINUOUS_CODEBOOK'!P19)&lt;'04_CODEBOOK_CONTROL'!$B$17,2,3)))</f>
        <v/>
      </c>
      <c r="Q19" s="7">
        <f>IF(ABS('07_CONTINUOUS_CODEBOOK'!Q19)&lt;'04_CODEBOOK_CONTROL'!$B$15,0,SIGN('07_CONTINUOUS_CODEBOOK'!Q19)*IF(ABS('07_CONTINUOUS_CODEBOOK'!Q19)&lt;'04_CODEBOOK_CONTROL'!$B$16,1,IF(ABS('07_CONTINUOUS_CODEBOOK'!Q19)&lt;'04_CODEBOOK_CONTROL'!$B$17,2,3)))</f>
        <v/>
      </c>
      <c r="R19" s="7">
        <f>IF(ABS('07_CONTINUOUS_CODEBOOK'!R19)&lt;'04_CODEBOOK_CONTROL'!$B$15,0,SIGN('07_CONTINUOUS_CODEBOOK'!R19)*IF(ABS('07_CONTINUOUS_CODEBOOK'!R19)&lt;'04_CODEBOOK_CONTROL'!$B$16,1,IF(ABS('07_CONTINUOUS_CODEBOOK'!R19)&lt;'04_CODEBOOK_CONTROL'!$B$17,2,3)))</f>
        <v/>
      </c>
      <c r="S19" s="7">
        <f>IF(ABS('07_CONTINUOUS_CODEBOOK'!S19)&lt;'04_CODEBOOK_CONTROL'!$B$15,0,SIGN('07_CONTINUOUS_CODEBOOK'!S19)*IF(ABS('07_CONTINUOUS_CODEBOOK'!S19)&lt;'04_CODEBOOK_CONTROL'!$B$16,1,IF(ABS('07_CONTINUOUS_CODEBOOK'!S19)&lt;'04_CODEBOOK_CONTROL'!$B$17,2,3)))</f>
        <v/>
      </c>
      <c r="T19" s="7">
        <f>IF(ABS('07_CONTINUOUS_CODEBOOK'!T19)&lt;'04_CODEBOOK_CONTROL'!$B$15,0,SIGN('07_CONTINUOUS_CODEBOOK'!T19)*IF(ABS('07_CONTINUOUS_CODEBOOK'!T19)&lt;'04_CODEBOOK_CONTROL'!$B$16,1,IF(ABS('07_CONTINUOUS_CODEBOOK'!T19)&lt;'04_CODEBOOK_CONTROL'!$B$17,2,3)))</f>
        <v/>
      </c>
      <c r="U19" s="7">
        <f>IF(ABS('07_CONTINUOUS_CODEBOOK'!U19)&lt;'04_CODEBOOK_CONTROL'!$B$15,0,SIGN('07_CONTINUOUS_CODEBOOK'!U19)*IF(ABS('07_CONTINUOUS_CODEBOOK'!U19)&lt;'04_CODEBOOK_CONTROL'!$B$16,1,IF(ABS('07_CONTINUOUS_CODEBOOK'!U19)&lt;'04_CODEBOOK_CONTROL'!$B$17,2,3)))</f>
        <v/>
      </c>
      <c r="V19" s="7">
        <f>IF(ABS('07_CONTINUOUS_CODEBOOK'!V19)&lt;'04_CODEBOOK_CONTROL'!$B$15,0,SIGN('07_CONTINUOUS_CODEBOOK'!V19)*IF(ABS('07_CONTINUOUS_CODEBOOK'!V19)&lt;'04_CODEBOOK_CONTROL'!$B$16,1,IF(ABS('07_CONTINUOUS_CODEBOOK'!V19)&lt;'04_CODEBOOK_CONTROL'!$B$17,2,3)))</f>
        <v/>
      </c>
      <c r="W19" s="7">
        <f>IF(ABS('07_CONTINUOUS_CODEBOOK'!W19)&lt;'04_CODEBOOK_CONTROL'!$B$15,0,SIGN('07_CONTINUOUS_CODEBOOK'!W19)*IF(ABS('07_CONTINUOUS_CODEBOOK'!W19)&lt;'04_CODEBOOK_CONTROL'!$B$16,1,IF(ABS('07_CONTINUOUS_CODEBOOK'!W19)&lt;'04_CODEBOOK_CONTROL'!$B$17,2,3)))</f>
        <v/>
      </c>
      <c r="X19" s="7">
        <f>IF(ABS('07_CONTINUOUS_CODEBOOK'!X19)&lt;'04_CODEBOOK_CONTROL'!$B$15,0,SIGN('07_CONTINUOUS_CODEBOOK'!X19)*IF(ABS('07_CONTINUOUS_CODEBOOK'!X19)&lt;'04_CODEBOOK_CONTROL'!$B$16,1,IF(ABS('07_CONTINUOUS_CODEBOOK'!X19)&lt;'04_CODEBOOK_CONTROL'!$B$17,2,3)))</f>
        <v/>
      </c>
      <c r="Y19" s="7">
        <f>IF(ABS('07_CONTINUOUS_CODEBOOK'!Y19)&lt;'04_CODEBOOK_CONTROL'!$B$15,0,SIGN('07_CONTINUOUS_CODEBOOK'!Y19)*IF(ABS('07_CONTINUOUS_CODEBOOK'!Y19)&lt;'04_CODEBOOK_CONTROL'!$B$16,1,IF(ABS('07_CONTINUOUS_CODEBOOK'!Y19)&lt;'04_CODEBOOK_CONTROL'!$B$17,2,3)))</f>
        <v/>
      </c>
      <c r="Z19" s="7">
        <f>IF(ABS('07_CONTINUOUS_CODEBOOK'!Z19)&lt;'04_CODEBOOK_CONTROL'!$B$15,0,SIGN('07_CONTINUOUS_CODEBOOK'!Z19)*IF(ABS('07_CONTINUOUS_CODEBOOK'!Z19)&lt;'04_CODEBOOK_CONTROL'!$B$16,1,IF(ABS('07_CONTINUOUS_CODEBOOK'!Z19)&lt;'04_CODEBOOK_CONTROL'!$B$17,2,3)))</f>
        <v/>
      </c>
      <c r="AA19" s="7">
        <f>IF(ABS('07_CONTINUOUS_CODEBOOK'!AA19)&lt;'04_CODEBOOK_CONTROL'!$B$15,0,SIGN('07_CONTINUOUS_CODEBOOK'!AA19)*IF(ABS('07_CONTINUOUS_CODEBOOK'!AA19)&lt;'04_CODEBOOK_CONTROL'!$B$16,1,IF(ABS('07_CONTINUOUS_CODEBOOK'!AA19)&lt;'04_CODEBOOK_CONTROL'!$B$17,2,3)))</f>
        <v/>
      </c>
      <c r="AB19" s="7">
        <f>IF(ABS('07_CONTINUOUS_CODEBOOK'!AB19)&lt;'04_CODEBOOK_CONTROL'!$B$15,0,SIGN('07_CONTINUOUS_CODEBOOK'!AB19)*IF(ABS('07_CONTINUOUS_CODEBOOK'!AB19)&lt;'04_CODEBOOK_CONTROL'!$B$16,1,IF(ABS('07_CONTINUOUS_CODEBOOK'!AB19)&lt;'04_CODEBOOK_CONTROL'!$B$17,2,3)))</f>
        <v/>
      </c>
      <c r="AC19" s="7">
        <f>IF(ABS('07_CONTINUOUS_CODEBOOK'!AC19)&lt;'04_CODEBOOK_CONTROL'!$B$15,0,SIGN('07_CONTINUOUS_CODEBOOK'!AC19)*IF(ABS('07_CONTINUOUS_CODEBOOK'!AC19)&lt;'04_CODEBOOK_CONTROL'!$B$16,1,IF(ABS('07_CONTINUOUS_CODEBOOK'!AC19)&lt;'04_CODEBOOK_CONTROL'!$B$17,2,3)))</f>
        <v/>
      </c>
      <c r="AD19" s="7">
        <f>IF(ABS('07_CONTINUOUS_CODEBOOK'!AD19)&lt;'04_CODEBOOK_CONTROL'!$B$15,0,SIGN('07_CONTINUOUS_CODEBOOK'!AD19)*IF(ABS('07_CONTINUOUS_CODEBOOK'!AD19)&lt;'04_CODEBOOK_CONTROL'!$B$16,1,IF(ABS('07_CONTINUOUS_CODEBOOK'!AD19)&lt;'04_CODEBOOK_CONTROL'!$B$17,2,3)))</f>
        <v/>
      </c>
      <c r="AE19" s="7">
        <f>IF(ABS('07_CONTINUOUS_CODEBOOK'!AE19)&lt;'04_CODEBOOK_CONTROL'!$B$15,0,SIGN('07_CONTINUOUS_CODEBOOK'!AE19)*IF(ABS('07_CONTINUOUS_CODEBOOK'!AE19)&lt;'04_CODEBOOK_CONTROL'!$B$16,1,IF(ABS('07_CONTINUOUS_CODEBOOK'!AE19)&lt;'04_CODEBOOK_CONTROL'!$B$17,2,3)))</f>
        <v/>
      </c>
      <c r="AF19" s="7">
        <f>IF(ABS('07_CONTINUOUS_CODEBOOK'!AF19)&lt;'04_CODEBOOK_CONTROL'!$B$15,0,SIGN('07_CONTINUOUS_CODEBOOK'!AF19)*IF(ABS('07_CONTINUOUS_CODEBOOK'!AF19)&lt;'04_CODEBOOK_CONTROL'!$B$16,1,IF(ABS('07_CONTINUOUS_CODEBOOK'!AF19)&lt;'04_CODEBOOK_CONTROL'!$B$17,2,3)))</f>
        <v/>
      </c>
      <c r="AG19" s="7">
        <f>IF(ABS('07_CONTINUOUS_CODEBOOK'!AG19)&lt;'04_CODEBOOK_CONTROL'!$B$15,0,SIGN('07_CONTINUOUS_CODEBOOK'!AG19)*IF(ABS('07_CONTINUOUS_CODEBOOK'!AG19)&lt;'04_CODEBOOK_CONTROL'!$B$16,1,IF(ABS('07_CONTINUOUS_CODEBOOK'!AG19)&lt;'04_CODEBOOK_CONTROL'!$B$17,2,3)))</f>
        <v/>
      </c>
      <c r="AH19" s="7">
        <f>IF(ABS('07_CONTINUOUS_CODEBOOK'!AH19)&lt;'04_CODEBOOK_CONTROL'!$B$15,0,SIGN('07_CONTINUOUS_CODEBOOK'!AH19)*IF(ABS('07_CONTINUOUS_CODEBOOK'!AH19)&lt;'04_CODEBOOK_CONTROL'!$B$16,1,IF(ABS('07_CONTINUOUS_CODEBOOK'!AH19)&lt;'04_CODEBOOK_CONTROL'!$B$17,2,3)))</f>
        <v/>
      </c>
      <c r="AI19" s="7">
        <f>IF(ABS('07_CONTINUOUS_CODEBOOK'!AI19)&lt;'04_CODEBOOK_CONTROL'!$B$15,0,SIGN('07_CONTINUOUS_CODEBOOK'!AI19)*IF(ABS('07_CONTINUOUS_CODEBOOK'!AI19)&lt;'04_CODEBOOK_CONTROL'!$B$16,1,IF(ABS('07_CONTINUOUS_CODEBOOK'!AI19)&lt;'04_CODEBOOK_CONTROL'!$B$17,2,3)))</f>
        <v/>
      </c>
      <c r="AJ19" s="7">
        <f>IF(ABS('07_CONTINUOUS_CODEBOOK'!AJ19)&lt;'04_CODEBOOK_CONTROL'!$B$15,0,SIGN('07_CONTINUOUS_CODEBOOK'!AJ19)*IF(ABS('07_CONTINUOUS_CODEBOOK'!AJ19)&lt;'04_CODEBOOK_CONTROL'!$B$16,1,IF(ABS('07_CONTINUOUS_CODEBOOK'!AJ19)&lt;'04_CODEBOOK_CONTROL'!$B$17,2,3)))</f>
        <v/>
      </c>
      <c r="AK19" s="7">
        <f>IF(ABS('07_CONTINUOUS_CODEBOOK'!AK19)&lt;'04_CODEBOOK_CONTROL'!$B$15,0,SIGN('07_CONTINUOUS_CODEBOOK'!AK19)*IF(ABS('07_CONTINUOUS_CODEBOOK'!AK19)&lt;'04_CODEBOOK_CONTROL'!$B$16,1,IF(ABS('07_CONTINUOUS_CODEBOOK'!AK19)&lt;'04_CODEBOOK_CONTROL'!$B$17,2,3)))</f>
        <v/>
      </c>
      <c r="AL19" s="7">
        <f>IF(ABS('07_CONTINUOUS_CODEBOOK'!AL19)&lt;'04_CODEBOOK_CONTROL'!$B$15,0,SIGN('07_CONTINUOUS_CODEBOOK'!AL19)*IF(ABS('07_CONTINUOUS_CODEBOOK'!AL19)&lt;'04_CODEBOOK_CONTROL'!$B$16,1,IF(ABS('07_CONTINUOUS_CODEBOOK'!AL19)&lt;'04_CODEBOOK_CONTROL'!$B$17,2,3)))</f>
        <v/>
      </c>
      <c r="AM19" s="7">
        <f>IF(ABS('07_CONTINUOUS_CODEBOOK'!AM19)&lt;'04_CODEBOOK_CONTROL'!$B$15,0,SIGN('07_CONTINUOUS_CODEBOOK'!AM19)*IF(ABS('07_CONTINUOUS_CODEBOOK'!AM19)&lt;'04_CODEBOOK_CONTROL'!$B$16,1,IF(ABS('07_CONTINUOUS_CODEBOOK'!AM19)&lt;'04_CODEBOOK_CONTROL'!$B$17,2,3)))</f>
        <v/>
      </c>
      <c r="AN19" s="7">
        <f>IF(ABS('07_CONTINUOUS_CODEBOOK'!AN19)&lt;'04_CODEBOOK_CONTROL'!$B$15,0,SIGN('07_CONTINUOUS_CODEBOOK'!AN19)*IF(ABS('07_CONTINUOUS_CODEBOOK'!AN19)&lt;'04_CODEBOOK_CONTROL'!$B$16,1,IF(ABS('07_CONTINUOUS_CODEBOOK'!AN19)&lt;'04_CODEBOOK_CONTROL'!$B$17,2,3)))</f>
        <v/>
      </c>
      <c r="AO19" s="7">
        <f>IF(ABS('07_CONTINUOUS_CODEBOOK'!AO19)&lt;'04_CODEBOOK_CONTROL'!$B$15,0,SIGN('07_CONTINUOUS_CODEBOOK'!AO19)*IF(ABS('07_CONTINUOUS_CODEBOOK'!AO19)&lt;'04_CODEBOOK_CONTROL'!$B$16,1,IF(ABS('07_CONTINUOUS_CODEBOOK'!AO19)&lt;'04_CODEBOOK_CONTROL'!$B$17,2,3)))</f>
        <v/>
      </c>
      <c r="AP19" s="7">
        <f>IF(ABS('07_CONTINUOUS_CODEBOOK'!AP19)&lt;'04_CODEBOOK_CONTROL'!$B$15,0,SIGN('07_CONTINUOUS_CODEBOOK'!AP19)*IF(ABS('07_CONTINUOUS_CODEBOOK'!AP19)&lt;'04_CODEBOOK_CONTROL'!$B$16,1,IF(ABS('07_CONTINUOUS_CODEBOOK'!AP19)&lt;'04_CODEBOOK_CONTROL'!$B$17,2,3)))</f>
        <v/>
      </c>
      <c r="AQ19" s="7">
        <f>IF(ABS('07_CONTINUOUS_CODEBOOK'!AQ19)&lt;'04_CODEBOOK_CONTROL'!$B$15,0,SIGN('07_CONTINUOUS_CODEBOOK'!AQ19)*IF(ABS('07_CONTINUOUS_CODEBOOK'!AQ19)&lt;'04_CODEBOOK_CONTROL'!$B$16,1,IF(ABS('07_CONTINUOUS_CODEBOOK'!AQ19)&lt;'04_CODEBOOK_CONTROL'!$B$17,2,3)))</f>
        <v/>
      </c>
      <c r="AR19" s="7">
        <f>IF(ABS('07_CONTINUOUS_CODEBOOK'!AR19)&lt;'04_CODEBOOK_CONTROL'!$B$15,0,SIGN('07_CONTINUOUS_CODEBOOK'!AR19)*IF(ABS('07_CONTINUOUS_CODEBOOK'!AR19)&lt;'04_CODEBOOK_CONTROL'!$B$16,1,IF(ABS('07_CONTINUOUS_CODEBOOK'!AR19)&lt;'04_CODEBOOK_CONTROL'!$B$17,2,3)))</f>
        <v/>
      </c>
      <c r="AS19" s="7">
        <f>IF(ABS('07_CONTINUOUS_CODEBOOK'!AS19)&lt;'04_CODEBOOK_CONTROL'!$B$15,0,SIGN('07_CONTINUOUS_CODEBOOK'!AS19)*IF(ABS('07_CONTINUOUS_CODEBOOK'!AS19)&lt;'04_CODEBOOK_CONTROL'!$B$16,1,IF(ABS('07_CONTINUOUS_CODEBOOK'!AS19)&lt;'04_CODEBOOK_CONTROL'!$B$17,2,3)))</f>
        <v/>
      </c>
      <c r="AT19" s="7">
        <f>IF(ABS('07_CONTINUOUS_CODEBOOK'!AT19)&lt;'04_CODEBOOK_CONTROL'!$B$15,0,SIGN('07_CONTINUOUS_CODEBOOK'!AT19)*IF(ABS('07_CONTINUOUS_CODEBOOK'!AT19)&lt;'04_CODEBOOK_CONTROL'!$B$16,1,IF(ABS('07_CONTINUOUS_CODEBOOK'!AT19)&lt;'04_CODEBOOK_CONTROL'!$B$17,2,3)))</f>
        <v/>
      </c>
      <c r="AU19" s="7">
        <f>IF(ABS('07_CONTINUOUS_CODEBOOK'!AU19)&lt;'04_CODEBOOK_CONTROL'!$B$15,0,SIGN('07_CONTINUOUS_CODEBOOK'!AU19)*IF(ABS('07_CONTINUOUS_CODEBOOK'!AU19)&lt;'04_CODEBOOK_CONTROL'!$B$16,1,IF(ABS('07_CONTINUOUS_CODEBOOK'!AU19)&lt;'04_CODEBOOK_CONTROL'!$B$17,2,3)))</f>
        <v/>
      </c>
      <c r="AV19" s="7">
        <f>IF(ABS('07_CONTINUOUS_CODEBOOK'!AV19)&lt;'04_CODEBOOK_CONTROL'!$B$15,0,SIGN('07_CONTINUOUS_CODEBOOK'!AV19)*IF(ABS('07_CONTINUOUS_CODEBOOK'!AV19)&lt;'04_CODEBOOK_CONTROL'!$B$16,1,IF(ABS('07_CONTINUOUS_CODEBOOK'!AV19)&lt;'04_CODEBOOK_CONTROL'!$B$17,2,3)))</f>
        <v/>
      </c>
      <c r="AW19" s="7">
        <f>IF(ABS('07_CONTINUOUS_CODEBOOK'!AW19)&lt;'04_CODEBOOK_CONTROL'!$B$15,0,SIGN('07_CONTINUOUS_CODEBOOK'!AW19)*IF(ABS('07_CONTINUOUS_CODEBOOK'!AW19)&lt;'04_CODEBOOK_CONTROL'!$B$16,1,IF(ABS('07_CONTINUOUS_CODEBOOK'!AW19)&lt;'04_CODEBOOK_CONTROL'!$B$17,2,3)))</f>
        <v/>
      </c>
      <c r="AX19" s="7">
        <f>IF(ABS('07_CONTINUOUS_CODEBOOK'!AX19)&lt;'04_CODEBOOK_CONTROL'!$B$15,0,SIGN('07_CONTINUOUS_CODEBOOK'!AX19)*IF(ABS('07_CONTINUOUS_CODEBOOK'!AX19)&lt;'04_CODEBOOK_CONTROL'!$B$16,1,IF(ABS('07_CONTINUOUS_CODEBOOK'!AX19)&lt;'04_CODEBOOK_CONTROL'!$B$17,2,3)))</f>
        <v/>
      </c>
      <c r="AY19" s="7">
        <f>IF(ABS('07_CONTINUOUS_CODEBOOK'!AY19)&lt;'04_CODEBOOK_CONTROL'!$B$15,0,SIGN('07_CONTINUOUS_CODEBOOK'!AY19)*IF(ABS('07_CONTINUOUS_CODEBOOK'!AY19)&lt;'04_CODEBOOK_CONTROL'!$B$16,1,IF(ABS('07_CONTINUOUS_CODEBOOK'!AY19)&lt;'04_CODEBOOK_CONTROL'!$B$17,2,3)))</f>
        <v/>
      </c>
      <c r="AZ19" s="7">
        <f>IF(ABS('07_CONTINUOUS_CODEBOOK'!AZ19)&lt;'04_CODEBOOK_CONTROL'!$B$15,0,SIGN('07_CONTINUOUS_CODEBOOK'!AZ19)*IF(ABS('07_CONTINUOUS_CODEBOOK'!AZ19)&lt;'04_CODEBOOK_CONTROL'!$B$16,1,IF(ABS('07_CONTINUOUS_CODEBOOK'!AZ19)&lt;'04_CODEBOOK_CONTROL'!$B$17,2,3)))</f>
        <v/>
      </c>
      <c r="BA19" s="7">
        <f>IF(ABS('07_CONTINUOUS_CODEBOOK'!BA19)&lt;'04_CODEBOOK_CONTROL'!$B$15,0,SIGN('07_CONTINUOUS_CODEBOOK'!BA19)*IF(ABS('07_CONTINUOUS_CODEBOOK'!BA19)&lt;'04_CODEBOOK_CONTROL'!$B$16,1,IF(ABS('07_CONTINUOUS_CODEBOOK'!BA19)&lt;'04_CODEBOOK_CONTROL'!$B$17,2,3)))</f>
        <v/>
      </c>
      <c r="BB19" s="7">
        <f>IF(ABS('07_CONTINUOUS_CODEBOOK'!BB19)&lt;'04_CODEBOOK_CONTROL'!$B$15,0,SIGN('07_CONTINUOUS_CODEBOOK'!BB19)*IF(ABS('07_CONTINUOUS_CODEBOOK'!BB19)&lt;'04_CODEBOOK_CONTROL'!$B$16,1,IF(ABS('07_CONTINUOUS_CODEBOOK'!BB19)&lt;'04_CODEBOOK_CONTROL'!$B$17,2,3)))</f>
        <v/>
      </c>
      <c r="BC19" s="7">
        <f>IF(ABS('07_CONTINUOUS_CODEBOOK'!BC19)&lt;'04_CODEBOOK_CONTROL'!$B$15,0,SIGN('07_CONTINUOUS_CODEBOOK'!BC19)*IF(ABS('07_CONTINUOUS_CODEBOOK'!BC19)&lt;'04_CODEBOOK_CONTROL'!$B$16,1,IF(ABS('07_CONTINUOUS_CODEBOOK'!BC19)&lt;'04_CODEBOOK_CONTROL'!$B$17,2,3)))</f>
        <v/>
      </c>
      <c r="BD19" s="7">
        <f>IF(ABS('07_CONTINUOUS_CODEBOOK'!BD19)&lt;'04_CODEBOOK_CONTROL'!$B$15,0,SIGN('07_CONTINUOUS_CODEBOOK'!BD19)*IF(ABS('07_CONTINUOUS_CODEBOOK'!BD19)&lt;'04_CODEBOOK_CONTROL'!$B$16,1,IF(ABS('07_CONTINUOUS_CODEBOOK'!BD19)&lt;'04_CODEBOOK_CONTROL'!$B$17,2,3)))</f>
        <v/>
      </c>
      <c r="BE19" s="7">
        <f>IF(ABS('07_CONTINUOUS_CODEBOOK'!BE19)&lt;'04_CODEBOOK_CONTROL'!$B$15,0,SIGN('07_CONTINUOUS_CODEBOOK'!BE19)*IF(ABS('07_CONTINUOUS_CODEBOOK'!BE19)&lt;'04_CODEBOOK_CONTROL'!$B$16,1,IF(ABS('07_CONTINUOUS_CODEBOOK'!BE19)&lt;'04_CODEBOOK_CONTROL'!$B$17,2,3)))</f>
        <v/>
      </c>
      <c r="BF19" s="7">
        <f>IF(ABS('07_CONTINUOUS_CODEBOOK'!BF19)&lt;'04_CODEBOOK_CONTROL'!$B$15,0,SIGN('07_CONTINUOUS_CODEBOOK'!BF19)*IF(ABS('07_CONTINUOUS_CODEBOOK'!BF19)&lt;'04_CODEBOOK_CONTROL'!$B$16,1,IF(ABS('07_CONTINUOUS_CODEBOOK'!BF19)&lt;'04_CODEBOOK_CONTROL'!$B$17,2,3)))</f>
        <v/>
      </c>
      <c r="BG19" s="7">
        <f>IF(ABS('07_CONTINUOUS_CODEBOOK'!BG19)&lt;'04_CODEBOOK_CONTROL'!$B$15,0,SIGN('07_CONTINUOUS_CODEBOOK'!BG19)*IF(ABS('07_CONTINUOUS_CODEBOOK'!BG19)&lt;'04_CODEBOOK_CONTROL'!$B$16,1,IF(ABS('07_CONTINUOUS_CODEBOOK'!BG19)&lt;'04_CODEBOOK_CONTROL'!$B$17,2,3)))</f>
        <v/>
      </c>
      <c r="BH19" s="7">
        <f>IF(ABS('07_CONTINUOUS_CODEBOOK'!BH19)&lt;'04_CODEBOOK_CONTROL'!$B$15,0,SIGN('07_CONTINUOUS_CODEBOOK'!BH19)*IF(ABS('07_CONTINUOUS_CODEBOOK'!BH19)&lt;'04_CODEBOOK_CONTROL'!$B$16,1,IF(ABS('07_CONTINUOUS_CODEBOOK'!BH19)&lt;'04_CODEBOOK_CONTROL'!$B$17,2,3)))</f>
        <v/>
      </c>
      <c r="BI19" s="7">
        <f>IF(ABS('07_CONTINUOUS_CODEBOOK'!BI19)&lt;'04_CODEBOOK_CONTROL'!$B$15,0,SIGN('07_CONTINUOUS_CODEBOOK'!BI19)*IF(ABS('07_CONTINUOUS_CODEBOOK'!BI19)&lt;'04_CODEBOOK_CONTROL'!$B$16,1,IF(ABS('07_CONTINUOUS_CODEBOOK'!BI19)&lt;'04_CODEBOOK_CONTROL'!$B$17,2,3)))</f>
        <v/>
      </c>
      <c r="BJ19" s="7">
        <f>IF(ABS('07_CONTINUOUS_CODEBOOK'!BJ19)&lt;'04_CODEBOOK_CONTROL'!$B$15,0,SIGN('07_CONTINUOUS_CODEBOOK'!BJ19)*IF(ABS('07_CONTINUOUS_CODEBOOK'!BJ19)&lt;'04_CODEBOOK_CONTROL'!$B$16,1,IF(ABS('07_CONTINUOUS_CODEBOOK'!BJ19)&lt;'04_CODEBOOK_CONTROL'!$B$17,2,3)))</f>
        <v/>
      </c>
      <c r="BK19" s="7">
        <f>IF(ABS('07_CONTINUOUS_CODEBOOK'!BK19)&lt;'04_CODEBOOK_CONTROL'!$B$15,0,SIGN('07_CONTINUOUS_CODEBOOK'!BK19)*IF(ABS('07_CONTINUOUS_CODEBOOK'!BK19)&lt;'04_CODEBOOK_CONTROL'!$B$16,1,IF(ABS('07_CONTINUOUS_CODEBOOK'!BK19)&lt;'04_CODEBOOK_CONTROL'!$B$17,2,3)))</f>
        <v/>
      </c>
      <c r="BL19" s="7">
        <f>IF(ABS('07_CONTINUOUS_CODEBOOK'!BL19)&lt;'04_CODEBOOK_CONTROL'!$B$15,0,SIGN('07_CONTINUOUS_CODEBOOK'!BL19)*IF(ABS('07_CONTINUOUS_CODEBOOK'!BL19)&lt;'04_CODEBOOK_CONTROL'!$B$16,1,IF(ABS('07_CONTINUOUS_CODEBOOK'!BL19)&lt;'04_CODEBOOK_CONTROL'!$B$17,2,3)))</f>
        <v/>
      </c>
      <c r="BM19" s="7">
        <f>IF(ABS('07_CONTINUOUS_CODEBOOK'!BM19)&lt;'04_CODEBOOK_CONTROL'!$B$15,0,SIGN('07_CONTINUOUS_CODEBOOK'!BM19)*IF(ABS('07_CONTINUOUS_CODEBOOK'!BM19)&lt;'04_CODEBOOK_CONTROL'!$B$16,1,IF(ABS('07_CONTINUOUS_CODEBOOK'!BM19)&lt;'04_CODEBOOK_CONTROL'!$B$17,2,3)))</f>
        <v/>
      </c>
      <c r="BN19" s="7">
        <f>IF(ABS('07_CONTINUOUS_CODEBOOK'!BN19)&lt;'04_CODEBOOK_CONTROL'!$B$15,0,SIGN('07_CONTINUOUS_CODEBOOK'!BN19)*IF(ABS('07_CONTINUOUS_CODEBOOK'!BN19)&lt;'04_CODEBOOK_CONTROL'!$B$16,1,IF(ABS('07_CONTINUOUS_CODEBOOK'!BN19)&lt;'04_CODEBOOK_CONTROL'!$B$17,2,3)))</f>
        <v/>
      </c>
      <c r="BO19" s="7">
        <f>IF(ABS('07_CONTINUOUS_CODEBOOK'!BO19)&lt;'04_CODEBOOK_CONTROL'!$B$15,0,SIGN('07_CONTINUOUS_CODEBOOK'!BO19)*IF(ABS('07_CONTINUOUS_CODEBOOK'!BO19)&lt;'04_CODEBOOK_CONTROL'!$B$16,1,IF(ABS('07_CONTINUOUS_CODEBOOK'!BO19)&lt;'04_CODEBOOK_CONTROL'!$B$17,2,3)))</f>
        <v/>
      </c>
      <c r="BP19" s="7">
        <f>IF(ABS('07_CONTINUOUS_CODEBOOK'!BP19)&lt;'04_CODEBOOK_CONTROL'!$B$15,0,SIGN('07_CONTINUOUS_CODEBOOK'!BP19)*IF(ABS('07_CONTINUOUS_CODEBOOK'!BP19)&lt;'04_CODEBOOK_CONTROL'!$B$16,1,IF(ABS('07_CONTINUOUS_CODEBOOK'!BP19)&lt;'04_CODEBOOK_CONTROL'!$B$17,2,3)))</f>
        <v/>
      </c>
      <c r="BQ19" s="7">
        <f>IF(ABS('07_CONTINUOUS_CODEBOOK'!BQ19)&lt;'04_CODEBOOK_CONTROL'!$B$15,0,SIGN('07_CONTINUOUS_CODEBOOK'!BQ19)*IF(ABS('07_CONTINUOUS_CODEBOOK'!BQ19)&lt;'04_CODEBOOK_CONTROL'!$B$16,1,IF(ABS('07_CONTINUOUS_CODEBOOK'!BQ19)&lt;'04_CODEBOOK_CONTROL'!$B$17,2,3)))</f>
        <v/>
      </c>
      <c r="BR19" s="7">
        <f>IF(ABS('07_CONTINUOUS_CODEBOOK'!BR19)&lt;'04_CODEBOOK_CONTROL'!$B$15,0,SIGN('07_CONTINUOUS_CODEBOOK'!BR19)*IF(ABS('07_CONTINUOUS_CODEBOOK'!BR19)&lt;'04_CODEBOOK_CONTROL'!$B$16,1,IF(ABS('07_CONTINUOUS_CODEBOOK'!BR19)&lt;'04_CODEBOOK_CONTROL'!$B$17,2,3)))</f>
        <v/>
      </c>
      <c r="BS19" s="7">
        <f>IF(ABS('07_CONTINUOUS_CODEBOOK'!BS19)&lt;'04_CODEBOOK_CONTROL'!$B$15,0,SIGN('07_CONTINUOUS_CODEBOOK'!BS19)*IF(ABS('07_CONTINUOUS_CODEBOOK'!BS19)&lt;'04_CODEBOOK_CONTROL'!$B$16,1,IF(ABS('07_CONTINUOUS_CODEBOOK'!BS19)&lt;'04_CODEBOOK_CONTROL'!$B$17,2,3)))</f>
        <v/>
      </c>
      <c r="BT19" s="7">
        <f>IF(ABS('07_CONTINUOUS_CODEBOOK'!BT19)&lt;'04_CODEBOOK_CONTROL'!$B$15,0,SIGN('07_CONTINUOUS_CODEBOOK'!BT19)*IF(ABS('07_CONTINUOUS_CODEBOOK'!BT19)&lt;'04_CODEBOOK_CONTROL'!$B$16,1,IF(ABS('07_CONTINUOUS_CODEBOOK'!BT19)&lt;'04_CODEBOOK_CONTROL'!$B$17,2,3)))</f>
        <v/>
      </c>
      <c r="BU19" s="7">
        <f>IF(ABS('07_CONTINUOUS_CODEBOOK'!BU19)&lt;'04_CODEBOOK_CONTROL'!$B$15,0,SIGN('07_CONTINUOUS_CODEBOOK'!BU19)*IF(ABS('07_CONTINUOUS_CODEBOOK'!BU19)&lt;'04_CODEBOOK_CONTROL'!$B$16,1,IF(ABS('07_CONTINUOUS_CODEBOOK'!BU19)&lt;'04_CODEBOOK_CONTROL'!$B$17,2,3)))</f>
        <v/>
      </c>
      <c r="BV19" s="7">
        <f>IF(ABS('07_CONTINUOUS_CODEBOOK'!BV19)&lt;'04_CODEBOOK_CONTROL'!$B$15,0,SIGN('07_CONTINUOUS_CODEBOOK'!BV19)*IF(ABS('07_CONTINUOUS_CODEBOOK'!BV19)&lt;'04_CODEBOOK_CONTROL'!$B$16,1,IF(ABS('07_CONTINUOUS_CODEBOOK'!BV19)&lt;'04_CODEBOOK_CONTROL'!$B$17,2,3)))</f>
        <v/>
      </c>
      <c r="BW19" s="7">
        <f>IF(ABS('07_CONTINUOUS_CODEBOOK'!BW19)&lt;'04_CODEBOOK_CONTROL'!$B$15,0,SIGN('07_CONTINUOUS_CODEBOOK'!BW19)*IF(ABS('07_CONTINUOUS_CODEBOOK'!BW19)&lt;'04_CODEBOOK_CONTROL'!$B$16,1,IF(ABS('07_CONTINUOUS_CODEBOOK'!BW19)&lt;'04_CODEBOOK_CONTROL'!$B$17,2,3)))</f>
        <v/>
      </c>
      <c r="BX19" s="7">
        <f>IF(ABS('07_CONTINUOUS_CODEBOOK'!BX19)&lt;'04_CODEBOOK_CONTROL'!$B$15,0,SIGN('07_CONTINUOUS_CODEBOOK'!BX19)*IF(ABS('07_CONTINUOUS_CODEBOOK'!BX19)&lt;'04_CODEBOOK_CONTROL'!$B$16,1,IF(ABS('07_CONTINUOUS_CODEBOOK'!BX19)&lt;'04_CODEBOOK_CONTROL'!$B$17,2,3)))</f>
        <v/>
      </c>
      <c r="BY19" s="7">
        <f>IF(ABS('07_CONTINUOUS_CODEBOOK'!BY19)&lt;'04_CODEBOOK_CONTROL'!$B$15,0,SIGN('07_CONTINUOUS_CODEBOOK'!BY19)*IF(ABS('07_CONTINUOUS_CODEBOOK'!BY19)&lt;'04_CODEBOOK_CONTROL'!$B$16,1,IF(ABS('07_CONTINUOUS_CODEBOOK'!BY19)&lt;'04_CODEBOOK_CONTROL'!$B$17,2,3)))</f>
        <v/>
      </c>
      <c r="BZ19" s="7">
        <f>IF(ABS('07_CONTINUOUS_CODEBOOK'!BZ19)&lt;'04_CODEBOOK_CONTROL'!$B$15,0,SIGN('07_CONTINUOUS_CODEBOOK'!BZ19)*IF(ABS('07_CONTINUOUS_CODEBOOK'!BZ19)&lt;'04_CODEBOOK_CONTROL'!$B$16,1,IF(ABS('07_CONTINUOUS_CODEBOOK'!BZ19)&lt;'04_CODEBOOK_CONTROL'!$B$17,2,3)))</f>
        <v/>
      </c>
      <c r="CA19" s="7">
        <f>IF(ABS('07_CONTINUOUS_CODEBOOK'!CA19)&lt;'04_CODEBOOK_CONTROL'!$B$15,0,SIGN('07_CONTINUOUS_CODEBOOK'!CA19)*IF(ABS('07_CONTINUOUS_CODEBOOK'!CA19)&lt;'04_CODEBOOK_CONTROL'!$B$16,1,IF(ABS('07_CONTINUOUS_CODEBOOK'!CA19)&lt;'04_CODEBOOK_CONTROL'!$B$17,2,3)))</f>
        <v/>
      </c>
      <c r="CB19" s="7">
        <f>IF(ABS('07_CONTINUOUS_CODEBOOK'!CB19)&lt;'04_CODEBOOK_CONTROL'!$B$15,0,SIGN('07_CONTINUOUS_CODEBOOK'!CB19)*IF(ABS('07_CONTINUOUS_CODEBOOK'!CB19)&lt;'04_CODEBOOK_CONTROL'!$B$16,1,IF(ABS('07_CONTINUOUS_CODEBOOK'!CB19)&lt;'04_CODEBOOK_CONTROL'!$B$17,2,3)))</f>
        <v/>
      </c>
      <c r="CC19" s="7">
        <f>IF(ABS('07_CONTINUOUS_CODEBOOK'!CC19)&lt;'04_CODEBOOK_CONTROL'!$B$15,0,SIGN('07_CONTINUOUS_CODEBOOK'!CC19)*IF(ABS('07_CONTINUOUS_CODEBOOK'!CC19)&lt;'04_CODEBOOK_CONTROL'!$B$16,1,IF(ABS('07_CONTINUOUS_CODEBOOK'!CC19)&lt;'04_CODEBOOK_CONTROL'!$B$17,2,3)))</f>
        <v/>
      </c>
      <c r="CD19" s="7">
        <f>IF(ABS('07_CONTINUOUS_CODEBOOK'!CD19)&lt;'04_CODEBOOK_CONTROL'!$B$15,0,SIGN('07_CONTINUOUS_CODEBOOK'!CD19)*IF(ABS('07_CONTINUOUS_CODEBOOK'!CD19)&lt;'04_CODEBOOK_CONTROL'!$B$16,1,IF(ABS('07_CONTINUOUS_CODEBOOK'!CD19)&lt;'04_CODEBOOK_CONTROL'!$B$17,2,3)))</f>
        <v/>
      </c>
      <c r="CE19" s="7">
        <f>IF(ABS('07_CONTINUOUS_CODEBOOK'!CE19)&lt;'04_CODEBOOK_CONTROL'!$B$15,0,SIGN('07_CONTINUOUS_CODEBOOK'!CE19)*IF(ABS('07_CONTINUOUS_CODEBOOK'!CE19)&lt;'04_CODEBOOK_CONTROL'!$B$16,1,IF(ABS('07_CONTINUOUS_CODEBOOK'!CE19)&lt;'04_CODEBOOK_CONTROL'!$B$17,2,3)))</f>
        <v/>
      </c>
    </row>
    <row r="20">
      <c r="A20" t="n">
        <v>16</v>
      </c>
      <c r="B20" t="inlineStr">
        <is>
          <t>馬爾德克人</t>
        </is>
      </c>
      <c r="C20" t="inlineStr">
        <is>
          <t>Maldekian</t>
        </is>
      </c>
      <c r="D20" s="7">
        <f>IF(ABS('07_CONTINUOUS_CODEBOOK'!D20)&lt;'04_CODEBOOK_CONTROL'!$B$15,0,SIGN('07_CONTINUOUS_CODEBOOK'!D20)*IF(ABS('07_CONTINUOUS_CODEBOOK'!D20)&lt;'04_CODEBOOK_CONTROL'!$B$16,1,IF(ABS('07_CONTINUOUS_CODEBOOK'!D20)&lt;'04_CODEBOOK_CONTROL'!$B$17,2,3)))</f>
        <v/>
      </c>
      <c r="E20" s="7">
        <f>IF(ABS('07_CONTINUOUS_CODEBOOK'!E20)&lt;'04_CODEBOOK_CONTROL'!$B$15,0,SIGN('07_CONTINUOUS_CODEBOOK'!E20)*IF(ABS('07_CONTINUOUS_CODEBOOK'!E20)&lt;'04_CODEBOOK_CONTROL'!$B$16,1,IF(ABS('07_CONTINUOUS_CODEBOOK'!E20)&lt;'04_CODEBOOK_CONTROL'!$B$17,2,3)))</f>
        <v/>
      </c>
      <c r="F20" s="7">
        <f>IF(ABS('07_CONTINUOUS_CODEBOOK'!F20)&lt;'04_CODEBOOK_CONTROL'!$B$15,0,SIGN('07_CONTINUOUS_CODEBOOK'!F20)*IF(ABS('07_CONTINUOUS_CODEBOOK'!F20)&lt;'04_CODEBOOK_CONTROL'!$B$16,1,IF(ABS('07_CONTINUOUS_CODEBOOK'!F20)&lt;'04_CODEBOOK_CONTROL'!$B$17,2,3)))</f>
        <v/>
      </c>
      <c r="G20" s="7">
        <f>IF(ABS('07_CONTINUOUS_CODEBOOK'!G20)&lt;'04_CODEBOOK_CONTROL'!$B$15,0,SIGN('07_CONTINUOUS_CODEBOOK'!G20)*IF(ABS('07_CONTINUOUS_CODEBOOK'!G20)&lt;'04_CODEBOOK_CONTROL'!$B$16,1,IF(ABS('07_CONTINUOUS_CODEBOOK'!G20)&lt;'04_CODEBOOK_CONTROL'!$B$17,2,3)))</f>
        <v/>
      </c>
      <c r="H20" s="7">
        <f>IF(ABS('07_CONTINUOUS_CODEBOOK'!H20)&lt;'04_CODEBOOK_CONTROL'!$B$15,0,SIGN('07_CONTINUOUS_CODEBOOK'!H20)*IF(ABS('07_CONTINUOUS_CODEBOOK'!H20)&lt;'04_CODEBOOK_CONTROL'!$B$16,1,IF(ABS('07_CONTINUOUS_CODEBOOK'!H20)&lt;'04_CODEBOOK_CONTROL'!$B$17,2,3)))</f>
        <v/>
      </c>
      <c r="I20" s="7">
        <f>IF(ABS('07_CONTINUOUS_CODEBOOK'!I20)&lt;'04_CODEBOOK_CONTROL'!$B$15,0,SIGN('07_CONTINUOUS_CODEBOOK'!I20)*IF(ABS('07_CONTINUOUS_CODEBOOK'!I20)&lt;'04_CODEBOOK_CONTROL'!$B$16,1,IF(ABS('07_CONTINUOUS_CODEBOOK'!I20)&lt;'04_CODEBOOK_CONTROL'!$B$17,2,3)))</f>
        <v/>
      </c>
      <c r="J20" s="7">
        <f>IF(ABS('07_CONTINUOUS_CODEBOOK'!J20)&lt;'04_CODEBOOK_CONTROL'!$B$15,0,SIGN('07_CONTINUOUS_CODEBOOK'!J20)*IF(ABS('07_CONTINUOUS_CODEBOOK'!J20)&lt;'04_CODEBOOK_CONTROL'!$B$16,1,IF(ABS('07_CONTINUOUS_CODEBOOK'!J20)&lt;'04_CODEBOOK_CONTROL'!$B$17,2,3)))</f>
        <v/>
      </c>
      <c r="K20" s="7">
        <f>IF(ABS('07_CONTINUOUS_CODEBOOK'!K20)&lt;'04_CODEBOOK_CONTROL'!$B$15,0,SIGN('07_CONTINUOUS_CODEBOOK'!K20)*IF(ABS('07_CONTINUOUS_CODEBOOK'!K20)&lt;'04_CODEBOOK_CONTROL'!$B$16,1,IF(ABS('07_CONTINUOUS_CODEBOOK'!K20)&lt;'04_CODEBOOK_CONTROL'!$B$17,2,3)))</f>
        <v/>
      </c>
      <c r="L20" s="7">
        <f>IF(ABS('07_CONTINUOUS_CODEBOOK'!L20)&lt;'04_CODEBOOK_CONTROL'!$B$15,0,SIGN('07_CONTINUOUS_CODEBOOK'!L20)*IF(ABS('07_CONTINUOUS_CODEBOOK'!L20)&lt;'04_CODEBOOK_CONTROL'!$B$16,1,IF(ABS('07_CONTINUOUS_CODEBOOK'!L20)&lt;'04_CODEBOOK_CONTROL'!$B$17,2,3)))</f>
        <v/>
      </c>
      <c r="M20" s="7">
        <f>IF(ABS('07_CONTINUOUS_CODEBOOK'!M20)&lt;'04_CODEBOOK_CONTROL'!$B$15,0,SIGN('07_CONTINUOUS_CODEBOOK'!M20)*IF(ABS('07_CONTINUOUS_CODEBOOK'!M20)&lt;'04_CODEBOOK_CONTROL'!$B$16,1,IF(ABS('07_CONTINUOUS_CODEBOOK'!M20)&lt;'04_CODEBOOK_CONTROL'!$B$17,2,3)))</f>
        <v/>
      </c>
      <c r="N20" s="7">
        <f>IF(ABS('07_CONTINUOUS_CODEBOOK'!N20)&lt;'04_CODEBOOK_CONTROL'!$B$15,0,SIGN('07_CONTINUOUS_CODEBOOK'!N20)*IF(ABS('07_CONTINUOUS_CODEBOOK'!N20)&lt;'04_CODEBOOK_CONTROL'!$B$16,1,IF(ABS('07_CONTINUOUS_CODEBOOK'!N20)&lt;'04_CODEBOOK_CONTROL'!$B$17,2,3)))</f>
        <v/>
      </c>
      <c r="O20" s="7">
        <f>IF(ABS('07_CONTINUOUS_CODEBOOK'!O20)&lt;'04_CODEBOOK_CONTROL'!$B$15,0,SIGN('07_CONTINUOUS_CODEBOOK'!O20)*IF(ABS('07_CONTINUOUS_CODEBOOK'!O20)&lt;'04_CODEBOOK_CONTROL'!$B$16,1,IF(ABS('07_CONTINUOUS_CODEBOOK'!O20)&lt;'04_CODEBOOK_CONTROL'!$B$17,2,3)))</f>
        <v/>
      </c>
      <c r="P20" s="7">
        <f>IF(ABS('07_CONTINUOUS_CODEBOOK'!P20)&lt;'04_CODEBOOK_CONTROL'!$B$15,0,SIGN('07_CONTINUOUS_CODEBOOK'!P20)*IF(ABS('07_CONTINUOUS_CODEBOOK'!P20)&lt;'04_CODEBOOK_CONTROL'!$B$16,1,IF(ABS('07_CONTINUOUS_CODEBOOK'!P20)&lt;'04_CODEBOOK_CONTROL'!$B$17,2,3)))</f>
        <v/>
      </c>
      <c r="Q20" s="7">
        <f>IF(ABS('07_CONTINUOUS_CODEBOOK'!Q20)&lt;'04_CODEBOOK_CONTROL'!$B$15,0,SIGN('07_CONTINUOUS_CODEBOOK'!Q20)*IF(ABS('07_CONTINUOUS_CODEBOOK'!Q20)&lt;'04_CODEBOOK_CONTROL'!$B$16,1,IF(ABS('07_CONTINUOUS_CODEBOOK'!Q20)&lt;'04_CODEBOOK_CONTROL'!$B$17,2,3)))</f>
        <v/>
      </c>
      <c r="R20" s="7">
        <f>IF(ABS('07_CONTINUOUS_CODEBOOK'!R20)&lt;'04_CODEBOOK_CONTROL'!$B$15,0,SIGN('07_CONTINUOUS_CODEBOOK'!R20)*IF(ABS('07_CONTINUOUS_CODEBOOK'!R20)&lt;'04_CODEBOOK_CONTROL'!$B$16,1,IF(ABS('07_CONTINUOUS_CODEBOOK'!R20)&lt;'04_CODEBOOK_CONTROL'!$B$17,2,3)))</f>
        <v/>
      </c>
      <c r="S20" s="7">
        <f>IF(ABS('07_CONTINUOUS_CODEBOOK'!S20)&lt;'04_CODEBOOK_CONTROL'!$B$15,0,SIGN('07_CONTINUOUS_CODEBOOK'!S20)*IF(ABS('07_CONTINUOUS_CODEBOOK'!S20)&lt;'04_CODEBOOK_CONTROL'!$B$16,1,IF(ABS('07_CONTINUOUS_CODEBOOK'!S20)&lt;'04_CODEBOOK_CONTROL'!$B$17,2,3)))</f>
        <v/>
      </c>
      <c r="T20" s="7">
        <f>IF(ABS('07_CONTINUOUS_CODEBOOK'!T20)&lt;'04_CODEBOOK_CONTROL'!$B$15,0,SIGN('07_CONTINUOUS_CODEBOOK'!T20)*IF(ABS('07_CONTINUOUS_CODEBOOK'!T20)&lt;'04_CODEBOOK_CONTROL'!$B$16,1,IF(ABS('07_CONTINUOUS_CODEBOOK'!T20)&lt;'04_CODEBOOK_CONTROL'!$B$17,2,3)))</f>
        <v/>
      </c>
      <c r="U20" s="7">
        <f>IF(ABS('07_CONTINUOUS_CODEBOOK'!U20)&lt;'04_CODEBOOK_CONTROL'!$B$15,0,SIGN('07_CONTINUOUS_CODEBOOK'!U20)*IF(ABS('07_CONTINUOUS_CODEBOOK'!U20)&lt;'04_CODEBOOK_CONTROL'!$B$16,1,IF(ABS('07_CONTINUOUS_CODEBOOK'!U20)&lt;'04_CODEBOOK_CONTROL'!$B$17,2,3)))</f>
        <v/>
      </c>
      <c r="V20" s="7">
        <f>IF(ABS('07_CONTINUOUS_CODEBOOK'!V20)&lt;'04_CODEBOOK_CONTROL'!$B$15,0,SIGN('07_CONTINUOUS_CODEBOOK'!V20)*IF(ABS('07_CONTINUOUS_CODEBOOK'!V20)&lt;'04_CODEBOOK_CONTROL'!$B$16,1,IF(ABS('07_CONTINUOUS_CODEBOOK'!V20)&lt;'04_CODEBOOK_CONTROL'!$B$17,2,3)))</f>
        <v/>
      </c>
      <c r="W20" s="7">
        <f>IF(ABS('07_CONTINUOUS_CODEBOOK'!W20)&lt;'04_CODEBOOK_CONTROL'!$B$15,0,SIGN('07_CONTINUOUS_CODEBOOK'!W20)*IF(ABS('07_CONTINUOUS_CODEBOOK'!W20)&lt;'04_CODEBOOK_CONTROL'!$B$16,1,IF(ABS('07_CONTINUOUS_CODEBOOK'!W20)&lt;'04_CODEBOOK_CONTROL'!$B$17,2,3)))</f>
        <v/>
      </c>
      <c r="X20" s="7">
        <f>IF(ABS('07_CONTINUOUS_CODEBOOK'!X20)&lt;'04_CODEBOOK_CONTROL'!$B$15,0,SIGN('07_CONTINUOUS_CODEBOOK'!X20)*IF(ABS('07_CONTINUOUS_CODEBOOK'!X20)&lt;'04_CODEBOOK_CONTROL'!$B$16,1,IF(ABS('07_CONTINUOUS_CODEBOOK'!X20)&lt;'04_CODEBOOK_CONTROL'!$B$17,2,3)))</f>
        <v/>
      </c>
      <c r="Y20" s="7">
        <f>IF(ABS('07_CONTINUOUS_CODEBOOK'!Y20)&lt;'04_CODEBOOK_CONTROL'!$B$15,0,SIGN('07_CONTINUOUS_CODEBOOK'!Y20)*IF(ABS('07_CONTINUOUS_CODEBOOK'!Y20)&lt;'04_CODEBOOK_CONTROL'!$B$16,1,IF(ABS('07_CONTINUOUS_CODEBOOK'!Y20)&lt;'04_CODEBOOK_CONTROL'!$B$17,2,3)))</f>
        <v/>
      </c>
      <c r="Z20" s="7">
        <f>IF(ABS('07_CONTINUOUS_CODEBOOK'!Z20)&lt;'04_CODEBOOK_CONTROL'!$B$15,0,SIGN('07_CONTINUOUS_CODEBOOK'!Z20)*IF(ABS('07_CONTINUOUS_CODEBOOK'!Z20)&lt;'04_CODEBOOK_CONTROL'!$B$16,1,IF(ABS('07_CONTINUOUS_CODEBOOK'!Z20)&lt;'04_CODEBOOK_CONTROL'!$B$17,2,3)))</f>
        <v/>
      </c>
      <c r="AA20" s="7">
        <f>IF(ABS('07_CONTINUOUS_CODEBOOK'!AA20)&lt;'04_CODEBOOK_CONTROL'!$B$15,0,SIGN('07_CONTINUOUS_CODEBOOK'!AA20)*IF(ABS('07_CONTINUOUS_CODEBOOK'!AA20)&lt;'04_CODEBOOK_CONTROL'!$B$16,1,IF(ABS('07_CONTINUOUS_CODEBOOK'!AA20)&lt;'04_CODEBOOK_CONTROL'!$B$17,2,3)))</f>
        <v/>
      </c>
      <c r="AB20" s="7">
        <f>IF(ABS('07_CONTINUOUS_CODEBOOK'!AB20)&lt;'04_CODEBOOK_CONTROL'!$B$15,0,SIGN('07_CONTINUOUS_CODEBOOK'!AB20)*IF(ABS('07_CONTINUOUS_CODEBOOK'!AB20)&lt;'04_CODEBOOK_CONTROL'!$B$16,1,IF(ABS('07_CONTINUOUS_CODEBOOK'!AB20)&lt;'04_CODEBOOK_CONTROL'!$B$17,2,3)))</f>
        <v/>
      </c>
      <c r="AC20" s="7">
        <f>IF(ABS('07_CONTINUOUS_CODEBOOK'!AC20)&lt;'04_CODEBOOK_CONTROL'!$B$15,0,SIGN('07_CONTINUOUS_CODEBOOK'!AC20)*IF(ABS('07_CONTINUOUS_CODEBOOK'!AC20)&lt;'04_CODEBOOK_CONTROL'!$B$16,1,IF(ABS('07_CONTINUOUS_CODEBOOK'!AC20)&lt;'04_CODEBOOK_CONTROL'!$B$17,2,3)))</f>
        <v/>
      </c>
      <c r="AD20" s="7">
        <f>IF(ABS('07_CONTINUOUS_CODEBOOK'!AD20)&lt;'04_CODEBOOK_CONTROL'!$B$15,0,SIGN('07_CONTINUOUS_CODEBOOK'!AD20)*IF(ABS('07_CONTINUOUS_CODEBOOK'!AD20)&lt;'04_CODEBOOK_CONTROL'!$B$16,1,IF(ABS('07_CONTINUOUS_CODEBOOK'!AD20)&lt;'04_CODEBOOK_CONTROL'!$B$17,2,3)))</f>
        <v/>
      </c>
      <c r="AE20" s="7">
        <f>IF(ABS('07_CONTINUOUS_CODEBOOK'!AE20)&lt;'04_CODEBOOK_CONTROL'!$B$15,0,SIGN('07_CONTINUOUS_CODEBOOK'!AE20)*IF(ABS('07_CONTINUOUS_CODEBOOK'!AE20)&lt;'04_CODEBOOK_CONTROL'!$B$16,1,IF(ABS('07_CONTINUOUS_CODEBOOK'!AE20)&lt;'04_CODEBOOK_CONTROL'!$B$17,2,3)))</f>
        <v/>
      </c>
      <c r="AF20" s="7">
        <f>IF(ABS('07_CONTINUOUS_CODEBOOK'!AF20)&lt;'04_CODEBOOK_CONTROL'!$B$15,0,SIGN('07_CONTINUOUS_CODEBOOK'!AF20)*IF(ABS('07_CONTINUOUS_CODEBOOK'!AF20)&lt;'04_CODEBOOK_CONTROL'!$B$16,1,IF(ABS('07_CONTINUOUS_CODEBOOK'!AF20)&lt;'04_CODEBOOK_CONTROL'!$B$17,2,3)))</f>
        <v/>
      </c>
      <c r="AG20" s="7">
        <f>IF(ABS('07_CONTINUOUS_CODEBOOK'!AG20)&lt;'04_CODEBOOK_CONTROL'!$B$15,0,SIGN('07_CONTINUOUS_CODEBOOK'!AG20)*IF(ABS('07_CONTINUOUS_CODEBOOK'!AG20)&lt;'04_CODEBOOK_CONTROL'!$B$16,1,IF(ABS('07_CONTINUOUS_CODEBOOK'!AG20)&lt;'04_CODEBOOK_CONTROL'!$B$17,2,3)))</f>
        <v/>
      </c>
      <c r="AH20" s="7">
        <f>IF(ABS('07_CONTINUOUS_CODEBOOK'!AH20)&lt;'04_CODEBOOK_CONTROL'!$B$15,0,SIGN('07_CONTINUOUS_CODEBOOK'!AH20)*IF(ABS('07_CONTINUOUS_CODEBOOK'!AH20)&lt;'04_CODEBOOK_CONTROL'!$B$16,1,IF(ABS('07_CONTINUOUS_CODEBOOK'!AH20)&lt;'04_CODEBOOK_CONTROL'!$B$17,2,3)))</f>
        <v/>
      </c>
      <c r="AI20" s="7">
        <f>IF(ABS('07_CONTINUOUS_CODEBOOK'!AI20)&lt;'04_CODEBOOK_CONTROL'!$B$15,0,SIGN('07_CONTINUOUS_CODEBOOK'!AI20)*IF(ABS('07_CONTINUOUS_CODEBOOK'!AI20)&lt;'04_CODEBOOK_CONTROL'!$B$16,1,IF(ABS('07_CONTINUOUS_CODEBOOK'!AI20)&lt;'04_CODEBOOK_CONTROL'!$B$17,2,3)))</f>
        <v/>
      </c>
      <c r="AJ20" s="7">
        <f>IF(ABS('07_CONTINUOUS_CODEBOOK'!AJ20)&lt;'04_CODEBOOK_CONTROL'!$B$15,0,SIGN('07_CONTINUOUS_CODEBOOK'!AJ20)*IF(ABS('07_CONTINUOUS_CODEBOOK'!AJ20)&lt;'04_CODEBOOK_CONTROL'!$B$16,1,IF(ABS('07_CONTINUOUS_CODEBOOK'!AJ20)&lt;'04_CODEBOOK_CONTROL'!$B$17,2,3)))</f>
        <v/>
      </c>
      <c r="AK20" s="7">
        <f>IF(ABS('07_CONTINUOUS_CODEBOOK'!AK20)&lt;'04_CODEBOOK_CONTROL'!$B$15,0,SIGN('07_CONTINUOUS_CODEBOOK'!AK20)*IF(ABS('07_CONTINUOUS_CODEBOOK'!AK20)&lt;'04_CODEBOOK_CONTROL'!$B$16,1,IF(ABS('07_CONTINUOUS_CODEBOOK'!AK20)&lt;'04_CODEBOOK_CONTROL'!$B$17,2,3)))</f>
        <v/>
      </c>
      <c r="AL20" s="7">
        <f>IF(ABS('07_CONTINUOUS_CODEBOOK'!AL20)&lt;'04_CODEBOOK_CONTROL'!$B$15,0,SIGN('07_CONTINUOUS_CODEBOOK'!AL20)*IF(ABS('07_CONTINUOUS_CODEBOOK'!AL20)&lt;'04_CODEBOOK_CONTROL'!$B$16,1,IF(ABS('07_CONTINUOUS_CODEBOOK'!AL20)&lt;'04_CODEBOOK_CONTROL'!$B$17,2,3)))</f>
        <v/>
      </c>
      <c r="AM20" s="7">
        <f>IF(ABS('07_CONTINUOUS_CODEBOOK'!AM20)&lt;'04_CODEBOOK_CONTROL'!$B$15,0,SIGN('07_CONTINUOUS_CODEBOOK'!AM20)*IF(ABS('07_CONTINUOUS_CODEBOOK'!AM20)&lt;'04_CODEBOOK_CONTROL'!$B$16,1,IF(ABS('07_CONTINUOUS_CODEBOOK'!AM20)&lt;'04_CODEBOOK_CONTROL'!$B$17,2,3)))</f>
        <v/>
      </c>
      <c r="AN20" s="7">
        <f>IF(ABS('07_CONTINUOUS_CODEBOOK'!AN20)&lt;'04_CODEBOOK_CONTROL'!$B$15,0,SIGN('07_CONTINUOUS_CODEBOOK'!AN20)*IF(ABS('07_CONTINUOUS_CODEBOOK'!AN20)&lt;'04_CODEBOOK_CONTROL'!$B$16,1,IF(ABS('07_CONTINUOUS_CODEBOOK'!AN20)&lt;'04_CODEBOOK_CONTROL'!$B$17,2,3)))</f>
        <v/>
      </c>
      <c r="AO20" s="7">
        <f>IF(ABS('07_CONTINUOUS_CODEBOOK'!AO20)&lt;'04_CODEBOOK_CONTROL'!$B$15,0,SIGN('07_CONTINUOUS_CODEBOOK'!AO20)*IF(ABS('07_CONTINUOUS_CODEBOOK'!AO20)&lt;'04_CODEBOOK_CONTROL'!$B$16,1,IF(ABS('07_CONTINUOUS_CODEBOOK'!AO20)&lt;'04_CODEBOOK_CONTROL'!$B$17,2,3)))</f>
        <v/>
      </c>
      <c r="AP20" s="7">
        <f>IF(ABS('07_CONTINUOUS_CODEBOOK'!AP20)&lt;'04_CODEBOOK_CONTROL'!$B$15,0,SIGN('07_CONTINUOUS_CODEBOOK'!AP20)*IF(ABS('07_CONTINUOUS_CODEBOOK'!AP20)&lt;'04_CODEBOOK_CONTROL'!$B$16,1,IF(ABS('07_CONTINUOUS_CODEBOOK'!AP20)&lt;'04_CODEBOOK_CONTROL'!$B$17,2,3)))</f>
        <v/>
      </c>
      <c r="AQ20" s="7">
        <f>IF(ABS('07_CONTINUOUS_CODEBOOK'!AQ20)&lt;'04_CODEBOOK_CONTROL'!$B$15,0,SIGN('07_CONTINUOUS_CODEBOOK'!AQ20)*IF(ABS('07_CONTINUOUS_CODEBOOK'!AQ20)&lt;'04_CODEBOOK_CONTROL'!$B$16,1,IF(ABS('07_CONTINUOUS_CODEBOOK'!AQ20)&lt;'04_CODEBOOK_CONTROL'!$B$17,2,3)))</f>
        <v/>
      </c>
      <c r="AR20" s="7">
        <f>IF(ABS('07_CONTINUOUS_CODEBOOK'!AR20)&lt;'04_CODEBOOK_CONTROL'!$B$15,0,SIGN('07_CONTINUOUS_CODEBOOK'!AR20)*IF(ABS('07_CONTINUOUS_CODEBOOK'!AR20)&lt;'04_CODEBOOK_CONTROL'!$B$16,1,IF(ABS('07_CONTINUOUS_CODEBOOK'!AR20)&lt;'04_CODEBOOK_CONTROL'!$B$17,2,3)))</f>
        <v/>
      </c>
      <c r="AS20" s="7">
        <f>IF(ABS('07_CONTINUOUS_CODEBOOK'!AS20)&lt;'04_CODEBOOK_CONTROL'!$B$15,0,SIGN('07_CONTINUOUS_CODEBOOK'!AS20)*IF(ABS('07_CONTINUOUS_CODEBOOK'!AS20)&lt;'04_CODEBOOK_CONTROL'!$B$16,1,IF(ABS('07_CONTINUOUS_CODEBOOK'!AS20)&lt;'04_CODEBOOK_CONTROL'!$B$17,2,3)))</f>
        <v/>
      </c>
      <c r="AT20" s="7">
        <f>IF(ABS('07_CONTINUOUS_CODEBOOK'!AT20)&lt;'04_CODEBOOK_CONTROL'!$B$15,0,SIGN('07_CONTINUOUS_CODEBOOK'!AT20)*IF(ABS('07_CONTINUOUS_CODEBOOK'!AT20)&lt;'04_CODEBOOK_CONTROL'!$B$16,1,IF(ABS('07_CONTINUOUS_CODEBOOK'!AT20)&lt;'04_CODEBOOK_CONTROL'!$B$17,2,3)))</f>
        <v/>
      </c>
      <c r="AU20" s="7">
        <f>IF(ABS('07_CONTINUOUS_CODEBOOK'!AU20)&lt;'04_CODEBOOK_CONTROL'!$B$15,0,SIGN('07_CONTINUOUS_CODEBOOK'!AU20)*IF(ABS('07_CONTINUOUS_CODEBOOK'!AU20)&lt;'04_CODEBOOK_CONTROL'!$B$16,1,IF(ABS('07_CONTINUOUS_CODEBOOK'!AU20)&lt;'04_CODEBOOK_CONTROL'!$B$17,2,3)))</f>
        <v/>
      </c>
      <c r="AV20" s="7">
        <f>IF(ABS('07_CONTINUOUS_CODEBOOK'!AV20)&lt;'04_CODEBOOK_CONTROL'!$B$15,0,SIGN('07_CONTINUOUS_CODEBOOK'!AV20)*IF(ABS('07_CONTINUOUS_CODEBOOK'!AV20)&lt;'04_CODEBOOK_CONTROL'!$B$16,1,IF(ABS('07_CONTINUOUS_CODEBOOK'!AV20)&lt;'04_CODEBOOK_CONTROL'!$B$17,2,3)))</f>
        <v/>
      </c>
      <c r="AW20" s="7">
        <f>IF(ABS('07_CONTINUOUS_CODEBOOK'!AW20)&lt;'04_CODEBOOK_CONTROL'!$B$15,0,SIGN('07_CONTINUOUS_CODEBOOK'!AW20)*IF(ABS('07_CONTINUOUS_CODEBOOK'!AW20)&lt;'04_CODEBOOK_CONTROL'!$B$16,1,IF(ABS('07_CONTINUOUS_CODEBOOK'!AW20)&lt;'04_CODEBOOK_CONTROL'!$B$17,2,3)))</f>
        <v/>
      </c>
      <c r="AX20" s="7">
        <f>IF(ABS('07_CONTINUOUS_CODEBOOK'!AX20)&lt;'04_CODEBOOK_CONTROL'!$B$15,0,SIGN('07_CONTINUOUS_CODEBOOK'!AX20)*IF(ABS('07_CONTINUOUS_CODEBOOK'!AX20)&lt;'04_CODEBOOK_CONTROL'!$B$16,1,IF(ABS('07_CONTINUOUS_CODEBOOK'!AX20)&lt;'04_CODEBOOK_CONTROL'!$B$17,2,3)))</f>
        <v/>
      </c>
      <c r="AY20" s="7">
        <f>IF(ABS('07_CONTINUOUS_CODEBOOK'!AY20)&lt;'04_CODEBOOK_CONTROL'!$B$15,0,SIGN('07_CONTINUOUS_CODEBOOK'!AY20)*IF(ABS('07_CONTINUOUS_CODEBOOK'!AY20)&lt;'04_CODEBOOK_CONTROL'!$B$16,1,IF(ABS('07_CONTINUOUS_CODEBOOK'!AY20)&lt;'04_CODEBOOK_CONTROL'!$B$17,2,3)))</f>
        <v/>
      </c>
      <c r="AZ20" s="7">
        <f>IF(ABS('07_CONTINUOUS_CODEBOOK'!AZ20)&lt;'04_CODEBOOK_CONTROL'!$B$15,0,SIGN('07_CONTINUOUS_CODEBOOK'!AZ20)*IF(ABS('07_CONTINUOUS_CODEBOOK'!AZ20)&lt;'04_CODEBOOK_CONTROL'!$B$16,1,IF(ABS('07_CONTINUOUS_CODEBOOK'!AZ20)&lt;'04_CODEBOOK_CONTROL'!$B$17,2,3)))</f>
        <v/>
      </c>
      <c r="BA20" s="7">
        <f>IF(ABS('07_CONTINUOUS_CODEBOOK'!BA20)&lt;'04_CODEBOOK_CONTROL'!$B$15,0,SIGN('07_CONTINUOUS_CODEBOOK'!BA20)*IF(ABS('07_CONTINUOUS_CODEBOOK'!BA20)&lt;'04_CODEBOOK_CONTROL'!$B$16,1,IF(ABS('07_CONTINUOUS_CODEBOOK'!BA20)&lt;'04_CODEBOOK_CONTROL'!$B$17,2,3)))</f>
        <v/>
      </c>
      <c r="BB20" s="7">
        <f>IF(ABS('07_CONTINUOUS_CODEBOOK'!BB20)&lt;'04_CODEBOOK_CONTROL'!$B$15,0,SIGN('07_CONTINUOUS_CODEBOOK'!BB20)*IF(ABS('07_CONTINUOUS_CODEBOOK'!BB20)&lt;'04_CODEBOOK_CONTROL'!$B$16,1,IF(ABS('07_CONTINUOUS_CODEBOOK'!BB20)&lt;'04_CODEBOOK_CONTROL'!$B$17,2,3)))</f>
        <v/>
      </c>
      <c r="BC20" s="7">
        <f>IF(ABS('07_CONTINUOUS_CODEBOOK'!BC20)&lt;'04_CODEBOOK_CONTROL'!$B$15,0,SIGN('07_CONTINUOUS_CODEBOOK'!BC20)*IF(ABS('07_CONTINUOUS_CODEBOOK'!BC20)&lt;'04_CODEBOOK_CONTROL'!$B$16,1,IF(ABS('07_CONTINUOUS_CODEBOOK'!BC20)&lt;'04_CODEBOOK_CONTROL'!$B$17,2,3)))</f>
        <v/>
      </c>
      <c r="BD20" s="7">
        <f>IF(ABS('07_CONTINUOUS_CODEBOOK'!BD20)&lt;'04_CODEBOOK_CONTROL'!$B$15,0,SIGN('07_CONTINUOUS_CODEBOOK'!BD20)*IF(ABS('07_CONTINUOUS_CODEBOOK'!BD20)&lt;'04_CODEBOOK_CONTROL'!$B$16,1,IF(ABS('07_CONTINUOUS_CODEBOOK'!BD20)&lt;'04_CODEBOOK_CONTROL'!$B$17,2,3)))</f>
        <v/>
      </c>
      <c r="BE20" s="7">
        <f>IF(ABS('07_CONTINUOUS_CODEBOOK'!BE20)&lt;'04_CODEBOOK_CONTROL'!$B$15,0,SIGN('07_CONTINUOUS_CODEBOOK'!BE20)*IF(ABS('07_CONTINUOUS_CODEBOOK'!BE20)&lt;'04_CODEBOOK_CONTROL'!$B$16,1,IF(ABS('07_CONTINUOUS_CODEBOOK'!BE20)&lt;'04_CODEBOOK_CONTROL'!$B$17,2,3)))</f>
        <v/>
      </c>
      <c r="BF20" s="7">
        <f>IF(ABS('07_CONTINUOUS_CODEBOOK'!BF20)&lt;'04_CODEBOOK_CONTROL'!$B$15,0,SIGN('07_CONTINUOUS_CODEBOOK'!BF20)*IF(ABS('07_CONTINUOUS_CODEBOOK'!BF20)&lt;'04_CODEBOOK_CONTROL'!$B$16,1,IF(ABS('07_CONTINUOUS_CODEBOOK'!BF20)&lt;'04_CODEBOOK_CONTROL'!$B$17,2,3)))</f>
        <v/>
      </c>
      <c r="BG20" s="7">
        <f>IF(ABS('07_CONTINUOUS_CODEBOOK'!BG20)&lt;'04_CODEBOOK_CONTROL'!$B$15,0,SIGN('07_CONTINUOUS_CODEBOOK'!BG20)*IF(ABS('07_CONTINUOUS_CODEBOOK'!BG20)&lt;'04_CODEBOOK_CONTROL'!$B$16,1,IF(ABS('07_CONTINUOUS_CODEBOOK'!BG20)&lt;'04_CODEBOOK_CONTROL'!$B$17,2,3)))</f>
        <v/>
      </c>
      <c r="BH20" s="7">
        <f>IF(ABS('07_CONTINUOUS_CODEBOOK'!BH20)&lt;'04_CODEBOOK_CONTROL'!$B$15,0,SIGN('07_CONTINUOUS_CODEBOOK'!BH20)*IF(ABS('07_CONTINUOUS_CODEBOOK'!BH20)&lt;'04_CODEBOOK_CONTROL'!$B$16,1,IF(ABS('07_CONTINUOUS_CODEBOOK'!BH20)&lt;'04_CODEBOOK_CONTROL'!$B$17,2,3)))</f>
        <v/>
      </c>
      <c r="BI20" s="7">
        <f>IF(ABS('07_CONTINUOUS_CODEBOOK'!BI20)&lt;'04_CODEBOOK_CONTROL'!$B$15,0,SIGN('07_CONTINUOUS_CODEBOOK'!BI20)*IF(ABS('07_CONTINUOUS_CODEBOOK'!BI20)&lt;'04_CODEBOOK_CONTROL'!$B$16,1,IF(ABS('07_CONTINUOUS_CODEBOOK'!BI20)&lt;'04_CODEBOOK_CONTROL'!$B$17,2,3)))</f>
        <v/>
      </c>
      <c r="BJ20" s="7">
        <f>IF(ABS('07_CONTINUOUS_CODEBOOK'!BJ20)&lt;'04_CODEBOOK_CONTROL'!$B$15,0,SIGN('07_CONTINUOUS_CODEBOOK'!BJ20)*IF(ABS('07_CONTINUOUS_CODEBOOK'!BJ20)&lt;'04_CODEBOOK_CONTROL'!$B$16,1,IF(ABS('07_CONTINUOUS_CODEBOOK'!BJ20)&lt;'04_CODEBOOK_CONTROL'!$B$17,2,3)))</f>
        <v/>
      </c>
      <c r="BK20" s="7">
        <f>IF(ABS('07_CONTINUOUS_CODEBOOK'!BK20)&lt;'04_CODEBOOK_CONTROL'!$B$15,0,SIGN('07_CONTINUOUS_CODEBOOK'!BK20)*IF(ABS('07_CONTINUOUS_CODEBOOK'!BK20)&lt;'04_CODEBOOK_CONTROL'!$B$16,1,IF(ABS('07_CONTINUOUS_CODEBOOK'!BK20)&lt;'04_CODEBOOK_CONTROL'!$B$17,2,3)))</f>
        <v/>
      </c>
      <c r="BL20" s="7">
        <f>IF(ABS('07_CONTINUOUS_CODEBOOK'!BL20)&lt;'04_CODEBOOK_CONTROL'!$B$15,0,SIGN('07_CONTINUOUS_CODEBOOK'!BL20)*IF(ABS('07_CONTINUOUS_CODEBOOK'!BL20)&lt;'04_CODEBOOK_CONTROL'!$B$16,1,IF(ABS('07_CONTINUOUS_CODEBOOK'!BL20)&lt;'04_CODEBOOK_CONTROL'!$B$17,2,3)))</f>
        <v/>
      </c>
      <c r="BM20" s="7">
        <f>IF(ABS('07_CONTINUOUS_CODEBOOK'!BM20)&lt;'04_CODEBOOK_CONTROL'!$B$15,0,SIGN('07_CONTINUOUS_CODEBOOK'!BM20)*IF(ABS('07_CONTINUOUS_CODEBOOK'!BM20)&lt;'04_CODEBOOK_CONTROL'!$B$16,1,IF(ABS('07_CONTINUOUS_CODEBOOK'!BM20)&lt;'04_CODEBOOK_CONTROL'!$B$17,2,3)))</f>
        <v/>
      </c>
      <c r="BN20" s="7">
        <f>IF(ABS('07_CONTINUOUS_CODEBOOK'!BN20)&lt;'04_CODEBOOK_CONTROL'!$B$15,0,SIGN('07_CONTINUOUS_CODEBOOK'!BN20)*IF(ABS('07_CONTINUOUS_CODEBOOK'!BN20)&lt;'04_CODEBOOK_CONTROL'!$B$16,1,IF(ABS('07_CONTINUOUS_CODEBOOK'!BN20)&lt;'04_CODEBOOK_CONTROL'!$B$17,2,3)))</f>
        <v/>
      </c>
      <c r="BO20" s="7">
        <f>IF(ABS('07_CONTINUOUS_CODEBOOK'!BO20)&lt;'04_CODEBOOK_CONTROL'!$B$15,0,SIGN('07_CONTINUOUS_CODEBOOK'!BO20)*IF(ABS('07_CONTINUOUS_CODEBOOK'!BO20)&lt;'04_CODEBOOK_CONTROL'!$B$16,1,IF(ABS('07_CONTINUOUS_CODEBOOK'!BO20)&lt;'04_CODEBOOK_CONTROL'!$B$17,2,3)))</f>
        <v/>
      </c>
      <c r="BP20" s="7">
        <f>IF(ABS('07_CONTINUOUS_CODEBOOK'!BP20)&lt;'04_CODEBOOK_CONTROL'!$B$15,0,SIGN('07_CONTINUOUS_CODEBOOK'!BP20)*IF(ABS('07_CONTINUOUS_CODEBOOK'!BP20)&lt;'04_CODEBOOK_CONTROL'!$B$16,1,IF(ABS('07_CONTINUOUS_CODEBOOK'!BP20)&lt;'04_CODEBOOK_CONTROL'!$B$17,2,3)))</f>
        <v/>
      </c>
      <c r="BQ20" s="7">
        <f>IF(ABS('07_CONTINUOUS_CODEBOOK'!BQ20)&lt;'04_CODEBOOK_CONTROL'!$B$15,0,SIGN('07_CONTINUOUS_CODEBOOK'!BQ20)*IF(ABS('07_CONTINUOUS_CODEBOOK'!BQ20)&lt;'04_CODEBOOK_CONTROL'!$B$16,1,IF(ABS('07_CONTINUOUS_CODEBOOK'!BQ20)&lt;'04_CODEBOOK_CONTROL'!$B$17,2,3)))</f>
        <v/>
      </c>
      <c r="BR20" s="7">
        <f>IF(ABS('07_CONTINUOUS_CODEBOOK'!BR20)&lt;'04_CODEBOOK_CONTROL'!$B$15,0,SIGN('07_CONTINUOUS_CODEBOOK'!BR20)*IF(ABS('07_CONTINUOUS_CODEBOOK'!BR20)&lt;'04_CODEBOOK_CONTROL'!$B$16,1,IF(ABS('07_CONTINUOUS_CODEBOOK'!BR20)&lt;'04_CODEBOOK_CONTROL'!$B$17,2,3)))</f>
        <v/>
      </c>
      <c r="BS20" s="7">
        <f>IF(ABS('07_CONTINUOUS_CODEBOOK'!BS20)&lt;'04_CODEBOOK_CONTROL'!$B$15,0,SIGN('07_CONTINUOUS_CODEBOOK'!BS20)*IF(ABS('07_CONTINUOUS_CODEBOOK'!BS20)&lt;'04_CODEBOOK_CONTROL'!$B$16,1,IF(ABS('07_CONTINUOUS_CODEBOOK'!BS20)&lt;'04_CODEBOOK_CONTROL'!$B$17,2,3)))</f>
        <v/>
      </c>
      <c r="BT20" s="7">
        <f>IF(ABS('07_CONTINUOUS_CODEBOOK'!BT20)&lt;'04_CODEBOOK_CONTROL'!$B$15,0,SIGN('07_CONTINUOUS_CODEBOOK'!BT20)*IF(ABS('07_CONTINUOUS_CODEBOOK'!BT20)&lt;'04_CODEBOOK_CONTROL'!$B$16,1,IF(ABS('07_CONTINUOUS_CODEBOOK'!BT20)&lt;'04_CODEBOOK_CONTROL'!$B$17,2,3)))</f>
        <v/>
      </c>
      <c r="BU20" s="7">
        <f>IF(ABS('07_CONTINUOUS_CODEBOOK'!BU20)&lt;'04_CODEBOOK_CONTROL'!$B$15,0,SIGN('07_CONTINUOUS_CODEBOOK'!BU20)*IF(ABS('07_CONTINUOUS_CODEBOOK'!BU20)&lt;'04_CODEBOOK_CONTROL'!$B$16,1,IF(ABS('07_CONTINUOUS_CODEBOOK'!BU20)&lt;'04_CODEBOOK_CONTROL'!$B$17,2,3)))</f>
        <v/>
      </c>
      <c r="BV20" s="7">
        <f>IF(ABS('07_CONTINUOUS_CODEBOOK'!BV20)&lt;'04_CODEBOOK_CONTROL'!$B$15,0,SIGN('07_CONTINUOUS_CODEBOOK'!BV20)*IF(ABS('07_CONTINUOUS_CODEBOOK'!BV20)&lt;'04_CODEBOOK_CONTROL'!$B$16,1,IF(ABS('07_CONTINUOUS_CODEBOOK'!BV20)&lt;'04_CODEBOOK_CONTROL'!$B$17,2,3)))</f>
        <v/>
      </c>
      <c r="BW20" s="7">
        <f>IF(ABS('07_CONTINUOUS_CODEBOOK'!BW20)&lt;'04_CODEBOOK_CONTROL'!$B$15,0,SIGN('07_CONTINUOUS_CODEBOOK'!BW20)*IF(ABS('07_CONTINUOUS_CODEBOOK'!BW20)&lt;'04_CODEBOOK_CONTROL'!$B$16,1,IF(ABS('07_CONTINUOUS_CODEBOOK'!BW20)&lt;'04_CODEBOOK_CONTROL'!$B$17,2,3)))</f>
        <v/>
      </c>
      <c r="BX20" s="7">
        <f>IF(ABS('07_CONTINUOUS_CODEBOOK'!BX20)&lt;'04_CODEBOOK_CONTROL'!$B$15,0,SIGN('07_CONTINUOUS_CODEBOOK'!BX20)*IF(ABS('07_CONTINUOUS_CODEBOOK'!BX20)&lt;'04_CODEBOOK_CONTROL'!$B$16,1,IF(ABS('07_CONTINUOUS_CODEBOOK'!BX20)&lt;'04_CODEBOOK_CONTROL'!$B$17,2,3)))</f>
        <v/>
      </c>
      <c r="BY20" s="7">
        <f>IF(ABS('07_CONTINUOUS_CODEBOOK'!BY20)&lt;'04_CODEBOOK_CONTROL'!$B$15,0,SIGN('07_CONTINUOUS_CODEBOOK'!BY20)*IF(ABS('07_CONTINUOUS_CODEBOOK'!BY20)&lt;'04_CODEBOOK_CONTROL'!$B$16,1,IF(ABS('07_CONTINUOUS_CODEBOOK'!BY20)&lt;'04_CODEBOOK_CONTROL'!$B$17,2,3)))</f>
        <v/>
      </c>
      <c r="BZ20" s="7">
        <f>IF(ABS('07_CONTINUOUS_CODEBOOK'!BZ20)&lt;'04_CODEBOOK_CONTROL'!$B$15,0,SIGN('07_CONTINUOUS_CODEBOOK'!BZ20)*IF(ABS('07_CONTINUOUS_CODEBOOK'!BZ20)&lt;'04_CODEBOOK_CONTROL'!$B$16,1,IF(ABS('07_CONTINUOUS_CODEBOOK'!BZ20)&lt;'04_CODEBOOK_CONTROL'!$B$17,2,3)))</f>
        <v/>
      </c>
      <c r="CA20" s="7">
        <f>IF(ABS('07_CONTINUOUS_CODEBOOK'!CA20)&lt;'04_CODEBOOK_CONTROL'!$B$15,0,SIGN('07_CONTINUOUS_CODEBOOK'!CA20)*IF(ABS('07_CONTINUOUS_CODEBOOK'!CA20)&lt;'04_CODEBOOK_CONTROL'!$B$16,1,IF(ABS('07_CONTINUOUS_CODEBOOK'!CA20)&lt;'04_CODEBOOK_CONTROL'!$B$17,2,3)))</f>
        <v/>
      </c>
      <c r="CB20" s="7">
        <f>IF(ABS('07_CONTINUOUS_CODEBOOK'!CB20)&lt;'04_CODEBOOK_CONTROL'!$B$15,0,SIGN('07_CONTINUOUS_CODEBOOK'!CB20)*IF(ABS('07_CONTINUOUS_CODEBOOK'!CB20)&lt;'04_CODEBOOK_CONTROL'!$B$16,1,IF(ABS('07_CONTINUOUS_CODEBOOK'!CB20)&lt;'04_CODEBOOK_CONTROL'!$B$17,2,3)))</f>
        <v/>
      </c>
      <c r="CC20" s="7">
        <f>IF(ABS('07_CONTINUOUS_CODEBOOK'!CC20)&lt;'04_CODEBOOK_CONTROL'!$B$15,0,SIGN('07_CONTINUOUS_CODEBOOK'!CC20)*IF(ABS('07_CONTINUOUS_CODEBOOK'!CC20)&lt;'04_CODEBOOK_CONTROL'!$B$16,1,IF(ABS('07_CONTINUOUS_CODEBOOK'!CC20)&lt;'04_CODEBOOK_CONTROL'!$B$17,2,3)))</f>
        <v/>
      </c>
      <c r="CD20" s="7">
        <f>IF(ABS('07_CONTINUOUS_CODEBOOK'!CD20)&lt;'04_CODEBOOK_CONTROL'!$B$15,0,SIGN('07_CONTINUOUS_CODEBOOK'!CD20)*IF(ABS('07_CONTINUOUS_CODEBOOK'!CD20)&lt;'04_CODEBOOK_CONTROL'!$B$16,1,IF(ABS('07_CONTINUOUS_CODEBOOK'!CD20)&lt;'04_CODEBOOK_CONTROL'!$B$17,2,3)))</f>
        <v/>
      </c>
      <c r="CE20" s="7">
        <f>IF(ABS('07_CONTINUOUS_CODEBOOK'!CE20)&lt;'04_CODEBOOK_CONTROL'!$B$15,0,SIGN('07_CONTINUOUS_CODEBOOK'!CE20)*IF(ABS('07_CONTINUOUS_CODEBOOK'!CE20)&lt;'04_CODEBOOK_CONTROL'!$B$16,1,IF(ABS('07_CONTINUOUS_CODEBOOK'!CE20)&lt;'04_CODEBOOK_CONTROL'!$B$17,2,3)))</f>
        <v/>
      </c>
    </row>
    <row r="21">
      <c r="A21" t="n">
        <v>17</v>
      </c>
      <c r="B21" t="inlineStr">
        <is>
          <t>天龍座人</t>
        </is>
      </c>
      <c r="C21" t="inlineStr">
        <is>
          <t>Draconian</t>
        </is>
      </c>
      <c r="D21" s="7">
        <f>IF(ABS('07_CONTINUOUS_CODEBOOK'!D21)&lt;'04_CODEBOOK_CONTROL'!$B$15,0,SIGN('07_CONTINUOUS_CODEBOOK'!D21)*IF(ABS('07_CONTINUOUS_CODEBOOK'!D21)&lt;'04_CODEBOOK_CONTROL'!$B$16,1,IF(ABS('07_CONTINUOUS_CODEBOOK'!D21)&lt;'04_CODEBOOK_CONTROL'!$B$17,2,3)))</f>
        <v/>
      </c>
      <c r="E21" s="7">
        <f>IF(ABS('07_CONTINUOUS_CODEBOOK'!E21)&lt;'04_CODEBOOK_CONTROL'!$B$15,0,SIGN('07_CONTINUOUS_CODEBOOK'!E21)*IF(ABS('07_CONTINUOUS_CODEBOOK'!E21)&lt;'04_CODEBOOK_CONTROL'!$B$16,1,IF(ABS('07_CONTINUOUS_CODEBOOK'!E21)&lt;'04_CODEBOOK_CONTROL'!$B$17,2,3)))</f>
        <v/>
      </c>
      <c r="F21" s="7">
        <f>IF(ABS('07_CONTINUOUS_CODEBOOK'!F21)&lt;'04_CODEBOOK_CONTROL'!$B$15,0,SIGN('07_CONTINUOUS_CODEBOOK'!F21)*IF(ABS('07_CONTINUOUS_CODEBOOK'!F21)&lt;'04_CODEBOOK_CONTROL'!$B$16,1,IF(ABS('07_CONTINUOUS_CODEBOOK'!F21)&lt;'04_CODEBOOK_CONTROL'!$B$17,2,3)))</f>
        <v/>
      </c>
      <c r="G21" s="7">
        <f>IF(ABS('07_CONTINUOUS_CODEBOOK'!G21)&lt;'04_CODEBOOK_CONTROL'!$B$15,0,SIGN('07_CONTINUOUS_CODEBOOK'!G21)*IF(ABS('07_CONTINUOUS_CODEBOOK'!G21)&lt;'04_CODEBOOK_CONTROL'!$B$16,1,IF(ABS('07_CONTINUOUS_CODEBOOK'!G21)&lt;'04_CODEBOOK_CONTROL'!$B$17,2,3)))</f>
        <v/>
      </c>
      <c r="H21" s="7">
        <f>IF(ABS('07_CONTINUOUS_CODEBOOK'!H21)&lt;'04_CODEBOOK_CONTROL'!$B$15,0,SIGN('07_CONTINUOUS_CODEBOOK'!H21)*IF(ABS('07_CONTINUOUS_CODEBOOK'!H21)&lt;'04_CODEBOOK_CONTROL'!$B$16,1,IF(ABS('07_CONTINUOUS_CODEBOOK'!H21)&lt;'04_CODEBOOK_CONTROL'!$B$17,2,3)))</f>
        <v/>
      </c>
      <c r="I21" s="7">
        <f>IF(ABS('07_CONTINUOUS_CODEBOOK'!I21)&lt;'04_CODEBOOK_CONTROL'!$B$15,0,SIGN('07_CONTINUOUS_CODEBOOK'!I21)*IF(ABS('07_CONTINUOUS_CODEBOOK'!I21)&lt;'04_CODEBOOK_CONTROL'!$B$16,1,IF(ABS('07_CONTINUOUS_CODEBOOK'!I21)&lt;'04_CODEBOOK_CONTROL'!$B$17,2,3)))</f>
        <v/>
      </c>
      <c r="J21" s="7">
        <f>IF(ABS('07_CONTINUOUS_CODEBOOK'!J21)&lt;'04_CODEBOOK_CONTROL'!$B$15,0,SIGN('07_CONTINUOUS_CODEBOOK'!J21)*IF(ABS('07_CONTINUOUS_CODEBOOK'!J21)&lt;'04_CODEBOOK_CONTROL'!$B$16,1,IF(ABS('07_CONTINUOUS_CODEBOOK'!J21)&lt;'04_CODEBOOK_CONTROL'!$B$17,2,3)))</f>
        <v/>
      </c>
      <c r="K21" s="7">
        <f>IF(ABS('07_CONTINUOUS_CODEBOOK'!K21)&lt;'04_CODEBOOK_CONTROL'!$B$15,0,SIGN('07_CONTINUOUS_CODEBOOK'!K21)*IF(ABS('07_CONTINUOUS_CODEBOOK'!K21)&lt;'04_CODEBOOK_CONTROL'!$B$16,1,IF(ABS('07_CONTINUOUS_CODEBOOK'!K21)&lt;'04_CODEBOOK_CONTROL'!$B$17,2,3)))</f>
        <v/>
      </c>
      <c r="L21" s="7">
        <f>IF(ABS('07_CONTINUOUS_CODEBOOK'!L21)&lt;'04_CODEBOOK_CONTROL'!$B$15,0,SIGN('07_CONTINUOUS_CODEBOOK'!L21)*IF(ABS('07_CONTINUOUS_CODEBOOK'!L21)&lt;'04_CODEBOOK_CONTROL'!$B$16,1,IF(ABS('07_CONTINUOUS_CODEBOOK'!L21)&lt;'04_CODEBOOK_CONTROL'!$B$17,2,3)))</f>
        <v/>
      </c>
      <c r="M21" s="7">
        <f>IF(ABS('07_CONTINUOUS_CODEBOOK'!M21)&lt;'04_CODEBOOK_CONTROL'!$B$15,0,SIGN('07_CONTINUOUS_CODEBOOK'!M21)*IF(ABS('07_CONTINUOUS_CODEBOOK'!M21)&lt;'04_CODEBOOK_CONTROL'!$B$16,1,IF(ABS('07_CONTINUOUS_CODEBOOK'!M21)&lt;'04_CODEBOOK_CONTROL'!$B$17,2,3)))</f>
        <v/>
      </c>
      <c r="N21" s="7">
        <f>IF(ABS('07_CONTINUOUS_CODEBOOK'!N21)&lt;'04_CODEBOOK_CONTROL'!$B$15,0,SIGN('07_CONTINUOUS_CODEBOOK'!N21)*IF(ABS('07_CONTINUOUS_CODEBOOK'!N21)&lt;'04_CODEBOOK_CONTROL'!$B$16,1,IF(ABS('07_CONTINUOUS_CODEBOOK'!N21)&lt;'04_CODEBOOK_CONTROL'!$B$17,2,3)))</f>
        <v/>
      </c>
      <c r="O21" s="7">
        <f>IF(ABS('07_CONTINUOUS_CODEBOOK'!O21)&lt;'04_CODEBOOK_CONTROL'!$B$15,0,SIGN('07_CONTINUOUS_CODEBOOK'!O21)*IF(ABS('07_CONTINUOUS_CODEBOOK'!O21)&lt;'04_CODEBOOK_CONTROL'!$B$16,1,IF(ABS('07_CONTINUOUS_CODEBOOK'!O21)&lt;'04_CODEBOOK_CONTROL'!$B$17,2,3)))</f>
        <v/>
      </c>
      <c r="P21" s="7">
        <f>IF(ABS('07_CONTINUOUS_CODEBOOK'!P21)&lt;'04_CODEBOOK_CONTROL'!$B$15,0,SIGN('07_CONTINUOUS_CODEBOOK'!P21)*IF(ABS('07_CONTINUOUS_CODEBOOK'!P21)&lt;'04_CODEBOOK_CONTROL'!$B$16,1,IF(ABS('07_CONTINUOUS_CODEBOOK'!P21)&lt;'04_CODEBOOK_CONTROL'!$B$17,2,3)))</f>
        <v/>
      </c>
      <c r="Q21" s="7">
        <f>IF(ABS('07_CONTINUOUS_CODEBOOK'!Q21)&lt;'04_CODEBOOK_CONTROL'!$B$15,0,SIGN('07_CONTINUOUS_CODEBOOK'!Q21)*IF(ABS('07_CONTINUOUS_CODEBOOK'!Q21)&lt;'04_CODEBOOK_CONTROL'!$B$16,1,IF(ABS('07_CONTINUOUS_CODEBOOK'!Q21)&lt;'04_CODEBOOK_CONTROL'!$B$17,2,3)))</f>
        <v/>
      </c>
      <c r="R21" s="7">
        <f>IF(ABS('07_CONTINUOUS_CODEBOOK'!R21)&lt;'04_CODEBOOK_CONTROL'!$B$15,0,SIGN('07_CONTINUOUS_CODEBOOK'!R21)*IF(ABS('07_CONTINUOUS_CODEBOOK'!R21)&lt;'04_CODEBOOK_CONTROL'!$B$16,1,IF(ABS('07_CONTINUOUS_CODEBOOK'!R21)&lt;'04_CODEBOOK_CONTROL'!$B$17,2,3)))</f>
        <v/>
      </c>
      <c r="S21" s="7">
        <f>IF(ABS('07_CONTINUOUS_CODEBOOK'!S21)&lt;'04_CODEBOOK_CONTROL'!$B$15,0,SIGN('07_CONTINUOUS_CODEBOOK'!S21)*IF(ABS('07_CONTINUOUS_CODEBOOK'!S21)&lt;'04_CODEBOOK_CONTROL'!$B$16,1,IF(ABS('07_CONTINUOUS_CODEBOOK'!S21)&lt;'04_CODEBOOK_CONTROL'!$B$17,2,3)))</f>
        <v/>
      </c>
      <c r="T21" s="7">
        <f>IF(ABS('07_CONTINUOUS_CODEBOOK'!T21)&lt;'04_CODEBOOK_CONTROL'!$B$15,0,SIGN('07_CONTINUOUS_CODEBOOK'!T21)*IF(ABS('07_CONTINUOUS_CODEBOOK'!T21)&lt;'04_CODEBOOK_CONTROL'!$B$16,1,IF(ABS('07_CONTINUOUS_CODEBOOK'!T21)&lt;'04_CODEBOOK_CONTROL'!$B$17,2,3)))</f>
        <v/>
      </c>
      <c r="U21" s="7">
        <f>IF(ABS('07_CONTINUOUS_CODEBOOK'!U21)&lt;'04_CODEBOOK_CONTROL'!$B$15,0,SIGN('07_CONTINUOUS_CODEBOOK'!U21)*IF(ABS('07_CONTINUOUS_CODEBOOK'!U21)&lt;'04_CODEBOOK_CONTROL'!$B$16,1,IF(ABS('07_CONTINUOUS_CODEBOOK'!U21)&lt;'04_CODEBOOK_CONTROL'!$B$17,2,3)))</f>
        <v/>
      </c>
      <c r="V21" s="7">
        <f>IF(ABS('07_CONTINUOUS_CODEBOOK'!V21)&lt;'04_CODEBOOK_CONTROL'!$B$15,0,SIGN('07_CONTINUOUS_CODEBOOK'!V21)*IF(ABS('07_CONTINUOUS_CODEBOOK'!V21)&lt;'04_CODEBOOK_CONTROL'!$B$16,1,IF(ABS('07_CONTINUOUS_CODEBOOK'!V21)&lt;'04_CODEBOOK_CONTROL'!$B$17,2,3)))</f>
        <v/>
      </c>
      <c r="W21" s="7">
        <f>IF(ABS('07_CONTINUOUS_CODEBOOK'!W21)&lt;'04_CODEBOOK_CONTROL'!$B$15,0,SIGN('07_CONTINUOUS_CODEBOOK'!W21)*IF(ABS('07_CONTINUOUS_CODEBOOK'!W21)&lt;'04_CODEBOOK_CONTROL'!$B$16,1,IF(ABS('07_CONTINUOUS_CODEBOOK'!W21)&lt;'04_CODEBOOK_CONTROL'!$B$17,2,3)))</f>
        <v/>
      </c>
      <c r="X21" s="7">
        <f>IF(ABS('07_CONTINUOUS_CODEBOOK'!X21)&lt;'04_CODEBOOK_CONTROL'!$B$15,0,SIGN('07_CONTINUOUS_CODEBOOK'!X21)*IF(ABS('07_CONTINUOUS_CODEBOOK'!X21)&lt;'04_CODEBOOK_CONTROL'!$B$16,1,IF(ABS('07_CONTINUOUS_CODEBOOK'!X21)&lt;'04_CODEBOOK_CONTROL'!$B$17,2,3)))</f>
        <v/>
      </c>
      <c r="Y21" s="7">
        <f>IF(ABS('07_CONTINUOUS_CODEBOOK'!Y21)&lt;'04_CODEBOOK_CONTROL'!$B$15,0,SIGN('07_CONTINUOUS_CODEBOOK'!Y21)*IF(ABS('07_CONTINUOUS_CODEBOOK'!Y21)&lt;'04_CODEBOOK_CONTROL'!$B$16,1,IF(ABS('07_CONTINUOUS_CODEBOOK'!Y21)&lt;'04_CODEBOOK_CONTROL'!$B$17,2,3)))</f>
        <v/>
      </c>
      <c r="Z21" s="7">
        <f>IF(ABS('07_CONTINUOUS_CODEBOOK'!Z21)&lt;'04_CODEBOOK_CONTROL'!$B$15,0,SIGN('07_CONTINUOUS_CODEBOOK'!Z21)*IF(ABS('07_CONTINUOUS_CODEBOOK'!Z21)&lt;'04_CODEBOOK_CONTROL'!$B$16,1,IF(ABS('07_CONTINUOUS_CODEBOOK'!Z21)&lt;'04_CODEBOOK_CONTROL'!$B$17,2,3)))</f>
        <v/>
      </c>
      <c r="AA21" s="7">
        <f>IF(ABS('07_CONTINUOUS_CODEBOOK'!AA21)&lt;'04_CODEBOOK_CONTROL'!$B$15,0,SIGN('07_CONTINUOUS_CODEBOOK'!AA21)*IF(ABS('07_CONTINUOUS_CODEBOOK'!AA21)&lt;'04_CODEBOOK_CONTROL'!$B$16,1,IF(ABS('07_CONTINUOUS_CODEBOOK'!AA21)&lt;'04_CODEBOOK_CONTROL'!$B$17,2,3)))</f>
        <v/>
      </c>
      <c r="AB21" s="7">
        <f>IF(ABS('07_CONTINUOUS_CODEBOOK'!AB21)&lt;'04_CODEBOOK_CONTROL'!$B$15,0,SIGN('07_CONTINUOUS_CODEBOOK'!AB21)*IF(ABS('07_CONTINUOUS_CODEBOOK'!AB21)&lt;'04_CODEBOOK_CONTROL'!$B$16,1,IF(ABS('07_CONTINUOUS_CODEBOOK'!AB21)&lt;'04_CODEBOOK_CONTROL'!$B$17,2,3)))</f>
        <v/>
      </c>
      <c r="AC21" s="7">
        <f>IF(ABS('07_CONTINUOUS_CODEBOOK'!AC21)&lt;'04_CODEBOOK_CONTROL'!$B$15,0,SIGN('07_CONTINUOUS_CODEBOOK'!AC21)*IF(ABS('07_CONTINUOUS_CODEBOOK'!AC21)&lt;'04_CODEBOOK_CONTROL'!$B$16,1,IF(ABS('07_CONTINUOUS_CODEBOOK'!AC21)&lt;'04_CODEBOOK_CONTROL'!$B$17,2,3)))</f>
        <v/>
      </c>
      <c r="AD21" s="7">
        <f>IF(ABS('07_CONTINUOUS_CODEBOOK'!AD21)&lt;'04_CODEBOOK_CONTROL'!$B$15,0,SIGN('07_CONTINUOUS_CODEBOOK'!AD21)*IF(ABS('07_CONTINUOUS_CODEBOOK'!AD21)&lt;'04_CODEBOOK_CONTROL'!$B$16,1,IF(ABS('07_CONTINUOUS_CODEBOOK'!AD21)&lt;'04_CODEBOOK_CONTROL'!$B$17,2,3)))</f>
        <v/>
      </c>
      <c r="AE21" s="7">
        <f>IF(ABS('07_CONTINUOUS_CODEBOOK'!AE21)&lt;'04_CODEBOOK_CONTROL'!$B$15,0,SIGN('07_CONTINUOUS_CODEBOOK'!AE21)*IF(ABS('07_CONTINUOUS_CODEBOOK'!AE21)&lt;'04_CODEBOOK_CONTROL'!$B$16,1,IF(ABS('07_CONTINUOUS_CODEBOOK'!AE21)&lt;'04_CODEBOOK_CONTROL'!$B$17,2,3)))</f>
        <v/>
      </c>
      <c r="AF21" s="7">
        <f>IF(ABS('07_CONTINUOUS_CODEBOOK'!AF21)&lt;'04_CODEBOOK_CONTROL'!$B$15,0,SIGN('07_CONTINUOUS_CODEBOOK'!AF21)*IF(ABS('07_CONTINUOUS_CODEBOOK'!AF21)&lt;'04_CODEBOOK_CONTROL'!$B$16,1,IF(ABS('07_CONTINUOUS_CODEBOOK'!AF21)&lt;'04_CODEBOOK_CONTROL'!$B$17,2,3)))</f>
        <v/>
      </c>
      <c r="AG21" s="7">
        <f>IF(ABS('07_CONTINUOUS_CODEBOOK'!AG21)&lt;'04_CODEBOOK_CONTROL'!$B$15,0,SIGN('07_CONTINUOUS_CODEBOOK'!AG21)*IF(ABS('07_CONTINUOUS_CODEBOOK'!AG21)&lt;'04_CODEBOOK_CONTROL'!$B$16,1,IF(ABS('07_CONTINUOUS_CODEBOOK'!AG21)&lt;'04_CODEBOOK_CONTROL'!$B$17,2,3)))</f>
        <v/>
      </c>
      <c r="AH21" s="7">
        <f>IF(ABS('07_CONTINUOUS_CODEBOOK'!AH21)&lt;'04_CODEBOOK_CONTROL'!$B$15,0,SIGN('07_CONTINUOUS_CODEBOOK'!AH21)*IF(ABS('07_CONTINUOUS_CODEBOOK'!AH21)&lt;'04_CODEBOOK_CONTROL'!$B$16,1,IF(ABS('07_CONTINUOUS_CODEBOOK'!AH21)&lt;'04_CODEBOOK_CONTROL'!$B$17,2,3)))</f>
        <v/>
      </c>
      <c r="AI21" s="7">
        <f>IF(ABS('07_CONTINUOUS_CODEBOOK'!AI21)&lt;'04_CODEBOOK_CONTROL'!$B$15,0,SIGN('07_CONTINUOUS_CODEBOOK'!AI21)*IF(ABS('07_CONTINUOUS_CODEBOOK'!AI21)&lt;'04_CODEBOOK_CONTROL'!$B$16,1,IF(ABS('07_CONTINUOUS_CODEBOOK'!AI21)&lt;'04_CODEBOOK_CONTROL'!$B$17,2,3)))</f>
        <v/>
      </c>
      <c r="AJ21" s="7">
        <f>IF(ABS('07_CONTINUOUS_CODEBOOK'!AJ21)&lt;'04_CODEBOOK_CONTROL'!$B$15,0,SIGN('07_CONTINUOUS_CODEBOOK'!AJ21)*IF(ABS('07_CONTINUOUS_CODEBOOK'!AJ21)&lt;'04_CODEBOOK_CONTROL'!$B$16,1,IF(ABS('07_CONTINUOUS_CODEBOOK'!AJ21)&lt;'04_CODEBOOK_CONTROL'!$B$17,2,3)))</f>
        <v/>
      </c>
      <c r="AK21" s="7">
        <f>IF(ABS('07_CONTINUOUS_CODEBOOK'!AK21)&lt;'04_CODEBOOK_CONTROL'!$B$15,0,SIGN('07_CONTINUOUS_CODEBOOK'!AK21)*IF(ABS('07_CONTINUOUS_CODEBOOK'!AK21)&lt;'04_CODEBOOK_CONTROL'!$B$16,1,IF(ABS('07_CONTINUOUS_CODEBOOK'!AK21)&lt;'04_CODEBOOK_CONTROL'!$B$17,2,3)))</f>
        <v/>
      </c>
      <c r="AL21" s="7">
        <f>IF(ABS('07_CONTINUOUS_CODEBOOK'!AL21)&lt;'04_CODEBOOK_CONTROL'!$B$15,0,SIGN('07_CONTINUOUS_CODEBOOK'!AL21)*IF(ABS('07_CONTINUOUS_CODEBOOK'!AL21)&lt;'04_CODEBOOK_CONTROL'!$B$16,1,IF(ABS('07_CONTINUOUS_CODEBOOK'!AL21)&lt;'04_CODEBOOK_CONTROL'!$B$17,2,3)))</f>
        <v/>
      </c>
      <c r="AM21" s="7">
        <f>IF(ABS('07_CONTINUOUS_CODEBOOK'!AM21)&lt;'04_CODEBOOK_CONTROL'!$B$15,0,SIGN('07_CONTINUOUS_CODEBOOK'!AM21)*IF(ABS('07_CONTINUOUS_CODEBOOK'!AM21)&lt;'04_CODEBOOK_CONTROL'!$B$16,1,IF(ABS('07_CONTINUOUS_CODEBOOK'!AM21)&lt;'04_CODEBOOK_CONTROL'!$B$17,2,3)))</f>
        <v/>
      </c>
      <c r="AN21" s="7">
        <f>IF(ABS('07_CONTINUOUS_CODEBOOK'!AN21)&lt;'04_CODEBOOK_CONTROL'!$B$15,0,SIGN('07_CONTINUOUS_CODEBOOK'!AN21)*IF(ABS('07_CONTINUOUS_CODEBOOK'!AN21)&lt;'04_CODEBOOK_CONTROL'!$B$16,1,IF(ABS('07_CONTINUOUS_CODEBOOK'!AN21)&lt;'04_CODEBOOK_CONTROL'!$B$17,2,3)))</f>
        <v/>
      </c>
      <c r="AO21" s="7">
        <f>IF(ABS('07_CONTINUOUS_CODEBOOK'!AO21)&lt;'04_CODEBOOK_CONTROL'!$B$15,0,SIGN('07_CONTINUOUS_CODEBOOK'!AO21)*IF(ABS('07_CONTINUOUS_CODEBOOK'!AO21)&lt;'04_CODEBOOK_CONTROL'!$B$16,1,IF(ABS('07_CONTINUOUS_CODEBOOK'!AO21)&lt;'04_CODEBOOK_CONTROL'!$B$17,2,3)))</f>
        <v/>
      </c>
      <c r="AP21" s="7">
        <f>IF(ABS('07_CONTINUOUS_CODEBOOK'!AP21)&lt;'04_CODEBOOK_CONTROL'!$B$15,0,SIGN('07_CONTINUOUS_CODEBOOK'!AP21)*IF(ABS('07_CONTINUOUS_CODEBOOK'!AP21)&lt;'04_CODEBOOK_CONTROL'!$B$16,1,IF(ABS('07_CONTINUOUS_CODEBOOK'!AP21)&lt;'04_CODEBOOK_CONTROL'!$B$17,2,3)))</f>
        <v/>
      </c>
      <c r="AQ21" s="7">
        <f>IF(ABS('07_CONTINUOUS_CODEBOOK'!AQ21)&lt;'04_CODEBOOK_CONTROL'!$B$15,0,SIGN('07_CONTINUOUS_CODEBOOK'!AQ21)*IF(ABS('07_CONTINUOUS_CODEBOOK'!AQ21)&lt;'04_CODEBOOK_CONTROL'!$B$16,1,IF(ABS('07_CONTINUOUS_CODEBOOK'!AQ21)&lt;'04_CODEBOOK_CONTROL'!$B$17,2,3)))</f>
        <v/>
      </c>
      <c r="AR21" s="7">
        <f>IF(ABS('07_CONTINUOUS_CODEBOOK'!AR21)&lt;'04_CODEBOOK_CONTROL'!$B$15,0,SIGN('07_CONTINUOUS_CODEBOOK'!AR21)*IF(ABS('07_CONTINUOUS_CODEBOOK'!AR21)&lt;'04_CODEBOOK_CONTROL'!$B$16,1,IF(ABS('07_CONTINUOUS_CODEBOOK'!AR21)&lt;'04_CODEBOOK_CONTROL'!$B$17,2,3)))</f>
        <v/>
      </c>
      <c r="AS21" s="7">
        <f>IF(ABS('07_CONTINUOUS_CODEBOOK'!AS21)&lt;'04_CODEBOOK_CONTROL'!$B$15,0,SIGN('07_CONTINUOUS_CODEBOOK'!AS21)*IF(ABS('07_CONTINUOUS_CODEBOOK'!AS21)&lt;'04_CODEBOOK_CONTROL'!$B$16,1,IF(ABS('07_CONTINUOUS_CODEBOOK'!AS21)&lt;'04_CODEBOOK_CONTROL'!$B$17,2,3)))</f>
        <v/>
      </c>
      <c r="AT21" s="7">
        <f>IF(ABS('07_CONTINUOUS_CODEBOOK'!AT21)&lt;'04_CODEBOOK_CONTROL'!$B$15,0,SIGN('07_CONTINUOUS_CODEBOOK'!AT21)*IF(ABS('07_CONTINUOUS_CODEBOOK'!AT21)&lt;'04_CODEBOOK_CONTROL'!$B$16,1,IF(ABS('07_CONTINUOUS_CODEBOOK'!AT21)&lt;'04_CODEBOOK_CONTROL'!$B$17,2,3)))</f>
        <v/>
      </c>
      <c r="AU21" s="7">
        <f>IF(ABS('07_CONTINUOUS_CODEBOOK'!AU21)&lt;'04_CODEBOOK_CONTROL'!$B$15,0,SIGN('07_CONTINUOUS_CODEBOOK'!AU21)*IF(ABS('07_CONTINUOUS_CODEBOOK'!AU21)&lt;'04_CODEBOOK_CONTROL'!$B$16,1,IF(ABS('07_CONTINUOUS_CODEBOOK'!AU21)&lt;'04_CODEBOOK_CONTROL'!$B$17,2,3)))</f>
        <v/>
      </c>
      <c r="AV21" s="7">
        <f>IF(ABS('07_CONTINUOUS_CODEBOOK'!AV21)&lt;'04_CODEBOOK_CONTROL'!$B$15,0,SIGN('07_CONTINUOUS_CODEBOOK'!AV21)*IF(ABS('07_CONTINUOUS_CODEBOOK'!AV21)&lt;'04_CODEBOOK_CONTROL'!$B$16,1,IF(ABS('07_CONTINUOUS_CODEBOOK'!AV21)&lt;'04_CODEBOOK_CONTROL'!$B$17,2,3)))</f>
        <v/>
      </c>
      <c r="AW21" s="7">
        <f>IF(ABS('07_CONTINUOUS_CODEBOOK'!AW21)&lt;'04_CODEBOOK_CONTROL'!$B$15,0,SIGN('07_CONTINUOUS_CODEBOOK'!AW21)*IF(ABS('07_CONTINUOUS_CODEBOOK'!AW21)&lt;'04_CODEBOOK_CONTROL'!$B$16,1,IF(ABS('07_CONTINUOUS_CODEBOOK'!AW21)&lt;'04_CODEBOOK_CONTROL'!$B$17,2,3)))</f>
        <v/>
      </c>
      <c r="AX21" s="7">
        <f>IF(ABS('07_CONTINUOUS_CODEBOOK'!AX21)&lt;'04_CODEBOOK_CONTROL'!$B$15,0,SIGN('07_CONTINUOUS_CODEBOOK'!AX21)*IF(ABS('07_CONTINUOUS_CODEBOOK'!AX21)&lt;'04_CODEBOOK_CONTROL'!$B$16,1,IF(ABS('07_CONTINUOUS_CODEBOOK'!AX21)&lt;'04_CODEBOOK_CONTROL'!$B$17,2,3)))</f>
        <v/>
      </c>
      <c r="AY21" s="7">
        <f>IF(ABS('07_CONTINUOUS_CODEBOOK'!AY21)&lt;'04_CODEBOOK_CONTROL'!$B$15,0,SIGN('07_CONTINUOUS_CODEBOOK'!AY21)*IF(ABS('07_CONTINUOUS_CODEBOOK'!AY21)&lt;'04_CODEBOOK_CONTROL'!$B$16,1,IF(ABS('07_CONTINUOUS_CODEBOOK'!AY21)&lt;'04_CODEBOOK_CONTROL'!$B$17,2,3)))</f>
        <v/>
      </c>
      <c r="AZ21" s="7">
        <f>IF(ABS('07_CONTINUOUS_CODEBOOK'!AZ21)&lt;'04_CODEBOOK_CONTROL'!$B$15,0,SIGN('07_CONTINUOUS_CODEBOOK'!AZ21)*IF(ABS('07_CONTINUOUS_CODEBOOK'!AZ21)&lt;'04_CODEBOOK_CONTROL'!$B$16,1,IF(ABS('07_CONTINUOUS_CODEBOOK'!AZ21)&lt;'04_CODEBOOK_CONTROL'!$B$17,2,3)))</f>
        <v/>
      </c>
      <c r="BA21" s="7">
        <f>IF(ABS('07_CONTINUOUS_CODEBOOK'!BA21)&lt;'04_CODEBOOK_CONTROL'!$B$15,0,SIGN('07_CONTINUOUS_CODEBOOK'!BA21)*IF(ABS('07_CONTINUOUS_CODEBOOK'!BA21)&lt;'04_CODEBOOK_CONTROL'!$B$16,1,IF(ABS('07_CONTINUOUS_CODEBOOK'!BA21)&lt;'04_CODEBOOK_CONTROL'!$B$17,2,3)))</f>
        <v/>
      </c>
      <c r="BB21" s="7">
        <f>IF(ABS('07_CONTINUOUS_CODEBOOK'!BB21)&lt;'04_CODEBOOK_CONTROL'!$B$15,0,SIGN('07_CONTINUOUS_CODEBOOK'!BB21)*IF(ABS('07_CONTINUOUS_CODEBOOK'!BB21)&lt;'04_CODEBOOK_CONTROL'!$B$16,1,IF(ABS('07_CONTINUOUS_CODEBOOK'!BB21)&lt;'04_CODEBOOK_CONTROL'!$B$17,2,3)))</f>
        <v/>
      </c>
      <c r="BC21" s="7">
        <f>IF(ABS('07_CONTINUOUS_CODEBOOK'!BC21)&lt;'04_CODEBOOK_CONTROL'!$B$15,0,SIGN('07_CONTINUOUS_CODEBOOK'!BC21)*IF(ABS('07_CONTINUOUS_CODEBOOK'!BC21)&lt;'04_CODEBOOK_CONTROL'!$B$16,1,IF(ABS('07_CONTINUOUS_CODEBOOK'!BC21)&lt;'04_CODEBOOK_CONTROL'!$B$17,2,3)))</f>
        <v/>
      </c>
      <c r="BD21" s="7">
        <f>IF(ABS('07_CONTINUOUS_CODEBOOK'!BD21)&lt;'04_CODEBOOK_CONTROL'!$B$15,0,SIGN('07_CONTINUOUS_CODEBOOK'!BD21)*IF(ABS('07_CONTINUOUS_CODEBOOK'!BD21)&lt;'04_CODEBOOK_CONTROL'!$B$16,1,IF(ABS('07_CONTINUOUS_CODEBOOK'!BD21)&lt;'04_CODEBOOK_CONTROL'!$B$17,2,3)))</f>
        <v/>
      </c>
      <c r="BE21" s="7">
        <f>IF(ABS('07_CONTINUOUS_CODEBOOK'!BE21)&lt;'04_CODEBOOK_CONTROL'!$B$15,0,SIGN('07_CONTINUOUS_CODEBOOK'!BE21)*IF(ABS('07_CONTINUOUS_CODEBOOK'!BE21)&lt;'04_CODEBOOK_CONTROL'!$B$16,1,IF(ABS('07_CONTINUOUS_CODEBOOK'!BE21)&lt;'04_CODEBOOK_CONTROL'!$B$17,2,3)))</f>
        <v/>
      </c>
      <c r="BF21" s="7">
        <f>IF(ABS('07_CONTINUOUS_CODEBOOK'!BF21)&lt;'04_CODEBOOK_CONTROL'!$B$15,0,SIGN('07_CONTINUOUS_CODEBOOK'!BF21)*IF(ABS('07_CONTINUOUS_CODEBOOK'!BF21)&lt;'04_CODEBOOK_CONTROL'!$B$16,1,IF(ABS('07_CONTINUOUS_CODEBOOK'!BF21)&lt;'04_CODEBOOK_CONTROL'!$B$17,2,3)))</f>
        <v/>
      </c>
      <c r="BG21" s="7">
        <f>IF(ABS('07_CONTINUOUS_CODEBOOK'!BG21)&lt;'04_CODEBOOK_CONTROL'!$B$15,0,SIGN('07_CONTINUOUS_CODEBOOK'!BG21)*IF(ABS('07_CONTINUOUS_CODEBOOK'!BG21)&lt;'04_CODEBOOK_CONTROL'!$B$16,1,IF(ABS('07_CONTINUOUS_CODEBOOK'!BG21)&lt;'04_CODEBOOK_CONTROL'!$B$17,2,3)))</f>
        <v/>
      </c>
      <c r="BH21" s="7">
        <f>IF(ABS('07_CONTINUOUS_CODEBOOK'!BH21)&lt;'04_CODEBOOK_CONTROL'!$B$15,0,SIGN('07_CONTINUOUS_CODEBOOK'!BH21)*IF(ABS('07_CONTINUOUS_CODEBOOK'!BH21)&lt;'04_CODEBOOK_CONTROL'!$B$16,1,IF(ABS('07_CONTINUOUS_CODEBOOK'!BH21)&lt;'04_CODEBOOK_CONTROL'!$B$17,2,3)))</f>
        <v/>
      </c>
      <c r="BI21" s="7">
        <f>IF(ABS('07_CONTINUOUS_CODEBOOK'!BI21)&lt;'04_CODEBOOK_CONTROL'!$B$15,0,SIGN('07_CONTINUOUS_CODEBOOK'!BI21)*IF(ABS('07_CONTINUOUS_CODEBOOK'!BI21)&lt;'04_CODEBOOK_CONTROL'!$B$16,1,IF(ABS('07_CONTINUOUS_CODEBOOK'!BI21)&lt;'04_CODEBOOK_CONTROL'!$B$17,2,3)))</f>
        <v/>
      </c>
      <c r="BJ21" s="7">
        <f>IF(ABS('07_CONTINUOUS_CODEBOOK'!BJ21)&lt;'04_CODEBOOK_CONTROL'!$B$15,0,SIGN('07_CONTINUOUS_CODEBOOK'!BJ21)*IF(ABS('07_CONTINUOUS_CODEBOOK'!BJ21)&lt;'04_CODEBOOK_CONTROL'!$B$16,1,IF(ABS('07_CONTINUOUS_CODEBOOK'!BJ21)&lt;'04_CODEBOOK_CONTROL'!$B$17,2,3)))</f>
        <v/>
      </c>
      <c r="BK21" s="7">
        <f>IF(ABS('07_CONTINUOUS_CODEBOOK'!BK21)&lt;'04_CODEBOOK_CONTROL'!$B$15,0,SIGN('07_CONTINUOUS_CODEBOOK'!BK21)*IF(ABS('07_CONTINUOUS_CODEBOOK'!BK21)&lt;'04_CODEBOOK_CONTROL'!$B$16,1,IF(ABS('07_CONTINUOUS_CODEBOOK'!BK21)&lt;'04_CODEBOOK_CONTROL'!$B$17,2,3)))</f>
        <v/>
      </c>
      <c r="BL21" s="7">
        <f>IF(ABS('07_CONTINUOUS_CODEBOOK'!BL21)&lt;'04_CODEBOOK_CONTROL'!$B$15,0,SIGN('07_CONTINUOUS_CODEBOOK'!BL21)*IF(ABS('07_CONTINUOUS_CODEBOOK'!BL21)&lt;'04_CODEBOOK_CONTROL'!$B$16,1,IF(ABS('07_CONTINUOUS_CODEBOOK'!BL21)&lt;'04_CODEBOOK_CONTROL'!$B$17,2,3)))</f>
        <v/>
      </c>
      <c r="BM21" s="7">
        <f>IF(ABS('07_CONTINUOUS_CODEBOOK'!BM21)&lt;'04_CODEBOOK_CONTROL'!$B$15,0,SIGN('07_CONTINUOUS_CODEBOOK'!BM21)*IF(ABS('07_CONTINUOUS_CODEBOOK'!BM21)&lt;'04_CODEBOOK_CONTROL'!$B$16,1,IF(ABS('07_CONTINUOUS_CODEBOOK'!BM21)&lt;'04_CODEBOOK_CONTROL'!$B$17,2,3)))</f>
        <v/>
      </c>
      <c r="BN21" s="7">
        <f>IF(ABS('07_CONTINUOUS_CODEBOOK'!BN21)&lt;'04_CODEBOOK_CONTROL'!$B$15,0,SIGN('07_CONTINUOUS_CODEBOOK'!BN21)*IF(ABS('07_CONTINUOUS_CODEBOOK'!BN21)&lt;'04_CODEBOOK_CONTROL'!$B$16,1,IF(ABS('07_CONTINUOUS_CODEBOOK'!BN21)&lt;'04_CODEBOOK_CONTROL'!$B$17,2,3)))</f>
        <v/>
      </c>
      <c r="BO21" s="7">
        <f>IF(ABS('07_CONTINUOUS_CODEBOOK'!BO21)&lt;'04_CODEBOOK_CONTROL'!$B$15,0,SIGN('07_CONTINUOUS_CODEBOOK'!BO21)*IF(ABS('07_CONTINUOUS_CODEBOOK'!BO21)&lt;'04_CODEBOOK_CONTROL'!$B$16,1,IF(ABS('07_CONTINUOUS_CODEBOOK'!BO21)&lt;'04_CODEBOOK_CONTROL'!$B$17,2,3)))</f>
        <v/>
      </c>
      <c r="BP21" s="7">
        <f>IF(ABS('07_CONTINUOUS_CODEBOOK'!BP21)&lt;'04_CODEBOOK_CONTROL'!$B$15,0,SIGN('07_CONTINUOUS_CODEBOOK'!BP21)*IF(ABS('07_CONTINUOUS_CODEBOOK'!BP21)&lt;'04_CODEBOOK_CONTROL'!$B$16,1,IF(ABS('07_CONTINUOUS_CODEBOOK'!BP21)&lt;'04_CODEBOOK_CONTROL'!$B$17,2,3)))</f>
        <v/>
      </c>
      <c r="BQ21" s="7">
        <f>IF(ABS('07_CONTINUOUS_CODEBOOK'!BQ21)&lt;'04_CODEBOOK_CONTROL'!$B$15,0,SIGN('07_CONTINUOUS_CODEBOOK'!BQ21)*IF(ABS('07_CONTINUOUS_CODEBOOK'!BQ21)&lt;'04_CODEBOOK_CONTROL'!$B$16,1,IF(ABS('07_CONTINUOUS_CODEBOOK'!BQ21)&lt;'04_CODEBOOK_CONTROL'!$B$17,2,3)))</f>
        <v/>
      </c>
      <c r="BR21" s="7">
        <f>IF(ABS('07_CONTINUOUS_CODEBOOK'!BR21)&lt;'04_CODEBOOK_CONTROL'!$B$15,0,SIGN('07_CONTINUOUS_CODEBOOK'!BR21)*IF(ABS('07_CONTINUOUS_CODEBOOK'!BR21)&lt;'04_CODEBOOK_CONTROL'!$B$16,1,IF(ABS('07_CONTINUOUS_CODEBOOK'!BR21)&lt;'04_CODEBOOK_CONTROL'!$B$17,2,3)))</f>
        <v/>
      </c>
      <c r="BS21" s="7">
        <f>IF(ABS('07_CONTINUOUS_CODEBOOK'!BS21)&lt;'04_CODEBOOK_CONTROL'!$B$15,0,SIGN('07_CONTINUOUS_CODEBOOK'!BS21)*IF(ABS('07_CONTINUOUS_CODEBOOK'!BS21)&lt;'04_CODEBOOK_CONTROL'!$B$16,1,IF(ABS('07_CONTINUOUS_CODEBOOK'!BS21)&lt;'04_CODEBOOK_CONTROL'!$B$17,2,3)))</f>
        <v/>
      </c>
      <c r="BT21" s="7">
        <f>IF(ABS('07_CONTINUOUS_CODEBOOK'!BT21)&lt;'04_CODEBOOK_CONTROL'!$B$15,0,SIGN('07_CONTINUOUS_CODEBOOK'!BT21)*IF(ABS('07_CONTINUOUS_CODEBOOK'!BT21)&lt;'04_CODEBOOK_CONTROL'!$B$16,1,IF(ABS('07_CONTINUOUS_CODEBOOK'!BT21)&lt;'04_CODEBOOK_CONTROL'!$B$17,2,3)))</f>
        <v/>
      </c>
      <c r="BU21" s="7">
        <f>IF(ABS('07_CONTINUOUS_CODEBOOK'!BU21)&lt;'04_CODEBOOK_CONTROL'!$B$15,0,SIGN('07_CONTINUOUS_CODEBOOK'!BU21)*IF(ABS('07_CONTINUOUS_CODEBOOK'!BU21)&lt;'04_CODEBOOK_CONTROL'!$B$16,1,IF(ABS('07_CONTINUOUS_CODEBOOK'!BU21)&lt;'04_CODEBOOK_CONTROL'!$B$17,2,3)))</f>
        <v/>
      </c>
      <c r="BV21" s="7">
        <f>IF(ABS('07_CONTINUOUS_CODEBOOK'!BV21)&lt;'04_CODEBOOK_CONTROL'!$B$15,0,SIGN('07_CONTINUOUS_CODEBOOK'!BV21)*IF(ABS('07_CONTINUOUS_CODEBOOK'!BV21)&lt;'04_CODEBOOK_CONTROL'!$B$16,1,IF(ABS('07_CONTINUOUS_CODEBOOK'!BV21)&lt;'04_CODEBOOK_CONTROL'!$B$17,2,3)))</f>
        <v/>
      </c>
      <c r="BW21" s="7">
        <f>IF(ABS('07_CONTINUOUS_CODEBOOK'!BW21)&lt;'04_CODEBOOK_CONTROL'!$B$15,0,SIGN('07_CONTINUOUS_CODEBOOK'!BW21)*IF(ABS('07_CONTINUOUS_CODEBOOK'!BW21)&lt;'04_CODEBOOK_CONTROL'!$B$16,1,IF(ABS('07_CONTINUOUS_CODEBOOK'!BW21)&lt;'04_CODEBOOK_CONTROL'!$B$17,2,3)))</f>
        <v/>
      </c>
      <c r="BX21" s="7">
        <f>IF(ABS('07_CONTINUOUS_CODEBOOK'!BX21)&lt;'04_CODEBOOK_CONTROL'!$B$15,0,SIGN('07_CONTINUOUS_CODEBOOK'!BX21)*IF(ABS('07_CONTINUOUS_CODEBOOK'!BX21)&lt;'04_CODEBOOK_CONTROL'!$B$16,1,IF(ABS('07_CONTINUOUS_CODEBOOK'!BX21)&lt;'04_CODEBOOK_CONTROL'!$B$17,2,3)))</f>
        <v/>
      </c>
      <c r="BY21" s="7">
        <f>IF(ABS('07_CONTINUOUS_CODEBOOK'!BY21)&lt;'04_CODEBOOK_CONTROL'!$B$15,0,SIGN('07_CONTINUOUS_CODEBOOK'!BY21)*IF(ABS('07_CONTINUOUS_CODEBOOK'!BY21)&lt;'04_CODEBOOK_CONTROL'!$B$16,1,IF(ABS('07_CONTINUOUS_CODEBOOK'!BY21)&lt;'04_CODEBOOK_CONTROL'!$B$17,2,3)))</f>
        <v/>
      </c>
      <c r="BZ21" s="7">
        <f>IF(ABS('07_CONTINUOUS_CODEBOOK'!BZ21)&lt;'04_CODEBOOK_CONTROL'!$B$15,0,SIGN('07_CONTINUOUS_CODEBOOK'!BZ21)*IF(ABS('07_CONTINUOUS_CODEBOOK'!BZ21)&lt;'04_CODEBOOK_CONTROL'!$B$16,1,IF(ABS('07_CONTINUOUS_CODEBOOK'!BZ21)&lt;'04_CODEBOOK_CONTROL'!$B$17,2,3)))</f>
        <v/>
      </c>
      <c r="CA21" s="7">
        <f>IF(ABS('07_CONTINUOUS_CODEBOOK'!CA21)&lt;'04_CODEBOOK_CONTROL'!$B$15,0,SIGN('07_CONTINUOUS_CODEBOOK'!CA21)*IF(ABS('07_CONTINUOUS_CODEBOOK'!CA21)&lt;'04_CODEBOOK_CONTROL'!$B$16,1,IF(ABS('07_CONTINUOUS_CODEBOOK'!CA21)&lt;'04_CODEBOOK_CONTROL'!$B$17,2,3)))</f>
        <v/>
      </c>
      <c r="CB21" s="7">
        <f>IF(ABS('07_CONTINUOUS_CODEBOOK'!CB21)&lt;'04_CODEBOOK_CONTROL'!$B$15,0,SIGN('07_CONTINUOUS_CODEBOOK'!CB21)*IF(ABS('07_CONTINUOUS_CODEBOOK'!CB21)&lt;'04_CODEBOOK_CONTROL'!$B$16,1,IF(ABS('07_CONTINUOUS_CODEBOOK'!CB21)&lt;'04_CODEBOOK_CONTROL'!$B$17,2,3)))</f>
        <v/>
      </c>
      <c r="CC21" s="7">
        <f>IF(ABS('07_CONTINUOUS_CODEBOOK'!CC21)&lt;'04_CODEBOOK_CONTROL'!$B$15,0,SIGN('07_CONTINUOUS_CODEBOOK'!CC21)*IF(ABS('07_CONTINUOUS_CODEBOOK'!CC21)&lt;'04_CODEBOOK_CONTROL'!$B$16,1,IF(ABS('07_CONTINUOUS_CODEBOOK'!CC21)&lt;'04_CODEBOOK_CONTROL'!$B$17,2,3)))</f>
        <v/>
      </c>
      <c r="CD21" s="7">
        <f>IF(ABS('07_CONTINUOUS_CODEBOOK'!CD21)&lt;'04_CODEBOOK_CONTROL'!$B$15,0,SIGN('07_CONTINUOUS_CODEBOOK'!CD21)*IF(ABS('07_CONTINUOUS_CODEBOOK'!CD21)&lt;'04_CODEBOOK_CONTROL'!$B$16,1,IF(ABS('07_CONTINUOUS_CODEBOOK'!CD21)&lt;'04_CODEBOOK_CONTROL'!$B$17,2,3)))</f>
        <v/>
      </c>
      <c r="CE21" s="7">
        <f>IF(ABS('07_CONTINUOUS_CODEBOOK'!CE21)&lt;'04_CODEBOOK_CONTROL'!$B$15,0,SIGN('07_CONTINUOUS_CODEBOOK'!CE21)*IF(ABS('07_CONTINUOUS_CODEBOOK'!CE21)&lt;'04_CODEBOOK_CONTROL'!$B$16,1,IF(ABS('07_CONTINUOUS_CODEBOOK'!CE21)&lt;'04_CODEBOOK_CONTROL'!$B$17,2,3)))</f>
        <v/>
      </c>
    </row>
    <row r="22">
      <c r="A22" t="n">
        <v>18</v>
      </c>
      <c r="B22" t="inlineStr">
        <is>
          <t>爬蟲族</t>
        </is>
      </c>
      <c r="C22" t="inlineStr">
        <is>
          <t>Reptilian</t>
        </is>
      </c>
      <c r="D22" s="7">
        <f>IF(ABS('07_CONTINUOUS_CODEBOOK'!D22)&lt;'04_CODEBOOK_CONTROL'!$B$15,0,SIGN('07_CONTINUOUS_CODEBOOK'!D22)*IF(ABS('07_CONTINUOUS_CODEBOOK'!D22)&lt;'04_CODEBOOK_CONTROL'!$B$16,1,IF(ABS('07_CONTINUOUS_CODEBOOK'!D22)&lt;'04_CODEBOOK_CONTROL'!$B$17,2,3)))</f>
        <v/>
      </c>
      <c r="E22" s="7">
        <f>IF(ABS('07_CONTINUOUS_CODEBOOK'!E22)&lt;'04_CODEBOOK_CONTROL'!$B$15,0,SIGN('07_CONTINUOUS_CODEBOOK'!E22)*IF(ABS('07_CONTINUOUS_CODEBOOK'!E22)&lt;'04_CODEBOOK_CONTROL'!$B$16,1,IF(ABS('07_CONTINUOUS_CODEBOOK'!E22)&lt;'04_CODEBOOK_CONTROL'!$B$17,2,3)))</f>
        <v/>
      </c>
      <c r="F22" s="7">
        <f>IF(ABS('07_CONTINUOUS_CODEBOOK'!F22)&lt;'04_CODEBOOK_CONTROL'!$B$15,0,SIGN('07_CONTINUOUS_CODEBOOK'!F22)*IF(ABS('07_CONTINUOUS_CODEBOOK'!F22)&lt;'04_CODEBOOK_CONTROL'!$B$16,1,IF(ABS('07_CONTINUOUS_CODEBOOK'!F22)&lt;'04_CODEBOOK_CONTROL'!$B$17,2,3)))</f>
        <v/>
      </c>
      <c r="G22" s="7">
        <f>IF(ABS('07_CONTINUOUS_CODEBOOK'!G22)&lt;'04_CODEBOOK_CONTROL'!$B$15,0,SIGN('07_CONTINUOUS_CODEBOOK'!G22)*IF(ABS('07_CONTINUOUS_CODEBOOK'!G22)&lt;'04_CODEBOOK_CONTROL'!$B$16,1,IF(ABS('07_CONTINUOUS_CODEBOOK'!G22)&lt;'04_CODEBOOK_CONTROL'!$B$17,2,3)))</f>
        <v/>
      </c>
      <c r="H22" s="7">
        <f>IF(ABS('07_CONTINUOUS_CODEBOOK'!H22)&lt;'04_CODEBOOK_CONTROL'!$B$15,0,SIGN('07_CONTINUOUS_CODEBOOK'!H22)*IF(ABS('07_CONTINUOUS_CODEBOOK'!H22)&lt;'04_CODEBOOK_CONTROL'!$B$16,1,IF(ABS('07_CONTINUOUS_CODEBOOK'!H22)&lt;'04_CODEBOOK_CONTROL'!$B$17,2,3)))</f>
        <v/>
      </c>
      <c r="I22" s="7">
        <f>IF(ABS('07_CONTINUOUS_CODEBOOK'!I22)&lt;'04_CODEBOOK_CONTROL'!$B$15,0,SIGN('07_CONTINUOUS_CODEBOOK'!I22)*IF(ABS('07_CONTINUOUS_CODEBOOK'!I22)&lt;'04_CODEBOOK_CONTROL'!$B$16,1,IF(ABS('07_CONTINUOUS_CODEBOOK'!I22)&lt;'04_CODEBOOK_CONTROL'!$B$17,2,3)))</f>
        <v/>
      </c>
      <c r="J22" s="7">
        <f>IF(ABS('07_CONTINUOUS_CODEBOOK'!J22)&lt;'04_CODEBOOK_CONTROL'!$B$15,0,SIGN('07_CONTINUOUS_CODEBOOK'!J22)*IF(ABS('07_CONTINUOUS_CODEBOOK'!J22)&lt;'04_CODEBOOK_CONTROL'!$B$16,1,IF(ABS('07_CONTINUOUS_CODEBOOK'!J22)&lt;'04_CODEBOOK_CONTROL'!$B$17,2,3)))</f>
        <v/>
      </c>
      <c r="K22" s="7">
        <f>IF(ABS('07_CONTINUOUS_CODEBOOK'!K22)&lt;'04_CODEBOOK_CONTROL'!$B$15,0,SIGN('07_CONTINUOUS_CODEBOOK'!K22)*IF(ABS('07_CONTINUOUS_CODEBOOK'!K22)&lt;'04_CODEBOOK_CONTROL'!$B$16,1,IF(ABS('07_CONTINUOUS_CODEBOOK'!K22)&lt;'04_CODEBOOK_CONTROL'!$B$17,2,3)))</f>
        <v/>
      </c>
      <c r="L22" s="7">
        <f>IF(ABS('07_CONTINUOUS_CODEBOOK'!L22)&lt;'04_CODEBOOK_CONTROL'!$B$15,0,SIGN('07_CONTINUOUS_CODEBOOK'!L22)*IF(ABS('07_CONTINUOUS_CODEBOOK'!L22)&lt;'04_CODEBOOK_CONTROL'!$B$16,1,IF(ABS('07_CONTINUOUS_CODEBOOK'!L22)&lt;'04_CODEBOOK_CONTROL'!$B$17,2,3)))</f>
        <v/>
      </c>
      <c r="M22" s="7">
        <f>IF(ABS('07_CONTINUOUS_CODEBOOK'!M22)&lt;'04_CODEBOOK_CONTROL'!$B$15,0,SIGN('07_CONTINUOUS_CODEBOOK'!M22)*IF(ABS('07_CONTINUOUS_CODEBOOK'!M22)&lt;'04_CODEBOOK_CONTROL'!$B$16,1,IF(ABS('07_CONTINUOUS_CODEBOOK'!M22)&lt;'04_CODEBOOK_CONTROL'!$B$17,2,3)))</f>
        <v/>
      </c>
      <c r="N22" s="7">
        <f>IF(ABS('07_CONTINUOUS_CODEBOOK'!N22)&lt;'04_CODEBOOK_CONTROL'!$B$15,0,SIGN('07_CONTINUOUS_CODEBOOK'!N22)*IF(ABS('07_CONTINUOUS_CODEBOOK'!N22)&lt;'04_CODEBOOK_CONTROL'!$B$16,1,IF(ABS('07_CONTINUOUS_CODEBOOK'!N22)&lt;'04_CODEBOOK_CONTROL'!$B$17,2,3)))</f>
        <v/>
      </c>
      <c r="O22" s="7">
        <f>IF(ABS('07_CONTINUOUS_CODEBOOK'!O22)&lt;'04_CODEBOOK_CONTROL'!$B$15,0,SIGN('07_CONTINUOUS_CODEBOOK'!O22)*IF(ABS('07_CONTINUOUS_CODEBOOK'!O22)&lt;'04_CODEBOOK_CONTROL'!$B$16,1,IF(ABS('07_CONTINUOUS_CODEBOOK'!O22)&lt;'04_CODEBOOK_CONTROL'!$B$17,2,3)))</f>
        <v/>
      </c>
      <c r="P22" s="7">
        <f>IF(ABS('07_CONTINUOUS_CODEBOOK'!P22)&lt;'04_CODEBOOK_CONTROL'!$B$15,0,SIGN('07_CONTINUOUS_CODEBOOK'!P22)*IF(ABS('07_CONTINUOUS_CODEBOOK'!P22)&lt;'04_CODEBOOK_CONTROL'!$B$16,1,IF(ABS('07_CONTINUOUS_CODEBOOK'!P22)&lt;'04_CODEBOOK_CONTROL'!$B$17,2,3)))</f>
        <v/>
      </c>
      <c r="Q22" s="7">
        <f>IF(ABS('07_CONTINUOUS_CODEBOOK'!Q22)&lt;'04_CODEBOOK_CONTROL'!$B$15,0,SIGN('07_CONTINUOUS_CODEBOOK'!Q22)*IF(ABS('07_CONTINUOUS_CODEBOOK'!Q22)&lt;'04_CODEBOOK_CONTROL'!$B$16,1,IF(ABS('07_CONTINUOUS_CODEBOOK'!Q22)&lt;'04_CODEBOOK_CONTROL'!$B$17,2,3)))</f>
        <v/>
      </c>
      <c r="R22" s="7">
        <f>IF(ABS('07_CONTINUOUS_CODEBOOK'!R22)&lt;'04_CODEBOOK_CONTROL'!$B$15,0,SIGN('07_CONTINUOUS_CODEBOOK'!R22)*IF(ABS('07_CONTINUOUS_CODEBOOK'!R22)&lt;'04_CODEBOOK_CONTROL'!$B$16,1,IF(ABS('07_CONTINUOUS_CODEBOOK'!R22)&lt;'04_CODEBOOK_CONTROL'!$B$17,2,3)))</f>
        <v/>
      </c>
      <c r="S22" s="7">
        <f>IF(ABS('07_CONTINUOUS_CODEBOOK'!S22)&lt;'04_CODEBOOK_CONTROL'!$B$15,0,SIGN('07_CONTINUOUS_CODEBOOK'!S22)*IF(ABS('07_CONTINUOUS_CODEBOOK'!S22)&lt;'04_CODEBOOK_CONTROL'!$B$16,1,IF(ABS('07_CONTINUOUS_CODEBOOK'!S22)&lt;'04_CODEBOOK_CONTROL'!$B$17,2,3)))</f>
        <v/>
      </c>
      <c r="T22" s="7">
        <f>IF(ABS('07_CONTINUOUS_CODEBOOK'!T22)&lt;'04_CODEBOOK_CONTROL'!$B$15,0,SIGN('07_CONTINUOUS_CODEBOOK'!T22)*IF(ABS('07_CONTINUOUS_CODEBOOK'!T22)&lt;'04_CODEBOOK_CONTROL'!$B$16,1,IF(ABS('07_CONTINUOUS_CODEBOOK'!T22)&lt;'04_CODEBOOK_CONTROL'!$B$17,2,3)))</f>
        <v/>
      </c>
      <c r="U22" s="7">
        <f>IF(ABS('07_CONTINUOUS_CODEBOOK'!U22)&lt;'04_CODEBOOK_CONTROL'!$B$15,0,SIGN('07_CONTINUOUS_CODEBOOK'!U22)*IF(ABS('07_CONTINUOUS_CODEBOOK'!U22)&lt;'04_CODEBOOK_CONTROL'!$B$16,1,IF(ABS('07_CONTINUOUS_CODEBOOK'!U22)&lt;'04_CODEBOOK_CONTROL'!$B$17,2,3)))</f>
        <v/>
      </c>
      <c r="V22" s="7">
        <f>IF(ABS('07_CONTINUOUS_CODEBOOK'!V22)&lt;'04_CODEBOOK_CONTROL'!$B$15,0,SIGN('07_CONTINUOUS_CODEBOOK'!V22)*IF(ABS('07_CONTINUOUS_CODEBOOK'!V22)&lt;'04_CODEBOOK_CONTROL'!$B$16,1,IF(ABS('07_CONTINUOUS_CODEBOOK'!V22)&lt;'04_CODEBOOK_CONTROL'!$B$17,2,3)))</f>
        <v/>
      </c>
      <c r="W22" s="7">
        <f>IF(ABS('07_CONTINUOUS_CODEBOOK'!W22)&lt;'04_CODEBOOK_CONTROL'!$B$15,0,SIGN('07_CONTINUOUS_CODEBOOK'!W22)*IF(ABS('07_CONTINUOUS_CODEBOOK'!W22)&lt;'04_CODEBOOK_CONTROL'!$B$16,1,IF(ABS('07_CONTINUOUS_CODEBOOK'!W22)&lt;'04_CODEBOOK_CONTROL'!$B$17,2,3)))</f>
        <v/>
      </c>
      <c r="X22" s="7">
        <f>IF(ABS('07_CONTINUOUS_CODEBOOK'!X22)&lt;'04_CODEBOOK_CONTROL'!$B$15,0,SIGN('07_CONTINUOUS_CODEBOOK'!X22)*IF(ABS('07_CONTINUOUS_CODEBOOK'!X22)&lt;'04_CODEBOOK_CONTROL'!$B$16,1,IF(ABS('07_CONTINUOUS_CODEBOOK'!X22)&lt;'04_CODEBOOK_CONTROL'!$B$17,2,3)))</f>
        <v/>
      </c>
      <c r="Y22" s="7">
        <f>IF(ABS('07_CONTINUOUS_CODEBOOK'!Y22)&lt;'04_CODEBOOK_CONTROL'!$B$15,0,SIGN('07_CONTINUOUS_CODEBOOK'!Y22)*IF(ABS('07_CONTINUOUS_CODEBOOK'!Y22)&lt;'04_CODEBOOK_CONTROL'!$B$16,1,IF(ABS('07_CONTINUOUS_CODEBOOK'!Y22)&lt;'04_CODEBOOK_CONTROL'!$B$17,2,3)))</f>
        <v/>
      </c>
      <c r="Z22" s="7">
        <f>IF(ABS('07_CONTINUOUS_CODEBOOK'!Z22)&lt;'04_CODEBOOK_CONTROL'!$B$15,0,SIGN('07_CONTINUOUS_CODEBOOK'!Z22)*IF(ABS('07_CONTINUOUS_CODEBOOK'!Z22)&lt;'04_CODEBOOK_CONTROL'!$B$16,1,IF(ABS('07_CONTINUOUS_CODEBOOK'!Z22)&lt;'04_CODEBOOK_CONTROL'!$B$17,2,3)))</f>
        <v/>
      </c>
      <c r="AA22" s="7">
        <f>IF(ABS('07_CONTINUOUS_CODEBOOK'!AA22)&lt;'04_CODEBOOK_CONTROL'!$B$15,0,SIGN('07_CONTINUOUS_CODEBOOK'!AA22)*IF(ABS('07_CONTINUOUS_CODEBOOK'!AA22)&lt;'04_CODEBOOK_CONTROL'!$B$16,1,IF(ABS('07_CONTINUOUS_CODEBOOK'!AA22)&lt;'04_CODEBOOK_CONTROL'!$B$17,2,3)))</f>
        <v/>
      </c>
      <c r="AB22" s="7">
        <f>IF(ABS('07_CONTINUOUS_CODEBOOK'!AB22)&lt;'04_CODEBOOK_CONTROL'!$B$15,0,SIGN('07_CONTINUOUS_CODEBOOK'!AB22)*IF(ABS('07_CONTINUOUS_CODEBOOK'!AB22)&lt;'04_CODEBOOK_CONTROL'!$B$16,1,IF(ABS('07_CONTINUOUS_CODEBOOK'!AB22)&lt;'04_CODEBOOK_CONTROL'!$B$17,2,3)))</f>
        <v/>
      </c>
      <c r="AC22" s="7">
        <f>IF(ABS('07_CONTINUOUS_CODEBOOK'!AC22)&lt;'04_CODEBOOK_CONTROL'!$B$15,0,SIGN('07_CONTINUOUS_CODEBOOK'!AC22)*IF(ABS('07_CONTINUOUS_CODEBOOK'!AC22)&lt;'04_CODEBOOK_CONTROL'!$B$16,1,IF(ABS('07_CONTINUOUS_CODEBOOK'!AC22)&lt;'04_CODEBOOK_CONTROL'!$B$17,2,3)))</f>
        <v/>
      </c>
      <c r="AD22" s="7">
        <f>IF(ABS('07_CONTINUOUS_CODEBOOK'!AD22)&lt;'04_CODEBOOK_CONTROL'!$B$15,0,SIGN('07_CONTINUOUS_CODEBOOK'!AD22)*IF(ABS('07_CONTINUOUS_CODEBOOK'!AD22)&lt;'04_CODEBOOK_CONTROL'!$B$16,1,IF(ABS('07_CONTINUOUS_CODEBOOK'!AD22)&lt;'04_CODEBOOK_CONTROL'!$B$17,2,3)))</f>
        <v/>
      </c>
      <c r="AE22" s="7">
        <f>IF(ABS('07_CONTINUOUS_CODEBOOK'!AE22)&lt;'04_CODEBOOK_CONTROL'!$B$15,0,SIGN('07_CONTINUOUS_CODEBOOK'!AE22)*IF(ABS('07_CONTINUOUS_CODEBOOK'!AE22)&lt;'04_CODEBOOK_CONTROL'!$B$16,1,IF(ABS('07_CONTINUOUS_CODEBOOK'!AE22)&lt;'04_CODEBOOK_CONTROL'!$B$17,2,3)))</f>
        <v/>
      </c>
      <c r="AF22" s="7">
        <f>IF(ABS('07_CONTINUOUS_CODEBOOK'!AF22)&lt;'04_CODEBOOK_CONTROL'!$B$15,0,SIGN('07_CONTINUOUS_CODEBOOK'!AF22)*IF(ABS('07_CONTINUOUS_CODEBOOK'!AF22)&lt;'04_CODEBOOK_CONTROL'!$B$16,1,IF(ABS('07_CONTINUOUS_CODEBOOK'!AF22)&lt;'04_CODEBOOK_CONTROL'!$B$17,2,3)))</f>
        <v/>
      </c>
      <c r="AG22" s="7">
        <f>IF(ABS('07_CONTINUOUS_CODEBOOK'!AG22)&lt;'04_CODEBOOK_CONTROL'!$B$15,0,SIGN('07_CONTINUOUS_CODEBOOK'!AG22)*IF(ABS('07_CONTINUOUS_CODEBOOK'!AG22)&lt;'04_CODEBOOK_CONTROL'!$B$16,1,IF(ABS('07_CONTINUOUS_CODEBOOK'!AG22)&lt;'04_CODEBOOK_CONTROL'!$B$17,2,3)))</f>
        <v/>
      </c>
      <c r="AH22" s="7">
        <f>IF(ABS('07_CONTINUOUS_CODEBOOK'!AH22)&lt;'04_CODEBOOK_CONTROL'!$B$15,0,SIGN('07_CONTINUOUS_CODEBOOK'!AH22)*IF(ABS('07_CONTINUOUS_CODEBOOK'!AH22)&lt;'04_CODEBOOK_CONTROL'!$B$16,1,IF(ABS('07_CONTINUOUS_CODEBOOK'!AH22)&lt;'04_CODEBOOK_CONTROL'!$B$17,2,3)))</f>
        <v/>
      </c>
      <c r="AI22" s="7">
        <f>IF(ABS('07_CONTINUOUS_CODEBOOK'!AI22)&lt;'04_CODEBOOK_CONTROL'!$B$15,0,SIGN('07_CONTINUOUS_CODEBOOK'!AI22)*IF(ABS('07_CONTINUOUS_CODEBOOK'!AI22)&lt;'04_CODEBOOK_CONTROL'!$B$16,1,IF(ABS('07_CONTINUOUS_CODEBOOK'!AI22)&lt;'04_CODEBOOK_CONTROL'!$B$17,2,3)))</f>
        <v/>
      </c>
      <c r="AJ22" s="7">
        <f>IF(ABS('07_CONTINUOUS_CODEBOOK'!AJ22)&lt;'04_CODEBOOK_CONTROL'!$B$15,0,SIGN('07_CONTINUOUS_CODEBOOK'!AJ22)*IF(ABS('07_CONTINUOUS_CODEBOOK'!AJ22)&lt;'04_CODEBOOK_CONTROL'!$B$16,1,IF(ABS('07_CONTINUOUS_CODEBOOK'!AJ22)&lt;'04_CODEBOOK_CONTROL'!$B$17,2,3)))</f>
        <v/>
      </c>
      <c r="AK22" s="7">
        <f>IF(ABS('07_CONTINUOUS_CODEBOOK'!AK22)&lt;'04_CODEBOOK_CONTROL'!$B$15,0,SIGN('07_CONTINUOUS_CODEBOOK'!AK22)*IF(ABS('07_CONTINUOUS_CODEBOOK'!AK22)&lt;'04_CODEBOOK_CONTROL'!$B$16,1,IF(ABS('07_CONTINUOUS_CODEBOOK'!AK22)&lt;'04_CODEBOOK_CONTROL'!$B$17,2,3)))</f>
        <v/>
      </c>
      <c r="AL22" s="7">
        <f>IF(ABS('07_CONTINUOUS_CODEBOOK'!AL22)&lt;'04_CODEBOOK_CONTROL'!$B$15,0,SIGN('07_CONTINUOUS_CODEBOOK'!AL22)*IF(ABS('07_CONTINUOUS_CODEBOOK'!AL22)&lt;'04_CODEBOOK_CONTROL'!$B$16,1,IF(ABS('07_CONTINUOUS_CODEBOOK'!AL22)&lt;'04_CODEBOOK_CONTROL'!$B$17,2,3)))</f>
        <v/>
      </c>
      <c r="AM22" s="7">
        <f>IF(ABS('07_CONTINUOUS_CODEBOOK'!AM22)&lt;'04_CODEBOOK_CONTROL'!$B$15,0,SIGN('07_CONTINUOUS_CODEBOOK'!AM22)*IF(ABS('07_CONTINUOUS_CODEBOOK'!AM22)&lt;'04_CODEBOOK_CONTROL'!$B$16,1,IF(ABS('07_CONTINUOUS_CODEBOOK'!AM22)&lt;'04_CODEBOOK_CONTROL'!$B$17,2,3)))</f>
        <v/>
      </c>
      <c r="AN22" s="7">
        <f>IF(ABS('07_CONTINUOUS_CODEBOOK'!AN22)&lt;'04_CODEBOOK_CONTROL'!$B$15,0,SIGN('07_CONTINUOUS_CODEBOOK'!AN22)*IF(ABS('07_CONTINUOUS_CODEBOOK'!AN22)&lt;'04_CODEBOOK_CONTROL'!$B$16,1,IF(ABS('07_CONTINUOUS_CODEBOOK'!AN22)&lt;'04_CODEBOOK_CONTROL'!$B$17,2,3)))</f>
        <v/>
      </c>
      <c r="AO22" s="7">
        <f>IF(ABS('07_CONTINUOUS_CODEBOOK'!AO22)&lt;'04_CODEBOOK_CONTROL'!$B$15,0,SIGN('07_CONTINUOUS_CODEBOOK'!AO22)*IF(ABS('07_CONTINUOUS_CODEBOOK'!AO22)&lt;'04_CODEBOOK_CONTROL'!$B$16,1,IF(ABS('07_CONTINUOUS_CODEBOOK'!AO22)&lt;'04_CODEBOOK_CONTROL'!$B$17,2,3)))</f>
        <v/>
      </c>
      <c r="AP22" s="7">
        <f>IF(ABS('07_CONTINUOUS_CODEBOOK'!AP22)&lt;'04_CODEBOOK_CONTROL'!$B$15,0,SIGN('07_CONTINUOUS_CODEBOOK'!AP22)*IF(ABS('07_CONTINUOUS_CODEBOOK'!AP22)&lt;'04_CODEBOOK_CONTROL'!$B$16,1,IF(ABS('07_CONTINUOUS_CODEBOOK'!AP22)&lt;'04_CODEBOOK_CONTROL'!$B$17,2,3)))</f>
        <v/>
      </c>
      <c r="AQ22" s="7">
        <f>IF(ABS('07_CONTINUOUS_CODEBOOK'!AQ22)&lt;'04_CODEBOOK_CONTROL'!$B$15,0,SIGN('07_CONTINUOUS_CODEBOOK'!AQ22)*IF(ABS('07_CONTINUOUS_CODEBOOK'!AQ22)&lt;'04_CODEBOOK_CONTROL'!$B$16,1,IF(ABS('07_CONTINUOUS_CODEBOOK'!AQ22)&lt;'04_CODEBOOK_CONTROL'!$B$17,2,3)))</f>
        <v/>
      </c>
      <c r="AR22" s="7">
        <f>IF(ABS('07_CONTINUOUS_CODEBOOK'!AR22)&lt;'04_CODEBOOK_CONTROL'!$B$15,0,SIGN('07_CONTINUOUS_CODEBOOK'!AR22)*IF(ABS('07_CONTINUOUS_CODEBOOK'!AR22)&lt;'04_CODEBOOK_CONTROL'!$B$16,1,IF(ABS('07_CONTINUOUS_CODEBOOK'!AR22)&lt;'04_CODEBOOK_CONTROL'!$B$17,2,3)))</f>
        <v/>
      </c>
      <c r="AS22" s="7">
        <f>IF(ABS('07_CONTINUOUS_CODEBOOK'!AS22)&lt;'04_CODEBOOK_CONTROL'!$B$15,0,SIGN('07_CONTINUOUS_CODEBOOK'!AS22)*IF(ABS('07_CONTINUOUS_CODEBOOK'!AS22)&lt;'04_CODEBOOK_CONTROL'!$B$16,1,IF(ABS('07_CONTINUOUS_CODEBOOK'!AS22)&lt;'04_CODEBOOK_CONTROL'!$B$17,2,3)))</f>
        <v/>
      </c>
      <c r="AT22" s="7">
        <f>IF(ABS('07_CONTINUOUS_CODEBOOK'!AT22)&lt;'04_CODEBOOK_CONTROL'!$B$15,0,SIGN('07_CONTINUOUS_CODEBOOK'!AT22)*IF(ABS('07_CONTINUOUS_CODEBOOK'!AT22)&lt;'04_CODEBOOK_CONTROL'!$B$16,1,IF(ABS('07_CONTINUOUS_CODEBOOK'!AT22)&lt;'04_CODEBOOK_CONTROL'!$B$17,2,3)))</f>
        <v/>
      </c>
      <c r="AU22" s="7">
        <f>IF(ABS('07_CONTINUOUS_CODEBOOK'!AU22)&lt;'04_CODEBOOK_CONTROL'!$B$15,0,SIGN('07_CONTINUOUS_CODEBOOK'!AU22)*IF(ABS('07_CONTINUOUS_CODEBOOK'!AU22)&lt;'04_CODEBOOK_CONTROL'!$B$16,1,IF(ABS('07_CONTINUOUS_CODEBOOK'!AU22)&lt;'04_CODEBOOK_CONTROL'!$B$17,2,3)))</f>
        <v/>
      </c>
      <c r="AV22" s="7">
        <f>IF(ABS('07_CONTINUOUS_CODEBOOK'!AV22)&lt;'04_CODEBOOK_CONTROL'!$B$15,0,SIGN('07_CONTINUOUS_CODEBOOK'!AV22)*IF(ABS('07_CONTINUOUS_CODEBOOK'!AV22)&lt;'04_CODEBOOK_CONTROL'!$B$16,1,IF(ABS('07_CONTINUOUS_CODEBOOK'!AV22)&lt;'04_CODEBOOK_CONTROL'!$B$17,2,3)))</f>
        <v/>
      </c>
      <c r="AW22" s="7">
        <f>IF(ABS('07_CONTINUOUS_CODEBOOK'!AW22)&lt;'04_CODEBOOK_CONTROL'!$B$15,0,SIGN('07_CONTINUOUS_CODEBOOK'!AW22)*IF(ABS('07_CONTINUOUS_CODEBOOK'!AW22)&lt;'04_CODEBOOK_CONTROL'!$B$16,1,IF(ABS('07_CONTINUOUS_CODEBOOK'!AW22)&lt;'04_CODEBOOK_CONTROL'!$B$17,2,3)))</f>
        <v/>
      </c>
      <c r="AX22" s="7">
        <f>IF(ABS('07_CONTINUOUS_CODEBOOK'!AX22)&lt;'04_CODEBOOK_CONTROL'!$B$15,0,SIGN('07_CONTINUOUS_CODEBOOK'!AX22)*IF(ABS('07_CONTINUOUS_CODEBOOK'!AX22)&lt;'04_CODEBOOK_CONTROL'!$B$16,1,IF(ABS('07_CONTINUOUS_CODEBOOK'!AX22)&lt;'04_CODEBOOK_CONTROL'!$B$17,2,3)))</f>
        <v/>
      </c>
      <c r="AY22" s="7">
        <f>IF(ABS('07_CONTINUOUS_CODEBOOK'!AY22)&lt;'04_CODEBOOK_CONTROL'!$B$15,0,SIGN('07_CONTINUOUS_CODEBOOK'!AY22)*IF(ABS('07_CONTINUOUS_CODEBOOK'!AY22)&lt;'04_CODEBOOK_CONTROL'!$B$16,1,IF(ABS('07_CONTINUOUS_CODEBOOK'!AY22)&lt;'04_CODEBOOK_CONTROL'!$B$17,2,3)))</f>
        <v/>
      </c>
      <c r="AZ22" s="7">
        <f>IF(ABS('07_CONTINUOUS_CODEBOOK'!AZ22)&lt;'04_CODEBOOK_CONTROL'!$B$15,0,SIGN('07_CONTINUOUS_CODEBOOK'!AZ22)*IF(ABS('07_CONTINUOUS_CODEBOOK'!AZ22)&lt;'04_CODEBOOK_CONTROL'!$B$16,1,IF(ABS('07_CONTINUOUS_CODEBOOK'!AZ22)&lt;'04_CODEBOOK_CONTROL'!$B$17,2,3)))</f>
        <v/>
      </c>
      <c r="BA22" s="7">
        <f>IF(ABS('07_CONTINUOUS_CODEBOOK'!BA22)&lt;'04_CODEBOOK_CONTROL'!$B$15,0,SIGN('07_CONTINUOUS_CODEBOOK'!BA22)*IF(ABS('07_CONTINUOUS_CODEBOOK'!BA22)&lt;'04_CODEBOOK_CONTROL'!$B$16,1,IF(ABS('07_CONTINUOUS_CODEBOOK'!BA22)&lt;'04_CODEBOOK_CONTROL'!$B$17,2,3)))</f>
        <v/>
      </c>
      <c r="BB22" s="7">
        <f>IF(ABS('07_CONTINUOUS_CODEBOOK'!BB22)&lt;'04_CODEBOOK_CONTROL'!$B$15,0,SIGN('07_CONTINUOUS_CODEBOOK'!BB22)*IF(ABS('07_CONTINUOUS_CODEBOOK'!BB22)&lt;'04_CODEBOOK_CONTROL'!$B$16,1,IF(ABS('07_CONTINUOUS_CODEBOOK'!BB22)&lt;'04_CODEBOOK_CONTROL'!$B$17,2,3)))</f>
        <v/>
      </c>
      <c r="BC22" s="7">
        <f>IF(ABS('07_CONTINUOUS_CODEBOOK'!BC22)&lt;'04_CODEBOOK_CONTROL'!$B$15,0,SIGN('07_CONTINUOUS_CODEBOOK'!BC22)*IF(ABS('07_CONTINUOUS_CODEBOOK'!BC22)&lt;'04_CODEBOOK_CONTROL'!$B$16,1,IF(ABS('07_CONTINUOUS_CODEBOOK'!BC22)&lt;'04_CODEBOOK_CONTROL'!$B$17,2,3)))</f>
        <v/>
      </c>
      <c r="BD22" s="7">
        <f>IF(ABS('07_CONTINUOUS_CODEBOOK'!BD22)&lt;'04_CODEBOOK_CONTROL'!$B$15,0,SIGN('07_CONTINUOUS_CODEBOOK'!BD22)*IF(ABS('07_CONTINUOUS_CODEBOOK'!BD22)&lt;'04_CODEBOOK_CONTROL'!$B$16,1,IF(ABS('07_CONTINUOUS_CODEBOOK'!BD22)&lt;'04_CODEBOOK_CONTROL'!$B$17,2,3)))</f>
        <v/>
      </c>
      <c r="BE22" s="7">
        <f>IF(ABS('07_CONTINUOUS_CODEBOOK'!BE22)&lt;'04_CODEBOOK_CONTROL'!$B$15,0,SIGN('07_CONTINUOUS_CODEBOOK'!BE22)*IF(ABS('07_CONTINUOUS_CODEBOOK'!BE22)&lt;'04_CODEBOOK_CONTROL'!$B$16,1,IF(ABS('07_CONTINUOUS_CODEBOOK'!BE22)&lt;'04_CODEBOOK_CONTROL'!$B$17,2,3)))</f>
        <v/>
      </c>
      <c r="BF22" s="7">
        <f>IF(ABS('07_CONTINUOUS_CODEBOOK'!BF22)&lt;'04_CODEBOOK_CONTROL'!$B$15,0,SIGN('07_CONTINUOUS_CODEBOOK'!BF22)*IF(ABS('07_CONTINUOUS_CODEBOOK'!BF22)&lt;'04_CODEBOOK_CONTROL'!$B$16,1,IF(ABS('07_CONTINUOUS_CODEBOOK'!BF22)&lt;'04_CODEBOOK_CONTROL'!$B$17,2,3)))</f>
        <v/>
      </c>
      <c r="BG22" s="7">
        <f>IF(ABS('07_CONTINUOUS_CODEBOOK'!BG22)&lt;'04_CODEBOOK_CONTROL'!$B$15,0,SIGN('07_CONTINUOUS_CODEBOOK'!BG22)*IF(ABS('07_CONTINUOUS_CODEBOOK'!BG22)&lt;'04_CODEBOOK_CONTROL'!$B$16,1,IF(ABS('07_CONTINUOUS_CODEBOOK'!BG22)&lt;'04_CODEBOOK_CONTROL'!$B$17,2,3)))</f>
        <v/>
      </c>
      <c r="BH22" s="7">
        <f>IF(ABS('07_CONTINUOUS_CODEBOOK'!BH22)&lt;'04_CODEBOOK_CONTROL'!$B$15,0,SIGN('07_CONTINUOUS_CODEBOOK'!BH22)*IF(ABS('07_CONTINUOUS_CODEBOOK'!BH22)&lt;'04_CODEBOOK_CONTROL'!$B$16,1,IF(ABS('07_CONTINUOUS_CODEBOOK'!BH22)&lt;'04_CODEBOOK_CONTROL'!$B$17,2,3)))</f>
        <v/>
      </c>
      <c r="BI22" s="7">
        <f>IF(ABS('07_CONTINUOUS_CODEBOOK'!BI22)&lt;'04_CODEBOOK_CONTROL'!$B$15,0,SIGN('07_CONTINUOUS_CODEBOOK'!BI22)*IF(ABS('07_CONTINUOUS_CODEBOOK'!BI22)&lt;'04_CODEBOOK_CONTROL'!$B$16,1,IF(ABS('07_CONTINUOUS_CODEBOOK'!BI22)&lt;'04_CODEBOOK_CONTROL'!$B$17,2,3)))</f>
        <v/>
      </c>
      <c r="BJ22" s="7">
        <f>IF(ABS('07_CONTINUOUS_CODEBOOK'!BJ22)&lt;'04_CODEBOOK_CONTROL'!$B$15,0,SIGN('07_CONTINUOUS_CODEBOOK'!BJ22)*IF(ABS('07_CONTINUOUS_CODEBOOK'!BJ22)&lt;'04_CODEBOOK_CONTROL'!$B$16,1,IF(ABS('07_CONTINUOUS_CODEBOOK'!BJ22)&lt;'04_CODEBOOK_CONTROL'!$B$17,2,3)))</f>
        <v/>
      </c>
      <c r="BK22" s="7">
        <f>IF(ABS('07_CONTINUOUS_CODEBOOK'!BK22)&lt;'04_CODEBOOK_CONTROL'!$B$15,0,SIGN('07_CONTINUOUS_CODEBOOK'!BK22)*IF(ABS('07_CONTINUOUS_CODEBOOK'!BK22)&lt;'04_CODEBOOK_CONTROL'!$B$16,1,IF(ABS('07_CONTINUOUS_CODEBOOK'!BK22)&lt;'04_CODEBOOK_CONTROL'!$B$17,2,3)))</f>
        <v/>
      </c>
      <c r="BL22" s="7">
        <f>IF(ABS('07_CONTINUOUS_CODEBOOK'!BL22)&lt;'04_CODEBOOK_CONTROL'!$B$15,0,SIGN('07_CONTINUOUS_CODEBOOK'!BL22)*IF(ABS('07_CONTINUOUS_CODEBOOK'!BL22)&lt;'04_CODEBOOK_CONTROL'!$B$16,1,IF(ABS('07_CONTINUOUS_CODEBOOK'!BL22)&lt;'04_CODEBOOK_CONTROL'!$B$17,2,3)))</f>
        <v/>
      </c>
      <c r="BM22" s="7">
        <f>IF(ABS('07_CONTINUOUS_CODEBOOK'!BM22)&lt;'04_CODEBOOK_CONTROL'!$B$15,0,SIGN('07_CONTINUOUS_CODEBOOK'!BM22)*IF(ABS('07_CONTINUOUS_CODEBOOK'!BM22)&lt;'04_CODEBOOK_CONTROL'!$B$16,1,IF(ABS('07_CONTINUOUS_CODEBOOK'!BM22)&lt;'04_CODEBOOK_CONTROL'!$B$17,2,3)))</f>
        <v/>
      </c>
      <c r="BN22" s="7">
        <f>IF(ABS('07_CONTINUOUS_CODEBOOK'!BN22)&lt;'04_CODEBOOK_CONTROL'!$B$15,0,SIGN('07_CONTINUOUS_CODEBOOK'!BN22)*IF(ABS('07_CONTINUOUS_CODEBOOK'!BN22)&lt;'04_CODEBOOK_CONTROL'!$B$16,1,IF(ABS('07_CONTINUOUS_CODEBOOK'!BN22)&lt;'04_CODEBOOK_CONTROL'!$B$17,2,3)))</f>
        <v/>
      </c>
      <c r="BO22" s="7">
        <f>IF(ABS('07_CONTINUOUS_CODEBOOK'!BO22)&lt;'04_CODEBOOK_CONTROL'!$B$15,0,SIGN('07_CONTINUOUS_CODEBOOK'!BO22)*IF(ABS('07_CONTINUOUS_CODEBOOK'!BO22)&lt;'04_CODEBOOK_CONTROL'!$B$16,1,IF(ABS('07_CONTINUOUS_CODEBOOK'!BO22)&lt;'04_CODEBOOK_CONTROL'!$B$17,2,3)))</f>
        <v/>
      </c>
      <c r="BP22" s="7">
        <f>IF(ABS('07_CONTINUOUS_CODEBOOK'!BP22)&lt;'04_CODEBOOK_CONTROL'!$B$15,0,SIGN('07_CONTINUOUS_CODEBOOK'!BP22)*IF(ABS('07_CONTINUOUS_CODEBOOK'!BP22)&lt;'04_CODEBOOK_CONTROL'!$B$16,1,IF(ABS('07_CONTINUOUS_CODEBOOK'!BP22)&lt;'04_CODEBOOK_CONTROL'!$B$17,2,3)))</f>
        <v/>
      </c>
      <c r="BQ22" s="7">
        <f>IF(ABS('07_CONTINUOUS_CODEBOOK'!BQ22)&lt;'04_CODEBOOK_CONTROL'!$B$15,0,SIGN('07_CONTINUOUS_CODEBOOK'!BQ22)*IF(ABS('07_CONTINUOUS_CODEBOOK'!BQ22)&lt;'04_CODEBOOK_CONTROL'!$B$16,1,IF(ABS('07_CONTINUOUS_CODEBOOK'!BQ22)&lt;'04_CODEBOOK_CONTROL'!$B$17,2,3)))</f>
        <v/>
      </c>
      <c r="BR22" s="7">
        <f>IF(ABS('07_CONTINUOUS_CODEBOOK'!BR22)&lt;'04_CODEBOOK_CONTROL'!$B$15,0,SIGN('07_CONTINUOUS_CODEBOOK'!BR22)*IF(ABS('07_CONTINUOUS_CODEBOOK'!BR22)&lt;'04_CODEBOOK_CONTROL'!$B$16,1,IF(ABS('07_CONTINUOUS_CODEBOOK'!BR22)&lt;'04_CODEBOOK_CONTROL'!$B$17,2,3)))</f>
        <v/>
      </c>
      <c r="BS22" s="7">
        <f>IF(ABS('07_CONTINUOUS_CODEBOOK'!BS22)&lt;'04_CODEBOOK_CONTROL'!$B$15,0,SIGN('07_CONTINUOUS_CODEBOOK'!BS22)*IF(ABS('07_CONTINUOUS_CODEBOOK'!BS22)&lt;'04_CODEBOOK_CONTROL'!$B$16,1,IF(ABS('07_CONTINUOUS_CODEBOOK'!BS22)&lt;'04_CODEBOOK_CONTROL'!$B$17,2,3)))</f>
        <v/>
      </c>
      <c r="BT22" s="7">
        <f>IF(ABS('07_CONTINUOUS_CODEBOOK'!BT22)&lt;'04_CODEBOOK_CONTROL'!$B$15,0,SIGN('07_CONTINUOUS_CODEBOOK'!BT22)*IF(ABS('07_CONTINUOUS_CODEBOOK'!BT22)&lt;'04_CODEBOOK_CONTROL'!$B$16,1,IF(ABS('07_CONTINUOUS_CODEBOOK'!BT22)&lt;'04_CODEBOOK_CONTROL'!$B$17,2,3)))</f>
        <v/>
      </c>
      <c r="BU22" s="7">
        <f>IF(ABS('07_CONTINUOUS_CODEBOOK'!BU22)&lt;'04_CODEBOOK_CONTROL'!$B$15,0,SIGN('07_CONTINUOUS_CODEBOOK'!BU22)*IF(ABS('07_CONTINUOUS_CODEBOOK'!BU22)&lt;'04_CODEBOOK_CONTROL'!$B$16,1,IF(ABS('07_CONTINUOUS_CODEBOOK'!BU22)&lt;'04_CODEBOOK_CONTROL'!$B$17,2,3)))</f>
        <v/>
      </c>
      <c r="BV22" s="7">
        <f>IF(ABS('07_CONTINUOUS_CODEBOOK'!BV22)&lt;'04_CODEBOOK_CONTROL'!$B$15,0,SIGN('07_CONTINUOUS_CODEBOOK'!BV22)*IF(ABS('07_CONTINUOUS_CODEBOOK'!BV22)&lt;'04_CODEBOOK_CONTROL'!$B$16,1,IF(ABS('07_CONTINUOUS_CODEBOOK'!BV22)&lt;'04_CODEBOOK_CONTROL'!$B$17,2,3)))</f>
        <v/>
      </c>
      <c r="BW22" s="7">
        <f>IF(ABS('07_CONTINUOUS_CODEBOOK'!BW22)&lt;'04_CODEBOOK_CONTROL'!$B$15,0,SIGN('07_CONTINUOUS_CODEBOOK'!BW22)*IF(ABS('07_CONTINUOUS_CODEBOOK'!BW22)&lt;'04_CODEBOOK_CONTROL'!$B$16,1,IF(ABS('07_CONTINUOUS_CODEBOOK'!BW22)&lt;'04_CODEBOOK_CONTROL'!$B$17,2,3)))</f>
        <v/>
      </c>
      <c r="BX22" s="7">
        <f>IF(ABS('07_CONTINUOUS_CODEBOOK'!BX22)&lt;'04_CODEBOOK_CONTROL'!$B$15,0,SIGN('07_CONTINUOUS_CODEBOOK'!BX22)*IF(ABS('07_CONTINUOUS_CODEBOOK'!BX22)&lt;'04_CODEBOOK_CONTROL'!$B$16,1,IF(ABS('07_CONTINUOUS_CODEBOOK'!BX22)&lt;'04_CODEBOOK_CONTROL'!$B$17,2,3)))</f>
        <v/>
      </c>
      <c r="BY22" s="7">
        <f>IF(ABS('07_CONTINUOUS_CODEBOOK'!BY22)&lt;'04_CODEBOOK_CONTROL'!$B$15,0,SIGN('07_CONTINUOUS_CODEBOOK'!BY22)*IF(ABS('07_CONTINUOUS_CODEBOOK'!BY22)&lt;'04_CODEBOOK_CONTROL'!$B$16,1,IF(ABS('07_CONTINUOUS_CODEBOOK'!BY22)&lt;'04_CODEBOOK_CONTROL'!$B$17,2,3)))</f>
        <v/>
      </c>
      <c r="BZ22" s="7">
        <f>IF(ABS('07_CONTINUOUS_CODEBOOK'!BZ22)&lt;'04_CODEBOOK_CONTROL'!$B$15,0,SIGN('07_CONTINUOUS_CODEBOOK'!BZ22)*IF(ABS('07_CONTINUOUS_CODEBOOK'!BZ22)&lt;'04_CODEBOOK_CONTROL'!$B$16,1,IF(ABS('07_CONTINUOUS_CODEBOOK'!BZ22)&lt;'04_CODEBOOK_CONTROL'!$B$17,2,3)))</f>
        <v/>
      </c>
      <c r="CA22" s="7">
        <f>IF(ABS('07_CONTINUOUS_CODEBOOK'!CA22)&lt;'04_CODEBOOK_CONTROL'!$B$15,0,SIGN('07_CONTINUOUS_CODEBOOK'!CA22)*IF(ABS('07_CONTINUOUS_CODEBOOK'!CA22)&lt;'04_CODEBOOK_CONTROL'!$B$16,1,IF(ABS('07_CONTINUOUS_CODEBOOK'!CA22)&lt;'04_CODEBOOK_CONTROL'!$B$17,2,3)))</f>
        <v/>
      </c>
      <c r="CB22" s="7">
        <f>IF(ABS('07_CONTINUOUS_CODEBOOK'!CB22)&lt;'04_CODEBOOK_CONTROL'!$B$15,0,SIGN('07_CONTINUOUS_CODEBOOK'!CB22)*IF(ABS('07_CONTINUOUS_CODEBOOK'!CB22)&lt;'04_CODEBOOK_CONTROL'!$B$16,1,IF(ABS('07_CONTINUOUS_CODEBOOK'!CB22)&lt;'04_CODEBOOK_CONTROL'!$B$17,2,3)))</f>
        <v/>
      </c>
      <c r="CC22" s="7">
        <f>IF(ABS('07_CONTINUOUS_CODEBOOK'!CC22)&lt;'04_CODEBOOK_CONTROL'!$B$15,0,SIGN('07_CONTINUOUS_CODEBOOK'!CC22)*IF(ABS('07_CONTINUOUS_CODEBOOK'!CC22)&lt;'04_CODEBOOK_CONTROL'!$B$16,1,IF(ABS('07_CONTINUOUS_CODEBOOK'!CC22)&lt;'04_CODEBOOK_CONTROL'!$B$17,2,3)))</f>
        <v/>
      </c>
      <c r="CD22" s="7">
        <f>IF(ABS('07_CONTINUOUS_CODEBOOK'!CD22)&lt;'04_CODEBOOK_CONTROL'!$B$15,0,SIGN('07_CONTINUOUS_CODEBOOK'!CD22)*IF(ABS('07_CONTINUOUS_CODEBOOK'!CD22)&lt;'04_CODEBOOK_CONTROL'!$B$16,1,IF(ABS('07_CONTINUOUS_CODEBOOK'!CD22)&lt;'04_CODEBOOK_CONTROL'!$B$17,2,3)))</f>
        <v/>
      </c>
      <c r="CE22" s="7">
        <f>IF(ABS('07_CONTINUOUS_CODEBOOK'!CE22)&lt;'04_CODEBOOK_CONTROL'!$B$15,0,SIGN('07_CONTINUOUS_CODEBOOK'!CE22)*IF(ABS('07_CONTINUOUS_CODEBOOK'!CE22)&lt;'04_CODEBOOK_CONTROL'!$B$16,1,IF(ABS('07_CONTINUOUS_CODEBOOK'!CE22)&lt;'04_CODEBOOK_CONTROL'!$B$17,2,3)))</f>
        <v/>
      </c>
    </row>
    <row r="23">
      <c r="A23" t="n">
        <v>19</v>
      </c>
      <c r="B23" t="inlineStr">
        <is>
          <t>灰人</t>
        </is>
      </c>
      <c r="C23" t="inlineStr">
        <is>
          <t>Zeta / Grey</t>
        </is>
      </c>
      <c r="D23" s="7">
        <f>IF(ABS('07_CONTINUOUS_CODEBOOK'!D23)&lt;'04_CODEBOOK_CONTROL'!$B$15,0,SIGN('07_CONTINUOUS_CODEBOOK'!D23)*IF(ABS('07_CONTINUOUS_CODEBOOK'!D23)&lt;'04_CODEBOOK_CONTROL'!$B$16,1,IF(ABS('07_CONTINUOUS_CODEBOOK'!D23)&lt;'04_CODEBOOK_CONTROL'!$B$17,2,3)))</f>
        <v/>
      </c>
      <c r="E23" s="7">
        <f>IF(ABS('07_CONTINUOUS_CODEBOOK'!E23)&lt;'04_CODEBOOK_CONTROL'!$B$15,0,SIGN('07_CONTINUOUS_CODEBOOK'!E23)*IF(ABS('07_CONTINUOUS_CODEBOOK'!E23)&lt;'04_CODEBOOK_CONTROL'!$B$16,1,IF(ABS('07_CONTINUOUS_CODEBOOK'!E23)&lt;'04_CODEBOOK_CONTROL'!$B$17,2,3)))</f>
        <v/>
      </c>
      <c r="F23" s="7">
        <f>IF(ABS('07_CONTINUOUS_CODEBOOK'!F23)&lt;'04_CODEBOOK_CONTROL'!$B$15,0,SIGN('07_CONTINUOUS_CODEBOOK'!F23)*IF(ABS('07_CONTINUOUS_CODEBOOK'!F23)&lt;'04_CODEBOOK_CONTROL'!$B$16,1,IF(ABS('07_CONTINUOUS_CODEBOOK'!F23)&lt;'04_CODEBOOK_CONTROL'!$B$17,2,3)))</f>
        <v/>
      </c>
      <c r="G23" s="7">
        <f>IF(ABS('07_CONTINUOUS_CODEBOOK'!G23)&lt;'04_CODEBOOK_CONTROL'!$B$15,0,SIGN('07_CONTINUOUS_CODEBOOK'!G23)*IF(ABS('07_CONTINUOUS_CODEBOOK'!G23)&lt;'04_CODEBOOK_CONTROL'!$B$16,1,IF(ABS('07_CONTINUOUS_CODEBOOK'!G23)&lt;'04_CODEBOOK_CONTROL'!$B$17,2,3)))</f>
        <v/>
      </c>
      <c r="H23" s="7">
        <f>IF(ABS('07_CONTINUOUS_CODEBOOK'!H23)&lt;'04_CODEBOOK_CONTROL'!$B$15,0,SIGN('07_CONTINUOUS_CODEBOOK'!H23)*IF(ABS('07_CONTINUOUS_CODEBOOK'!H23)&lt;'04_CODEBOOK_CONTROL'!$B$16,1,IF(ABS('07_CONTINUOUS_CODEBOOK'!H23)&lt;'04_CODEBOOK_CONTROL'!$B$17,2,3)))</f>
        <v/>
      </c>
      <c r="I23" s="7">
        <f>IF(ABS('07_CONTINUOUS_CODEBOOK'!I23)&lt;'04_CODEBOOK_CONTROL'!$B$15,0,SIGN('07_CONTINUOUS_CODEBOOK'!I23)*IF(ABS('07_CONTINUOUS_CODEBOOK'!I23)&lt;'04_CODEBOOK_CONTROL'!$B$16,1,IF(ABS('07_CONTINUOUS_CODEBOOK'!I23)&lt;'04_CODEBOOK_CONTROL'!$B$17,2,3)))</f>
        <v/>
      </c>
      <c r="J23" s="7">
        <f>IF(ABS('07_CONTINUOUS_CODEBOOK'!J23)&lt;'04_CODEBOOK_CONTROL'!$B$15,0,SIGN('07_CONTINUOUS_CODEBOOK'!J23)*IF(ABS('07_CONTINUOUS_CODEBOOK'!J23)&lt;'04_CODEBOOK_CONTROL'!$B$16,1,IF(ABS('07_CONTINUOUS_CODEBOOK'!J23)&lt;'04_CODEBOOK_CONTROL'!$B$17,2,3)))</f>
        <v/>
      </c>
      <c r="K23" s="7">
        <f>IF(ABS('07_CONTINUOUS_CODEBOOK'!K23)&lt;'04_CODEBOOK_CONTROL'!$B$15,0,SIGN('07_CONTINUOUS_CODEBOOK'!K23)*IF(ABS('07_CONTINUOUS_CODEBOOK'!K23)&lt;'04_CODEBOOK_CONTROL'!$B$16,1,IF(ABS('07_CONTINUOUS_CODEBOOK'!K23)&lt;'04_CODEBOOK_CONTROL'!$B$17,2,3)))</f>
        <v/>
      </c>
      <c r="L23" s="7">
        <f>IF(ABS('07_CONTINUOUS_CODEBOOK'!L23)&lt;'04_CODEBOOK_CONTROL'!$B$15,0,SIGN('07_CONTINUOUS_CODEBOOK'!L23)*IF(ABS('07_CONTINUOUS_CODEBOOK'!L23)&lt;'04_CODEBOOK_CONTROL'!$B$16,1,IF(ABS('07_CONTINUOUS_CODEBOOK'!L23)&lt;'04_CODEBOOK_CONTROL'!$B$17,2,3)))</f>
        <v/>
      </c>
      <c r="M23" s="7">
        <f>IF(ABS('07_CONTINUOUS_CODEBOOK'!M23)&lt;'04_CODEBOOK_CONTROL'!$B$15,0,SIGN('07_CONTINUOUS_CODEBOOK'!M23)*IF(ABS('07_CONTINUOUS_CODEBOOK'!M23)&lt;'04_CODEBOOK_CONTROL'!$B$16,1,IF(ABS('07_CONTINUOUS_CODEBOOK'!M23)&lt;'04_CODEBOOK_CONTROL'!$B$17,2,3)))</f>
        <v/>
      </c>
      <c r="N23" s="7">
        <f>IF(ABS('07_CONTINUOUS_CODEBOOK'!N23)&lt;'04_CODEBOOK_CONTROL'!$B$15,0,SIGN('07_CONTINUOUS_CODEBOOK'!N23)*IF(ABS('07_CONTINUOUS_CODEBOOK'!N23)&lt;'04_CODEBOOK_CONTROL'!$B$16,1,IF(ABS('07_CONTINUOUS_CODEBOOK'!N23)&lt;'04_CODEBOOK_CONTROL'!$B$17,2,3)))</f>
        <v/>
      </c>
      <c r="O23" s="7">
        <f>IF(ABS('07_CONTINUOUS_CODEBOOK'!O23)&lt;'04_CODEBOOK_CONTROL'!$B$15,0,SIGN('07_CONTINUOUS_CODEBOOK'!O23)*IF(ABS('07_CONTINUOUS_CODEBOOK'!O23)&lt;'04_CODEBOOK_CONTROL'!$B$16,1,IF(ABS('07_CONTINUOUS_CODEBOOK'!O23)&lt;'04_CODEBOOK_CONTROL'!$B$17,2,3)))</f>
        <v/>
      </c>
      <c r="P23" s="7">
        <f>IF(ABS('07_CONTINUOUS_CODEBOOK'!P23)&lt;'04_CODEBOOK_CONTROL'!$B$15,0,SIGN('07_CONTINUOUS_CODEBOOK'!P23)*IF(ABS('07_CONTINUOUS_CODEBOOK'!P23)&lt;'04_CODEBOOK_CONTROL'!$B$16,1,IF(ABS('07_CONTINUOUS_CODEBOOK'!P23)&lt;'04_CODEBOOK_CONTROL'!$B$17,2,3)))</f>
        <v/>
      </c>
      <c r="Q23" s="7">
        <f>IF(ABS('07_CONTINUOUS_CODEBOOK'!Q23)&lt;'04_CODEBOOK_CONTROL'!$B$15,0,SIGN('07_CONTINUOUS_CODEBOOK'!Q23)*IF(ABS('07_CONTINUOUS_CODEBOOK'!Q23)&lt;'04_CODEBOOK_CONTROL'!$B$16,1,IF(ABS('07_CONTINUOUS_CODEBOOK'!Q23)&lt;'04_CODEBOOK_CONTROL'!$B$17,2,3)))</f>
        <v/>
      </c>
      <c r="R23" s="7">
        <f>IF(ABS('07_CONTINUOUS_CODEBOOK'!R23)&lt;'04_CODEBOOK_CONTROL'!$B$15,0,SIGN('07_CONTINUOUS_CODEBOOK'!R23)*IF(ABS('07_CONTINUOUS_CODEBOOK'!R23)&lt;'04_CODEBOOK_CONTROL'!$B$16,1,IF(ABS('07_CONTINUOUS_CODEBOOK'!R23)&lt;'04_CODEBOOK_CONTROL'!$B$17,2,3)))</f>
        <v/>
      </c>
      <c r="S23" s="7">
        <f>IF(ABS('07_CONTINUOUS_CODEBOOK'!S23)&lt;'04_CODEBOOK_CONTROL'!$B$15,0,SIGN('07_CONTINUOUS_CODEBOOK'!S23)*IF(ABS('07_CONTINUOUS_CODEBOOK'!S23)&lt;'04_CODEBOOK_CONTROL'!$B$16,1,IF(ABS('07_CONTINUOUS_CODEBOOK'!S23)&lt;'04_CODEBOOK_CONTROL'!$B$17,2,3)))</f>
        <v/>
      </c>
      <c r="T23" s="7">
        <f>IF(ABS('07_CONTINUOUS_CODEBOOK'!T23)&lt;'04_CODEBOOK_CONTROL'!$B$15,0,SIGN('07_CONTINUOUS_CODEBOOK'!T23)*IF(ABS('07_CONTINUOUS_CODEBOOK'!T23)&lt;'04_CODEBOOK_CONTROL'!$B$16,1,IF(ABS('07_CONTINUOUS_CODEBOOK'!T23)&lt;'04_CODEBOOK_CONTROL'!$B$17,2,3)))</f>
        <v/>
      </c>
      <c r="U23" s="7">
        <f>IF(ABS('07_CONTINUOUS_CODEBOOK'!U23)&lt;'04_CODEBOOK_CONTROL'!$B$15,0,SIGN('07_CONTINUOUS_CODEBOOK'!U23)*IF(ABS('07_CONTINUOUS_CODEBOOK'!U23)&lt;'04_CODEBOOK_CONTROL'!$B$16,1,IF(ABS('07_CONTINUOUS_CODEBOOK'!U23)&lt;'04_CODEBOOK_CONTROL'!$B$17,2,3)))</f>
        <v/>
      </c>
      <c r="V23" s="7">
        <f>IF(ABS('07_CONTINUOUS_CODEBOOK'!V23)&lt;'04_CODEBOOK_CONTROL'!$B$15,0,SIGN('07_CONTINUOUS_CODEBOOK'!V23)*IF(ABS('07_CONTINUOUS_CODEBOOK'!V23)&lt;'04_CODEBOOK_CONTROL'!$B$16,1,IF(ABS('07_CONTINUOUS_CODEBOOK'!V23)&lt;'04_CODEBOOK_CONTROL'!$B$17,2,3)))</f>
        <v/>
      </c>
      <c r="W23" s="7">
        <f>IF(ABS('07_CONTINUOUS_CODEBOOK'!W23)&lt;'04_CODEBOOK_CONTROL'!$B$15,0,SIGN('07_CONTINUOUS_CODEBOOK'!W23)*IF(ABS('07_CONTINUOUS_CODEBOOK'!W23)&lt;'04_CODEBOOK_CONTROL'!$B$16,1,IF(ABS('07_CONTINUOUS_CODEBOOK'!W23)&lt;'04_CODEBOOK_CONTROL'!$B$17,2,3)))</f>
        <v/>
      </c>
      <c r="X23" s="7">
        <f>IF(ABS('07_CONTINUOUS_CODEBOOK'!X23)&lt;'04_CODEBOOK_CONTROL'!$B$15,0,SIGN('07_CONTINUOUS_CODEBOOK'!X23)*IF(ABS('07_CONTINUOUS_CODEBOOK'!X23)&lt;'04_CODEBOOK_CONTROL'!$B$16,1,IF(ABS('07_CONTINUOUS_CODEBOOK'!X23)&lt;'04_CODEBOOK_CONTROL'!$B$17,2,3)))</f>
        <v/>
      </c>
      <c r="Y23" s="7">
        <f>IF(ABS('07_CONTINUOUS_CODEBOOK'!Y23)&lt;'04_CODEBOOK_CONTROL'!$B$15,0,SIGN('07_CONTINUOUS_CODEBOOK'!Y23)*IF(ABS('07_CONTINUOUS_CODEBOOK'!Y23)&lt;'04_CODEBOOK_CONTROL'!$B$16,1,IF(ABS('07_CONTINUOUS_CODEBOOK'!Y23)&lt;'04_CODEBOOK_CONTROL'!$B$17,2,3)))</f>
        <v/>
      </c>
      <c r="Z23" s="7">
        <f>IF(ABS('07_CONTINUOUS_CODEBOOK'!Z23)&lt;'04_CODEBOOK_CONTROL'!$B$15,0,SIGN('07_CONTINUOUS_CODEBOOK'!Z23)*IF(ABS('07_CONTINUOUS_CODEBOOK'!Z23)&lt;'04_CODEBOOK_CONTROL'!$B$16,1,IF(ABS('07_CONTINUOUS_CODEBOOK'!Z23)&lt;'04_CODEBOOK_CONTROL'!$B$17,2,3)))</f>
        <v/>
      </c>
      <c r="AA23" s="7">
        <f>IF(ABS('07_CONTINUOUS_CODEBOOK'!AA23)&lt;'04_CODEBOOK_CONTROL'!$B$15,0,SIGN('07_CONTINUOUS_CODEBOOK'!AA23)*IF(ABS('07_CONTINUOUS_CODEBOOK'!AA23)&lt;'04_CODEBOOK_CONTROL'!$B$16,1,IF(ABS('07_CONTINUOUS_CODEBOOK'!AA23)&lt;'04_CODEBOOK_CONTROL'!$B$17,2,3)))</f>
        <v/>
      </c>
      <c r="AB23" s="7">
        <f>IF(ABS('07_CONTINUOUS_CODEBOOK'!AB23)&lt;'04_CODEBOOK_CONTROL'!$B$15,0,SIGN('07_CONTINUOUS_CODEBOOK'!AB23)*IF(ABS('07_CONTINUOUS_CODEBOOK'!AB23)&lt;'04_CODEBOOK_CONTROL'!$B$16,1,IF(ABS('07_CONTINUOUS_CODEBOOK'!AB23)&lt;'04_CODEBOOK_CONTROL'!$B$17,2,3)))</f>
        <v/>
      </c>
      <c r="AC23" s="7">
        <f>IF(ABS('07_CONTINUOUS_CODEBOOK'!AC23)&lt;'04_CODEBOOK_CONTROL'!$B$15,0,SIGN('07_CONTINUOUS_CODEBOOK'!AC23)*IF(ABS('07_CONTINUOUS_CODEBOOK'!AC23)&lt;'04_CODEBOOK_CONTROL'!$B$16,1,IF(ABS('07_CONTINUOUS_CODEBOOK'!AC23)&lt;'04_CODEBOOK_CONTROL'!$B$17,2,3)))</f>
        <v/>
      </c>
      <c r="AD23" s="7">
        <f>IF(ABS('07_CONTINUOUS_CODEBOOK'!AD23)&lt;'04_CODEBOOK_CONTROL'!$B$15,0,SIGN('07_CONTINUOUS_CODEBOOK'!AD23)*IF(ABS('07_CONTINUOUS_CODEBOOK'!AD23)&lt;'04_CODEBOOK_CONTROL'!$B$16,1,IF(ABS('07_CONTINUOUS_CODEBOOK'!AD23)&lt;'04_CODEBOOK_CONTROL'!$B$17,2,3)))</f>
        <v/>
      </c>
      <c r="AE23" s="7">
        <f>IF(ABS('07_CONTINUOUS_CODEBOOK'!AE23)&lt;'04_CODEBOOK_CONTROL'!$B$15,0,SIGN('07_CONTINUOUS_CODEBOOK'!AE23)*IF(ABS('07_CONTINUOUS_CODEBOOK'!AE23)&lt;'04_CODEBOOK_CONTROL'!$B$16,1,IF(ABS('07_CONTINUOUS_CODEBOOK'!AE23)&lt;'04_CODEBOOK_CONTROL'!$B$17,2,3)))</f>
        <v/>
      </c>
      <c r="AF23" s="7">
        <f>IF(ABS('07_CONTINUOUS_CODEBOOK'!AF23)&lt;'04_CODEBOOK_CONTROL'!$B$15,0,SIGN('07_CONTINUOUS_CODEBOOK'!AF23)*IF(ABS('07_CONTINUOUS_CODEBOOK'!AF23)&lt;'04_CODEBOOK_CONTROL'!$B$16,1,IF(ABS('07_CONTINUOUS_CODEBOOK'!AF23)&lt;'04_CODEBOOK_CONTROL'!$B$17,2,3)))</f>
        <v/>
      </c>
      <c r="AG23" s="7">
        <f>IF(ABS('07_CONTINUOUS_CODEBOOK'!AG23)&lt;'04_CODEBOOK_CONTROL'!$B$15,0,SIGN('07_CONTINUOUS_CODEBOOK'!AG23)*IF(ABS('07_CONTINUOUS_CODEBOOK'!AG23)&lt;'04_CODEBOOK_CONTROL'!$B$16,1,IF(ABS('07_CONTINUOUS_CODEBOOK'!AG23)&lt;'04_CODEBOOK_CONTROL'!$B$17,2,3)))</f>
        <v/>
      </c>
      <c r="AH23" s="7">
        <f>IF(ABS('07_CONTINUOUS_CODEBOOK'!AH23)&lt;'04_CODEBOOK_CONTROL'!$B$15,0,SIGN('07_CONTINUOUS_CODEBOOK'!AH23)*IF(ABS('07_CONTINUOUS_CODEBOOK'!AH23)&lt;'04_CODEBOOK_CONTROL'!$B$16,1,IF(ABS('07_CONTINUOUS_CODEBOOK'!AH23)&lt;'04_CODEBOOK_CONTROL'!$B$17,2,3)))</f>
        <v/>
      </c>
      <c r="AI23" s="7">
        <f>IF(ABS('07_CONTINUOUS_CODEBOOK'!AI23)&lt;'04_CODEBOOK_CONTROL'!$B$15,0,SIGN('07_CONTINUOUS_CODEBOOK'!AI23)*IF(ABS('07_CONTINUOUS_CODEBOOK'!AI23)&lt;'04_CODEBOOK_CONTROL'!$B$16,1,IF(ABS('07_CONTINUOUS_CODEBOOK'!AI23)&lt;'04_CODEBOOK_CONTROL'!$B$17,2,3)))</f>
        <v/>
      </c>
      <c r="AJ23" s="7">
        <f>IF(ABS('07_CONTINUOUS_CODEBOOK'!AJ23)&lt;'04_CODEBOOK_CONTROL'!$B$15,0,SIGN('07_CONTINUOUS_CODEBOOK'!AJ23)*IF(ABS('07_CONTINUOUS_CODEBOOK'!AJ23)&lt;'04_CODEBOOK_CONTROL'!$B$16,1,IF(ABS('07_CONTINUOUS_CODEBOOK'!AJ23)&lt;'04_CODEBOOK_CONTROL'!$B$17,2,3)))</f>
        <v/>
      </c>
      <c r="AK23" s="7">
        <f>IF(ABS('07_CONTINUOUS_CODEBOOK'!AK23)&lt;'04_CODEBOOK_CONTROL'!$B$15,0,SIGN('07_CONTINUOUS_CODEBOOK'!AK23)*IF(ABS('07_CONTINUOUS_CODEBOOK'!AK23)&lt;'04_CODEBOOK_CONTROL'!$B$16,1,IF(ABS('07_CONTINUOUS_CODEBOOK'!AK23)&lt;'04_CODEBOOK_CONTROL'!$B$17,2,3)))</f>
        <v/>
      </c>
      <c r="AL23" s="7">
        <f>IF(ABS('07_CONTINUOUS_CODEBOOK'!AL23)&lt;'04_CODEBOOK_CONTROL'!$B$15,0,SIGN('07_CONTINUOUS_CODEBOOK'!AL23)*IF(ABS('07_CONTINUOUS_CODEBOOK'!AL23)&lt;'04_CODEBOOK_CONTROL'!$B$16,1,IF(ABS('07_CONTINUOUS_CODEBOOK'!AL23)&lt;'04_CODEBOOK_CONTROL'!$B$17,2,3)))</f>
        <v/>
      </c>
      <c r="AM23" s="7">
        <f>IF(ABS('07_CONTINUOUS_CODEBOOK'!AM23)&lt;'04_CODEBOOK_CONTROL'!$B$15,0,SIGN('07_CONTINUOUS_CODEBOOK'!AM23)*IF(ABS('07_CONTINUOUS_CODEBOOK'!AM23)&lt;'04_CODEBOOK_CONTROL'!$B$16,1,IF(ABS('07_CONTINUOUS_CODEBOOK'!AM23)&lt;'04_CODEBOOK_CONTROL'!$B$17,2,3)))</f>
        <v/>
      </c>
      <c r="AN23" s="7">
        <f>IF(ABS('07_CONTINUOUS_CODEBOOK'!AN23)&lt;'04_CODEBOOK_CONTROL'!$B$15,0,SIGN('07_CONTINUOUS_CODEBOOK'!AN23)*IF(ABS('07_CONTINUOUS_CODEBOOK'!AN23)&lt;'04_CODEBOOK_CONTROL'!$B$16,1,IF(ABS('07_CONTINUOUS_CODEBOOK'!AN23)&lt;'04_CODEBOOK_CONTROL'!$B$17,2,3)))</f>
        <v/>
      </c>
      <c r="AO23" s="7">
        <f>IF(ABS('07_CONTINUOUS_CODEBOOK'!AO23)&lt;'04_CODEBOOK_CONTROL'!$B$15,0,SIGN('07_CONTINUOUS_CODEBOOK'!AO23)*IF(ABS('07_CONTINUOUS_CODEBOOK'!AO23)&lt;'04_CODEBOOK_CONTROL'!$B$16,1,IF(ABS('07_CONTINUOUS_CODEBOOK'!AO23)&lt;'04_CODEBOOK_CONTROL'!$B$17,2,3)))</f>
        <v/>
      </c>
      <c r="AP23" s="7">
        <f>IF(ABS('07_CONTINUOUS_CODEBOOK'!AP23)&lt;'04_CODEBOOK_CONTROL'!$B$15,0,SIGN('07_CONTINUOUS_CODEBOOK'!AP23)*IF(ABS('07_CONTINUOUS_CODEBOOK'!AP23)&lt;'04_CODEBOOK_CONTROL'!$B$16,1,IF(ABS('07_CONTINUOUS_CODEBOOK'!AP23)&lt;'04_CODEBOOK_CONTROL'!$B$17,2,3)))</f>
        <v/>
      </c>
      <c r="AQ23" s="7">
        <f>IF(ABS('07_CONTINUOUS_CODEBOOK'!AQ23)&lt;'04_CODEBOOK_CONTROL'!$B$15,0,SIGN('07_CONTINUOUS_CODEBOOK'!AQ23)*IF(ABS('07_CONTINUOUS_CODEBOOK'!AQ23)&lt;'04_CODEBOOK_CONTROL'!$B$16,1,IF(ABS('07_CONTINUOUS_CODEBOOK'!AQ23)&lt;'04_CODEBOOK_CONTROL'!$B$17,2,3)))</f>
        <v/>
      </c>
      <c r="AR23" s="7">
        <f>IF(ABS('07_CONTINUOUS_CODEBOOK'!AR23)&lt;'04_CODEBOOK_CONTROL'!$B$15,0,SIGN('07_CONTINUOUS_CODEBOOK'!AR23)*IF(ABS('07_CONTINUOUS_CODEBOOK'!AR23)&lt;'04_CODEBOOK_CONTROL'!$B$16,1,IF(ABS('07_CONTINUOUS_CODEBOOK'!AR23)&lt;'04_CODEBOOK_CONTROL'!$B$17,2,3)))</f>
        <v/>
      </c>
      <c r="AS23" s="7">
        <f>IF(ABS('07_CONTINUOUS_CODEBOOK'!AS23)&lt;'04_CODEBOOK_CONTROL'!$B$15,0,SIGN('07_CONTINUOUS_CODEBOOK'!AS23)*IF(ABS('07_CONTINUOUS_CODEBOOK'!AS23)&lt;'04_CODEBOOK_CONTROL'!$B$16,1,IF(ABS('07_CONTINUOUS_CODEBOOK'!AS23)&lt;'04_CODEBOOK_CONTROL'!$B$17,2,3)))</f>
        <v/>
      </c>
      <c r="AT23" s="7">
        <f>IF(ABS('07_CONTINUOUS_CODEBOOK'!AT23)&lt;'04_CODEBOOK_CONTROL'!$B$15,0,SIGN('07_CONTINUOUS_CODEBOOK'!AT23)*IF(ABS('07_CONTINUOUS_CODEBOOK'!AT23)&lt;'04_CODEBOOK_CONTROL'!$B$16,1,IF(ABS('07_CONTINUOUS_CODEBOOK'!AT23)&lt;'04_CODEBOOK_CONTROL'!$B$17,2,3)))</f>
        <v/>
      </c>
      <c r="AU23" s="7">
        <f>IF(ABS('07_CONTINUOUS_CODEBOOK'!AU23)&lt;'04_CODEBOOK_CONTROL'!$B$15,0,SIGN('07_CONTINUOUS_CODEBOOK'!AU23)*IF(ABS('07_CONTINUOUS_CODEBOOK'!AU23)&lt;'04_CODEBOOK_CONTROL'!$B$16,1,IF(ABS('07_CONTINUOUS_CODEBOOK'!AU23)&lt;'04_CODEBOOK_CONTROL'!$B$17,2,3)))</f>
        <v/>
      </c>
      <c r="AV23" s="7">
        <f>IF(ABS('07_CONTINUOUS_CODEBOOK'!AV23)&lt;'04_CODEBOOK_CONTROL'!$B$15,0,SIGN('07_CONTINUOUS_CODEBOOK'!AV23)*IF(ABS('07_CONTINUOUS_CODEBOOK'!AV23)&lt;'04_CODEBOOK_CONTROL'!$B$16,1,IF(ABS('07_CONTINUOUS_CODEBOOK'!AV23)&lt;'04_CODEBOOK_CONTROL'!$B$17,2,3)))</f>
        <v/>
      </c>
      <c r="AW23" s="7">
        <f>IF(ABS('07_CONTINUOUS_CODEBOOK'!AW23)&lt;'04_CODEBOOK_CONTROL'!$B$15,0,SIGN('07_CONTINUOUS_CODEBOOK'!AW23)*IF(ABS('07_CONTINUOUS_CODEBOOK'!AW23)&lt;'04_CODEBOOK_CONTROL'!$B$16,1,IF(ABS('07_CONTINUOUS_CODEBOOK'!AW23)&lt;'04_CODEBOOK_CONTROL'!$B$17,2,3)))</f>
        <v/>
      </c>
      <c r="AX23" s="7">
        <f>IF(ABS('07_CONTINUOUS_CODEBOOK'!AX23)&lt;'04_CODEBOOK_CONTROL'!$B$15,0,SIGN('07_CONTINUOUS_CODEBOOK'!AX23)*IF(ABS('07_CONTINUOUS_CODEBOOK'!AX23)&lt;'04_CODEBOOK_CONTROL'!$B$16,1,IF(ABS('07_CONTINUOUS_CODEBOOK'!AX23)&lt;'04_CODEBOOK_CONTROL'!$B$17,2,3)))</f>
        <v/>
      </c>
      <c r="AY23" s="7">
        <f>IF(ABS('07_CONTINUOUS_CODEBOOK'!AY23)&lt;'04_CODEBOOK_CONTROL'!$B$15,0,SIGN('07_CONTINUOUS_CODEBOOK'!AY23)*IF(ABS('07_CONTINUOUS_CODEBOOK'!AY23)&lt;'04_CODEBOOK_CONTROL'!$B$16,1,IF(ABS('07_CONTINUOUS_CODEBOOK'!AY23)&lt;'04_CODEBOOK_CONTROL'!$B$17,2,3)))</f>
        <v/>
      </c>
      <c r="AZ23" s="7">
        <f>IF(ABS('07_CONTINUOUS_CODEBOOK'!AZ23)&lt;'04_CODEBOOK_CONTROL'!$B$15,0,SIGN('07_CONTINUOUS_CODEBOOK'!AZ23)*IF(ABS('07_CONTINUOUS_CODEBOOK'!AZ23)&lt;'04_CODEBOOK_CONTROL'!$B$16,1,IF(ABS('07_CONTINUOUS_CODEBOOK'!AZ23)&lt;'04_CODEBOOK_CONTROL'!$B$17,2,3)))</f>
        <v/>
      </c>
      <c r="BA23" s="7">
        <f>IF(ABS('07_CONTINUOUS_CODEBOOK'!BA23)&lt;'04_CODEBOOK_CONTROL'!$B$15,0,SIGN('07_CONTINUOUS_CODEBOOK'!BA23)*IF(ABS('07_CONTINUOUS_CODEBOOK'!BA23)&lt;'04_CODEBOOK_CONTROL'!$B$16,1,IF(ABS('07_CONTINUOUS_CODEBOOK'!BA23)&lt;'04_CODEBOOK_CONTROL'!$B$17,2,3)))</f>
        <v/>
      </c>
      <c r="BB23" s="7">
        <f>IF(ABS('07_CONTINUOUS_CODEBOOK'!BB23)&lt;'04_CODEBOOK_CONTROL'!$B$15,0,SIGN('07_CONTINUOUS_CODEBOOK'!BB23)*IF(ABS('07_CONTINUOUS_CODEBOOK'!BB23)&lt;'04_CODEBOOK_CONTROL'!$B$16,1,IF(ABS('07_CONTINUOUS_CODEBOOK'!BB23)&lt;'04_CODEBOOK_CONTROL'!$B$17,2,3)))</f>
        <v/>
      </c>
      <c r="BC23" s="7">
        <f>IF(ABS('07_CONTINUOUS_CODEBOOK'!BC23)&lt;'04_CODEBOOK_CONTROL'!$B$15,0,SIGN('07_CONTINUOUS_CODEBOOK'!BC23)*IF(ABS('07_CONTINUOUS_CODEBOOK'!BC23)&lt;'04_CODEBOOK_CONTROL'!$B$16,1,IF(ABS('07_CONTINUOUS_CODEBOOK'!BC23)&lt;'04_CODEBOOK_CONTROL'!$B$17,2,3)))</f>
        <v/>
      </c>
      <c r="BD23" s="7">
        <f>IF(ABS('07_CONTINUOUS_CODEBOOK'!BD23)&lt;'04_CODEBOOK_CONTROL'!$B$15,0,SIGN('07_CONTINUOUS_CODEBOOK'!BD23)*IF(ABS('07_CONTINUOUS_CODEBOOK'!BD23)&lt;'04_CODEBOOK_CONTROL'!$B$16,1,IF(ABS('07_CONTINUOUS_CODEBOOK'!BD23)&lt;'04_CODEBOOK_CONTROL'!$B$17,2,3)))</f>
        <v/>
      </c>
      <c r="BE23" s="7">
        <f>IF(ABS('07_CONTINUOUS_CODEBOOK'!BE23)&lt;'04_CODEBOOK_CONTROL'!$B$15,0,SIGN('07_CONTINUOUS_CODEBOOK'!BE23)*IF(ABS('07_CONTINUOUS_CODEBOOK'!BE23)&lt;'04_CODEBOOK_CONTROL'!$B$16,1,IF(ABS('07_CONTINUOUS_CODEBOOK'!BE23)&lt;'04_CODEBOOK_CONTROL'!$B$17,2,3)))</f>
        <v/>
      </c>
      <c r="BF23" s="7">
        <f>IF(ABS('07_CONTINUOUS_CODEBOOK'!BF23)&lt;'04_CODEBOOK_CONTROL'!$B$15,0,SIGN('07_CONTINUOUS_CODEBOOK'!BF23)*IF(ABS('07_CONTINUOUS_CODEBOOK'!BF23)&lt;'04_CODEBOOK_CONTROL'!$B$16,1,IF(ABS('07_CONTINUOUS_CODEBOOK'!BF23)&lt;'04_CODEBOOK_CONTROL'!$B$17,2,3)))</f>
        <v/>
      </c>
      <c r="BG23" s="7">
        <f>IF(ABS('07_CONTINUOUS_CODEBOOK'!BG23)&lt;'04_CODEBOOK_CONTROL'!$B$15,0,SIGN('07_CONTINUOUS_CODEBOOK'!BG23)*IF(ABS('07_CONTINUOUS_CODEBOOK'!BG23)&lt;'04_CODEBOOK_CONTROL'!$B$16,1,IF(ABS('07_CONTINUOUS_CODEBOOK'!BG23)&lt;'04_CODEBOOK_CONTROL'!$B$17,2,3)))</f>
        <v/>
      </c>
      <c r="BH23" s="7">
        <f>IF(ABS('07_CONTINUOUS_CODEBOOK'!BH23)&lt;'04_CODEBOOK_CONTROL'!$B$15,0,SIGN('07_CONTINUOUS_CODEBOOK'!BH23)*IF(ABS('07_CONTINUOUS_CODEBOOK'!BH23)&lt;'04_CODEBOOK_CONTROL'!$B$16,1,IF(ABS('07_CONTINUOUS_CODEBOOK'!BH23)&lt;'04_CODEBOOK_CONTROL'!$B$17,2,3)))</f>
        <v/>
      </c>
      <c r="BI23" s="7">
        <f>IF(ABS('07_CONTINUOUS_CODEBOOK'!BI23)&lt;'04_CODEBOOK_CONTROL'!$B$15,0,SIGN('07_CONTINUOUS_CODEBOOK'!BI23)*IF(ABS('07_CONTINUOUS_CODEBOOK'!BI23)&lt;'04_CODEBOOK_CONTROL'!$B$16,1,IF(ABS('07_CONTINUOUS_CODEBOOK'!BI23)&lt;'04_CODEBOOK_CONTROL'!$B$17,2,3)))</f>
        <v/>
      </c>
      <c r="BJ23" s="7">
        <f>IF(ABS('07_CONTINUOUS_CODEBOOK'!BJ23)&lt;'04_CODEBOOK_CONTROL'!$B$15,0,SIGN('07_CONTINUOUS_CODEBOOK'!BJ23)*IF(ABS('07_CONTINUOUS_CODEBOOK'!BJ23)&lt;'04_CODEBOOK_CONTROL'!$B$16,1,IF(ABS('07_CONTINUOUS_CODEBOOK'!BJ23)&lt;'04_CODEBOOK_CONTROL'!$B$17,2,3)))</f>
        <v/>
      </c>
      <c r="BK23" s="7">
        <f>IF(ABS('07_CONTINUOUS_CODEBOOK'!BK23)&lt;'04_CODEBOOK_CONTROL'!$B$15,0,SIGN('07_CONTINUOUS_CODEBOOK'!BK23)*IF(ABS('07_CONTINUOUS_CODEBOOK'!BK23)&lt;'04_CODEBOOK_CONTROL'!$B$16,1,IF(ABS('07_CONTINUOUS_CODEBOOK'!BK23)&lt;'04_CODEBOOK_CONTROL'!$B$17,2,3)))</f>
        <v/>
      </c>
      <c r="BL23" s="7">
        <f>IF(ABS('07_CONTINUOUS_CODEBOOK'!BL23)&lt;'04_CODEBOOK_CONTROL'!$B$15,0,SIGN('07_CONTINUOUS_CODEBOOK'!BL23)*IF(ABS('07_CONTINUOUS_CODEBOOK'!BL23)&lt;'04_CODEBOOK_CONTROL'!$B$16,1,IF(ABS('07_CONTINUOUS_CODEBOOK'!BL23)&lt;'04_CODEBOOK_CONTROL'!$B$17,2,3)))</f>
        <v/>
      </c>
      <c r="BM23" s="7">
        <f>IF(ABS('07_CONTINUOUS_CODEBOOK'!BM23)&lt;'04_CODEBOOK_CONTROL'!$B$15,0,SIGN('07_CONTINUOUS_CODEBOOK'!BM23)*IF(ABS('07_CONTINUOUS_CODEBOOK'!BM23)&lt;'04_CODEBOOK_CONTROL'!$B$16,1,IF(ABS('07_CONTINUOUS_CODEBOOK'!BM23)&lt;'04_CODEBOOK_CONTROL'!$B$17,2,3)))</f>
        <v/>
      </c>
      <c r="BN23" s="7">
        <f>IF(ABS('07_CONTINUOUS_CODEBOOK'!BN23)&lt;'04_CODEBOOK_CONTROL'!$B$15,0,SIGN('07_CONTINUOUS_CODEBOOK'!BN23)*IF(ABS('07_CONTINUOUS_CODEBOOK'!BN23)&lt;'04_CODEBOOK_CONTROL'!$B$16,1,IF(ABS('07_CONTINUOUS_CODEBOOK'!BN23)&lt;'04_CODEBOOK_CONTROL'!$B$17,2,3)))</f>
        <v/>
      </c>
      <c r="BO23" s="7">
        <f>IF(ABS('07_CONTINUOUS_CODEBOOK'!BO23)&lt;'04_CODEBOOK_CONTROL'!$B$15,0,SIGN('07_CONTINUOUS_CODEBOOK'!BO23)*IF(ABS('07_CONTINUOUS_CODEBOOK'!BO23)&lt;'04_CODEBOOK_CONTROL'!$B$16,1,IF(ABS('07_CONTINUOUS_CODEBOOK'!BO23)&lt;'04_CODEBOOK_CONTROL'!$B$17,2,3)))</f>
        <v/>
      </c>
      <c r="BP23" s="7">
        <f>IF(ABS('07_CONTINUOUS_CODEBOOK'!BP23)&lt;'04_CODEBOOK_CONTROL'!$B$15,0,SIGN('07_CONTINUOUS_CODEBOOK'!BP23)*IF(ABS('07_CONTINUOUS_CODEBOOK'!BP23)&lt;'04_CODEBOOK_CONTROL'!$B$16,1,IF(ABS('07_CONTINUOUS_CODEBOOK'!BP23)&lt;'04_CODEBOOK_CONTROL'!$B$17,2,3)))</f>
        <v/>
      </c>
      <c r="BQ23" s="7">
        <f>IF(ABS('07_CONTINUOUS_CODEBOOK'!BQ23)&lt;'04_CODEBOOK_CONTROL'!$B$15,0,SIGN('07_CONTINUOUS_CODEBOOK'!BQ23)*IF(ABS('07_CONTINUOUS_CODEBOOK'!BQ23)&lt;'04_CODEBOOK_CONTROL'!$B$16,1,IF(ABS('07_CONTINUOUS_CODEBOOK'!BQ23)&lt;'04_CODEBOOK_CONTROL'!$B$17,2,3)))</f>
        <v/>
      </c>
      <c r="BR23" s="7">
        <f>IF(ABS('07_CONTINUOUS_CODEBOOK'!BR23)&lt;'04_CODEBOOK_CONTROL'!$B$15,0,SIGN('07_CONTINUOUS_CODEBOOK'!BR23)*IF(ABS('07_CONTINUOUS_CODEBOOK'!BR23)&lt;'04_CODEBOOK_CONTROL'!$B$16,1,IF(ABS('07_CONTINUOUS_CODEBOOK'!BR23)&lt;'04_CODEBOOK_CONTROL'!$B$17,2,3)))</f>
        <v/>
      </c>
      <c r="BS23" s="7">
        <f>IF(ABS('07_CONTINUOUS_CODEBOOK'!BS23)&lt;'04_CODEBOOK_CONTROL'!$B$15,0,SIGN('07_CONTINUOUS_CODEBOOK'!BS23)*IF(ABS('07_CONTINUOUS_CODEBOOK'!BS23)&lt;'04_CODEBOOK_CONTROL'!$B$16,1,IF(ABS('07_CONTINUOUS_CODEBOOK'!BS23)&lt;'04_CODEBOOK_CONTROL'!$B$17,2,3)))</f>
        <v/>
      </c>
      <c r="BT23" s="7">
        <f>IF(ABS('07_CONTINUOUS_CODEBOOK'!BT23)&lt;'04_CODEBOOK_CONTROL'!$B$15,0,SIGN('07_CONTINUOUS_CODEBOOK'!BT23)*IF(ABS('07_CONTINUOUS_CODEBOOK'!BT23)&lt;'04_CODEBOOK_CONTROL'!$B$16,1,IF(ABS('07_CONTINUOUS_CODEBOOK'!BT23)&lt;'04_CODEBOOK_CONTROL'!$B$17,2,3)))</f>
        <v/>
      </c>
      <c r="BU23" s="7">
        <f>IF(ABS('07_CONTINUOUS_CODEBOOK'!BU23)&lt;'04_CODEBOOK_CONTROL'!$B$15,0,SIGN('07_CONTINUOUS_CODEBOOK'!BU23)*IF(ABS('07_CONTINUOUS_CODEBOOK'!BU23)&lt;'04_CODEBOOK_CONTROL'!$B$16,1,IF(ABS('07_CONTINUOUS_CODEBOOK'!BU23)&lt;'04_CODEBOOK_CONTROL'!$B$17,2,3)))</f>
        <v/>
      </c>
      <c r="BV23" s="7">
        <f>IF(ABS('07_CONTINUOUS_CODEBOOK'!BV23)&lt;'04_CODEBOOK_CONTROL'!$B$15,0,SIGN('07_CONTINUOUS_CODEBOOK'!BV23)*IF(ABS('07_CONTINUOUS_CODEBOOK'!BV23)&lt;'04_CODEBOOK_CONTROL'!$B$16,1,IF(ABS('07_CONTINUOUS_CODEBOOK'!BV23)&lt;'04_CODEBOOK_CONTROL'!$B$17,2,3)))</f>
        <v/>
      </c>
      <c r="BW23" s="7">
        <f>IF(ABS('07_CONTINUOUS_CODEBOOK'!BW23)&lt;'04_CODEBOOK_CONTROL'!$B$15,0,SIGN('07_CONTINUOUS_CODEBOOK'!BW23)*IF(ABS('07_CONTINUOUS_CODEBOOK'!BW23)&lt;'04_CODEBOOK_CONTROL'!$B$16,1,IF(ABS('07_CONTINUOUS_CODEBOOK'!BW23)&lt;'04_CODEBOOK_CONTROL'!$B$17,2,3)))</f>
        <v/>
      </c>
      <c r="BX23" s="7">
        <f>IF(ABS('07_CONTINUOUS_CODEBOOK'!BX23)&lt;'04_CODEBOOK_CONTROL'!$B$15,0,SIGN('07_CONTINUOUS_CODEBOOK'!BX23)*IF(ABS('07_CONTINUOUS_CODEBOOK'!BX23)&lt;'04_CODEBOOK_CONTROL'!$B$16,1,IF(ABS('07_CONTINUOUS_CODEBOOK'!BX23)&lt;'04_CODEBOOK_CONTROL'!$B$17,2,3)))</f>
        <v/>
      </c>
      <c r="BY23" s="7">
        <f>IF(ABS('07_CONTINUOUS_CODEBOOK'!BY23)&lt;'04_CODEBOOK_CONTROL'!$B$15,0,SIGN('07_CONTINUOUS_CODEBOOK'!BY23)*IF(ABS('07_CONTINUOUS_CODEBOOK'!BY23)&lt;'04_CODEBOOK_CONTROL'!$B$16,1,IF(ABS('07_CONTINUOUS_CODEBOOK'!BY23)&lt;'04_CODEBOOK_CONTROL'!$B$17,2,3)))</f>
        <v/>
      </c>
      <c r="BZ23" s="7">
        <f>IF(ABS('07_CONTINUOUS_CODEBOOK'!BZ23)&lt;'04_CODEBOOK_CONTROL'!$B$15,0,SIGN('07_CONTINUOUS_CODEBOOK'!BZ23)*IF(ABS('07_CONTINUOUS_CODEBOOK'!BZ23)&lt;'04_CODEBOOK_CONTROL'!$B$16,1,IF(ABS('07_CONTINUOUS_CODEBOOK'!BZ23)&lt;'04_CODEBOOK_CONTROL'!$B$17,2,3)))</f>
        <v/>
      </c>
      <c r="CA23" s="7">
        <f>IF(ABS('07_CONTINUOUS_CODEBOOK'!CA23)&lt;'04_CODEBOOK_CONTROL'!$B$15,0,SIGN('07_CONTINUOUS_CODEBOOK'!CA23)*IF(ABS('07_CONTINUOUS_CODEBOOK'!CA23)&lt;'04_CODEBOOK_CONTROL'!$B$16,1,IF(ABS('07_CONTINUOUS_CODEBOOK'!CA23)&lt;'04_CODEBOOK_CONTROL'!$B$17,2,3)))</f>
        <v/>
      </c>
      <c r="CB23" s="7">
        <f>IF(ABS('07_CONTINUOUS_CODEBOOK'!CB23)&lt;'04_CODEBOOK_CONTROL'!$B$15,0,SIGN('07_CONTINUOUS_CODEBOOK'!CB23)*IF(ABS('07_CONTINUOUS_CODEBOOK'!CB23)&lt;'04_CODEBOOK_CONTROL'!$B$16,1,IF(ABS('07_CONTINUOUS_CODEBOOK'!CB23)&lt;'04_CODEBOOK_CONTROL'!$B$17,2,3)))</f>
        <v/>
      </c>
      <c r="CC23" s="7">
        <f>IF(ABS('07_CONTINUOUS_CODEBOOK'!CC23)&lt;'04_CODEBOOK_CONTROL'!$B$15,0,SIGN('07_CONTINUOUS_CODEBOOK'!CC23)*IF(ABS('07_CONTINUOUS_CODEBOOK'!CC23)&lt;'04_CODEBOOK_CONTROL'!$B$16,1,IF(ABS('07_CONTINUOUS_CODEBOOK'!CC23)&lt;'04_CODEBOOK_CONTROL'!$B$17,2,3)))</f>
        <v/>
      </c>
      <c r="CD23" s="7">
        <f>IF(ABS('07_CONTINUOUS_CODEBOOK'!CD23)&lt;'04_CODEBOOK_CONTROL'!$B$15,0,SIGN('07_CONTINUOUS_CODEBOOK'!CD23)*IF(ABS('07_CONTINUOUS_CODEBOOK'!CD23)&lt;'04_CODEBOOK_CONTROL'!$B$16,1,IF(ABS('07_CONTINUOUS_CODEBOOK'!CD23)&lt;'04_CODEBOOK_CONTROL'!$B$17,2,3)))</f>
        <v/>
      </c>
      <c r="CE23" s="7">
        <f>IF(ABS('07_CONTINUOUS_CODEBOOK'!CE23)&lt;'04_CODEBOOK_CONTROL'!$B$15,0,SIGN('07_CONTINUOUS_CODEBOOK'!CE23)*IF(ABS('07_CONTINUOUS_CODEBOOK'!CE23)&lt;'04_CODEBOOK_CONTROL'!$B$16,1,IF(ABS('07_CONTINUOUS_CODEBOOK'!CE23)&lt;'04_CODEBOOK_CONTROL'!$B$17,2,3)))</f>
        <v/>
      </c>
    </row>
    <row r="24">
      <c r="A24" t="n">
        <v>20</v>
      </c>
      <c r="B24" t="inlineStr">
        <is>
          <t>阿努納奇</t>
        </is>
      </c>
      <c r="C24" t="inlineStr">
        <is>
          <t>Anunnaki / Nibiruan</t>
        </is>
      </c>
      <c r="D24" s="7">
        <f>IF(ABS('07_CONTINUOUS_CODEBOOK'!D24)&lt;'04_CODEBOOK_CONTROL'!$B$15,0,SIGN('07_CONTINUOUS_CODEBOOK'!D24)*IF(ABS('07_CONTINUOUS_CODEBOOK'!D24)&lt;'04_CODEBOOK_CONTROL'!$B$16,1,IF(ABS('07_CONTINUOUS_CODEBOOK'!D24)&lt;'04_CODEBOOK_CONTROL'!$B$17,2,3)))</f>
        <v/>
      </c>
      <c r="E24" s="7">
        <f>IF(ABS('07_CONTINUOUS_CODEBOOK'!E24)&lt;'04_CODEBOOK_CONTROL'!$B$15,0,SIGN('07_CONTINUOUS_CODEBOOK'!E24)*IF(ABS('07_CONTINUOUS_CODEBOOK'!E24)&lt;'04_CODEBOOK_CONTROL'!$B$16,1,IF(ABS('07_CONTINUOUS_CODEBOOK'!E24)&lt;'04_CODEBOOK_CONTROL'!$B$17,2,3)))</f>
        <v/>
      </c>
      <c r="F24" s="7">
        <f>IF(ABS('07_CONTINUOUS_CODEBOOK'!F24)&lt;'04_CODEBOOK_CONTROL'!$B$15,0,SIGN('07_CONTINUOUS_CODEBOOK'!F24)*IF(ABS('07_CONTINUOUS_CODEBOOK'!F24)&lt;'04_CODEBOOK_CONTROL'!$B$16,1,IF(ABS('07_CONTINUOUS_CODEBOOK'!F24)&lt;'04_CODEBOOK_CONTROL'!$B$17,2,3)))</f>
        <v/>
      </c>
      <c r="G24" s="7">
        <f>IF(ABS('07_CONTINUOUS_CODEBOOK'!G24)&lt;'04_CODEBOOK_CONTROL'!$B$15,0,SIGN('07_CONTINUOUS_CODEBOOK'!G24)*IF(ABS('07_CONTINUOUS_CODEBOOK'!G24)&lt;'04_CODEBOOK_CONTROL'!$B$16,1,IF(ABS('07_CONTINUOUS_CODEBOOK'!G24)&lt;'04_CODEBOOK_CONTROL'!$B$17,2,3)))</f>
        <v/>
      </c>
      <c r="H24" s="7">
        <f>IF(ABS('07_CONTINUOUS_CODEBOOK'!H24)&lt;'04_CODEBOOK_CONTROL'!$B$15,0,SIGN('07_CONTINUOUS_CODEBOOK'!H24)*IF(ABS('07_CONTINUOUS_CODEBOOK'!H24)&lt;'04_CODEBOOK_CONTROL'!$B$16,1,IF(ABS('07_CONTINUOUS_CODEBOOK'!H24)&lt;'04_CODEBOOK_CONTROL'!$B$17,2,3)))</f>
        <v/>
      </c>
      <c r="I24" s="7">
        <f>IF(ABS('07_CONTINUOUS_CODEBOOK'!I24)&lt;'04_CODEBOOK_CONTROL'!$B$15,0,SIGN('07_CONTINUOUS_CODEBOOK'!I24)*IF(ABS('07_CONTINUOUS_CODEBOOK'!I24)&lt;'04_CODEBOOK_CONTROL'!$B$16,1,IF(ABS('07_CONTINUOUS_CODEBOOK'!I24)&lt;'04_CODEBOOK_CONTROL'!$B$17,2,3)))</f>
        <v/>
      </c>
      <c r="J24" s="7">
        <f>IF(ABS('07_CONTINUOUS_CODEBOOK'!J24)&lt;'04_CODEBOOK_CONTROL'!$B$15,0,SIGN('07_CONTINUOUS_CODEBOOK'!J24)*IF(ABS('07_CONTINUOUS_CODEBOOK'!J24)&lt;'04_CODEBOOK_CONTROL'!$B$16,1,IF(ABS('07_CONTINUOUS_CODEBOOK'!J24)&lt;'04_CODEBOOK_CONTROL'!$B$17,2,3)))</f>
        <v/>
      </c>
      <c r="K24" s="7">
        <f>IF(ABS('07_CONTINUOUS_CODEBOOK'!K24)&lt;'04_CODEBOOK_CONTROL'!$B$15,0,SIGN('07_CONTINUOUS_CODEBOOK'!K24)*IF(ABS('07_CONTINUOUS_CODEBOOK'!K24)&lt;'04_CODEBOOK_CONTROL'!$B$16,1,IF(ABS('07_CONTINUOUS_CODEBOOK'!K24)&lt;'04_CODEBOOK_CONTROL'!$B$17,2,3)))</f>
        <v/>
      </c>
      <c r="L24" s="7">
        <f>IF(ABS('07_CONTINUOUS_CODEBOOK'!L24)&lt;'04_CODEBOOK_CONTROL'!$B$15,0,SIGN('07_CONTINUOUS_CODEBOOK'!L24)*IF(ABS('07_CONTINUOUS_CODEBOOK'!L24)&lt;'04_CODEBOOK_CONTROL'!$B$16,1,IF(ABS('07_CONTINUOUS_CODEBOOK'!L24)&lt;'04_CODEBOOK_CONTROL'!$B$17,2,3)))</f>
        <v/>
      </c>
      <c r="M24" s="7">
        <f>IF(ABS('07_CONTINUOUS_CODEBOOK'!M24)&lt;'04_CODEBOOK_CONTROL'!$B$15,0,SIGN('07_CONTINUOUS_CODEBOOK'!M24)*IF(ABS('07_CONTINUOUS_CODEBOOK'!M24)&lt;'04_CODEBOOK_CONTROL'!$B$16,1,IF(ABS('07_CONTINUOUS_CODEBOOK'!M24)&lt;'04_CODEBOOK_CONTROL'!$B$17,2,3)))</f>
        <v/>
      </c>
      <c r="N24" s="7">
        <f>IF(ABS('07_CONTINUOUS_CODEBOOK'!N24)&lt;'04_CODEBOOK_CONTROL'!$B$15,0,SIGN('07_CONTINUOUS_CODEBOOK'!N24)*IF(ABS('07_CONTINUOUS_CODEBOOK'!N24)&lt;'04_CODEBOOK_CONTROL'!$B$16,1,IF(ABS('07_CONTINUOUS_CODEBOOK'!N24)&lt;'04_CODEBOOK_CONTROL'!$B$17,2,3)))</f>
        <v/>
      </c>
      <c r="O24" s="7">
        <f>IF(ABS('07_CONTINUOUS_CODEBOOK'!O24)&lt;'04_CODEBOOK_CONTROL'!$B$15,0,SIGN('07_CONTINUOUS_CODEBOOK'!O24)*IF(ABS('07_CONTINUOUS_CODEBOOK'!O24)&lt;'04_CODEBOOK_CONTROL'!$B$16,1,IF(ABS('07_CONTINUOUS_CODEBOOK'!O24)&lt;'04_CODEBOOK_CONTROL'!$B$17,2,3)))</f>
        <v/>
      </c>
      <c r="P24" s="7">
        <f>IF(ABS('07_CONTINUOUS_CODEBOOK'!P24)&lt;'04_CODEBOOK_CONTROL'!$B$15,0,SIGN('07_CONTINUOUS_CODEBOOK'!P24)*IF(ABS('07_CONTINUOUS_CODEBOOK'!P24)&lt;'04_CODEBOOK_CONTROL'!$B$16,1,IF(ABS('07_CONTINUOUS_CODEBOOK'!P24)&lt;'04_CODEBOOK_CONTROL'!$B$17,2,3)))</f>
        <v/>
      </c>
      <c r="Q24" s="7">
        <f>IF(ABS('07_CONTINUOUS_CODEBOOK'!Q24)&lt;'04_CODEBOOK_CONTROL'!$B$15,0,SIGN('07_CONTINUOUS_CODEBOOK'!Q24)*IF(ABS('07_CONTINUOUS_CODEBOOK'!Q24)&lt;'04_CODEBOOK_CONTROL'!$B$16,1,IF(ABS('07_CONTINUOUS_CODEBOOK'!Q24)&lt;'04_CODEBOOK_CONTROL'!$B$17,2,3)))</f>
        <v/>
      </c>
      <c r="R24" s="7">
        <f>IF(ABS('07_CONTINUOUS_CODEBOOK'!R24)&lt;'04_CODEBOOK_CONTROL'!$B$15,0,SIGN('07_CONTINUOUS_CODEBOOK'!R24)*IF(ABS('07_CONTINUOUS_CODEBOOK'!R24)&lt;'04_CODEBOOK_CONTROL'!$B$16,1,IF(ABS('07_CONTINUOUS_CODEBOOK'!R24)&lt;'04_CODEBOOK_CONTROL'!$B$17,2,3)))</f>
        <v/>
      </c>
      <c r="S24" s="7">
        <f>IF(ABS('07_CONTINUOUS_CODEBOOK'!S24)&lt;'04_CODEBOOK_CONTROL'!$B$15,0,SIGN('07_CONTINUOUS_CODEBOOK'!S24)*IF(ABS('07_CONTINUOUS_CODEBOOK'!S24)&lt;'04_CODEBOOK_CONTROL'!$B$16,1,IF(ABS('07_CONTINUOUS_CODEBOOK'!S24)&lt;'04_CODEBOOK_CONTROL'!$B$17,2,3)))</f>
        <v/>
      </c>
      <c r="T24" s="7">
        <f>IF(ABS('07_CONTINUOUS_CODEBOOK'!T24)&lt;'04_CODEBOOK_CONTROL'!$B$15,0,SIGN('07_CONTINUOUS_CODEBOOK'!T24)*IF(ABS('07_CONTINUOUS_CODEBOOK'!T24)&lt;'04_CODEBOOK_CONTROL'!$B$16,1,IF(ABS('07_CONTINUOUS_CODEBOOK'!T24)&lt;'04_CODEBOOK_CONTROL'!$B$17,2,3)))</f>
        <v/>
      </c>
      <c r="U24" s="7">
        <f>IF(ABS('07_CONTINUOUS_CODEBOOK'!U24)&lt;'04_CODEBOOK_CONTROL'!$B$15,0,SIGN('07_CONTINUOUS_CODEBOOK'!U24)*IF(ABS('07_CONTINUOUS_CODEBOOK'!U24)&lt;'04_CODEBOOK_CONTROL'!$B$16,1,IF(ABS('07_CONTINUOUS_CODEBOOK'!U24)&lt;'04_CODEBOOK_CONTROL'!$B$17,2,3)))</f>
        <v/>
      </c>
      <c r="V24" s="7">
        <f>IF(ABS('07_CONTINUOUS_CODEBOOK'!V24)&lt;'04_CODEBOOK_CONTROL'!$B$15,0,SIGN('07_CONTINUOUS_CODEBOOK'!V24)*IF(ABS('07_CONTINUOUS_CODEBOOK'!V24)&lt;'04_CODEBOOK_CONTROL'!$B$16,1,IF(ABS('07_CONTINUOUS_CODEBOOK'!V24)&lt;'04_CODEBOOK_CONTROL'!$B$17,2,3)))</f>
        <v/>
      </c>
      <c r="W24" s="7">
        <f>IF(ABS('07_CONTINUOUS_CODEBOOK'!W24)&lt;'04_CODEBOOK_CONTROL'!$B$15,0,SIGN('07_CONTINUOUS_CODEBOOK'!W24)*IF(ABS('07_CONTINUOUS_CODEBOOK'!W24)&lt;'04_CODEBOOK_CONTROL'!$B$16,1,IF(ABS('07_CONTINUOUS_CODEBOOK'!W24)&lt;'04_CODEBOOK_CONTROL'!$B$17,2,3)))</f>
        <v/>
      </c>
      <c r="X24" s="7">
        <f>IF(ABS('07_CONTINUOUS_CODEBOOK'!X24)&lt;'04_CODEBOOK_CONTROL'!$B$15,0,SIGN('07_CONTINUOUS_CODEBOOK'!X24)*IF(ABS('07_CONTINUOUS_CODEBOOK'!X24)&lt;'04_CODEBOOK_CONTROL'!$B$16,1,IF(ABS('07_CONTINUOUS_CODEBOOK'!X24)&lt;'04_CODEBOOK_CONTROL'!$B$17,2,3)))</f>
        <v/>
      </c>
      <c r="Y24" s="7">
        <f>IF(ABS('07_CONTINUOUS_CODEBOOK'!Y24)&lt;'04_CODEBOOK_CONTROL'!$B$15,0,SIGN('07_CONTINUOUS_CODEBOOK'!Y24)*IF(ABS('07_CONTINUOUS_CODEBOOK'!Y24)&lt;'04_CODEBOOK_CONTROL'!$B$16,1,IF(ABS('07_CONTINUOUS_CODEBOOK'!Y24)&lt;'04_CODEBOOK_CONTROL'!$B$17,2,3)))</f>
        <v/>
      </c>
      <c r="Z24" s="7">
        <f>IF(ABS('07_CONTINUOUS_CODEBOOK'!Z24)&lt;'04_CODEBOOK_CONTROL'!$B$15,0,SIGN('07_CONTINUOUS_CODEBOOK'!Z24)*IF(ABS('07_CONTINUOUS_CODEBOOK'!Z24)&lt;'04_CODEBOOK_CONTROL'!$B$16,1,IF(ABS('07_CONTINUOUS_CODEBOOK'!Z24)&lt;'04_CODEBOOK_CONTROL'!$B$17,2,3)))</f>
        <v/>
      </c>
      <c r="AA24" s="7">
        <f>IF(ABS('07_CONTINUOUS_CODEBOOK'!AA24)&lt;'04_CODEBOOK_CONTROL'!$B$15,0,SIGN('07_CONTINUOUS_CODEBOOK'!AA24)*IF(ABS('07_CONTINUOUS_CODEBOOK'!AA24)&lt;'04_CODEBOOK_CONTROL'!$B$16,1,IF(ABS('07_CONTINUOUS_CODEBOOK'!AA24)&lt;'04_CODEBOOK_CONTROL'!$B$17,2,3)))</f>
        <v/>
      </c>
      <c r="AB24" s="7">
        <f>IF(ABS('07_CONTINUOUS_CODEBOOK'!AB24)&lt;'04_CODEBOOK_CONTROL'!$B$15,0,SIGN('07_CONTINUOUS_CODEBOOK'!AB24)*IF(ABS('07_CONTINUOUS_CODEBOOK'!AB24)&lt;'04_CODEBOOK_CONTROL'!$B$16,1,IF(ABS('07_CONTINUOUS_CODEBOOK'!AB24)&lt;'04_CODEBOOK_CONTROL'!$B$17,2,3)))</f>
        <v/>
      </c>
      <c r="AC24" s="7">
        <f>IF(ABS('07_CONTINUOUS_CODEBOOK'!AC24)&lt;'04_CODEBOOK_CONTROL'!$B$15,0,SIGN('07_CONTINUOUS_CODEBOOK'!AC24)*IF(ABS('07_CONTINUOUS_CODEBOOK'!AC24)&lt;'04_CODEBOOK_CONTROL'!$B$16,1,IF(ABS('07_CONTINUOUS_CODEBOOK'!AC24)&lt;'04_CODEBOOK_CONTROL'!$B$17,2,3)))</f>
        <v/>
      </c>
      <c r="AD24" s="7">
        <f>IF(ABS('07_CONTINUOUS_CODEBOOK'!AD24)&lt;'04_CODEBOOK_CONTROL'!$B$15,0,SIGN('07_CONTINUOUS_CODEBOOK'!AD24)*IF(ABS('07_CONTINUOUS_CODEBOOK'!AD24)&lt;'04_CODEBOOK_CONTROL'!$B$16,1,IF(ABS('07_CONTINUOUS_CODEBOOK'!AD24)&lt;'04_CODEBOOK_CONTROL'!$B$17,2,3)))</f>
        <v/>
      </c>
      <c r="AE24" s="7">
        <f>IF(ABS('07_CONTINUOUS_CODEBOOK'!AE24)&lt;'04_CODEBOOK_CONTROL'!$B$15,0,SIGN('07_CONTINUOUS_CODEBOOK'!AE24)*IF(ABS('07_CONTINUOUS_CODEBOOK'!AE24)&lt;'04_CODEBOOK_CONTROL'!$B$16,1,IF(ABS('07_CONTINUOUS_CODEBOOK'!AE24)&lt;'04_CODEBOOK_CONTROL'!$B$17,2,3)))</f>
        <v/>
      </c>
      <c r="AF24" s="7">
        <f>IF(ABS('07_CONTINUOUS_CODEBOOK'!AF24)&lt;'04_CODEBOOK_CONTROL'!$B$15,0,SIGN('07_CONTINUOUS_CODEBOOK'!AF24)*IF(ABS('07_CONTINUOUS_CODEBOOK'!AF24)&lt;'04_CODEBOOK_CONTROL'!$B$16,1,IF(ABS('07_CONTINUOUS_CODEBOOK'!AF24)&lt;'04_CODEBOOK_CONTROL'!$B$17,2,3)))</f>
        <v/>
      </c>
      <c r="AG24" s="7">
        <f>IF(ABS('07_CONTINUOUS_CODEBOOK'!AG24)&lt;'04_CODEBOOK_CONTROL'!$B$15,0,SIGN('07_CONTINUOUS_CODEBOOK'!AG24)*IF(ABS('07_CONTINUOUS_CODEBOOK'!AG24)&lt;'04_CODEBOOK_CONTROL'!$B$16,1,IF(ABS('07_CONTINUOUS_CODEBOOK'!AG24)&lt;'04_CODEBOOK_CONTROL'!$B$17,2,3)))</f>
        <v/>
      </c>
      <c r="AH24" s="7">
        <f>IF(ABS('07_CONTINUOUS_CODEBOOK'!AH24)&lt;'04_CODEBOOK_CONTROL'!$B$15,0,SIGN('07_CONTINUOUS_CODEBOOK'!AH24)*IF(ABS('07_CONTINUOUS_CODEBOOK'!AH24)&lt;'04_CODEBOOK_CONTROL'!$B$16,1,IF(ABS('07_CONTINUOUS_CODEBOOK'!AH24)&lt;'04_CODEBOOK_CONTROL'!$B$17,2,3)))</f>
        <v/>
      </c>
      <c r="AI24" s="7">
        <f>IF(ABS('07_CONTINUOUS_CODEBOOK'!AI24)&lt;'04_CODEBOOK_CONTROL'!$B$15,0,SIGN('07_CONTINUOUS_CODEBOOK'!AI24)*IF(ABS('07_CONTINUOUS_CODEBOOK'!AI24)&lt;'04_CODEBOOK_CONTROL'!$B$16,1,IF(ABS('07_CONTINUOUS_CODEBOOK'!AI24)&lt;'04_CODEBOOK_CONTROL'!$B$17,2,3)))</f>
        <v/>
      </c>
      <c r="AJ24" s="7">
        <f>IF(ABS('07_CONTINUOUS_CODEBOOK'!AJ24)&lt;'04_CODEBOOK_CONTROL'!$B$15,0,SIGN('07_CONTINUOUS_CODEBOOK'!AJ24)*IF(ABS('07_CONTINUOUS_CODEBOOK'!AJ24)&lt;'04_CODEBOOK_CONTROL'!$B$16,1,IF(ABS('07_CONTINUOUS_CODEBOOK'!AJ24)&lt;'04_CODEBOOK_CONTROL'!$B$17,2,3)))</f>
        <v/>
      </c>
      <c r="AK24" s="7">
        <f>IF(ABS('07_CONTINUOUS_CODEBOOK'!AK24)&lt;'04_CODEBOOK_CONTROL'!$B$15,0,SIGN('07_CONTINUOUS_CODEBOOK'!AK24)*IF(ABS('07_CONTINUOUS_CODEBOOK'!AK24)&lt;'04_CODEBOOK_CONTROL'!$B$16,1,IF(ABS('07_CONTINUOUS_CODEBOOK'!AK24)&lt;'04_CODEBOOK_CONTROL'!$B$17,2,3)))</f>
        <v/>
      </c>
      <c r="AL24" s="7">
        <f>IF(ABS('07_CONTINUOUS_CODEBOOK'!AL24)&lt;'04_CODEBOOK_CONTROL'!$B$15,0,SIGN('07_CONTINUOUS_CODEBOOK'!AL24)*IF(ABS('07_CONTINUOUS_CODEBOOK'!AL24)&lt;'04_CODEBOOK_CONTROL'!$B$16,1,IF(ABS('07_CONTINUOUS_CODEBOOK'!AL24)&lt;'04_CODEBOOK_CONTROL'!$B$17,2,3)))</f>
        <v/>
      </c>
      <c r="AM24" s="7">
        <f>IF(ABS('07_CONTINUOUS_CODEBOOK'!AM24)&lt;'04_CODEBOOK_CONTROL'!$B$15,0,SIGN('07_CONTINUOUS_CODEBOOK'!AM24)*IF(ABS('07_CONTINUOUS_CODEBOOK'!AM24)&lt;'04_CODEBOOK_CONTROL'!$B$16,1,IF(ABS('07_CONTINUOUS_CODEBOOK'!AM24)&lt;'04_CODEBOOK_CONTROL'!$B$17,2,3)))</f>
        <v/>
      </c>
      <c r="AN24" s="7">
        <f>IF(ABS('07_CONTINUOUS_CODEBOOK'!AN24)&lt;'04_CODEBOOK_CONTROL'!$B$15,0,SIGN('07_CONTINUOUS_CODEBOOK'!AN24)*IF(ABS('07_CONTINUOUS_CODEBOOK'!AN24)&lt;'04_CODEBOOK_CONTROL'!$B$16,1,IF(ABS('07_CONTINUOUS_CODEBOOK'!AN24)&lt;'04_CODEBOOK_CONTROL'!$B$17,2,3)))</f>
        <v/>
      </c>
      <c r="AO24" s="7">
        <f>IF(ABS('07_CONTINUOUS_CODEBOOK'!AO24)&lt;'04_CODEBOOK_CONTROL'!$B$15,0,SIGN('07_CONTINUOUS_CODEBOOK'!AO24)*IF(ABS('07_CONTINUOUS_CODEBOOK'!AO24)&lt;'04_CODEBOOK_CONTROL'!$B$16,1,IF(ABS('07_CONTINUOUS_CODEBOOK'!AO24)&lt;'04_CODEBOOK_CONTROL'!$B$17,2,3)))</f>
        <v/>
      </c>
      <c r="AP24" s="7">
        <f>IF(ABS('07_CONTINUOUS_CODEBOOK'!AP24)&lt;'04_CODEBOOK_CONTROL'!$B$15,0,SIGN('07_CONTINUOUS_CODEBOOK'!AP24)*IF(ABS('07_CONTINUOUS_CODEBOOK'!AP24)&lt;'04_CODEBOOK_CONTROL'!$B$16,1,IF(ABS('07_CONTINUOUS_CODEBOOK'!AP24)&lt;'04_CODEBOOK_CONTROL'!$B$17,2,3)))</f>
        <v/>
      </c>
      <c r="AQ24" s="7">
        <f>IF(ABS('07_CONTINUOUS_CODEBOOK'!AQ24)&lt;'04_CODEBOOK_CONTROL'!$B$15,0,SIGN('07_CONTINUOUS_CODEBOOK'!AQ24)*IF(ABS('07_CONTINUOUS_CODEBOOK'!AQ24)&lt;'04_CODEBOOK_CONTROL'!$B$16,1,IF(ABS('07_CONTINUOUS_CODEBOOK'!AQ24)&lt;'04_CODEBOOK_CONTROL'!$B$17,2,3)))</f>
        <v/>
      </c>
      <c r="AR24" s="7">
        <f>IF(ABS('07_CONTINUOUS_CODEBOOK'!AR24)&lt;'04_CODEBOOK_CONTROL'!$B$15,0,SIGN('07_CONTINUOUS_CODEBOOK'!AR24)*IF(ABS('07_CONTINUOUS_CODEBOOK'!AR24)&lt;'04_CODEBOOK_CONTROL'!$B$16,1,IF(ABS('07_CONTINUOUS_CODEBOOK'!AR24)&lt;'04_CODEBOOK_CONTROL'!$B$17,2,3)))</f>
        <v/>
      </c>
      <c r="AS24" s="7">
        <f>IF(ABS('07_CONTINUOUS_CODEBOOK'!AS24)&lt;'04_CODEBOOK_CONTROL'!$B$15,0,SIGN('07_CONTINUOUS_CODEBOOK'!AS24)*IF(ABS('07_CONTINUOUS_CODEBOOK'!AS24)&lt;'04_CODEBOOK_CONTROL'!$B$16,1,IF(ABS('07_CONTINUOUS_CODEBOOK'!AS24)&lt;'04_CODEBOOK_CONTROL'!$B$17,2,3)))</f>
        <v/>
      </c>
      <c r="AT24" s="7">
        <f>IF(ABS('07_CONTINUOUS_CODEBOOK'!AT24)&lt;'04_CODEBOOK_CONTROL'!$B$15,0,SIGN('07_CONTINUOUS_CODEBOOK'!AT24)*IF(ABS('07_CONTINUOUS_CODEBOOK'!AT24)&lt;'04_CODEBOOK_CONTROL'!$B$16,1,IF(ABS('07_CONTINUOUS_CODEBOOK'!AT24)&lt;'04_CODEBOOK_CONTROL'!$B$17,2,3)))</f>
        <v/>
      </c>
      <c r="AU24" s="7">
        <f>IF(ABS('07_CONTINUOUS_CODEBOOK'!AU24)&lt;'04_CODEBOOK_CONTROL'!$B$15,0,SIGN('07_CONTINUOUS_CODEBOOK'!AU24)*IF(ABS('07_CONTINUOUS_CODEBOOK'!AU24)&lt;'04_CODEBOOK_CONTROL'!$B$16,1,IF(ABS('07_CONTINUOUS_CODEBOOK'!AU24)&lt;'04_CODEBOOK_CONTROL'!$B$17,2,3)))</f>
        <v/>
      </c>
      <c r="AV24" s="7">
        <f>IF(ABS('07_CONTINUOUS_CODEBOOK'!AV24)&lt;'04_CODEBOOK_CONTROL'!$B$15,0,SIGN('07_CONTINUOUS_CODEBOOK'!AV24)*IF(ABS('07_CONTINUOUS_CODEBOOK'!AV24)&lt;'04_CODEBOOK_CONTROL'!$B$16,1,IF(ABS('07_CONTINUOUS_CODEBOOK'!AV24)&lt;'04_CODEBOOK_CONTROL'!$B$17,2,3)))</f>
        <v/>
      </c>
      <c r="AW24" s="7">
        <f>IF(ABS('07_CONTINUOUS_CODEBOOK'!AW24)&lt;'04_CODEBOOK_CONTROL'!$B$15,0,SIGN('07_CONTINUOUS_CODEBOOK'!AW24)*IF(ABS('07_CONTINUOUS_CODEBOOK'!AW24)&lt;'04_CODEBOOK_CONTROL'!$B$16,1,IF(ABS('07_CONTINUOUS_CODEBOOK'!AW24)&lt;'04_CODEBOOK_CONTROL'!$B$17,2,3)))</f>
        <v/>
      </c>
      <c r="AX24" s="7">
        <f>IF(ABS('07_CONTINUOUS_CODEBOOK'!AX24)&lt;'04_CODEBOOK_CONTROL'!$B$15,0,SIGN('07_CONTINUOUS_CODEBOOK'!AX24)*IF(ABS('07_CONTINUOUS_CODEBOOK'!AX24)&lt;'04_CODEBOOK_CONTROL'!$B$16,1,IF(ABS('07_CONTINUOUS_CODEBOOK'!AX24)&lt;'04_CODEBOOK_CONTROL'!$B$17,2,3)))</f>
        <v/>
      </c>
      <c r="AY24" s="7">
        <f>IF(ABS('07_CONTINUOUS_CODEBOOK'!AY24)&lt;'04_CODEBOOK_CONTROL'!$B$15,0,SIGN('07_CONTINUOUS_CODEBOOK'!AY24)*IF(ABS('07_CONTINUOUS_CODEBOOK'!AY24)&lt;'04_CODEBOOK_CONTROL'!$B$16,1,IF(ABS('07_CONTINUOUS_CODEBOOK'!AY24)&lt;'04_CODEBOOK_CONTROL'!$B$17,2,3)))</f>
        <v/>
      </c>
      <c r="AZ24" s="7">
        <f>IF(ABS('07_CONTINUOUS_CODEBOOK'!AZ24)&lt;'04_CODEBOOK_CONTROL'!$B$15,0,SIGN('07_CONTINUOUS_CODEBOOK'!AZ24)*IF(ABS('07_CONTINUOUS_CODEBOOK'!AZ24)&lt;'04_CODEBOOK_CONTROL'!$B$16,1,IF(ABS('07_CONTINUOUS_CODEBOOK'!AZ24)&lt;'04_CODEBOOK_CONTROL'!$B$17,2,3)))</f>
        <v/>
      </c>
      <c r="BA24" s="7">
        <f>IF(ABS('07_CONTINUOUS_CODEBOOK'!BA24)&lt;'04_CODEBOOK_CONTROL'!$B$15,0,SIGN('07_CONTINUOUS_CODEBOOK'!BA24)*IF(ABS('07_CONTINUOUS_CODEBOOK'!BA24)&lt;'04_CODEBOOK_CONTROL'!$B$16,1,IF(ABS('07_CONTINUOUS_CODEBOOK'!BA24)&lt;'04_CODEBOOK_CONTROL'!$B$17,2,3)))</f>
        <v/>
      </c>
      <c r="BB24" s="7">
        <f>IF(ABS('07_CONTINUOUS_CODEBOOK'!BB24)&lt;'04_CODEBOOK_CONTROL'!$B$15,0,SIGN('07_CONTINUOUS_CODEBOOK'!BB24)*IF(ABS('07_CONTINUOUS_CODEBOOK'!BB24)&lt;'04_CODEBOOK_CONTROL'!$B$16,1,IF(ABS('07_CONTINUOUS_CODEBOOK'!BB24)&lt;'04_CODEBOOK_CONTROL'!$B$17,2,3)))</f>
        <v/>
      </c>
      <c r="BC24" s="7">
        <f>IF(ABS('07_CONTINUOUS_CODEBOOK'!BC24)&lt;'04_CODEBOOK_CONTROL'!$B$15,0,SIGN('07_CONTINUOUS_CODEBOOK'!BC24)*IF(ABS('07_CONTINUOUS_CODEBOOK'!BC24)&lt;'04_CODEBOOK_CONTROL'!$B$16,1,IF(ABS('07_CONTINUOUS_CODEBOOK'!BC24)&lt;'04_CODEBOOK_CONTROL'!$B$17,2,3)))</f>
        <v/>
      </c>
      <c r="BD24" s="7">
        <f>IF(ABS('07_CONTINUOUS_CODEBOOK'!BD24)&lt;'04_CODEBOOK_CONTROL'!$B$15,0,SIGN('07_CONTINUOUS_CODEBOOK'!BD24)*IF(ABS('07_CONTINUOUS_CODEBOOK'!BD24)&lt;'04_CODEBOOK_CONTROL'!$B$16,1,IF(ABS('07_CONTINUOUS_CODEBOOK'!BD24)&lt;'04_CODEBOOK_CONTROL'!$B$17,2,3)))</f>
        <v/>
      </c>
      <c r="BE24" s="7">
        <f>IF(ABS('07_CONTINUOUS_CODEBOOK'!BE24)&lt;'04_CODEBOOK_CONTROL'!$B$15,0,SIGN('07_CONTINUOUS_CODEBOOK'!BE24)*IF(ABS('07_CONTINUOUS_CODEBOOK'!BE24)&lt;'04_CODEBOOK_CONTROL'!$B$16,1,IF(ABS('07_CONTINUOUS_CODEBOOK'!BE24)&lt;'04_CODEBOOK_CONTROL'!$B$17,2,3)))</f>
        <v/>
      </c>
      <c r="BF24" s="7">
        <f>IF(ABS('07_CONTINUOUS_CODEBOOK'!BF24)&lt;'04_CODEBOOK_CONTROL'!$B$15,0,SIGN('07_CONTINUOUS_CODEBOOK'!BF24)*IF(ABS('07_CONTINUOUS_CODEBOOK'!BF24)&lt;'04_CODEBOOK_CONTROL'!$B$16,1,IF(ABS('07_CONTINUOUS_CODEBOOK'!BF24)&lt;'04_CODEBOOK_CONTROL'!$B$17,2,3)))</f>
        <v/>
      </c>
      <c r="BG24" s="7">
        <f>IF(ABS('07_CONTINUOUS_CODEBOOK'!BG24)&lt;'04_CODEBOOK_CONTROL'!$B$15,0,SIGN('07_CONTINUOUS_CODEBOOK'!BG24)*IF(ABS('07_CONTINUOUS_CODEBOOK'!BG24)&lt;'04_CODEBOOK_CONTROL'!$B$16,1,IF(ABS('07_CONTINUOUS_CODEBOOK'!BG24)&lt;'04_CODEBOOK_CONTROL'!$B$17,2,3)))</f>
        <v/>
      </c>
      <c r="BH24" s="7">
        <f>IF(ABS('07_CONTINUOUS_CODEBOOK'!BH24)&lt;'04_CODEBOOK_CONTROL'!$B$15,0,SIGN('07_CONTINUOUS_CODEBOOK'!BH24)*IF(ABS('07_CONTINUOUS_CODEBOOK'!BH24)&lt;'04_CODEBOOK_CONTROL'!$B$16,1,IF(ABS('07_CONTINUOUS_CODEBOOK'!BH24)&lt;'04_CODEBOOK_CONTROL'!$B$17,2,3)))</f>
        <v/>
      </c>
      <c r="BI24" s="7">
        <f>IF(ABS('07_CONTINUOUS_CODEBOOK'!BI24)&lt;'04_CODEBOOK_CONTROL'!$B$15,0,SIGN('07_CONTINUOUS_CODEBOOK'!BI24)*IF(ABS('07_CONTINUOUS_CODEBOOK'!BI24)&lt;'04_CODEBOOK_CONTROL'!$B$16,1,IF(ABS('07_CONTINUOUS_CODEBOOK'!BI24)&lt;'04_CODEBOOK_CONTROL'!$B$17,2,3)))</f>
        <v/>
      </c>
      <c r="BJ24" s="7">
        <f>IF(ABS('07_CONTINUOUS_CODEBOOK'!BJ24)&lt;'04_CODEBOOK_CONTROL'!$B$15,0,SIGN('07_CONTINUOUS_CODEBOOK'!BJ24)*IF(ABS('07_CONTINUOUS_CODEBOOK'!BJ24)&lt;'04_CODEBOOK_CONTROL'!$B$16,1,IF(ABS('07_CONTINUOUS_CODEBOOK'!BJ24)&lt;'04_CODEBOOK_CONTROL'!$B$17,2,3)))</f>
        <v/>
      </c>
      <c r="BK24" s="7">
        <f>IF(ABS('07_CONTINUOUS_CODEBOOK'!BK24)&lt;'04_CODEBOOK_CONTROL'!$B$15,0,SIGN('07_CONTINUOUS_CODEBOOK'!BK24)*IF(ABS('07_CONTINUOUS_CODEBOOK'!BK24)&lt;'04_CODEBOOK_CONTROL'!$B$16,1,IF(ABS('07_CONTINUOUS_CODEBOOK'!BK24)&lt;'04_CODEBOOK_CONTROL'!$B$17,2,3)))</f>
        <v/>
      </c>
      <c r="BL24" s="7">
        <f>IF(ABS('07_CONTINUOUS_CODEBOOK'!BL24)&lt;'04_CODEBOOK_CONTROL'!$B$15,0,SIGN('07_CONTINUOUS_CODEBOOK'!BL24)*IF(ABS('07_CONTINUOUS_CODEBOOK'!BL24)&lt;'04_CODEBOOK_CONTROL'!$B$16,1,IF(ABS('07_CONTINUOUS_CODEBOOK'!BL24)&lt;'04_CODEBOOK_CONTROL'!$B$17,2,3)))</f>
        <v/>
      </c>
      <c r="BM24" s="7">
        <f>IF(ABS('07_CONTINUOUS_CODEBOOK'!BM24)&lt;'04_CODEBOOK_CONTROL'!$B$15,0,SIGN('07_CONTINUOUS_CODEBOOK'!BM24)*IF(ABS('07_CONTINUOUS_CODEBOOK'!BM24)&lt;'04_CODEBOOK_CONTROL'!$B$16,1,IF(ABS('07_CONTINUOUS_CODEBOOK'!BM24)&lt;'04_CODEBOOK_CONTROL'!$B$17,2,3)))</f>
        <v/>
      </c>
      <c r="BN24" s="7">
        <f>IF(ABS('07_CONTINUOUS_CODEBOOK'!BN24)&lt;'04_CODEBOOK_CONTROL'!$B$15,0,SIGN('07_CONTINUOUS_CODEBOOK'!BN24)*IF(ABS('07_CONTINUOUS_CODEBOOK'!BN24)&lt;'04_CODEBOOK_CONTROL'!$B$16,1,IF(ABS('07_CONTINUOUS_CODEBOOK'!BN24)&lt;'04_CODEBOOK_CONTROL'!$B$17,2,3)))</f>
        <v/>
      </c>
      <c r="BO24" s="7">
        <f>IF(ABS('07_CONTINUOUS_CODEBOOK'!BO24)&lt;'04_CODEBOOK_CONTROL'!$B$15,0,SIGN('07_CONTINUOUS_CODEBOOK'!BO24)*IF(ABS('07_CONTINUOUS_CODEBOOK'!BO24)&lt;'04_CODEBOOK_CONTROL'!$B$16,1,IF(ABS('07_CONTINUOUS_CODEBOOK'!BO24)&lt;'04_CODEBOOK_CONTROL'!$B$17,2,3)))</f>
        <v/>
      </c>
      <c r="BP24" s="7">
        <f>IF(ABS('07_CONTINUOUS_CODEBOOK'!BP24)&lt;'04_CODEBOOK_CONTROL'!$B$15,0,SIGN('07_CONTINUOUS_CODEBOOK'!BP24)*IF(ABS('07_CONTINUOUS_CODEBOOK'!BP24)&lt;'04_CODEBOOK_CONTROL'!$B$16,1,IF(ABS('07_CONTINUOUS_CODEBOOK'!BP24)&lt;'04_CODEBOOK_CONTROL'!$B$17,2,3)))</f>
        <v/>
      </c>
      <c r="BQ24" s="7">
        <f>IF(ABS('07_CONTINUOUS_CODEBOOK'!BQ24)&lt;'04_CODEBOOK_CONTROL'!$B$15,0,SIGN('07_CONTINUOUS_CODEBOOK'!BQ24)*IF(ABS('07_CONTINUOUS_CODEBOOK'!BQ24)&lt;'04_CODEBOOK_CONTROL'!$B$16,1,IF(ABS('07_CONTINUOUS_CODEBOOK'!BQ24)&lt;'04_CODEBOOK_CONTROL'!$B$17,2,3)))</f>
        <v/>
      </c>
      <c r="BR24" s="7">
        <f>IF(ABS('07_CONTINUOUS_CODEBOOK'!BR24)&lt;'04_CODEBOOK_CONTROL'!$B$15,0,SIGN('07_CONTINUOUS_CODEBOOK'!BR24)*IF(ABS('07_CONTINUOUS_CODEBOOK'!BR24)&lt;'04_CODEBOOK_CONTROL'!$B$16,1,IF(ABS('07_CONTINUOUS_CODEBOOK'!BR24)&lt;'04_CODEBOOK_CONTROL'!$B$17,2,3)))</f>
        <v/>
      </c>
      <c r="BS24" s="7">
        <f>IF(ABS('07_CONTINUOUS_CODEBOOK'!BS24)&lt;'04_CODEBOOK_CONTROL'!$B$15,0,SIGN('07_CONTINUOUS_CODEBOOK'!BS24)*IF(ABS('07_CONTINUOUS_CODEBOOK'!BS24)&lt;'04_CODEBOOK_CONTROL'!$B$16,1,IF(ABS('07_CONTINUOUS_CODEBOOK'!BS24)&lt;'04_CODEBOOK_CONTROL'!$B$17,2,3)))</f>
        <v/>
      </c>
      <c r="BT24" s="7">
        <f>IF(ABS('07_CONTINUOUS_CODEBOOK'!BT24)&lt;'04_CODEBOOK_CONTROL'!$B$15,0,SIGN('07_CONTINUOUS_CODEBOOK'!BT24)*IF(ABS('07_CONTINUOUS_CODEBOOK'!BT24)&lt;'04_CODEBOOK_CONTROL'!$B$16,1,IF(ABS('07_CONTINUOUS_CODEBOOK'!BT24)&lt;'04_CODEBOOK_CONTROL'!$B$17,2,3)))</f>
        <v/>
      </c>
      <c r="BU24" s="7">
        <f>IF(ABS('07_CONTINUOUS_CODEBOOK'!BU24)&lt;'04_CODEBOOK_CONTROL'!$B$15,0,SIGN('07_CONTINUOUS_CODEBOOK'!BU24)*IF(ABS('07_CONTINUOUS_CODEBOOK'!BU24)&lt;'04_CODEBOOK_CONTROL'!$B$16,1,IF(ABS('07_CONTINUOUS_CODEBOOK'!BU24)&lt;'04_CODEBOOK_CONTROL'!$B$17,2,3)))</f>
        <v/>
      </c>
      <c r="BV24" s="7">
        <f>IF(ABS('07_CONTINUOUS_CODEBOOK'!BV24)&lt;'04_CODEBOOK_CONTROL'!$B$15,0,SIGN('07_CONTINUOUS_CODEBOOK'!BV24)*IF(ABS('07_CONTINUOUS_CODEBOOK'!BV24)&lt;'04_CODEBOOK_CONTROL'!$B$16,1,IF(ABS('07_CONTINUOUS_CODEBOOK'!BV24)&lt;'04_CODEBOOK_CONTROL'!$B$17,2,3)))</f>
        <v/>
      </c>
      <c r="BW24" s="7">
        <f>IF(ABS('07_CONTINUOUS_CODEBOOK'!BW24)&lt;'04_CODEBOOK_CONTROL'!$B$15,0,SIGN('07_CONTINUOUS_CODEBOOK'!BW24)*IF(ABS('07_CONTINUOUS_CODEBOOK'!BW24)&lt;'04_CODEBOOK_CONTROL'!$B$16,1,IF(ABS('07_CONTINUOUS_CODEBOOK'!BW24)&lt;'04_CODEBOOK_CONTROL'!$B$17,2,3)))</f>
        <v/>
      </c>
      <c r="BX24" s="7">
        <f>IF(ABS('07_CONTINUOUS_CODEBOOK'!BX24)&lt;'04_CODEBOOK_CONTROL'!$B$15,0,SIGN('07_CONTINUOUS_CODEBOOK'!BX24)*IF(ABS('07_CONTINUOUS_CODEBOOK'!BX24)&lt;'04_CODEBOOK_CONTROL'!$B$16,1,IF(ABS('07_CONTINUOUS_CODEBOOK'!BX24)&lt;'04_CODEBOOK_CONTROL'!$B$17,2,3)))</f>
        <v/>
      </c>
      <c r="BY24" s="7">
        <f>IF(ABS('07_CONTINUOUS_CODEBOOK'!BY24)&lt;'04_CODEBOOK_CONTROL'!$B$15,0,SIGN('07_CONTINUOUS_CODEBOOK'!BY24)*IF(ABS('07_CONTINUOUS_CODEBOOK'!BY24)&lt;'04_CODEBOOK_CONTROL'!$B$16,1,IF(ABS('07_CONTINUOUS_CODEBOOK'!BY24)&lt;'04_CODEBOOK_CONTROL'!$B$17,2,3)))</f>
        <v/>
      </c>
      <c r="BZ24" s="7">
        <f>IF(ABS('07_CONTINUOUS_CODEBOOK'!BZ24)&lt;'04_CODEBOOK_CONTROL'!$B$15,0,SIGN('07_CONTINUOUS_CODEBOOK'!BZ24)*IF(ABS('07_CONTINUOUS_CODEBOOK'!BZ24)&lt;'04_CODEBOOK_CONTROL'!$B$16,1,IF(ABS('07_CONTINUOUS_CODEBOOK'!BZ24)&lt;'04_CODEBOOK_CONTROL'!$B$17,2,3)))</f>
        <v/>
      </c>
      <c r="CA24" s="7">
        <f>IF(ABS('07_CONTINUOUS_CODEBOOK'!CA24)&lt;'04_CODEBOOK_CONTROL'!$B$15,0,SIGN('07_CONTINUOUS_CODEBOOK'!CA24)*IF(ABS('07_CONTINUOUS_CODEBOOK'!CA24)&lt;'04_CODEBOOK_CONTROL'!$B$16,1,IF(ABS('07_CONTINUOUS_CODEBOOK'!CA24)&lt;'04_CODEBOOK_CONTROL'!$B$17,2,3)))</f>
        <v/>
      </c>
      <c r="CB24" s="7">
        <f>IF(ABS('07_CONTINUOUS_CODEBOOK'!CB24)&lt;'04_CODEBOOK_CONTROL'!$B$15,0,SIGN('07_CONTINUOUS_CODEBOOK'!CB24)*IF(ABS('07_CONTINUOUS_CODEBOOK'!CB24)&lt;'04_CODEBOOK_CONTROL'!$B$16,1,IF(ABS('07_CONTINUOUS_CODEBOOK'!CB24)&lt;'04_CODEBOOK_CONTROL'!$B$17,2,3)))</f>
        <v/>
      </c>
      <c r="CC24" s="7">
        <f>IF(ABS('07_CONTINUOUS_CODEBOOK'!CC24)&lt;'04_CODEBOOK_CONTROL'!$B$15,0,SIGN('07_CONTINUOUS_CODEBOOK'!CC24)*IF(ABS('07_CONTINUOUS_CODEBOOK'!CC24)&lt;'04_CODEBOOK_CONTROL'!$B$16,1,IF(ABS('07_CONTINUOUS_CODEBOOK'!CC24)&lt;'04_CODEBOOK_CONTROL'!$B$17,2,3)))</f>
        <v/>
      </c>
      <c r="CD24" s="7">
        <f>IF(ABS('07_CONTINUOUS_CODEBOOK'!CD24)&lt;'04_CODEBOOK_CONTROL'!$B$15,0,SIGN('07_CONTINUOUS_CODEBOOK'!CD24)*IF(ABS('07_CONTINUOUS_CODEBOOK'!CD24)&lt;'04_CODEBOOK_CONTROL'!$B$16,1,IF(ABS('07_CONTINUOUS_CODEBOOK'!CD24)&lt;'04_CODEBOOK_CONTROL'!$B$17,2,3)))</f>
        <v/>
      </c>
      <c r="CE24" s="7">
        <f>IF(ABS('07_CONTINUOUS_CODEBOOK'!CE24)&lt;'04_CODEBOOK_CONTROL'!$B$15,0,SIGN('07_CONTINUOUS_CODEBOOK'!CE24)*IF(ABS('07_CONTINUOUS_CODEBOOK'!CE24)&lt;'04_CODEBOOK_CONTROL'!$B$16,1,IF(ABS('07_CONTINUOUS_CODEBOOK'!CE24)&lt;'04_CODEBOOK_CONTROL'!$B$17,2,3)))</f>
        <v/>
      </c>
    </row>
    <row r="25">
      <c r="A25" t="n">
        <v>21</v>
      </c>
      <c r="B25" t="inlineStr">
        <is>
          <t>鯨魚座τ星人</t>
        </is>
      </c>
      <c r="C25" t="inlineStr">
        <is>
          <t>Tau Cetian</t>
        </is>
      </c>
      <c r="D25" s="7">
        <f>IF(ABS('07_CONTINUOUS_CODEBOOK'!D25)&lt;'04_CODEBOOK_CONTROL'!$B$15,0,SIGN('07_CONTINUOUS_CODEBOOK'!D25)*IF(ABS('07_CONTINUOUS_CODEBOOK'!D25)&lt;'04_CODEBOOK_CONTROL'!$B$16,1,IF(ABS('07_CONTINUOUS_CODEBOOK'!D25)&lt;'04_CODEBOOK_CONTROL'!$B$17,2,3)))</f>
        <v/>
      </c>
      <c r="E25" s="7">
        <f>IF(ABS('07_CONTINUOUS_CODEBOOK'!E25)&lt;'04_CODEBOOK_CONTROL'!$B$15,0,SIGN('07_CONTINUOUS_CODEBOOK'!E25)*IF(ABS('07_CONTINUOUS_CODEBOOK'!E25)&lt;'04_CODEBOOK_CONTROL'!$B$16,1,IF(ABS('07_CONTINUOUS_CODEBOOK'!E25)&lt;'04_CODEBOOK_CONTROL'!$B$17,2,3)))</f>
        <v/>
      </c>
      <c r="F25" s="7">
        <f>IF(ABS('07_CONTINUOUS_CODEBOOK'!F25)&lt;'04_CODEBOOK_CONTROL'!$B$15,0,SIGN('07_CONTINUOUS_CODEBOOK'!F25)*IF(ABS('07_CONTINUOUS_CODEBOOK'!F25)&lt;'04_CODEBOOK_CONTROL'!$B$16,1,IF(ABS('07_CONTINUOUS_CODEBOOK'!F25)&lt;'04_CODEBOOK_CONTROL'!$B$17,2,3)))</f>
        <v/>
      </c>
      <c r="G25" s="7">
        <f>IF(ABS('07_CONTINUOUS_CODEBOOK'!G25)&lt;'04_CODEBOOK_CONTROL'!$B$15,0,SIGN('07_CONTINUOUS_CODEBOOK'!G25)*IF(ABS('07_CONTINUOUS_CODEBOOK'!G25)&lt;'04_CODEBOOK_CONTROL'!$B$16,1,IF(ABS('07_CONTINUOUS_CODEBOOK'!G25)&lt;'04_CODEBOOK_CONTROL'!$B$17,2,3)))</f>
        <v/>
      </c>
      <c r="H25" s="7">
        <f>IF(ABS('07_CONTINUOUS_CODEBOOK'!H25)&lt;'04_CODEBOOK_CONTROL'!$B$15,0,SIGN('07_CONTINUOUS_CODEBOOK'!H25)*IF(ABS('07_CONTINUOUS_CODEBOOK'!H25)&lt;'04_CODEBOOK_CONTROL'!$B$16,1,IF(ABS('07_CONTINUOUS_CODEBOOK'!H25)&lt;'04_CODEBOOK_CONTROL'!$B$17,2,3)))</f>
        <v/>
      </c>
      <c r="I25" s="7">
        <f>IF(ABS('07_CONTINUOUS_CODEBOOK'!I25)&lt;'04_CODEBOOK_CONTROL'!$B$15,0,SIGN('07_CONTINUOUS_CODEBOOK'!I25)*IF(ABS('07_CONTINUOUS_CODEBOOK'!I25)&lt;'04_CODEBOOK_CONTROL'!$B$16,1,IF(ABS('07_CONTINUOUS_CODEBOOK'!I25)&lt;'04_CODEBOOK_CONTROL'!$B$17,2,3)))</f>
        <v/>
      </c>
      <c r="J25" s="7">
        <f>IF(ABS('07_CONTINUOUS_CODEBOOK'!J25)&lt;'04_CODEBOOK_CONTROL'!$B$15,0,SIGN('07_CONTINUOUS_CODEBOOK'!J25)*IF(ABS('07_CONTINUOUS_CODEBOOK'!J25)&lt;'04_CODEBOOK_CONTROL'!$B$16,1,IF(ABS('07_CONTINUOUS_CODEBOOK'!J25)&lt;'04_CODEBOOK_CONTROL'!$B$17,2,3)))</f>
        <v/>
      </c>
      <c r="K25" s="7">
        <f>IF(ABS('07_CONTINUOUS_CODEBOOK'!K25)&lt;'04_CODEBOOK_CONTROL'!$B$15,0,SIGN('07_CONTINUOUS_CODEBOOK'!K25)*IF(ABS('07_CONTINUOUS_CODEBOOK'!K25)&lt;'04_CODEBOOK_CONTROL'!$B$16,1,IF(ABS('07_CONTINUOUS_CODEBOOK'!K25)&lt;'04_CODEBOOK_CONTROL'!$B$17,2,3)))</f>
        <v/>
      </c>
      <c r="L25" s="7">
        <f>IF(ABS('07_CONTINUOUS_CODEBOOK'!L25)&lt;'04_CODEBOOK_CONTROL'!$B$15,0,SIGN('07_CONTINUOUS_CODEBOOK'!L25)*IF(ABS('07_CONTINUOUS_CODEBOOK'!L25)&lt;'04_CODEBOOK_CONTROL'!$B$16,1,IF(ABS('07_CONTINUOUS_CODEBOOK'!L25)&lt;'04_CODEBOOK_CONTROL'!$B$17,2,3)))</f>
        <v/>
      </c>
      <c r="M25" s="7">
        <f>IF(ABS('07_CONTINUOUS_CODEBOOK'!M25)&lt;'04_CODEBOOK_CONTROL'!$B$15,0,SIGN('07_CONTINUOUS_CODEBOOK'!M25)*IF(ABS('07_CONTINUOUS_CODEBOOK'!M25)&lt;'04_CODEBOOK_CONTROL'!$B$16,1,IF(ABS('07_CONTINUOUS_CODEBOOK'!M25)&lt;'04_CODEBOOK_CONTROL'!$B$17,2,3)))</f>
        <v/>
      </c>
      <c r="N25" s="7">
        <f>IF(ABS('07_CONTINUOUS_CODEBOOK'!N25)&lt;'04_CODEBOOK_CONTROL'!$B$15,0,SIGN('07_CONTINUOUS_CODEBOOK'!N25)*IF(ABS('07_CONTINUOUS_CODEBOOK'!N25)&lt;'04_CODEBOOK_CONTROL'!$B$16,1,IF(ABS('07_CONTINUOUS_CODEBOOK'!N25)&lt;'04_CODEBOOK_CONTROL'!$B$17,2,3)))</f>
        <v/>
      </c>
      <c r="O25" s="7">
        <f>IF(ABS('07_CONTINUOUS_CODEBOOK'!O25)&lt;'04_CODEBOOK_CONTROL'!$B$15,0,SIGN('07_CONTINUOUS_CODEBOOK'!O25)*IF(ABS('07_CONTINUOUS_CODEBOOK'!O25)&lt;'04_CODEBOOK_CONTROL'!$B$16,1,IF(ABS('07_CONTINUOUS_CODEBOOK'!O25)&lt;'04_CODEBOOK_CONTROL'!$B$17,2,3)))</f>
        <v/>
      </c>
      <c r="P25" s="7">
        <f>IF(ABS('07_CONTINUOUS_CODEBOOK'!P25)&lt;'04_CODEBOOK_CONTROL'!$B$15,0,SIGN('07_CONTINUOUS_CODEBOOK'!P25)*IF(ABS('07_CONTINUOUS_CODEBOOK'!P25)&lt;'04_CODEBOOK_CONTROL'!$B$16,1,IF(ABS('07_CONTINUOUS_CODEBOOK'!P25)&lt;'04_CODEBOOK_CONTROL'!$B$17,2,3)))</f>
        <v/>
      </c>
      <c r="Q25" s="7">
        <f>IF(ABS('07_CONTINUOUS_CODEBOOK'!Q25)&lt;'04_CODEBOOK_CONTROL'!$B$15,0,SIGN('07_CONTINUOUS_CODEBOOK'!Q25)*IF(ABS('07_CONTINUOUS_CODEBOOK'!Q25)&lt;'04_CODEBOOK_CONTROL'!$B$16,1,IF(ABS('07_CONTINUOUS_CODEBOOK'!Q25)&lt;'04_CODEBOOK_CONTROL'!$B$17,2,3)))</f>
        <v/>
      </c>
      <c r="R25" s="7">
        <f>IF(ABS('07_CONTINUOUS_CODEBOOK'!R25)&lt;'04_CODEBOOK_CONTROL'!$B$15,0,SIGN('07_CONTINUOUS_CODEBOOK'!R25)*IF(ABS('07_CONTINUOUS_CODEBOOK'!R25)&lt;'04_CODEBOOK_CONTROL'!$B$16,1,IF(ABS('07_CONTINUOUS_CODEBOOK'!R25)&lt;'04_CODEBOOK_CONTROL'!$B$17,2,3)))</f>
        <v/>
      </c>
      <c r="S25" s="7">
        <f>IF(ABS('07_CONTINUOUS_CODEBOOK'!S25)&lt;'04_CODEBOOK_CONTROL'!$B$15,0,SIGN('07_CONTINUOUS_CODEBOOK'!S25)*IF(ABS('07_CONTINUOUS_CODEBOOK'!S25)&lt;'04_CODEBOOK_CONTROL'!$B$16,1,IF(ABS('07_CONTINUOUS_CODEBOOK'!S25)&lt;'04_CODEBOOK_CONTROL'!$B$17,2,3)))</f>
        <v/>
      </c>
      <c r="T25" s="7">
        <f>IF(ABS('07_CONTINUOUS_CODEBOOK'!T25)&lt;'04_CODEBOOK_CONTROL'!$B$15,0,SIGN('07_CONTINUOUS_CODEBOOK'!T25)*IF(ABS('07_CONTINUOUS_CODEBOOK'!T25)&lt;'04_CODEBOOK_CONTROL'!$B$16,1,IF(ABS('07_CONTINUOUS_CODEBOOK'!T25)&lt;'04_CODEBOOK_CONTROL'!$B$17,2,3)))</f>
        <v/>
      </c>
      <c r="U25" s="7">
        <f>IF(ABS('07_CONTINUOUS_CODEBOOK'!U25)&lt;'04_CODEBOOK_CONTROL'!$B$15,0,SIGN('07_CONTINUOUS_CODEBOOK'!U25)*IF(ABS('07_CONTINUOUS_CODEBOOK'!U25)&lt;'04_CODEBOOK_CONTROL'!$B$16,1,IF(ABS('07_CONTINUOUS_CODEBOOK'!U25)&lt;'04_CODEBOOK_CONTROL'!$B$17,2,3)))</f>
        <v/>
      </c>
      <c r="V25" s="7">
        <f>IF(ABS('07_CONTINUOUS_CODEBOOK'!V25)&lt;'04_CODEBOOK_CONTROL'!$B$15,0,SIGN('07_CONTINUOUS_CODEBOOK'!V25)*IF(ABS('07_CONTINUOUS_CODEBOOK'!V25)&lt;'04_CODEBOOK_CONTROL'!$B$16,1,IF(ABS('07_CONTINUOUS_CODEBOOK'!V25)&lt;'04_CODEBOOK_CONTROL'!$B$17,2,3)))</f>
        <v/>
      </c>
      <c r="W25" s="7">
        <f>IF(ABS('07_CONTINUOUS_CODEBOOK'!W25)&lt;'04_CODEBOOK_CONTROL'!$B$15,0,SIGN('07_CONTINUOUS_CODEBOOK'!W25)*IF(ABS('07_CONTINUOUS_CODEBOOK'!W25)&lt;'04_CODEBOOK_CONTROL'!$B$16,1,IF(ABS('07_CONTINUOUS_CODEBOOK'!W25)&lt;'04_CODEBOOK_CONTROL'!$B$17,2,3)))</f>
        <v/>
      </c>
      <c r="X25" s="7">
        <f>IF(ABS('07_CONTINUOUS_CODEBOOK'!X25)&lt;'04_CODEBOOK_CONTROL'!$B$15,0,SIGN('07_CONTINUOUS_CODEBOOK'!X25)*IF(ABS('07_CONTINUOUS_CODEBOOK'!X25)&lt;'04_CODEBOOK_CONTROL'!$B$16,1,IF(ABS('07_CONTINUOUS_CODEBOOK'!X25)&lt;'04_CODEBOOK_CONTROL'!$B$17,2,3)))</f>
        <v/>
      </c>
      <c r="Y25" s="7">
        <f>IF(ABS('07_CONTINUOUS_CODEBOOK'!Y25)&lt;'04_CODEBOOK_CONTROL'!$B$15,0,SIGN('07_CONTINUOUS_CODEBOOK'!Y25)*IF(ABS('07_CONTINUOUS_CODEBOOK'!Y25)&lt;'04_CODEBOOK_CONTROL'!$B$16,1,IF(ABS('07_CONTINUOUS_CODEBOOK'!Y25)&lt;'04_CODEBOOK_CONTROL'!$B$17,2,3)))</f>
        <v/>
      </c>
      <c r="Z25" s="7">
        <f>IF(ABS('07_CONTINUOUS_CODEBOOK'!Z25)&lt;'04_CODEBOOK_CONTROL'!$B$15,0,SIGN('07_CONTINUOUS_CODEBOOK'!Z25)*IF(ABS('07_CONTINUOUS_CODEBOOK'!Z25)&lt;'04_CODEBOOK_CONTROL'!$B$16,1,IF(ABS('07_CONTINUOUS_CODEBOOK'!Z25)&lt;'04_CODEBOOK_CONTROL'!$B$17,2,3)))</f>
        <v/>
      </c>
      <c r="AA25" s="7">
        <f>IF(ABS('07_CONTINUOUS_CODEBOOK'!AA25)&lt;'04_CODEBOOK_CONTROL'!$B$15,0,SIGN('07_CONTINUOUS_CODEBOOK'!AA25)*IF(ABS('07_CONTINUOUS_CODEBOOK'!AA25)&lt;'04_CODEBOOK_CONTROL'!$B$16,1,IF(ABS('07_CONTINUOUS_CODEBOOK'!AA25)&lt;'04_CODEBOOK_CONTROL'!$B$17,2,3)))</f>
        <v/>
      </c>
      <c r="AB25" s="7">
        <f>IF(ABS('07_CONTINUOUS_CODEBOOK'!AB25)&lt;'04_CODEBOOK_CONTROL'!$B$15,0,SIGN('07_CONTINUOUS_CODEBOOK'!AB25)*IF(ABS('07_CONTINUOUS_CODEBOOK'!AB25)&lt;'04_CODEBOOK_CONTROL'!$B$16,1,IF(ABS('07_CONTINUOUS_CODEBOOK'!AB25)&lt;'04_CODEBOOK_CONTROL'!$B$17,2,3)))</f>
        <v/>
      </c>
      <c r="AC25" s="7">
        <f>IF(ABS('07_CONTINUOUS_CODEBOOK'!AC25)&lt;'04_CODEBOOK_CONTROL'!$B$15,0,SIGN('07_CONTINUOUS_CODEBOOK'!AC25)*IF(ABS('07_CONTINUOUS_CODEBOOK'!AC25)&lt;'04_CODEBOOK_CONTROL'!$B$16,1,IF(ABS('07_CONTINUOUS_CODEBOOK'!AC25)&lt;'04_CODEBOOK_CONTROL'!$B$17,2,3)))</f>
        <v/>
      </c>
      <c r="AD25" s="7">
        <f>IF(ABS('07_CONTINUOUS_CODEBOOK'!AD25)&lt;'04_CODEBOOK_CONTROL'!$B$15,0,SIGN('07_CONTINUOUS_CODEBOOK'!AD25)*IF(ABS('07_CONTINUOUS_CODEBOOK'!AD25)&lt;'04_CODEBOOK_CONTROL'!$B$16,1,IF(ABS('07_CONTINUOUS_CODEBOOK'!AD25)&lt;'04_CODEBOOK_CONTROL'!$B$17,2,3)))</f>
        <v/>
      </c>
      <c r="AE25" s="7">
        <f>IF(ABS('07_CONTINUOUS_CODEBOOK'!AE25)&lt;'04_CODEBOOK_CONTROL'!$B$15,0,SIGN('07_CONTINUOUS_CODEBOOK'!AE25)*IF(ABS('07_CONTINUOUS_CODEBOOK'!AE25)&lt;'04_CODEBOOK_CONTROL'!$B$16,1,IF(ABS('07_CONTINUOUS_CODEBOOK'!AE25)&lt;'04_CODEBOOK_CONTROL'!$B$17,2,3)))</f>
        <v/>
      </c>
      <c r="AF25" s="7">
        <f>IF(ABS('07_CONTINUOUS_CODEBOOK'!AF25)&lt;'04_CODEBOOK_CONTROL'!$B$15,0,SIGN('07_CONTINUOUS_CODEBOOK'!AF25)*IF(ABS('07_CONTINUOUS_CODEBOOK'!AF25)&lt;'04_CODEBOOK_CONTROL'!$B$16,1,IF(ABS('07_CONTINUOUS_CODEBOOK'!AF25)&lt;'04_CODEBOOK_CONTROL'!$B$17,2,3)))</f>
        <v/>
      </c>
      <c r="AG25" s="7">
        <f>IF(ABS('07_CONTINUOUS_CODEBOOK'!AG25)&lt;'04_CODEBOOK_CONTROL'!$B$15,0,SIGN('07_CONTINUOUS_CODEBOOK'!AG25)*IF(ABS('07_CONTINUOUS_CODEBOOK'!AG25)&lt;'04_CODEBOOK_CONTROL'!$B$16,1,IF(ABS('07_CONTINUOUS_CODEBOOK'!AG25)&lt;'04_CODEBOOK_CONTROL'!$B$17,2,3)))</f>
        <v/>
      </c>
      <c r="AH25" s="7">
        <f>IF(ABS('07_CONTINUOUS_CODEBOOK'!AH25)&lt;'04_CODEBOOK_CONTROL'!$B$15,0,SIGN('07_CONTINUOUS_CODEBOOK'!AH25)*IF(ABS('07_CONTINUOUS_CODEBOOK'!AH25)&lt;'04_CODEBOOK_CONTROL'!$B$16,1,IF(ABS('07_CONTINUOUS_CODEBOOK'!AH25)&lt;'04_CODEBOOK_CONTROL'!$B$17,2,3)))</f>
        <v/>
      </c>
      <c r="AI25" s="7">
        <f>IF(ABS('07_CONTINUOUS_CODEBOOK'!AI25)&lt;'04_CODEBOOK_CONTROL'!$B$15,0,SIGN('07_CONTINUOUS_CODEBOOK'!AI25)*IF(ABS('07_CONTINUOUS_CODEBOOK'!AI25)&lt;'04_CODEBOOK_CONTROL'!$B$16,1,IF(ABS('07_CONTINUOUS_CODEBOOK'!AI25)&lt;'04_CODEBOOK_CONTROL'!$B$17,2,3)))</f>
        <v/>
      </c>
      <c r="AJ25" s="7">
        <f>IF(ABS('07_CONTINUOUS_CODEBOOK'!AJ25)&lt;'04_CODEBOOK_CONTROL'!$B$15,0,SIGN('07_CONTINUOUS_CODEBOOK'!AJ25)*IF(ABS('07_CONTINUOUS_CODEBOOK'!AJ25)&lt;'04_CODEBOOK_CONTROL'!$B$16,1,IF(ABS('07_CONTINUOUS_CODEBOOK'!AJ25)&lt;'04_CODEBOOK_CONTROL'!$B$17,2,3)))</f>
        <v/>
      </c>
      <c r="AK25" s="7">
        <f>IF(ABS('07_CONTINUOUS_CODEBOOK'!AK25)&lt;'04_CODEBOOK_CONTROL'!$B$15,0,SIGN('07_CONTINUOUS_CODEBOOK'!AK25)*IF(ABS('07_CONTINUOUS_CODEBOOK'!AK25)&lt;'04_CODEBOOK_CONTROL'!$B$16,1,IF(ABS('07_CONTINUOUS_CODEBOOK'!AK25)&lt;'04_CODEBOOK_CONTROL'!$B$17,2,3)))</f>
        <v/>
      </c>
      <c r="AL25" s="7">
        <f>IF(ABS('07_CONTINUOUS_CODEBOOK'!AL25)&lt;'04_CODEBOOK_CONTROL'!$B$15,0,SIGN('07_CONTINUOUS_CODEBOOK'!AL25)*IF(ABS('07_CONTINUOUS_CODEBOOK'!AL25)&lt;'04_CODEBOOK_CONTROL'!$B$16,1,IF(ABS('07_CONTINUOUS_CODEBOOK'!AL25)&lt;'04_CODEBOOK_CONTROL'!$B$17,2,3)))</f>
        <v/>
      </c>
      <c r="AM25" s="7">
        <f>IF(ABS('07_CONTINUOUS_CODEBOOK'!AM25)&lt;'04_CODEBOOK_CONTROL'!$B$15,0,SIGN('07_CONTINUOUS_CODEBOOK'!AM25)*IF(ABS('07_CONTINUOUS_CODEBOOK'!AM25)&lt;'04_CODEBOOK_CONTROL'!$B$16,1,IF(ABS('07_CONTINUOUS_CODEBOOK'!AM25)&lt;'04_CODEBOOK_CONTROL'!$B$17,2,3)))</f>
        <v/>
      </c>
      <c r="AN25" s="7">
        <f>IF(ABS('07_CONTINUOUS_CODEBOOK'!AN25)&lt;'04_CODEBOOK_CONTROL'!$B$15,0,SIGN('07_CONTINUOUS_CODEBOOK'!AN25)*IF(ABS('07_CONTINUOUS_CODEBOOK'!AN25)&lt;'04_CODEBOOK_CONTROL'!$B$16,1,IF(ABS('07_CONTINUOUS_CODEBOOK'!AN25)&lt;'04_CODEBOOK_CONTROL'!$B$17,2,3)))</f>
        <v/>
      </c>
      <c r="AO25" s="7">
        <f>IF(ABS('07_CONTINUOUS_CODEBOOK'!AO25)&lt;'04_CODEBOOK_CONTROL'!$B$15,0,SIGN('07_CONTINUOUS_CODEBOOK'!AO25)*IF(ABS('07_CONTINUOUS_CODEBOOK'!AO25)&lt;'04_CODEBOOK_CONTROL'!$B$16,1,IF(ABS('07_CONTINUOUS_CODEBOOK'!AO25)&lt;'04_CODEBOOK_CONTROL'!$B$17,2,3)))</f>
        <v/>
      </c>
      <c r="AP25" s="7">
        <f>IF(ABS('07_CONTINUOUS_CODEBOOK'!AP25)&lt;'04_CODEBOOK_CONTROL'!$B$15,0,SIGN('07_CONTINUOUS_CODEBOOK'!AP25)*IF(ABS('07_CONTINUOUS_CODEBOOK'!AP25)&lt;'04_CODEBOOK_CONTROL'!$B$16,1,IF(ABS('07_CONTINUOUS_CODEBOOK'!AP25)&lt;'04_CODEBOOK_CONTROL'!$B$17,2,3)))</f>
        <v/>
      </c>
      <c r="AQ25" s="7">
        <f>IF(ABS('07_CONTINUOUS_CODEBOOK'!AQ25)&lt;'04_CODEBOOK_CONTROL'!$B$15,0,SIGN('07_CONTINUOUS_CODEBOOK'!AQ25)*IF(ABS('07_CONTINUOUS_CODEBOOK'!AQ25)&lt;'04_CODEBOOK_CONTROL'!$B$16,1,IF(ABS('07_CONTINUOUS_CODEBOOK'!AQ25)&lt;'04_CODEBOOK_CONTROL'!$B$17,2,3)))</f>
        <v/>
      </c>
      <c r="AR25" s="7">
        <f>IF(ABS('07_CONTINUOUS_CODEBOOK'!AR25)&lt;'04_CODEBOOK_CONTROL'!$B$15,0,SIGN('07_CONTINUOUS_CODEBOOK'!AR25)*IF(ABS('07_CONTINUOUS_CODEBOOK'!AR25)&lt;'04_CODEBOOK_CONTROL'!$B$16,1,IF(ABS('07_CONTINUOUS_CODEBOOK'!AR25)&lt;'04_CODEBOOK_CONTROL'!$B$17,2,3)))</f>
        <v/>
      </c>
      <c r="AS25" s="7">
        <f>IF(ABS('07_CONTINUOUS_CODEBOOK'!AS25)&lt;'04_CODEBOOK_CONTROL'!$B$15,0,SIGN('07_CONTINUOUS_CODEBOOK'!AS25)*IF(ABS('07_CONTINUOUS_CODEBOOK'!AS25)&lt;'04_CODEBOOK_CONTROL'!$B$16,1,IF(ABS('07_CONTINUOUS_CODEBOOK'!AS25)&lt;'04_CODEBOOK_CONTROL'!$B$17,2,3)))</f>
        <v/>
      </c>
      <c r="AT25" s="7">
        <f>IF(ABS('07_CONTINUOUS_CODEBOOK'!AT25)&lt;'04_CODEBOOK_CONTROL'!$B$15,0,SIGN('07_CONTINUOUS_CODEBOOK'!AT25)*IF(ABS('07_CONTINUOUS_CODEBOOK'!AT25)&lt;'04_CODEBOOK_CONTROL'!$B$16,1,IF(ABS('07_CONTINUOUS_CODEBOOK'!AT25)&lt;'04_CODEBOOK_CONTROL'!$B$17,2,3)))</f>
        <v/>
      </c>
      <c r="AU25" s="7">
        <f>IF(ABS('07_CONTINUOUS_CODEBOOK'!AU25)&lt;'04_CODEBOOK_CONTROL'!$B$15,0,SIGN('07_CONTINUOUS_CODEBOOK'!AU25)*IF(ABS('07_CONTINUOUS_CODEBOOK'!AU25)&lt;'04_CODEBOOK_CONTROL'!$B$16,1,IF(ABS('07_CONTINUOUS_CODEBOOK'!AU25)&lt;'04_CODEBOOK_CONTROL'!$B$17,2,3)))</f>
        <v/>
      </c>
      <c r="AV25" s="7">
        <f>IF(ABS('07_CONTINUOUS_CODEBOOK'!AV25)&lt;'04_CODEBOOK_CONTROL'!$B$15,0,SIGN('07_CONTINUOUS_CODEBOOK'!AV25)*IF(ABS('07_CONTINUOUS_CODEBOOK'!AV25)&lt;'04_CODEBOOK_CONTROL'!$B$16,1,IF(ABS('07_CONTINUOUS_CODEBOOK'!AV25)&lt;'04_CODEBOOK_CONTROL'!$B$17,2,3)))</f>
        <v/>
      </c>
      <c r="AW25" s="7">
        <f>IF(ABS('07_CONTINUOUS_CODEBOOK'!AW25)&lt;'04_CODEBOOK_CONTROL'!$B$15,0,SIGN('07_CONTINUOUS_CODEBOOK'!AW25)*IF(ABS('07_CONTINUOUS_CODEBOOK'!AW25)&lt;'04_CODEBOOK_CONTROL'!$B$16,1,IF(ABS('07_CONTINUOUS_CODEBOOK'!AW25)&lt;'04_CODEBOOK_CONTROL'!$B$17,2,3)))</f>
        <v/>
      </c>
      <c r="AX25" s="7">
        <f>IF(ABS('07_CONTINUOUS_CODEBOOK'!AX25)&lt;'04_CODEBOOK_CONTROL'!$B$15,0,SIGN('07_CONTINUOUS_CODEBOOK'!AX25)*IF(ABS('07_CONTINUOUS_CODEBOOK'!AX25)&lt;'04_CODEBOOK_CONTROL'!$B$16,1,IF(ABS('07_CONTINUOUS_CODEBOOK'!AX25)&lt;'04_CODEBOOK_CONTROL'!$B$17,2,3)))</f>
        <v/>
      </c>
      <c r="AY25" s="7">
        <f>IF(ABS('07_CONTINUOUS_CODEBOOK'!AY25)&lt;'04_CODEBOOK_CONTROL'!$B$15,0,SIGN('07_CONTINUOUS_CODEBOOK'!AY25)*IF(ABS('07_CONTINUOUS_CODEBOOK'!AY25)&lt;'04_CODEBOOK_CONTROL'!$B$16,1,IF(ABS('07_CONTINUOUS_CODEBOOK'!AY25)&lt;'04_CODEBOOK_CONTROL'!$B$17,2,3)))</f>
        <v/>
      </c>
      <c r="AZ25" s="7">
        <f>IF(ABS('07_CONTINUOUS_CODEBOOK'!AZ25)&lt;'04_CODEBOOK_CONTROL'!$B$15,0,SIGN('07_CONTINUOUS_CODEBOOK'!AZ25)*IF(ABS('07_CONTINUOUS_CODEBOOK'!AZ25)&lt;'04_CODEBOOK_CONTROL'!$B$16,1,IF(ABS('07_CONTINUOUS_CODEBOOK'!AZ25)&lt;'04_CODEBOOK_CONTROL'!$B$17,2,3)))</f>
        <v/>
      </c>
      <c r="BA25" s="7">
        <f>IF(ABS('07_CONTINUOUS_CODEBOOK'!BA25)&lt;'04_CODEBOOK_CONTROL'!$B$15,0,SIGN('07_CONTINUOUS_CODEBOOK'!BA25)*IF(ABS('07_CONTINUOUS_CODEBOOK'!BA25)&lt;'04_CODEBOOK_CONTROL'!$B$16,1,IF(ABS('07_CONTINUOUS_CODEBOOK'!BA25)&lt;'04_CODEBOOK_CONTROL'!$B$17,2,3)))</f>
        <v/>
      </c>
      <c r="BB25" s="7">
        <f>IF(ABS('07_CONTINUOUS_CODEBOOK'!BB25)&lt;'04_CODEBOOK_CONTROL'!$B$15,0,SIGN('07_CONTINUOUS_CODEBOOK'!BB25)*IF(ABS('07_CONTINUOUS_CODEBOOK'!BB25)&lt;'04_CODEBOOK_CONTROL'!$B$16,1,IF(ABS('07_CONTINUOUS_CODEBOOK'!BB25)&lt;'04_CODEBOOK_CONTROL'!$B$17,2,3)))</f>
        <v/>
      </c>
      <c r="BC25" s="7">
        <f>IF(ABS('07_CONTINUOUS_CODEBOOK'!BC25)&lt;'04_CODEBOOK_CONTROL'!$B$15,0,SIGN('07_CONTINUOUS_CODEBOOK'!BC25)*IF(ABS('07_CONTINUOUS_CODEBOOK'!BC25)&lt;'04_CODEBOOK_CONTROL'!$B$16,1,IF(ABS('07_CONTINUOUS_CODEBOOK'!BC25)&lt;'04_CODEBOOK_CONTROL'!$B$17,2,3)))</f>
        <v/>
      </c>
      <c r="BD25" s="7">
        <f>IF(ABS('07_CONTINUOUS_CODEBOOK'!BD25)&lt;'04_CODEBOOK_CONTROL'!$B$15,0,SIGN('07_CONTINUOUS_CODEBOOK'!BD25)*IF(ABS('07_CONTINUOUS_CODEBOOK'!BD25)&lt;'04_CODEBOOK_CONTROL'!$B$16,1,IF(ABS('07_CONTINUOUS_CODEBOOK'!BD25)&lt;'04_CODEBOOK_CONTROL'!$B$17,2,3)))</f>
        <v/>
      </c>
      <c r="BE25" s="7">
        <f>IF(ABS('07_CONTINUOUS_CODEBOOK'!BE25)&lt;'04_CODEBOOK_CONTROL'!$B$15,0,SIGN('07_CONTINUOUS_CODEBOOK'!BE25)*IF(ABS('07_CONTINUOUS_CODEBOOK'!BE25)&lt;'04_CODEBOOK_CONTROL'!$B$16,1,IF(ABS('07_CONTINUOUS_CODEBOOK'!BE25)&lt;'04_CODEBOOK_CONTROL'!$B$17,2,3)))</f>
        <v/>
      </c>
      <c r="BF25" s="7">
        <f>IF(ABS('07_CONTINUOUS_CODEBOOK'!BF25)&lt;'04_CODEBOOK_CONTROL'!$B$15,0,SIGN('07_CONTINUOUS_CODEBOOK'!BF25)*IF(ABS('07_CONTINUOUS_CODEBOOK'!BF25)&lt;'04_CODEBOOK_CONTROL'!$B$16,1,IF(ABS('07_CONTINUOUS_CODEBOOK'!BF25)&lt;'04_CODEBOOK_CONTROL'!$B$17,2,3)))</f>
        <v/>
      </c>
      <c r="BG25" s="7">
        <f>IF(ABS('07_CONTINUOUS_CODEBOOK'!BG25)&lt;'04_CODEBOOK_CONTROL'!$B$15,0,SIGN('07_CONTINUOUS_CODEBOOK'!BG25)*IF(ABS('07_CONTINUOUS_CODEBOOK'!BG25)&lt;'04_CODEBOOK_CONTROL'!$B$16,1,IF(ABS('07_CONTINUOUS_CODEBOOK'!BG25)&lt;'04_CODEBOOK_CONTROL'!$B$17,2,3)))</f>
        <v/>
      </c>
      <c r="BH25" s="7">
        <f>IF(ABS('07_CONTINUOUS_CODEBOOK'!BH25)&lt;'04_CODEBOOK_CONTROL'!$B$15,0,SIGN('07_CONTINUOUS_CODEBOOK'!BH25)*IF(ABS('07_CONTINUOUS_CODEBOOK'!BH25)&lt;'04_CODEBOOK_CONTROL'!$B$16,1,IF(ABS('07_CONTINUOUS_CODEBOOK'!BH25)&lt;'04_CODEBOOK_CONTROL'!$B$17,2,3)))</f>
        <v/>
      </c>
      <c r="BI25" s="7">
        <f>IF(ABS('07_CONTINUOUS_CODEBOOK'!BI25)&lt;'04_CODEBOOK_CONTROL'!$B$15,0,SIGN('07_CONTINUOUS_CODEBOOK'!BI25)*IF(ABS('07_CONTINUOUS_CODEBOOK'!BI25)&lt;'04_CODEBOOK_CONTROL'!$B$16,1,IF(ABS('07_CONTINUOUS_CODEBOOK'!BI25)&lt;'04_CODEBOOK_CONTROL'!$B$17,2,3)))</f>
        <v/>
      </c>
      <c r="BJ25" s="7">
        <f>IF(ABS('07_CONTINUOUS_CODEBOOK'!BJ25)&lt;'04_CODEBOOK_CONTROL'!$B$15,0,SIGN('07_CONTINUOUS_CODEBOOK'!BJ25)*IF(ABS('07_CONTINUOUS_CODEBOOK'!BJ25)&lt;'04_CODEBOOK_CONTROL'!$B$16,1,IF(ABS('07_CONTINUOUS_CODEBOOK'!BJ25)&lt;'04_CODEBOOK_CONTROL'!$B$17,2,3)))</f>
        <v/>
      </c>
      <c r="BK25" s="7">
        <f>IF(ABS('07_CONTINUOUS_CODEBOOK'!BK25)&lt;'04_CODEBOOK_CONTROL'!$B$15,0,SIGN('07_CONTINUOUS_CODEBOOK'!BK25)*IF(ABS('07_CONTINUOUS_CODEBOOK'!BK25)&lt;'04_CODEBOOK_CONTROL'!$B$16,1,IF(ABS('07_CONTINUOUS_CODEBOOK'!BK25)&lt;'04_CODEBOOK_CONTROL'!$B$17,2,3)))</f>
        <v/>
      </c>
      <c r="BL25" s="7">
        <f>IF(ABS('07_CONTINUOUS_CODEBOOK'!BL25)&lt;'04_CODEBOOK_CONTROL'!$B$15,0,SIGN('07_CONTINUOUS_CODEBOOK'!BL25)*IF(ABS('07_CONTINUOUS_CODEBOOK'!BL25)&lt;'04_CODEBOOK_CONTROL'!$B$16,1,IF(ABS('07_CONTINUOUS_CODEBOOK'!BL25)&lt;'04_CODEBOOK_CONTROL'!$B$17,2,3)))</f>
        <v/>
      </c>
      <c r="BM25" s="7">
        <f>IF(ABS('07_CONTINUOUS_CODEBOOK'!BM25)&lt;'04_CODEBOOK_CONTROL'!$B$15,0,SIGN('07_CONTINUOUS_CODEBOOK'!BM25)*IF(ABS('07_CONTINUOUS_CODEBOOK'!BM25)&lt;'04_CODEBOOK_CONTROL'!$B$16,1,IF(ABS('07_CONTINUOUS_CODEBOOK'!BM25)&lt;'04_CODEBOOK_CONTROL'!$B$17,2,3)))</f>
        <v/>
      </c>
      <c r="BN25" s="7">
        <f>IF(ABS('07_CONTINUOUS_CODEBOOK'!BN25)&lt;'04_CODEBOOK_CONTROL'!$B$15,0,SIGN('07_CONTINUOUS_CODEBOOK'!BN25)*IF(ABS('07_CONTINUOUS_CODEBOOK'!BN25)&lt;'04_CODEBOOK_CONTROL'!$B$16,1,IF(ABS('07_CONTINUOUS_CODEBOOK'!BN25)&lt;'04_CODEBOOK_CONTROL'!$B$17,2,3)))</f>
        <v/>
      </c>
      <c r="BO25" s="7">
        <f>IF(ABS('07_CONTINUOUS_CODEBOOK'!BO25)&lt;'04_CODEBOOK_CONTROL'!$B$15,0,SIGN('07_CONTINUOUS_CODEBOOK'!BO25)*IF(ABS('07_CONTINUOUS_CODEBOOK'!BO25)&lt;'04_CODEBOOK_CONTROL'!$B$16,1,IF(ABS('07_CONTINUOUS_CODEBOOK'!BO25)&lt;'04_CODEBOOK_CONTROL'!$B$17,2,3)))</f>
        <v/>
      </c>
      <c r="BP25" s="7">
        <f>IF(ABS('07_CONTINUOUS_CODEBOOK'!BP25)&lt;'04_CODEBOOK_CONTROL'!$B$15,0,SIGN('07_CONTINUOUS_CODEBOOK'!BP25)*IF(ABS('07_CONTINUOUS_CODEBOOK'!BP25)&lt;'04_CODEBOOK_CONTROL'!$B$16,1,IF(ABS('07_CONTINUOUS_CODEBOOK'!BP25)&lt;'04_CODEBOOK_CONTROL'!$B$17,2,3)))</f>
        <v/>
      </c>
      <c r="BQ25" s="7">
        <f>IF(ABS('07_CONTINUOUS_CODEBOOK'!BQ25)&lt;'04_CODEBOOK_CONTROL'!$B$15,0,SIGN('07_CONTINUOUS_CODEBOOK'!BQ25)*IF(ABS('07_CONTINUOUS_CODEBOOK'!BQ25)&lt;'04_CODEBOOK_CONTROL'!$B$16,1,IF(ABS('07_CONTINUOUS_CODEBOOK'!BQ25)&lt;'04_CODEBOOK_CONTROL'!$B$17,2,3)))</f>
        <v/>
      </c>
      <c r="BR25" s="7">
        <f>IF(ABS('07_CONTINUOUS_CODEBOOK'!BR25)&lt;'04_CODEBOOK_CONTROL'!$B$15,0,SIGN('07_CONTINUOUS_CODEBOOK'!BR25)*IF(ABS('07_CONTINUOUS_CODEBOOK'!BR25)&lt;'04_CODEBOOK_CONTROL'!$B$16,1,IF(ABS('07_CONTINUOUS_CODEBOOK'!BR25)&lt;'04_CODEBOOK_CONTROL'!$B$17,2,3)))</f>
        <v/>
      </c>
      <c r="BS25" s="7">
        <f>IF(ABS('07_CONTINUOUS_CODEBOOK'!BS25)&lt;'04_CODEBOOK_CONTROL'!$B$15,0,SIGN('07_CONTINUOUS_CODEBOOK'!BS25)*IF(ABS('07_CONTINUOUS_CODEBOOK'!BS25)&lt;'04_CODEBOOK_CONTROL'!$B$16,1,IF(ABS('07_CONTINUOUS_CODEBOOK'!BS25)&lt;'04_CODEBOOK_CONTROL'!$B$17,2,3)))</f>
        <v/>
      </c>
      <c r="BT25" s="7">
        <f>IF(ABS('07_CONTINUOUS_CODEBOOK'!BT25)&lt;'04_CODEBOOK_CONTROL'!$B$15,0,SIGN('07_CONTINUOUS_CODEBOOK'!BT25)*IF(ABS('07_CONTINUOUS_CODEBOOK'!BT25)&lt;'04_CODEBOOK_CONTROL'!$B$16,1,IF(ABS('07_CONTINUOUS_CODEBOOK'!BT25)&lt;'04_CODEBOOK_CONTROL'!$B$17,2,3)))</f>
        <v/>
      </c>
      <c r="BU25" s="7">
        <f>IF(ABS('07_CONTINUOUS_CODEBOOK'!BU25)&lt;'04_CODEBOOK_CONTROL'!$B$15,0,SIGN('07_CONTINUOUS_CODEBOOK'!BU25)*IF(ABS('07_CONTINUOUS_CODEBOOK'!BU25)&lt;'04_CODEBOOK_CONTROL'!$B$16,1,IF(ABS('07_CONTINUOUS_CODEBOOK'!BU25)&lt;'04_CODEBOOK_CONTROL'!$B$17,2,3)))</f>
        <v/>
      </c>
      <c r="BV25" s="7">
        <f>IF(ABS('07_CONTINUOUS_CODEBOOK'!BV25)&lt;'04_CODEBOOK_CONTROL'!$B$15,0,SIGN('07_CONTINUOUS_CODEBOOK'!BV25)*IF(ABS('07_CONTINUOUS_CODEBOOK'!BV25)&lt;'04_CODEBOOK_CONTROL'!$B$16,1,IF(ABS('07_CONTINUOUS_CODEBOOK'!BV25)&lt;'04_CODEBOOK_CONTROL'!$B$17,2,3)))</f>
        <v/>
      </c>
      <c r="BW25" s="7">
        <f>IF(ABS('07_CONTINUOUS_CODEBOOK'!BW25)&lt;'04_CODEBOOK_CONTROL'!$B$15,0,SIGN('07_CONTINUOUS_CODEBOOK'!BW25)*IF(ABS('07_CONTINUOUS_CODEBOOK'!BW25)&lt;'04_CODEBOOK_CONTROL'!$B$16,1,IF(ABS('07_CONTINUOUS_CODEBOOK'!BW25)&lt;'04_CODEBOOK_CONTROL'!$B$17,2,3)))</f>
        <v/>
      </c>
      <c r="BX25" s="7">
        <f>IF(ABS('07_CONTINUOUS_CODEBOOK'!BX25)&lt;'04_CODEBOOK_CONTROL'!$B$15,0,SIGN('07_CONTINUOUS_CODEBOOK'!BX25)*IF(ABS('07_CONTINUOUS_CODEBOOK'!BX25)&lt;'04_CODEBOOK_CONTROL'!$B$16,1,IF(ABS('07_CONTINUOUS_CODEBOOK'!BX25)&lt;'04_CODEBOOK_CONTROL'!$B$17,2,3)))</f>
        <v/>
      </c>
      <c r="BY25" s="7">
        <f>IF(ABS('07_CONTINUOUS_CODEBOOK'!BY25)&lt;'04_CODEBOOK_CONTROL'!$B$15,0,SIGN('07_CONTINUOUS_CODEBOOK'!BY25)*IF(ABS('07_CONTINUOUS_CODEBOOK'!BY25)&lt;'04_CODEBOOK_CONTROL'!$B$16,1,IF(ABS('07_CONTINUOUS_CODEBOOK'!BY25)&lt;'04_CODEBOOK_CONTROL'!$B$17,2,3)))</f>
        <v/>
      </c>
      <c r="BZ25" s="7">
        <f>IF(ABS('07_CONTINUOUS_CODEBOOK'!BZ25)&lt;'04_CODEBOOK_CONTROL'!$B$15,0,SIGN('07_CONTINUOUS_CODEBOOK'!BZ25)*IF(ABS('07_CONTINUOUS_CODEBOOK'!BZ25)&lt;'04_CODEBOOK_CONTROL'!$B$16,1,IF(ABS('07_CONTINUOUS_CODEBOOK'!BZ25)&lt;'04_CODEBOOK_CONTROL'!$B$17,2,3)))</f>
        <v/>
      </c>
      <c r="CA25" s="7">
        <f>IF(ABS('07_CONTINUOUS_CODEBOOK'!CA25)&lt;'04_CODEBOOK_CONTROL'!$B$15,0,SIGN('07_CONTINUOUS_CODEBOOK'!CA25)*IF(ABS('07_CONTINUOUS_CODEBOOK'!CA25)&lt;'04_CODEBOOK_CONTROL'!$B$16,1,IF(ABS('07_CONTINUOUS_CODEBOOK'!CA25)&lt;'04_CODEBOOK_CONTROL'!$B$17,2,3)))</f>
        <v/>
      </c>
      <c r="CB25" s="7">
        <f>IF(ABS('07_CONTINUOUS_CODEBOOK'!CB25)&lt;'04_CODEBOOK_CONTROL'!$B$15,0,SIGN('07_CONTINUOUS_CODEBOOK'!CB25)*IF(ABS('07_CONTINUOUS_CODEBOOK'!CB25)&lt;'04_CODEBOOK_CONTROL'!$B$16,1,IF(ABS('07_CONTINUOUS_CODEBOOK'!CB25)&lt;'04_CODEBOOK_CONTROL'!$B$17,2,3)))</f>
        <v/>
      </c>
      <c r="CC25" s="7">
        <f>IF(ABS('07_CONTINUOUS_CODEBOOK'!CC25)&lt;'04_CODEBOOK_CONTROL'!$B$15,0,SIGN('07_CONTINUOUS_CODEBOOK'!CC25)*IF(ABS('07_CONTINUOUS_CODEBOOK'!CC25)&lt;'04_CODEBOOK_CONTROL'!$B$16,1,IF(ABS('07_CONTINUOUS_CODEBOOK'!CC25)&lt;'04_CODEBOOK_CONTROL'!$B$17,2,3)))</f>
        <v/>
      </c>
      <c r="CD25" s="7">
        <f>IF(ABS('07_CONTINUOUS_CODEBOOK'!CD25)&lt;'04_CODEBOOK_CONTROL'!$B$15,0,SIGN('07_CONTINUOUS_CODEBOOK'!CD25)*IF(ABS('07_CONTINUOUS_CODEBOOK'!CD25)&lt;'04_CODEBOOK_CONTROL'!$B$16,1,IF(ABS('07_CONTINUOUS_CODEBOOK'!CD25)&lt;'04_CODEBOOK_CONTROL'!$B$17,2,3)))</f>
        <v/>
      </c>
      <c r="CE25" s="7">
        <f>IF(ABS('07_CONTINUOUS_CODEBOOK'!CE25)&lt;'04_CODEBOOK_CONTROL'!$B$15,0,SIGN('07_CONTINUOUS_CODEBOOK'!CE25)*IF(ABS('07_CONTINUOUS_CODEBOOK'!CE25)&lt;'04_CODEBOOK_CONTROL'!$B$16,1,IF(ABS('07_CONTINUOUS_CODEBOOK'!CE25)&lt;'04_CODEBOOK_CONTROL'!$B$17,2,3)))</f>
        <v/>
      </c>
    </row>
    <row r="26">
      <c r="A26" t="n">
        <v>22</v>
      </c>
      <c r="B26" t="inlineStr">
        <is>
          <t>安塔瑞斯星人</t>
        </is>
      </c>
      <c r="C26" t="inlineStr">
        <is>
          <t>Antarian</t>
        </is>
      </c>
      <c r="D26" s="7">
        <f>IF(ABS('07_CONTINUOUS_CODEBOOK'!D26)&lt;'04_CODEBOOK_CONTROL'!$B$15,0,SIGN('07_CONTINUOUS_CODEBOOK'!D26)*IF(ABS('07_CONTINUOUS_CODEBOOK'!D26)&lt;'04_CODEBOOK_CONTROL'!$B$16,1,IF(ABS('07_CONTINUOUS_CODEBOOK'!D26)&lt;'04_CODEBOOK_CONTROL'!$B$17,2,3)))</f>
        <v/>
      </c>
      <c r="E26" s="7">
        <f>IF(ABS('07_CONTINUOUS_CODEBOOK'!E26)&lt;'04_CODEBOOK_CONTROL'!$B$15,0,SIGN('07_CONTINUOUS_CODEBOOK'!E26)*IF(ABS('07_CONTINUOUS_CODEBOOK'!E26)&lt;'04_CODEBOOK_CONTROL'!$B$16,1,IF(ABS('07_CONTINUOUS_CODEBOOK'!E26)&lt;'04_CODEBOOK_CONTROL'!$B$17,2,3)))</f>
        <v/>
      </c>
      <c r="F26" s="7">
        <f>IF(ABS('07_CONTINUOUS_CODEBOOK'!F26)&lt;'04_CODEBOOK_CONTROL'!$B$15,0,SIGN('07_CONTINUOUS_CODEBOOK'!F26)*IF(ABS('07_CONTINUOUS_CODEBOOK'!F26)&lt;'04_CODEBOOK_CONTROL'!$B$16,1,IF(ABS('07_CONTINUOUS_CODEBOOK'!F26)&lt;'04_CODEBOOK_CONTROL'!$B$17,2,3)))</f>
        <v/>
      </c>
      <c r="G26" s="7">
        <f>IF(ABS('07_CONTINUOUS_CODEBOOK'!G26)&lt;'04_CODEBOOK_CONTROL'!$B$15,0,SIGN('07_CONTINUOUS_CODEBOOK'!G26)*IF(ABS('07_CONTINUOUS_CODEBOOK'!G26)&lt;'04_CODEBOOK_CONTROL'!$B$16,1,IF(ABS('07_CONTINUOUS_CODEBOOK'!G26)&lt;'04_CODEBOOK_CONTROL'!$B$17,2,3)))</f>
        <v/>
      </c>
      <c r="H26" s="7">
        <f>IF(ABS('07_CONTINUOUS_CODEBOOK'!H26)&lt;'04_CODEBOOK_CONTROL'!$B$15,0,SIGN('07_CONTINUOUS_CODEBOOK'!H26)*IF(ABS('07_CONTINUOUS_CODEBOOK'!H26)&lt;'04_CODEBOOK_CONTROL'!$B$16,1,IF(ABS('07_CONTINUOUS_CODEBOOK'!H26)&lt;'04_CODEBOOK_CONTROL'!$B$17,2,3)))</f>
        <v/>
      </c>
      <c r="I26" s="7">
        <f>IF(ABS('07_CONTINUOUS_CODEBOOK'!I26)&lt;'04_CODEBOOK_CONTROL'!$B$15,0,SIGN('07_CONTINUOUS_CODEBOOK'!I26)*IF(ABS('07_CONTINUOUS_CODEBOOK'!I26)&lt;'04_CODEBOOK_CONTROL'!$B$16,1,IF(ABS('07_CONTINUOUS_CODEBOOK'!I26)&lt;'04_CODEBOOK_CONTROL'!$B$17,2,3)))</f>
        <v/>
      </c>
      <c r="J26" s="7">
        <f>IF(ABS('07_CONTINUOUS_CODEBOOK'!J26)&lt;'04_CODEBOOK_CONTROL'!$B$15,0,SIGN('07_CONTINUOUS_CODEBOOK'!J26)*IF(ABS('07_CONTINUOUS_CODEBOOK'!J26)&lt;'04_CODEBOOK_CONTROL'!$B$16,1,IF(ABS('07_CONTINUOUS_CODEBOOK'!J26)&lt;'04_CODEBOOK_CONTROL'!$B$17,2,3)))</f>
        <v/>
      </c>
      <c r="K26" s="7">
        <f>IF(ABS('07_CONTINUOUS_CODEBOOK'!K26)&lt;'04_CODEBOOK_CONTROL'!$B$15,0,SIGN('07_CONTINUOUS_CODEBOOK'!K26)*IF(ABS('07_CONTINUOUS_CODEBOOK'!K26)&lt;'04_CODEBOOK_CONTROL'!$B$16,1,IF(ABS('07_CONTINUOUS_CODEBOOK'!K26)&lt;'04_CODEBOOK_CONTROL'!$B$17,2,3)))</f>
        <v/>
      </c>
      <c r="L26" s="7">
        <f>IF(ABS('07_CONTINUOUS_CODEBOOK'!L26)&lt;'04_CODEBOOK_CONTROL'!$B$15,0,SIGN('07_CONTINUOUS_CODEBOOK'!L26)*IF(ABS('07_CONTINUOUS_CODEBOOK'!L26)&lt;'04_CODEBOOK_CONTROL'!$B$16,1,IF(ABS('07_CONTINUOUS_CODEBOOK'!L26)&lt;'04_CODEBOOK_CONTROL'!$B$17,2,3)))</f>
        <v/>
      </c>
      <c r="M26" s="7">
        <f>IF(ABS('07_CONTINUOUS_CODEBOOK'!M26)&lt;'04_CODEBOOK_CONTROL'!$B$15,0,SIGN('07_CONTINUOUS_CODEBOOK'!M26)*IF(ABS('07_CONTINUOUS_CODEBOOK'!M26)&lt;'04_CODEBOOK_CONTROL'!$B$16,1,IF(ABS('07_CONTINUOUS_CODEBOOK'!M26)&lt;'04_CODEBOOK_CONTROL'!$B$17,2,3)))</f>
        <v/>
      </c>
      <c r="N26" s="7">
        <f>IF(ABS('07_CONTINUOUS_CODEBOOK'!N26)&lt;'04_CODEBOOK_CONTROL'!$B$15,0,SIGN('07_CONTINUOUS_CODEBOOK'!N26)*IF(ABS('07_CONTINUOUS_CODEBOOK'!N26)&lt;'04_CODEBOOK_CONTROL'!$B$16,1,IF(ABS('07_CONTINUOUS_CODEBOOK'!N26)&lt;'04_CODEBOOK_CONTROL'!$B$17,2,3)))</f>
        <v/>
      </c>
      <c r="O26" s="7">
        <f>IF(ABS('07_CONTINUOUS_CODEBOOK'!O26)&lt;'04_CODEBOOK_CONTROL'!$B$15,0,SIGN('07_CONTINUOUS_CODEBOOK'!O26)*IF(ABS('07_CONTINUOUS_CODEBOOK'!O26)&lt;'04_CODEBOOK_CONTROL'!$B$16,1,IF(ABS('07_CONTINUOUS_CODEBOOK'!O26)&lt;'04_CODEBOOK_CONTROL'!$B$17,2,3)))</f>
        <v/>
      </c>
      <c r="P26" s="7">
        <f>IF(ABS('07_CONTINUOUS_CODEBOOK'!P26)&lt;'04_CODEBOOK_CONTROL'!$B$15,0,SIGN('07_CONTINUOUS_CODEBOOK'!P26)*IF(ABS('07_CONTINUOUS_CODEBOOK'!P26)&lt;'04_CODEBOOK_CONTROL'!$B$16,1,IF(ABS('07_CONTINUOUS_CODEBOOK'!P26)&lt;'04_CODEBOOK_CONTROL'!$B$17,2,3)))</f>
        <v/>
      </c>
      <c r="Q26" s="7">
        <f>IF(ABS('07_CONTINUOUS_CODEBOOK'!Q26)&lt;'04_CODEBOOK_CONTROL'!$B$15,0,SIGN('07_CONTINUOUS_CODEBOOK'!Q26)*IF(ABS('07_CONTINUOUS_CODEBOOK'!Q26)&lt;'04_CODEBOOK_CONTROL'!$B$16,1,IF(ABS('07_CONTINUOUS_CODEBOOK'!Q26)&lt;'04_CODEBOOK_CONTROL'!$B$17,2,3)))</f>
        <v/>
      </c>
      <c r="R26" s="7">
        <f>IF(ABS('07_CONTINUOUS_CODEBOOK'!R26)&lt;'04_CODEBOOK_CONTROL'!$B$15,0,SIGN('07_CONTINUOUS_CODEBOOK'!R26)*IF(ABS('07_CONTINUOUS_CODEBOOK'!R26)&lt;'04_CODEBOOK_CONTROL'!$B$16,1,IF(ABS('07_CONTINUOUS_CODEBOOK'!R26)&lt;'04_CODEBOOK_CONTROL'!$B$17,2,3)))</f>
        <v/>
      </c>
      <c r="S26" s="7">
        <f>IF(ABS('07_CONTINUOUS_CODEBOOK'!S26)&lt;'04_CODEBOOK_CONTROL'!$B$15,0,SIGN('07_CONTINUOUS_CODEBOOK'!S26)*IF(ABS('07_CONTINUOUS_CODEBOOK'!S26)&lt;'04_CODEBOOK_CONTROL'!$B$16,1,IF(ABS('07_CONTINUOUS_CODEBOOK'!S26)&lt;'04_CODEBOOK_CONTROL'!$B$17,2,3)))</f>
        <v/>
      </c>
      <c r="T26" s="7">
        <f>IF(ABS('07_CONTINUOUS_CODEBOOK'!T26)&lt;'04_CODEBOOK_CONTROL'!$B$15,0,SIGN('07_CONTINUOUS_CODEBOOK'!T26)*IF(ABS('07_CONTINUOUS_CODEBOOK'!T26)&lt;'04_CODEBOOK_CONTROL'!$B$16,1,IF(ABS('07_CONTINUOUS_CODEBOOK'!T26)&lt;'04_CODEBOOK_CONTROL'!$B$17,2,3)))</f>
        <v/>
      </c>
      <c r="U26" s="7">
        <f>IF(ABS('07_CONTINUOUS_CODEBOOK'!U26)&lt;'04_CODEBOOK_CONTROL'!$B$15,0,SIGN('07_CONTINUOUS_CODEBOOK'!U26)*IF(ABS('07_CONTINUOUS_CODEBOOK'!U26)&lt;'04_CODEBOOK_CONTROL'!$B$16,1,IF(ABS('07_CONTINUOUS_CODEBOOK'!U26)&lt;'04_CODEBOOK_CONTROL'!$B$17,2,3)))</f>
        <v/>
      </c>
      <c r="V26" s="7">
        <f>IF(ABS('07_CONTINUOUS_CODEBOOK'!V26)&lt;'04_CODEBOOK_CONTROL'!$B$15,0,SIGN('07_CONTINUOUS_CODEBOOK'!V26)*IF(ABS('07_CONTINUOUS_CODEBOOK'!V26)&lt;'04_CODEBOOK_CONTROL'!$B$16,1,IF(ABS('07_CONTINUOUS_CODEBOOK'!V26)&lt;'04_CODEBOOK_CONTROL'!$B$17,2,3)))</f>
        <v/>
      </c>
      <c r="W26" s="7">
        <f>IF(ABS('07_CONTINUOUS_CODEBOOK'!W26)&lt;'04_CODEBOOK_CONTROL'!$B$15,0,SIGN('07_CONTINUOUS_CODEBOOK'!W26)*IF(ABS('07_CONTINUOUS_CODEBOOK'!W26)&lt;'04_CODEBOOK_CONTROL'!$B$16,1,IF(ABS('07_CONTINUOUS_CODEBOOK'!W26)&lt;'04_CODEBOOK_CONTROL'!$B$17,2,3)))</f>
        <v/>
      </c>
      <c r="X26" s="7">
        <f>IF(ABS('07_CONTINUOUS_CODEBOOK'!X26)&lt;'04_CODEBOOK_CONTROL'!$B$15,0,SIGN('07_CONTINUOUS_CODEBOOK'!X26)*IF(ABS('07_CONTINUOUS_CODEBOOK'!X26)&lt;'04_CODEBOOK_CONTROL'!$B$16,1,IF(ABS('07_CONTINUOUS_CODEBOOK'!X26)&lt;'04_CODEBOOK_CONTROL'!$B$17,2,3)))</f>
        <v/>
      </c>
      <c r="Y26" s="7">
        <f>IF(ABS('07_CONTINUOUS_CODEBOOK'!Y26)&lt;'04_CODEBOOK_CONTROL'!$B$15,0,SIGN('07_CONTINUOUS_CODEBOOK'!Y26)*IF(ABS('07_CONTINUOUS_CODEBOOK'!Y26)&lt;'04_CODEBOOK_CONTROL'!$B$16,1,IF(ABS('07_CONTINUOUS_CODEBOOK'!Y26)&lt;'04_CODEBOOK_CONTROL'!$B$17,2,3)))</f>
        <v/>
      </c>
      <c r="Z26" s="7">
        <f>IF(ABS('07_CONTINUOUS_CODEBOOK'!Z26)&lt;'04_CODEBOOK_CONTROL'!$B$15,0,SIGN('07_CONTINUOUS_CODEBOOK'!Z26)*IF(ABS('07_CONTINUOUS_CODEBOOK'!Z26)&lt;'04_CODEBOOK_CONTROL'!$B$16,1,IF(ABS('07_CONTINUOUS_CODEBOOK'!Z26)&lt;'04_CODEBOOK_CONTROL'!$B$17,2,3)))</f>
        <v/>
      </c>
      <c r="AA26" s="7">
        <f>IF(ABS('07_CONTINUOUS_CODEBOOK'!AA26)&lt;'04_CODEBOOK_CONTROL'!$B$15,0,SIGN('07_CONTINUOUS_CODEBOOK'!AA26)*IF(ABS('07_CONTINUOUS_CODEBOOK'!AA26)&lt;'04_CODEBOOK_CONTROL'!$B$16,1,IF(ABS('07_CONTINUOUS_CODEBOOK'!AA26)&lt;'04_CODEBOOK_CONTROL'!$B$17,2,3)))</f>
        <v/>
      </c>
      <c r="AB26" s="7">
        <f>IF(ABS('07_CONTINUOUS_CODEBOOK'!AB26)&lt;'04_CODEBOOK_CONTROL'!$B$15,0,SIGN('07_CONTINUOUS_CODEBOOK'!AB26)*IF(ABS('07_CONTINUOUS_CODEBOOK'!AB26)&lt;'04_CODEBOOK_CONTROL'!$B$16,1,IF(ABS('07_CONTINUOUS_CODEBOOK'!AB26)&lt;'04_CODEBOOK_CONTROL'!$B$17,2,3)))</f>
        <v/>
      </c>
      <c r="AC26" s="7">
        <f>IF(ABS('07_CONTINUOUS_CODEBOOK'!AC26)&lt;'04_CODEBOOK_CONTROL'!$B$15,0,SIGN('07_CONTINUOUS_CODEBOOK'!AC26)*IF(ABS('07_CONTINUOUS_CODEBOOK'!AC26)&lt;'04_CODEBOOK_CONTROL'!$B$16,1,IF(ABS('07_CONTINUOUS_CODEBOOK'!AC26)&lt;'04_CODEBOOK_CONTROL'!$B$17,2,3)))</f>
        <v/>
      </c>
      <c r="AD26" s="7">
        <f>IF(ABS('07_CONTINUOUS_CODEBOOK'!AD26)&lt;'04_CODEBOOK_CONTROL'!$B$15,0,SIGN('07_CONTINUOUS_CODEBOOK'!AD26)*IF(ABS('07_CONTINUOUS_CODEBOOK'!AD26)&lt;'04_CODEBOOK_CONTROL'!$B$16,1,IF(ABS('07_CONTINUOUS_CODEBOOK'!AD26)&lt;'04_CODEBOOK_CONTROL'!$B$17,2,3)))</f>
        <v/>
      </c>
      <c r="AE26" s="7">
        <f>IF(ABS('07_CONTINUOUS_CODEBOOK'!AE26)&lt;'04_CODEBOOK_CONTROL'!$B$15,0,SIGN('07_CONTINUOUS_CODEBOOK'!AE26)*IF(ABS('07_CONTINUOUS_CODEBOOK'!AE26)&lt;'04_CODEBOOK_CONTROL'!$B$16,1,IF(ABS('07_CONTINUOUS_CODEBOOK'!AE26)&lt;'04_CODEBOOK_CONTROL'!$B$17,2,3)))</f>
        <v/>
      </c>
      <c r="AF26" s="7">
        <f>IF(ABS('07_CONTINUOUS_CODEBOOK'!AF26)&lt;'04_CODEBOOK_CONTROL'!$B$15,0,SIGN('07_CONTINUOUS_CODEBOOK'!AF26)*IF(ABS('07_CONTINUOUS_CODEBOOK'!AF26)&lt;'04_CODEBOOK_CONTROL'!$B$16,1,IF(ABS('07_CONTINUOUS_CODEBOOK'!AF26)&lt;'04_CODEBOOK_CONTROL'!$B$17,2,3)))</f>
        <v/>
      </c>
      <c r="AG26" s="7">
        <f>IF(ABS('07_CONTINUOUS_CODEBOOK'!AG26)&lt;'04_CODEBOOK_CONTROL'!$B$15,0,SIGN('07_CONTINUOUS_CODEBOOK'!AG26)*IF(ABS('07_CONTINUOUS_CODEBOOK'!AG26)&lt;'04_CODEBOOK_CONTROL'!$B$16,1,IF(ABS('07_CONTINUOUS_CODEBOOK'!AG26)&lt;'04_CODEBOOK_CONTROL'!$B$17,2,3)))</f>
        <v/>
      </c>
      <c r="AH26" s="7">
        <f>IF(ABS('07_CONTINUOUS_CODEBOOK'!AH26)&lt;'04_CODEBOOK_CONTROL'!$B$15,0,SIGN('07_CONTINUOUS_CODEBOOK'!AH26)*IF(ABS('07_CONTINUOUS_CODEBOOK'!AH26)&lt;'04_CODEBOOK_CONTROL'!$B$16,1,IF(ABS('07_CONTINUOUS_CODEBOOK'!AH26)&lt;'04_CODEBOOK_CONTROL'!$B$17,2,3)))</f>
        <v/>
      </c>
      <c r="AI26" s="7">
        <f>IF(ABS('07_CONTINUOUS_CODEBOOK'!AI26)&lt;'04_CODEBOOK_CONTROL'!$B$15,0,SIGN('07_CONTINUOUS_CODEBOOK'!AI26)*IF(ABS('07_CONTINUOUS_CODEBOOK'!AI26)&lt;'04_CODEBOOK_CONTROL'!$B$16,1,IF(ABS('07_CONTINUOUS_CODEBOOK'!AI26)&lt;'04_CODEBOOK_CONTROL'!$B$17,2,3)))</f>
        <v/>
      </c>
      <c r="AJ26" s="7">
        <f>IF(ABS('07_CONTINUOUS_CODEBOOK'!AJ26)&lt;'04_CODEBOOK_CONTROL'!$B$15,0,SIGN('07_CONTINUOUS_CODEBOOK'!AJ26)*IF(ABS('07_CONTINUOUS_CODEBOOK'!AJ26)&lt;'04_CODEBOOK_CONTROL'!$B$16,1,IF(ABS('07_CONTINUOUS_CODEBOOK'!AJ26)&lt;'04_CODEBOOK_CONTROL'!$B$17,2,3)))</f>
        <v/>
      </c>
      <c r="AK26" s="7">
        <f>IF(ABS('07_CONTINUOUS_CODEBOOK'!AK26)&lt;'04_CODEBOOK_CONTROL'!$B$15,0,SIGN('07_CONTINUOUS_CODEBOOK'!AK26)*IF(ABS('07_CONTINUOUS_CODEBOOK'!AK26)&lt;'04_CODEBOOK_CONTROL'!$B$16,1,IF(ABS('07_CONTINUOUS_CODEBOOK'!AK26)&lt;'04_CODEBOOK_CONTROL'!$B$17,2,3)))</f>
        <v/>
      </c>
      <c r="AL26" s="7">
        <f>IF(ABS('07_CONTINUOUS_CODEBOOK'!AL26)&lt;'04_CODEBOOK_CONTROL'!$B$15,0,SIGN('07_CONTINUOUS_CODEBOOK'!AL26)*IF(ABS('07_CONTINUOUS_CODEBOOK'!AL26)&lt;'04_CODEBOOK_CONTROL'!$B$16,1,IF(ABS('07_CONTINUOUS_CODEBOOK'!AL26)&lt;'04_CODEBOOK_CONTROL'!$B$17,2,3)))</f>
        <v/>
      </c>
      <c r="AM26" s="7">
        <f>IF(ABS('07_CONTINUOUS_CODEBOOK'!AM26)&lt;'04_CODEBOOK_CONTROL'!$B$15,0,SIGN('07_CONTINUOUS_CODEBOOK'!AM26)*IF(ABS('07_CONTINUOUS_CODEBOOK'!AM26)&lt;'04_CODEBOOK_CONTROL'!$B$16,1,IF(ABS('07_CONTINUOUS_CODEBOOK'!AM26)&lt;'04_CODEBOOK_CONTROL'!$B$17,2,3)))</f>
        <v/>
      </c>
      <c r="AN26" s="7">
        <f>IF(ABS('07_CONTINUOUS_CODEBOOK'!AN26)&lt;'04_CODEBOOK_CONTROL'!$B$15,0,SIGN('07_CONTINUOUS_CODEBOOK'!AN26)*IF(ABS('07_CONTINUOUS_CODEBOOK'!AN26)&lt;'04_CODEBOOK_CONTROL'!$B$16,1,IF(ABS('07_CONTINUOUS_CODEBOOK'!AN26)&lt;'04_CODEBOOK_CONTROL'!$B$17,2,3)))</f>
        <v/>
      </c>
      <c r="AO26" s="7">
        <f>IF(ABS('07_CONTINUOUS_CODEBOOK'!AO26)&lt;'04_CODEBOOK_CONTROL'!$B$15,0,SIGN('07_CONTINUOUS_CODEBOOK'!AO26)*IF(ABS('07_CONTINUOUS_CODEBOOK'!AO26)&lt;'04_CODEBOOK_CONTROL'!$B$16,1,IF(ABS('07_CONTINUOUS_CODEBOOK'!AO26)&lt;'04_CODEBOOK_CONTROL'!$B$17,2,3)))</f>
        <v/>
      </c>
      <c r="AP26" s="7">
        <f>IF(ABS('07_CONTINUOUS_CODEBOOK'!AP26)&lt;'04_CODEBOOK_CONTROL'!$B$15,0,SIGN('07_CONTINUOUS_CODEBOOK'!AP26)*IF(ABS('07_CONTINUOUS_CODEBOOK'!AP26)&lt;'04_CODEBOOK_CONTROL'!$B$16,1,IF(ABS('07_CONTINUOUS_CODEBOOK'!AP26)&lt;'04_CODEBOOK_CONTROL'!$B$17,2,3)))</f>
        <v/>
      </c>
      <c r="AQ26" s="7">
        <f>IF(ABS('07_CONTINUOUS_CODEBOOK'!AQ26)&lt;'04_CODEBOOK_CONTROL'!$B$15,0,SIGN('07_CONTINUOUS_CODEBOOK'!AQ26)*IF(ABS('07_CONTINUOUS_CODEBOOK'!AQ26)&lt;'04_CODEBOOK_CONTROL'!$B$16,1,IF(ABS('07_CONTINUOUS_CODEBOOK'!AQ26)&lt;'04_CODEBOOK_CONTROL'!$B$17,2,3)))</f>
        <v/>
      </c>
      <c r="AR26" s="7">
        <f>IF(ABS('07_CONTINUOUS_CODEBOOK'!AR26)&lt;'04_CODEBOOK_CONTROL'!$B$15,0,SIGN('07_CONTINUOUS_CODEBOOK'!AR26)*IF(ABS('07_CONTINUOUS_CODEBOOK'!AR26)&lt;'04_CODEBOOK_CONTROL'!$B$16,1,IF(ABS('07_CONTINUOUS_CODEBOOK'!AR26)&lt;'04_CODEBOOK_CONTROL'!$B$17,2,3)))</f>
        <v/>
      </c>
      <c r="AS26" s="7">
        <f>IF(ABS('07_CONTINUOUS_CODEBOOK'!AS26)&lt;'04_CODEBOOK_CONTROL'!$B$15,0,SIGN('07_CONTINUOUS_CODEBOOK'!AS26)*IF(ABS('07_CONTINUOUS_CODEBOOK'!AS26)&lt;'04_CODEBOOK_CONTROL'!$B$16,1,IF(ABS('07_CONTINUOUS_CODEBOOK'!AS26)&lt;'04_CODEBOOK_CONTROL'!$B$17,2,3)))</f>
        <v/>
      </c>
      <c r="AT26" s="7">
        <f>IF(ABS('07_CONTINUOUS_CODEBOOK'!AT26)&lt;'04_CODEBOOK_CONTROL'!$B$15,0,SIGN('07_CONTINUOUS_CODEBOOK'!AT26)*IF(ABS('07_CONTINUOUS_CODEBOOK'!AT26)&lt;'04_CODEBOOK_CONTROL'!$B$16,1,IF(ABS('07_CONTINUOUS_CODEBOOK'!AT26)&lt;'04_CODEBOOK_CONTROL'!$B$17,2,3)))</f>
        <v/>
      </c>
      <c r="AU26" s="7">
        <f>IF(ABS('07_CONTINUOUS_CODEBOOK'!AU26)&lt;'04_CODEBOOK_CONTROL'!$B$15,0,SIGN('07_CONTINUOUS_CODEBOOK'!AU26)*IF(ABS('07_CONTINUOUS_CODEBOOK'!AU26)&lt;'04_CODEBOOK_CONTROL'!$B$16,1,IF(ABS('07_CONTINUOUS_CODEBOOK'!AU26)&lt;'04_CODEBOOK_CONTROL'!$B$17,2,3)))</f>
        <v/>
      </c>
      <c r="AV26" s="7">
        <f>IF(ABS('07_CONTINUOUS_CODEBOOK'!AV26)&lt;'04_CODEBOOK_CONTROL'!$B$15,0,SIGN('07_CONTINUOUS_CODEBOOK'!AV26)*IF(ABS('07_CONTINUOUS_CODEBOOK'!AV26)&lt;'04_CODEBOOK_CONTROL'!$B$16,1,IF(ABS('07_CONTINUOUS_CODEBOOK'!AV26)&lt;'04_CODEBOOK_CONTROL'!$B$17,2,3)))</f>
        <v/>
      </c>
      <c r="AW26" s="7">
        <f>IF(ABS('07_CONTINUOUS_CODEBOOK'!AW26)&lt;'04_CODEBOOK_CONTROL'!$B$15,0,SIGN('07_CONTINUOUS_CODEBOOK'!AW26)*IF(ABS('07_CONTINUOUS_CODEBOOK'!AW26)&lt;'04_CODEBOOK_CONTROL'!$B$16,1,IF(ABS('07_CONTINUOUS_CODEBOOK'!AW26)&lt;'04_CODEBOOK_CONTROL'!$B$17,2,3)))</f>
        <v/>
      </c>
      <c r="AX26" s="7">
        <f>IF(ABS('07_CONTINUOUS_CODEBOOK'!AX26)&lt;'04_CODEBOOK_CONTROL'!$B$15,0,SIGN('07_CONTINUOUS_CODEBOOK'!AX26)*IF(ABS('07_CONTINUOUS_CODEBOOK'!AX26)&lt;'04_CODEBOOK_CONTROL'!$B$16,1,IF(ABS('07_CONTINUOUS_CODEBOOK'!AX26)&lt;'04_CODEBOOK_CONTROL'!$B$17,2,3)))</f>
        <v/>
      </c>
      <c r="AY26" s="7">
        <f>IF(ABS('07_CONTINUOUS_CODEBOOK'!AY26)&lt;'04_CODEBOOK_CONTROL'!$B$15,0,SIGN('07_CONTINUOUS_CODEBOOK'!AY26)*IF(ABS('07_CONTINUOUS_CODEBOOK'!AY26)&lt;'04_CODEBOOK_CONTROL'!$B$16,1,IF(ABS('07_CONTINUOUS_CODEBOOK'!AY26)&lt;'04_CODEBOOK_CONTROL'!$B$17,2,3)))</f>
        <v/>
      </c>
      <c r="AZ26" s="7">
        <f>IF(ABS('07_CONTINUOUS_CODEBOOK'!AZ26)&lt;'04_CODEBOOK_CONTROL'!$B$15,0,SIGN('07_CONTINUOUS_CODEBOOK'!AZ26)*IF(ABS('07_CONTINUOUS_CODEBOOK'!AZ26)&lt;'04_CODEBOOK_CONTROL'!$B$16,1,IF(ABS('07_CONTINUOUS_CODEBOOK'!AZ26)&lt;'04_CODEBOOK_CONTROL'!$B$17,2,3)))</f>
        <v/>
      </c>
      <c r="BA26" s="7">
        <f>IF(ABS('07_CONTINUOUS_CODEBOOK'!BA26)&lt;'04_CODEBOOK_CONTROL'!$B$15,0,SIGN('07_CONTINUOUS_CODEBOOK'!BA26)*IF(ABS('07_CONTINUOUS_CODEBOOK'!BA26)&lt;'04_CODEBOOK_CONTROL'!$B$16,1,IF(ABS('07_CONTINUOUS_CODEBOOK'!BA26)&lt;'04_CODEBOOK_CONTROL'!$B$17,2,3)))</f>
        <v/>
      </c>
      <c r="BB26" s="7">
        <f>IF(ABS('07_CONTINUOUS_CODEBOOK'!BB26)&lt;'04_CODEBOOK_CONTROL'!$B$15,0,SIGN('07_CONTINUOUS_CODEBOOK'!BB26)*IF(ABS('07_CONTINUOUS_CODEBOOK'!BB26)&lt;'04_CODEBOOK_CONTROL'!$B$16,1,IF(ABS('07_CONTINUOUS_CODEBOOK'!BB26)&lt;'04_CODEBOOK_CONTROL'!$B$17,2,3)))</f>
        <v/>
      </c>
      <c r="BC26" s="7">
        <f>IF(ABS('07_CONTINUOUS_CODEBOOK'!BC26)&lt;'04_CODEBOOK_CONTROL'!$B$15,0,SIGN('07_CONTINUOUS_CODEBOOK'!BC26)*IF(ABS('07_CONTINUOUS_CODEBOOK'!BC26)&lt;'04_CODEBOOK_CONTROL'!$B$16,1,IF(ABS('07_CONTINUOUS_CODEBOOK'!BC26)&lt;'04_CODEBOOK_CONTROL'!$B$17,2,3)))</f>
        <v/>
      </c>
      <c r="BD26" s="7">
        <f>IF(ABS('07_CONTINUOUS_CODEBOOK'!BD26)&lt;'04_CODEBOOK_CONTROL'!$B$15,0,SIGN('07_CONTINUOUS_CODEBOOK'!BD26)*IF(ABS('07_CONTINUOUS_CODEBOOK'!BD26)&lt;'04_CODEBOOK_CONTROL'!$B$16,1,IF(ABS('07_CONTINUOUS_CODEBOOK'!BD26)&lt;'04_CODEBOOK_CONTROL'!$B$17,2,3)))</f>
        <v/>
      </c>
      <c r="BE26" s="7">
        <f>IF(ABS('07_CONTINUOUS_CODEBOOK'!BE26)&lt;'04_CODEBOOK_CONTROL'!$B$15,0,SIGN('07_CONTINUOUS_CODEBOOK'!BE26)*IF(ABS('07_CONTINUOUS_CODEBOOK'!BE26)&lt;'04_CODEBOOK_CONTROL'!$B$16,1,IF(ABS('07_CONTINUOUS_CODEBOOK'!BE26)&lt;'04_CODEBOOK_CONTROL'!$B$17,2,3)))</f>
        <v/>
      </c>
      <c r="BF26" s="7">
        <f>IF(ABS('07_CONTINUOUS_CODEBOOK'!BF26)&lt;'04_CODEBOOK_CONTROL'!$B$15,0,SIGN('07_CONTINUOUS_CODEBOOK'!BF26)*IF(ABS('07_CONTINUOUS_CODEBOOK'!BF26)&lt;'04_CODEBOOK_CONTROL'!$B$16,1,IF(ABS('07_CONTINUOUS_CODEBOOK'!BF26)&lt;'04_CODEBOOK_CONTROL'!$B$17,2,3)))</f>
        <v/>
      </c>
      <c r="BG26" s="7">
        <f>IF(ABS('07_CONTINUOUS_CODEBOOK'!BG26)&lt;'04_CODEBOOK_CONTROL'!$B$15,0,SIGN('07_CONTINUOUS_CODEBOOK'!BG26)*IF(ABS('07_CONTINUOUS_CODEBOOK'!BG26)&lt;'04_CODEBOOK_CONTROL'!$B$16,1,IF(ABS('07_CONTINUOUS_CODEBOOK'!BG26)&lt;'04_CODEBOOK_CONTROL'!$B$17,2,3)))</f>
        <v/>
      </c>
      <c r="BH26" s="7">
        <f>IF(ABS('07_CONTINUOUS_CODEBOOK'!BH26)&lt;'04_CODEBOOK_CONTROL'!$B$15,0,SIGN('07_CONTINUOUS_CODEBOOK'!BH26)*IF(ABS('07_CONTINUOUS_CODEBOOK'!BH26)&lt;'04_CODEBOOK_CONTROL'!$B$16,1,IF(ABS('07_CONTINUOUS_CODEBOOK'!BH26)&lt;'04_CODEBOOK_CONTROL'!$B$17,2,3)))</f>
        <v/>
      </c>
      <c r="BI26" s="7">
        <f>IF(ABS('07_CONTINUOUS_CODEBOOK'!BI26)&lt;'04_CODEBOOK_CONTROL'!$B$15,0,SIGN('07_CONTINUOUS_CODEBOOK'!BI26)*IF(ABS('07_CONTINUOUS_CODEBOOK'!BI26)&lt;'04_CODEBOOK_CONTROL'!$B$16,1,IF(ABS('07_CONTINUOUS_CODEBOOK'!BI26)&lt;'04_CODEBOOK_CONTROL'!$B$17,2,3)))</f>
        <v/>
      </c>
      <c r="BJ26" s="7">
        <f>IF(ABS('07_CONTINUOUS_CODEBOOK'!BJ26)&lt;'04_CODEBOOK_CONTROL'!$B$15,0,SIGN('07_CONTINUOUS_CODEBOOK'!BJ26)*IF(ABS('07_CONTINUOUS_CODEBOOK'!BJ26)&lt;'04_CODEBOOK_CONTROL'!$B$16,1,IF(ABS('07_CONTINUOUS_CODEBOOK'!BJ26)&lt;'04_CODEBOOK_CONTROL'!$B$17,2,3)))</f>
        <v/>
      </c>
      <c r="BK26" s="7">
        <f>IF(ABS('07_CONTINUOUS_CODEBOOK'!BK26)&lt;'04_CODEBOOK_CONTROL'!$B$15,0,SIGN('07_CONTINUOUS_CODEBOOK'!BK26)*IF(ABS('07_CONTINUOUS_CODEBOOK'!BK26)&lt;'04_CODEBOOK_CONTROL'!$B$16,1,IF(ABS('07_CONTINUOUS_CODEBOOK'!BK26)&lt;'04_CODEBOOK_CONTROL'!$B$17,2,3)))</f>
        <v/>
      </c>
      <c r="BL26" s="7">
        <f>IF(ABS('07_CONTINUOUS_CODEBOOK'!BL26)&lt;'04_CODEBOOK_CONTROL'!$B$15,0,SIGN('07_CONTINUOUS_CODEBOOK'!BL26)*IF(ABS('07_CONTINUOUS_CODEBOOK'!BL26)&lt;'04_CODEBOOK_CONTROL'!$B$16,1,IF(ABS('07_CONTINUOUS_CODEBOOK'!BL26)&lt;'04_CODEBOOK_CONTROL'!$B$17,2,3)))</f>
        <v/>
      </c>
      <c r="BM26" s="7">
        <f>IF(ABS('07_CONTINUOUS_CODEBOOK'!BM26)&lt;'04_CODEBOOK_CONTROL'!$B$15,0,SIGN('07_CONTINUOUS_CODEBOOK'!BM26)*IF(ABS('07_CONTINUOUS_CODEBOOK'!BM26)&lt;'04_CODEBOOK_CONTROL'!$B$16,1,IF(ABS('07_CONTINUOUS_CODEBOOK'!BM26)&lt;'04_CODEBOOK_CONTROL'!$B$17,2,3)))</f>
        <v/>
      </c>
      <c r="BN26" s="7">
        <f>IF(ABS('07_CONTINUOUS_CODEBOOK'!BN26)&lt;'04_CODEBOOK_CONTROL'!$B$15,0,SIGN('07_CONTINUOUS_CODEBOOK'!BN26)*IF(ABS('07_CONTINUOUS_CODEBOOK'!BN26)&lt;'04_CODEBOOK_CONTROL'!$B$16,1,IF(ABS('07_CONTINUOUS_CODEBOOK'!BN26)&lt;'04_CODEBOOK_CONTROL'!$B$17,2,3)))</f>
        <v/>
      </c>
      <c r="BO26" s="7">
        <f>IF(ABS('07_CONTINUOUS_CODEBOOK'!BO26)&lt;'04_CODEBOOK_CONTROL'!$B$15,0,SIGN('07_CONTINUOUS_CODEBOOK'!BO26)*IF(ABS('07_CONTINUOUS_CODEBOOK'!BO26)&lt;'04_CODEBOOK_CONTROL'!$B$16,1,IF(ABS('07_CONTINUOUS_CODEBOOK'!BO26)&lt;'04_CODEBOOK_CONTROL'!$B$17,2,3)))</f>
        <v/>
      </c>
      <c r="BP26" s="7">
        <f>IF(ABS('07_CONTINUOUS_CODEBOOK'!BP26)&lt;'04_CODEBOOK_CONTROL'!$B$15,0,SIGN('07_CONTINUOUS_CODEBOOK'!BP26)*IF(ABS('07_CONTINUOUS_CODEBOOK'!BP26)&lt;'04_CODEBOOK_CONTROL'!$B$16,1,IF(ABS('07_CONTINUOUS_CODEBOOK'!BP26)&lt;'04_CODEBOOK_CONTROL'!$B$17,2,3)))</f>
        <v/>
      </c>
      <c r="BQ26" s="7">
        <f>IF(ABS('07_CONTINUOUS_CODEBOOK'!BQ26)&lt;'04_CODEBOOK_CONTROL'!$B$15,0,SIGN('07_CONTINUOUS_CODEBOOK'!BQ26)*IF(ABS('07_CONTINUOUS_CODEBOOK'!BQ26)&lt;'04_CODEBOOK_CONTROL'!$B$16,1,IF(ABS('07_CONTINUOUS_CODEBOOK'!BQ26)&lt;'04_CODEBOOK_CONTROL'!$B$17,2,3)))</f>
        <v/>
      </c>
      <c r="BR26" s="7">
        <f>IF(ABS('07_CONTINUOUS_CODEBOOK'!BR26)&lt;'04_CODEBOOK_CONTROL'!$B$15,0,SIGN('07_CONTINUOUS_CODEBOOK'!BR26)*IF(ABS('07_CONTINUOUS_CODEBOOK'!BR26)&lt;'04_CODEBOOK_CONTROL'!$B$16,1,IF(ABS('07_CONTINUOUS_CODEBOOK'!BR26)&lt;'04_CODEBOOK_CONTROL'!$B$17,2,3)))</f>
        <v/>
      </c>
      <c r="BS26" s="7">
        <f>IF(ABS('07_CONTINUOUS_CODEBOOK'!BS26)&lt;'04_CODEBOOK_CONTROL'!$B$15,0,SIGN('07_CONTINUOUS_CODEBOOK'!BS26)*IF(ABS('07_CONTINUOUS_CODEBOOK'!BS26)&lt;'04_CODEBOOK_CONTROL'!$B$16,1,IF(ABS('07_CONTINUOUS_CODEBOOK'!BS26)&lt;'04_CODEBOOK_CONTROL'!$B$17,2,3)))</f>
        <v/>
      </c>
      <c r="BT26" s="7">
        <f>IF(ABS('07_CONTINUOUS_CODEBOOK'!BT26)&lt;'04_CODEBOOK_CONTROL'!$B$15,0,SIGN('07_CONTINUOUS_CODEBOOK'!BT26)*IF(ABS('07_CONTINUOUS_CODEBOOK'!BT26)&lt;'04_CODEBOOK_CONTROL'!$B$16,1,IF(ABS('07_CONTINUOUS_CODEBOOK'!BT26)&lt;'04_CODEBOOK_CONTROL'!$B$17,2,3)))</f>
        <v/>
      </c>
      <c r="BU26" s="7">
        <f>IF(ABS('07_CONTINUOUS_CODEBOOK'!BU26)&lt;'04_CODEBOOK_CONTROL'!$B$15,0,SIGN('07_CONTINUOUS_CODEBOOK'!BU26)*IF(ABS('07_CONTINUOUS_CODEBOOK'!BU26)&lt;'04_CODEBOOK_CONTROL'!$B$16,1,IF(ABS('07_CONTINUOUS_CODEBOOK'!BU26)&lt;'04_CODEBOOK_CONTROL'!$B$17,2,3)))</f>
        <v/>
      </c>
      <c r="BV26" s="7">
        <f>IF(ABS('07_CONTINUOUS_CODEBOOK'!BV26)&lt;'04_CODEBOOK_CONTROL'!$B$15,0,SIGN('07_CONTINUOUS_CODEBOOK'!BV26)*IF(ABS('07_CONTINUOUS_CODEBOOK'!BV26)&lt;'04_CODEBOOK_CONTROL'!$B$16,1,IF(ABS('07_CONTINUOUS_CODEBOOK'!BV26)&lt;'04_CODEBOOK_CONTROL'!$B$17,2,3)))</f>
        <v/>
      </c>
      <c r="BW26" s="7">
        <f>IF(ABS('07_CONTINUOUS_CODEBOOK'!BW26)&lt;'04_CODEBOOK_CONTROL'!$B$15,0,SIGN('07_CONTINUOUS_CODEBOOK'!BW26)*IF(ABS('07_CONTINUOUS_CODEBOOK'!BW26)&lt;'04_CODEBOOK_CONTROL'!$B$16,1,IF(ABS('07_CONTINUOUS_CODEBOOK'!BW26)&lt;'04_CODEBOOK_CONTROL'!$B$17,2,3)))</f>
        <v/>
      </c>
      <c r="BX26" s="7">
        <f>IF(ABS('07_CONTINUOUS_CODEBOOK'!BX26)&lt;'04_CODEBOOK_CONTROL'!$B$15,0,SIGN('07_CONTINUOUS_CODEBOOK'!BX26)*IF(ABS('07_CONTINUOUS_CODEBOOK'!BX26)&lt;'04_CODEBOOK_CONTROL'!$B$16,1,IF(ABS('07_CONTINUOUS_CODEBOOK'!BX26)&lt;'04_CODEBOOK_CONTROL'!$B$17,2,3)))</f>
        <v/>
      </c>
      <c r="BY26" s="7">
        <f>IF(ABS('07_CONTINUOUS_CODEBOOK'!BY26)&lt;'04_CODEBOOK_CONTROL'!$B$15,0,SIGN('07_CONTINUOUS_CODEBOOK'!BY26)*IF(ABS('07_CONTINUOUS_CODEBOOK'!BY26)&lt;'04_CODEBOOK_CONTROL'!$B$16,1,IF(ABS('07_CONTINUOUS_CODEBOOK'!BY26)&lt;'04_CODEBOOK_CONTROL'!$B$17,2,3)))</f>
        <v/>
      </c>
      <c r="BZ26" s="7">
        <f>IF(ABS('07_CONTINUOUS_CODEBOOK'!BZ26)&lt;'04_CODEBOOK_CONTROL'!$B$15,0,SIGN('07_CONTINUOUS_CODEBOOK'!BZ26)*IF(ABS('07_CONTINUOUS_CODEBOOK'!BZ26)&lt;'04_CODEBOOK_CONTROL'!$B$16,1,IF(ABS('07_CONTINUOUS_CODEBOOK'!BZ26)&lt;'04_CODEBOOK_CONTROL'!$B$17,2,3)))</f>
        <v/>
      </c>
      <c r="CA26" s="7">
        <f>IF(ABS('07_CONTINUOUS_CODEBOOK'!CA26)&lt;'04_CODEBOOK_CONTROL'!$B$15,0,SIGN('07_CONTINUOUS_CODEBOOK'!CA26)*IF(ABS('07_CONTINUOUS_CODEBOOK'!CA26)&lt;'04_CODEBOOK_CONTROL'!$B$16,1,IF(ABS('07_CONTINUOUS_CODEBOOK'!CA26)&lt;'04_CODEBOOK_CONTROL'!$B$17,2,3)))</f>
        <v/>
      </c>
      <c r="CB26" s="7">
        <f>IF(ABS('07_CONTINUOUS_CODEBOOK'!CB26)&lt;'04_CODEBOOK_CONTROL'!$B$15,0,SIGN('07_CONTINUOUS_CODEBOOK'!CB26)*IF(ABS('07_CONTINUOUS_CODEBOOK'!CB26)&lt;'04_CODEBOOK_CONTROL'!$B$16,1,IF(ABS('07_CONTINUOUS_CODEBOOK'!CB26)&lt;'04_CODEBOOK_CONTROL'!$B$17,2,3)))</f>
        <v/>
      </c>
      <c r="CC26" s="7">
        <f>IF(ABS('07_CONTINUOUS_CODEBOOK'!CC26)&lt;'04_CODEBOOK_CONTROL'!$B$15,0,SIGN('07_CONTINUOUS_CODEBOOK'!CC26)*IF(ABS('07_CONTINUOUS_CODEBOOK'!CC26)&lt;'04_CODEBOOK_CONTROL'!$B$16,1,IF(ABS('07_CONTINUOUS_CODEBOOK'!CC26)&lt;'04_CODEBOOK_CONTROL'!$B$17,2,3)))</f>
        <v/>
      </c>
      <c r="CD26" s="7">
        <f>IF(ABS('07_CONTINUOUS_CODEBOOK'!CD26)&lt;'04_CODEBOOK_CONTROL'!$B$15,0,SIGN('07_CONTINUOUS_CODEBOOK'!CD26)*IF(ABS('07_CONTINUOUS_CODEBOOK'!CD26)&lt;'04_CODEBOOK_CONTROL'!$B$16,1,IF(ABS('07_CONTINUOUS_CODEBOOK'!CD26)&lt;'04_CODEBOOK_CONTROL'!$B$17,2,3)))</f>
        <v/>
      </c>
      <c r="CE26" s="7">
        <f>IF(ABS('07_CONTINUOUS_CODEBOOK'!CE26)&lt;'04_CODEBOOK_CONTROL'!$B$15,0,SIGN('07_CONTINUOUS_CODEBOOK'!CE26)*IF(ABS('07_CONTINUOUS_CODEBOOK'!CE26)&lt;'04_CODEBOOK_CONTROL'!$B$16,1,IF(ABS('07_CONTINUOUS_CODEBOOK'!CE26)&lt;'04_CODEBOOK_CONTROL'!$B$17,2,3)))</f>
        <v/>
      </c>
    </row>
    <row r="27">
      <c r="A27" t="n">
        <v>23</v>
      </c>
      <c r="B27" t="inlineStr">
        <is>
          <t>地球源靈魂</t>
        </is>
      </c>
      <c r="C27" t="inlineStr">
        <is>
          <t>Earth-Origin Soul</t>
        </is>
      </c>
      <c r="D27" s="7">
        <f>IF(ABS('07_CONTINUOUS_CODEBOOK'!D27)&lt;'04_CODEBOOK_CONTROL'!$B$15,0,SIGN('07_CONTINUOUS_CODEBOOK'!D27)*IF(ABS('07_CONTINUOUS_CODEBOOK'!D27)&lt;'04_CODEBOOK_CONTROL'!$B$16,1,IF(ABS('07_CONTINUOUS_CODEBOOK'!D27)&lt;'04_CODEBOOK_CONTROL'!$B$17,2,3)))</f>
        <v/>
      </c>
      <c r="E27" s="7">
        <f>IF(ABS('07_CONTINUOUS_CODEBOOK'!E27)&lt;'04_CODEBOOK_CONTROL'!$B$15,0,SIGN('07_CONTINUOUS_CODEBOOK'!E27)*IF(ABS('07_CONTINUOUS_CODEBOOK'!E27)&lt;'04_CODEBOOK_CONTROL'!$B$16,1,IF(ABS('07_CONTINUOUS_CODEBOOK'!E27)&lt;'04_CODEBOOK_CONTROL'!$B$17,2,3)))</f>
        <v/>
      </c>
      <c r="F27" s="7">
        <f>IF(ABS('07_CONTINUOUS_CODEBOOK'!F27)&lt;'04_CODEBOOK_CONTROL'!$B$15,0,SIGN('07_CONTINUOUS_CODEBOOK'!F27)*IF(ABS('07_CONTINUOUS_CODEBOOK'!F27)&lt;'04_CODEBOOK_CONTROL'!$B$16,1,IF(ABS('07_CONTINUOUS_CODEBOOK'!F27)&lt;'04_CODEBOOK_CONTROL'!$B$17,2,3)))</f>
        <v/>
      </c>
      <c r="G27" s="7">
        <f>IF(ABS('07_CONTINUOUS_CODEBOOK'!G27)&lt;'04_CODEBOOK_CONTROL'!$B$15,0,SIGN('07_CONTINUOUS_CODEBOOK'!G27)*IF(ABS('07_CONTINUOUS_CODEBOOK'!G27)&lt;'04_CODEBOOK_CONTROL'!$B$16,1,IF(ABS('07_CONTINUOUS_CODEBOOK'!G27)&lt;'04_CODEBOOK_CONTROL'!$B$17,2,3)))</f>
        <v/>
      </c>
      <c r="H27" s="7">
        <f>IF(ABS('07_CONTINUOUS_CODEBOOK'!H27)&lt;'04_CODEBOOK_CONTROL'!$B$15,0,SIGN('07_CONTINUOUS_CODEBOOK'!H27)*IF(ABS('07_CONTINUOUS_CODEBOOK'!H27)&lt;'04_CODEBOOK_CONTROL'!$B$16,1,IF(ABS('07_CONTINUOUS_CODEBOOK'!H27)&lt;'04_CODEBOOK_CONTROL'!$B$17,2,3)))</f>
        <v/>
      </c>
      <c r="I27" s="7">
        <f>IF(ABS('07_CONTINUOUS_CODEBOOK'!I27)&lt;'04_CODEBOOK_CONTROL'!$B$15,0,SIGN('07_CONTINUOUS_CODEBOOK'!I27)*IF(ABS('07_CONTINUOUS_CODEBOOK'!I27)&lt;'04_CODEBOOK_CONTROL'!$B$16,1,IF(ABS('07_CONTINUOUS_CODEBOOK'!I27)&lt;'04_CODEBOOK_CONTROL'!$B$17,2,3)))</f>
        <v/>
      </c>
      <c r="J27" s="7">
        <f>IF(ABS('07_CONTINUOUS_CODEBOOK'!J27)&lt;'04_CODEBOOK_CONTROL'!$B$15,0,SIGN('07_CONTINUOUS_CODEBOOK'!J27)*IF(ABS('07_CONTINUOUS_CODEBOOK'!J27)&lt;'04_CODEBOOK_CONTROL'!$B$16,1,IF(ABS('07_CONTINUOUS_CODEBOOK'!J27)&lt;'04_CODEBOOK_CONTROL'!$B$17,2,3)))</f>
        <v/>
      </c>
      <c r="K27" s="7">
        <f>IF(ABS('07_CONTINUOUS_CODEBOOK'!K27)&lt;'04_CODEBOOK_CONTROL'!$B$15,0,SIGN('07_CONTINUOUS_CODEBOOK'!K27)*IF(ABS('07_CONTINUOUS_CODEBOOK'!K27)&lt;'04_CODEBOOK_CONTROL'!$B$16,1,IF(ABS('07_CONTINUOUS_CODEBOOK'!K27)&lt;'04_CODEBOOK_CONTROL'!$B$17,2,3)))</f>
        <v/>
      </c>
      <c r="L27" s="7">
        <f>IF(ABS('07_CONTINUOUS_CODEBOOK'!L27)&lt;'04_CODEBOOK_CONTROL'!$B$15,0,SIGN('07_CONTINUOUS_CODEBOOK'!L27)*IF(ABS('07_CONTINUOUS_CODEBOOK'!L27)&lt;'04_CODEBOOK_CONTROL'!$B$16,1,IF(ABS('07_CONTINUOUS_CODEBOOK'!L27)&lt;'04_CODEBOOK_CONTROL'!$B$17,2,3)))</f>
        <v/>
      </c>
      <c r="M27" s="7">
        <f>IF(ABS('07_CONTINUOUS_CODEBOOK'!M27)&lt;'04_CODEBOOK_CONTROL'!$B$15,0,SIGN('07_CONTINUOUS_CODEBOOK'!M27)*IF(ABS('07_CONTINUOUS_CODEBOOK'!M27)&lt;'04_CODEBOOK_CONTROL'!$B$16,1,IF(ABS('07_CONTINUOUS_CODEBOOK'!M27)&lt;'04_CODEBOOK_CONTROL'!$B$17,2,3)))</f>
        <v/>
      </c>
      <c r="N27" s="7">
        <f>IF(ABS('07_CONTINUOUS_CODEBOOK'!N27)&lt;'04_CODEBOOK_CONTROL'!$B$15,0,SIGN('07_CONTINUOUS_CODEBOOK'!N27)*IF(ABS('07_CONTINUOUS_CODEBOOK'!N27)&lt;'04_CODEBOOK_CONTROL'!$B$16,1,IF(ABS('07_CONTINUOUS_CODEBOOK'!N27)&lt;'04_CODEBOOK_CONTROL'!$B$17,2,3)))</f>
        <v/>
      </c>
      <c r="O27" s="7">
        <f>IF(ABS('07_CONTINUOUS_CODEBOOK'!O27)&lt;'04_CODEBOOK_CONTROL'!$B$15,0,SIGN('07_CONTINUOUS_CODEBOOK'!O27)*IF(ABS('07_CONTINUOUS_CODEBOOK'!O27)&lt;'04_CODEBOOK_CONTROL'!$B$16,1,IF(ABS('07_CONTINUOUS_CODEBOOK'!O27)&lt;'04_CODEBOOK_CONTROL'!$B$17,2,3)))</f>
        <v/>
      </c>
      <c r="P27" s="7">
        <f>IF(ABS('07_CONTINUOUS_CODEBOOK'!P27)&lt;'04_CODEBOOK_CONTROL'!$B$15,0,SIGN('07_CONTINUOUS_CODEBOOK'!P27)*IF(ABS('07_CONTINUOUS_CODEBOOK'!P27)&lt;'04_CODEBOOK_CONTROL'!$B$16,1,IF(ABS('07_CONTINUOUS_CODEBOOK'!P27)&lt;'04_CODEBOOK_CONTROL'!$B$17,2,3)))</f>
        <v/>
      </c>
      <c r="Q27" s="7">
        <f>IF(ABS('07_CONTINUOUS_CODEBOOK'!Q27)&lt;'04_CODEBOOK_CONTROL'!$B$15,0,SIGN('07_CONTINUOUS_CODEBOOK'!Q27)*IF(ABS('07_CONTINUOUS_CODEBOOK'!Q27)&lt;'04_CODEBOOK_CONTROL'!$B$16,1,IF(ABS('07_CONTINUOUS_CODEBOOK'!Q27)&lt;'04_CODEBOOK_CONTROL'!$B$17,2,3)))</f>
        <v/>
      </c>
      <c r="R27" s="7">
        <f>IF(ABS('07_CONTINUOUS_CODEBOOK'!R27)&lt;'04_CODEBOOK_CONTROL'!$B$15,0,SIGN('07_CONTINUOUS_CODEBOOK'!R27)*IF(ABS('07_CONTINUOUS_CODEBOOK'!R27)&lt;'04_CODEBOOK_CONTROL'!$B$16,1,IF(ABS('07_CONTINUOUS_CODEBOOK'!R27)&lt;'04_CODEBOOK_CONTROL'!$B$17,2,3)))</f>
        <v/>
      </c>
      <c r="S27" s="7">
        <f>IF(ABS('07_CONTINUOUS_CODEBOOK'!S27)&lt;'04_CODEBOOK_CONTROL'!$B$15,0,SIGN('07_CONTINUOUS_CODEBOOK'!S27)*IF(ABS('07_CONTINUOUS_CODEBOOK'!S27)&lt;'04_CODEBOOK_CONTROL'!$B$16,1,IF(ABS('07_CONTINUOUS_CODEBOOK'!S27)&lt;'04_CODEBOOK_CONTROL'!$B$17,2,3)))</f>
        <v/>
      </c>
      <c r="T27" s="7">
        <f>IF(ABS('07_CONTINUOUS_CODEBOOK'!T27)&lt;'04_CODEBOOK_CONTROL'!$B$15,0,SIGN('07_CONTINUOUS_CODEBOOK'!T27)*IF(ABS('07_CONTINUOUS_CODEBOOK'!T27)&lt;'04_CODEBOOK_CONTROL'!$B$16,1,IF(ABS('07_CONTINUOUS_CODEBOOK'!T27)&lt;'04_CODEBOOK_CONTROL'!$B$17,2,3)))</f>
        <v/>
      </c>
      <c r="U27" s="7">
        <f>IF(ABS('07_CONTINUOUS_CODEBOOK'!U27)&lt;'04_CODEBOOK_CONTROL'!$B$15,0,SIGN('07_CONTINUOUS_CODEBOOK'!U27)*IF(ABS('07_CONTINUOUS_CODEBOOK'!U27)&lt;'04_CODEBOOK_CONTROL'!$B$16,1,IF(ABS('07_CONTINUOUS_CODEBOOK'!U27)&lt;'04_CODEBOOK_CONTROL'!$B$17,2,3)))</f>
        <v/>
      </c>
      <c r="V27" s="7">
        <f>IF(ABS('07_CONTINUOUS_CODEBOOK'!V27)&lt;'04_CODEBOOK_CONTROL'!$B$15,0,SIGN('07_CONTINUOUS_CODEBOOK'!V27)*IF(ABS('07_CONTINUOUS_CODEBOOK'!V27)&lt;'04_CODEBOOK_CONTROL'!$B$16,1,IF(ABS('07_CONTINUOUS_CODEBOOK'!V27)&lt;'04_CODEBOOK_CONTROL'!$B$17,2,3)))</f>
        <v/>
      </c>
      <c r="W27" s="7">
        <f>IF(ABS('07_CONTINUOUS_CODEBOOK'!W27)&lt;'04_CODEBOOK_CONTROL'!$B$15,0,SIGN('07_CONTINUOUS_CODEBOOK'!W27)*IF(ABS('07_CONTINUOUS_CODEBOOK'!W27)&lt;'04_CODEBOOK_CONTROL'!$B$16,1,IF(ABS('07_CONTINUOUS_CODEBOOK'!W27)&lt;'04_CODEBOOK_CONTROL'!$B$17,2,3)))</f>
        <v/>
      </c>
      <c r="X27" s="7">
        <f>IF(ABS('07_CONTINUOUS_CODEBOOK'!X27)&lt;'04_CODEBOOK_CONTROL'!$B$15,0,SIGN('07_CONTINUOUS_CODEBOOK'!X27)*IF(ABS('07_CONTINUOUS_CODEBOOK'!X27)&lt;'04_CODEBOOK_CONTROL'!$B$16,1,IF(ABS('07_CONTINUOUS_CODEBOOK'!X27)&lt;'04_CODEBOOK_CONTROL'!$B$17,2,3)))</f>
        <v/>
      </c>
      <c r="Y27" s="7">
        <f>IF(ABS('07_CONTINUOUS_CODEBOOK'!Y27)&lt;'04_CODEBOOK_CONTROL'!$B$15,0,SIGN('07_CONTINUOUS_CODEBOOK'!Y27)*IF(ABS('07_CONTINUOUS_CODEBOOK'!Y27)&lt;'04_CODEBOOK_CONTROL'!$B$16,1,IF(ABS('07_CONTINUOUS_CODEBOOK'!Y27)&lt;'04_CODEBOOK_CONTROL'!$B$17,2,3)))</f>
        <v/>
      </c>
      <c r="Z27" s="7">
        <f>IF(ABS('07_CONTINUOUS_CODEBOOK'!Z27)&lt;'04_CODEBOOK_CONTROL'!$B$15,0,SIGN('07_CONTINUOUS_CODEBOOK'!Z27)*IF(ABS('07_CONTINUOUS_CODEBOOK'!Z27)&lt;'04_CODEBOOK_CONTROL'!$B$16,1,IF(ABS('07_CONTINUOUS_CODEBOOK'!Z27)&lt;'04_CODEBOOK_CONTROL'!$B$17,2,3)))</f>
        <v/>
      </c>
      <c r="AA27" s="7">
        <f>IF(ABS('07_CONTINUOUS_CODEBOOK'!AA27)&lt;'04_CODEBOOK_CONTROL'!$B$15,0,SIGN('07_CONTINUOUS_CODEBOOK'!AA27)*IF(ABS('07_CONTINUOUS_CODEBOOK'!AA27)&lt;'04_CODEBOOK_CONTROL'!$B$16,1,IF(ABS('07_CONTINUOUS_CODEBOOK'!AA27)&lt;'04_CODEBOOK_CONTROL'!$B$17,2,3)))</f>
        <v/>
      </c>
      <c r="AB27" s="7">
        <f>IF(ABS('07_CONTINUOUS_CODEBOOK'!AB27)&lt;'04_CODEBOOK_CONTROL'!$B$15,0,SIGN('07_CONTINUOUS_CODEBOOK'!AB27)*IF(ABS('07_CONTINUOUS_CODEBOOK'!AB27)&lt;'04_CODEBOOK_CONTROL'!$B$16,1,IF(ABS('07_CONTINUOUS_CODEBOOK'!AB27)&lt;'04_CODEBOOK_CONTROL'!$B$17,2,3)))</f>
        <v/>
      </c>
      <c r="AC27" s="7">
        <f>IF(ABS('07_CONTINUOUS_CODEBOOK'!AC27)&lt;'04_CODEBOOK_CONTROL'!$B$15,0,SIGN('07_CONTINUOUS_CODEBOOK'!AC27)*IF(ABS('07_CONTINUOUS_CODEBOOK'!AC27)&lt;'04_CODEBOOK_CONTROL'!$B$16,1,IF(ABS('07_CONTINUOUS_CODEBOOK'!AC27)&lt;'04_CODEBOOK_CONTROL'!$B$17,2,3)))</f>
        <v/>
      </c>
      <c r="AD27" s="7">
        <f>IF(ABS('07_CONTINUOUS_CODEBOOK'!AD27)&lt;'04_CODEBOOK_CONTROL'!$B$15,0,SIGN('07_CONTINUOUS_CODEBOOK'!AD27)*IF(ABS('07_CONTINUOUS_CODEBOOK'!AD27)&lt;'04_CODEBOOK_CONTROL'!$B$16,1,IF(ABS('07_CONTINUOUS_CODEBOOK'!AD27)&lt;'04_CODEBOOK_CONTROL'!$B$17,2,3)))</f>
        <v/>
      </c>
      <c r="AE27" s="7">
        <f>IF(ABS('07_CONTINUOUS_CODEBOOK'!AE27)&lt;'04_CODEBOOK_CONTROL'!$B$15,0,SIGN('07_CONTINUOUS_CODEBOOK'!AE27)*IF(ABS('07_CONTINUOUS_CODEBOOK'!AE27)&lt;'04_CODEBOOK_CONTROL'!$B$16,1,IF(ABS('07_CONTINUOUS_CODEBOOK'!AE27)&lt;'04_CODEBOOK_CONTROL'!$B$17,2,3)))</f>
        <v/>
      </c>
      <c r="AF27" s="7">
        <f>IF(ABS('07_CONTINUOUS_CODEBOOK'!AF27)&lt;'04_CODEBOOK_CONTROL'!$B$15,0,SIGN('07_CONTINUOUS_CODEBOOK'!AF27)*IF(ABS('07_CONTINUOUS_CODEBOOK'!AF27)&lt;'04_CODEBOOK_CONTROL'!$B$16,1,IF(ABS('07_CONTINUOUS_CODEBOOK'!AF27)&lt;'04_CODEBOOK_CONTROL'!$B$17,2,3)))</f>
        <v/>
      </c>
      <c r="AG27" s="7">
        <f>IF(ABS('07_CONTINUOUS_CODEBOOK'!AG27)&lt;'04_CODEBOOK_CONTROL'!$B$15,0,SIGN('07_CONTINUOUS_CODEBOOK'!AG27)*IF(ABS('07_CONTINUOUS_CODEBOOK'!AG27)&lt;'04_CODEBOOK_CONTROL'!$B$16,1,IF(ABS('07_CONTINUOUS_CODEBOOK'!AG27)&lt;'04_CODEBOOK_CONTROL'!$B$17,2,3)))</f>
        <v/>
      </c>
      <c r="AH27" s="7">
        <f>IF(ABS('07_CONTINUOUS_CODEBOOK'!AH27)&lt;'04_CODEBOOK_CONTROL'!$B$15,0,SIGN('07_CONTINUOUS_CODEBOOK'!AH27)*IF(ABS('07_CONTINUOUS_CODEBOOK'!AH27)&lt;'04_CODEBOOK_CONTROL'!$B$16,1,IF(ABS('07_CONTINUOUS_CODEBOOK'!AH27)&lt;'04_CODEBOOK_CONTROL'!$B$17,2,3)))</f>
        <v/>
      </c>
      <c r="AI27" s="7">
        <f>IF(ABS('07_CONTINUOUS_CODEBOOK'!AI27)&lt;'04_CODEBOOK_CONTROL'!$B$15,0,SIGN('07_CONTINUOUS_CODEBOOK'!AI27)*IF(ABS('07_CONTINUOUS_CODEBOOK'!AI27)&lt;'04_CODEBOOK_CONTROL'!$B$16,1,IF(ABS('07_CONTINUOUS_CODEBOOK'!AI27)&lt;'04_CODEBOOK_CONTROL'!$B$17,2,3)))</f>
        <v/>
      </c>
      <c r="AJ27" s="7">
        <f>IF(ABS('07_CONTINUOUS_CODEBOOK'!AJ27)&lt;'04_CODEBOOK_CONTROL'!$B$15,0,SIGN('07_CONTINUOUS_CODEBOOK'!AJ27)*IF(ABS('07_CONTINUOUS_CODEBOOK'!AJ27)&lt;'04_CODEBOOK_CONTROL'!$B$16,1,IF(ABS('07_CONTINUOUS_CODEBOOK'!AJ27)&lt;'04_CODEBOOK_CONTROL'!$B$17,2,3)))</f>
        <v/>
      </c>
      <c r="AK27" s="7">
        <f>IF(ABS('07_CONTINUOUS_CODEBOOK'!AK27)&lt;'04_CODEBOOK_CONTROL'!$B$15,0,SIGN('07_CONTINUOUS_CODEBOOK'!AK27)*IF(ABS('07_CONTINUOUS_CODEBOOK'!AK27)&lt;'04_CODEBOOK_CONTROL'!$B$16,1,IF(ABS('07_CONTINUOUS_CODEBOOK'!AK27)&lt;'04_CODEBOOK_CONTROL'!$B$17,2,3)))</f>
        <v/>
      </c>
      <c r="AL27" s="7">
        <f>IF(ABS('07_CONTINUOUS_CODEBOOK'!AL27)&lt;'04_CODEBOOK_CONTROL'!$B$15,0,SIGN('07_CONTINUOUS_CODEBOOK'!AL27)*IF(ABS('07_CONTINUOUS_CODEBOOK'!AL27)&lt;'04_CODEBOOK_CONTROL'!$B$16,1,IF(ABS('07_CONTINUOUS_CODEBOOK'!AL27)&lt;'04_CODEBOOK_CONTROL'!$B$17,2,3)))</f>
        <v/>
      </c>
      <c r="AM27" s="7">
        <f>IF(ABS('07_CONTINUOUS_CODEBOOK'!AM27)&lt;'04_CODEBOOK_CONTROL'!$B$15,0,SIGN('07_CONTINUOUS_CODEBOOK'!AM27)*IF(ABS('07_CONTINUOUS_CODEBOOK'!AM27)&lt;'04_CODEBOOK_CONTROL'!$B$16,1,IF(ABS('07_CONTINUOUS_CODEBOOK'!AM27)&lt;'04_CODEBOOK_CONTROL'!$B$17,2,3)))</f>
        <v/>
      </c>
      <c r="AN27" s="7">
        <f>IF(ABS('07_CONTINUOUS_CODEBOOK'!AN27)&lt;'04_CODEBOOK_CONTROL'!$B$15,0,SIGN('07_CONTINUOUS_CODEBOOK'!AN27)*IF(ABS('07_CONTINUOUS_CODEBOOK'!AN27)&lt;'04_CODEBOOK_CONTROL'!$B$16,1,IF(ABS('07_CONTINUOUS_CODEBOOK'!AN27)&lt;'04_CODEBOOK_CONTROL'!$B$17,2,3)))</f>
        <v/>
      </c>
      <c r="AO27" s="7">
        <f>IF(ABS('07_CONTINUOUS_CODEBOOK'!AO27)&lt;'04_CODEBOOK_CONTROL'!$B$15,0,SIGN('07_CONTINUOUS_CODEBOOK'!AO27)*IF(ABS('07_CONTINUOUS_CODEBOOK'!AO27)&lt;'04_CODEBOOK_CONTROL'!$B$16,1,IF(ABS('07_CONTINUOUS_CODEBOOK'!AO27)&lt;'04_CODEBOOK_CONTROL'!$B$17,2,3)))</f>
        <v/>
      </c>
      <c r="AP27" s="7">
        <f>IF(ABS('07_CONTINUOUS_CODEBOOK'!AP27)&lt;'04_CODEBOOK_CONTROL'!$B$15,0,SIGN('07_CONTINUOUS_CODEBOOK'!AP27)*IF(ABS('07_CONTINUOUS_CODEBOOK'!AP27)&lt;'04_CODEBOOK_CONTROL'!$B$16,1,IF(ABS('07_CONTINUOUS_CODEBOOK'!AP27)&lt;'04_CODEBOOK_CONTROL'!$B$17,2,3)))</f>
        <v/>
      </c>
      <c r="AQ27" s="7">
        <f>IF(ABS('07_CONTINUOUS_CODEBOOK'!AQ27)&lt;'04_CODEBOOK_CONTROL'!$B$15,0,SIGN('07_CONTINUOUS_CODEBOOK'!AQ27)*IF(ABS('07_CONTINUOUS_CODEBOOK'!AQ27)&lt;'04_CODEBOOK_CONTROL'!$B$16,1,IF(ABS('07_CONTINUOUS_CODEBOOK'!AQ27)&lt;'04_CODEBOOK_CONTROL'!$B$17,2,3)))</f>
        <v/>
      </c>
      <c r="AR27" s="7">
        <f>IF(ABS('07_CONTINUOUS_CODEBOOK'!AR27)&lt;'04_CODEBOOK_CONTROL'!$B$15,0,SIGN('07_CONTINUOUS_CODEBOOK'!AR27)*IF(ABS('07_CONTINUOUS_CODEBOOK'!AR27)&lt;'04_CODEBOOK_CONTROL'!$B$16,1,IF(ABS('07_CONTINUOUS_CODEBOOK'!AR27)&lt;'04_CODEBOOK_CONTROL'!$B$17,2,3)))</f>
        <v/>
      </c>
      <c r="AS27" s="7">
        <f>IF(ABS('07_CONTINUOUS_CODEBOOK'!AS27)&lt;'04_CODEBOOK_CONTROL'!$B$15,0,SIGN('07_CONTINUOUS_CODEBOOK'!AS27)*IF(ABS('07_CONTINUOUS_CODEBOOK'!AS27)&lt;'04_CODEBOOK_CONTROL'!$B$16,1,IF(ABS('07_CONTINUOUS_CODEBOOK'!AS27)&lt;'04_CODEBOOK_CONTROL'!$B$17,2,3)))</f>
        <v/>
      </c>
      <c r="AT27" s="7">
        <f>IF(ABS('07_CONTINUOUS_CODEBOOK'!AT27)&lt;'04_CODEBOOK_CONTROL'!$B$15,0,SIGN('07_CONTINUOUS_CODEBOOK'!AT27)*IF(ABS('07_CONTINUOUS_CODEBOOK'!AT27)&lt;'04_CODEBOOK_CONTROL'!$B$16,1,IF(ABS('07_CONTINUOUS_CODEBOOK'!AT27)&lt;'04_CODEBOOK_CONTROL'!$B$17,2,3)))</f>
        <v/>
      </c>
      <c r="AU27" s="7">
        <f>IF(ABS('07_CONTINUOUS_CODEBOOK'!AU27)&lt;'04_CODEBOOK_CONTROL'!$B$15,0,SIGN('07_CONTINUOUS_CODEBOOK'!AU27)*IF(ABS('07_CONTINUOUS_CODEBOOK'!AU27)&lt;'04_CODEBOOK_CONTROL'!$B$16,1,IF(ABS('07_CONTINUOUS_CODEBOOK'!AU27)&lt;'04_CODEBOOK_CONTROL'!$B$17,2,3)))</f>
        <v/>
      </c>
      <c r="AV27" s="7">
        <f>IF(ABS('07_CONTINUOUS_CODEBOOK'!AV27)&lt;'04_CODEBOOK_CONTROL'!$B$15,0,SIGN('07_CONTINUOUS_CODEBOOK'!AV27)*IF(ABS('07_CONTINUOUS_CODEBOOK'!AV27)&lt;'04_CODEBOOK_CONTROL'!$B$16,1,IF(ABS('07_CONTINUOUS_CODEBOOK'!AV27)&lt;'04_CODEBOOK_CONTROL'!$B$17,2,3)))</f>
        <v/>
      </c>
      <c r="AW27" s="7">
        <f>IF(ABS('07_CONTINUOUS_CODEBOOK'!AW27)&lt;'04_CODEBOOK_CONTROL'!$B$15,0,SIGN('07_CONTINUOUS_CODEBOOK'!AW27)*IF(ABS('07_CONTINUOUS_CODEBOOK'!AW27)&lt;'04_CODEBOOK_CONTROL'!$B$16,1,IF(ABS('07_CONTINUOUS_CODEBOOK'!AW27)&lt;'04_CODEBOOK_CONTROL'!$B$17,2,3)))</f>
        <v/>
      </c>
      <c r="AX27" s="7">
        <f>IF(ABS('07_CONTINUOUS_CODEBOOK'!AX27)&lt;'04_CODEBOOK_CONTROL'!$B$15,0,SIGN('07_CONTINUOUS_CODEBOOK'!AX27)*IF(ABS('07_CONTINUOUS_CODEBOOK'!AX27)&lt;'04_CODEBOOK_CONTROL'!$B$16,1,IF(ABS('07_CONTINUOUS_CODEBOOK'!AX27)&lt;'04_CODEBOOK_CONTROL'!$B$17,2,3)))</f>
        <v/>
      </c>
      <c r="AY27" s="7">
        <f>IF(ABS('07_CONTINUOUS_CODEBOOK'!AY27)&lt;'04_CODEBOOK_CONTROL'!$B$15,0,SIGN('07_CONTINUOUS_CODEBOOK'!AY27)*IF(ABS('07_CONTINUOUS_CODEBOOK'!AY27)&lt;'04_CODEBOOK_CONTROL'!$B$16,1,IF(ABS('07_CONTINUOUS_CODEBOOK'!AY27)&lt;'04_CODEBOOK_CONTROL'!$B$17,2,3)))</f>
        <v/>
      </c>
      <c r="AZ27" s="7">
        <f>IF(ABS('07_CONTINUOUS_CODEBOOK'!AZ27)&lt;'04_CODEBOOK_CONTROL'!$B$15,0,SIGN('07_CONTINUOUS_CODEBOOK'!AZ27)*IF(ABS('07_CONTINUOUS_CODEBOOK'!AZ27)&lt;'04_CODEBOOK_CONTROL'!$B$16,1,IF(ABS('07_CONTINUOUS_CODEBOOK'!AZ27)&lt;'04_CODEBOOK_CONTROL'!$B$17,2,3)))</f>
        <v/>
      </c>
      <c r="BA27" s="7">
        <f>IF(ABS('07_CONTINUOUS_CODEBOOK'!BA27)&lt;'04_CODEBOOK_CONTROL'!$B$15,0,SIGN('07_CONTINUOUS_CODEBOOK'!BA27)*IF(ABS('07_CONTINUOUS_CODEBOOK'!BA27)&lt;'04_CODEBOOK_CONTROL'!$B$16,1,IF(ABS('07_CONTINUOUS_CODEBOOK'!BA27)&lt;'04_CODEBOOK_CONTROL'!$B$17,2,3)))</f>
        <v/>
      </c>
      <c r="BB27" s="7">
        <f>IF(ABS('07_CONTINUOUS_CODEBOOK'!BB27)&lt;'04_CODEBOOK_CONTROL'!$B$15,0,SIGN('07_CONTINUOUS_CODEBOOK'!BB27)*IF(ABS('07_CONTINUOUS_CODEBOOK'!BB27)&lt;'04_CODEBOOK_CONTROL'!$B$16,1,IF(ABS('07_CONTINUOUS_CODEBOOK'!BB27)&lt;'04_CODEBOOK_CONTROL'!$B$17,2,3)))</f>
        <v/>
      </c>
      <c r="BC27" s="7">
        <f>IF(ABS('07_CONTINUOUS_CODEBOOK'!BC27)&lt;'04_CODEBOOK_CONTROL'!$B$15,0,SIGN('07_CONTINUOUS_CODEBOOK'!BC27)*IF(ABS('07_CONTINUOUS_CODEBOOK'!BC27)&lt;'04_CODEBOOK_CONTROL'!$B$16,1,IF(ABS('07_CONTINUOUS_CODEBOOK'!BC27)&lt;'04_CODEBOOK_CONTROL'!$B$17,2,3)))</f>
        <v/>
      </c>
      <c r="BD27" s="7">
        <f>IF(ABS('07_CONTINUOUS_CODEBOOK'!BD27)&lt;'04_CODEBOOK_CONTROL'!$B$15,0,SIGN('07_CONTINUOUS_CODEBOOK'!BD27)*IF(ABS('07_CONTINUOUS_CODEBOOK'!BD27)&lt;'04_CODEBOOK_CONTROL'!$B$16,1,IF(ABS('07_CONTINUOUS_CODEBOOK'!BD27)&lt;'04_CODEBOOK_CONTROL'!$B$17,2,3)))</f>
        <v/>
      </c>
      <c r="BE27" s="7">
        <f>IF(ABS('07_CONTINUOUS_CODEBOOK'!BE27)&lt;'04_CODEBOOK_CONTROL'!$B$15,0,SIGN('07_CONTINUOUS_CODEBOOK'!BE27)*IF(ABS('07_CONTINUOUS_CODEBOOK'!BE27)&lt;'04_CODEBOOK_CONTROL'!$B$16,1,IF(ABS('07_CONTINUOUS_CODEBOOK'!BE27)&lt;'04_CODEBOOK_CONTROL'!$B$17,2,3)))</f>
        <v/>
      </c>
      <c r="BF27" s="7">
        <f>IF(ABS('07_CONTINUOUS_CODEBOOK'!BF27)&lt;'04_CODEBOOK_CONTROL'!$B$15,0,SIGN('07_CONTINUOUS_CODEBOOK'!BF27)*IF(ABS('07_CONTINUOUS_CODEBOOK'!BF27)&lt;'04_CODEBOOK_CONTROL'!$B$16,1,IF(ABS('07_CONTINUOUS_CODEBOOK'!BF27)&lt;'04_CODEBOOK_CONTROL'!$B$17,2,3)))</f>
        <v/>
      </c>
      <c r="BG27" s="7">
        <f>IF(ABS('07_CONTINUOUS_CODEBOOK'!BG27)&lt;'04_CODEBOOK_CONTROL'!$B$15,0,SIGN('07_CONTINUOUS_CODEBOOK'!BG27)*IF(ABS('07_CONTINUOUS_CODEBOOK'!BG27)&lt;'04_CODEBOOK_CONTROL'!$B$16,1,IF(ABS('07_CONTINUOUS_CODEBOOK'!BG27)&lt;'04_CODEBOOK_CONTROL'!$B$17,2,3)))</f>
        <v/>
      </c>
      <c r="BH27" s="7">
        <f>IF(ABS('07_CONTINUOUS_CODEBOOK'!BH27)&lt;'04_CODEBOOK_CONTROL'!$B$15,0,SIGN('07_CONTINUOUS_CODEBOOK'!BH27)*IF(ABS('07_CONTINUOUS_CODEBOOK'!BH27)&lt;'04_CODEBOOK_CONTROL'!$B$16,1,IF(ABS('07_CONTINUOUS_CODEBOOK'!BH27)&lt;'04_CODEBOOK_CONTROL'!$B$17,2,3)))</f>
        <v/>
      </c>
      <c r="BI27" s="7">
        <f>IF(ABS('07_CONTINUOUS_CODEBOOK'!BI27)&lt;'04_CODEBOOK_CONTROL'!$B$15,0,SIGN('07_CONTINUOUS_CODEBOOK'!BI27)*IF(ABS('07_CONTINUOUS_CODEBOOK'!BI27)&lt;'04_CODEBOOK_CONTROL'!$B$16,1,IF(ABS('07_CONTINUOUS_CODEBOOK'!BI27)&lt;'04_CODEBOOK_CONTROL'!$B$17,2,3)))</f>
        <v/>
      </c>
      <c r="BJ27" s="7">
        <f>IF(ABS('07_CONTINUOUS_CODEBOOK'!BJ27)&lt;'04_CODEBOOK_CONTROL'!$B$15,0,SIGN('07_CONTINUOUS_CODEBOOK'!BJ27)*IF(ABS('07_CONTINUOUS_CODEBOOK'!BJ27)&lt;'04_CODEBOOK_CONTROL'!$B$16,1,IF(ABS('07_CONTINUOUS_CODEBOOK'!BJ27)&lt;'04_CODEBOOK_CONTROL'!$B$17,2,3)))</f>
        <v/>
      </c>
      <c r="BK27" s="7">
        <f>IF(ABS('07_CONTINUOUS_CODEBOOK'!BK27)&lt;'04_CODEBOOK_CONTROL'!$B$15,0,SIGN('07_CONTINUOUS_CODEBOOK'!BK27)*IF(ABS('07_CONTINUOUS_CODEBOOK'!BK27)&lt;'04_CODEBOOK_CONTROL'!$B$16,1,IF(ABS('07_CONTINUOUS_CODEBOOK'!BK27)&lt;'04_CODEBOOK_CONTROL'!$B$17,2,3)))</f>
        <v/>
      </c>
      <c r="BL27" s="7">
        <f>IF(ABS('07_CONTINUOUS_CODEBOOK'!BL27)&lt;'04_CODEBOOK_CONTROL'!$B$15,0,SIGN('07_CONTINUOUS_CODEBOOK'!BL27)*IF(ABS('07_CONTINUOUS_CODEBOOK'!BL27)&lt;'04_CODEBOOK_CONTROL'!$B$16,1,IF(ABS('07_CONTINUOUS_CODEBOOK'!BL27)&lt;'04_CODEBOOK_CONTROL'!$B$17,2,3)))</f>
        <v/>
      </c>
      <c r="BM27" s="7">
        <f>IF(ABS('07_CONTINUOUS_CODEBOOK'!BM27)&lt;'04_CODEBOOK_CONTROL'!$B$15,0,SIGN('07_CONTINUOUS_CODEBOOK'!BM27)*IF(ABS('07_CONTINUOUS_CODEBOOK'!BM27)&lt;'04_CODEBOOK_CONTROL'!$B$16,1,IF(ABS('07_CONTINUOUS_CODEBOOK'!BM27)&lt;'04_CODEBOOK_CONTROL'!$B$17,2,3)))</f>
        <v/>
      </c>
      <c r="BN27" s="7">
        <f>IF(ABS('07_CONTINUOUS_CODEBOOK'!BN27)&lt;'04_CODEBOOK_CONTROL'!$B$15,0,SIGN('07_CONTINUOUS_CODEBOOK'!BN27)*IF(ABS('07_CONTINUOUS_CODEBOOK'!BN27)&lt;'04_CODEBOOK_CONTROL'!$B$16,1,IF(ABS('07_CONTINUOUS_CODEBOOK'!BN27)&lt;'04_CODEBOOK_CONTROL'!$B$17,2,3)))</f>
        <v/>
      </c>
      <c r="BO27" s="7">
        <f>IF(ABS('07_CONTINUOUS_CODEBOOK'!BO27)&lt;'04_CODEBOOK_CONTROL'!$B$15,0,SIGN('07_CONTINUOUS_CODEBOOK'!BO27)*IF(ABS('07_CONTINUOUS_CODEBOOK'!BO27)&lt;'04_CODEBOOK_CONTROL'!$B$16,1,IF(ABS('07_CONTINUOUS_CODEBOOK'!BO27)&lt;'04_CODEBOOK_CONTROL'!$B$17,2,3)))</f>
        <v/>
      </c>
      <c r="BP27" s="7">
        <f>IF(ABS('07_CONTINUOUS_CODEBOOK'!BP27)&lt;'04_CODEBOOK_CONTROL'!$B$15,0,SIGN('07_CONTINUOUS_CODEBOOK'!BP27)*IF(ABS('07_CONTINUOUS_CODEBOOK'!BP27)&lt;'04_CODEBOOK_CONTROL'!$B$16,1,IF(ABS('07_CONTINUOUS_CODEBOOK'!BP27)&lt;'04_CODEBOOK_CONTROL'!$B$17,2,3)))</f>
        <v/>
      </c>
      <c r="BQ27" s="7">
        <f>IF(ABS('07_CONTINUOUS_CODEBOOK'!BQ27)&lt;'04_CODEBOOK_CONTROL'!$B$15,0,SIGN('07_CONTINUOUS_CODEBOOK'!BQ27)*IF(ABS('07_CONTINUOUS_CODEBOOK'!BQ27)&lt;'04_CODEBOOK_CONTROL'!$B$16,1,IF(ABS('07_CONTINUOUS_CODEBOOK'!BQ27)&lt;'04_CODEBOOK_CONTROL'!$B$17,2,3)))</f>
        <v/>
      </c>
      <c r="BR27" s="7">
        <f>IF(ABS('07_CONTINUOUS_CODEBOOK'!BR27)&lt;'04_CODEBOOK_CONTROL'!$B$15,0,SIGN('07_CONTINUOUS_CODEBOOK'!BR27)*IF(ABS('07_CONTINUOUS_CODEBOOK'!BR27)&lt;'04_CODEBOOK_CONTROL'!$B$16,1,IF(ABS('07_CONTINUOUS_CODEBOOK'!BR27)&lt;'04_CODEBOOK_CONTROL'!$B$17,2,3)))</f>
        <v/>
      </c>
      <c r="BS27" s="7">
        <f>IF(ABS('07_CONTINUOUS_CODEBOOK'!BS27)&lt;'04_CODEBOOK_CONTROL'!$B$15,0,SIGN('07_CONTINUOUS_CODEBOOK'!BS27)*IF(ABS('07_CONTINUOUS_CODEBOOK'!BS27)&lt;'04_CODEBOOK_CONTROL'!$B$16,1,IF(ABS('07_CONTINUOUS_CODEBOOK'!BS27)&lt;'04_CODEBOOK_CONTROL'!$B$17,2,3)))</f>
        <v/>
      </c>
      <c r="BT27" s="7">
        <f>IF(ABS('07_CONTINUOUS_CODEBOOK'!BT27)&lt;'04_CODEBOOK_CONTROL'!$B$15,0,SIGN('07_CONTINUOUS_CODEBOOK'!BT27)*IF(ABS('07_CONTINUOUS_CODEBOOK'!BT27)&lt;'04_CODEBOOK_CONTROL'!$B$16,1,IF(ABS('07_CONTINUOUS_CODEBOOK'!BT27)&lt;'04_CODEBOOK_CONTROL'!$B$17,2,3)))</f>
        <v/>
      </c>
      <c r="BU27" s="7">
        <f>IF(ABS('07_CONTINUOUS_CODEBOOK'!BU27)&lt;'04_CODEBOOK_CONTROL'!$B$15,0,SIGN('07_CONTINUOUS_CODEBOOK'!BU27)*IF(ABS('07_CONTINUOUS_CODEBOOK'!BU27)&lt;'04_CODEBOOK_CONTROL'!$B$16,1,IF(ABS('07_CONTINUOUS_CODEBOOK'!BU27)&lt;'04_CODEBOOK_CONTROL'!$B$17,2,3)))</f>
        <v/>
      </c>
      <c r="BV27" s="7">
        <f>IF(ABS('07_CONTINUOUS_CODEBOOK'!BV27)&lt;'04_CODEBOOK_CONTROL'!$B$15,0,SIGN('07_CONTINUOUS_CODEBOOK'!BV27)*IF(ABS('07_CONTINUOUS_CODEBOOK'!BV27)&lt;'04_CODEBOOK_CONTROL'!$B$16,1,IF(ABS('07_CONTINUOUS_CODEBOOK'!BV27)&lt;'04_CODEBOOK_CONTROL'!$B$17,2,3)))</f>
        <v/>
      </c>
      <c r="BW27" s="7">
        <f>IF(ABS('07_CONTINUOUS_CODEBOOK'!BW27)&lt;'04_CODEBOOK_CONTROL'!$B$15,0,SIGN('07_CONTINUOUS_CODEBOOK'!BW27)*IF(ABS('07_CONTINUOUS_CODEBOOK'!BW27)&lt;'04_CODEBOOK_CONTROL'!$B$16,1,IF(ABS('07_CONTINUOUS_CODEBOOK'!BW27)&lt;'04_CODEBOOK_CONTROL'!$B$17,2,3)))</f>
        <v/>
      </c>
      <c r="BX27" s="7">
        <f>IF(ABS('07_CONTINUOUS_CODEBOOK'!BX27)&lt;'04_CODEBOOK_CONTROL'!$B$15,0,SIGN('07_CONTINUOUS_CODEBOOK'!BX27)*IF(ABS('07_CONTINUOUS_CODEBOOK'!BX27)&lt;'04_CODEBOOK_CONTROL'!$B$16,1,IF(ABS('07_CONTINUOUS_CODEBOOK'!BX27)&lt;'04_CODEBOOK_CONTROL'!$B$17,2,3)))</f>
        <v/>
      </c>
      <c r="BY27" s="7">
        <f>IF(ABS('07_CONTINUOUS_CODEBOOK'!BY27)&lt;'04_CODEBOOK_CONTROL'!$B$15,0,SIGN('07_CONTINUOUS_CODEBOOK'!BY27)*IF(ABS('07_CONTINUOUS_CODEBOOK'!BY27)&lt;'04_CODEBOOK_CONTROL'!$B$16,1,IF(ABS('07_CONTINUOUS_CODEBOOK'!BY27)&lt;'04_CODEBOOK_CONTROL'!$B$17,2,3)))</f>
        <v/>
      </c>
      <c r="BZ27" s="7">
        <f>IF(ABS('07_CONTINUOUS_CODEBOOK'!BZ27)&lt;'04_CODEBOOK_CONTROL'!$B$15,0,SIGN('07_CONTINUOUS_CODEBOOK'!BZ27)*IF(ABS('07_CONTINUOUS_CODEBOOK'!BZ27)&lt;'04_CODEBOOK_CONTROL'!$B$16,1,IF(ABS('07_CONTINUOUS_CODEBOOK'!BZ27)&lt;'04_CODEBOOK_CONTROL'!$B$17,2,3)))</f>
        <v/>
      </c>
      <c r="CA27" s="7">
        <f>IF(ABS('07_CONTINUOUS_CODEBOOK'!CA27)&lt;'04_CODEBOOK_CONTROL'!$B$15,0,SIGN('07_CONTINUOUS_CODEBOOK'!CA27)*IF(ABS('07_CONTINUOUS_CODEBOOK'!CA27)&lt;'04_CODEBOOK_CONTROL'!$B$16,1,IF(ABS('07_CONTINUOUS_CODEBOOK'!CA27)&lt;'04_CODEBOOK_CONTROL'!$B$17,2,3)))</f>
        <v/>
      </c>
      <c r="CB27" s="7">
        <f>IF(ABS('07_CONTINUOUS_CODEBOOK'!CB27)&lt;'04_CODEBOOK_CONTROL'!$B$15,0,SIGN('07_CONTINUOUS_CODEBOOK'!CB27)*IF(ABS('07_CONTINUOUS_CODEBOOK'!CB27)&lt;'04_CODEBOOK_CONTROL'!$B$16,1,IF(ABS('07_CONTINUOUS_CODEBOOK'!CB27)&lt;'04_CODEBOOK_CONTROL'!$B$17,2,3)))</f>
        <v/>
      </c>
      <c r="CC27" s="7">
        <f>IF(ABS('07_CONTINUOUS_CODEBOOK'!CC27)&lt;'04_CODEBOOK_CONTROL'!$B$15,0,SIGN('07_CONTINUOUS_CODEBOOK'!CC27)*IF(ABS('07_CONTINUOUS_CODEBOOK'!CC27)&lt;'04_CODEBOOK_CONTROL'!$B$16,1,IF(ABS('07_CONTINUOUS_CODEBOOK'!CC27)&lt;'04_CODEBOOK_CONTROL'!$B$17,2,3)))</f>
        <v/>
      </c>
      <c r="CD27" s="7">
        <f>IF(ABS('07_CONTINUOUS_CODEBOOK'!CD27)&lt;'04_CODEBOOK_CONTROL'!$B$15,0,SIGN('07_CONTINUOUS_CODEBOOK'!CD27)*IF(ABS('07_CONTINUOUS_CODEBOOK'!CD27)&lt;'04_CODEBOOK_CONTROL'!$B$16,1,IF(ABS('07_CONTINUOUS_CODEBOOK'!CD27)&lt;'04_CODEBOOK_CONTROL'!$B$17,2,3)))</f>
        <v/>
      </c>
      <c r="CE27" s="7">
        <f>IF(ABS('07_CONTINUOUS_CODEBOOK'!CE27)&lt;'04_CODEBOOK_CONTROL'!$B$15,0,SIGN('07_CONTINUOUS_CODEBOOK'!CE27)*IF(ABS('07_CONTINUOUS_CODEBOOK'!CE27)&lt;'04_CODEBOOK_CONTROL'!$B$16,1,IF(ABS('07_CONTINUOUS_CODEBOOK'!CE27)&lt;'04_CODEBOOK_CONTROL'!$B$17,2,3)))</f>
        <v/>
      </c>
    </row>
  </sheetData>
  <mergeCells count="2">
    <mergeCell ref="A1:CE1"/>
    <mergeCell ref="A2:C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84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54" customWidth="1" min="3" max="3"/>
    <col width="48" customWidth="1" min="4" max="4"/>
    <col width="48" customWidth="1" min="5" max="5"/>
    <col width="8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5" customWidth="1" min="31" max="31"/>
  </cols>
  <sheetData>
    <row r="1" ht="30" customHeight="1">
      <c r="A1" s="1" t="inlineStr">
        <is>
          <t>Codebook in Q1…Q80 Administration Order — v4.4 PUBLIC WORDING FINAL</t>
        </is>
      </c>
    </row>
    <row r="2" ht="38" customHeight="1">
      <c r="A2" s="2" t="inlineStr">
        <is>
          <t>Raw UI answer is left/right signed; convert to canonical x = raw × key before scoring.</t>
        </is>
      </c>
    </row>
    <row r="3"/>
    <row r="4">
      <c r="A4" s="3" t="inlineStr">
        <is>
          <t>Q#</t>
        </is>
      </c>
      <c r="B4" s="3" t="inlineStr">
        <is>
          <t>Slot</t>
        </is>
      </c>
      <c r="C4" s="3" t="inlineStr">
        <is>
          <t>Stem</t>
        </is>
      </c>
      <c r="D4" s="3" t="inlineStr">
        <is>
          <t>Left</t>
        </is>
      </c>
      <c r="E4" s="3" t="inlineStr">
        <is>
          <t>Right</t>
        </is>
      </c>
      <c r="F4" s="3" t="inlineStr">
        <is>
          <t>Key</t>
        </is>
      </c>
      <c r="G4" s="3" t="inlineStr">
        <is>
          <t>Canonical rule</t>
        </is>
      </c>
      <c r="H4" s="3" t="inlineStr">
        <is>
          <t>Pleiadian</t>
        </is>
      </c>
      <c r="I4" s="3" t="inlineStr">
        <is>
          <t>Arcturian</t>
        </is>
      </c>
      <c r="J4" s="3" t="inlineStr">
        <is>
          <t>Sirian</t>
        </is>
      </c>
      <c r="K4" s="3" t="inlineStr">
        <is>
          <t>Andromedan</t>
        </is>
      </c>
      <c r="L4" s="3" t="inlineStr">
        <is>
          <t>Lyran</t>
        </is>
      </c>
      <c r="M4" s="3" t="inlineStr">
        <is>
          <t>Orion</t>
        </is>
      </c>
      <c r="N4" s="3" t="inlineStr">
        <is>
          <t>Mintakan</t>
        </is>
      </c>
      <c r="O4" s="3" t="inlineStr">
        <is>
          <t>Venusian</t>
        </is>
      </c>
      <c r="P4" s="3" t="inlineStr">
        <is>
          <t>Hadarian</t>
        </is>
      </c>
      <c r="Q4" s="3" t="inlineStr">
        <is>
          <t>Polarian</t>
        </is>
      </c>
      <c r="R4" s="3" t="inlineStr">
        <is>
          <t>Alpha Centaurian</t>
        </is>
      </c>
      <c r="S4" s="3" t="inlineStr">
        <is>
          <t>Vegan</t>
        </is>
      </c>
      <c r="T4" s="3" t="inlineStr">
        <is>
          <t>Feline / Urmah</t>
        </is>
      </c>
      <c r="U4" s="3" t="inlineStr">
        <is>
          <t>Avian / Blue Avian</t>
        </is>
      </c>
      <c r="V4" s="3" t="inlineStr">
        <is>
          <t>Martian</t>
        </is>
      </c>
      <c r="W4" s="3" t="inlineStr">
        <is>
          <t>Maldekian</t>
        </is>
      </c>
      <c r="X4" s="3" t="inlineStr">
        <is>
          <t>Draconian</t>
        </is>
      </c>
      <c r="Y4" s="3" t="inlineStr">
        <is>
          <t>Reptilian</t>
        </is>
      </c>
      <c r="Z4" s="3" t="inlineStr">
        <is>
          <t>Zeta / Grey</t>
        </is>
      </c>
      <c r="AA4" s="3" t="inlineStr">
        <is>
          <t>Anunnaki / Nibiruan</t>
        </is>
      </c>
      <c r="AB4" s="3" t="inlineStr">
        <is>
          <t>Tau Cetian</t>
        </is>
      </c>
      <c r="AC4" s="3" t="inlineStr">
        <is>
          <t>Antarian</t>
        </is>
      </c>
      <c r="AD4" s="3" t="inlineStr">
        <is>
          <t>Earth-Origin Soul</t>
        </is>
      </c>
      <c r="AE4" s="3" t="inlineStr">
        <is>
          <t>Final weight v4</t>
        </is>
      </c>
    </row>
    <row r="5">
      <c r="A5" s="4" t="n">
        <v>1</v>
      </c>
      <c r="B5" s="4" t="inlineStr">
        <is>
          <t>G17</t>
        </is>
      </c>
      <c r="C5" s="4" t="inlineStr">
        <is>
          <t>當一個你參與的共同計畫開始偏離你認同的方向時，你比較自然會……</t>
        </is>
      </c>
      <c r="D5" s="4" t="inlineStr">
        <is>
          <t>離開這個不適合自己的安排，改由自己決定下一步</t>
        </is>
      </c>
      <c r="E5" s="4" t="inlineStr">
        <is>
          <t>留下來，守住你認為重要的人和事</t>
        </is>
      </c>
      <c r="F5" s="4" t="n">
        <v>1</v>
      </c>
      <c r="G5" s="4" t="inlineStr">
        <is>
          <t>x=raw×key</t>
        </is>
      </c>
      <c r="H5" t="n">
        <v>0</v>
      </c>
      <c r="I5" t="n">
        <v>-1</v>
      </c>
      <c r="J5" t="n">
        <v>2</v>
      </c>
      <c r="K5" t="n">
        <v>-2</v>
      </c>
      <c r="L5" t="n">
        <v>-1</v>
      </c>
      <c r="M5" t="n">
        <v>0</v>
      </c>
      <c r="N5" t="n">
        <v>1</v>
      </c>
      <c r="O5" t="n">
        <v>0</v>
      </c>
      <c r="P5" t="n">
        <v>0</v>
      </c>
      <c r="Q5" t="n">
        <v>2</v>
      </c>
      <c r="R5" t="n">
        <v>1</v>
      </c>
      <c r="S5" t="n">
        <v>-2</v>
      </c>
      <c r="T5" t="n">
        <v>1</v>
      </c>
      <c r="U5" t="n">
        <v>-2</v>
      </c>
      <c r="V5" t="n">
        <v>1</v>
      </c>
      <c r="W5" t="n">
        <v>1</v>
      </c>
      <c r="X5" t="n">
        <v>2</v>
      </c>
      <c r="Y5" t="n">
        <v>1</v>
      </c>
      <c r="Z5" t="n">
        <v>0</v>
      </c>
      <c r="AA5" t="n">
        <v>2</v>
      </c>
      <c r="AB5" t="n">
        <v>0</v>
      </c>
      <c r="AC5" t="n">
        <v>1</v>
      </c>
      <c r="AD5" t="n">
        <v>2</v>
      </c>
      <c r="AE5" s="20">
        <f>INDEX('24_FINAL_ITEM_WEIGHTS'!$I$5:$I$84,MATCH(B5,'24_FINAL_ITEM_WEIGHTS'!$A$5:$A$84,0))</f>
        <v/>
      </c>
    </row>
    <row r="6">
      <c r="A6" s="4" t="n">
        <v>2</v>
      </c>
      <c r="B6" s="4" t="inlineStr">
        <is>
          <t>L05</t>
        </is>
      </c>
      <c r="C6" s="4" t="inlineStr">
        <is>
          <t>當一個空間讓你覺得不太對勁時，你比較想怎麼調整？</t>
        </is>
      </c>
      <c r="D6" s="4" t="inlineStr">
        <is>
          <t>用顏色、材質和擺設增加層次，讓整體氣氛更豐富和諧</t>
        </is>
      </c>
      <c r="E6" s="4" t="inlineStr">
        <is>
          <t>減少刺激和雜亂，讓空間回到簡單、清楚又安定的感覺</t>
        </is>
      </c>
      <c r="F6" s="4" t="n">
        <v>-1</v>
      </c>
      <c r="G6" s="4" t="inlineStr">
        <is>
          <t>x=raw×key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-3</v>
      </c>
      <c r="O6" t="n">
        <v>3</v>
      </c>
      <c r="P6" t="n">
        <v>1</v>
      </c>
      <c r="Q6" t="n">
        <v>1</v>
      </c>
      <c r="R6" t="n">
        <v>0</v>
      </c>
      <c r="S6" t="n">
        <v>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3</v>
      </c>
      <c r="AE6" s="20">
        <f>INDEX('24_FINAL_ITEM_WEIGHTS'!$I$5:$I$84,MATCH(B6,'24_FINAL_ITEM_WEIGHTS'!$A$5:$A$84,0))</f>
        <v/>
      </c>
    </row>
    <row r="7">
      <c r="A7" s="4" t="n">
        <v>3</v>
      </c>
      <c r="B7" s="4" t="inlineStr">
        <is>
          <t>G13</t>
        </is>
      </c>
      <c r="C7" s="4" t="inlineStr">
        <is>
          <t>當新的人想加入你正在維持的小圈子或合作小組時，你通常會……</t>
        </is>
      </c>
      <c r="D7" s="4" t="inlineStr">
        <is>
          <t>先讓對方參與一些基本的事，再按實際相處調整參與範圍</t>
        </is>
      </c>
      <c r="E7" s="4" t="inlineStr">
        <is>
          <t>先不要讓對方參與太多，觀察彼此是否合適後再慢慢開放</t>
        </is>
      </c>
      <c r="F7" s="4" t="n">
        <v>1</v>
      </c>
      <c r="G7" s="4" t="inlineStr">
        <is>
          <t>x=raw×key</t>
        </is>
      </c>
      <c r="H7" t="n">
        <v>-2</v>
      </c>
      <c r="I7" t="n">
        <v>0</v>
      </c>
      <c r="J7" t="n">
        <v>3</v>
      </c>
      <c r="K7" t="n">
        <v>0</v>
      </c>
      <c r="L7" t="n">
        <v>0</v>
      </c>
      <c r="M7" t="n">
        <v>2</v>
      </c>
      <c r="N7" t="n">
        <v>-2</v>
      </c>
      <c r="O7" t="n">
        <v>-2</v>
      </c>
      <c r="P7" t="n">
        <v>-3</v>
      </c>
      <c r="Q7" t="n">
        <v>0</v>
      </c>
      <c r="R7" t="n">
        <v>0</v>
      </c>
      <c r="S7" t="n">
        <v>2</v>
      </c>
      <c r="T7" t="n">
        <v>3</v>
      </c>
      <c r="U7" t="n">
        <v>0</v>
      </c>
      <c r="V7" t="n">
        <v>0</v>
      </c>
      <c r="W7" t="n">
        <v>3</v>
      </c>
      <c r="X7" t="n">
        <v>2</v>
      </c>
      <c r="Y7" t="n">
        <v>3</v>
      </c>
      <c r="Z7" t="n">
        <v>2</v>
      </c>
      <c r="AA7" t="n">
        <v>2</v>
      </c>
      <c r="AB7" t="n">
        <v>-2</v>
      </c>
      <c r="AC7" t="n">
        <v>3</v>
      </c>
      <c r="AD7" t="n">
        <v>0</v>
      </c>
      <c r="AE7" s="20">
        <f>INDEX('24_FINAL_ITEM_WEIGHTS'!$I$5:$I$84,MATCH(B7,'24_FINAL_ITEM_WEIGHTS'!$A$5:$A$84,0))</f>
        <v/>
      </c>
    </row>
    <row r="8">
      <c r="A8" s="4" t="n">
        <v>4</v>
      </c>
      <c r="B8" s="4" t="inlineStr">
        <is>
          <t>L06</t>
        </is>
      </c>
      <c r="C8" s="4" t="inlineStr">
        <is>
          <t>當你長期覺得生活不太對勁時，什麼最能幫你找回方向？</t>
        </is>
      </c>
      <c r="D8" s="4" t="inlineStr">
        <is>
          <t>把生活重新整理得更清楚、簡單，讓自己真正安定下來</t>
        </is>
      </c>
      <c r="E8" s="4" t="inlineStr">
        <is>
          <t>投入一段可信任的一對一關係，慢慢加深彼此的承諾和連結</t>
        </is>
      </c>
      <c r="F8" s="4" t="n">
        <v>1</v>
      </c>
      <c r="G8" s="4" t="inlineStr">
        <is>
          <t>x=raw×key</t>
        </is>
      </c>
      <c r="H8" t="n">
        <v>2</v>
      </c>
      <c r="I8" t="n">
        <v>1</v>
      </c>
      <c r="J8" t="n">
        <v>2</v>
      </c>
      <c r="K8" t="n">
        <v>2</v>
      </c>
      <c r="L8" t="n">
        <v>2</v>
      </c>
      <c r="M8" t="n">
        <v>1</v>
      </c>
      <c r="N8" t="n">
        <v>-3</v>
      </c>
      <c r="O8" t="n">
        <v>2</v>
      </c>
      <c r="P8" t="n">
        <v>3</v>
      </c>
      <c r="Q8" t="n">
        <v>2</v>
      </c>
      <c r="R8" t="n">
        <v>2</v>
      </c>
      <c r="S8" t="n">
        <v>1</v>
      </c>
      <c r="T8" t="n">
        <v>2</v>
      </c>
      <c r="U8" t="n">
        <v>1</v>
      </c>
      <c r="V8" t="n">
        <v>2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2</v>
      </c>
      <c r="AD8" t="n">
        <v>3</v>
      </c>
      <c r="AE8" s="20">
        <f>INDEX('24_FINAL_ITEM_WEIGHTS'!$I$5:$I$84,MATCH(B8,'24_FINAL_ITEM_WEIGHTS'!$A$5:$A$84,0))</f>
        <v/>
      </c>
    </row>
    <row r="9">
      <c r="A9" s="4" t="n">
        <v>5</v>
      </c>
      <c r="B9" s="4" t="inlineStr">
        <is>
          <t>G23</t>
        </is>
      </c>
      <c r="C9" s="4" t="inlineStr">
        <is>
          <t>面對一件重要又複雜的事時，你比較容易先注意哪一部分？</t>
        </is>
      </c>
      <c r="D9" s="4" t="inlineStr">
        <is>
          <t>先看整體，理解各個部分怎樣和更大的情況連在一起</t>
        </is>
      </c>
      <c r="E9" s="4" t="inlineStr">
        <is>
          <t>少數重要關係裡真正的需要，以及彼此願意投入多少</t>
        </is>
      </c>
      <c r="F9" s="4" t="n">
        <v>1</v>
      </c>
      <c r="G9" s="4" t="inlineStr">
        <is>
          <t>x=raw×key</t>
        </is>
      </c>
      <c r="H9" t="n">
        <v>1</v>
      </c>
      <c r="I9" t="n">
        <v>-2</v>
      </c>
      <c r="J9" t="n">
        <v>1</v>
      </c>
      <c r="K9" t="n">
        <v>-2</v>
      </c>
      <c r="L9" t="n">
        <v>-1</v>
      </c>
      <c r="M9" t="n">
        <v>-2</v>
      </c>
      <c r="N9" t="n">
        <v>1</v>
      </c>
      <c r="O9" t="n">
        <v>1</v>
      </c>
      <c r="P9" t="n">
        <v>3</v>
      </c>
      <c r="Q9" t="n">
        <v>1</v>
      </c>
      <c r="R9" t="n">
        <v>0</v>
      </c>
      <c r="S9" t="n">
        <v>-2</v>
      </c>
      <c r="T9" t="n">
        <v>1</v>
      </c>
      <c r="U9" t="n">
        <v>-3</v>
      </c>
      <c r="V9" t="n">
        <v>1</v>
      </c>
      <c r="W9" t="n">
        <v>1</v>
      </c>
      <c r="X9" t="n">
        <v>-2</v>
      </c>
      <c r="Y9" t="n">
        <v>0</v>
      </c>
      <c r="Z9" t="n">
        <v>-3</v>
      </c>
      <c r="AA9" t="n">
        <v>-3</v>
      </c>
      <c r="AB9" t="n">
        <v>-1</v>
      </c>
      <c r="AC9" t="n">
        <v>-1</v>
      </c>
      <c r="AD9" t="n">
        <v>2</v>
      </c>
      <c r="AE9" s="20">
        <f>INDEX('24_FINAL_ITEM_WEIGHTS'!$I$5:$I$84,MATCH(B9,'24_FINAL_ITEM_WEIGHTS'!$A$5:$A$84,0))</f>
        <v/>
      </c>
    </row>
    <row r="10">
      <c r="A10" s="4" t="n">
        <v>6</v>
      </c>
      <c r="B10" s="4" t="inlineStr">
        <is>
          <t>A09</t>
        </is>
      </c>
      <c r="C10" s="4" t="inlineStr">
        <is>
          <t>如果一項很多人都會使用的公共服務需要重新設計，你比較想從哪裡開始？</t>
        </is>
      </c>
      <c r="D10" s="4" t="inlineStr">
        <is>
          <t>規劃整體規則、分工和資源怎麼安排，讓不同單位能一起運作</t>
        </is>
      </c>
      <c r="E10" s="4" t="inlineStr">
        <is>
          <t>把日常流程和工具做得更順，讓前線的人容易照著做</t>
        </is>
      </c>
      <c r="F10" s="4" t="n">
        <v>-1</v>
      </c>
      <c r="G10" s="4" t="inlineStr">
        <is>
          <t>x=raw×key</t>
        </is>
      </c>
      <c r="H10" t="n">
        <v>-3</v>
      </c>
      <c r="I10" t="n">
        <v>-2</v>
      </c>
      <c r="J10" t="n">
        <v>-3</v>
      </c>
      <c r="K10" t="n">
        <v>-3</v>
      </c>
      <c r="L10" t="n">
        <v>-2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-2</v>
      </c>
      <c r="V10" t="n">
        <v>-3</v>
      </c>
      <c r="W10" t="n">
        <v>-3</v>
      </c>
      <c r="X10" t="n">
        <v>-1</v>
      </c>
      <c r="Y10" t="n">
        <v>-3</v>
      </c>
      <c r="Z10" t="n">
        <v>-3</v>
      </c>
      <c r="AA10" t="n">
        <v>2</v>
      </c>
      <c r="AB10" t="n">
        <v>-3</v>
      </c>
      <c r="AC10" t="n">
        <v>-3</v>
      </c>
      <c r="AD10" t="n">
        <v>-3</v>
      </c>
      <c r="AE10" s="20">
        <f>INDEX('24_FINAL_ITEM_WEIGHTS'!$I$5:$I$84,MATCH(B10,'24_FINAL_ITEM_WEIGHTS'!$A$5:$A$84,0))</f>
        <v/>
      </c>
    </row>
    <row r="11">
      <c r="A11" s="4" t="n">
        <v>7</v>
      </c>
      <c r="B11" s="4" t="inlineStr">
        <is>
          <t>G01</t>
        </is>
      </c>
      <c r="C11" s="4" t="inlineStr">
        <is>
          <t>面對一段同時帶有情緒和資訊的分享，你第一個自然反應比較像……</t>
        </is>
      </c>
      <c r="D11" s="4" t="inlineStr">
        <is>
          <t>先看看說法有沒有道理、前後有沒有矛盾，再形成自己的理解</t>
        </is>
      </c>
      <c r="E11" s="4" t="inlineStr">
        <is>
          <t>先留意其中的情緒變化和彼此的關係，再形成自己的理解</t>
        </is>
      </c>
      <c r="F11" s="4" t="n">
        <v>1</v>
      </c>
      <c r="G11" s="4" t="inlineStr">
        <is>
          <t>x=raw×key</t>
        </is>
      </c>
      <c r="H11" t="n">
        <v>3</v>
      </c>
      <c r="I11" t="n">
        <v>-1</v>
      </c>
      <c r="J11" t="n">
        <v>0</v>
      </c>
      <c r="K11" t="n">
        <v>0</v>
      </c>
      <c r="L11" t="n">
        <v>-1</v>
      </c>
      <c r="M11" t="n">
        <v>-3</v>
      </c>
      <c r="N11" t="n">
        <v>1</v>
      </c>
      <c r="O11" t="n">
        <v>1</v>
      </c>
      <c r="P11" t="n">
        <v>1</v>
      </c>
      <c r="Q11" t="n">
        <v>0</v>
      </c>
      <c r="R11" t="n">
        <v>-2</v>
      </c>
      <c r="S11" t="n">
        <v>-1</v>
      </c>
      <c r="T11" t="n">
        <v>-1</v>
      </c>
      <c r="U11" t="n">
        <v>-1</v>
      </c>
      <c r="V11" t="n">
        <v>0</v>
      </c>
      <c r="W11" t="n">
        <v>-3</v>
      </c>
      <c r="X11" t="n">
        <v>-1</v>
      </c>
      <c r="Y11" t="n">
        <v>-1</v>
      </c>
      <c r="Z11" t="n">
        <v>-3</v>
      </c>
      <c r="AA11" t="n">
        <v>-1</v>
      </c>
      <c r="AB11" t="n">
        <v>0</v>
      </c>
      <c r="AC11" t="n">
        <v>-1</v>
      </c>
      <c r="AD11" t="n">
        <v>0</v>
      </c>
      <c r="AE11" s="20">
        <f>INDEX('24_FINAL_ITEM_WEIGHTS'!$I$5:$I$84,MATCH(B11,'24_FINAL_ITEM_WEIGHTS'!$A$5:$A$84,0))</f>
        <v/>
      </c>
    </row>
    <row r="12">
      <c r="A12" s="4" t="n">
        <v>8</v>
      </c>
      <c r="B12" s="4" t="inlineStr">
        <is>
          <t>L19</t>
        </is>
      </c>
      <c r="C12" s="4" t="inlineStr">
        <is>
          <t>當你得到一段完全自由支配的創作時間，你更想……</t>
        </is>
      </c>
      <c r="D12" s="4" t="inlineStr">
        <is>
          <t>先立下一個方向，做出一個之後可以繼續發展的起點</t>
        </is>
      </c>
      <c r="E12" s="4" t="inlineStr">
        <is>
          <t>自由組合不同領域的想法，看看能發展出什麼新東西</t>
        </is>
      </c>
      <c r="F12" s="4" t="n">
        <v>-1</v>
      </c>
      <c r="G12" s="4" t="inlineStr">
        <is>
          <t>x=raw×key</t>
        </is>
      </c>
      <c r="H12" t="n">
        <v>0</v>
      </c>
      <c r="I12" t="n">
        <v>0</v>
      </c>
      <c r="J12" t="n">
        <v>3</v>
      </c>
      <c r="K12" t="n">
        <v>-3</v>
      </c>
      <c r="L12" t="n">
        <v>3</v>
      </c>
      <c r="M12" t="n">
        <v>-1</v>
      </c>
      <c r="N12" t="n">
        <v>0</v>
      </c>
      <c r="O12" t="n">
        <v>0</v>
      </c>
      <c r="P12" t="n">
        <v>0</v>
      </c>
      <c r="Q12" t="n">
        <v>3</v>
      </c>
      <c r="R12" t="n">
        <v>3</v>
      </c>
      <c r="S12" t="n">
        <v>-3</v>
      </c>
      <c r="T12" t="n">
        <v>2</v>
      </c>
      <c r="U12" t="n">
        <v>-3</v>
      </c>
      <c r="V12" t="n">
        <v>1</v>
      </c>
      <c r="W12" t="n">
        <v>3</v>
      </c>
      <c r="X12" t="n">
        <v>3</v>
      </c>
      <c r="Y12" t="n">
        <v>1</v>
      </c>
      <c r="Z12" t="n">
        <v>0</v>
      </c>
      <c r="AA12" t="n">
        <v>3</v>
      </c>
      <c r="AB12" t="n">
        <v>0</v>
      </c>
      <c r="AC12" t="n">
        <v>1</v>
      </c>
      <c r="AD12" t="n">
        <v>3</v>
      </c>
      <c r="AE12" s="20">
        <f>INDEX('24_FINAL_ITEM_WEIGHTS'!$I$5:$I$84,MATCH(B12,'24_FINAL_ITEM_WEIGHTS'!$A$5:$A$84,0))</f>
        <v/>
      </c>
    </row>
    <row r="13">
      <c r="A13" s="4" t="n">
        <v>9</v>
      </c>
      <c r="B13" s="4" t="inlineStr">
        <is>
          <t>G02</t>
        </is>
      </c>
      <c r="C13" s="4" t="inlineStr">
        <is>
          <t>一個對你很重要的決定，也會明顯影響親近的人時，你比較自然會……</t>
        </is>
      </c>
      <c r="D13" s="4" t="inlineStr">
        <is>
          <t>把彼此的關係和共同承諾當成最重要的考量之一</t>
        </is>
      </c>
      <c r="E13" s="4" t="inlineStr">
        <is>
          <t>先確定這仍是自己真正想走的方向，再想怎樣和對方協調</t>
        </is>
      </c>
      <c r="F13" s="4" t="n">
        <v>-1</v>
      </c>
      <c r="G13" s="4" t="inlineStr">
        <is>
          <t>x=raw×key</t>
        </is>
      </c>
      <c r="H13" t="n">
        <v>1</v>
      </c>
      <c r="I13" t="n">
        <v>-2</v>
      </c>
      <c r="J13" t="n">
        <v>2</v>
      </c>
      <c r="K13" t="n">
        <v>-2</v>
      </c>
      <c r="L13" t="n">
        <v>-2</v>
      </c>
      <c r="M13" t="n">
        <v>-1</v>
      </c>
      <c r="N13" t="n">
        <v>1</v>
      </c>
      <c r="O13" t="n">
        <v>1</v>
      </c>
      <c r="P13" t="n">
        <v>2</v>
      </c>
      <c r="Q13" t="n">
        <v>2</v>
      </c>
      <c r="R13" t="n">
        <v>1</v>
      </c>
      <c r="S13" t="n">
        <v>-3</v>
      </c>
      <c r="T13" t="n">
        <v>-2</v>
      </c>
      <c r="U13" t="n">
        <v>-2</v>
      </c>
      <c r="V13" t="n">
        <v>-1</v>
      </c>
      <c r="W13" t="n">
        <v>1</v>
      </c>
      <c r="X13" t="n">
        <v>0</v>
      </c>
      <c r="Y13" t="n">
        <v>-2</v>
      </c>
      <c r="Z13" t="n">
        <v>-2</v>
      </c>
      <c r="AA13" t="n">
        <v>0</v>
      </c>
      <c r="AB13" t="n">
        <v>0</v>
      </c>
      <c r="AC13" t="n">
        <v>0</v>
      </c>
      <c r="AD13" t="n">
        <v>2</v>
      </c>
      <c r="AE13" s="20">
        <f>INDEX('24_FINAL_ITEM_WEIGHTS'!$I$5:$I$84,MATCH(B13,'24_FINAL_ITEM_WEIGHTS'!$A$5:$A$84,0))</f>
        <v/>
      </c>
    </row>
    <row r="14">
      <c r="A14" s="4" t="n">
        <v>10</v>
      </c>
      <c r="B14" s="4" t="inlineStr">
        <is>
          <t>L07</t>
        </is>
      </c>
      <c r="C14" s="4" t="inlineStr">
        <is>
          <t>要讓一段相處重新有連結感，你比較相信關鍵在於……</t>
        </is>
      </c>
      <c r="D14" s="4" t="inlineStr">
        <is>
          <t>把注意力放回兩個人的信任，以及彼此是否真心投入</t>
        </is>
      </c>
      <c r="E14" s="4" t="inlineStr">
        <is>
          <t>先讓相處的空間、氣氛和節奏變得舒服協調</t>
        </is>
      </c>
      <c r="F14" s="4" t="n">
        <v>-1</v>
      </c>
      <c r="G14" s="4" t="inlineStr">
        <is>
          <t>x=raw×key</t>
        </is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-3</v>
      </c>
      <c r="P14" t="n">
        <v>3</v>
      </c>
      <c r="Q14" t="n">
        <v>2</v>
      </c>
      <c r="R14" t="n">
        <v>3</v>
      </c>
      <c r="S14" t="n">
        <v>-3</v>
      </c>
      <c r="T14" t="n">
        <v>0</v>
      </c>
      <c r="U14" t="n">
        <v>0</v>
      </c>
      <c r="V14" t="n">
        <v>3</v>
      </c>
      <c r="W14" t="n">
        <v>3</v>
      </c>
      <c r="X14" t="n">
        <v>2</v>
      </c>
      <c r="Y14" t="n">
        <v>2</v>
      </c>
      <c r="Z14" t="n">
        <v>0</v>
      </c>
      <c r="AA14" t="n">
        <v>2</v>
      </c>
      <c r="AB14" t="n">
        <v>0</v>
      </c>
      <c r="AC14" t="n">
        <v>3</v>
      </c>
      <c r="AD14" t="n">
        <v>2</v>
      </c>
      <c r="AE14" s="20">
        <f>INDEX('24_FINAL_ITEM_WEIGHTS'!$I$5:$I$84,MATCH(B14,'24_FINAL_ITEM_WEIGHTS'!$A$5:$A$84,0))</f>
        <v/>
      </c>
    </row>
    <row r="15">
      <c r="A15" s="4" t="n">
        <v>11</v>
      </c>
      <c r="B15" s="4" t="inlineStr">
        <is>
          <t>G27</t>
        </is>
      </c>
      <c r="C15" s="4" t="inlineStr">
        <is>
          <t>如果兩種生活節奏都可行，你通常更被哪一種吸引？</t>
        </is>
      </c>
      <c r="D15" s="4" t="inlineStr">
        <is>
          <t>定期換到新的環境或主題，保持探索和變化</t>
        </is>
      </c>
      <c r="E15" s="4" t="inlineStr">
        <is>
          <t>沿著同一方向走很多年，慢慢累積經驗和投入</t>
        </is>
      </c>
      <c r="F15" s="4" t="n">
        <v>1</v>
      </c>
      <c r="G15" s="4" t="inlineStr">
        <is>
          <t>x=raw×key</t>
        </is>
      </c>
      <c r="H15" t="n">
        <v>0</v>
      </c>
      <c r="I15" t="n">
        <v>-1</v>
      </c>
      <c r="J15" t="n">
        <v>3</v>
      </c>
      <c r="K15" t="n">
        <v>-3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3</v>
      </c>
      <c r="R15" t="n">
        <v>1</v>
      </c>
      <c r="S15" t="n">
        <v>-3</v>
      </c>
      <c r="T15" t="n">
        <v>2</v>
      </c>
      <c r="U15" t="n">
        <v>-2</v>
      </c>
      <c r="V15" t="n">
        <v>-1</v>
      </c>
      <c r="W15" t="n">
        <v>3</v>
      </c>
      <c r="X15" t="n">
        <v>2</v>
      </c>
      <c r="Y15" t="n">
        <v>-1</v>
      </c>
      <c r="Z15" t="n">
        <v>1</v>
      </c>
      <c r="AA15" t="n">
        <v>3</v>
      </c>
      <c r="AB15" t="n">
        <v>1</v>
      </c>
      <c r="AC15" t="n">
        <v>1</v>
      </c>
      <c r="AD15" t="n">
        <v>3</v>
      </c>
      <c r="AE15" s="20">
        <f>INDEX('24_FINAL_ITEM_WEIGHTS'!$I$5:$I$84,MATCH(B15,'24_FINAL_ITEM_WEIGHTS'!$A$5:$A$84,0))</f>
        <v/>
      </c>
    </row>
    <row r="16">
      <c r="A16" s="4" t="n">
        <v>12</v>
      </c>
      <c r="B16" s="4" t="inlineStr">
        <is>
          <t>L36</t>
        </is>
      </c>
      <c r="C16" s="4" t="inlineStr">
        <is>
          <t>當你長期生活在一個正在改變的地方或群體裡，你比較自然會扮演哪種角色？</t>
        </is>
      </c>
      <c r="D16" s="4" t="inlineStr">
        <is>
          <t>投入當地日常，親自參與維護和照料，讓共同生活一直延續下去</t>
        </is>
      </c>
      <c r="E16" s="4" t="inlineStr">
        <is>
          <t>保持一致的方向和節奏，成為大家可以依靠的穩定一方</t>
        </is>
      </c>
      <c r="F16" s="4" t="n">
        <v>1</v>
      </c>
      <c r="G16" s="4" t="inlineStr">
        <is>
          <t>x=raw×key</t>
        </is>
      </c>
      <c r="H16" t="n">
        <v>2</v>
      </c>
      <c r="I16" t="n">
        <v>1</v>
      </c>
      <c r="J16" t="n">
        <v>0</v>
      </c>
      <c r="K16" t="n">
        <v>2</v>
      </c>
      <c r="L16" t="n">
        <v>1</v>
      </c>
      <c r="M16" t="n">
        <v>3</v>
      </c>
      <c r="N16" t="n">
        <v>3</v>
      </c>
      <c r="O16" t="n">
        <v>2</v>
      </c>
      <c r="P16" t="n">
        <v>2</v>
      </c>
      <c r="Q16" t="n">
        <v>2</v>
      </c>
      <c r="R16" t="n">
        <v>1</v>
      </c>
      <c r="S16" t="n">
        <v>2</v>
      </c>
      <c r="T16" t="n">
        <v>2</v>
      </c>
      <c r="U16" t="n">
        <v>3</v>
      </c>
      <c r="V16" t="n">
        <v>2</v>
      </c>
      <c r="W16" t="n">
        <v>1</v>
      </c>
      <c r="X16" t="n">
        <v>1</v>
      </c>
      <c r="Y16" t="n">
        <v>2</v>
      </c>
      <c r="Z16" t="n">
        <v>3</v>
      </c>
      <c r="AA16" t="n">
        <v>1</v>
      </c>
      <c r="AB16" t="n">
        <v>3</v>
      </c>
      <c r="AC16" t="n">
        <v>2</v>
      </c>
      <c r="AD16" t="n">
        <v>-2</v>
      </c>
      <c r="AE16" s="20">
        <f>INDEX('24_FINAL_ITEM_WEIGHTS'!$I$5:$I$84,MATCH(B16,'24_FINAL_ITEM_WEIGHTS'!$A$5:$A$84,0))</f>
        <v/>
      </c>
    </row>
    <row r="17">
      <c r="A17" s="4" t="n">
        <v>13</v>
      </c>
      <c r="B17" s="4" t="inlineStr">
        <is>
          <t>A04</t>
        </is>
      </c>
      <c r="C17" s="4" t="inlineStr">
        <is>
          <t>當一個團隊要在很多變動中繼續做事時，你比較傾向……</t>
        </is>
      </c>
      <c r="D17" s="4" t="inlineStr">
        <is>
          <t>按每次最新的情況調整做法，哪個方式合適就先用哪個</t>
        </is>
      </c>
      <c r="E17" s="4" t="inlineStr">
        <is>
          <t>維持原本清楚的分工和行動節奏，讓變動中仍有秩序</t>
        </is>
      </c>
      <c r="F17" s="4" t="n">
        <v>1</v>
      </c>
      <c r="G17" s="4" t="inlineStr">
        <is>
          <t>x=raw×key</t>
        </is>
      </c>
      <c r="H17" t="n">
        <v>-2</v>
      </c>
      <c r="I17" t="n">
        <v>-1</v>
      </c>
      <c r="J17" t="n">
        <v>2</v>
      </c>
      <c r="K17" t="n">
        <v>-3</v>
      </c>
      <c r="L17" t="n">
        <v>-1</v>
      </c>
      <c r="M17" t="n">
        <v>0</v>
      </c>
      <c r="N17" t="n">
        <v>-2</v>
      </c>
      <c r="O17" t="n">
        <v>-1</v>
      </c>
      <c r="P17" t="n">
        <v>-1</v>
      </c>
      <c r="Q17" t="n">
        <v>3</v>
      </c>
      <c r="R17" t="n">
        <v>0</v>
      </c>
      <c r="S17" t="n">
        <v>-2</v>
      </c>
      <c r="T17" t="n">
        <v>1</v>
      </c>
      <c r="U17" t="n">
        <v>0</v>
      </c>
      <c r="V17" t="n">
        <v>-3</v>
      </c>
      <c r="W17" t="n">
        <v>3</v>
      </c>
      <c r="X17" t="n">
        <v>3</v>
      </c>
      <c r="Y17" t="n">
        <v>-3</v>
      </c>
      <c r="Z17" t="n">
        <v>2</v>
      </c>
      <c r="AA17" t="n">
        <v>3</v>
      </c>
      <c r="AB17" t="n">
        <v>0</v>
      </c>
      <c r="AC17" t="n">
        <v>2</v>
      </c>
      <c r="AD17" t="n">
        <v>1</v>
      </c>
      <c r="AE17" s="20">
        <f>INDEX('24_FINAL_ITEM_WEIGHTS'!$I$5:$I$84,MATCH(B17,'24_FINAL_ITEM_WEIGHTS'!$A$5:$A$84,0))</f>
        <v/>
      </c>
    </row>
    <row r="18">
      <c r="A18" s="4" t="n">
        <v>14</v>
      </c>
      <c r="B18" s="4" t="inlineStr">
        <is>
          <t>L32</t>
        </is>
      </c>
      <c r="C18" s="4" t="inlineStr">
        <is>
          <t>一套原本運作穩定的流程開始出現小問題時，你比較傾向……</t>
        </is>
      </c>
      <c r="D18" s="4" t="inlineStr">
        <is>
          <t>先守住原本的標準和節奏，看是哪裡開始走樣</t>
        </is>
      </c>
      <c r="E18" s="4" t="inlineStr">
        <is>
          <t>直接找出哪個步驟或工具出了問題，再動手調整</t>
        </is>
      </c>
      <c r="F18" s="4" t="n">
        <v>-1</v>
      </c>
      <c r="G18" s="4" t="inlineStr">
        <is>
          <t>x=raw×key</t>
        </is>
      </c>
      <c r="H18" t="n">
        <v>0</v>
      </c>
      <c r="I18" t="n">
        <v>-2</v>
      </c>
      <c r="J18" t="n">
        <v>1</v>
      </c>
      <c r="K18" t="n">
        <v>-1</v>
      </c>
      <c r="L18" t="n">
        <v>-1</v>
      </c>
      <c r="M18" t="n">
        <v>1</v>
      </c>
      <c r="N18" t="n">
        <v>1</v>
      </c>
      <c r="O18" t="n">
        <v>1</v>
      </c>
      <c r="P18" t="n">
        <v>0</v>
      </c>
      <c r="Q18" t="n">
        <v>3</v>
      </c>
      <c r="R18" t="n">
        <v>-3</v>
      </c>
      <c r="S18" t="n">
        <v>-2</v>
      </c>
      <c r="T18" t="n">
        <v>2</v>
      </c>
      <c r="U18" t="n">
        <v>-1</v>
      </c>
      <c r="V18" t="n">
        <v>0</v>
      </c>
      <c r="W18" t="n">
        <v>1</v>
      </c>
      <c r="X18" t="n">
        <v>0</v>
      </c>
      <c r="Y18" t="n">
        <v>-1</v>
      </c>
      <c r="Z18" t="n">
        <v>1</v>
      </c>
      <c r="AA18" t="n">
        <v>-1</v>
      </c>
      <c r="AB18" t="n">
        <v>0</v>
      </c>
      <c r="AC18" t="n">
        <v>1</v>
      </c>
      <c r="AD18" t="n">
        <v>2</v>
      </c>
      <c r="AE18" s="20">
        <f>INDEX('24_FINAL_ITEM_WEIGHTS'!$I$5:$I$84,MATCH(B18,'24_FINAL_ITEM_WEIGHTS'!$A$5:$A$84,0))</f>
        <v/>
      </c>
    </row>
    <row r="19">
      <c r="A19" s="4" t="n">
        <v>15</v>
      </c>
      <c r="B19" s="4" t="inlineStr">
        <is>
          <t>G24</t>
        </is>
      </c>
      <c r="C19" s="4" t="inlineStr">
        <is>
          <t>加入一個陌生但友善的群體時，你通常會先……</t>
        </is>
      </c>
      <c r="D19" s="4" t="inlineStr">
        <is>
          <t>很快感受到整體氣氛和大家的情緒，再跟著調整自己</t>
        </is>
      </c>
      <c r="E19" s="4" t="inlineStr">
        <is>
          <t>不會一開始就投入太多，再慢慢看自己願意開放到什麼程度</t>
        </is>
      </c>
      <c r="F19" s="4" t="n">
        <v>-1</v>
      </c>
      <c r="G19" s="4" t="inlineStr">
        <is>
          <t>x=raw×key</t>
        </is>
      </c>
      <c r="H19" t="n">
        <v>2</v>
      </c>
      <c r="I19" t="n">
        <v>-1</v>
      </c>
      <c r="J19" t="n">
        <v>-2</v>
      </c>
      <c r="K19" t="n">
        <v>0</v>
      </c>
      <c r="L19" t="n">
        <v>-1</v>
      </c>
      <c r="M19" t="n">
        <v>-1</v>
      </c>
      <c r="N19" t="n">
        <v>1</v>
      </c>
      <c r="O19" t="n">
        <v>1</v>
      </c>
      <c r="P19" t="n">
        <v>1</v>
      </c>
      <c r="Q19" t="n">
        <v>0</v>
      </c>
      <c r="R19" t="n">
        <v>-1</v>
      </c>
      <c r="S19" t="n">
        <v>-1</v>
      </c>
      <c r="T19" t="n">
        <v>-3</v>
      </c>
      <c r="U19" t="n">
        <v>-1</v>
      </c>
      <c r="V19" t="n">
        <v>-2</v>
      </c>
      <c r="W19" t="n">
        <v>-2</v>
      </c>
      <c r="X19" t="n">
        <v>-2</v>
      </c>
      <c r="Y19" t="n">
        <v>-3</v>
      </c>
      <c r="Z19" t="n">
        <v>-2</v>
      </c>
      <c r="AA19" t="n">
        <v>-2</v>
      </c>
      <c r="AB19" t="n">
        <v>1</v>
      </c>
      <c r="AC19" t="n">
        <v>-3</v>
      </c>
      <c r="AD19" t="n">
        <v>-1</v>
      </c>
      <c r="AE19" s="20">
        <f>INDEX('24_FINAL_ITEM_WEIGHTS'!$I$5:$I$84,MATCH(B19,'24_FINAL_ITEM_WEIGHTS'!$A$5:$A$84,0))</f>
        <v/>
      </c>
    </row>
    <row r="20">
      <c r="A20" s="4" t="n">
        <v>16</v>
      </c>
      <c r="B20" s="4" t="inlineStr">
        <is>
          <t>L37</t>
        </is>
      </c>
      <c r="C20" s="4" t="inlineStr">
        <is>
          <t>面對很多來自不同領域的新資訊，你更想把它們用來……</t>
        </is>
      </c>
      <c r="D20" s="4" t="inlineStr">
        <is>
          <t>整理出整體脈絡，再用別人容易明白的方式說清楚</t>
        </is>
      </c>
      <c r="E20" s="4" t="inlineStr">
        <is>
          <t>自由組合不同概念，發展自己的新點子或作品</t>
        </is>
      </c>
      <c r="F20" s="4" t="n">
        <v>1</v>
      </c>
      <c r="G20" s="4" t="inlineStr">
        <is>
          <t>x=raw×key</t>
        </is>
      </c>
      <c r="H20" t="n">
        <v>1</v>
      </c>
      <c r="I20" t="n">
        <v>3</v>
      </c>
      <c r="J20" t="n">
        <v>2</v>
      </c>
      <c r="K20" t="n">
        <v>2</v>
      </c>
      <c r="L20" t="n">
        <v>3</v>
      </c>
      <c r="M20" t="n">
        <v>-2</v>
      </c>
      <c r="N20" t="n">
        <v>1</v>
      </c>
      <c r="O20" t="n">
        <v>3</v>
      </c>
      <c r="P20" t="n">
        <v>3</v>
      </c>
      <c r="Q20" t="n">
        <v>2</v>
      </c>
      <c r="R20" t="n">
        <v>2</v>
      </c>
      <c r="S20" t="n">
        <v>2</v>
      </c>
      <c r="T20" t="n">
        <v>3</v>
      </c>
      <c r="U20" t="n">
        <v>-2</v>
      </c>
      <c r="V20" t="n">
        <v>3</v>
      </c>
      <c r="W20" t="n">
        <v>2</v>
      </c>
      <c r="X20" t="n">
        <v>3</v>
      </c>
      <c r="Y20" t="n">
        <v>3</v>
      </c>
      <c r="Z20" t="n">
        <v>0</v>
      </c>
      <c r="AA20" t="n">
        <v>2</v>
      </c>
      <c r="AB20" t="n">
        <v>0</v>
      </c>
      <c r="AC20" t="n">
        <v>1</v>
      </c>
      <c r="AD20" t="n">
        <v>3</v>
      </c>
      <c r="AE20" s="20">
        <f>INDEX('24_FINAL_ITEM_WEIGHTS'!$I$5:$I$84,MATCH(B20,'24_FINAL_ITEM_WEIGHTS'!$A$5:$A$84,0))</f>
        <v/>
      </c>
    </row>
    <row r="21">
      <c r="A21" s="4" t="n">
        <v>17</v>
      </c>
      <c r="B21" s="4" t="inlineStr">
        <is>
          <t>G28</t>
        </is>
      </c>
      <c r="C21" s="4" t="inlineStr">
        <is>
          <t>當你同時有一個自己想走的方向，也有一件你願意負責保護或照顧的事時，你比較傾向……</t>
        </is>
      </c>
      <c r="D21" s="4" t="inlineStr">
        <is>
          <t>保留自己決定方向的空間，重新決定自己要負責到哪裡</t>
        </is>
      </c>
      <c r="E21" s="4" t="inlineStr">
        <is>
          <t>先把保護和照顧的責任放在前面，再調整自己的安排</t>
        </is>
      </c>
      <c r="F21" s="4" t="n">
        <v>-1</v>
      </c>
      <c r="G21" s="4" t="inlineStr">
        <is>
          <t>x=raw×key</t>
        </is>
      </c>
      <c r="H21" t="n">
        <v>0</v>
      </c>
      <c r="I21" t="n">
        <v>1</v>
      </c>
      <c r="J21" t="n">
        <v>-3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-1</v>
      </c>
      <c r="R21" t="n">
        <v>-2</v>
      </c>
      <c r="S21" t="n">
        <v>2</v>
      </c>
      <c r="T21" t="n">
        <v>0</v>
      </c>
      <c r="U21" t="n">
        <v>1</v>
      </c>
      <c r="V21" t="n">
        <v>-1</v>
      </c>
      <c r="W21" t="n">
        <v>-1</v>
      </c>
      <c r="X21" t="n">
        <v>-3</v>
      </c>
      <c r="Y21" t="n">
        <v>-1</v>
      </c>
      <c r="Z21" t="n">
        <v>0</v>
      </c>
      <c r="AA21" t="n">
        <v>-2</v>
      </c>
      <c r="AB21" t="n">
        <v>0</v>
      </c>
      <c r="AC21" t="n">
        <v>-2</v>
      </c>
      <c r="AD21" t="n">
        <v>-2</v>
      </c>
      <c r="AE21" s="20">
        <f>INDEX('24_FINAL_ITEM_WEIGHTS'!$I$5:$I$84,MATCH(B21,'24_FINAL_ITEM_WEIGHTS'!$A$5:$A$84,0))</f>
        <v/>
      </c>
    </row>
    <row r="22">
      <c r="A22" s="4" t="n">
        <v>18</v>
      </c>
      <c r="B22" s="4" t="inlineStr">
        <is>
          <t>L14</t>
        </is>
      </c>
      <c r="C22" s="4" t="inlineStr">
        <is>
          <t>當很多人要把一個想法真正做出來時，你比較想負責哪一部分？</t>
        </is>
      </c>
      <c r="D22" s="4" t="inlineStr">
        <is>
          <t>把誰負責什麼、誰最後做決定安排清楚</t>
        </is>
      </c>
      <c r="E22" s="4" t="inlineStr">
        <is>
          <t>把流程、工具和步驟整理清楚，讓大家容易照著做</t>
        </is>
      </c>
      <c r="F22" s="4" t="n">
        <v>1</v>
      </c>
      <c r="G22" s="4" t="inlineStr">
        <is>
          <t>x=raw×key</t>
        </is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2</v>
      </c>
      <c r="O22" t="n">
        <v>1</v>
      </c>
      <c r="P22" t="n">
        <v>1</v>
      </c>
      <c r="Q22" t="n">
        <v>3</v>
      </c>
      <c r="R22" t="n">
        <v>3</v>
      </c>
      <c r="S22" t="n">
        <v>0</v>
      </c>
      <c r="T22" t="n">
        <v>1</v>
      </c>
      <c r="U22" t="n">
        <v>2</v>
      </c>
      <c r="V22" t="n">
        <v>-2</v>
      </c>
      <c r="W22" t="n">
        <v>3</v>
      </c>
      <c r="X22" t="n">
        <v>-3</v>
      </c>
      <c r="Y22" t="n">
        <v>-1</v>
      </c>
      <c r="Z22" t="n">
        <v>3</v>
      </c>
      <c r="AA22" t="n">
        <v>0</v>
      </c>
      <c r="AB22" t="n">
        <v>2</v>
      </c>
      <c r="AC22" t="n">
        <v>1</v>
      </c>
      <c r="AD22" t="n">
        <v>2</v>
      </c>
      <c r="AE22" s="20">
        <f>INDEX('24_FINAL_ITEM_WEIGHTS'!$I$5:$I$84,MATCH(B22,'24_FINAL_ITEM_WEIGHTS'!$A$5:$A$84,0))</f>
        <v/>
      </c>
    </row>
    <row r="23">
      <c r="A23" s="4" t="n">
        <v>19</v>
      </c>
      <c r="B23" s="4" t="inlineStr">
        <is>
          <t>G06</t>
        </is>
      </c>
      <c r="C23" s="4" t="inlineStr">
        <is>
          <t>遇到一個值得投入、但還不知道會怎麼發展的新方向時，你比較像……</t>
        </is>
      </c>
      <c r="D23" s="4" t="inlineStr">
        <is>
          <t>選擇穩定投入，慢慢累積和加深</t>
        </is>
      </c>
      <c r="E23" s="4" t="inlineStr">
        <is>
          <t>趁還有空間時先開始，讓行動告訴自己下一步怎麼走</t>
        </is>
      </c>
      <c r="F23" s="4" t="n">
        <v>-1</v>
      </c>
      <c r="G23" s="4" t="inlineStr">
        <is>
          <t>x=raw×key</t>
        </is>
      </c>
      <c r="H23" t="n">
        <v>1</v>
      </c>
      <c r="I23" t="n">
        <v>-1</v>
      </c>
      <c r="J23" t="n">
        <v>2</v>
      </c>
      <c r="K23" t="n">
        <v>-2</v>
      </c>
      <c r="L23" t="n">
        <v>-2</v>
      </c>
      <c r="M23" t="n">
        <v>1</v>
      </c>
      <c r="N23" t="n">
        <v>1</v>
      </c>
      <c r="O23" t="n">
        <v>0</v>
      </c>
      <c r="P23" t="n">
        <v>1</v>
      </c>
      <c r="Q23" t="n">
        <v>3</v>
      </c>
      <c r="R23" t="n">
        <v>2</v>
      </c>
      <c r="S23" t="n">
        <v>-2</v>
      </c>
      <c r="T23" t="n">
        <v>2</v>
      </c>
      <c r="U23" t="n">
        <v>1</v>
      </c>
      <c r="V23" t="n">
        <v>-3</v>
      </c>
      <c r="W23" t="n">
        <v>3</v>
      </c>
      <c r="X23" t="n">
        <v>0</v>
      </c>
      <c r="Y23" t="n">
        <v>-2</v>
      </c>
      <c r="Z23" t="n">
        <v>3</v>
      </c>
      <c r="AA23" t="n">
        <v>2</v>
      </c>
      <c r="AB23" t="n">
        <v>1</v>
      </c>
      <c r="AC23" t="n">
        <v>2</v>
      </c>
      <c r="AD23" t="n">
        <v>1</v>
      </c>
      <c r="AE23" s="20">
        <f>INDEX('24_FINAL_ITEM_WEIGHTS'!$I$5:$I$84,MATCH(B23,'24_FINAL_ITEM_WEIGHTS'!$A$5:$A$84,0))</f>
        <v/>
      </c>
    </row>
    <row r="24">
      <c r="A24" s="4" t="n">
        <v>20</v>
      </c>
      <c r="B24" s="4" t="inlineStr">
        <is>
          <t>A10</t>
        </is>
      </c>
      <c r="C24" s="4" t="inlineStr">
        <is>
          <t>談到「真正的家」這種歸屬感時，你更接近哪一種？</t>
        </is>
      </c>
      <c r="D24" s="4" t="inlineStr">
        <is>
          <t>把現在這個世界和自己正在過的人類生活視為主要的家</t>
        </is>
      </c>
      <c r="E24" s="4" t="inlineStr">
        <is>
          <t>常覺得真正的家更像在某個說不清楚的「別處」</t>
        </is>
      </c>
      <c r="F24" s="4" t="n">
        <v>-1</v>
      </c>
      <c r="G24" s="4" t="inlineStr">
        <is>
          <t>x=raw×key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</v>
      </c>
      <c r="AE24" s="20">
        <f>INDEX('24_FINAL_ITEM_WEIGHTS'!$I$5:$I$84,MATCH(B24,'24_FINAL_ITEM_WEIGHTS'!$A$5:$A$84,0))</f>
        <v/>
      </c>
    </row>
    <row r="25">
      <c r="A25" s="4" t="n">
        <v>21</v>
      </c>
      <c r="B25" s="4" t="inlineStr">
        <is>
          <t>G15</t>
        </is>
      </c>
      <c r="C25" s="4" t="inlineStr">
        <is>
          <t>原本平穩的場合突然出現不同意見和節奏變化時，你比較常……</t>
        </is>
      </c>
      <c r="D25" s="4" t="inlineStr">
        <is>
          <t>先維持自己的節奏和清晰度，讓自己成為比較穩定的一方</t>
        </is>
      </c>
      <c r="E25" s="4" t="inlineStr">
        <is>
          <t>很快跟著新的情況調整自己，直接回應正在發生的變化</t>
        </is>
      </c>
      <c r="F25" s="4" t="n">
        <v>-1</v>
      </c>
      <c r="G25" s="4" t="inlineStr">
        <is>
          <t>x=raw×key</t>
        </is>
      </c>
      <c r="H25" t="n">
        <v>-2</v>
      </c>
      <c r="I25" t="n">
        <v>0</v>
      </c>
      <c r="J25" t="n">
        <v>2</v>
      </c>
      <c r="K25" t="n">
        <v>0</v>
      </c>
      <c r="L25" t="n">
        <v>0</v>
      </c>
      <c r="M25" t="n">
        <v>2</v>
      </c>
      <c r="N25" t="n">
        <v>-2</v>
      </c>
      <c r="O25" t="n">
        <v>0</v>
      </c>
      <c r="P25" t="n">
        <v>-2</v>
      </c>
      <c r="Q25" t="n">
        <v>3</v>
      </c>
      <c r="R25" t="n">
        <v>0</v>
      </c>
      <c r="S25" t="n">
        <v>0</v>
      </c>
      <c r="T25" t="n">
        <v>2</v>
      </c>
      <c r="U25" t="n">
        <v>2</v>
      </c>
      <c r="V25" t="n">
        <v>-2</v>
      </c>
      <c r="W25" t="n">
        <v>3</v>
      </c>
      <c r="X25" t="n">
        <v>2</v>
      </c>
      <c r="Y25" t="n">
        <v>-2</v>
      </c>
      <c r="Z25" t="n">
        <v>3</v>
      </c>
      <c r="AA25" t="n">
        <v>2</v>
      </c>
      <c r="AB25" t="n">
        <v>2</v>
      </c>
      <c r="AC25" t="n">
        <v>3</v>
      </c>
      <c r="AD25" t="n">
        <v>2</v>
      </c>
      <c r="AE25" s="20">
        <f>INDEX('24_FINAL_ITEM_WEIGHTS'!$I$5:$I$84,MATCH(B25,'24_FINAL_ITEM_WEIGHTS'!$A$5:$A$84,0))</f>
        <v/>
      </c>
    </row>
    <row r="26">
      <c r="A26" s="4" t="n">
        <v>22</v>
      </c>
      <c r="B26" s="4" t="inlineStr">
        <is>
          <t>L21</t>
        </is>
      </c>
      <c r="C26" s="4" t="inlineStr">
        <is>
          <t>當很多人一起做事，而情況一再改變時，你比較傾向靠哪種方式維持下去？</t>
        </is>
      </c>
      <c r="D26" s="4" t="inlineStr">
        <is>
          <t>按當下情況調整策略和角色，先確保事情可以繼續進行</t>
        </is>
      </c>
      <c r="E26" s="4" t="inlineStr">
        <is>
          <t>把誰負責什麼、誰做最後決定說清楚，讓大家按同一套方式做事</t>
        </is>
      </c>
      <c r="F26" s="4" t="n">
        <v>1</v>
      </c>
      <c r="G26" s="4" t="inlineStr">
        <is>
          <t>x=raw×key</t>
        </is>
      </c>
      <c r="H26" t="n">
        <v>-2</v>
      </c>
      <c r="I26" t="n">
        <v>-2</v>
      </c>
      <c r="J26" t="n">
        <v>2</v>
      </c>
      <c r="K26" t="n">
        <v>-3</v>
      </c>
      <c r="L26" t="n">
        <v>-2</v>
      </c>
      <c r="M26" t="n">
        <v>0</v>
      </c>
      <c r="N26" t="n">
        <v>-2</v>
      </c>
      <c r="O26" t="n">
        <v>-1</v>
      </c>
      <c r="P26" t="n">
        <v>-1</v>
      </c>
      <c r="Q26" t="n">
        <v>3</v>
      </c>
      <c r="R26" t="n">
        <v>1</v>
      </c>
      <c r="S26" t="n">
        <v>-3</v>
      </c>
      <c r="T26" t="n">
        <v>-1</v>
      </c>
      <c r="U26" t="n">
        <v>-1</v>
      </c>
      <c r="V26" t="n">
        <v>-3</v>
      </c>
      <c r="W26" t="n">
        <v>2</v>
      </c>
      <c r="X26" t="n">
        <v>3</v>
      </c>
      <c r="Y26" t="n">
        <v>-3</v>
      </c>
      <c r="Z26" t="n">
        <v>2</v>
      </c>
      <c r="AA26" t="n">
        <v>3</v>
      </c>
      <c r="AB26" t="n">
        <v>0</v>
      </c>
      <c r="AC26" t="n">
        <v>2</v>
      </c>
      <c r="AD26" t="n">
        <v>2</v>
      </c>
      <c r="AE26" s="20">
        <f>INDEX('24_FINAL_ITEM_WEIGHTS'!$I$5:$I$84,MATCH(B26,'24_FINAL_ITEM_WEIGHTS'!$A$5:$A$84,0))</f>
        <v/>
      </c>
    </row>
    <row r="27">
      <c r="A27" s="4" t="n">
        <v>23</v>
      </c>
      <c r="B27" s="4" t="inlineStr">
        <is>
          <t>G09</t>
        </is>
      </c>
      <c r="C27" s="4" t="inlineStr">
        <is>
          <t>加入一個已有清楚規則和分工的合作時，你比較自然會……</t>
        </is>
      </c>
      <c r="D27" s="4" t="inlineStr">
        <is>
          <t>接受大家共同定下的規則和角色，在範圍內做好自己的部分</t>
        </is>
      </c>
      <c r="E27" s="4" t="inlineStr">
        <is>
          <t>保留重新談條件和自己決定做法的空間</t>
        </is>
      </c>
      <c r="F27" s="4" t="n">
        <v>1</v>
      </c>
      <c r="G27" s="4" t="inlineStr">
        <is>
          <t>x=raw×key</t>
        </is>
      </c>
      <c r="H27" t="n">
        <v>0</v>
      </c>
      <c r="I27" t="n">
        <v>2</v>
      </c>
      <c r="J27" t="n">
        <v>-2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-2</v>
      </c>
      <c r="R27" t="n">
        <v>-2</v>
      </c>
      <c r="S27" t="n">
        <v>3</v>
      </c>
      <c r="T27" t="n">
        <v>3</v>
      </c>
      <c r="U27" t="n">
        <v>2</v>
      </c>
      <c r="V27" t="n">
        <v>2</v>
      </c>
      <c r="W27" t="n">
        <v>0</v>
      </c>
      <c r="X27" t="n">
        <v>-2</v>
      </c>
      <c r="Y27" t="n">
        <v>2</v>
      </c>
      <c r="Z27" t="n">
        <v>0</v>
      </c>
      <c r="AA27" t="n">
        <v>-2</v>
      </c>
      <c r="AB27" t="n">
        <v>0</v>
      </c>
      <c r="AC27" t="n">
        <v>0</v>
      </c>
      <c r="AD27" t="n">
        <v>-2</v>
      </c>
      <c r="AE27" s="20">
        <f>INDEX('24_FINAL_ITEM_WEIGHTS'!$I$5:$I$84,MATCH(B27,'24_FINAL_ITEM_WEIGHTS'!$A$5:$A$84,0))</f>
        <v/>
      </c>
    </row>
    <row r="28">
      <c r="A28" s="4" t="n">
        <v>24</v>
      </c>
      <c r="B28" s="4" t="inlineStr">
        <is>
          <t>L28</t>
        </is>
      </c>
      <c r="C28" s="4" t="inlineStr">
        <is>
          <t>當幾個人對下一步各有想法、但還沒有明顯衝突時，你比較自然會……</t>
        </is>
      </c>
      <c r="D28" s="4" t="inlineStr">
        <is>
          <t>整理大家真正需要什麼，幫大家找出都能接受的做法</t>
        </is>
      </c>
      <c r="E28" s="4" t="inlineStr">
        <is>
          <t>維持一套穩定方向和原則，讓大家有共同依據</t>
        </is>
      </c>
      <c r="F28" s="4" t="n">
        <v>1</v>
      </c>
      <c r="G28" s="4" t="inlineStr">
        <is>
          <t>x=raw×key</t>
        </is>
      </c>
      <c r="H28" t="n">
        <v>0</v>
      </c>
      <c r="I28" t="n">
        <v>-2</v>
      </c>
      <c r="J28" t="n">
        <v>2</v>
      </c>
      <c r="K28" t="n">
        <v>-3</v>
      </c>
      <c r="L28" t="n">
        <v>2</v>
      </c>
      <c r="M28" t="n">
        <v>-2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-3</v>
      </c>
      <c r="T28" t="n">
        <v>3</v>
      </c>
      <c r="U28" t="n">
        <v>-3</v>
      </c>
      <c r="V28" t="n">
        <v>1</v>
      </c>
      <c r="W28" t="n">
        <v>3</v>
      </c>
      <c r="X28" t="n">
        <v>3</v>
      </c>
      <c r="Y28" t="n">
        <v>1</v>
      </c>
      <c r="Z28" t="n">
        <v>1</v>
      </c>
      <c r="AA28" t="n">
        <v>3</v>
      </c>
      <c r="AB28" t="n">
        <v>-3</v>
      </c>
      <c r="AC28" t="n">
        <v>0</v>
      </c>
      <c r="AD28" t="n">
        <v>2</v>
      </c>
      <c r="AE28" s="20">
        <f>INDEX('24_FINAL_ITEM_WEIGHTS'!$I$5:$I$84,MATCH(B28,'24_FINAL_ITEM_WEIGHTS'!$A$5:$A$84,0))</f>
        <v/>
      </c>
    </row>
    <row r="29">
      <c r="A29" s="4" t="n">
        <v>25</v>
      </c>
      <c r="B29" s="4" t="inlineStr">
        <is>
          <t>G11</t>
        </is>
      </c>
      <c r="C29" s="4" t="inlineStr">
        <is>
          <t>一個新機會看起來有潛力，但還有不少未知時，你通常會……</t>
        </is>
      </c>
      <c r="D29" s="4" t="inlineStr">
        <is>
          <t>先開始做，再一邊行動一邊補足資訊</t>
        </is>
      </c>
      <c r="E29" s="4" t="inlineStr">
        <is>
          <t>先繼續觀察，等了解得更清楚再開始</t>
        </is>
      </c>
      <c r="F29" s="4" t="n">
        <v>-1</v>
      </c>
      <c r="G29" s="4" t="inlineStr">
        <is>
          <t>x=raw×key</t>
        </is>
      </c>
      <c r="H29" t="n">
        <v>-2</v>
      </c>
      <c r="I29" t="n">
        <v>2</v>
      </c>
      <c r="J29" t="n">
        <v>0</v>
      </c>
      <c r="K29" t="n">
        <v>2</v>
      </c>
      <c r="L29" t="n">
        <v>3</v>
      </c>
      <c r="M29" t="n">
        <v>-2</v>
      </c>
      <c r="N29" t="n">
        <v>-2</v>
      </c>
      <c r="O29" t="n">
        <v>0</v>
      </c>
      <c r="P29" t="n">
        <v>0</v>
      </c>
      <c r="Q29" t="n">
        <v>-2</v>
      </c>
      <c r="R29" t="n">
        <v>-2</v>
      </c>
      <c r="S29" t="n">
        <v>2</v>
      </c>
      <c r="T29" t="n">
        <v>-2</v>
      </c>
      <c r="U29" t="n">
        <v>-2</v>
      </c>
      <c r="V29" t="n">
        <v>3</v>
      </c>
      <c r="W29" t="n">
        <v>-2</v>
      </c>
      <c r="X29" t="n">
        <v>2</v>
      </c>
      <c r="Y29" t="n">
        <v>2</v>
      </c>
      <c r="Z29" t="n">
        <v>-3</v>
      </c>
      <c r="AA29" t="n">
        <v>0</v>
      </c>
      <c r="AB29" t="n">
        <v>0</v>
      </c>
      <c r="AC29" t="n">
        <v>-2</v>
      </c>
      <c r="AD29" t="n">
        <v>0</v>
      </c>
      <c r="AE29" s="20">
        <f>INDEX('24_FINAL_ITEM_WEIGHTS'!$I$5:$I$84,MATCH(B29,'24_FINAL_ITEM_WEIGHTS'!$A$5:$A$84,0))</f>
        <v/>
      </c>
    </row>
    <row r="30">
      <c r="A30" s="4" t="n">
        <v>26</v>
      </c>
      <c r="B30" s="4" t="inlineStr">
        <is>
          <t>L33</t>
        </is>
      </c>
      <c r="C30" s="4" t="inlineStr">
        <is>
          <t>當原本的做法限制了你想完成的事情時，你比較自然會……</t>
        </is>
      </c>
      <c r="D30" s="4" t="inlineStr">
        <is>
          <t>先看清整體情況，再把新的理解說給相關的人聽</t>
        </is>
      </c>
      <c r="E30" s="4" t="inlineStr">
        <is>
          <t>重談或改掉那些限制，必要時換一個更自由的做法</t>
        </is>
      </c>
      <c r="F30" s="4" t="n">
        <v>1</v>
      </c>
      <c r="G30" s="4" t="inlineStr">
        <is>
          <t>x=raw×key</t>
        </is>
      </c>
      <c r="H30" t="n">
        <v>-2</v>
      </c>
      <c r="I30" t="n">
        <v>2</v>
      </c>
      <c r="J30" t="n">
        <v>-3</v>
      </c>
      <c r="K30" t="n">
        <v>2</v>
      </c>
      <c r="L30" t="n">
        <v>3</v>
      </c>
      <c r="M30" t="n">
        <v>-3</v>
      </c>
      <c r="N30" t="n">
        <v>-2</v>
      </c>
      <c r="O30" t="n">
        <v>0</v>
      </c>
      <c r="P30" t="n">
        <v>0</v>
      </c>
      <c r="Q30" t="n">
        <v>-2</v>
      </c>
      <c r="R30" t="n">
        <v>-2</v>
      </c>
      <c r="S30" t="n">
        <v>2</v>
      </c>
      <c r="T30" t="n">
        <v>3</v>
      </c>
      <c r="U30" t="n">
        <v>-2</v>
      </c>
      <c r="V30" t="n">
        <v>2</v>
      </c>
      <c r="W30" t="n">
        <v>0</v>
      </c>
      <c r="X30" t="n">
        <v>-2</v>
      </c>
      <c r="Y30" t="n">
        <v>2</v>
      </c>
      <c r="Z30" t="n">
        <v>0</v>
      </c>
      <c r="AA30" t="n">
        <v>-2</v>
      </c>
      <c r="AB30" t="n">
        <v>-2</v>
      </c>
      <c r="AC30" t="n">
        <v>0</v>
      </c>
      <c r="AD30" t="n">
        <v>-2</v>
      </c>
      <c r="AE30" s="20">
        <f>INDEX('24_FINAL_ITEM_WEIGHTS'!$I$5:$I$84,MATCH(B30,'24_FINAL_ITEM_WEIGHTS'!$A$5:$A$84,0))</f>
        <v/>
      </c>
    </row>
    <row r="31">
      <c r="A31" s="4" t="n">
        <v>27</v>
      </c>
      <c r="B31" s="4" t="inlineStr">
        <is>
          <t>A01</t>
        </is>
      </c>
      <c r="C31" s="4" t="inlineStr">
        <is>
          <t>當熟悉的生活環境已經改變，你需要重新找回「像家」的感覺時，哪個方向更吸引你？</t>
        </is>
      </c>
      <c r="D31" s="4" t="inlineStr">
        <is>
          <t>重新找回熟悉的簡單、清楚、安全又安定的感覺</t>
        </is>
      </c>
      <c r="E31" s="4" t="inlineStr">
        <is>
          <t>建立一種不需要照著以前樣子的全新生活方式</t>
        </is>
      </c>
      <c r="F31" s="4" t="n">
        <v>-1</v>
      </c>
      <c r="G31" s="4" t="inlineStr">
        <is>
          <t>x=raw×key</t>
        </is>
      </c>
      <c r="H31" t="n">
        <v>-3</v>
      </c>
      <c r="I31" t="n">
        <v>-3</v>
      </c>
      <c r="J31" t="n">
        <v>-2</v>
      </c>
      <c r="K31" t="n">
        <v>-3</v>
      </c>
      <c r="L31" t="n">
        <v>-3</v>
      </c>
      <c r="M31" t="n">
        <v>-3</v>
      </c>
      <c r="N31" t="n">
        <v>3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s="20">
        <f>INDEX('24_FINAL_ITEM_WEIGHTS'!$I$5:$I$84,MATCH(B31,'24_FINAL_ITEM_WEIGHTS'!$A$5:$A$84,0))</f>
        <v/>
      </c>
    </row>
    <row r="32">
      <c r="A32" s="4" t="n">
        <v>28</v>
      </c>
      <c r="B32" s="4" t="inlineStr">
        <is>
          <t>L01</t>
        </is>
      </c>
      <c r="C32" s="4" t="inlineStr">
        <is>
          <t>一個小群體的氣氛開始緊繃時，你比較自然會……</t>
        </is>
      </c>
      <c r="D32" s="4" t="inlineStr">
        <is>
          <t>先調整空間、聲音、光線或節奏，讓整體氣氛舒服一點</t>
        </is>
      </c>
      <c r="E32" s="4" t="inlineStr">
        <is>
          <t>先感受大家的情緒，讓人覺得有被理解和接住</t>
        </is>
      </c>
      <c r="F32" s="4" t="n">
        <v>1</v>
      </c>
      <c r="G32" s="4" t="inlineStr">
        <is>
          <t>x=raw×key</t>
        </is>
      </c>
      <c r="H32" t="n">
        <v>3</v>
      </c>
      <c r="I32" t="n">
        <v>-2</v>
      </c>
      <c r="J32" t="n">
        <v>0</v>
      </c>
      <c r="K32" t="n">
        <v>0</v>
      </c>
      <c r="L32" t="n">
        <v>-2</v>
      </c>
      <c r="M32" t="n">
        <v>-2</v>
      </c>
      <c r="N32" t="n">
        <v>0</v>
      </c>
      <c r="O32" t="n">
        <v>-3</v>
      </c>
      <c r="P32" t="n">
        <v>0</v>
      </c>
      <c r="Q32" t="n">
        <v>0</v>
      </c>
      <c r="R32" t="n">
        <v>0</v>
      </c>
      <c r="S32" t="n">
        <v>-2</v>
      </c>
      <c r="T32" t="n">
        <v>-2</v>
      </c>
      <c r="U32" t="n">
        <v>-2</v>
      </c>
      <c r="V32" t="n">
        <v>0</v>
      </c>
      <c r="W32" t="n">
        <v>0</v>
      </c>
      <c r="X32" t="n">
        <v>0</v>
      </c>
      <c r="Y32" t="n">
        <v>0</v>
      </c>
      <c r="Z32" t="n">
        <v>-2</v>
      </c>
      <c r="AA32" t="n">
        <v>0</v>
      </c>
      <c r="AB32" t="n">
        <v>0</v>
      </c>
      <c r="AC32" t="n">
        <v>0</v>
      </c>
      <c r="AD32" t="n">
        <v>0</v>
      </c>
      <c r="AE32" s="20">
        <f>INDEX('24_FINAL_ITEM_WEIGHTS'!$I$5:$I$84,MATCH(B32,'24_FINAL_ITEM_WEIGHTS'!$A$5:$A$84,0))</f>
        <v/>
      </c>
    </row>
    <row r="33">
      <c r="A33" s="4" t="n">
        <v>29</v>
      </c>
      <c r="B33" s="4" t="inlineStr">
        <is>
          <t>G04</t>
        </is>
      </c>
      <c r="C33" s="4" t="inlineStr">
        <is>
          <t>遇到一個對你有意義、但還不能完全確定的說法時，你比較傾向……</t>
        </is>
      </c>
      <c r="D33" s="4" t="inlineStr">
        <is>
          <t>先把直覺或親身經驗當成一個暫時方向，邊使用邊修正</t>
        </is>
      </c>
      <c r="E33" s="4" t="inlineStr">
        <is>
          <t>先找理由、證據和可能推翻它的例子，再決定相信多少</t>
        </is>
      </c>
      <c r="F33" s="4" t="n">
        <v>1</v>
      </c>
      <c r="G33" s="4" t="inlineStr">
        <is>
          <t>x=raw×key</t>
        </is>
      </c>
      <c r="H33" t="n">
        <v>-2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-2</v>
      </c>
      <c r="O33" t="n">
        <v>-2</v>
      </c>
      <c r="P33" t="n">
        <v>-2</v>
      </c>
      <c r="Q33" t="n">
        <v>0</v>
      </c>
      <c r="R33" t="n">
        <v>2</v>
      </c>
      <c r="S33" t="n">
        <v>2</v>
      </c>
      <c r="T33" t="n">
        <v>0</v>
      </c>
      <c r="U33" t="n">
        <v>0</v>
      </c>
      <c r="V33" t="n">
        <v>-2</v>
      </c>
      <c r="W33" t="n">
        <v>3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0</v>
      </c>
      <c r="AE33" s="20">
        <f>INDEX('24_FINAL_ITEM_WEIGHTS'!$I$5:$I$84,MATCH(B33,'24_FINAL_ITEM_WEIGHTS'!$A$5:$A$84,0))</f>
        <v/>
      </c>
    </row>
    <row r="34">
      <c r="A34" s="4" t="n">
        <v>30</v>
      </c>
      <c r="B34" s="4" t="inlineStr">
        <is>
          <t>L34</t>
        </is>
      </c>
      <c r="C34" s="4" t="inlineStr">
        <is>
          <t>當你終於得到一段不受原本規則限制的空間時，你最想用它來……</t>
        </is>
      </c>
      <c r="D34" s="4" t="inlineStr">
        <is>
          <t>改掉限制自己的規則或做法，讓自己的選擇更自由</t>
        </is>
      </c>
      <c r="E34" s="4" t="inlineStr">
        <is>
          <t>把不同領域的想法放在一起試，發展新的可能</t>
        </is>
      </c>
      <c r="F34" s="4" t="n">
        <v>-1</v>
      </c>
      <c r="G34" s="4" t="inlineStr">
        <is>
          <t>x=raw×key</t>
        </is>
      </c>
      <c r="H34" t="n">
        <v>1</v>
      </c>
      <c r="I34" t="n">
        <v>0</v>
      </c>
      <c r="J34" t="n">
        <v>0</v>
      </c>
      <c r="K34" t="n">
        <v>2</v>
      </c>
      <c r="L34" t="n">
        <v>2</v>
      </c>
      <c r="M34" t="n">
        <v>-2</v>
      </c>
      <c r="N34" t="n">
        <v>1</v>
      </c>
      <c r="O34" t="n">
        <v>-1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-1</v>
      </c>
      <c r="X34" t="n">
        <v>2</v>
      </c>
      <c r="Y34" t="n">
        <v>1</v>
      </c>
      <c r="Z34" t="n">
        <v>0</v>
      </c>
      <c r="AA34" t="n">
        <v>2</v>
      </c>
      <c r="AB34" t="n">
        <v>-1</v>
      </c>
      <c r="AC34" t="n">
        <v>2</v>
      </c>
      <c r="AD34" t="n">
        <v>-1</v>
      </c>
      <c r="AE34" s="20">
        <f>INDEX('24_FINAL_ITEM_WEIGHTS'!$I$5:$I$84,MATCH(B34,'24_FINAL_ITEM_WEIGHTS'!$A$5:$A$84,0))</f>
        <v/>
      </c>
    </row>
    <row r="35">
      <c r="A35" s="4" t="n">
        <v>31</v>
      </c>
      <c r="B35" s="4" t="inlineStr">
        <is>
          <t>G26</t>
        </is>
      </c>
      <c r="C35" s="4" t="inlineStr">
        <is>
          <t>遇到一個反覆出現的合作問題時，你比較自然從哪裡開始處理？</t>
        </is>
      </c>
      <c r="D35" s="4" t="inlineStr">
        <is>
          <t>弄清楚誰能決定、誰帶頭、誰負責執行</t>
        </is>
      </c>
      <c r="E35" s="4" t="inlineStr">
        <is>
          <t>找出各部分怎樣互相影響，以及是哪個流程造成問題</t>
        </is>
      </c>
      <c r="F35" s="4" t="n">
        <v>1</v>
      </c>
      <c r="G35" s="4" t="inlineStr">
        <is>
          <t>x=raw×key</t>
        </is>
      </c>
      <c r="H35" t="n">
        <v>-1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-1</v>
      </c>
      <c r="O35" t="n">
        <v>-1</v>
      </c>
      <c r="P35" t="n">
        <v>-1</v>
      </c>
      <c r="Q35" t="n">
        <v>0</v>
      </c>
      <c r="R35" t="n">
        <v>2</v>
      </c>
      <c r="S35" t="n">
        <v>0</v>
      </c>
      <c r="T35" t="n">
        <v>-1</v>
      </c>
      <c r="U35" t="n">
        <v>0</v>
      </c>
      <c r="V35" t="n">
        <v>-1</v>
      </c>
      <c r="W35" t="n">
        <v>1</v>
      </c>
      <c r="X35" t="n">
        <v>-1</v>
      </c>
      <c r="Y35" t="n">
        <v>0</v>
      </c>
      <c r="Z35" t="n">
        <v>1</v>
      </c>
      <c r="AA35" t="n">
        <v>0</v>
      </c>
      <c r="AB35" t="n">
        <v>2</v>
      </c>
      <c r="AC35" t="n">
        <v>1</v>
      </c>
      <c r="AD35" t="n">
        <v>0</v>
      </c>
      <c r="AE35" s="20">
        <f>INDEX('24_FINAL_ITEM_WEIGHTS'!$I$5:$I$84,MATCH(B35,'24_FINAL_ITEM_WEIGHTS'!$A$5:$A$84,0))</f>
        <v/>
      </c>
    </row>
    <row r="36">
      <c r="A36" s="4" t="n">
        <v>32</v>
      </c>
      <c r="B36" s="4" t="inlineStr">
        <is>
          <t>L11</t>
        </is>
      </c>
      <c r="C36" s="4" t="inlineStr">
        <is>
          <t>當你遇到一個內容牽涉很多方面的新說法時，你比較自然會……</t>
        </is>
      </c>
      <c r="D36" s="4" t="inlineStr">
        <is>
          <t>追問理由、證據和矛盾的地方，看看它到底站不站得住</t>
        </is>
      </c>
      <c r="E36" s="4" t="inlineStr">
        <is>
          <t>先看整體，把各部分怎樣連起來整理清楚，再說給其他人聽</t>
        </is>
      </c>
      <c r="F36" s="4" t="n">
        <v>-1</v>
      </c>
      <c r="G36" s="4" t="inlineStr">
        <is>
          <t>x=raw×key</t>
        </is>
      </c>
      <c r="H36" t="n">
        <v>-2</v>
      </c>
      <c r="I36" t="n">
        <v>-1</v>
      </c>
      <c r="J36" t="n">
        <v>1</v>
      </c>
      <c r="K36" t="n">
        <v>-2</v>
      </c>
      <c r="L36" t="n">
        <v>1</v>
      </c>
      <c r="M36" t="n">
        <v>3</v>
      </c>
      <c r="N36" t="n">
        <v>-1</v>
      </c>
      <c r="O36" t="n">
        <v>-2</v>
      </c>
      <c r="P36" t="n">
        <v>-2</v>
      </c>
      <c r="Q36" t="n">
        <v>2</v>
      </c>
      <c r="R36" t="n">
        <v>1</v>
      </c>
      <c r="S36" t="n">
        <v>-1</v>
      </c>
      <c r="T36" t="n">
        <v>3</v>
      </c>
      <c r="U36" t="n">
        <v>-3</v>
      </c>
      <c r="V36" t="n">
        <v>2</v>
      </c>
      <c r="W36" t="n">
        <v>3</v>
      </c>
      <c r="X36" t="n">
        <v>2</v>
      </c>
      <c r="Y36" t="n">
        <v>2</v>
      </c>
      <c r="Z36" t="n">
        <v>1</v>
      </c>
      <c r="AA36" t="n">
        <v>2</v>
      </c>
      <c r="AB36" t="n">
        <v>-1</v>
      </c>
      <c r="AC36" t="n">
        <v>1</v>
      </c>
      <c r="AD36" t="n">
        <v>3</v>
      </c>
      <c r="AE36" s="20">
        <f>INDEX('24_FINAL_ITEM_WEIGHTS'!$I$5:$I$84,MATCH(B36,'24_FINAL_ITEM_WEIGHTS'!$A$5:$A$84,0))</f>
        <v/>
      </c>
    </row>
    <row r="37">
      <c r="A37" s="4" t="n">
        <v>33</v>
      </c>
      <c r="B37" s="4" t="inlineStr">
        <is>
          <t>G20</t>
        </is>
      </c>
      <c r="C37" s="4" t="inlineStr">
        <is>
          <t>如果不談家鄉或國籍，你覺得自己主要屬於哪裡？</t>
        </is>
      </c>
      <c r="D37" s="4" t="inlineStr">
        <is>
          <t>我常覺得真正屬於自己的地方不在這裡，而是在某個說不清楚的別處</t>
        </is>
      </c>
      <c r="E37" s="4" t="inlineStr">
        <is>
          <t>我的歸屬主要在現在的人類生活、關係和每天的生活中</t>
        </is>
      </c>
      <c r="F37" s="4" t="n">
        <v>1</v>
      </c>
      <c r="G37" s="4" t="inlineStr">
        <is>
          <t>x=raw×key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</v>
      </c>
      <c r="AE37" s="20">
        <f>INDEX('24_FINAL_ITEM_WEIGHTS'!$I$5:$I$84,MATCH(B37,'24_FINAL_ITEM_WEIGHTS'!$A$5:$A$84,0))</f>
        <v/>
      </c>
    </row>
    <row r="38">
      <c r="A38" s="4" t="n">
        <v>34</v>
      </c>
      <c r="B38" s="4" t="inlineStr">
        <is>
          <t>A11</t>
        </is>
      </c>
      <c r="C38" s="4" t="inlineStr">
        <is>
          <t>當你想保護一件重要、但還不用立刻處理的事時，你比較自然會……</t>
        </is>
      </c>
      <c r="D38" s="4" t="inlineStr">
        <is>
          <t>比較早接手處理，再按當下情況繼續調整</t>
        </is>
      </c>
      <c r="E38" s="4" t="inlineStr">
        <is>
          <t>先觀察和準備，等真正需要時才出手，而且只做必要的部分</t>
        </is>
      </c>
      <c r="F38" s="4" t="n">
        <v>1</v>
      </c>
      <c r="G38" s="4" t="inlineStr">
        <is>
          <t>x=raw×key</t>
        </is>
      </c>
      <c r="H38" t="n">
        <v>-2</v>
      </c>
      <c r="I38" t="n">
        <v>-2</v>
      </c>
      <c r="J38" t="n">
        <v>0</v>
      </c>
      <c r="K38" t="n">
        <v>-2</v>
      </c>
      <c r="L38" t="n">
        <v>-3</v>
      </c>
      <c r="M38" t="n">
        <v>1</v>
      </c>
      <c r="N38" t="n">
        <v>-2</v>
      </c>
      <c r="O38" t="n">
        <v>-2</v>
      </c>
      <c r="P38" t="n">
        <v>-3</v>
      </c>
      <c r="Q38" t="n">
        <v>2</v>
      </c>
      <c r="R38" t="n">
        <v>0</v>
      </c>
      <c r="S38" t="n">
        <v>-2</v>
      </c>
      <c r="T38" t="n">
        <v>2</v>
      </c>
      <c r="U38" t="n">
        <v>1</v>
      </c>
      <c r="V38" t="n">
        <v>-3</v>
      </c>
      <c r="W38" t="n">
        <v>3</v>
      </c>
      <c r="X38" t="n">
        <v>-2</v>
      </c>
      <c r="Y38" t="n">
        <v>-3</v>
      </c>
      <c r="Z38" t="n">
        <v>3</v>
      </c>
      <c r="AA38" t="n">
        <v>-1</v>
      </c>
      <c r="AB38" t="n">
        <v>0</v>
      </c>
      <c r="AC38" t="n">
        <v>3</v>
      </c>
      <c r="AD38" t="n">
        <v>0</v>
      </c>
      <c r="AE38" s="20">
        <f>INDEX('24_FINAL_ITEM_WEIGHTS'!$I$5:$I$84,MATCH(B38,'24_FINAL_ITEM_WEIGHTS'!$A$5:$A$84,0))</f>
        <v/>
      </c>
    </row>
    <row r="39">
      <c r="A39" s="4" t="n">
        <v>35</v>
      </c>
      <c r="B39" s="4" t="inlineStr">
        <is>
          <t>G05</t>
        </is>
      </c>
      <c r="C39" s="4" t="inlineStr">
        <is>
          <t>當一個團隊讓你覺得「哪裡不對」，但原因還不清楚時，你比較容易先從……</t>
        </is>
      </c>
      <c r="D39" s="4" t="inlineStr">
        <is>
          <t>現場的情緒變化和大家的互動氣氛去感受問題</t>
        </is>
      </c>
      <c r="E39" s="4" t="inlineStr">
        <is>
          <t>流程、分工和各環節怎樣互相影響去找問題</t>
        </is>
      </c>
      <c r="F39" s="4" t="n">
        <v>1</v>
      </c>
      <c r="G39" s="4" t="inlineStr">
        <is>
          <t>x=raw×key</t>
        </is>
      </c>
      <c r="H39" t="n">
        <v>-3</v>
      </c>
      <c r="I39" t="n">
        <v>2</v>
      </c>
      <c r="J39" t="n">
        <v>0</v>
      </c>
      <c r="K39" t="n">
        <v>-1</v>
      </c>
      <c r="L39" t="n">
        <v>1</v>
      </c>
      <c r="M39" t="n">
        <v>1</v>
      </c>
      <c r="N39" t="n">
        <v>-1</v>
      </c>
      <c r="O39" t="n">
        <v>-1</v>
      </c>
      <c r="P39" t="n">
        <v>-1</v>
      </c>
      <c r="Q39" t="n">
        <v>0</v>
      </c>
      <c r="R39" t="n">
        <v>3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2</v>
      </c>
      <c r="Y39" t="n">
        <v>1</v>
      </c>
      <c r="Z39" t="n">
        <v>3</v>
      </c>
      <c r="AA39" t="n">
        <v>3</v>
      </c>
      <c r="AB39" t="n">
        <v>1</v>
      </c>
      <c r="AC39" t="n">
        <v>2</v>
      </c>
      <c r="AD39" t="n">
        <v>0</v>
      </c>
      <c r="AE39" s="20">
        <f>INDEX('24_FINAL_ITEM_WEIGHTS'!$I$5:$I$84,MATCH(B39,'24_FINAL_ITEM_WEIGHTS'!$A$5:$A$84,0))</f>
        <v/>
      </c>
    </row>
    <row r="40">
      <c r="A40" s="4" t="n">
        <v>36</v>
      </c>
      <c r="B40" s="4" t="inlineStr">
        <is>
          <t>L16</t>
        </is>
      </c>
      <c r="C40" s="4" t="inlineStr">
        <is>
          <t>當一個新群體還沒有形成自己的做法時，你比較自然會做哪一種事？</t>
        </is>
      </c>
      <c r="D40" s="4" t="inlineStr">
        <is>
          <t>走到前面定出方向，開始建立新的做法和成果</t>
        </is>
      </c>
      <c r="E40" s="4" t="inlineStr">
        <is>
          <t>先看誰適合加入、界線要怎樣守住，真的需要時才出手</t>
        </is>
      </c>
      <c r="F40" s="4" t="n">
        <v>-1</v>
      </c>
      <c r="G40" s="4" t="inlineStr">
        <is>
          <t>x=raw×key</t>
        </is>
      </c>
      <c r="H40" t="n">
        <v>0</v>
      </c>
      <c r="I40" t="n">
        <v>2</v>
      </c>
      <c r="J40" t="n">
        <v>-2</v>
      </c>
      <c r="K40" t="n">
        <v>1</v>
      </c>
      <c r="L40" t="n">
        <v>3</v>
      </c>
      <c r="M40" t="n">
        <v>-2</v>
      </c>
      <c r="N40" t="n">
        <v>0</v>
      </c>
      <c r="O40" t="n">
        <v>1</v>
      </c>
      <c r="P40" t="n">
        <v>2</v>
      </c>
      <c r="Q40" t="n">
        <v>0</v>
      </c>
      <c r="R40" t="n">
        <v>0</v>
      </c>
      <c r="S40" t="n">
        <v>0</v>
      </c>
      <c r="T40" t="n">
        <v>-3</v>
      </c>
      <c r="U40" t="n">
        <v>-1</v>
      </c>
      <c r="V40" t="n">
        <v>2</v>
      </c>
      <c r="W40" t="n">
        <v>-2</v>
      </c>
      <c r="X40" t="n">
        <v>0</v>
      </c>
      <c r="Y40" t="n">
        <v>-1</v>
      </c>
      <c r="Z40" t="n">
        <v>-3</v>
      </c>
      <c r="AA40" t="n">
        <v>0</v>
      </c>
      <c r="AB40" t="n">
        <v>1</v>
      </c>
      <c r="AC40" t="n">
        <v>-3</v>
      </c>
      <c r="AD40" t="n">
        <v>1</v>
      </c>
      <c r="AE40" s="20">
        <f>INDEX('24_FINAL_ITEM_WEIGHTS'!$I$5:$I$84,MATCH(B40,'24_FINAL_ITEM_WEIGHTS'!$A$5:$A$84,0))</f>
        <v/>
      </c>
    </row>
    <row r="41">
      <c r="A41" s="4" t="n">
        <v>37</v>
      </c>
      <c r="B41" s="4" t="inlineStr">
        <is>
          <t>G19</t>
        </is>
      </c>
      <c r="C41" s="4" t="inlineStr">
        <is>
          <t>你想讓一個有價值的方法繼續傳下去時，你比較自然會……</t>
        </is>
      </c>
      <c r="D41" s="4" t="inlineStr">
        <is>
          <t>把它整理成別人能理解、學會和傳下去的內容</t>
        </is>
      </c>
      <c r="E41" s="4" t="inlineStr">
        <is>
          <t>把它做成一套別人可以長期使用、維護和改進的做法</t>
        </is>
      </c>
      <c r="F41" s="4" t="n">
        <v>-1</v>
      </c>
      <c r="G41" s="4" t="inlineStr">
        <is>
          <t>x=raw×key</t>
        </is>
      </c>
      <c r="H41" t="n">
        <v>1</v>
      </c>
      <c r="I41" t="n">
        <v>-1</v>
      </c>
      <c r="J41" t="n">
        <v>0</v>
      </c>
      <c r="K41" t="n">
        <v>1</v>
      </c>
      <c r="L41" t="n">
        <v>-2</v>
      </c>
      <c r="M41" t="n">
        <v>2</v>
      </c>
      <c r="N41" t="n">
        <v>1</v>
      </c>
      <c r="O41" t="n">
        <v>0</v>
      </c>
      <c r="P41" t="n">
        <v>0</v>
      </c>
      <c r="Q41" t="n">
        <v>-1</v>
      </c>
      <c r="R41" t="n">
        <v>-2</v>
      </c>
      <c r="S41" t="n">
        <v>1</v>
      </c>
      <c r="T41" t="n">
        <v>0</v>
      </c>
      <c r="U41" t="n">
        <v>2</v>
      </c>
      <c r="V41" t="n">
        <v>0</v>
      </c>
      <c r="W41" t="n">
        <v>-2</v>
      </c>
      <c r="X41" t="n">
        <v>-1</v>
      </c>
      <c r="Y41" t="n">
        <v>0</v>
      </c>
      <c r="Z41" t="n">
        <v>0</v>
      </c>
      <c r="AA41" t="n">
        <v>-2</v>
      </c>
      <c r="AB41" t="n">
        <v>1</v>
      </c>
      <c r="AC41" t="n">
        <v>0</v>
      </c>
      <c r="AD41" t="n">
        <v>-2</v>
      </c>
      <c r="AE41" s="20">
        <f>INDEX('24_FINAL_ITEM_WEIGHTS'!$I$5:$I$84,MATCH(B41,'24_FINAL_ITEM_WEIGHTS'!$A$5:$A$84,0))</f>
        <v/>
      </c>
    </row>
    <row r="42">
      <c r="A42" s="4" t="n">
        <v>38</v>
      </c>
      <c r="B42" s="4" t="inlineStr">
        <is>
          <t>L02</t>
        </is>
      </c>
      <c r="C42" s="4" t="inlineStr">
        <is>
          <t>在一個你關心的群體中，你的注意力比較自然落在哪裡？</t>
        </is>
      </c>
      <c r="D42" s="4" t="inlineStr">
        <is>
          <t>一對一的深度信任，以及怎樣讓重要的關係更牢靠</t>
        </is>
      </c>
      <c r="E42" s="4" t="inlineStr">
        <is>
          <t>整體氣氛和大家的感受，以及怎樣讓不同的人都覺得被理解</t>
        </is>
      </c>
      <c r="F42" s="4" t="n">
        <v>1</v>
      </c>
      <c r="G42" s="4" t="inlineStr">
        <is>
          <t>x=raw×key</t>
        </is>
      </c>
      <c r="H42" t="n">
        <v>2</v>
      </c>
      <c r="I42" t="n">
        <v>0</v>
      </c>
      <c r="J42" t="n">
        <v>2</v>
      </c>
      <c r="K42" t="n">
        <v>1</v>
      </c>
      <c r="L42" t="n">
        <v>-1</v>
      </c>
      <c r="M42" t="n">
        <v>1</v>
      </c>
      <c r="N42" t="n">
        <v>-1</v>
      </c>
      <c r="O42" t="n">
        <v>-1</v>
      </c>
      <c r="P42" t="n">
        <v>-2</v>
      </c>
      <c r="Q42" t="n">
        <v>0</v>
      </c>
      <c r="R42" t="n">
        <v>-1</v>
      </c>
      <c r="S42" t="n">
        <v>2</v>
      </c>
      <c r="T42" t="n">
        <v>1</v>
      </c>
      <c r="U42" t="n">
        <v>0</v>
      </c>
      <c r="V42" t="n">
        <v>-1</v>
      </c>
      <c r="W42" t="n">
        <v>0</v>
      </c>
      <c r="X42" t="n">
        <v>1</v>
      </c>
      <c r="Y42" t="n">
        <v>2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s="20">
        <f>INDEX('24_FINAL_ITEM_WEIGHTS'!$I$5:$I$84,MATCH(B42,'24_FINAL_ITEM_WEIGHTS'!$A$5:$A$84,0))</f>
        <v/>
      </c>
    </row>
    <row r="43">
      <c r="A43" s="4" t="n">
        <v>39</v>
      </c>
      <c r="B43" s="4" t="inlineStr">
        <is>
          <t>G10</t>
        </is>
      </c>
      <c r="C43" s="4" t="inlineStr">
        <is>
          <t>很多人需要一起做決定時，你比較偏好……</t>
        </is>
      </c>
      <c r="D43" s="4" t="inlineStr">
        <is>
          <t>由一個人或少數人做最後決定，再把工作分配下去</t>
        </is>
      </c>
      <c r="E43" s="4" t="inlineStr">
        <is>
          <t>讓相關的人一起討論、一起決定</t>
        </is>
      </c>
      <c r="F43" s="4" t="n">
        <v>-1</v>
      </c>
      <c r="G43" s="4" t="inlineStr">
        <is>
          <t>x=raw×key</t>
        </is>
      </c>
      <c r="H43" t="n">
        <v>0</v>
      </c>
      <c r="I43" t="n">
        <v>0</v>
      </c>
      <c r="J43" t="n">
        <v>0</v>
      </c>
      <c r="K43" t="n">
        <v>-2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0</v>
      </c>
      <c r="Z43" t="n">
        <v>0</v>
      </c>
      <c r="AA43" t="n">
        <v>3</v>
      </c>
      <c r="AB43" t="n">
        <v>-2</v>
      </c>
      <c r="AC43" t="n">
        <v>0</v>
      </c>
      <c r="AD43" t="n">
        <v>0</v>
      </c>
      <c r="AE43" s="20">
        <f>INDEX('24_FINAL_ITEM_WEIGHTS'!$I$5:$I$84,MATCH(B43,'24_FINAL_ITEM_WEIGHTS'!$A$5:$A$84,0))</f>
        <v/>
      </c>
    </row>
    <row r="44">
      <c r="A44" s="4" t="n">
        <v>40</v>
      </c>
      <c r="B44" s="4" t="inlineStr">
        <is>
          <t>L24</t>
        </is>
      </c>
      <c r="C44" s="4" t="inlineStr">
        <is>
          <t>一個大型計畫同時有很多小組在做時，你比較傾向怎麼安排？</t>
        </is>
      </c>
      <c r="D44" s="4" t="inlineStr">
        <is>
          <t>讓每個小組都清楚誰負責、誰最後拍板，決定可以直接變成行動</t>
        </is>
      </c>
      <c r="E44" s="4" t="inlineStr">
        <is>
          <t>先定好整體規則、資源怎樣分，以及各小組要負責什麼</t>
        </is>
      </c>
      <c r="F44" s="4" t="n">
        <v>-1</v>
      </c>
      <c r="G44" s="4" t="inlineStr">
        <is>
          <t>x=raw×key</t>
        </is>
      </c>
      <c r="H44" t="n">
        <v>3</v>
      </c>
      <c r="I44" t="n">
        <v>0</v>
      </c>
      <c r="J44" t="n">
        <v>3</v>
      </c>
      <c r="K44" t="n">
        <v>2</v>
      </c>
      <c r="L44" t="n">
        <v>1</v>
      </c>
      <c r="M44" t="n">
        <v>2</v>
      </c>
      <c r="N44" t="n">
        <v>3</v>
      </c>
      <c r="O44" t="n">
        <v>3</v>
      </c>
      <c r="P44" t="n">
        <v>3</v>
      </c>
      <c r="Q44" t="n">
        <v>2</v>
      </c>
      <c r="R44" t="n">
        <v>0</v>
      </c>
      <c r="S44" t="n">
        <v>2</v>
      </c>
      <c r="T44" t="n">
        <v>3</v>
      </c>
      <c r="U44" t="n">
        <v>1</v>
      </c>
      <c r="V44" t="n">
        <v>3</v>
      </c>
      <c r="W44" t="n">
        <v>1</v>
      </c>
      <c r="X44" t="n">
        <v>2</v>
      </c>
      <c r="Y44" t="n">
        <v>3</v>
      </c>
      <c r="Z44" t="n">
        <v>1</v>
      </c>
      <c r="AA44" t="n">
        <v>-2</v>
      </c>
      <c r="AB44" t="n">
        <v>1</v>
      </c>
      <c r="AC44" t="n">
        <v>2</v>
      </c>
      <c r="AD44" t="n">
        <v>2</v>
      </c>
      <c r="AE44" s="20">
        <f>INDEX('24_FINAL_ITEM_WEIGHTS'!$I$5:$I$84,MATCH(B44,'24_FINAL_ITEM_WEIGHTS'!$A$5:$A$84,0))</f>
        <v/>
      </c>
    </row>
    <row r="45">
      <c r="A45" s="4" t="n">
        <v>41</v>
      </c>
      <c r="B45" s="4" t="inlineStr">
        <is>
          <t>A03</t>
        </is>
      </c>
      <c r="C45" s="4" t="inlineStr">
        <is>
          <t>一個新局面突然出現，但情況還不完全清楚時，你比較自然怎麼開始？</t>
        </is>
      </c>
      <c r="D45" s="4" t="inlineStr">
        <is>
          <t>先帶頭做第一步，讓事情開始往前</t>
        </is>
      </c>
      <c r="E45" s="4" t="inlineStr">
        <is>
          <t>先不要投入太多，觀察風險和情況後再加深參與</t>
        </is>
      </c>
      <c r="F45" s="4" t="n">
        <v>1</v>
      </c>
      <c r="G45" s="4" t="inlineStr">
        <is>
          <t>x=raw×key</t>
        </is>
      </c>
      <c r="H45" t="n">
        <v>-2</v>
      </c>
      <c r="I45" t="n">
        <v>-2</v>
      </c>
      <c r="J45" t="n">
        <v>3</v>
      </c>
      <c r="K45" t="n">
        <v>-2</v>
      </c>
      <c r="L45" t="n">
        <v>-3</v>
      </c>
      <c r="M45" t="n">
        <v>3</v>
      </c>
      <c r="N45" t="n">
        <v>-2</v>
      </c>
      <c r="O45" t="n">
        <v>-3</v>
      </c>
      <c r="P45" t="n">
        <v>-3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  <c r="V45" t="n">
        <v>-3</v>
      </c>
      <c r="W45" t="n">
        <v>3</v>
      </c>
      <c r="X45" t="n">
        <v>0</v>
      </c>
      <c r="Y45" t="n">
        <v>3</v>
      </c>
      <c r="Z45" t="n">
        <v>3</v>
      </c>
      <c r="AA45" t="n">
        <v>2</v>
      </c>
      <c r="AB45" t="n">
        <v>-3</v>
      </c>
      <c r="AC45" t="n">
        <v>3</v>
      </c>
      <c r="AD45" t="n">
        <v>0</v>
      </c>
      <c r="AE45" s="20">
        <f>INDEX('24_FINAL_ITEM_WEIGHTS'!$I$5:$I$84,MATCH(B45,'24_FINAL_ITEM_WEIGHTS'!$A$5:$A$84,0))</f>
        <v/>
      </c>
    </row>
    <row r="46">
      <c r="A46" s="4" t="n">
        <v>42</v>
      </c>
      <c r="B46" s="4" t="inlineStr">
        <is>
          <t>L04</t>
        </is>
      </c>
      <c r="C46" s="4" t="inlineStr">
        <is>
          <t>和一個重要的人相處開始變得僵硬時，你比較傾向……</t>
        </is>
      </c>
      <c r="D46" s="4" t="inlineStr">
        <is>
          <t>花時間談彼此的信任和承諾，重新拉近關係</t>
        </is>
      </c>
      <c r="E46" s="4" t="inlineStr">
        <is>
          <t>先調整相處的空間和節奏，讓氣氛舒服一點</t>
        </is>
      </c>
      <c r="F46" s="4" t="n">
        <v>1</v>
      </c>
      <c r="G46" s="4" t="inlineStr">
        <is>
          <t>x=raw×key</t>
        </is>
      </c>
      <c r="H46" t="n">
        <v>-1</v>
      </c>
      <c r="I46" t="n">
        <v>2</v>
      </c>
      <c r="J46" t="n">
        <v>2</v>
      </c>
      <c r="K46" t="n">
        <v>1</v>
      </c>
      <c r="L46" t="n">
        <v>1</v>
      </c>
      <c r="M46" t="n">
        <v>2</v>
      </c>
      <c r="N46" t="n">
        <v>-1</v>
      </c>
      <c r="O46" t="n">
        <v>2</v>
      </c>
      <c r="P46" t="n">
        <v>-2</v>
      </c>
      <c r="Q46" t="n">
        <v>0</v>
      </c>
      <c r="R46" t="n">
        <v>-1</v>
      </c>
      <c r="S46" t="n">
        <v>3</v>
      </c>
      <c r="T46" t="n">
        <v>2</v>
      </c>
      <c r="U46" t="n">
        <v>2</v>
      </c>
      <c r="V46" t="n">
        <v>-1</v>
      </c>
      <c r="W46" t="n">
        <v>0</v>
      </c>
      <c r="X46" t="n">
        <v>1</v>
      </c>
      <c r="Y46" t="n">
        <v>2</v>
      </c>
      <c r="Z46" t="n">
        <v>2</v>
      </c>
      <c r="AA46" t="n">
        <v>1</v>
      </c>
      <c r="AB46" t="n">
        <v>0</v>
      </c>
      <c r="AC46" t="n">
        <v>1</v>
      </c>
      <c r="AD46" t="n">
        <v>0</v>
      </c>
      <c r="AE46" s="20">
        <f>INDEX('24_FINAL_ITEM_WEIGHTS'!$I$5:$I$84,MATCH(B46,'24_FINAL_ITEM_WEIGHTS'!$A$5:$A$84,0))</f>
        <v/>
      </c>
    </row>
    <row r="47">
      <c r="A47" s="4" t="n">
        <v>43</v>
      </c>
      <c r="B47" s="4" t="inlineStr">
        <is>
          <t>G07</t>
        </is>
      </c>
      <c r="C47" s="4" t="inlineStr">
        <is>
          <t>要理解一個複雜問題時，你比較自然把注意力放在哪裡？</t>
        </is>
      </c>
      <c r="D47" s="4" t="inlineStr">
        <is>
          <t>先看眼前的細節和實際正在發生什麼</t>
        </is>
      </c>
      <c r="E47" s="4" t="inlineStr">
        <is>
          <t>先看整體、各部分怎樣連起來，以及可能有什麼長遠影響</t>
        </is>
      </c>
      <c r="F47" s="4" t="n">
        <v>1</v>
      </c>
      <c r="G47" s="4" t="inlineStr">
        <is>
          <t>x=raw×key</t>
        </is>
      </c>
      <c r="H47" t="n">
        <v>0</v>
      </c>
      <c r="I47" t="n">
        <v>2</v>
      </c>
      <c r="J47" t="n">
        <v>0</v>
      </c>
      <c r="K47" t="n">
        <v>3</v>
      </c>
      <c r="L47" t="n">
        <v>2</v>
      </c>
      <c r="M47" t="n">
        <v>2</v>
      </c>
      <c r="N47" t="n">
        <v>0</v>
      </c>
      <c r="O47" t="n">
        <v>0</v>
      </c>
      <c r="P47" t="n">
        <v>-2</v>
      </c>
      <c r="Q47" t="n">
        <v>0</v>
      </c>
      <c r="R47" t="n">
        <v>0</v>
      </c>
      <c r="S47" t="n">
        <v>2</v>
      </c>
      <c r="T47" t="n">
        <v>-2</v>
      </c>
      <c r="U47" t="n">
        <v>3</v>
      </c>
      <c r="V47" t="n">
        <v>-2</v>
      </c>
      <c r="W47" t="n">
        <v>0</v>
      </c>
      <c r="X47" t="n">
        <v>2</v>
      </c>
      <c r="Y47" t="n">
        <v>-2</v>
      </c>
      <c r="Z47" t="n">
        <v>2</v>
      </c>
      <c r="AA47" t="n">
        <v>3</v>
      </c>
      <c r="AB47" t="n">
        <v>2</v>
      </c>
      <c r="AC47" t="n">
        <v>2</v>
      </c>
      <c r="AD47" t="n">
        <v>-2</v>
      </c>
      <c r="AE47" s="20">
        <f>INDEX('24_FINAL_ITEM_WEIGHTS'!$I$5:$I$84,MATCH(B47,'24_FINAL_ITEM_WEIGHTS'!$A$5:$A$84,0))</f>
        <v/>
      </c>
    </row>
    <row r="48">
      <c r="A48" s="4" t="n">
        <v>44</v>
      </c>
      <c r="B48" s="4" t="inlineStr">
        <is>
          <t>L03</t>
        </is>
      </c>
      <c r="C48" s="4" t="inlineStr">
        <is>
          <t>一個讓你在意的環境開始變得混亂、不協調時，你比較想先……</t>
        </is>
      </c>
      <c r="D48" s="4" t="inlineStr">
        <is>
          <t>處理當下人與人之間的情緒和氣氛，讓大家重新能好好互動</t>
        </is>
      </c>
      <c r="E48" s="4" t="inlineStr">
        <is>
          <t>把環境整理回更簡單、清楚、安穩的狀態</t>
        </is>
      </c>
      <c r="F48" s="4" t="n">
        <v>-1</v>
      </c>
      <c r="G48" s="4" t="inlineStr">
        <is>
          <t>x=raw×key</t>
        </is>
      </c>
      <c r="H48" t="n">
        <v>3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-3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-1</v>
      </c>
      <c r="AA48" t="n">
        <v>0</v>
      </c>
      <c r="AB48" t="n">
        <v>1</v>
      </c>
      <c r="AC48" t="n">
        <v>0</v>
      </c>
      <c r="AD48" t="n">
        <v>3</v>
      </c>
      <c r="AE48" s="20">
        <f>INDEX('24_FINAL_ITEM_WEIGHTS'!$I$5:$I$84,MATCH(B48,'24_FINAL_ITEM_WEIGHTS'!$A$5:$A$84,0))</f>
        <v/>
      </c>
    </row>
    <row r="49">
      <c r="A49" s="4" t="n">
        <v>45</v>
      </c>
      <c r="B49" s="4" t="inlineStr">
        <is>
          <t>G12</t>
        </is>
      </c>
      <c r="C49" s="4" t="inlineStr">
        <is>
          <t>當分歧已經很明顯，雙方也知道彼此不同意時，你通常會……</t>
        </is>
      </c>
      <c r="D49" s="4" t="inlineStr">
        <is>
          <t>先降低張力或用比較間接的方式，等情況緩和後再處理</t>
        </is>
      </c>
      <c r="E49" s="4" t="inlineStr">
        <is>
          <t>把最主要的不同直接說清楚，當面處理要決定的事</t>
        </is>
      </c>
      <c r="F49" s="4" t="n">
        <v>1</v>
      </c>
      <c r="G49" s="4" t="inlineStr">
        <is>
          <t>x=raw×key</t>
        </is>
      </c>
      <c r="H49" t="n">
        <v>-3</v>
      </c>
      <c r="I49" t="n">
        <v>0</v>
      </c>
      <c r="J49" t="n">
        <v>-2</v>
      </c>
      <c r="K49" t="n">
        <v>0</v>
      </c>
      <c r="L49" t="n">
        <v>2</v>
      </c>
      <c r="M49" t="n">
        <v>2</v>
      </c>
      <c r="N49" t="n">
        <v>-3</v>
      </c>
      <c r="O49" t="n">
        <v>-3</v>
      </c>
      <c r="P49" t="n">
        <v>-3</v>
      </c>
      <c r="Q49" t="n">
        <v>-2</v>
      </c>
      <c r="R49" t="n">
        <v>-2</v>
      </c>
      <c r="S49" t="n">
        <v>0</v>
      </c>
      <c r="T49" t="n">
        <v>2</v>
      </c>
      <c r="U49" t="n">
        <v>-2</v>
      </c>
      <c r="V49" t="n">
        <v>3</v>
      </c>
      <c r="W49" t="n">
        <v>0</v>
      </c>
      <c r="X49" t="n">
        <v>2</v>
      </c>
      <c r="Y49" t="n">
        <v>2</v>
      </c>
      <c r="Z49" t="n">
        <v>-2</v>
      </c>
      <c r="AA49" t="n">
        <v>2</v>
      </c>
      <c r="AB49" t="n">
        <v>-2</v>
      </c>
      <c r="AC49" t="n">
        <v>2</v>
      </c>
      <c r="AD49" t="n">
        <v>0</v>
      </c>
      <c r="AE49" s="20">
        <f>INDEX('24_FINAL_ITEM_WEIGHTS'!$I$5:$I$84,MATCH(B49,'24_FINAL_ITEM_WEIGHTS'!$A$5:$A$84,0))</f>
        <v/>
      </c>
    </row>
    <row r="50">
      <c r="A50" s="4" t="n">
        <v>46</v>
      </c>
      <c r="B50" s="4" t="inlineStr">
        <is>
          <t>L25</t>
        </is>
      </c>
      <c r="C50" s="4" t="inlineStr">
        <is>
          <t>當別人想加入你已經在做的事情時，你比較自然怎麼決定要開放到什麼程度？</t>
        </is>
      </c>
      <c r="D50" s="4" t="inlineStr">
        <is>
          <t>按當下的風險、資源和現實情況調整，必要時改變原本做法</t>
        </is>
      </c>
      <c r="E50" s="4" t="inlineStr">
        <is>
          <t>按自己原本設定的界線和方向決定，必要時仍然不開放</t>
        </is>
      </c>
      <c r="F50" s="4" t="n">
        <v>1</v>
      </c>
      <c r="G50" s="4" t="inlineStr">
        <is>
          <t>x=raw×key</t>
        </is>
      </c>
      <c r="H50" t="n">
        <v>-1</v>
      </c>
      <c r="I50" t="n">
        <v>-1</v>
      </c>
      <c r="J50" t="n">
        <v>2</v>
      </c>
      <c r="K50" t="n">
        <v>-2</v>
      </c>
      <c r="L50" t="n">
        <v>-2</v>
      </c>
      <c r="M50" t="n">
        <v>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-2</v>
      </c>
      <c r="T50" t="n">
        <v>3</v>
      </c>
      <c r="U50" t="n">
        <v>2</v>
      </c>
      <c r="V50" t="n">
        <v>-3</v>
      </c>
      <c r="W50" t="n">
        <v>3</v>
      </c>
      <c r="X50" t="n">
        <v>0</v>
      </c>
      <c r="Y50" t="n">
        <v>-3</v>
      </c>
      <c r="Z50" t="n">
        <v>3</v>
      </c>
      <c r="AA50" t="n">
        <v>2</v>
      </c>
      <c r="AB50" t="n">
        <v>1</v>
      </c>
      <c r="AC50" t="n">
        <v>3</v>
      </c>
      <c r="AD50" t="n">
        <v>1</v>
      </c>
      <c r="AE50" s="20">
        <f>INDEX('24_FINAL_ITEM_WEIGHTS'!$I$5:$I$84,MATCH(B50,'24_FINAL_ITEM_WEIGHTS'!$A$5:$A$84,0))</f>
        <v/>
      </c>
    </row>
    <row r="51">
      <c r="A51" s="4" t="n">
        <v>47</v>
      </c>
      <c r="B51" s="4" t="inlineStr">
        <is>
          <t>G14</t>
        </is>
      </c>
      <c r="C51" s="4" t="inlineStr">
        <is>
          <t>幾個人要完成一件彼此有關、但可以分開做的事情時，你比較偏好……</t>
        </is>
      </c>
      <c r="D51" s="4" t="inlineStr">
        <is>
          <t>一起決定問題和做法，邊協調邊把最後結果做出來</t>
        </is>
      </c>
      <c r="E51" s="4" t="inlineStr">
        <is>
          <t>先各自做好自己的部分，再把它們接起來</t>
        </is>
      </c>
      <c r="F51" s="4" t="n">
        <v>-1</v>
      </c>
      <c r="G51" s="4" t="inlineStr">
        <is>
          <t>x=raw×key</t>
        </is>
      </c>
      <c r="H51" t="n">
        <v>2</v>
      </c>
      <c r="I51" t="n">
        <v>0</v>
      </c>
      <c r="J51" t="n">
        <v>0</v>
      </c>
      <c r="K51" t="n">
        <v>0</v>
      </c>
      <c r="L51" t="n">
        <v>-2</v>
      </c>
      <c r="M51" t="n">
        <v>0</v>
      </c>
      <c r="N51" t="n">
        <v>2</v>
      </c>
      <c r="O51" t="n">
        <v>2</v>
      </c>
      <c r="P51" t="n">
        <v>0</v>
      </c>
      <c r="Q51" t="n">
        <v>2</v>
      </c>
      <c r="R51" t="n">
        <v>0</v>
      </c>
      <c r="S51" t="n">
        <v>-2</v>
      </c>
      <c r="T51" t="n">
        <v>-2</v>
      </c>
      <c r="U51" t="n">
        <v>0</v>
      </c>
      <c r="V51" t="n">
        <v>-2</v>
      </c>
      <c r="W51" t="n">
        <v>-2</v>
      </c>
      <c r="X51" t="n">
        <v>-2</v>
      </c>
      <c r="Y51" t="n">
        <v>-2</v>
      </c>
      <c r="Z51" t="n">
        <v>-2</v>
      </c>
      <c r="AA51" t="n">
        <v>-2</v>
      </c>
      <c r="AB51" t="n">
        <v>3</v>
      </c>
      <c r="AC51" t="n">
        <v>0</v>
      </c>
      <c r="AD51" t="n">
        <v>2</v>
      </c>
      <c r="AE51" s="20">
        <f>INDEX('24_FINAL_ITEM_WEIGHTS'!$I$5:$I$84,MATCH(B51,'24_FINAL_ITEM_WEIGHTS'!$A$5:$A$84,0))</f>
        <v/>
      </c>
    </row>
    <row r="52">
      <c r="A52" s="4" t="n">
        <v>48</v>
      </c>
      <c r="B52" s="4" t="inlineStr">
        <is>
          <t>A05</t>
        </is>
      </c>
      <c r="C52" s="4" t="inlineStr">
        <is>
          <t>面對一個會不斷變化、又常出現不同模式的群體或事情時，你比較自然會……</t>
        </is>
      </c>
      <c r="D52" s="4" t="inlineStr">
        <is>
          <t>先持續收集資料、觀察變化規律，不急著動它</t>
        </is>
      </c>
      <c r="E52" s="4" t="inlineStr">
        <is>
          <t>一看到哪裡失衡，就直接調整人或做法，讓事情重新順起來</t>
        </is>
      </c>
      <c r="F52" s="4" t="n">
        <v>-1</v>
      </c>
      <c r="G52" s="4" t="inlineStr">
        <is>
          <t>x=raw×key</t>
        </is>
      </c>
      <c r="H52" t="n">
        <v>-3</v>
      </c>
      <c r="I52" t="n">
        <v>-2</v>
      </c>
      <c r="J52" t="n">
        <v>-2</v>
      </c>
      <c r="K52" t="n">
        <v>-2</v>
      </c>
      <c r="L52" t="n">
        <v>-1</v>
      </c>
      <c r="M52" t="n">
        <v>1</v>
      </c>
      <c r="N52" t="n">
        <v>-3</v>
      </c>
      <c r="O52" t="n">
        <v>-3</v>
      </c>
      <c r="P52" t="n">
        <v>-3</v>
      </c>
      <c r="Q52" t="n">
        <v>-1</v>
      </c>
      <c r="R52" t="n">
        <v>1</v>
      </c>
      <c r="S52" t="n">
        <v>-1</v>
      </c>
      <c r="T52" t="n">
        <v>-1</v>
      </c>
      <c r="U52" t="n">
        <v>-1</v>
      </c>
      <c r="V52" t="n">
        <v>-2</v>
      </c>
      <c r="W52" t="n">
        <v>2</v>
      </c>
      <c r="X52" t="n">
        <v>-1</v>
      </c>
      <c r="Y52" t="n">
        <v>-1</v>
      </c>
      <c r="Z52" t="n">
        <v>3</v>
      </c>
      <c r="AA52" t="n">
        <v>0</v>
      </c>
      <c r="AB52" t="n">
        <v>-1</v>
      </c>
      <c r="AC52" t="n">
        <v>-1</v>
      </c>
      <c r="AD52" t="n">
        <v>-2</v>
      </c>
      <c r="AE52" s="20">
        <f>INDEX('24_FINAL_ITEM_WEIGHTS'!$I$5:$I$84,MATCH(B52,'24_FINAL_ITEM_WEIGHTS'!$A$5:$A$84,0))</f>
        <v/>
      </c>
    </row>
    <row r="53">
      <c r="A53" s="4" t="n">
        <v>49</v>
      </c>
      <c r="B53" s="4" t="inlineStr">
        <is>
          <t>G22</t>
        </is>
      </c>
      <c r="C53" s="4" t="inlineStr">
        <is>
          <t>要改善一個你長期參與、也受到更大規則影響的地方時，你比較傾向……</t>
        </is>
      </c>
      <c r="D53" s="4" t="inlineStr">
        <is>
          <t>從自己每天參與的地方開始維護和照料，慢慢讓它變好</t>
        </is>
      </c>
      <c r="E53" s="4" t="inlineStr">
        <is>
          <t>從更大的規則、分工和資源安排著手，改變整體做法</t>
        </is>
      </c>
      <c r="F53" s="4" t="n">
        <v>-1</v>
      </c>
      <c r="G53" s="4" t="inlineStr">
        <is>
          <t>x=raw×key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-1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-1</v>
      </c>
      <c r="V53" t="n">
        <v>0</v>
      </c>
      <c r="W53" t="n">
        <v>1</v>
      </c>
      <c r="X53" t="n">
        <v>-1</v>
      </c>
      <c r="Y53" t="n">
        <v>0</v>
      </c>
      <c r="Z53" t="n">
        <v>0</v>
      </c>
      <c r="AA53" t="n">
        <v>-1</v>
      </c>
      <c r="AB53" t="n">
        <v>0</v>
      </c>
      <c r="AC53" t="n">
        <v>0</v>
      </c>
      <c r="AD53" t="n">
        <v>2</v>
      </c>
      <c r="AE53" s="20">
        <f>INDEX('24_FINAL_ITEM_WEIGHTS'!$I$5:$I$84,MATCH(B53,'24_FINAL_ITEM_WEIGHTS'!$A$5:$A$84,0))</f>
        <v/>
      </c>
    </row>
    <row r="54">
      <c r="A54" s="4" t="n">
        <v>50</v>
      </c>
      <c r="B54" s="4" t="inlineStr">
        <is>
          <t>L15</t>
        </is>
      </c>
      <c r="C54" s="4" t="inlineStr">
        <is>
          <t>面對一個影響很多人的改革想法時，你比較自然先追哪一類問題？</t>
        </is>
      </c>
      <c r="D54" s="4" t="inlineStr">
        <is>
          <t>先想清楚不同單位怎樣分工、資源怎樣分、誰負責什麼</t>
        </is>
      </c>
      <c r="E54" s="4" t="inlineStr">
        <is>
          <t>先找哪些假設可能不成立，以及什麼情況下可能出問題</t>
        </is>
      </c>
      <c r="F54" s="4" t="n">
        <v>1</v>
      </c>
      <c r="G54" s="4" t="inlineStr">
        <is>
          <t>x=raw×key</t>
        </is>
      </c>
      <c r="H54" t="n">
        <v>-1</v>
      </c>
      <c r="I54" t="n">
        <v>-1</v>
      </c>
      <c r="J54" t="n">
        <v>1</v>
      </c>
      <c r="K54" t="n">
        <v>-1</v>
      </c>
      <c r="L54" t="n">
        <v>-1</v>
      </c>
      <c r="M54" t="n">
        <v>2</v>
      </c>
      <c r="N54" t="n">
        <v>-1</v>
      </c>
      <c r="O54" t="n">
        <v>-1</v>
      </c>
      <c r="P54" t="n">
        <v>-1</v>
      </c>
      <c r="Q54" t="n">
        <v>0</v>
      </c>
      <c r="R54" t="n">
        <v>1</v>
      </c>
      <c r="S54" t="n">
        <v>1</v>
      </c>
      <c r="T54" t="n">
        <v>2</v>
      </c>
      <c r="U54" t="n">
        <v>-2</v>
      </c>
      <c r="V54" t="n">
        <v>0</v>
      </c>
      <c r="W54" t="n">
        <v>3</v>
      </c>
      <c r="X54" t="n">
        <v>-2</v>
      </c>
      <c r="Y54" t="n">
        <v>2</v>
      </c>
      <c r="Z54" t="n">
        <v>2</v>
      </c>
      <c r="AA54" t="n">
        <v>-3</v>
      </c>
      <c r="AB54" t="n">
        <v>0</v>
      </c>
      <c r="AC54" t="n">
        <v>0</v>
      </c>
      <c r="AD54" t="n">
        <v>1</v>
      </c>
      <c r="AE54" s="20">
        <f>INDEX('24_FINAL_ITEM_WEIGHTS'!$I$5:$I$84,MATCH(B54,'24_FINAL_ITEM_WEIGHTS'!$A$5:$A$84,0))</f>
        <v/>
      </c>
    </row>
    <row r="55">
      <c r="A55" s="4" t="n">
        <v>51</v>
      </c>
      <c r="B55" s="4" t="inlineStr">
        <is>
          <t>G21</t>
        </is>
      </c>
      <c r="C55" s="4" t="inlineStr">
        <is>
          <t>當兩套說法各自有證據、卻又互相矛盾時，你比較傾向……</t>
        </is>
      </c>
      <c r="D55" s="4" t="inlineStr">
        <is>
          <t>找一個能把兩邊都解釋得通的新理解</t>
        </is>
      </c>
      <c r="E55" s="4" t="inlineStr">
        <is>
          <t>選一套比較能解決問題的主要說法，用它來判斷</t>
        </is>
      </c>
      <c r="F55" s="4" t="n">
        <v>-1</v>
      </c>
      <c r="G55" s="4" t="inlineStr">
        <is>
          <t>x=raw×key</t>
        </is>
      </c>
      <c r="H55" t="n">
        <v>0</v>
      </c>
      <c r="I55" t="n">
        <v>2</v>
      </c>
      <c r="J55" t="n">
        <v>0</v>
      </c>
      <c r="K55" t="n">
        <v>0</v>
      </c>
      <c r="L55" t="n">
        <v>-2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-2</v>
      </c>
      <c r="U55" t="n">
        <v>3</v>
      </c>
      <c r="V55" t="n">
        <v>-2</v>
      </c>
      <c r="W55" t="n">
        <v>0</v>
      </c>
      <c r="X55" t="n">
        <v>-2</v>
      </c>
      <c r="Y55" t="n">
        <v>-2</v>
      </c>
      <c r="Z55" t="n">
        <v>0</v>
      </c>
      <c r="AA55" t="n">
        <v>0</v>
      </c>
      <c r="AB55" t="n">
        <v>3</v>
      </c>
      <c r="AC55" t="n">
        <v>0</v>
      </c>
      <c r="AD55" t="n">
        <v>0</v>
      </c>
      <c r="AE55" s="20">
        <f>INDEX('24_FINAL_ITEM_WEIGHTS'!$I$5:$I$84,MATCH(B55,'24_FINAL_ITEM_WEIGHTS'!$A$5:$A$84,0))</f>
        <v/>
      </c>
    </row>
    <row r="56">
      <c r="A56" s="4" t="n">
        <v>52</v>
      </c>
      <c r="B56" s="4" t="inlineStr">
        <is>
          <t>L18</t>
        </is>
      </c>
      <c r="C56" s="4" t="inlineStr">
        <is>
          <t>當有人反覆做了超出原本約定範圍的事，但情況仍然可控時，你比較自然會……</t>
        </is>
      </c>
      <c r="D56" s="4" t="inlineStr">
        <is>
          <t>立即把問題提出來，直接處理，讓合作回到正軌</t>
        </is>
      </c>
      <c r="E56" s="4" t="inlineStr">
        <is>
          <t>先守住原本的界線，繼續觀察是不是真的需要更多行動</t>
        </is>
      </c>
      <c r="F56" s="4" t="n">
        <v>1</v>
      </c>
      <c r="G56" s="4" t="inlineStr">
        <is>
          <t>x=raw×key</t>
        </is>
      </c>
      <c r="H56" t="n">
        <v>0</v>
      </c>
      <c r="I56" t="n">
        <v>-2</v>
      </c>
      <c r="J56" t="n">
        <v>2</v>
      </c>
      <c r="K56" t="n">
        <v>-2</v>
      </c>
      <c r="L56" t="n">
        <v>-3</v>
      </c>
      <c r="M56" t="n">
        <v>3</v>
      </c>
      <c r="N56" t="n">
        <v>0</v>
      </c>
      <c r="O56" t="n">
        <v>-2</v>
      </c>
      <c r="P56" t="n">
        <v>-3</v>
      </c>
      <c r="Q56" t="n">
        <v>2</v>
      </c>
      <c r="R56" t="n">
        <v>2</v>
      </c>
      <c r="S56" t="n">
        <v>-1</v>
      </c>
      <c r="T56" t="n">
        <v>3</v>
      </c>
      <c r="U56" t="n">
        <v>2</v>
      </c>
      <c r="V56" t="n">
        <v>-3</v>
      </c>
      <c r="W56" t="n">
        <v>3</v>
      </c>
      <c r="X56" t="n">
        <v>-1</v>
      </c>
      <c r="Y56" t="n">
        <v>0</v>
      </c>
      <c r="Z56" t="n">
        <v>3</v>
      </c>
      <c r="AA56" t="n">
        <v>1</v>
      </c>
      <c r="AB56" t="n">
        <v>-2</v>
      </c>
      <c r="AC56" t="n">
        <v>3</v>
      </c>
      <c r="AD56" t="n">
        <v>0</v>
      </c>
      <c r="AE56" s="20">
        <f>INDEX('24_FINAL_ITEM_WEIGHTS'!$I$5:$I$84,MATCH(B56,'24_FINAL_ITEM_WEIGHTS'!$A$5:$A$84,0))</f>
        <v/>
      </c>
    </row>
    <row r="57">
      <c r="A57" s="4" t="n">
        <v>53</v>
      </c>
      <c r="B57" s="4" t="inlineStr">
        <is>
          <t>G30</t>
        </is>
      </c>
      <c r="C57" s="4" t="inlineStr">
        <is>
          <t>一個原本能運作的計畫因為情況改變而卡住時，你比較自然的第一步是……</t>
        </is>
      </c>
      <c r="D57" s="4" t="inlineStr">
        <is>
          <t>直接採取行動打破停滯，先處理最明顯的阻礙</t>
        </is>
      </c>
      <c r="E57" s="4" t="inlineStr">
        <is>
          <t>先看清風險、限制和手上有哪些選擇，再調整做法讓事情繼續</t>
        </is>
      </c>
      <c r="F57" s="4" t="n">
        <v>-1</v>
      </c>
      <c r="G57" s="4" t="inlineStr">
        <is>
          <t>x=raw×key</t>
        </is>
      </c>
      <c r="H57" t="n">
        <v>-3</v>
      </c>
      <c r="I57" t="n">
        <v>-1</v>
      </c>
      <c r="J57" t="n">
        <v>-3</v>
      </c>
      <c r="K57" t="n">
        <v>-1</v>
      </c>
      <c r="L57" t="n">
        <v>1</v>
      </c>
      <c r="M57" t="n">
        <v>-3</v>
      </c>
      <c r="N57" t="n">
        <v>-3</v>
      </c>
      <c r="O57" t="n">
        <v>-3</v>
      </c>
      <c r="P57" t="n">
        <v>-2</v>
      </c>
      <c r="Q57" t="n">
        <v>-3</v>
      </c>
      <c r="R57" t="n">
        <v>-3</v>
      </c>
      <c r="S57" t="n">
        <v>-2</v>
      </c>
      <c r="T57" t="n">
        <v>-3</v>
      </c>
      <c r="U57" t="n">
        <v>-3</v>
      </c>
      <c r="V57" t="n">
        <v>2</v>
      </c>
      <c r="W57" t="n">
        <v>-3</v>
      </c>
      <c r="X57" t="n">
        <v>-1</v>
      </c>
      <c r="Y57" t="n">
        <v>-2</v>
      </c>
      <c r="Z57" t="n">
        <v>-3</v>
      </c>
      <c r="AA57" t="n">
        <v>-2</v>
      </c>
      <c r="AB57" t="n">
        <v>-2</v>
      </c>
      <c r="AC57" t="n">
        <v>-3</v>
      </c>
      <c r="AD57" t="n">
        <v>-2</v>
      </c>
      <c r="AE57" s="20">
        <f>INDEX('24_FINAL_ITEM_WEIGHTS'!$I$5:$I$84,MATCH(B57,'24_FINAL_ITEM_WEIGHTS'!$A$5:$A$84,0))</f>
        <v/>
      </c>
    </row>
    <row r="58">
      <c r="A58" s="4" t="n">
        <v>54</v>
      </c>
      <c r="B58" s="4" t="inlineStr">
        <is>
          <t>L35</t>
        </is>
      </c>
      <c r="C58" s="4" t="inlineStr">
        <is>
          <t>幾個群體對同一件事有不同看法時，你比較自然會提供哪一種幫助？</t>
        </is>
      </c>
      <c r="D58" s="4" t="inlineStr">
        <is>
          <t>先整理整件事的全貌，再用大家都聽得懂的方式說清楚</t>
        </is>
      </c>
      <c r="E58" s="4" t="inlineStr">
        <is>
          <t>直接了解各方需要，幫大家談出都能接受的做法</t>
        </is>
      </c>
      <c r="F58" s="4" t="n">
        <v>-1</v>
      </c>
      <c r="G58" s="4" t="inlineStr">
        <is>
          <t>x=raw×key</t>
        </is>
      </c>
      <c r="H58" t="n">
        <v>-2</v>
      </c>
      <c r="I58" t="n">
        <v>0</v>
      </c>
      <c r="J58" t="n">
        <v>-2</v>
      </c>
      <c r="K58" t="n">
        <v>2</v>
      </c>
      <c r="L58" t="n">
        <v>0</v>
      </c>
      <c r="M58" t="n">
        <v>0</v>
      </c>
      <c r="N58" t="n">
        <v>-3</v>
      </c>
      <c r="O58" t="n">
        <v>-2</v>
      </c>
      <c r="P58" t="n">
        <v>-1</v>
      </c>
      <c r="Q58" t="n">
        <v>-3</v>
      </c>
      <c r="R58" t="n">
        <v>-1</v>
      </c>
      <c r="S58" t="n">
        <v>3</v>
      </c>
      <c r="T58" t="n">
        <v>-1</v>
      </c>
      <c r="U58" t="n">
        <v>3</v>
      </c>
      <c r="V58" t="n">
        <v>0</v>
      </c>
      <c r="W58" t="n">
        <v>-1</v>
      </c>
      <c r="X58" t="n">
        <v>-1</v>
      </c>
      <c r="Y58" t="n">
        <v>0</v>
      </c>
      <c r="Z58" t="n">
        <v>0</v>
      </c>
      <c r="AA58" t="n">
        <v>-1</v>
      </c>
      <c r="AB58" t="n">
        <v>-3</v>
      </c>
      <c r="AC58" t="n">
        <v>-1</v>
      </c>
      <c r="AD58" t="n">
        <v>-3</v>
      </c>
      <c r="AE58" s="20">
        <f>INDEX('24_FINAL_ITEM_WEIGHTS'!$I$5:$I$84,MATCH(B58,'24_FINAL_ITEM_WEIGHTS'!$A$5:$A$84,0))</f>
        <v/>
      </c>
    </row>
    <row r="59">
      <c r="A59" s="4" t="n">
        <v>55</v>
      </c>
      <c r="B59" s="4" t="inlineStr">
        <is>
          <t>A07</t>
        </is>
      </c>
      <c r="C59" s="4" t="inlineStr">
        <is>
          <t>一段重要關係剛出現誤解，同時周圍其他人的情緒也受到影響時，你會先把力氣放在哪裡？</t>
        </is>
      </c>
      <c r="D59" s="4" t="inlineStr">
        <is>
          <t>先穩住整體氣氛和大家的情緒，再回頭處理那段關係</t>
        </is>
      </c>
      <c r="E59" s="4" t="inlineStr">
        <is>
          <t>先修復兩人之間的信任和連結，再看其他影響</t>
        </is>
      </c>
      <c r="F59" s="4" t="n">
        <v>1</v>
      </c>
      <c r="G59" s="4" t="inlineStr">
        <is>
          <t>x=raw×key</t>
        </is>
      </c>
      <c r="H59" t="n">
        <v>-2</v>
      </c>
      <c r="I59" t="n">
        <v>0</v>
      </c>
      <c r="J59" t="n">
        <v>-2</v>
      </c>
      <c r="K59" t="n">
        <v>-1</v>
      </c>
      <c r="L59" t="n">
        <v>1</v>
      </c>
      <c r="M59" t="n">
        <v>-1</v>
      </c>
      <c r="N59" t="n">
        <v>1</v>
      </c>
      <c r="O59" t="n">
        <v>1</v>
      </c>
      <c r="P59" t="n">
        <v>2</v>
      </c>
      <c r="Q59" t="n">
        <v>0</v>
      </c>
      <c r="R59" t="n">
        <v>1</v>
      </c>
      <c r="S59" t="n">
        <v>-2</v>
      </c>
      <c r="T59" t="n">
        <v>-1</v>
      </c>
      <c r="U59" t="n">
        <v>0</v>
      </c>
      <c r="V59" t="n">
        <v>1</v>
      </c>
      <c r="W59" t="n">
        <v>0</v>
      </c>
      <c r="X59" t="n">
        <v>-1</v>
      </c>
      <c r="Y59" t="n">
        <v>-2</v>
      </c>
      <c r="Z59" t="n">
        <v>0</v>
      </c>
      <c r="AA59" t="n">
        <v>-1</v>
      </c>
      <c r="AB59" t="n">
        <v>0</v>
      </c>
      <c r="AC59" t="n">
        <v>-1</v>
      </c>
      <c r="AD59" t="n">
        <v>0</v>
      </c>
      <c r="AE59" s="20">
        <f>INDEX('24_FINAL_ITEM_WEIGHTS'!$I$5:$I$84,MATCH(B59,'24_FINAL_ITEM_WEIGHTS'!$A$5:$A$84,0))</f>
        <v/>
      </c>
    </row>
    <row r="60">
      <c r="A60" s="4" t="n">
        <v>56</v>
      </c>
      <c r="B60" s="4" t="inlineStr">
        <is>
          <t>L27</t>
        </is>
      </c>
      <c r="C60" s="4" t="inlineStr">
        <is>
          <t>當你要長期保護一個大家共同使用的安排時，你比較偏好哪種做法？</t>
        </is>
      </c>
      <c r="D60" s="4" t="inlineStr">
        <is>
          <t>先把誰負責、誰最後決定說清楚，再按固定分工處理</t>
        </is>
      </c>
      <c r="E60" s="4" t="inlineStr">
        <is>
          <t>看當下風險再調整誰出手、要怎樣保護</t>
        </is>
      </c>
      <c r="F60" s="4" t="n">
        <v>-1</v>
      </c>
      <c r="G60" s="4" t="inlineStr">
        <is>
          <t>x=raw×key</t>
        </is>
      </c>
      <c r="H60" t="n">
        <v>-1</v>
      </c>
      <c r="I60" t="n">
        <v>0</v>
      </c>
      <c r="J60" t="n">
        <v>0</v>
      </c>
      <c r="K60" t="n">
        <v>-2</v>
      </c>
      <c r="L60" t="n">
        <v>0</v>
      </c>
      <c r="M60" t="n">
        <v>0</v>
      </c>
      <c r="N60" t="n">
        <v>-1</v>
      </c>
      <c r="O60" t="n">
        <v>0</v>
      </c>
      <c r="P60" t="n">
        <v>0</v>
      </c>
      <c r="Q60" t="n">
        <v>2</v>
      </c>
      <c r="R60" t="n">
        <v>0</v>
      </c>
      <c r="S60" t="n">
        <v>-1</v>
      </c>
      <c r="T60" t="n">
        <v>0</v>
      </c>
      <c r="U60" t="n">
        <v>1</v>
      </c>
      <c r="V60" t="n">
        <v>-2</v>
      </c>
      <c r="W60" t="n">
        <v>1</v>
      </c>
      <c r="X60" t="n">
        <v>3</v>
      </c>
      <c r="Y60" t="n">
        <v>-3</v>
      </c>
      <c r="Z60" t="n">
        <v>2</v>
      </c>
      <c r="AA60" t="n">
        <v>3</v>
      </c>
      <c r="AB60" t="n">
        <v>0</v>
      </c>
      <c r="AC60" t="n">
        <v>1</v>
      </c>
      <c r="AD60" t="n">
        <v>1</v>
      </c>
      <c r="AE60" s="20">
        <f>INDEX('24_FINAL_ITEM_WEIGHTS'!$I$5:$I$84,MATCH(B60,'24_FINAL_ITEM_WEIGHTS'!$A$5:$A$84,0))</f>
        <v/>
      </c>
    </row>
    <row r="61">
      <c r="A61" s="4" t="n">
        <v>57</v>
      </c>
      <c r="B61" s="4" t="inlineStr">
        <is>
          <t>G08</t>
        </is>
      </c>
      <c r="C61" s="4" t="inlineStr">
        <is>
          <t>面對一段沒有外在限制的生活安排，你比較喜歡……</t>
        </is>
      </c>
      <c r="D61" s="4" t="inlineStr">
        <is>
          <t>在熟悉的地方或路線上一直累積，讓生活越來越有延續感</t>
        </is>
      </c>
      <c r="E61" s="4" t="inlineStr">
        <is>
          <t>在不同地方、路線或活動之間移動，透過變化增加經驗</t>
        </is>
      </c>
      <c r="F61" s="4" t="n">
        <v>1</v>
      </c>
      <c r="G61" s="4" t="inlineStr">
        <is>
          <t>x=raw×key</t>
        </is>
      </c>
      <c r="H61" t="n">
        <v>0</v>
      </c>
      <c r="I61" t="n">
        <v>2</v>
      </c>
      <c r="J61" t="n">
        <v>-2</v>
      </c>
      <c r="K61" t="n">
        <v>3</v>
      </c>
      <c r="L61" t="n">
        <v>0</v>
      </c>
      <c r="M61" t="n">
        <v>0</v>
      </c>
      <c r="N61" t="n">
        <v>-2</v>
      </c>
      <c r="O61" t="n">
        <v>0</v>
      </c>
      <c r="P61" t="n">
        <v>0</v>
      </c>
      <c r="Q61" t="n">
        <v>-3</v>
      </c>
      <c r="R61" t="n">
        <v>0</v>
      </c>
      <c r="S61" t="n">
        <v>3</v>
      </c>
      <c r="T61" t="n">
        <v>-2</v>
      </c>
      <c r="U61" t="n">
        <v>3</v>
      </c>
      <c r="V61" t="n">
        <v>0</v>
      </c>
      <c r="W61" t="n">
        <v>-2</v>
      </c>
      <c r="X61" t="n">
        <v>-2</v>
      </c>
      <c r="Y61" t="n">
        <v>0</v>
      </c>
      <c r="Z61" t="n">
        <v>0</v>
      </c>
      <c r="AA61" t="n">
        <v>-2</v>
      </c>
      <c r="AB61" t="n">
        <v>0</v>
      </c>
      <c r="AC61" t="n">
        <v>0</v>
      </c>
      <c r="AD61" t="n">
        <v>-3</v>
      </c>
      <c r="AE61" s="20">
        <f>INDEX('24_FINAL_ITEM_WEIGHTS'!$I$5:$I$84,MATCH(B61,'24_FINAL_ITEM_WEIGHTS'!$A$5:$A$84,0))</f>
        <v/>
      </c>
    </row>
    <row r="62">
      <c r="A62" s="4" t="n">
        <v>58</v>
      </c>
      <c r="B62" s="4" t="inlineStr">
        <is>
          <t>L31</t>
        </is>
      </c>
      <c r="C62" s="4" t="inlineStr">
        <is>
          <t>面對一個複雜議題，需要讓多方都能繼續往下走時，你比較傾向……</t>
        </is>
      </c>
      <c r="D62" s="4" t="inlineStr">
        <is>
          <t>讓各方直接說出需要和限制，一起找下一步</t>
        </is>
      </c>
      <c r="E62" s="4" t="inlineStr">
        <is>
          <t>先把整體情況說清楚，讓每一方知道彼此怎樣連在一起</t>
        </is>
      </c>
      <c r="F62" s="4" t="n">
        <v>1</v>
      </c>
      <c r="G62" s="4" t="inlineStr">
        <is>
          <t>x=raw×key</t>
        </is>
      </c>
      <c r="H62" t="n">
        <v>-2</v>
      </c>
      <c r="I62" t="n">
        <v>0</v>
      </c>
      <c r="J62" t="n">
        <v>-2</v>
      </c>
      <c r="K62" t="n">
        <v>2</v>
      </c>
      <c r="L62" t="n">
        <v>0</v>
      </c>
      <c r="M62" t="n">
        <v>0</v>
      </c>
      <c r="N62" t="n">
        <v>-3</v>
      </c>
      <c r="O62" t="n">
        <v>-3</v>
      </c>
      <c r="P62" t="n">
        <v>-2</v>
      </c>
      <c r="Q62" t="n">
        <v>-3</v>
      </c>
      <c r="R62" t="n">
        <v>-2</v>
      </c>
      <c r="S62" t="n">
        <v>3</v>
      </c>
      <c r="T62" t="n">
        <v>-2</v>
      </c>
      <c r="U62" t="n">
        <v>3</v>
      </c>
      <c r="V62" t="n">
        <v>-1</v>
      </c>
      <c r="W62" t="n">
        <v>-2</v>
      </c>
      <c r="X62" t="n">
        <v>-1</v>
      </c>
      <c r="Y62" t="n">
        <v>-1</v>
      </c>
      <c r="Z62" t="n">
        <v>0</v>
      </c>
      <c r="AA62" t="n">
        <v>0</v>
      </c>
      <c r="AB62" t="n">
        <v>-3</v>
      </c>
      <c r="AC62" t="n">
        <v>-1</v>
      </c>
      <c r="AD62" t="n">
        <v>-3</v>
      </c>
      <c r="AE62" s="20">
        <f>INDEX('24_FINAL_ITEM_WEIGHTS'!$I$5:$I$84,MATCH(B62,'24_FINAL_ITEM_WEIGHTS'!$A$5:$A$84,0))</f>
        <v/>
      </c>
    </row>
    <row r="63">
      <c r="A63" s="4" t="n">
        <v>59</v>
      </c>
      <c r="B63" s="4" t="inlineStr">
        <is>
          <t>G18</t>
        </is>
      </c>
      <c r="C63" s="4" t="inlineStr">
        <is>
          <t>有一段可以自由安排的時間和資源時，你比較自然會……</t>
        </is>
      </c>
      <c r="D63" s="4" t="inlineStr">
        <is>
          <t>做一件可以長期累積、持續維護的成果</t>
        </is>
      </c>
      <c r="E63" s="4" t="inlineStr">
        <is>
          <t>用來嘗試不同路徑、環境或新經驗，保持探索空間</t>
        </is>
      </c>
      <c r="F63" s="4" t="n">
        <v>-1</v>
      </c>
      <c r="G63" s="4" t="inlineStr">
        <is>
          <t>x=raw×key</t>
        </is>
      </c>
      <c r="H63" t="n">
        <v>0</v>
      </c>
      <c r="I63" t="n">
        <v>0</v>
      </c>
      <c r="J63" t="n">
        <v>2</v>
      </c>
      <c r="K63" t="n">
        <v>-2</v>
      </c>
      <c r="L63" t="n">
        <v>2</v>
      </c>
      <c r="M63" t="n">
        <v>0</v>
      </c>
      <c r="N63" t="n">
        <v>1</v>
      </c>
      <c r="O63" t="n">
        <v>0</v>
      </c>
      <c r="P63" t="n">
        <v>0</v>
      </c>
      <c r="Q63" t="n">
        <v>3</v>
      </c>
      <c r="R63" t="n">
        <v>2</v>
      </c>
      <c r="S63" t="n">
        <v>-2</v>
      </c>
      <c r="T63" t="n">
        <v>1</v>
      </c>
      <c r="U63" t="n">
        <v>-2</v>
      </c>
      <c r="V63" t="n">
        <v>0</v>
      </c>
      <c r="W63" t="n">
        <v>3</v>
      </c>
      <c r="X63" t="n">
        <v>2</v>
      </c>
      <c r="Y63" t="n">
        <v>0</v>
      </c>
      <c r="Z63" t="n">
        <v>0</v>
      </c>
      <c r="AA63" t="n">
        <v>3</v>
      </c>
      <c r="AB63" t="n">
        <v>0</v>
      </c>
      <c r="AC63" t="n">
        <v>0</v>
      </c>
      <c r="AD63" t="n">
        <v>3</v>
      </c>
      <c r="AE63" s="20">
        <f>INDEX('24_FINAL_ITEM_WEIGHTS'!$I$5:$I$84,MATCH(B63,'24_FINAL_ITEM_WEIGHTS'!$A$5:$A$84,0))</f>
        <v/>
      </c>
    </row>
    <row r="64">
      <c r="A64" s="4" t="n">
        <v>60</v>
      </c>
      <c r="B64" s="4" t="inlineStr">
        <is>
          <t>L29</t>
        </is>
      </c>
      <c r="C64" s="4" t="inlineStr">
        <is>
          <t>規劃接下來一段時間時，如果目前環境的限制越來越多，你比較傾向……</t>
        </is>
      </c>
      <c r="D64" s="4" t="inlineStr">
        <is>
          <t>重談規則、改變做法，或換到更自由的位置</t>
        </is>
      </c>
      <c r="E64" s="4" t="inlineStr">
        <is>
          <t>把時間放在不同領域和新的組合上，保持探索和創作</t>
        </is>
      </c>
      <c r="F64" s="4" t="n">
        <v>-1</v>
      </c>
      <c r="G64" s="4" t="inlineStr">
        <is>
          <t>x=raw×key</t>
        </is>
      </c>
      <c r="H64" t="n">
        <v>1</v>
      </c>
      <c r="I64" t="n">
        <v>0</v>
      </c>
      <c r="J64" t="n">
        <v>0</v>
      </c>
      <c r="K64" t="n">
        <v>2</v>
      </c>
      <c r="L64" t="n">
        <v>2</v>
      </c>
      <c r="M64" t="n">
        <v>-2</v>
      </c>
      <c r="N64" t="n">
        <v>1</v>
      </c>
      <c r="O64" t="n">
        <v>-1</v>
      </c>
      <c r="P64" t="n">
        <v>0</v>
      </c>
      <c r="Q64" t="n">
        <v>0</v>
      </c>
      <c r="R64" t="n">
        <v>0</v>
      </c>
      <c r="S64" t="n">
        <v>-2</v>
      </c>
      <c r="T64" t="n">
        <v>0</v>
      </c>
      <c r="U64" t="n">
        <v>0</v>
      </c>
      <c r="V64" t="n">
        <v>2</v>
      </c>
      <c r="W64" t="n">
        <v>-1</v>
      </c>
      <c r="X64" t="n">
        <v>2</v>
      </c>
      <c r="Y64" t="n">
        <v>1</v>
      </c>
      <c r="Z64" t="n">
        <v>0</v>
      </c>
      <c r="AA64" t="n">
        <v>2</v>
      </c>
      <c r="AB64" t="n">
        <v>-1</v>
      </c>
      <c r="AC64" t="n">
        <v>2</v>
      </c>
      <c r="AD64" t="n">
        <v>-1</v>
      </c>
      <c r="AE64" s="20">
        <f>INDEX('24_FINAL_ITEM_WEIGHTS'!$I$5:$I$84,MATCH(B64,'24_FINAL_ITEM_WEIGHTS'!$A$5:$A$84,0))</f>
        <v/>
      </c>
    </row>
    <row r="65">
      <c r="A65" s="4" t="n">
        <v>61</v>
      </c>
      <c r="B65" s="4" t="inlineStr">
        <is>
          <t>G29</t>
        </is>
      </c>
      <c r="C65" s="4" t="inlineStr">
        <is>
          <t>當很多人對方向有明顯不同意見時，你比較自然會……</t>
        </is>
      </c>
      <c r="D65" s="4" t="inlineStr">
        <is>
          <t>整理大家相同和不同的地方，一起找能走下去的做法</t>
        </is>
      </c>
      <c r="E65" s="4" t="inlineStr">
        <is>
          <t>直接把主要衝突說開，清楚處理彼此不同的立場</t>
        </is>
      </c>
      <c r="F65" s="4" t="n">
        <v>-1</v>
      </c>
      <c r="G65" s="4" t="inlineStr">
        <is>
          <t>x=raw×key</t>
        </is>
      </c>
      <c r="H65" t="n">
        <v>2</v>
      </c>
      <c r="I65" t="n">
        <v>1</v>
      </c>
      <c r="J65" t="n">
        <v>1</v>
      </c>
      <c r="K65" t="n">
        <v>0</v>
      </c>
      <c r="L65" t="n">
        <v>-2</v>
      </c>
      <c r="M65" t="n">
        <v>1</v>
      </c>
      <c r="N65" t="n">
        <v>2</v>
      </c>
      <c r="O65" t="n">
        <v>2</v>
      </c>
      <c r="P65" t="n">
        <v>1</v>
      </c>
      <c r="Q65" t="n">
        <v>1</v>
      </c>
      <c r="R65" t="n">
        <v>1</v>
      </c>
      <c r="S65" t="n">
        <v>0</v>
      </c>
      <c r="T65" t="n">
        <v>-2</v>
      </c>
      <c r="U65" t="n">
        <v>2</v>
      </c>
      <c r="V65" t="n">
        <v>-2</v>
      </c>
      <c r="W65" t="n">
        <v>-1</v>
      </c>
      <c r="X65" t="n">
        <v>-2</v>
      </c>
      <c r="Y65" t="n">
        <v>-2</v>
      </c>
      <c r="Z65" t="n">
        <v>0</v>
      </c>
      <c r="AA65" t="n">
        <v>-1</v>
      </c>
      <c r="AB65" t="n">
        <v>3</v>
      </c>
      <c r="AC65" t="n">
        <v>-1</v>
      </c>
      <c r="AD65" t="n">
        <v>1</v>
      </c>
      <c r="AE65" s="20">
        <f>INDEX('24_FINAL_ITEM_WEIGHTS'!$I$5:$I$84,MATCH(B65,'24_FINAL_ITEM_WEIGHTS'!$A$5:$A$84,0))</f>
        <v/>
      </c>
    </row>
    <row r="66">
      <c r="A66" s="4" t="n">
        <v>62</v>
      </c>
      <c r="B66" s="4" t="inlineStr">
        <is>
          <t>A02</t>
        </is>
      </c>
      <c r="C66" s="4" t="inlineStr">
        <is>
          <t>一個新方案準備第一次正式使用時，你最自然先關注什麼？</t>
        </is>
      </c>
      <c r="D66" s="4" t="inlineStr">
        <is>
          <t>把步驟、工具和交接方法弄清楚，確保大家可以順利用起來</t>
        </is>
      </c>
      <c r="E66" s="4" t="inlineStr">
        <is>
          <t>檢查哪些前提可能不成立，以及哪裡可能出現不容易發現的問題</t>
        </is>
      </c>
      <c r="F66" s="4" t="n">
        <v>-1</v>
      </c>
      <c r="G66" s="4" t="inlineStr">
        <is>
          <t>x=raw×key</t>
        </is>
      </c>
      <c r="H66" t="n">
        <v>3</v>
      </c>
      <c r="I66" t="n">
        <v>3</v>
      </c>
      <c r="J66" t="n">
        <v>0</v>
      </c>
      <c r="K66" t="n">
        <v>3</v>
      </c>
      <c r="L66" t="n">
        <v>3</v>
      </c>
      <c r="M66" t="n">
        <v>0</v>
      </c>
      <c r="N66" t="n">
        <v>3</v>
      </c>
      <c r="O66" t="n">
        <v>3</v>
      </c>
      <c r="P66" t="n">
        <v>3</v>
      </c>
      <c r="Q66" t="n">
        <v>1</v>
      </c>
      <c r="R66" t="n">
        <v>3</v>
      </c>
      <c r="S66" t="n">
        <v>2</v>
      </c>
      <c r="T66" t="n">
        <v>0</v>
      </c>
      <c r="U66" t="n">
        <v>2</v>
      </c>
      <c r="V66" t="n">
        <v>3</v>
      </c>
      <c r="W66" t="n">
        <v>-3</v>
      </c>
      <c r="X66" t="n">
        <v>1</v>
      </c>
      <c r="Y66" t="n">
        <v>2</v>
      </c>
      <c r="Z66" t="n">
        <v>-2</v>
      </c>
      <c r="AA66" t="n">
        <v>1</v>
      </c>
      <c r="AB66" t="n">
        <v>3</v>
      </c>
      <c r="AC66" t="n">
        <v>-2</v>
      </c>
      <c r="AD66" t="n">
        <v>2</v>
      </c>
      <c r="AE66" s="20">
        <f>INDEX('24_FINAL_ITEM_WEIGHTS'!$I$5:$I$84,MATCH(B66,'24_FINAL_ITEM_WEIGHTS'!$A$5:$A$84,0))</f>
        <v/>
      </c>
    </row>
    <row r="67">
      <c r="A67" s="4" t="n">
        <v>63</v>
      </c>
      <c r="B67" s="4" t="inlineStr">
        <is>
          <t>G16</t>
        </is>
      </c>
      <c r="C67" s="4" t="inlineStr">
        <is>
          <t>當一個人或一套做法的狀態需要修復時，你比較自然會扮演哪種角色？</t>
        </is>
      </c>
      <c r="D67" s="4" t="inlineStr">
        <is>
          <t>找出哪個環節出了問題，調整流程或結構讓它恢復正常</t>
        </is>
      </c>
      <c r="E67" s="4" t="inlineStr">
        <is>
          <t>把照顧、支持或陪伴當成自己主要會做的事</t>
        </is>
      </c>
      <c r="F67" s="4" t="n">
        <v>1</v>
      </c>
      <c r="G67" s="4" t="inlineStr">
        <is>
          <t>x=raw×key</t>
        </is>
      </c>
      <c r="H67" t="n">
        <v>3</v>
      </c>
      <c r="I67" t="n">
        <v>1</v>
      </c>
      <c r="J67" t="n">
        <v>1</v>
      </c>
      <c r="K67" t="n">
        <v>2</v>
      </c>
      <c r="L67" t="n">
        <v>0</v>
      </c>
      <c r="M67" t="n">
        <v>0</v>
      </c>
      <c r="N67" t="n">
        <v>3</v>
      </c>
      <c r="O67" t="n">
        <v>3</v>
      </c>
      <c r="P67" t="n">
        <v>3</v>
      </c>
      <c r="Q67" t="n">
        <v>0</v>
      </c>
      <c r="R67" t="n">
        <v>-2</v>
      </c>
      <c r="S67" t="n">
        <v>1</v>
      </c>
      <c r="T67" t="n">
        <v>1</v>
      </c>
      <c r="U67" t="n">
        <v>0</v>
      </c>
      <c r="V67" t="n">
        <v>1</v>
      </c>
      <c r="W67" t="n">
        <v>-1</v>
      </c>
      <c r="X67" t="n">
        <v>-1</v>
      </c>
      <c r="Y67" t="n">
        <v>0</v>
      </c>
      <c r="Z67" t="n">
        <v>-1</v>
      </c>
      <c r="AA67" t="n">
        <v>-2</v>
      </c>
      <c r="AB67" t="n">
        <v>-1</v>
      </c>
      <c r="AC67" t="n">
        <v>-1</v>
      </c>
      <c r="AD67" t="n">
        <v>1</v>
      </c>
      <c r="AE67" s="20">
        <f>INDEX('24_FINAL_ITEM_WEIGHTS'!$I$5:$I$84,MATCH(B67,'24_FINAL_ITEM_WEIGHTS'!$A$5:$A$84,0))</f>
        <v/>
      </c>
    </row>
    <row r="68">
      <c r="A68" s="4" t="n">
        <v>64</v>
      </c>
      <c r="B68" s="4" t="inlineStr">
        <is>
          <t>L26</t>
        </is>
      </c>
      <c r="C68" s="4" t="inlineStr">
        <is>
          <t>如果你想長期守住一個共同活動的品質，你比較自然會……</t>
        </is>
      </c>
      <c r="D68" s="4" t="inlineStr">
        <is>
          <t>在真正有需要的時候，做有限而準確的調整</t>
        </is>
      </c>
      <c r="E68" s="4" t="inlineStr">
        <is>
          <t>維持清楚的使用規則和界線，沒有必要就不多管</t>
        </is>
      </c>
      <c r="F68" s="4" t="n">
        <v>1</v>
      </c>
      <c r="G68" s="4" t="inlineStr">
        <is>
          <t>x=raw×key</t>
        </is>
      </c>
      <c r="H68" t="n">
        <v>1</v>
      </c>
      <c r="I68" t="n">
        <v>-1</v>
      </c>
      <c r="J68" t="n">
        <v>-2</v>
      </c>
      <c r="K68" t="n">
        <v>1</v>
      </c>
      <c r="L68" t="n">
        <v>1</v>
      </c>
      <c r="M68" t="n">
        <v>-2</v>
      </c>
      <c r="N68" t="n">
        <v>1</v>
      </c>
      <c r="O68" t="n">
        <v>1</v>
      </c>
      <c r="P68" t="n">
        <v>2</v>
      </c>
      <c r="Q68" t="n">
        <v>-2</v>
      </c>
      <c r="R68" t="n">
        <v>-3</v>
      </c>
      <c r="S68" t="n">
        <v>1</v>
      </c>
      <c r="T68" t="n">
        <v>3</v>
      </c>
      <c r="U68" t="n">
        <v>-2</v>
      </c>
      <c r="V68" t="n">
        <v>3</v>
      </c>
      <c r="W68" t="n">
        <v>-2</v>
      </c>
      <c r="X68" t="n">
        <v>-3</v>
      </c>
      <c r="Y68" t="n">
        <v>2</v>
      </c>
      <c r="Z68" t="n">
        <v>-3</v>
      </c>
      <c r="AA68" t="n">
        <v>-3</v>
      </c>
      <c r="AB68" t="n">
        <v>-2</v>
      </c>
      <c r="AC68" t="n">
        <v>-3</v>
      </c>
      <c r="AD68" t="n">
        <v>-1</v>
      </c>
      <c r="AE68" s="20">
        <f>INDEX('24_FINAL_ITEM_WEIGHTS'!$I$5:$I$84,MATCH(B68,'24_FINAL_ITEM_WEIGHTS'!$A$5:$A$84,0))</f>
        <v/>
      </c>
    </row>
    <row r="69">
      <c r="A69" s="4" t="n">
        <v>65</v>
      </c>
      <c r="B69" s="4" t="inlineStr">
        <is>
          <t>G25</t>
        </is>
      </c>
      <c r="C69" s="4" t="inlineStr">
        <is>
          <t>在一個長期共同計畫裡，你比較自然承擔哪種角色？</t>
        </is>
      </c>
      <c r="D69" s="4" t="inlineStr">
        <is>
          <t>把流程、資源或基礎一步步建好，並持續維護</t>
        </is>
      </c>
      <c r="E69" s="4" t="inlineStr">
        <is>
          <t>負責保護重要的人、事和界線</t>
        </is>
      </c>
      <c r="F69" s="4" t="n">
        <v>1</v>
      </c>
      <c r="G69" s="4" t="inlineStr">
        <is>
          <t>x=raw×key</t>
        </is>
      </c>
      <c r="H69" t="n">
        <v>0</v>
      </c>
      <c r="I69" t="n">
        <v>-1</v>
      </c>
      <c r="J69" t="n">
        <v>1</v>
      </c>
      <c r="K69" t="n">
        <v>0</v>
      </c>
      <c r="L69" t="n">
        <v>-1</v>
      </c>
      <c r="M69" t="n">
        <v>0</v>
      </c>
      <c r="N69" t="n">
        <v>0</v>
      </c>
      <c r="O69" t="n">
        <v>0</v>
      </c>
      <c r="P69" t="n">
        <v>0</v>
      </c>
      <c r="Q69" t="n">
        <v>-1</v>
      </c>
      <c r="R69" t="n">
        <v>-1</v>
      </c>
      <c r="S69" t="n">
        <v>0</v>
      </c>
      <c r="T69" t="n">
        <v>2</v>
      </c>
      <c r="U69" t="n">
        <v>0</v>
      </c>
      <c r="V69" t="n">
        <v>2</v>
      </c>
      <c r="W69" t="n">
        <v>-1</v>
      </c>
      <c r="X69" t="n">
        <v>1</v>
      </c>
      <c r="Y69" t="n">
        <v>2</v>
      </c>
      <c r="Z69" t="n">
        <v>0</v>
      </c>
      <c r="AA69" t="n">
        <v>-1</v>
      </c>
      <c r="AB69" t="n">
        <v>0</v>
      </c>
      <c r="AC69" t="n">
        <v>2</v>
      </c>
      <c r="AD69" t="n">
        <v>-1</v>
      </c>
      <c r="AE69" s="20">
        <f>INDEX('24_FINAL_ITEM_WEIGHTS'!$I$5:$I$84,MATCH(B69,'24_FINAL_ITEM_WEIGHTS'!$A$5:$A$84,0))</f>
        <v/>
      </c>
    </row>
    <row r="70">
      <c r="A70" s="4" t="n">
        <v>66</v>
      </c>
      <c r="B70" s="4" t="inlineStr">
        <is>
          <t>L12</t>
        </is>
      </c>
      <c r="C70" s="4" t="inlineStr">
        <is>
          <t>一個跨很多單位的方案已經定出大方向時，你比較想負責……</t>
        </is>
      </c>
      <c r="D70" s="4" t="inlineStr">
        <is>
          <t>安排不同單位怎樣分工、資源怎樣分、誰負責什麼</t>
        </is>
      </c>
      <c r="E70" s="4" t="inlineStr">
        <is>
          <t>把方案變成現場能照著做的流程和工具</t>
        </is>
      </c>
      <c r="F70" s="4" t="n">
        <v>1</v>
      </c>
      <c r="G70" s="4" t="inlineStr">
        <is>
          <t>x=raw×key</t>
        </is>
      </c>
      <c r="H70" t="n">
        <v>3</v>
      </c>
      <c r="I70" t="n">
        <v>2</v>
      </c>
      <c r="J70" t="n">
        <v>3</v>
      </c>
      <c r="K70" t="n">
        <v>2</v>
      </c>
      <c r="L70" t="n">
        <v>2</v>
      </c>
      <c r="M70" t="n">
        <v>2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2</v>
      </c>
      <c r="T70" t="n">
        <v>3</v>
      </c>
      <c r="U70" t="n">
        <v>0</v>
      </c>
      <c r="V70" t="n">
        <v>3</v>
      </c>
      <c r="W70" t="n">
        <v>3</v>
      </c>
      <c r="X70" t="n">
        <v>-2</v>
      </c>
      <c r="Y70" t="n">
        <v>3</v>
      </c>
      <c r="Z70" t="n">
        <v>2</v>
      </c>
      <c r="AA70" t="n">
        <v>-3</v>
      </c>
      <c r="AB70" t="n">
        <v>3</v>
      </c>
      <c r="AC70" t="n">
        <v>2</v>
      </c>
      <c r="AD70" t="n">
        <v>3</v>
      </c>
      <c r="AE70" s="20">
        <f>INDEX('24_FINAL_ITEM_WEIGHTS'!$I$5:$I$84,MATCH(B70,'24_FINAL_ITEM_WEIGHTS'!$A$5:$A$84,0))</f>
        <v/>
      </c>
    </row>
    <row r="71">
      <c r="A71" s="4" t="n">
        <v>67</v>
      </c>
      <c r="B71" s="4" t="inlineStr">
        <is>
          <t>G03</t>
        </is>
      </c>
      <c r="C71" s="4" t="inlineStr">
        <is>
          <t>想改善一個使用起來不太順的空間或服務時，你比較傾向……</t>
        </is>
      </c>
      <c r="D71" s="4" t="inlineStr">
        <is>
          <t>調整光線、聲音、材質、節奏或擺設，改變整體感受</t>
        </is>
      </c>
      <c r="E71" s="4" t="inlineStr">
        <is>
          <t>找出流程和使用方式哪裡有問題，再調整得更好用</t>
        </is>
      </c>
      <c r="F71" s="4" t="n">
        <v>-1</v>
      </c>
      <c r="G71" s="4" t="inlineStr">
        <is>
          <t>x=raw×key</t>
        </is>
      </c>
      <c r="H71" t="n">
        <v>1</v>
      </c>
      <c r="I71" t="n">
        <v>-1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3</v>
      </c>
      <c r="P71" t="n">
        <v>1</v>
      </c>
      <c r="Q71" t="n">
        <v>0</v>
      </c>
      <c r="R71" t="n">
        <v>-3</v>
      </c>
      <c r="S71" t="n">
        <v>1</v>
      </c>
      <c r="T71" t="n">
        <v>1</v>
      </c>
      <c r="U71" t="n">
        <v>0</v>
      </c>
      <c r="V71" t="n">
        <v>0</v>
      </c>
      <c r="W71" t="n">
        <v>-2</v>
      </c>
      <c r="X71" t="n">
        <v>-2</v>
      </c>
      <c r="Y71" t="n">
        <v>-1</v>
      </c>
      <c r="Z71" t="n">
        <v>-2</v>
      </c>
      <c r="AA71" t="n">
        <v>-3</v>
      </c>
      <c r="AB71" t="n">
        <v>-1</v>
      </c>
      <c r="AC71" t="n">
        <v>-2</v>
      </c>
      <c r="AD71" t="n">
        <v>0</v>
      </c>
      <c r="AE71" s="20">
        <f>INDEX('24_FINAL_ITEM_WEIGHTS'!$I$5:$I$84,MATCH(B71,'24_FINAL_ITEM_WEIGHTS'!$A$5:$A$84,0))</f>
        <v/>
      </c>
    </row>
    <row r="72">
      <c r="A72" s="4" t="n">
        <v>68</v>
      </c>
      <c r="B72" s="4" t="inlineStr">
        <is>
          <t>L30</t>
        </is>
      </c>
      <c r="C72" s="4" t="inlineStr">
        <is>
          <t>一套重要做法需要長期延續時，你比較在意……</t>
        </is>
      </c>
      <c r="D72" s="4" t="inlineStr">
        <is>
          <t>核心內容和標準有沒有完整保留下來，並正確傳給下一個人</t>
        </is>
      </c>
      <c r="E72" s="4" t="inlineStr">
        <is>
          <t>整體方向和節奏有沒有保持穩定，讓大家一直知道可以依循什麼</t>
        </is>
      </c>
      <c r="F72" s="4" t="n">
        <v>-1</v>
      </c>
      <c r="G72" s="4" t="inlineStr">
        <is>
          <t>x=raw×key</t>
        </is>
      </c>
      <c r="H72" t="n">
        <v>-3</v>
      </c>
      <c r="I72" t="n">
        <v>-3</v>
      </c>
      <c r="J72" t="n">
        <v>3</v>
      </c>
      <c r="K72" t="n">
        <v>-2</v>
      </c>
      <c r="L72" t="n">
        <v>-3</v>
      </c>
      <c r="M72" t="n">
        <v>0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-1</v>
      </c>
      <c r="T72" t="n">
        <v>0</v>
      </c>
      <c r="U72" t="n">
        <v>-2</v>
      </c>
      <c r="V72" t="n">
        <v>-3</v>
      </c>
      <c r="W72" t="n">
        <v>0</v>
      </c>
      <c r="X72" t="n">
        <v>-2</v>
      </c>
      <c r="Y72" t="n">
        <v>0</v>
      </c>
      <c r="Z72" t="n">
        <v>-2</v>
      </c>
      <c r="AA72" t="n">
        <v>-2</v>
      </c>
      <c r="AB72" t="n">
        <v>-3</v>
      </c>
      <c r="AC72" t="n">
        <v>0</v>
      </c>
      <c r="AD72" t="n">
        <v>-3</v>
      </c>
      <c r="AE72" s="20">
        <f>INDEX('24_FINAL_ITEM_WEIGHTS'!$I$5:$I$84,MATCH(B72,'24_FINAL_ITEM_WEIGHTS'!$A$5:$A$84,0))</f>
        <v/>
      </c>
    </row>
    <row r="73">
      <c r="A73" s="4" t="n">
        <v>69</v>
      </c>
      <c r="B73" s="4" t="inlineStr">
        <is>
          <t>A12</t>
        </is>
      </c>
      <c r="C73" s="4" t="inlineStr">
        <is>
          <t>當同一套規則在不同地方遇到不同例外時，你比較自然會設計哪種做法？</t>
        </is>
      </c>
      <c r="D73" s="4" t="inlineStr">
        <is>
          <t>讓各地方有清楚的負責人，遇到例外時可以直接判斷和處理</t>
        </is>
      </c>
      <c r="E73" s="4" t="inlineStr">
        <is>
          <t>先訂一套所有地方都適用的例外處理原則和資源安排</t>
        </is>
      </c>
      <c r="F73" s="4" t="n">
        <v>-1</v>
      </c>
      <c r="G73" s="4" t="inlineStr">
        <is>
          <t>x=raw×key</t>
        </is>
      </c>
      <c r="H73" t="n">
        <v>3</v>
      </c>
      <c r="I73" t="n">
        <v>0</v>
      </c>
      <c r="J73" t="n">
        <v>3</v>
      </c>
      <c r="K73" t="n">
        <v>2</v>
      </c>
      <c r="L73" t="n">
        <v>1</v>
      </c>
      <c r="M73" t="n">
        <v>2</v>
      </c>
      <c r="N73" t="n">
        <v>3</v>
      </c>
      <c r="O73" t="n">
        <v>3</v>
      </c>
      <c r="P73" t="n">
        <v>3</v>
      </c>
      <c r="Q73" t="n">
        <v>2</v>
      </c>
      <c r="R73" t="n">
        <v>0</v>
      </c>
      <c r="S73" t="n">
        <v>2</v>
      </c>
      <c r="T73" t="n">
        <v>3</v>
      </c>
      <c r="U73" t="n">
        <v>1</v>
      </c>
      <c r="V73" t="n">
        <v>3</v>
      </c>
      <c r="W73" t="n">
        <v>1</v>
      </c>
      <c r="X73" t="n">
        <v>2</v>
      </c>
      <c r="Y73" t="n">
        <v>3</v>
      </c>
      <c r="Z73" t="n">
        <v>1</v>
      </c>
      <c r="AA73" t="n">
        <v>-2</v>
      </c>
      <c r="AB73" t="n">
        <v>1</v>
      </c>
      <c r="AC73" t="n">
        <v>2</v>
      </c>
      <c r="AD73" t="n">
        <v>2</v>
      </c>
      <c r="AE73" s="20">
        <f>INDEX('24_FINAL_ITEM_WEIGHTS'!$I$5:$I$84,MATCH(B73,'24_FINAL_ITEM_WEIGHTS'!$A$5:$A$84,0))</f>
        <v/>
      </c>
    </row>
    <row r="74">
      <c r="A74" s="4" t="n">
        <v>70</v>
      </c>
      <c r="B74" s="4" t="inlineStr">
        <is>
          <t>L23</t>
        </is>
      </c>
      <c r="C74" s="4" t="inlineStr">
        <is>
          <t>一個新的合作邀請，需要你決定自己要投入到什麼程度時，你比較傾向……</t>
        </is>
      </c>
      <c r="D74" s="4" t="inlineStr">
        <is>
          <t>按自己的界線先決定哪些部分可以開放、哪些要保留</t>
        </is>
      </c>
      <c r="E74" s="4" t="inlineStr">
        <is>
          <t>先看情況和真正需要，再在最有幫助的時候投入</t>
        </is>
      </c>
      <c r="F74" s="4" t="n">
        <v>-1</v>
      </c>
      <c r="G74" s="4" t="inlineStr">
        <is>
          <t>x=raw×key</t>
        </is>
      </c>
      <c r="H74" t="n">
        <v>1</v>
      </c>
      <c r="I74" t="n">
        <v>-1</v>
      </c>
      <c r="J74" t="n">
        <v>-2</v>
      </c>
      <c r="K74" t="n">
        <v>1</v>
      </c>
      <c r="L74" t="n">
        <v>1</v>
      </c>
      <c r="M74" t="n">
        <v>-2</v>
      </c>
      <c r="N74" t="n">
        <v>1</v>
      </c>
      <c r="O74" t="n">
        <v>1</v>
      </c>
      <c r="P74" t="n">
        <v>2</v>
      </c>
      <c r="Q74" t="n">
        <v>-2</v>
      </c>
      <c r="R74" t="n">
        <v>-3</v>
      </c>
      <c r="S74" t="n">
        <v>1</v>
      </c>
      <c r="T74" t="n">
        <v>3</v>
      </c>
      <c r="U74" t="n">
        <v>-2</v>
      </c>
      <c r="V74" t="n">
        <v>3</v>
      </c>
      <c r="W74" t="n">
        <v>-2</v>
      </c>
      <c r="X74" t="n">
        <v>-3</v>
      </c>
      <c r="Y74" t="n">
        <v>2</v>
      </c>
      <c r="Z74" t="n">
        <v>-3</v>
      </c>
      <c r="AA74" t="n">
        <v>-3</v>
      </c>
      <c r="AB74" t="n">
        <v>-2</v>
      </c>
      <c r="AC74" t="n">
        <v>-3</v>
      </c>
      <c r="AD74" t="n">
        <v>-1</v>
      </c>
      <c r="AE74" s="20">
        <f>INDEX('24_FINAL_ITEM_WEIGHTS'!$I$5:$I$84,MATCH(B74,'24_FINAL_ITEM_WEIGHTS'!$A$5:$A$84,0))</f>
        <v/>
      </c>
    </row>
    <row r="75">
      <c r="A75" s="4" t="n">
        <v>71</v>
      </c>
      <c r="B75" s="4" t="inlineStr">
        <is>
          <t>L10</t>
        </is>
      </c>
      <c r="C75" s="4" t="inlineStr">
        <is>
          <t>一套流程已經穩定運作一段時間後，你比較自然把改進重點放在哪裡？</t>
        </is>
      </c>
      <c r="D75" s="4" t="inlineStr">
        <is>
          <t>把執行細節整理得更一致、更容易重複和維護</t>
        </is>
      </c>
      <c r="E75" s="4" t="inlineStr">
        <is>
          <t>繼續找有哪些前提可能不成立，以及哪些問題平時不容易看到</t>
        </is>
      </c>
      <c r="F75" s="4" t="n">
        <v>-1</v>
      </c>
      <c r="G75" s="4" t="inlineStr">
        <is>
          <t>x=raw×key</t>
        </is>
      </c>
      <c r="H75" t="n">
        <v>3</v>
      </c>
      <c r="I75" t="n">
        <v>3</v>
      </c>
      <c r="J75" t="n">
        <v>-1</v>
      </c>
      <c r="K75" t="n">
        <v>2</v>
      </c>
      <c r="L75" t="n">
        <v>2</v>
      </c>
      <c r="M75" t="n">
        <v>0</v>
      </c>
      <c r="N75" t="n">
        <v>3</v>
      </c>
      <c r="O75" t="n">
        <v>3</v>
      </c>
      <c r="P75" t="n">
        <v>3</v>
      </c>
      <c r="Q75" t="n">
        <v>0</v>
      </c>
      <c r="R75" t="n">
        <v>2</v>
      </c>
      <c r="S75" t="n">
        <v>2</v>
      </c>
      <c r="T75" t="n">
        <v>-1</v>
      </c>
      <c r="U75" t="n">
        <v>2</v>
      </c>
      <c r="V75" t="n">
        <v>3</v>
      </c>
      <c r="W75" t="n">
        <v>-2</v>
      </c>
      <c r="X75" t="n">
        <v>1</v>
      </c>
      <c r="Y75" t="n">
        <v>2</v>
      </c>
      <c r="Z75" t="n">
        <v>-1</v>
      </c>
      <c r="AA75" t="n">
        <v>1</v>
      </c>
      <c r="AB75" t="n">
        <v>2</v>
      </c>
      <c r="AC75" t="n">
        <v>-1</v>
      </c>
      <c r="AD75" t="n">
        <v>1</v>
      </c>
      <c r="AE75" s="20">
        <f>INDEX('24_FINAL_ITEM_WEIGHTS'!$I$5:$I$84,MATCH(B75,'24_FINAL_ITEM_WEIGHTS'!$A$5:$A$84,0))</f>
        <v/>
      </c>
    </row>
    <row r="76">
      <c r="A76" s="4" t="n">
        <v>72</v>
      </c>
      <c r="B76" s="4" t="inlineStr">
        <is>
          <t>L13</t>
        </is>
      </c>
      <c r="C76" s="4" t="inlineStr">
        <is>
          <t>要把一個新的固定活動建立起來時，你比較自然會……</t>
        </is>
      </c>
      <c r="D76" s="4" t="inlineStr">
        <is>
          <t>把步驟、工具和交接方法設計清楚，讓每次都容易照著做</t>
        </is>
      </c>
      <c r="E76" s="4" t="inlineStr">
        <is>
          <t>先定下清楚的方向和節奏，讓參與的人一直知道可以跟著什麼走</t>
        </is>
      </c>
      <c r="F76" s="4" t="n">
        <v>1</v>
      </c>
      <c r="G76" s="4" t="inlineStr">
        <is>
          <t>x=raw×key</t>
        </is>
      </c>
      <c r="H76" t="n">
        <v>0</v>
      </c>
      <c r="I76" t="n">
        <v>-2</v>
      </c>
      <c r="J76" t="n">
        <v>1</v>
      </c>
      <c r="K76" t="n">
        <v>-1</v>
      </c>
      <c r="L76" t="n">
        <v>-1</v>
      </c>
      <c r="M76" t="n">
        <v>1</v>
      </c>
      <c r="N76" t="n">
        <v>1</v>
      </c>
      <c r="O76" t="n">
        <v>1</v>
      </c>
      <c r="P76" t="n">
        <v>0</v>
      </c>
      <c r="Q76" t="n">
        <v>3</v>
      </c>
      <c r="R76" t="n">
        <v>-3</v>
      </c>
      <c r="S76" t="n">
        <v>-2</v>
      </c>
      <c r="T76" t="n">
        <v>2</v>
      </c>
      <c r="U76" t="n">
        <v>-1</v>
      </c>
      <c r="V76" t="n">
        <v>0</v>
      </c>
      <c r="W76" t="n">
        <v>1</v>
      </c>
      <c r="X76" t="n">
        <v>0</v>
      </c>
      <c r="Y76" t="n">
        <v>-1</v>
      </c>
      <c r="Z76" t="n">
        <v>1</v>
      </c>
      <c r="AA76" t="n">
        <v>-1</v>
      </c>
      <c r="AB76" t="n">
        <v>0</v>
      </c>
      <c r="AC76" t="n">
        <v>1</v>
      </c>
      <c r="AD76" t="n">
        <v>2</v>
      </c>
      <c r="AE76" s="20">
        <f>INDEX('24_FINAL_ITEM_WEIGHTS'!$I$5:$I$84,MATCH(B76,'24_FINAL_ITEM_WEIGHTS'!$A$5:$A$84,0))</f>
        <v/>
      </c>
    </row>
    <row r="77">
      <c r="A77" s="4" t="n">
        <v>73</v>
      </c>
      <c r="B77" s="4" t="inlineStr">
        <is>
          <t>L22</t>
        </is>
      </c>
      <c r="C77" s="4" t="inlineStr">
        <is>
          <t>面對一件需要被保護、而且有很多人參與的事情時，你比較傾向……</t>
        </is>
      </c>
      <c r="D77" s="4" t="inlineStr">
        <is>
          <t>先說清楚誰負責、誰最後決定，大家按分工行動</t>
        </is>
      </c>
      <c r="E77" s="4" t="inlineStr">
        <is>
          <t>先觀察情況，在真正需要時才出手幫忙</t>
        </is>
      </c>
      <c r="F77" s="4" t="n">
        <v>-1</v>
      </c>
      <c r="G77" s="4" t="inlineStr">
        <is>
          <t>x=raw×key</t>
        </is>
      </c>
      <c r="H77" t="n">
        <v>0</v>
      </c>
      <c r="I77" t="n">
        <v>2</v>
      </c>
      <c r="J77" t="n">
        <v>-1</v>
      </c>
      <c r="K77" t="n">
        <v>0</v>
      </c>
      <c r="L77" t="n">
        <v>3</v>
      </c>
      <c r="M77" t="n">
        <v>-2</v>
      </c>
      <c r="N77" t="n">
        <v>0</v>
      </c>
      <c r="O77" t="n">
        <v>1</v>
      </c>
      <c r="P77" t="n">
        <v>2</v>
      </c>
      <c r="Q77" t="n">
        <v>-2</v>
      </c>
      <c r="R77" t="n">
        <v>0</v>
      </c>
      <c r="S77" t="n">
        <v>1</v>
      </c>
      <c r="T77" t="n">
        <v>-2</v>
      </c>
      <c r="U77" t="n">
        <v>-1</v>
      </c>
      <c r="V77" t="n">
        <v>3</v>
      </c>
      <c r="W77" t="n">
        <v>-3</v>
      </c>
      <c r="X77" t="n">
        <v>3</v>
      </c>
      <c r="Y77" t="n">
        <v>1</v>
      </c>
      <c r="Z77" t="n">
        <v>-3</v>
      </c>
      <c r="AA77" t="n">
        <v>2</v>
      </c>
      <c r="AB77" t="n">
        <v>0</v>
      </c>
      <c r="AC77" t="n">
        <v>-3</v>
      </c>
      <c r="AD77" t="n">
        <v>0</v>
      </c>
      <c r="AE77" s="20">
        <f>INDEX('24_FINAL_ITEM_WEIGHTS'!$I$5:$I$84,MATCH(B77,'24_FINAL_ITEM_WEIGHTS'!$A$5:$A$84,0))</f>
        <v/>
      </c>
    </row>
    <row r="78">
      <c r="A78" s="4" t="n">
        <v>74</v>
      </c>
      <c r="B78" s="4" t="inlineStr">
        <is>
          <t>L38</t>
        </is>
      </c>
      <c r="C78" s="4" t="inlineStr">
        <is>
          <t>如果你想改善自己長期生活的一個地方，你比較自然會從哪裡開始？</t>
        </is>
      </c>
      <c r="D78" s="4" t="inlineStr">
        <is>
          <t>持續參與維護和照料，讓這個地方的生活好好延續</t>
        </is>
      </c>
      <c r="E78" s="4" t="inlineStr">
        <is>
          <t>把流程和工具做得更可靠，讓大家平時更好用</t>
        </is>
      </c>
      <c r="F78" s="4" t="n">
        <v>1</v>
      </c>
      <c r="G78" s="4" t="inlineStr">
        <is>
          <t>x=raw×key</t>
        </is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2</v>
      </c>
      <c r="Q78" t="n">
        <v>3</v>
      </c>
      <c r="R78" t="n">
        <v>3</v>
      </c>
      <c r="S78" t="n">
        <v>3</v>
      </c>
      <c r="T78" t="n">
        <v>2</v>
      </c>
      <c r="U78" t="n">
        <v>3</v>
      </c>
      <c r="V78" t="n">
        <v>2</v>
      </c>
      <c r="W78" t="n">
        <v>3</v>
      </c>
      <c r="X78" t="n">
        <v>3</v>
      </c>
      <c r="Y78" t="n">
        <v>2</v>
      </c>
      <c r="Z78" t="n">
        <v>3</v>
      </c>
      <c r="AA78" t="n">
        <v>3</v>
      </c>
      <c r="AB78" t="n">
        <v>3</v>
      </c>
      <c r="AC78" t="n">
        <v>3</v>
      </c>
      <c r="AD78" t="n">
        <v>-3</v>
      </c>
      <c r="AE78" s="20">
        <f>INDEX('24_FINAL_ITEM_WEIGHTS'!$I$5:$I$84,MATCH(B78,'24_FINAL_ITEM_WEIGHTS'!$A$5:$A$84,0))</f>
        <v/>
      </c>
    </row>
    <row r="79">
      <c r="A79" s="4" t="n">
        <v>75</v>
      </c>
      <c r="B79" s="4" t="inlineStr">
        <is>
          <t>A08</t>
        </is>
      </c>
      <c r="C79" s="4" t="inlineStr">
        <is>
          <t>當一個共同方向已經存在，但參與者的需要一直在改變時，你比較自然會……</t>
        </is>
      </c>
      <c r="D79" s="4" t="inlineStr">
        <is>
          <t>持續了解大家需要什麼，幫大家重新談出下一步</t>
        </is>
      </c>
      <c r="E79" s="4" t="inlineStr">
        <is>
          <t>維持清楚的方向和原則，讓大家有共同依據</t>
        </is>
      </c>
      <c r="F79" s="4" t="n">
        <v>1</v>
      </c>
      <c r="G79" s="4" t="inlineStr">
        <is>
          <t>x=raw×key</t>
        </is>
      </c>
      <c r="H79" t="n">
        <v>-1</v>
      </c>
      <c r="I79" t="n">
        <v>-2</v>
      </c>
      <c r="J79" t="n">
        <v>2</v>
      </c>
      <c r="K79" t="n">
        <v>-2</v>
      </c>
      <c r="L79" t="n">
        <v>2</v>
      </c>
      <c r="M79" t="n">
        <v>-2</v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-3</v>
      </c>
      <c r="T79" t="n">
        <v>3</v>
      </c>
      <c r="U79" t="n">
        <v>-3</v>
      </c>
      <c r="V79" t="n">
        <v>1</v>
      </c>
      <c r="W79" t="n">
        <v>3</v>
      </c>
      <c r="X79" t="n">
        <v>3</v>
      </c>
      <c r="Y79" t="n">
        <v>1</v>
      </c>
      <c r="Z79" t="n">
        <v>2</v>
      </c>
      <c r="AA79" t="n">
        <v>2</v>
      </c>
      <c r="AB79" t="n">
        <v>-3</v>
      </c>
      <c r="AC79" t="n">
        <v>1</v>
      </c>
      <c r="AD79" t="n">
        <v>2</v>
      </c>
      <c r="AE79" s="20">
        <f>INDEX('24_FINAL_ITEM_WEIGHTS'!$I$5:$I$84,MATCH(B79,'24_FINAL_ITEM_WEIGHTS'!$A$5:$A$84,0))</f>
        <v/>
      </c>
    </row>
    <row r="80">
      <c r="A80" s="4" t="n">
        <v>76</v>
      </c>
      <c r="B80" s="4" t="inlineStr">
        <is>
          <t>L08</t>
        </is>
      </c>
      <c r="C80" s="4" t="inlineStr">
        <is>
          <t>如果有兩個同樣吸引你的自由選擇，你比較容易被哪一種吸引？</t>
        </is>
      </c>
      <c r="D80" s="4" t="inlineStr">
        <is>
          <t>可以讓你改掉多餘限制、離開舊做法，重新自己作主</t>
        </is>
      </c>
      <c r="E80" s="4" t="inlineStr">
        <is>
          <t>可以讓你接觸很多不同領域和材料，再自由組合出新東西</t>
        </is>
      </c>
      <c r="F80" s="4" t="n">
        <v>-1</v>
      </c>
      <c r="G80" s="4" t="inlineStr">
        <is>
          <t>x=raw×key</t>
        </is>
      </c>
      <c r="H80" t="n">
        <v>1</v>
      </c>
      <c r="I80" t="n">
        <v>0</v>
      </c>
      <c r="J80" t="n">
        <v>0</v>
      </c>
      <c r="K80" t="n">
        <v>2</v>
      </c>
      <c r="L80" t="n">
        <v>2</v>
      </c>
      <c r="M80" t="n">
        <v>-2</v>
      </c>
      <c r="N80" t="n">
        <v>1</v>
      </c>
      <c r="O80" t="n">
        <v>-1</v>
      </c>
      <c r="P80" t="n">
        <v>0</v>
      </c>
      <c r="Q80" t="n">
        <v>0</v>
      </c>
      <c r="R80" t="n">
        <v>0</v>
      </c>
      <c r="S80" t="n">
        <v>-2</v>
      </c>
      <c r="T80" t="n">
        <v>0</v>
      </c>
      <c r="U80" t="n">
        <v>0</v>
      </c>
      <c r="V80" t="n">
        <v>2</v>
      </c>
      <c r="W80" t="n">
        <v>-1</v>
      </c>
      <c r="X80" t="n">
        <v>2</v>
      </c>
      <c r="Y80" t="n">
        <v>1</v>
      </c>
      <c r="Z80" t="n">
        <v>0</v>
      </c>
      <c r="AA80" t="n">
        <v>2</v>
      </c>
      <c r="AB80" t="n">
        <v>-1</v>
      </c>
      <c r="AC80" t="n">
        <v>2</v>
      </c>
      <c r="AD80" t="n">
        <v>-1</v>
      </c>
      <c r="AE80" s="20">
        <f>INDEX('24_FINAL_ITEM_WEIGHTS'!$I$5:$I$84,MATCH(B80,'24_FINAL_ITEM_WEIGHTS'!$A$5:$A$84,0))</f>
        <v/>
      </c>
    </row>
    <row r="81">
      <c r="A81" s="4" t="n">
        <v>77</v>
      </c>
      <c r="B81" s="4" t="inlineStr">
        <is>
          <t>L17</t>
        </is>
      </c>
      <c r="C81" s="4" t="inlineStr">
        <is>
          <t>當一個明確的阻礙擋住正在進行的事情時，你比較自然怎麼處理？</t>
        </is>
      </c>
      <c r="D81" s="4" t="inlineStr">
        <is>
          <t>先看清風險、限制和手上有什麼，再決定怎樣繞過問題或減少影響</t>
        </is>
      </c>
      <c r="E81" s="4" t="inlineStr">
        <is>
          <t>立刻正面處理阻礙，快速做第一步把事情推動起來</t>
        </is>
      </c>
      <c r="F81" s="4" t="n">
        <v>1</v>
      </c>
      <c r="G81" s="4" t="inlineStr">
        <is>
          <t>x=raw×key</t>
        </is>
      </c>
      <c r="H81" t="n">
        <v>-2</v>
      </c>
      <c r="I81" t="n">
        <v>0</v>
      </c>
      <c r="J81" t="n">
        <v>-3</v>
      </c>
      <c r="K81" t="n">
        <v>0</v>
      </c>
      <c r="L81" t="n">
        <v>2</v>
      </c>
      <c r="M81" t="n">
        <v>-2</v>
      </c>
      <c r="N81" t="n">
        <v>-2</v>
      </c>
      <c r="O81" t="n">
        <v>-1</v>
      </c>
      <c r="P81" t="n">
        <v>1</v>
      </c>
      <c r="Q81" t="n">
        <v>-2</v>
      </c>
      <c r="R81" t="n">
        <v>-2</v>
      </c>
      <c r="S81" t="n">
        <v>-2</v>
      </c>
      <c r="T81" t="n">
        <v>-3</v>
      </c>
      <c r="U81" t="n">
        <v>-2</v>
      </c>
      <c r="V81" t="n">
        <v>2</v>
      </c>
      <c r="W81" t="n">
        <v>-3</v>
      </c>
      <c r="X81" t="n">
        <v>-1</v>
      </c>
      <c r="Y81" t="n">
        <v>-2</v>
      </c>
      <c r="Z81" t="n">
        <v>-3</v>
      </c>
      <c r="AA81" t="n">
        <v>-2</v>
      </c>
      <c r="AB81" t="n">
        <v>0</v>
      </c>
      <c r="AC81" t="n">
        <v>-3</v>
      </c>
      <c r="AD81" t="n">
        <v>-1</v>
      </c>
      <c r="AE81" s="20">
        <f>INDEX('24_FINAL_ITEM_WEIGHTS'!$I$5:$I$84,MATCH(B81,'24_FINAL_ITEM_WEIGHTS'!$A$5:$A$84,0))</f>
        <v/>
      </c>
    </row>
    <row r="82">
      <c r="A82" s="4" t="n">
        <v>78</v>
      </c>
      <c r="B82" s="4" t="inlineStr">
        <is>
          <t>L20</t>
        </is>
      </c>
      <c r="C82" s="4" t="inlineStr">
        <is>
          <t>當外在條件改變，讓你重新決定自己要不要繼續參與時，你比較傾向……</t>
        </is>
      </c>
      <c r="D82" s="4" t="inlineStr">
        <is>
          <t>按自己原本的方向和界線決定留不留下</t>
        </is>
      </c>
      <c r="E82" s="4" t="inlineStr">
        <is>
          <t>按目前的風險、資源和現實情況調整做法，必要時改變原本方向</t>
        </is>
      </c>
      <c r="F82" s="4" t="n">
        <v>-1</v>
      </c>
      <c r="G82" s="4" t="inlineStr">
        <is>
          <t>x=raw×key</t>
        </is>
      </c>
      <c r="H82" t="n">
        <v>0</v>
      </c>
      <c r="I82" t="n">
        <v>-2</v>
      </c>
      <c r="J82" t="n">
        <v>1</v>
      </c>
      <c r="K82" t="n">
        <v>-2</v>
      </c>
      <c r="L82" t="n">
        <v>-2</v>
      </c>
      <c r="M82" t="n">
        <v>0</v>
      </c>
      <c r="N82" t="n">
        <v>0</v>
      </c>
      <c r="O82" t="n">
        <v>-1</v>
      </c>
      <c r="P82" t="n">
        <v>0</v>
      </c>
      <c r="Q82" t="n">
        <v>2</v>
      </c>
      <c r="R82" t="n">
        <v>1</v>
      </c>
      <c r="S82" t="n">
        <v>-2</v>
      </c>
      <c r="T82" t="n">
        <v>3</v>
      </c>
      <c r="U82" t="n">
        <v>1</v>
      </c>
      <c r="V82" t="n">
        <v>-3</v>
      </c>
      <c r="W82" t="n">
        <v>3</v>
      </c>
      <c r="X82" t="n">
        <v>-2</v>
      </c>
      <c r="Y82" t="n">
        <v>-3</v>
      </c>
      <c r="Z82" t="n">
        <v>3</v>
      </c>
      <c r="AA82" t="n">
        <v>1</v>
      </c>
      <c r="AB82" t="n">
        <v>0</v>
      </c>
      <c r="AC82" t="n">
        <v>2</v>
      </c>
      <c r="AD82" t="n">
        <v>0</v>
      </c>
      <c r="AE82" s="20">
        <f>INDEX('24_FINAL_ITEM_WEIGHTS'!$I$5:$I$84,MATCH(B82,'24_FINAL_ITEM_WEIGHTS'!$A$5:$A$84,0))</f>
        <v/>
      </c>
    </row>
    <row r="83">
      <c r="A83" s="4" t="n">
        <v>79</v>
      </c>
      <c r="B83" s="4" t="inlineStr">
        <is>
          <t>L09</t>
        </is>
      </c>
      <c r="C83" s="4" t="inlineStr">
        <is>
          <t>當你進入一個自由度很高、但做法還不太成形的計畫時，你最容易被哪種工作吸引？</t>
        </is>
      </c>
      <c r="D83" s="4" t="inlineStr">
        <is>
          <t>找出哪裡不順，重新整理做法，讓整體順起來</t>
        </is>
      </c>
      <c r="E83" s="4" t="inlineStr">
        <is>
          <t>利用還沒定型的空間，跨不同領域探索新的想法</t>
        </is>
      </c>
      <c r="F83" s="4" t="n">
        <v>-1</v>
      </c>
      <c r="G83" s="4" t="inlineStr">
        <is>
          <t>x=raw×key</t>
        </is>
      </c>
      <c r="H83" t="n">
        <v>2</v>
      </c>
      <c r="I83" t="n">
        <v>2</v>
      </c>
      <c r="J83" t="n">
        <v>3</v>
      </c>
      <c r="K83" t="n">
        <v>-2</v>
      </c>
      <c r="L83" t="n">
        <v>1</v>
      </c>
      <c r="M83" t="n">
        <v>1</v>
      </c>
      <c r="N83" t="n">
        <v>3</v>
      </c>
      <c r="O83" t="n">
        <v>2</v>
      </c>
      <c r="P83" t="n">
        <v>2</v>
      </c>
      <c r="Q83" t="n">
        <v>3</v>
      </c>
      <c r="R83" t="n">
        <v>3</v>
      </c>
      <c r="S83" t="n">
        <v>-2</v>
      </c>
      <c r="T83" t="n">
        <v>0</v>
      </c>
      <c r="U83" t="n">
        <v>-2</v>
      </c>
      <c r="V83" t="n">
        <v>0</v>
      </c>
      <c r="W83" t="n">
        <v>3</v>
      </c>
      <c r="X83" t="n">
        <v>3</v>
      </c>
      <c r="Y83" t="n">
        <v>0</v>
      </c>
      <c r="Z83" t="n">
        <v>1</v>
      </c>
      <c r="AA83" t="n">
        <v>3</v>
      </c>
      <c r="AB83" t="n">
        <v>1</v>
      </c>
      <c r="AC83" t="n">
        <v>1</v>
      </c>
      <c r="AD83" t="n">
        <v>3</v>
      </c>
      <c r="AE83" s="20">
        <f>INDEX('24_FINAL_ITEM_WEIGHTS'!$I$5:$I$84,MATCH(B83,'24_FINAL_ITEM_WEIGHTS'!$A$5:$A$84,0))</f>
        <v/>
      </c>
    </row>
    <row r="84">
      <c r="A84" s="4" t="n">
        <v>80</v>
      </c>
      <c r="B84" s="4" t="inlineStr">
        <is>
          <t>A06</t>
        </is>
      </c>
      <c r="C84" s="4" t="inlineStr">
        <is>
          <t>當一個空間裡的互動開始變淡、彼此距離也增加時，你比較傾向先……</t>
        </is>
      </c>
      <c r="D84" s="4" t="inlineStr">
        <is>
          <t>直接回應人的情緒或實際需要，從互動和安排上調整</t>
        </is>
      </c>
      <c r="E84" s="4" t="inlineStr">
        <is>
          <t>改變光線、聲音、材質或擺設，讓空間本身帶動氣氛</t>
        </is>
      </c>
      <c r="F84" s="4" t="n">
        <v>1</v>
      </c>
      <c r="G84" s="4" t="inlineStr">
        <is>
          <t>x=raw×key</t>
        </is>
      </c>
      <c r="H84" t="n">
        <v>-3</v>
      </c>
      <c r="I84" t="n">
        <v>2</v>
      </c>
      <c r="J84" t="n">
        <v>0</v>
      </c>
      <c r="K84" t="n">
        <v>0</v>
      </c>
      <c r="L84" t="n">
        <v>2</v>
      </c>
      <c r="M84" t="n">
        <v>2</v>
      </c>
      <c r="N84" t="n">
        <v>0</v>
      </c>
      <c r="O84" t="n">
        <v>3</v>
      </c>
      <c r="P84" t="n">
        <v>0</v>
      </c>
      <c r="Q84" t="n">
        <v>0</v>
      </c>
      <c r="R84" t="n">
        <v>0</v>
      </c>
      <c r="S84" t="n">
        <v>2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0</v>
      </c>
      <c r="AE84" s="20">
        <f>INDEX('24_FINAL_ITEM_WEIGHTS'!$I$5:$I$84,MATCH(B84,'24_FINAL_ITEM_WEIGHTS'!$A$5:$A$84,0))</f>
        <v/>
      </c>
    </row>
  </sheetData>
  <mergeCells count="2">
    <mergeCell ref="A2:AD2"/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11" customWidth="1" min="4" max="4"/>
    <col width="28" customWidth="1" min="5" max="5"/>
    <col width="5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5" customWidth="1" min="12" max="12"/>
    <col width="15" customWidth="1" min="13" max="13"/>
  </cols>
  <sheetData>
    <row r="1" ht="30" customHeight="1">
      <c r="A1" s="1" t="inlineStr">
        <is>
          <t>CRITICAL / SEVERE / HIGH Direct-Code Audit</t>
        </is>
      </c>
    </row>
    <row r="2" ht="38" customHeight="1">
      <c r="A2" s="2" t="inlineStr">
        <is>
          <t>CRITICAL gate = all 3 direct cuts directional + ≥2 strong; SEVERE = 2 directional + 2 strong; HIGH = ≥1 directional strong.</t>
        </is>
      </c>
    </row>
    <row r="3"/>
    <row r="4">
      <c r="A4" s="3" t="inlineStr">
        <is>
          <t>Rank</t>
        </is>
      </c>
      <c r="B4" s="3" t="inlineStr">
        <is>
          <t>Pair</t>
        </is>
      </c>
      <c r="C4" s="3" t="inlineStr">
        <is>
          <t>Risk</t>
        </is>
      </c>
      <c r="D4" s="3" t="inlineStr">
        <is>
          <t>Tier</t>
        </is>
      </c>
      <c r="E4" s="3" t="inlineStr">
        <is>
          <t>Direct slots</t>
        </is>
      </c>
      <c r="F4" s="3" t="inlineStr">
        <is>
          <t>Code A/B</t>
        </is>
      </c>
      <c r="G4" s="3" t="inlineStr">
        <is>
          <t>Directional</t>
        </is>
      </c>
      <c r="H4" s="3" t="inlineStr">
        <is>
          <t>Req dir</t>
        </is>
      </c>
      <c r="I4" s="3" t="inlineStr">
        <is>
          <t>Strong</t>
        </is>
      </c>
      <c r="J4" s="3" t="inlineStr">
        <is>
          <t>Req strong</t>
        </is>
      </c>
      <c r="K4" s="3" t="inlineStr">
        <is>
          <t>PASS</t>
        </is>
      </c>
      <c r="L4" s="3" t="inlineStr">
        <is>
          <t>Angular chord</t>
        </is>
      </c>
      <c r="M4" s="3" t="inlineStr">
        <is>
          <t>RMS</t>
        </is>
      </c>
    </row>
    <row r="5">
      <c r="A5" s="4" t="n">
        <v>1</v>
      </c>
      <c r="B5" s="4" t="inlineStr">
        <is>
          <t>Martian ↔ Reptilian</t>
        </is>
      </c>
      <c r="C5" s="4" t="n">
        <v>80.93798079768202</v>
      </c>
      <c r="D5" s="4" t="inlineStr">
        <is>
          <t>CRITICAL</t>
        </is>
      </c>
      <c r="E5" s="4" t="inlineStr">
        <is>
          <t>G30; L17; A03</t>
        </is>
      </c>
      <c r="F5" s="4" t="inlineStr">
        <is>
          <t>G30:2/-2; L17:2/-2; A03:-3/3</t>
        </is>
      </c>
      <c r="G5" s="4" t="n">
        <v>3</v>
      </c>
      <c r="H5" s="4" t="n">
        <v>3</v>
      </c>
      <c r="I5" s="4" t="n">
        <v>3</v>
      </c>
      <c r="J5" s="4" t="n">
        <v>2</v>
      </c>
      <c r="K5" s="10" t="inlineStr">
        <is>
          <t>PASS</t>
        </is>
      </c>
      <c r="L5" s="4" t="n">
        <v>0.7622830266034173</v>
      </c>
      <c r="M5" s="4" t="n">
        <v>1.449137674618944</v>
      </c>
    </row>
    <row r="6">
      <c r="A6" s="4" t="n">
        <v>2</v>
      </c>
      <c r="B6" s="4" t="inlineStr">
        <is>
          <t>Draconian ↔ Reptilian</t>
        </is>
      </c>
      <c r="C6" s="4" t="n">
        <v>78.71740018006801</v>
      </c>
      <c r="D6" s="4" t="inlineStr">
        <is>
          <t>CRITICAL</t>
        </is>
      </c>
      <c r="E6" s="4" t="inlineStr">
        <is>
          <t>L21; L27; A04</t>
        </is>
      </c>
      <c r="F6" s="4" t="inlineStr">
        <is>
          <t>L21:3/-3; L27:3/-3; A04:3/-3</t>
        </is>
      </c>
      <c r="G6" s="4" t="n">
        <v>3</v>
      </c>
      <c r="H6" s="4" t="n">
        <v>3</v>
      </c>
      <c r="I6" s="4" t="n">
        <v>3</v>
      </c>
      <c r="J6" s="4" t="n">
        <v>2</v>
      </c>
      <c r="K6" s="10" t="inlineStr">
        <is>
          <t>PASS</t>
        </is>
      </c>
      <c r="L6" s="4" t="n">
        <v>1.199813742483688</v>
      </c>
      <c r="M6" s="4" t="n">
        <v>2.210769096943415</v>
      </c>
    </row>
    <row r="7">
      <c r="A7" s="4" t="n">
        <v>3</v>
      </c>
      <c r="B7" s="4" t="inlineStr">
        <is>
          <t>Andromedan ↔ Vegan</t>
        </is>
      </c>
      <c r="C7" s="4" t="n">
        <v>77.51954874729658</v>
      </c>
      <c r="D7" s="4" t="inlineStr">
        <is>
          <t>CRITICAL</t>
        </is>
      </c>
      <c r="E7" s="4" t="inlineStr">
        <is>
          <t>L08; L29; L34</t>
        </is>
      </c>
      <c r="F7" s="4" t="inlineStr">
        <is>
          <t>L08:2/-2; L29:2/-2; L34:2/-2</t>
        </is>
      </c>
      <c r="G7" s="4" t="n">
        <v>3</v>
      </c>
      <c r="H7" s="4" t="n">
        <v>3</v>
      </c>
      <c r="I7" s="4" t="n">
        <v>3</v>
      </c>
      <c r="J7" s="4" t="n">
        <v>2</v>
      </c>
      <c r="K7" s="10" t="inlineStr">
        <is>
          <t>PASS</t>
        </is>
      </c>
      <c r="L7" s="4" t="n">
        <v>0.6760993634001647</v>
      </c>
      <c r="M7" s="4" t="n">
        <v>1.259960316835415</v>
      </c>
    </row>
    <row r="8">
      <c r="A8" s="4" t="n">
        <v>4</v>
      </c>
      <c r="B8" s="4" t="inlineStr">
        <is>
          <t>Draconian ↔ Anunnaki / Nibiruan</t>
        </is>
      </c>
      <c r="C8" s="4" t="n">
        <v>76.0124279233294</v>
      </c>
      <c r="D8" s="4" t="inlineStr">
        <is>
          <t>CRITICAL</t>
        </is>
      </c>
      <c r="E8" s="4" t="inlineStr">
        <is>
          <t>L24; A09; A12</t>
        </is>
      </c>
      <c r="F8" s="4" t="inlineStr">
        <is>
          <t>L24:2/-2; A09:-1/2; A12:2/-2</t>
        </is>
      </c>
      <c r="G8" s="4" t="n">
        <v>3</v>
      </c>
      <c r="H8" s="4" t="n">
        <v>3</v>
      </c>
      <c r="I8" s="4" t="n">
        <v>2</v>
      </c>
      <c r="J8" s="4" t="n">
        <v>2</v>
      </c>
      <c r="K8" s="10" t="inlineStr">
        <is>
          <t>PASS</t>
        </is>
      </c>
      <c r="L8" s="4" t="n">
        <v>0.6109078075082004</v>
      </c>
      <c r="M8" s="4" t="n">
        <v>1.172603939955857</v>
      </c>
    </row>
    <row r="9">
      <c r="A9" s="4" t="n">
        <v>5</v>
      </c>
      <c r="B9" s="4" t="inlineStr">
        <is>
          <t>Pleiadian ↔ Mintakan</t>
        </is>
      </c>
      <c r="C9" s="4" t="n">
        <v>71.75989203947699</v>
      </c>
      <c r="D9" s="4" t="inlineStr">
        <is>
          <t>SEVERE</t>
        </is>
      </c>
      <c r="E9" s="4" t="inlineStr">
        <is>
          <t>L03; A01</t>
        </is>
      </c>
      <c r="F9" s="4" t="inlineStr">
        <is>
          <t>L03:3/-3; A01:-3/3</t>
        </is>
      </c>
      <c r="G9" s="4" t="n">
        <v>2</v>
      </c>
      <c r="H9" s="4" t="n">
        <v>2</v>
      </c>
      <c r="I9" s="4" t="n">
        <v>2</v>
      </c>
      <c r="J9" s="4" t="n">
        <v>2</v>
      </c>
      <c r="K9" s="10" t="inlineStr">
        <is>
          <t>PASS</t>
        </is>
      </c>
      <c r="L9" s="4" t="n">
        <v>0.8293123403100692</v>
      </c>
      <c r="M9" s="4" t="n">
        <v>1.549193338482967</v>
      </c>
    </row>
    <row r="10">
      <c r="A10" s="4" t="n">
        <v>6</v>
      </c>
      <c r="B10" s="4" t="inlineStr">
        <is>
          <t>Feline / Urmah ↔ Reptilian</t>
        </is>
      </c>
      <c r="C10" s="4" t="n">
        <v>71.40397947835824</v>
      </c>
      <c r="D10" s="4" t="inlineStr">
        <is>
          <t>SEVERE</t>
        </is>
      </c>
      <c r="E10" s="4" t="inlineStr">
        <is>
          <t>L20; L25</t>
        </is>
      </c>
      <c r="F10" s="4" t="inlineStr">
        <is>
          <t>L20:3/-3; L25:3/-3</t>
        </is>
      </c>
      <c r="G10" s="4" t="n">
        <v>2</v>
      </c>
      <c r="H10" s="4" t="n">
        <v>2</v>
      </c>
      <c r="I10" s="4" t="n">
        <v>2</v>
      </c>
      <c r="J10" s="4" t="n">
        <v>2</v>
      </c>
      <c r="K10" s="10" t="inlineStr">
        <is>
          <t>PASS</t>
        </is>
      </c>
      <c r="L10" s="4" t="n">
        <v>1.005555034746506</v>
      </c>
      <c r="M10" s="4" t="n">
        <v>1.907223112276065</v>
      </c>
    </row>
    <row r="11">
      <c r="A11" s="4" t="n">
        <v>7</v>
      </c>
      <c r="B11" s="4" t="inlineStr">
        <is>
          <t>Venusian ↔ Hadarian</t>
        </is>
      </c>
      <c r="C11" s="4" t="n">
        <v>71.2367182269991</v>
      </c>
      <c r="D11" s="4" t="inlineStr">
        <is>
          <t>SEVERE</t>
        </is>
      </c>
      <c r="E11" s="4" t="inlineStr">
        <is>
          <t>L04; L07</t>
        </is>
      </c>
      <c r="F11" s="4" t="inlineStr">
        <is>
          <t>L04:2/-2; L07:-3/3</t>
        </is>
      </c>
      <c r="G11" s="4" t="n">
        <v>2</v>
      </c>
      <c r="H11" s="4" t="n">
        <v>2</v>
      </c>
      <c r="I11" s="4" t="n">
        <v>2</v>
      </c>
      <c r="J11" s="4" t="n">
        <v>2</v>
      </c>
      <c r="K11" s="10" t="inlineStr">
        <is>
          <t>PASS</t>
        </is>
      </c>
      <c r="L11" s="4" t="n">
        <v>0.6862506054950642</v>
      </c>
      <c r="M11" s="4" t="n">
        <v>1.234908903522847</v>
      </c>
    </row>
    <row r="12">
      <c r="A12" s="4" t="n">
        <v>8</v>
      </c>
      <c r="B12" s="4" t="inlineStr">
        <is>
          <t>Feline / Urmah ↔ Antarian</t>
        </is>
      </c>
      <c r="C12" s="4" t="n">
        <v>70.4726305296299</v>
      </c>
      <c r="D12" s="4" t="inlineStr">
        <is>
          <t>SEVERE</t>
        </is>
      </c>
      <c r="E12" s="4" t="inlineStr">
        <is>
          <t>L23; L26</t>
        </is>
      </c>
      <c r="F12" s="4" t="inlineStr">
        <is>
          <t>L23:3/-3; L26:3/-3</t>
        </is>
      </c>
      <c r="G12" s="4" t="n">
        <v>2</v>
      </c>
      <c r="H12" s="4" t="n">
        <v>2</v>
      </c>
      <c r="I12" s="4" t="n">
        <v>2</v>
      </c>
      <c r="J12" s="4" t="n">
        <v>2</v>
      </c>
      <c r="K12" s="10" t="inlineStr">
        <is>
          <t>PASS</t>
        </is>
      </c>
      <c r="L12" s="4" t="n">
        <v>0.9104997284102103</v>
      </c>
      <c r="M12" s="4" t="n">
        <v>1.724818831066034</v>
      </c>
    </row>
    <row r="13">
      <c r="A13" s="4" t="n">
        <v>9</v>
      </c>
      <c r="B13" s="4" t="inlineStr">
        <is>
          <t>Alpha Centaurian ↔ Anunnaki / Nibiruan</t>
        </is>
      </c>
      <c r="C13" s="4" t="n">
        <v>69.87369539091766</v>
      </c>
      <c r="D13" s="4" t="inlineStr">
        <is>
          <t>SEVERE</t>
        </is>
      </c>
      <c r="E13" s="4" t="inlineStr">
        <is>
          <t>L12; A09</t>
        </is>
      </c>
      <c r="F13" s="4" t="inlineStr">
        <is>
          <t>L12:3/-3; A09:-3/2</t>
        </is>
      </c>
      <c r="G13" s="4" t="n">
        <v>2</v>
      </c>
      <c r="H13" s="4" t="n">
        <v>2</v>
      </c>
      <c r="I13" s="4" t="n">
        <v>2</v>
      </c>
      <c r="J13" s="4" t="n">
        <v>2</v>
      </c>
      <c r="K13" s="10" t="inlineStr">
        <is>
          <t>PASS</t>
        </is>
      </c>
      <c r="L13" s="4" t="n">
        <v>0.9996210377470113</v>
      </c>
      <c r="M13" s="4" t="n">
        <v>1.854049621773916</v>
      </c>
    </row>
    <row r="14">
      <c r="A14" s="4" t="n">
        <v>10</v>
      </c>
      <c r="B14" s="4" t="inlineStr">
        <is>
          <t>Draconian ↔ Antarian</t>
        </is>
      </c>
      <c r="C14" s="4" t="n">
        <v>68.42600493872777</v>
      </c>
      <c r="D14" s="4" t="inlineStr">
        <is>
          <t>SEVERE</t>
        </is>
      </c>
      <c r="E14" s="4" t="inlineStr">
        <is>
          <t>L22; A11</t>
        </is>
      </c>
      <c r="F14" s="4" t="inlineStr">
        <is>
          <t>L22:3/-3; A11:-2/3</t>
        </is>
      </c>
      <c r="G14" s="4" t="n">
        <v>2</v>
      </c>
      <c r="H14" s="4" t="n">
        <v>2</v>
      </c>
      <c r="I14" s="4" t="n">
        <v>2</v>
      </c>
      <c r="J14" s="4" t="n">
        <v>2</v>
      </c>
      <c r="K14" s="10" t="inlineStr">
        <is>
          <t>PASS</t>
        </is>
      </c>
      <c r="L14" s="4" t="n">
        <v>1.03577354162773</v>
      </c>
      <c r="M14" s="4" t="n">
        <v>1.903943276465977</v>
      </c>
    </row>
    <row r="15">
      <c r="A15" s="4" t="n">
        <v>11</v>
      </c>
      <c r="B15" s="4" t="inlineStr">
        <is>
          <t>Alpha Centaurian ↔ Maldekian</t>
        </is>
      </c>
      <c r="C15" s="4" t="n">
        <v>66.4409454627571</v>
      </c>
      <c r="D15" s="4" t="inlineStr">
        <is>
          <t>HIGH</t>
        </is>
      </c>
      <c r="E15" s="4" t="inlineStr">
        <is>
          <t>L10; A02</t>
        </is>
      </c>
      <c r="F15" s="4" t="inlineStr">
        <is>
          <t>L10:2/-2; A02:3/-3</t>
        </is>
      </c>
      <c r="G15" s="4" t="n">
        <v>2</v>
      </c>
      <c r="H15" s="4" t="n">
        <v>1</v>
      </c>
      <c r="I15" s="4" t="n">
        <v>2</v>
      </c>
      <c r="J15" s="4" t="n">
        <v>1</v>
      </c>
      <c r="K15" s="10" t="inlineStr">
        <is>
          <t>PASS</t>
        </is>
      </c>
      <c r="L15" s="4" t="n">
        <v>0.8923896240030278</v>
      </c>
      <c r="M15" s="4" t="n">
        <v>1.72843860174436</v>
      </c>
    </row>
    <row r="16">
      <c r="A16" s="4" t="n">
        <v>12</v>
      </c>
      <c r="B16" s="4" t="inlineStr">
        <is>
          <t>Orion ↔ Avian / Blue Avian</t>
        </is>
      </c>
      <c r="C16" s="4" t="n">
        <v>66.06557424450446</v>
      </c>
      <c r="D16" s="4" t="inlineStr">
        <is>
          <t>HIGH</t>
        </is>
      </c>
      <c r="E16" s="4" t="inlineStr">
        <is>
          <t>L11</t>
        </is>
      </c>
      <c r="F16" s="4" t="inlineStr">
        <is>
          <t>L11:3/-3</t>
        </is>
      </c>
      <c r="G16" s="4" t="n">
        <v>1</v>
      </c>
      <c r="H16" s="4" t="n">
        <v>1</v>
      </c>
      <c r="I16" s="4" t="n">
        <v>1</v>
      </c>
      <c r="J16" s="4" t="n">
        <v>1</v>
      </c>
      <c r="K16" s="10" t="inlineStr">
        <is>
          <t>PASS</t>
        </is>
      </c>
      <c r="L16" s="4" t="n">
        <v>0.9358522406727364</v>
      </c>
      <c r="M16" s="4" t="n">
        <v>1.624038176891172</v>
      </c>
    </row>
    <row r="17">
      <c r="A17" s="4" t="n">
        <v>13</v>
      </c>
      <c r="B17" s="4" t="inlineStr">
        <is>
          <t>Avian / Blue Avian ↔ Tau Cetian</t>
        </is>
      </c>
      <c r="C17" s="4" t="n">
        <v>65.44431727525163</v>
      </c>
      <c r="D17" s="4" t="inlineStr">
        <is>
          <t>HIGH</t>
        </is>
      </c>
      <c r="E17" s="4" t="inlineStr">
        <is>
          <t>L31; L35</t>
        </is>
      </c>
      <c r="F17" s="4" t="inlineStr">
        <is>
          <t>L31:3/-3; L35:3/-3</t>
        </is>
      </c>
      <c r="G17" s="4" t="n">
        <v>2</v>
      </c>
      <c r="H17" s="4" t="n">
        <v>1</v>
      </c>
      <c r="I17" s="4" t="n">
        <v>2</v>
      </c>
      <c r="J17" s="4" t="n">
        <v>1</v>
      </c>
      <c r="K17" s="10" t="inlineStr">
        <is>
          <t>PASS</t>
        </is>
      </c>
      <c r="L17" s="4" t="n">
        <v>1.032050271305762</v>
      </c>
      <c r="M17" s="4" t="n">
        <v>1.760681686165901</v>
      </c>
    </row>
    <row r="18">
      <c r="A18" s="4" t="n">
        <v>14</v>
      </c>
      <c r="B18" s="4" t="inlineStr">
        <is>
          <t>Lyran ↔ Feline / Urmah</t>
        </is>
      </c>
      <c r="C18" s="4" t="n">
        <v>64.68453501647903</v>
      </c>
      <c r="D18" s="4" t="inlineStr">
        <is>
          <t>HIGH</t>
        </is>
      </c>
      <c r="E18" s="4" t="inlineStr">
        <is>
          <t>L16</t>
        </is>
      </c>
      <c r="F18" s="4" t="inlineStr">
        <is>
          <t>L16:3/-3</t>
        </is>
      </c>
      <c r="G18" s="4" t="n">
        <v>1</v>
      </c>
      <c r="H18" s="4" t="n">
        <v>1</v>
      </c>
      <c r="I18" s="4" t="n">
        <v>1</v>
      </c>
      <c r="J18" s="4" t="n">
        <v>1</v>
      </c>
      <c r="K18" s="10" t="inlineStr">
        <is>
          <t>PASS</t>
        </is>
      </c>
      <c r="L18" s="4" t="n">
        <v>1.297447990401793</v>
      </c>
      <c r="M18" s="4" t="n">
        <v>2.428991560298224</v>
      </c>
    </row>
    <row r="19">
      <c r="A19" s="4" t="n">
        <v>15</v>
      </c>
      <c r="B19" s="4" t="inlineStr">
        <is>
          <t>Mintakan ↔ Hadarian</t>
        </is>
      </c>
      <c r="C19" s="4" t="n">
        <v>64.47590713739073</v>
      </c>
      <c r="D19" s="4" t="inlineStr">
        <is>
          <t>HIGH</t>
        </is>
      </c>
      <c r="E19" s="4" t="inlineStr">
        <is>
          <t>L06</t>
        </is>
      </c>
      <c r="F19" s="4" t="inlineStr">
        <is>
          <t>L06:-3/3</t>
        </is>
      </c>
      <c r="G19" s="4" t="n">
        <v>1</v>
      </c>
      <c r="H19" s="4" t="n">
        <v>1</v>
      </c>
      <c r="I19" s="4" t="n">
        <v>1</v>
      </c>
      <c r="J19" s="4" t="n">
        <v>1</v>
      </c>
      <c r="K19" s="10" t="inlineStr">
        <is>
          <t>PASS</t>
        </is>
      </c>
      <c r="L19" s="4" t="n">
        <v>0.879219414209362</v>
      </c>
      <c r="M19" s="4" t="n">
        <v>1.620185174601965</v>
      </c>
    </row>
    <row r="20">
      <c r="A20" s="4" t="n">
        <v>16</v>
      </c>
      <c r="B20" s="4" t="inlineStr">
        <is>
          <t>Vegan ↔ Avian / Blue Avian</t>
        </is>
      </c>
      <c r="C20" s="4" t="n">
        <v>64.15629231989077</v>
      </c>
      <c r="D20" s="4" t="inlineStr">
        <is>
          <t>HIGH</t>
        </is>
      </c>
      <c r="E20" s="4" t="inlineStr">
        <is>
          <t>L37</t>
        </is>
      </c>
      <c r="F20" s="4" t="inlineStr">
        <is>
          <t>L37:2/-2</t>
        </is>
      </c>
      <c r="G20" s="4" t="n">
        <v>1</v>
      </c>
      <c r="H20" s="4" t="n">
        <v>1</v>
      </c>
      <c r="I20" s="4" t="n">
        <v>1</v>
      </c>
      <c r="J20" s="4" t="n">
        <v>1</v>
      </c>
      <c r="K20" s="10" t="inlineStr">
        <is>
          <t>PASS</t>
        </is>
      </c>
      <c r="L20" s="4" t="n">
        <v>0.9183208088450264</v>
      </c>
      <c r="M20" s="4" t="n">
        <v>1.70293863659264</v>
      </c>
    </row>
    <row r="21">
      <c r="A21" s="4" t="n">
        <v>17</v>
      </c>
      <c r="B21" s="4" t="inlineStr">
        <is>
          <t>Mintakan ↔ Venusian</t>
        </is>
      </c>
      <c r="C21" s="4" t="n">
        <v>64.14285737866194</v>
      </c>
      <c r="D21" s="4" t="inlineStr">
        <is>
          <t>HIGH</t>
        </is>
      </c>
      <c r="E21" s="4" t="inlineStr">
        <is>
          <t>L05</t>
        </is>
      </c>
      <c r="F21" s="4" t="inlineStr">
        <is>
          <t>L05:-3/3</t>
        </is>
      </c>
      <c r="G21" s="4" t="n">
        <v>1</v>
      </c>
      <c r="H21" s="4" t="n">
        <v>1</v>
      </c>
      <c r="I21" s="4" t="n">
        <v>1</v>
      </c>
      <c r="J21" s="4" t="n">
        <v>1</v>
      </c>
      <c r="K21" s="10" t="inlineStr">
        <is>
          <t>PASS</t>
        </is>
      </c>
      <c r="L21" s="4" t="n">
        <v>0.9392226062892811</v>
      </c>
      <c r="M21" s="4" t="n">
        <v>1.739252713092609</v>
      </c>
    </row>
    <row r="22">
      <c r="A22" s="4" t="n">
        <v>18</v>
      </c>
      <c r="B22" s="4" t="inlineStr">
        <is>
          <t>Alpha Centaurian ↔ Draconian</t>
        </is>
      </c>
      <c r="C22" s="4" t="n">
        <v>64.06607241785684</v>
      </c>
      <c r="D22" s="4" t="inlineStr">
        <is>
          <t>HIGH</t>
        </is>
      </c>
      <c r="E22" s="4" t="inlineStr">
        <is>
          <t>L14</t>
        </is>
      </c>
      <c r="F22" s="4" t="inlineStr">
        <is>
          <t>L14:3/-3</t>
        </is>
      </c>
      <c r="G22" s="4" t="n">
        <v>1</v>
      </c>
      <c r="H22" s="4" t="n">
        <v>1</v>
      </c>
      <c r="I22" s="4" t="n">
        <v>1</v>
      </c>
      <c r="J22" s="4" t="n">
        <v>1</v>
      </c>
      <c r="K22" s="10" t="inlineStr">
        <is>
          <t>PASS</t>
        </is>
      </c>
      <c r="L22" s="4" t="n">
        <v>1.116374676884833</v>
      </c>
      <c r="M22" s="4" t="n">
        <v>2.027929979067325</v>
      </c>
    </row>
    <row r="23">
      <c r="A23" s="4" t="n">
        <v>19</v>
      </c>
      <c r="B23" s="4" t="inlineStr">
        <is>
          <t>Pleiadian ↔ Venusian</t>
        </is>
      </c>
      <c r="C23" s="4" t="n">
        <v>63.87398947186455</v>
      </c>
      <c r="D23" s="4" t="inlineStr">
        <is>
          <t>HIGH</t>
        </is>
      </c>
      <c r="E23" s="4" t="inlineStr">
        <is>
          <t>L01; A06</t>
        </is>
      </c>
      <c r="F23" s="4" t="inlineStr">
        <is>
          <t>L01:3/-3; A06:-3/3</t>
        </is>
      </c>
      <c r="G23" s="4" t="n">
        <v>2</v>
      </c>
      <c r="H23" s="4" t="n">
        <v>1</v>
      </c>
      <c r="I23" s="4" t="n">
        <v>2</v>
      </c>
      <c r="J23" s="4" t="n">
        <v>1</v>
      </c>
      <c r="K23" s="10" t="inlineStr">
        <is>
          <t>PASS</t>
        </is>
      </c>
      <c r="L23" s="4" t="n">
        <v>0.8478658315689114</v>
      </c>
      <c r="M23" s="4" t="n">
        <v>1.549193338482967</v>
      </c>
    </row>
    <row r="24">
      <c r="A24" s="4" t="n">
        <v>20</v>
      </c>
      <c r="B24" s="4" t="inlineStr">
        <is>
          <t>Pleiadian ↔ Hadarian</t>
        </is>
      </c>
      <c r="C24" s="4" t="n">
        <v>63.80879023560077</v>
      </c>
      <c r="D24" s="4" t="inlineStr">
        <is>
          <t>HIGH</t>
        </is>
      </c>
      <c r="E24" s="4" t="inlineStr">
        <is>
          <t>L02; A07</t>
        </is>
      </c>
      <c r="F24" s="4" t="inlineStr">
        <is>
          <t>L02:2/-2; A07:-2/2</t>
        </is>
      </c>
      <c r="G24" s="4" t="n">
        <v>2</v>
      </c>
      <c r="H24" s="4" t="n">
        <v>1</v>
      </c>
      <c r="I24" s="4" t="n">
        <v>2</v>
      </c>
      <c r="J24" s="4" t="n">
        <v>1</v>
      </c>
      <c r="K24" s="10" t="inlineStr">
        <is>
          <t>PASS</t>
        </is>
      </c>
      <c r="L24" s="4" t="n">
        <v>0.717265150869928</v>
      </c>
      <c r="M24" s="4" t="n">
        <v>1.30384048104053</v>
      </c>
    </row>
    <row r="25">
      <c r="A25" s="4" t="n">
        <v>21</v>
      </c>
      <c r="B25" s="4" t="inlineStr">
        <is>
          <t>Reptilian ↔ Antarian</t>
        </is>
      </c>
      <c r="C25" s="4" t="n">
        <v>62.5207472252149</v>
      </c>
      <c r="D25" s="4" t="inlineStr">
        <is>
          <t>HIGH</t>
        </is>
      </c>
      <c r="E25" s="4" t="inlineStr">
        <is>
          <t>A11</t>
        </is>
      </c>
      <c r="F25" s="4" t="inlineStr">
        <is>
          <t>A11:-3/3</t>
        </is>
      </c>
      <c r="G25" s="4" t="n">
        <v>1</v>
      </c>
      <c r="H25" s="4" t="n">
        <v>1</v>
      </c>
      <c r="I25" s="4" t="n">
        <v>1</v>
      </c>
      <c r="J25" s="4" t="n">
        <v>1</v>
      </c>
      <c r="K25" s="10" t="inlineStr">
        <is>
          <t>PASS</t>
        </is>
      </c>
      <c r="L25" s="4" t="n">
        <v>1.260294620326614</v>
      </c>
      <c r="M25" s="4" t="n">
        <v>2.261083810919003</v>
      </c>
    </row>
    <row r="26">
      <c r="A26" s="4" t="n">
        <v>22</v>
      </c>
      <c r="B26" s="4" t="inlineStr">
        <is>
          <t>Arcturian ↔ Vegan</t>
        </is>
      </c>
      <c r="C26" s="4" t="n">
        <v>62.31063240455698</v>
      </c>
      <c r="D26" s="4" t="inlineStr">
        <is>
          <t>HIGH</t>
        </is>
      </c>
      <c r="E26" s="4" t="inlineStr">
        <is>
          <t>L09</t>
        </is>
      </c>
      <c r="F26" s="4" t="inlineStr">
        <is>
          <t>L09:2/-2</t>
        </is>
      </c>
      <c r="G26" s="4" t="n">
        <v>1</v>
      </c>
      <c r="H26" s="4" t="n">
        <v>1</v>
      </c>
      <c r="I26" s="4" t="n">
        <v>1</v>
      </c>
      <c r="J26" s="4" t="n">
        <v>1</v>
      </c>
      <c r="K26" s="10" t="inlineStr">
        <is>
          <t>PASS</t>
        </is>
      </c>
      <c r="L26" s="4" t="n">
        <v>0.8129164767961619</v>
      </c>
      <c r="M26" s="4" t="n">
        <v>1.444818327679989</v>
      </c>
    </row>
    <row r="27">
      <c r="A27" s="4" t="n">
        <v>23</v>
      </c>
      <c r="B27" s="4" t="inlineStr">
        <is>
          <t>Polarian ↔ Earth-Origin Soul</t>
        </is>
      </c>
      <c r="C27" s="4" t="n">
        <v>61.83068576492796</v>
      </c>
      <c r="D27" s="4" t="inlineStr">
        <is>
          <t>HIGH</t>
        </is>
      </c>
      <c r="E27" s="4" t="inlineStr">
        <is>
          <t>L36</t>
        </is>
      </c>
      <c r="F27" s="4" t="inlineStr">
        <is>
          <t>L36:2/-2</t>
        </is>
      </c>
      <c r="G27" s="4" t="n">
        <v>1</v>
      </c>
      <c r="H27" s="4" t="n">
        <v>1</v>
      </c>
      <c r="I27" s="4" t="n">
        <v>1</v>
      </c>
      <c r="J27" s="4" t="n">
        <v>1</v>
      </c>
      <c r="K27" s="10" t="inlineStr">
        <is>
          <t>PASS</t>
        </is>
      </c>
      <c r="L27" s="4" t="n">
        <v>0.7136816810061818</v>
      </c>
      <c r="M27" s="4" t="n">
        <v>1.369306393762915</v>
      </c>
    </row>
    <row r="28">
      <c r="A28" s="4" t="n">
        <v>24</v>
      </c>
      <c r="B28" s="4" t="inlineStr">
        <is>
          <t>Maldekian ↔ Anunnaki / Nibiruan</t>
        </is>
      </c>
      <c r="C28" s="4" t="n">
        <v>61.63790596005442</v>
      </c>
      <c r="D28" s="4" t="inlineStr">
        <is>
          <t>HIGH</t>
        </is>
      </c>
      <c r="E28" s="4" t="inlineStr">
        <is>
          <t>L15</t>
        </is>
      </c>
      <c r="F28" s="4" t="inlineStr">
        <is>
          <t>L15:3/-3</t>
        </is>
      </c>
      <c r="G28" s="4" t="n">
        <v>1</v>
      </c>
      <c r="H28" s="4" t="n">
        <v>1</v>
      </c>
      <c r="I28" s="4" t="n">
        <v>1</v>
      </c>
      <c r="J28" s="4" t="n">
        <v>1</v>
      </c>
      <c r="K28" s="10" t="inlineStr">
        <is>
          <t>PASS</t>
        </is>
      </c>
      <c r="L28" s="4" t="n">
        <v>1.029531775910264</v>
      </c>
      <c r="M28" s="4" t="n">
        <v>2.073644135332772</v>
      </c>
    </row>
    <row r="29">
      <c r="A29" s="4" t="n">
        <v>25</v>
      </c>
      <c r="B29" s="4" t="inlineStr">
        <is>
          <t>Feline / Urmah ↔ Martian</t>
        </is>
      </c>
      <c r="C29" s="4" t="n">
        <v>61.58680796185914</v>
      </c>
      <c r="D29" s="4" t="inlineStr">
        <is>
          <t>HIGH</t>
        </is>
      </c>
      <c r="E29" s="4" t="inlineStr">
        <is>
          <t>L18</t>
        </is>
      </c>
      <c r="F29" s="4" t="inlineStr">
        <is>
          <t>L18:3/-3</t>
        </is>
      </c>
      <c r="G29" s="4" t="n">
        <v>1</v>
      </c>
      <c r="H29" s="4" t="n">
        <v>1</v>
      </c>
      <c r="I29" s="4" t="n">
        <v>1</v>
      </c>
      <c r="J29" s="4" t="n">
        <v>1</v>
      </c>
      <c r="K29" s="10" t="inlineStr">
        <is>
          <t>PASS</t>
        </is>
      </c>
      <c r="L29" s="4" t="n">
        <v>1.274207199395462</v>
      </c>
      <c r="M29" s="4" t="n">
        <v>2.522399651125887</v>
      </c>
    </row>
    <row r="30">
      <c r="A30" s="4" t="n">
        <v>26</v>
      </c>
      <c r="B30" s="4" t="inlineStr">
        <is>
          <t>Polarian ↔ Tau Cetian</t>
        </is>
      </c>
      <c r="C30" s="4" t="n">
        <v>61.36646918798919</v>
      </c>
      <c r="D30" s="4" t="inlineStr">
        <is>
          <t>HIGH</t>
        </is>
      </c>
      <c r="E30" s="4" t="inlineStr">
        <is>
          <t>L28; A08</t>
        </is>
      </c>
      <c r="F30" s="4" t="inlineStr">
        <is>
          <t>L28:3/-3; A08:3/-3</t>
        </is>
      </c>
      <c r="G30" s="4" t="n">
        <v>2</v>
      </c>
      <c r="H30" s="4" t="n">
        <v>1</v>
      </c>
      <c r="I30" s="4" t="n">
        <v>2</v>
      </c>
      <c r="J30" s="4" t="n">
        <v>1</v>
      </c>
      <c r="K30" s="10" t="inlineStr">
        <is>
          <t>PASS</t>
        </is>
      </c>
      <c r="L30" s="4" t="n">
        <v>1.056199173836627</v>
      </c>
      <c r="M30" s="4" t="n">
        <v>1.907223112276065</v>
      </c>
    </row>
    <row r="31">
      <c r="A31" s="4" t="n">
        <v>27</v>
      </c>
      <c r="B31" s="4" t="inlineStr">
        <is>
          <t>Lyran ↔ Vegan</t>
        </is>
      </c>
      <c r="C31" s="4" t="n">
        <v>60.63872872303493</v>
      </c>
      <c r="D31" s="4" t="inlineStr">
        <is>
          <t>HIGH</t>
        </is>
      </c>
      <c r="E31" s="4" t="inlineStr">
        <is>
          <t>L19</t>
        </is>
      </c>
      <c r="F31" s="4" t="inlineStr">
        <is>
          <t>L19:3/-3</t>
        </is>
      </c>
      <c r="G31" s="4" t="n">
        <v>1</v>
      </c>
      <c r="H31" s="4" t="n">
        <v>1</v>
      </c>
      <c r="I31" s="4" t="n">
        <v>1</v>
      </c>
      <c r="J31" s="4" t="n">
        <v>1</v>
      </c>
      <c r="K31" s="10" t="inlineStr">
        <is>
          <t>PASS</t>
        </is>
      </c>
      <c r="L31" s="4" t="n">
        <v>1.144354221341397</v>
      </c>
      <c r="M31" s="4" t="n">
        <v>2.10653744329409</v>
      </c>
    </row>
    <row r="32">
      <c r="A32" s="4" t="n">
        <v>28</v>
      </c>
      <c r="B32" s="4" t="inlineStr">
        <is>
          <t>Polarian ↔ Alpha Centaurian</t>
        </is>
      </c>
      <c r="C32" s="4" t="n">
        <v>60.45010327730112</v>
      </c>
      <c r="D32" s="4" t="inlineStr">
        <is>
          <t>HIGH</t>
        </is>
      </c>
      <c r="E32" s="4" t="inlineStr">
        <is>
          <t>L13; L32</t>
        </is>
      </c>
      <c r="F32" s="4" t="inlineStr">
        <is>
          <t>L13:3/-3; L32:3/-3</t>
        </is>
      </c>
      <c r="G32" s="4" t="n">
        <v>2</v>
      </c>
      <c r="H32" s="4" t="n">
        <v>1</v>
      </c>
      <c r="I32" s="4" t="n">
        <v>2</v>
      </c>
      <c r="J32" s="4" t="n">
        <v>1</v>
      </c>
      <c r="K32" s="10" t="inlineStr">
        <is>
          <t>PASS</t>
        </is>
      </c>
      <c r="L32" s="4" t="n">
        <v>0.9029282317749658</v>
      </c>
      <c r="M32" s="4" t="n">
        <v>1.677050983124842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4" customWidth="1" min="4" max="4"/>
    <col width="16" customWidth="1" min="5" max="5"/>
    <col width="14" customWidth="1" min="6" max="6"/>
    <col width="30" customWidth="1" min="7" max="7"/>
  </cols>
  <sheetData>
    <row r="1" ht="30" customHeight="1">
      <c r="A1" s="1" t="inlineStr">
        <is>
          <t>253 Pair Codeword Geometry</t>
        </is>
      </c>
    </row>
    <row r="2" ht="38" customHeight="1">
      <c r="A2" s="2" t="inlineStr">
        <is>
          <t>Equal-weight spherical/cosine geometry before final item-weight rebuild.</t>
        </is>
      </c>
    </row>
    <row r="3"/>
    <row r="4">
      <c r="A4" s="3" t="inlineStr">
        <is>
          <t>Rank</t>
        </is>
      </c>
      <c r="B4" s="3" t="inlineStr">
        <is>
          <t>A</t>
        </is>
      </c>
      <c r="C4" s="3" t="inlineStr">
        <is>
          <t>B</t>
        </is>
      </c>
      <c r="D4" s="3" t="inlineStr">
        <is>
          <t>Cosine</t>
        </is>
      </c>
      <c r="E4" s="3" t="inlineStr">
        <is>
          <t>Angular chord</t>
        </is>
      </c>
      <c r="F4" s="3" t="inlineStr">
        <is>
          <t>RMS</t>
        </is>
      </c>
      <c r="G4" s="3" t="inlineStr">
        <is>
          <t>Note</t>
        </is>
      </c>
    </row>
    <row r="5">
      <c r="A5" t="n">
        <v>1</v>
      </c>
      <c r="B5" t="inlineStr">
        <is>
          <t>Draconian</t>
        </is>
      </c>
      <c r="C5" t="inlineStr">
        <is>
          <t>Anunnaki / Nibiruan</t>
        </is>
      </c>
      <c r="D5" s="5" t="n">
        <v>0.8133958253627618</v>
      </c>
      <c r="E5" s="5" t="n">
        <v>0.6109078075082004</v>
      </c>
      <c r="F5" s="5" t="n">
        <v>1.172603939955857</v>
      </c>
      <c r="G5" t="inlineStr">
        <is>
          <t>Nearest codeword pair</t>
        </is>
      </c>
    </row>
    <row r="6">
      <c r="A6" t="n">
        <v>2</v>
      </c>
      <c r="B6" t="inlineStr">
        <is>
          <t>Maldekian</t>
        </is>
      </c>
      <c r="C6" t="inlineStr">
        <is>
          <t>Zeta / Grey</t>
        </is>
      </c>
      <c r="D6" s="5" t="n">
        <v>0.7844417360195094</v>
      </c>
      <c r="E6" s="5" t="n">
        <v>0.65659464509009</v>
      </c>
      <c r="F6" s="5" t="n">
        <v>1.322875655532295</v>
      </c>
    </row>
    <row r="7">
      <c r="A7" t="n">
        <v>3</v>
      </c>
      <c r="B7" t="inlineStr">
        <is>
          <t>Andromedan</t>
        </is>
      </c>
      <c r="C7" t="inlineStr">
        <is>
          <t>Vegan</t>
        </is>
      </c>
      <c r="D7" s="5" t="n">
        <v>0.771444825404946</v>
      </c>
      <c r="E7" s="5" t="n">
        <v>0.6760993634001647</v>
      </c>
      <c r="F7" s="5" t="n">
        <v>1.259960316835415</v>
      </c>
    </row>
    <row r="8">
      <c r="A8" t="n">
        <v>4</v>
      </c>
      <c r="B8" t="inlineStr">
        <is>
          <t>Zeta / Grey</t>
        </is>
      </c>
      <c r="C8" t="inlineStr">
        <is>
          <t>Antarian</t>
        </is>
      </c>
      <c r="D8" s="5" t="n">
        <v>0.7649891066762542</v>
      </c>
      <c r="E8" s="5" t="n">
        <v>0.6855813494017261</v>
      </c>
      <c r="F8" s="5" t="n">
        <v>1.284523257866513</v>
      </c>
    </row>
    <row r="9">
      <c r="A9" t="n">
        <v>5</v>
      </c>
      <c r="B9" t="inlineStr">
        <is>
          <t>Venusian</t>
        </is>
      </c>
      <c r="C9" t="inlineStr">
        <is>
          <t>Hadarian</t>
        </is>
      </c>
      <c r="D9" s="5" t="n">
        <v>0.7645300532288288</v>
      </c>
      <c r="E9" s="5" t="n">
        <v>0.6862506054950642</v>
      </c>
      <c r="F9" s="5" t="n">
        <v>1.234908903522847</v>
      </c>
    </row>
    <row r="10">
      <c r="A10" t="n">
        <v>6</v>
      </c>
      <c r="B10" t="inlineStr">
        <is>
          <t>Lyran</t>
        </is>
      </c>
      <c r="C10" t="inlineStr">
        <is>
          <t>Martian</t>
        </is>
      </c>
      <c r="D10" s="5" t="n">
        <v>0.7604010939180599</v>
      </c>
      <c r="E10" s="5" t="n">
        <v>0.6922411517411258</v>
      </c>
      <c r="F10" s="5" t="n">
        <v>1.30862523283024</v>
      </c>
    </row>
    <row r="11">
      <c r="A11" t="n">
        <v>7</v>
      </c>
      <c r="B11" t="inlineStr">
        <is>
          <t>Maldekian</t>
        </is>
      </c>
      <c r="C11" t="inlineStr">
        <is>
          <t>Antarian</t>
        </is>
      </c>
      <c r="D11" s="5" t="n">
        <v>0.7514596382614612</v>
      </c>
      <c r="E11" s="5" t="n">
        <v>0.7050395190888789</v>
      </c>
      <c r="F11" s="5" t="n">
        <v>1.387443692551161</v>
      </c>
    </row>
    <row r="12">
      <c r="A12" t="n">
        <v>8</v>
      </c>
      <c r="B12" t="inlineStr">
        <is>
          <t>Sirian</t>
        </is>
      </c>
      <c r="C12" t="inlineStr">
        <is>
          <t>Polarian</t>
        </is>
      </c>
      <c r="D12" s="5" t="n">
        <v>0.7469573911071197</v>
      </c>
      <c r="E12" s="5" t="n">
        <v>0.7113966669768426</v>
      </c>
      <c r="F12" s="5" t="n">
        <v>1.341640786499874</v>
      </c>
    </row>
    <row r="13">
      <c r="A13" t="n">
        <v>9</v>
      </c>
      <c r="B13" t="inlineStr">
        <is>
          <t>Polarian</t>
        </is>
      </c>
      <c r="C13" t="inlineStr">
        <is>
          <t>Earth-Origin Soul</t>
        </is>
      </c>
      <c r="D13" s="5" t="n">
        <v>0.7453292290980953</v>
      </c>
      <c r="E13" s="5" t="n">
        <v>0.7136816810061818</v>
      </c>
      <c r="F13" s="5" t="n">
        <v>1.369306393762915</v>
      </c>
    </row>
    <row r="14">
      <c r="A14" t="n">
        <v>10</v>
      </c>
      <c r="B14" t="inlineStr">
        <is>
          <t>Pleiadian</t>
        </is>
      </c>
      <c r="C14" t="inlineStr">
        <is>
          <t>Hadarian</t>
        </is>
      </c>
      <c r="D14" s="5" t="n">
        <v>0.7427653516737697</v>
      </c>
      <c r="E14" s="5" t="n">
        <v>0.717265150869928</v>
      </c>
      <c r="F14" s="5" t="n">
        <v>1.30384048104053</v>
      </c>
    </row>
    <row r="15">
      <c r="A15" t="n">
        <v>11</v>
      </c>
      <c r="B15" t="inlineStr">
        <is>
          <t>Polarian</t>
        </is>
      </c>
      <c r="C15" t="inlineStr">
        <is>
          <t>Maldekian</t>
        </is>
      </c>
      <c r="D15" s="5" t="n">
        <v>0.7421560439929397</v>
      </c>
      <c r="E15" s="5" t="n">
        <v>0.7181141357849187</v>
      </c>
      <c r="F15" s="5" t="n">
        <v>1.449137674618944</v>
      </c>
    </row>
    <row r="16">
      <c r="A16" t="n">
        <v>12</v>
      </c>
      <c r="B16" t="inlineStr">
        <is>
          <t>Martian</t>
        </is>
      </c>
      <c r="C16" t="inlineStr">
        <is>
          <t>Reptilian</t>
        </is>
      </c>
      <c r="D16" s="5" t="n">
        <v>0.7094622936761669</v>
      </c>
      <c r="E16" s="5" t="n">
        <v>0.7622830266034173</v>
      </c>
      <c r="F16" s="5" t="n">
        <v>1.449137674618944</v>
      </c>
    </row>
    <row r="17">
      <c r="A17" t="n">
        <v>13</v>
      </c>
      <c r="B17" t="inlineStr">
        <is>
          <t>Sirian</t>
        </is>
      </c>
      <c r="C17" t="inlineStr">
        <is>
          <t>Maldekian</t>
        </is>
      </c>
      <c r="D17" s="5" t="n">
        <v>0.7055317460771834</v>
      </c>
      <c r="E17" s="5" t="n">
        <v>0.7674219881171201</v>
      </c>
      <c r="F17" s="5" t="n">
        <v>1.508310312899836</v>
      </c>
    </row>
    <row r="18">
      <c r="A18" t="n">
        <v>14</v>
      </c>
      <c r="B18" t="inlineStr">
        <is>
          <t>Orion</t>
        </is>
      </c>
      <c r="C18" t="inlineStr">
        <is>
          <t>Zeta / Grey</t>
        </is>
      </c>
      <c r="D18" s="5" t="n">
        <v>0.695894392740704</v>
      </c>
      <c r="E18" s="5" t="n">
        <v>0.7798789742765169</v>
      </c>
      <c r="F18" s="5" t="n">
        <v>1.431782106327635</v>
      </c>
    </row>
    <row r="19">
      <c r="A19" t="n">
        <v>15</v>
      </c>
      <c r="B19" t="inlineStr">
        <is>
          <t>Sirian</t>
        </is>
      </c>
      <c r="C19" t="inlineStr">
        <is>
          <t>Antarian</t>
        </is>
      </c>
      <c r="D19" s="5" t="n">
        <v>0.6938192966083848</v>
      </c>
      <c r="E19" s="5" t="n">
        <v>0.7825352431572845</v>
      </c>
      <c r="F19" s="5" t="n">
        <v>1.40534693225552</v>
      </c>
    </row>
    <row r="20">
      <c r="A20" t="n">
        <v>16</v>
      </c>
      <c r="B20" t="inlineStr">
        <is>
          <t>Arcturian</t>
        </is>
      </c>
      <c r="C20" t="inlineStr">
        <is>
          <t>Andromedan</t>
        </is>
      </c>
      <c r="D20" s="5" t="n">
        <v>0.6819190472163994</v>
      </c>
      <c r="E20" s="5" t="n">
        <v>0.7975975837270328</v>
      </c>
      <c r="F20" s="5" t="n">
        <v>1.341640786499874</v>
      </c>
    </row>
    <row r="21">
      <c r="A21" t="n">
        <v>17</v>
      </c>
      <c r="B21" t="inlineStr">
        <is>
          <t>Arcturian</t>
        </is>
      </c>
      <c r="C21" t="inlineStr">
        <is>
          <t>Lyran</t>
        </is>
      </c>
      <c r="D21" s="5" t="n">
        <v>0.6768400159646507</v>
      </c>
      <c r="E21" s="5" t="n">
        <v>0.8039402764327077</v>
      </c>
      <c r="F21" s="5" t="n">
        <v>1.332291259447423</v>
      </c>
    </row>
    <row r="22">
      <c r="A22" t="n">
        <v>18</v>
      </c>
      <c r="B22" t="inlineStr">
        <is>
          <t>Arcturian</t>
        </is>
      </c>
      <c r="C22" t="inlineStr">
        <is>
          <t>Vegan</t>
        </is>
      </c>
      <c r="D22" s="5" t="n">
        <v>0.6695834008766576</v>
      </c>
      <c r="E22" s="5" t="n">
        <v>0.8129164767961619</v>
      </c>
      <c r="F22" s="5" t="n">
        <v>1.444818327679989</v>
      </c>
    </row>
    <row r="23">
      <c r="A23" t="n">
        <v>19</v>
      </c>
      <c r="B23" t="inlineStr">
        <is>
          <t>Pleiadian</t>
        </is>
      </c>
      <c r="C23" t="inlineStr">
        <is>
          <t>Mintakan</t>
        </is>
      </c>
      <c r="D23" s="5" t="n">
        <v>0.656120521104718</v>
      </c>
      <c r="E23" s="5" t="n">
        <v>0.8293123403100692</v>
      </c>
      <c r="F23" s="5" t="n">
        <v>1.549193338482967</v>
      </c>
    </row>
    <row r="24">
      <c r="A24" t="n">
        <v>20</v>
      </c>
      <c r="B24" t="inlineStr">
        <is>
          <t>Pleiadian</t>
        </is>
      </c>
      <c r="C24" t="inlineStr">
        <is>
          <t>Venusian</t>
        </is>
      </c>
      <c r="D24" s="5" t="n">
        <v>0.6405617658289792</v>
      </c>
      <c r="E24" s="5" t="n">
        <v>0.8478658315689114</v>
      </c>
      <c r="F24" s="5" t="n">
        <v>1.549193338482967</v>
      </c>
    </row>
    <row r="25">
      <c r="A25" t="n">
        <v>21</v>
      </c>
      <c r="B25" t="inlineStr">
        <is>
          <t>Feline / Urmah</t>
        </is>
      </c>
      <c r="C25" t="inlineStr">
        <is>
          <t>Maldekian</t>
        </is>
      </c>
      <c r="D25" s="5" t="n">
        <v>0.638962321633204</v>
      </c>
      <c r="E25" s="5" t="n">
        <v>0.8497501731294863</v>
      </c>
      <c r="F25" s="5" t="n">
        <v>1.724818831066034</v>
      </c>
    </row>
    <row r="26">
      <c r="A26" t="n">
        <v>22</v>
      </c>
      <c r="B26" t="inlineStr">
        <is>
          <t>Polarian</t>
        </is>
      </c>
      <c r="C26" t="inlineStr">
        <is>
          <t>Antarian</t>
        </is>
      </c>
      <c r="D26" s="5" t="n">
        <v>0.6165547847771347</v>
      </c>
      <c r="E26" s="5" t="n">
        <v>0.8757228045710187</v>
      </c>
      <c r="F26" s="5" t="n">
        <v>1.643167672515498</v>
      </c>
    </row>
    <row r="27">
      <c r="A27" t="n">
        <v>23</v>
      </c>
      <c r="B27" t="inlineStr">
        <is>
          <t>Mintakan</t>
        </is>
      </c>
      <c r="C27" t="inlineStr">
        <is>
          <t>Hadarian</t>
        </is>
      </c>
      <c r="D27" s="5" t="n">
        <v>0.6134866108386732</v>
      </c>
      <c r="E27" s="5" t="n">
        <v>0.879219414209362</v>
      </c>
      <c r="F27" s="5" t="n">
        <v>1.620185174601965</v>
      </c>
    </row>
    <row r="28">
      <c r="A28" t="n">
        <v>24</v>
      </c>
      <c r="B28" t="inlineStr">
        <is>
          <t>Sirian</t>
        </is>
      </c>
      <c r="C28" t="inlineStr">
        <is>
          <t>Earth-Origin Soul</t>
        </is>
      </c>
      <c r="D28" s="5" t="n">
        <v>0.6035288067566027</v>
      </c>
      <c r="E28" s="5" t="n">
        <v>0.8904731250783454</v>
      </c>
      <c r="F28" s="5" t="n">
        <v>1.643167672515498</v>
      </c>
    </row>
    <row r="29">
      <c r="A29" t="n">
        <v>25</v>
      </c>
      <c r="B29" t="inlineStr">
        <is>
          <t>Alpha Centaurian</t>
        </is>
      </c>
      <c r="C29" t="inlineStr">
        <is>
          <t>Maldekian</t>
        </is>
      </c>
      <c r="D29" s="5" t="n">
        <v>0.6018203794858673</v>
      </c>
      <c r="E29" s="5" t="n">
        <v>0.8923896240030278</v>
      </c>
      <c r="F29" s="5" t="n">
        <v>1.72843860174436</v>
      </c>
    </row>
    <row r="30">
      <c r="A30" t="n">
        <v>26</v>
      </c>
      <c r="B30" t="inlineStr">
        <is>
          <t>Hadarian</t>
        </is>
      </c>
      <c r="C30" t="inlineStr">
        <is>
          <t>Martian</t>
        </is>
      </c>
      <c r="D30" s="5" t="n">
        <v>0.5934950898914326</v>
      </c>
      <c r="E30" s="5" t="n">
        <v>0.9016705718926036</v>
      </c>
      <c r="F30" s="5" t="n">
        <v>1.706604816587601</v>
      </c>
    </row>
    <row r="31">
      <c r="A31" t="n">
        <v>27</v>
      </c>
      <c r="B31" t="inlineStr">
        <is>
          <t>Polarian</t>
        </is>
      </c>
      <c r="C31" t="inlineStr">
        <is>
          <t>Alpha Centaurian</t>
        </is>
      </c>
      <c r="D31" s="5" t="n">
        <v>0.5923603041318668</v>
      </c>
      <c r="E31" s="5" t="n">
        <v>0.9029282317749658</v>
      </c>
      <c r="F31" s="5" t="n">
        <v>1.677050983124842</v>
      </c>
    </row>
    <row r="32">
      <c r="A32" t="n">
        <v>28</v>
      </c>
      <c r="B32" t="inlineStr">
        <is>
          <t>Feline / Urmah</t>
        </is>
      </c>
      <c r="C32" t="inlineStr">
        <is>
          <t>Antarian</t>
        </is>
      </c>
      <c r="D32" s="5" t="n">
        <v>0.5854951222824666</v>
      </c>
      <c r="E32" s="5" t="n">
        <v>0.9104997284102103</v>
      </c>
      <c r="F32" s="5" t="n">
        <v>1.724818831066034</v>
      </c>
    </row>
    <row r="33">
      <c r="A33" t="n">
        <v>29</v>
      </c>
      <c r="B33" t="inlineStr">
        <is>
          <t>Vegan</t>
        </is>
      </c>
      <c r="C33" t="inlineStr">
        <is>
          <t>Avian / Blue Avian</t>
        </is>
      </c>
      <c r="D33" s="5" t="n">
        <v>0.5783434460211082</v>
      </c>
      <c r="E33" s="5" t="n">
        <v>0.9183208088450264</v>
      </c>
      <c r="F33" s="5" t="n">
        <v>1.70293863659264</v>
      </c>
    </row>
    <row r="34">
      <c r="A34" t="n">
        <v>30</v>
      </c>
      <c r="B34" t="inlineStr">
        <is>
          <t>Orion</t>
        </is>
      </c>
      <c r="C34" t="inlineStr">
        <is>
          <t>Antarian</t>
        </is>
      </c>
      <c r="D34" s="5" t="n">
        <v>0.5753437426001284</v>
      </c>
      <c r="E34" s="5" t="n">
        <v>0.921581529111637</v>
      </c>
      <c r="F34" s="5" t="n">
        <v>1.604680653588121</v>
      </c>
    </row>
    <row r="35">
      <c r="A35" t="n">
        <v>31</v>
      </c>
      <c r="B35" t="inlineStr">
        <is>
          <t>Venusian</t>
        </is>
      </c>
      <c r="C35" t="inlineStr">
        <is>
          <t>Tau Cetian</t>
        </is>
      </c>
      <c r="D35" s="5" t="n">
        <v>0.574171848304374</v>
      </c>
      <c r="E35" s="5" t="n">
        <v>0.9228522652035114</v>
      </c>
      <c r="F35" s="5" t="n">
        <v>1.592953232207399</v>
      </c>
    </row>
    <row r="36">
      <c r="A36" t="n">
        <v>32</v>
      </c>
      <c r="B36" t="inlineStr">
        <is>
          <t>Orion</t>
        </is>
      </c>
      <c r="C36" t="inlineStr">
        <is>
          <t>Avian / Blue Avian</t>
        </is>
      </c>
      <c r="D36" s="5" t="n">
        <v>0.5620902918139093</v>
      </c>
      <c r="E36" s="5" t="n">
        <v>0.9358522406727364</v>
      </c>
      <c r="F36" s="5" t="n">
        <v>1.624038176891172</v>
      </c>
    </row>
    <row r="37">
      <c r="A37" t="n">
        <v>33</v>
      </c>
      <c r="B37" t="inlineStr">
        <is>
          <t>Mintakan</t>
        </is>
      </c>
      <c r="C37" t="inlineStr">
        <is>
          <t>Venusian</t>
        </is>
      </c>
      <c r="D37" s="5" t="n">
        <v>0.5589304479175851</v>
      </c>
      <c r="E37" s="5" t="n">
        <v>0.9392226062892811</v>
      </c>
      <c r="F37" s="5" t="n">
        <v>1.739252713092609</v>
      </c>
    </row>
    <row r="38">
      <c r="A38" t="n">
        <v>34</v>
      </c>
      <c r="B38" t="inlineStr">
        <is>
          <t>Polarian</t>
        </is>
      </c>
      <c r="C38" t="inlineStr">
        <is>
          <t>Zeta / Grey</t>
        </is>
      </c>
      <c r="D38" s="5" t="n">
        <v>0.5563035899673183</v>
      </c>
      <c r="E38" s="5" t="n">
        <v>0.9420152971504037</v>
      </c>
      <c r="F38" s="5" t="n">
        <v>1.830300521772313</v>
      </c>
    </row>
    <row r="39">
      <c r="A39" t="n">
        <v>35</v>
      </c>
      <c r="B39" t="inlineStr">
        <is>
          <t>Sirian</t>
        </is>
      </c>
      <c r="C39" t="inlineStr">
        <is>
          <t>Feline / Urmah</t>
        </is>
      </c>
      <c r="D39" s="5" t="n">
        <v>0.5494752741689812</v>
      </c>
      <c r="E39" s="5" t="n">
        <v>0.9492362464961173</v>
      </c>
      <c r="F39" s="5" t="n">
        <v>1.802775637731995</v>
      </c>
    </row>
    <row r="40">
      <c r="A40" t="n">
        <v>36</v>
      </c>
      <c r="B40" t="inlineStr">
        <is>
          <t>Arcturian</t>
        </is>
      </c>
      <c r="C40" t="inlineStr">
        <is>
          <t>Tau Cetian</t>
        </is>
      </c>
      <c r="D40" s="5" t="n">
        <v>0.5328919502302835</v>
      </c>
      <c r="E40" s="5" t="n">
        <v>0.9665485500167248</v>
      </c>
      <c r="F40" s="5" t="n">
        <v>1.520690632574555</v>
      </c>
    </row>
    <row r="41">
      <c r="A41" t="n">
        <v>37</v>
      </c>
      <c r="B41" t="inlineStr">
        <is>
          <t>Arcturian</t>
        </is>
      </c>
      <c r="C41" t="inlineStr">
        <is>
          <t>Venusian</t>
        </is>
      </c>
      <c r="D41" s="5" t="n">
        <v>0.5283216793585001</v>
      </c>
      <c r="E41" s="5" t="n">
        <v>0.9712654844495401</v>
      </c>
      <c r="F41" s="5" t="n">
        <v>1.635542723379612</v>
      </c>
    </row>
    <row r="42">
      <c r="A42" t="n">
        <v>38</v>
      </c>
      <c r="B42" t="inlineStr">
        <is>
          <t>Andromedan</t>
        </is>
      </c>
      <c r="C42" t="inlineStr">
        <is>
          <t>Martian</t>
        </is>
      </c>
      <c r="D42" s="5" t="n">
        <v>0.5263736213918062</v>
      </c>
      <c r="E42" s="5" t="n">
        <v>0.9732691083232774</v>
      </c>
      <c r="F42" s="5" t="n">
        <v>1.840516231930596</v>
      </c>
    </row>
    <row r="43">
      <c r="A43" t="n">
        <v>39</v>
      </c>
      <c r="B43" t="inlineStr">
        <is>
          <t>Pleiadian</t>
        </is>
      </c>
      <c r="C43" t="inlineStr">
        <is>
          <t>Tau Cetian</t>
        </is>
      </c>
      <c r="D43" s="5" t="n">
        <v>0.5259504916910566</v>
      </c>
      <c r="E43" s="5" t="n">
        <v>0.9737037622490152</v>
      </c>
      <c r="F43" s="5" t="n">
        <v>1.699264546796643</v>
      </c>
    </row>
    <row r="44">
      <c r="A44" t="n">
        <v>40</v>
      </c>
      <c r="B44" t="inlineStr">
        <is>
          <t>Alpha Centaurian</t>
        </is>
      </c>
      <c r="C44" t="inlineStr">
        <is>
          <t>Tau Cetian</t>
        </is>
      </c>
      <c r="D44" s="5" t="n">
        <v>0.5255361521585697</v>
      </c>
      <c r="E44" s="5" t="n">
        <v>0.9741291986604551</v>
      </c>
      <c r="F44" s="5" t="n">
        <v>1.643167672515498</v>
      </c>
    </row>
    <row r="45">
      <c r="A45" t="n">
        <v>41</v>
      </c>
      <c r="B45" t="inlineStr">
        <is>
          <t>Orion</t>
        </is>
      </c>
      <c r="C45" t="inlineStr">
        <is>
          <t>Maldekian</t>
        </is>
      </c>
      <c r="D45" s="5" t="n">
        <v>0.524892889930539</v>
      </c>
      <c r="E45" s="5" t="n">
        <v>0.9747893208990966</v>
      </c>
      <c r="F45" s="5" t="n">
        <v>1.864135188230725</v>
      </c>
    </row>
    <row r="46">
      <c r="A46" t="n">
        <v>42</v>
      </c>
      <c r="B46" t="inlineStr">
        <is>
          <t>Feline / Urmah</t>
        </is>
      </c>
      <c r="C46" t="inlineStr">
        <is>
          <t>Zeta / Grey</t>
        </is>
      </c>
      <c r="D46" s="5" t="n">
        <v>0.5213081699608596</v>
      </c>
      <c r="E46" s="5" t="n">
        <v>0.978459840810179</v>
      </c>
      <c r="F46" s="5" t="n">
        <v>1.917028951268081</v>
      </c>
    </row>
    <row r="47">
      <c r="A47" t="n">
        <v>43</v>
      </c>
      <c r="B47" t="inlineStr">
        <is>
          <t>Andromedan</t>
        </is>
      </c>
      <c r="C47" t="inlineStr">
        <is>
          <t>Lyran</t>
        </is>
      </c>
      <c r="D47" s="5" t="n">
        <v>0.5180310793639623</v>
      </c>
      <c r="E47" s="5" t="n">
        <v>0.9818033618154276</v>
      </c>
      <c r="F47" s="5" t="n">
        <v>1.739252713092609</v>
      </c>
    </row>
    <row r="48">
      <c r="A48" t="n">
        <v>44</v>
      </c>
      <c r="B48" t="inlineStr">
        <is>
          <t>Alpha Centaurian</t>
        </is>
      </c>
      <c r="C48" t="inlineStr">
        <is>
          <t>Zeta / Grey</t>
        </is>
      </c>
      <c r="D48" s="5" t="n">
        <v>0.5148148148148147</v>
      </c>
      <c r="E48" s="5" t="n">
        <v>0.9850737893022891</v>
      </c>
      <c r="F48" s="5" t="n">
        <v>1.82002747232013</v>
      </c>
    </row>
    <row r="49">
      <c r="A49" t="n">
        <v>45</v>
      </c>
      <c r="B49" t="inlineStr">
        <is>
          <t>Andromedan</t>
        </is>
      </c>
      <c r="C49" t="inlineStr">
        <is>
          <t>Avian / Blue Avian</t>
        </is>
      </c>
      <c r="D49" s="5" t="n">
        <v>0.5147437147719564</v>
      </c>
      <c r="E49" s="5" t="n">
        <v>0.9851459640358312</v>
      </c>
      <c r="F49" s="5" t="n">
        <v>1.757128339080558</v>
      </c>
    </row>
    <row r="50">
      <c r="A50" t="n">
        <v>46</v>
      </c>
      <c r="B50" t="inlineStr">
        <is>
          <t>Anunnaki / Nibiruan</t>
        </is>
      </c>
      <c r="C50" t="inlineStr">
        <is>
          <t>Antarian</t>
        </is>
      </c>
      <c r="D50" s="5" t="n">
        <v>0.5090161595253089</v>
      </c>
      <c r="E50" s="5" t="n">
        <v>0.9909428242584848</v>
      </c>
      <c r="F50" s="5" t="n">
        <v>1.857417562100671</v>
      </c>
    </row>
    <row r="51">
      <c r="A51" t="n">
        <v>47</v>
      </c>
      <c r="B51" t="inlineStr">
        <is>
          <t>Lyran</t>
        </is>
      </c>
      <c r="C51" t="inlineStr">
        <is>
          <t>Reptilian</t>
        </is>
      </c>
      <c r="D51" s="5" t="n">
        <v>0.5070987430450953</v>
      </c>
      <c r="E51" s="5" t="n">
        <v>0.9928758804149739</v>
      </c>
      <c r="F51" s="5" t="n">
        <v>1.764227876437735</v>
      </c>
    </row>
    <row r="52">
      <c r="A52" t="n">
        <v>48</v>
      </c>
      <c r="B52" t="inlineStr">
        <is>
          <t>Sirian</t>
        </is>
      </c>
      <c r="C52" t="inlineStr">
        <is>
          <t>Draconian</t>
        </is>
      </c>
      <c r="D52" s="5" t="n">
        <v>0.5041673568637473</v>
      </c>
      <c r="E52" s="5" t="n">
        <v>0.9958239233280678</v>
      </c>
      <c r="F52" s="5" t="n">
        <v>1.837117307087384</v>
      </c>
    </row>
    <row r="53">
      <c r="A53" t="n">
        <v>49</v>
      </c>
      <c r="B53" t="inlineStr">
        <is>
          <t>Alpha Centaurian</t>
        </is>
      </c>
      <c r="C53" t="inlineStr">
        <is>
          <t>Anunnaki / Nibiruan</t>
        </is>
      </c>
      <c r="D53" s="5" t="n">
        <v>0.5003788904467942</v>
      </c>
      <c r="E53" s="5" t="n">
        <v>0.9996210377470113</v>
      </c>
      <c r="F53" s="5" t="n">
        <v>1.854049621773916</v>
      </c>
    </row>
    <row r="54">
      <c r="A54" t="n">
        <v>50</v>
      </c>
      <c r="B54" t="inlineStr">
        <is>
          <t>Maldekian</t>
        </is>
      </c>
      <c r="C54" t="inlineStr">
        <is>
          <t>Earth-Origin Soul</t>
        </is>
      </c>
      <c r="D54" s="5" t="n">
        <v>0.4990984338210715</v>
      </c>
      <c r="E54" s="5" t="n">
        <v>1.000901160134135</v>
      </c>
      <c r="F54" s="5" t="n">
        <v>1.987460691435179</v>
      </c>
    </row>
    <row r="55">
      <c r="A55" t="n">
        <v>51</v>
      </c>
      <c r="B55" t="inlineStr">
        <is>
          <t>Polarian</t>
        </is>
      </c>
      <c r="C55" t="inlineStr">
        <is>
          <t>Feline / Urmah</t>
        </is>
      </c>
      <c r="D55" s="5" t="n">
        <v>0.4952104663344133</v>
      </c>
      <c r="E55" s="5" t="n">
        <v>1.004778118457589</v>
      </c>
      <c r="F55" s="5" t="n">
        <v>1.97484176581315</v>
      </c>
    </row>
    <row r="56">
      <c r="A56" t="n">
        <v>52</v>
      </c>
      <c r="B56" t="inlineStr">
        <is>
          <t>Feline / Urmah</t>
        </is>
      </c>
      <c r="C56" t="inlineStr">
        <is>
          <t>Reptilian</t>
        </is>
      </c>
      <c r="D56" s="5" t="n">
        <v>0.4944295360479762</v>
      </c>
      <c r="E56" s="5" t="n">
        <v>1.005555034746506</v>
      </c>
      <c r="F56" s="5" t="n">
        <v>1.907223112276065</v>
      </c>
    </row>
    <row r="57">
      <c r="A57" t="n">
        <v>53</v>
      </c>
      <c r="B57" t="inlineStr">
        <is>
          <t>Vegan</t>
        </is>
      </c>
      <c r="C57" t="inlineStr">
        <is>
          <t>Reptilian</t>
        </is>
      </c>
      <c r="D57" s="5" t="n">
        <v>0.4811613679678955</v>
      </c>
      <c r="E57" s="5" t="n">
        <v>1.018664451163487</v>
      </c>
      <c r="F57" s="5" t="n">
        <v>1.897366596101028</v>
      </c>
    </row>
    <row r="58">
      <c r="A58" t="n">
        <v>54</v>
      </c>
      <c r="B58" t="inlineStr">
        <is>
          <t>Sirian</t>
        </is>
      </c>
      <c r="C58" t="inlineStr">
        <is>
          <t>Zeta / Grey</t>
        </is>
      </c>
      <c r="D58" s="5" t="n">
        <v>0.47979696560642</v>
      </c>
      <c r="E58" s="5" t="n">
        <v>1.020002974891328</v>
      </c>
      <c r="F58" s="5" t="n">
        <v>1.91049731745428</v>
      </c>
    </row>
    <row r="59">
      <c r="A59" t="n">
        <v>55</v>
      </c>
      <c r="B59" t="inlineStr">
        <is>
          <t>Alpha Centaurian</t>
        </is>
      </c>
      <c r="C59" t="inlineStr">
        <is>
          <t>Antarian</t>
        </is>
      </c>
      <c r="D59" s="5" t="n">
        <v>0.4771158474553158</v>
      </c>
      <c r="E59" s="5" t="n">
        <v>1.022628136269176</v>
      </c>
      <c r="F59" s="5" t="n">
        <v>1.806239186818844</v>
      </c>
    </row>
    <row r="60">
      <c r="A60" t="n">
        <v>56</v>
      </c>
      <c r="B60" t="inlineStr">
        <is>
          <t>Alpha Centaurian</t>
        </is>
      </c>
      <c r="C60" t="inlineStr">
        <is>
          <t>Earth-Origin Soul</t>
        </is>
      </c>
      <c r="D60" s="5" t="n">
        <v>0.4758254929357859</v>
      </c>
      <c r="E60" s="5" t="n">
        <v>1.023889161056229</v>
      </c>
      <c r="F60" s="5" t="n">
        <v>1.86077940659284</v>
      </c>
    </row>
    <row r="61">
      <c r="A61" t="n">
        <v>57</v>
      </c>
      <c r="B61" t="inlineStr">
        <is>
          <t>Sirian</t>
        </is>
      </c>
      <c r="C61" t="inlineStr">
        <is>
          <t>Alpha Centaurian</t>
        </is>
      </c>
      <c r="D61" s="5" t="n">
        <v>0.473431500059403</v>
      </c>
      <c r="E61" s="5" t="n">
        <v>1.026224634220595</v>
      </c>
      <c r="F61" s="5" t="n">
        <v>1.82002747232013</v>
      </c>
    </row>
    <row r="62">
      <c r="A62" t="n">
        <v>58</v>
      </c>
      <c r="B62" t="inlineStr">
        <is>
          <t>Maldekian</t>
        </is>
      </c>
      <c r="C62" t="inlineStr">
        <is>
          <t>Anunnaki / Nibiruan</t>
        </is>
      </c>
      <c r="D62" s="5" t="n">
        <v>0.4700321611955288</v>
      </c>
      <c r="E62" s="5" t="n">
        <v>1.029531775910264</v>
      </c>
      <c r="F62" s="5" t="n">
        <v>2.073644135332772</v>
      </c>
    </row>
    <row r="63">
      <c r="A63" t="n">
        <v>59</v>
      </c>
      <c r="B63" t="inlineStr">
        <is>
          <t>Avian / Blue Avian</t>
        </is>
      </c>
      <c r="C63" t="inlineStr">
        <is>
          <t>Tau Cetian</t>
        </is>
      </c>
      <c r="D63" s="5" t="n">
        <v>0.4674361187488514</v>
      </c>
      <c r="E63" s="5" t="n">
        <v>1.032050271305762</v>
      </c>
      <c r="F63" s="5" t="n">
        <v>1.760681686165901</v>
      </c>
    </row>
    <row r="64">
      <c r="A64" t="n">
        <v>60</v>
      </c>
      <c r="B64" t="inlineStr">
        <is>
          <t>Draconian</t>
        </is>
      </c>
      <c r="C64" t="inlineStr">
        <is>
          <t>Antarian</t>
        </is>
      </c>
      <c r="D64" s="5" t="n">
        <v>0.4635865852319739</v>
      </c>
      <c r="E64" s="5" t="n">
        <v>1.03577354162773</v>
      </c>
      <c r="F64" s="5" t="n">
        <v>1.903943276465977</v>
      </c>
    </row>
    <row r="65">
      <c r="A65" t="n">
        <v>61</v>
      </c>
      <c r="B65" t="inlineStr">
        <is>
          <t>Hadarian</t>
        </is>
      </c>
      <c r="C65" t="inlineStr">
        <is>
          <t>Tau Cetian</t>
        </is>
      </c>
      <c r="D65" s="5" t="n">
        <v>0.4603864863618876</v>
      </c>
      <c r="E65" s="5" t="n">
        <v>1.038858521299327</v>
      </c>
      <c r="F65" s="5" t="n">
        <v>1.778341924377874</v>
      </c>
    </row>
    <row r="66">
      <c r="A66" t="n">
        <v>62</v>
      </c>
      <c r="B66" t="inlineStr">
        <is>
          <t>Polarian</t>
        </is>
      </c>
      <c r="C66" t="inlineStr">
        <is>
          <t>Anunnaki / Nibiruan</t>
        </is>
      </c>
      <c r="D66" s="5" t="n">
        <v>0.457236842105263</v>
      </c>
      <c r="E66" s="5" t="n">
        <v>1.041885941833113</v>
      </c>
      <c r="F66" s="5" t="n">
        <v>2.03100960115899</v>
      </c>
    </row>
    <row r="67">
      <c r="A67" t="n">
        <v>63</v>
      </c>
      <c r="B67" t="inlineStr">
        <is>
          <t>Andromedan</t>
        </is>
      </c>
      <c r="C67" t="inlineStr">
        <is>
          <t>Reptilian</t>
        </is>
      </c>
      <c r="D67" s="5" t="n">
        <v>0.4543766413883775</v>
      </c>
      <c r="E67" s="5" t="n">
        <v>1.044627549523391</v>
      </c>
      <c r="F67" s="5" t="n">
        <v>1.874166481399131</v>
      </c>
    </row>
    <row r="68">
      <c r="A68" t="n">
        <v>64</v>
      </c>
      <c r="B68" t="inlineStr">
        <is>
          <t>Arcturian</t>
        </is>
      </c>
      <c r="C68" t="inlineStr">
        <is>
          <t>Avian / Blue Avian</t>
        </is>
      </c>
      <c r="D68" s="5" t="n">
        <v>0.4495754236194395</v>
      </c>
      <c r="E68" s="5" t="n">
        <v>1.049213587769964</v>
      </c>
      <c r="F68" s="5" t="n">
        <v>1.742842505793338</v>
      </c>
    </row>
    <row r="69">
      <c r="A69" t="n">
        <v>65</v>
      </c>
      <c r="B69" t="inlineStr">
        <is>
          <t>Pleiadian</t>
        </is>
      </c>
      <c r="C69" t="inlineStr">
        <is>
          <t>Andromedan</t>
        </is>
      </c>
      <c r="D69" s="5" t="n">
        <v>0.4471750586607388</v>
      </c>
      <c r="E69" s="5" t="n">
        <v>1.051498874311581</v>
      </c>
      <c r="F69" s="5" t="n">
        <v>1.91049731745428</v>
      </c>
    </row>
    <row r="70">
      <c r="A70" t="n">
        <v>66</v>
      </c>
      <c r="B70" t="inlineStr">
        <is>
          <t>Avian / Blue Avian</t>
        </is>
      </c>
      <c r="C70" t="inlineStr">
        <is>
          <t>Zeta / Grey</t>
        </is>
      </c>
      <c r="D70" s="5" t="n">
        <v>0.446461715313986</v>
      </c>
      <c r="E70" s="5" t="n">
        <v>1.052177061797124</v>
      </c>
      <c r="F70" s="5" t="n">
        <v>1.958953802415973</v>
      </c>
    </row>
    <row r="71">
      <c r="A71" t="n">
        <v>67</v>
      </c>
      <c r="B71" t="inlineStr">
        <is>
          <t>Arcturian</t>
        </is>
      </c>
      <c r="C71" t="inlineStr">
        <is>
          <t>Martian</t>
        </is>
      </c>
      <c r="D71" s="5" t="n">
        <v>0.4458642972069223</v>
      </c>
      <c r="E71" s="5" t="n">
        <v>1.052744701048718</v>
      </c>
      <c r="F71" s="5" t="n">
        <v>1.880824287380403</v>
      </c>
    </row>
    <row r="72">
      <c r="A72" t="n">
        <v>68</v>
      </c>
      <c r="B72" t="inlineStr">
        <is>
          <t>Sirian</t>
        </is>
      </c>
      <c r="C72" t="inlineStr">
        <is>
          <t>Orion</t>
        </is>
      </c>
      <c r="D72" s="5" t="n">
        <v>0.4435776522811297</v>
      </c>
      <c r="E72" s="5" t="n">
        <v>1.054914544139828</v>
      </c>
      <c r="F72" s="5" t="n">
        <v>1.843908891458578</v>
      </c>
    </row>
    <row r="73">
      <c r="A73" t="n">
        <v>69</v>
      </c>
      <c r="B73" t="inlineStr">
        <is>
          <t>Polarian</t>
        </is>
      </c>
      <c r="C73" t="inlineStr">
        <is>
          <t>Draconian</t>
        </is>
      </c>
      <c r="D73" s="5" t="n">
        <v>0.4424328757203306</v>
      </c>
      <c r="E73" s="5" t="n">
        <v>1.055999170719058</v>
      </c>
      <c r="F73" s="5" t="n">
        <v>2.024845673131658</v>
      </c>
    </row>
    <row r="74">
      <c r="A74" t="n">
        <v>70</v>
      </c>
      <c r="B74" t="inlineStr">
        <is>
          <t>Polarian</t>
        </is>
      </c>
      <c r="C74" t="inlineStr">
        <is>
          <t>Tau Cetian</t>
        </is>
      </c>
      <c r="D74" s="5" t="n">
        <v>0.4422216525934132</v>
      </c>
      <c r="E74" s="5" t="n">
        <v>1.056199173836627</v>
      </c>
      <c r="F74" s="5" t="n">
        <v>1.907223112276065</v>
      </c>
    </row>
    <row r="75">
      <c r="A75" t="n">
        <v>71</v>
      </c>
      <c r="B75" t="inlineStr">
        <is>
          <t>Andromedan</t>
        </is>
      </c>
      <c r="C75" t="inlineStr">
        <is>
          <t>Venusian</t>
        </is>
      </c>
      <c r="D75" s="5" t="n">
        <v>0.4247389184604606</v>
      </c>
      <c r="E75" s="5" t="n">
        <v>1.072623961637572</v>
      </c>
      <c r="F75" s="5" t="n">
        <v>1.930025906561878</v>
      </c>
    </row>
    <row r="76">
      <c r="A76" t="n">
        <v>72</v>
      </c>
      <c r="B76" t="inlineStr">
        <is>
          <t>Zeta / Grey</t>
        </is>
      </c>
      <c r="C76" t="inlineStr">
        <is>
          <t>Anunnaki / Nibiruan</t>
        </is>
      </c>
      <c r="D76" s="5" t="n">
        <v>0.4205390233681514</v>
      </c>
      <c r="E76" s="5" t="n">
        <v>1.076532374461492</v>
      </c>
      <c r="F76" s="5" t="n">
        <v>2.091650066335189</v>
      </c>
    </row>
    <row r="77">
      <c r="A77" t="n">
        <v>73</v>
      </c>
      <c r="B77" t="inlineStr">
        <is>
          <t>Lyran</t>
        </is>
      </c>
      <c r="C77" t="inlineStr">
        <is>
          <t>Hadarian</t>
        </is>
      </c>
      <c r="D77" s="5" t="n">
        <v>0.4184097179478158</v>
      </c>
      <c r="E77" s="5" t="n">
        <v>1.078508490511024</v>
      </c>
      <c r="F77" s="5" t="n">
        <v>1.91049731745428</v>
      </c>
    </row>
    <row r="78">
      <c r="A78" t="n">
        <v>74</v>
      </c>
      <c r="B78" t="inlineStr">
        <is>
          <t>Sirian</t>
        </is>
      </c>
      <c r="C78" t="inlineStr">
        <is>
          <t>Anunnaki / Nibiruan</t>
        </is>
      </c>
      <c r="D78" s="5" t="n">
        <v>0.4161619750453953</v>
      </c>
      <c r="E78" s="5" t="n">
        <v>1.080590602360214</v>
      </c>
      <c r="F78" s="5" t="n">
        <v>2.03100960115899</v>
      </c>
    </row>
    <row r="79">
      <c r="A79" t="n">
        <v>75</v>
      </c>
      <c r="B79" t="inlineStr">
        <is>
          <t>Lyran</t>
        </is>
      </c>
      <c r="C79" t="inlineStr">
        <is>
          <t>Draconian</t>
        </is>
      </c>
      <c r="D79" s="5" t="n">
        <v>0.4085987483277514</v>
      </c>
      <c r="E79" s="5" t="n">
        <v>1.087567240838238</v>
      </c>
      <c r="F79" s="5" t="n">
        <v>1.981161275615895</v>
      </c>
    </row>
    <row r="80">
      <c r="A80" t="n">
        <v>76</v>
      </c>
      <c r="B80" t="inlineStr">
        <is>
          <t>Orion</t>
        </is>
      </c>
      <c r="C80" t="inlineStr">
        <is>
          <t>Tau Cetian</t>
        </is>
      </c>
      <c r="D80" s="5" t="n">
        <v>0.4057713272285654</v>
      </c>
      <c r="E80" s="5" t="n">
        <v>1.090163907650069</v>
      </c>
      <c r="F80" s="5" t="n">
        <v>1.806239186818844</v>
      </c>
    </row>
    <row r="81">
      <c r="A81" t="n">
        <v>77</v>
      </c>
      <c r="B81" t="inlineStr">
        <is>
          <t>Arcturian</t>
        </is>
      </c>
      <c r="C81" t="inlineStr">
        <is>
          <t>Hadarian</t>
        </is>
      </c>
      <c r="D81" s="5" t="n">
        <v>0.4054653794259671</v>
      </c>
      <c r="E81" s="5" t="n">
        <v>1.090444515391804</v>
      </c>
      <c r="F81" s="5" t="n">
        <v>1.816590212458495</v>
      </c>
    </row>
    <row r="82">
      <c r="A82" t="n">
        <v>78</v>
      </c>
      <c r="B82" t="inlineStr">
        <is>
          <t>Lyran</t>
        </is>
      </c>
      <c r="C82" t="inlineStr">
        <is>
          <t>Venusian</t>
        </is>
      </c>
      <c r="D82" s="5" t="n">
        <v>0.3978351708763909</v>
      </c>
      <c r="E82" s="5" t="n">
        <v>1.097419545227448</v>
      </c>
      <c r="F82" s="5" t="n">
        <v>1.955760721560795</v>
      </c>
    </row>
    <row r="83">
      <c r="A83" t="n">
        <v>79</v>
      </c>
      <c r="B83" t="inlineStr">
        <is>
          <t>Hadarian</t>
        </is>
      </c>
      <c r="C83" t="inlineStr">
        <is>
          <t>Earth-Origin Soul</t>
        </is>
      </c>
      <c r="D83" s="5" t="n">
        <v>0.3968301169585697</v>
      </c>
      <c r="E83" s="5" t="n">
        <v>1.098334997203886</v>
      </c>
      <c r="F83" s="5" t="n">
        <v>2.018662923818635</v>
      </c>
    </row>
    <row r="84">
      <c r="A84" t="n">
        <v>80</v>
      </c>
      <c r="B84" t="inlineStr">
        <is>
          <t>Venusian</t>
        </is>
      </c>
      <c r="C84" t="inlineStr">
        <is>
          <t>Earth-Origin Soul</t>
        </is>
      </c>
      <c r="D84" s="5" t="n">
        <v>0.395925924789794</v>
      </c>
      <c r="E84" s="5" t="n">
        <v>1.099157927879525</v>
      </c>
      <c r="F84" s="5" t="n">
        <v>2.03100960115899</v>
      </c>
    </row>
    <row r="85">
      <c r="A85" t="n">
        <v>81</v>
      </c>
      <c r="B85" t="inlineStr">
        <is>
          <t>Mintakan</t>
        </is>
      </c>
      <c r="C85" t="inlineStr">
        <is>
          <t>Tau Cetian</t>
        </is>
      </c>
      <c r="D85" s="5" t="n">
        <v>0.390793191593835</v>
      </c>
      <c r="E85" s="5" t="n">
        <v>1.103817746193786</v>
      </c>
      <c r="F85" s="5" t="n">
        <v>1.952562418976663</v>
      </c>
    </row>
    <row r="86">
      <c r="A86" t="n">
        <v>82</v>
      </c>
      <c r="B86" t="inlineStr">
        <is>
          <t>Orion</t>
        </is>
      </c>
      <c r="C86" t="inlineStr">
        <is>
          <t>Feline / Urmah</t>
        </is>
      </c>
      <c r="D86" s="5" t="n">
        <v>0.388687963248943</v>
      </c>
      <c r="E86" s="5" t="n">
        <v>1.105723325928378</v>
      </c>
      <c r="F86" s="5" t="n">
        <v>2.043281674170255</v>
      </c>
    </row>
    <row r="87">
      <c r="A87" t="n">
        <v>83</v>
      </c>
      <c r="B87" t="inlineStr">
        <is>
          <t>Andromedan</t>
        </is>
      </c>
      <c r="C87" t="inlineStr">
        <is>
          <t>Hadarian</t>
        </is>
      </c>
      <c r="D87" s="5" t="n">
        <v>0.3828125</v>
      </c>
      <c r="E87" s="5" t="n">
        <v>1.111024302164449</v>
      </c>
      <c r="F87" s="5" t="n">
        <v>1.987460691435179</v>
      </c>
    </row>
    <row r="88">
      <c r="A88" t="n">
        <v>84</v>
      </c>
      <c r="B88" t="inlineStr">
        <is>
          <t>Orion</t>
        </is>
      </c>
      <c r="C88" t="inlineStr">
        <is>
          <t>Vegan</t>
        </is>
      </c>
      <c r="D88" s="5" t="n">
        <v>0.3817304138150385</v>
      </c>
      <c r="E88" s="5" t="n">
        <v>1.111997829300904</v>
      </c>
      <c r="F88" s="5" t="n">
        <v>2.015564437074637</v>
      </c>
    </row>
    <row r="89">
      <c r="A89" t="n">
        <v>85</v>
      </c>
      <c r="B89" t="inlineStr">
        <is>
          <t>Venusian</t>
        </is>
      </c>
      <c r="C89" t="inlineStr">
        <is>
          <t>Martian</t>
        </is>
      </c>
      <c r="D89" s="5" t="n">
        <v>0.3771385622156848</v>
      </c>
      <c r="E89" s="5" t="n">
        <v>1.116119561502544</v>
      </c>
      <c r="F89" s="5" t="n">
        <v>2.118372016431486</v>
      </c>
    </row>
    <row r="90">
      <c r="A90" t="n">
        <v>86</v>
      </c>
      <c r="B90" t="inlineStr">
        <is>
          <t>Alpha Centaurian</t>
        </is>
      </c>
      <c r="C90" t="inlineStr">
        <is>
          <t>Draconian</t>
        </is>
      </c>
      <c r="D90" s="5" t="n">
        <v>0.3768537904051424</v>
      </c>
      <c r="E90" s="5" t="n">
        <v>1.116374676884833</v>
      </c>
      <c r="F90" s="5" t="n">
        <v>2.027929979067325</v>
      </c>
    </row>
    <row r="91">
      <c r="A91" t="n">
        <v>87</v>
      </c>
      <c r="B91" t="inlineStr">
        <is>
          <t>Orion</t>
        </is>
      </c>
      <c r="C91" t="inlineStr">
        <is>
          <t>Alpha Centaurian</t>
        </is>
      </c>
      <c r="D91" s="5" t="n">
        <v>0.3738626774186932</v>
      </c>
      <c r="E91" s="5" t="n">
        <v>1.119050778634559</v>
      </c>
      <c r="F91" s="5" t="n">
        <v>1.920286436967152</v>
      </c>
    </row>
    <row r="92">
      <c r="A92" t="n">
        <v>88</v>
      </c>
      <c r="B92" t="inlineStr">
        <is>
          <t>Arcturian</t>
        </is>
      </c>
      <c r="C92" t="inlineStr">
        <is>
          <t>Reptilian</t>
        </is>
      </c>
      <c r="D92" s="5" t="n">
        <v>0.3710446938686469</v>
      </c>
      <c r="E92" s="5" t="n">
        <v>1.121566142616077</v>
      </c>
      <c r="F92" s="5" t="n">
        <v>1.874166481399131</v>
      </c>
    </row>
    <row r="93">
      <c r="A93" t="n">
        <v>89</v>
      </c>
      <c r="B93" t="inlineStr">
        <is>
          <t>Draconian</t>
        </is>
      </c>
      <c r="C93" t="inlineStr">
        <is>
          <t>Earth-Origin Soul</t>
        </is>
      </c>
      <c r="D93" s="5" t="n">
        <v>0.3697183098591548</v>
      </c>
      <c r="E93" s="5" t="n">
        <v>1.122748137509785</v>
      </c>
      <c r="F93" s="5" t="n">
        <v>2.115419580130618</v>
      </c>
    </row>
    <row r="94">
      <c r="A94" t="n">
        <v>90</v>
      </c>
      <c r="B94" t="inlineStr">
        <is>
          <t>Orion</t>
        </is>
      </c>
      <c r="C94" t="inlineStr">
        <is>
          <t>Polarian</t>
        </is>
      </c>
      <c r="D94" s="5" t="n">
        <v>0.3684406323118006</v>
      </c>
      <c r="E94" s="5" t="n">
        <v>1.123885552614855</v>
      </c>
      <c r="F94" s="5" t="n">
        <v>2.055480479109447</v>
      </c>
    </row>
    <row r="95">
      <c r="A95" t="n">
        <v>91</v>
      </c>
      <c r="B95" t="inlineStr">
        <is>
          <t>Venusian</t>
        </is>
      </c>
      <c r="C95" t="inlineStr">
        <is>
          <t>Vegan</t>
        </is>
      </c>
      <c r="D95" s="5" t="n">
        <v>0.3668922331228037</v>
      </c>
      <c r="E95" s="5" t="n">
        <v>1.125262428837999</v>
      </c>
      <c r="F95" s="5" t="n">
        <v>2.10059515376</v>
      </c>
    </row>
    <row r="96">
      <c r="A96" t="n">
        <v>92</v>
      </c>
      <c r="B96" t="inlineStr">
        <is>
          <t>Pleiadian</t>
        </is>
      </c>
      <c r="C96" t="inlineStr">
        <is>
          <t>Polarian</t>
        </is>
      </c>
      <c r="D96" s="5" t="n">
        <v>0.3651472676739937</v>
      </c>
      <c r="E96" s="5" t="n">
        <v>1.126812080451755</v>
      </c>
      <c r="F96" s="5" t="n">
        <v>2.138924963620744</v>
      </c>
    </row>
    <row r="97">
      <c r="A97" t="n">
        <v>93</v>
      </c>
      <c r="B97" t="inlineStr">
        <is>
          <t>Venusian</t>
        </is>
      </c>
      <c r="C97" t="inlineStr">
        <is>
          <t>Polarian</t>
        </is>
      </c>
      <c r="D97" s="5" t="n">
        <v>0.3614204599841278</v>
      </c>
      <c r="E97" s="5" t="n">
        <v>1.130114631367873</v>
      </c>
      <c r="F97" s="5" t="n">
        <v>2.127204738618265</v>
      </c>
    </row>
    <row r="98">
      <c r="A98" t="n">
        <v>94</v>
      </c>
      <c r="B98" t="inlineStr">
        <is>
          <t>Feline / Urmah</t>
        </is>
      </c>
      <c r="C98" t="inlineStr">
        <is>
          <t>Earth-Origin Soul</t>
        </is>
      </c>
      <c r="D98" s="5" t="n">
        <v>0.3583107051242769</v>
      </c>
      <c r="E98" s="5" t="n">
        <v>1.132863005729928</v>
      </c>
      <c r="F98" s="5" t="n">
        <v>2.190890230020664</v>
      </c>
    </row>
    <row r="99">
      <c r="A99" t="n">
        <v>95</v>
      </c>
      <c r="B99" t="inlineStr">
        <is>
          <t>Maldekian</t>
        </is>
      </c>
      <c r="C99" t="inlineStr">
        <is>
          <t>Draconian</t>
        </is>
      </c>
      <c r="D99" s="5" t="n">
        <v>0.3551277317573009</v>
      </c>
      <c r="E99" s="5" t="n">
        <v>1.135669202050226</v>
      </c>
      <c r="F99" s="5" t="n">
        <v>2.252776065213762</v>
      </c>
    </row>
    <row r="100">
      <c r="A100" t="n">
        <v>96</v>
      </c>
      <c r="B100" t="inlineStr">
        <is>
          <t>Mintakan</t>
        </is>
      </c>
      <c r="C100" t="inlineStr">
        <is>
          <t>Polarian</t>
        </is>
      </c>
      <c r="D100" s="5" t="n">
        <v>0.3493151457269336</v>
      </c>
      <c r="E100" s="5" t="n">
        <v>1.140775923898349</v>
      </c>
      <c r="F100" s="5" t="n">
        <v>2.190890230020664</v>
      </c>
    </row>
    <row r="101">
      <c r="A101" t="n">
        <v>97</v>
      </c>
      <c r="B101" t="inlineStr">
        <is>
          <t>Lyran</t>
        </is>
      </c>
      <c r="C101" t="inlineStr">
        <is>
          <t>Vegan</t>
        </is>
      </c>
      <c r="D101" s="5" t="n">
        <v>0.3452267080490626</v>
      </c>
      <c r="E101" s="5" t="n">
        <v>1.144354221341397</v>
      </c>
      <c r="F101" s="5" t="n">
        <v>2.10653744329409</v>
      </c>
    </row>
    <row r="102">
      <c r="A102" t="n">
        <v>98</v>
      </c>
      <c r="B102" t="inlineStr">
        <is>
          <t>Pleiadian</t>
        </is>
      </c>
      <c r="C102" t="inlineStr">
        <is>
          <t>Martian</t>
        </is>
      </c>
      <c r="D102" s="5" t="n">
        <v>0.3427231013876505</v>
      </c>
      <c r="E102" s="5" t="n">
        <v>1.146539923955856</v>
      </c>
      <c r="F102" s="5" t="n">
        <v>2.193741096848031</v>
      </c>
    </row>
    <row r="103">
      <c r="A103" t="n">
        <v>99</v>
      </c>
      <c r="B103" t="inlineStr">
        <is>
          <t>Arcturian</t>
        </is>
      </c>
      <c r="C103" t="inlineStr">
        <is>
          <t>Alpha Centaurian</t>
        </is>
      </c>
      <c r="D103" s="5" t="n">
        <v>0.3357734093548397</v>
      </c>
      <c r="E103" s="5" t="n">
        <v>1.152585433401933</v>
      </c>
      <c r="F103" s="5" t="n">
        <v>1.887458608817687</v>
      </c>
    </row>
    <row r="104">
      <c r="A104" t="n">
        <v>100</v>
      </c>
      <c r="B104" t="inlineStr">
        <is>
          <t>Pleiadian</t>
        </is>
      </c>
      <c r="C104" t="inlineStr">
        <is>
          <t>Earth-Origin Soul</t>
        </is>
      </c>
      <c r="D104" s="5" t="n">
        <v>0.3346103163301034</v>
      </c>
      <c r="E104" s="5" t="n">
        <v>1.153594108575366</v>
      </c>
      <c r="F104" s="5" t="n">
        <v>2.150581316760657</v>
      </c>
    </row>
    <row r="105">
      <c r="A105" t="n">
        <v>101</v>
      </c>
      <c r="B105" t="inlineStr">
        <is>
          <t>Tau Cetian</t>
        </is>
      </c>
      <c r="C105" t="inlineStr">
        <is>
          <t>Earth-Origin Soul</t>
        </is>
      </c>
      <c r="D105" s="5" t="n">
        <v>0.3308907458187876</v>
      </c>
      <c r="E105" s="5" t="n">
        <v>1.156813947168007</v>
      </c>
      <c r="F105" s="5" t="n">
        <v>2.040220576310317</v>
      </c>
    </row>
    <row r="106">
      <c r="A106" t="n">
        <v>102</v>
      </c>
      <c r="B106" t="inlineStr">
        <is>
          <t>Andromedan</t>
        </is>
      </c>
      <c r="C106" t="inlineStr">
        <is>
          <t>Tau Cetian</t>
        </is>
      </c>
      <c r="D106" s="5" t="n">
        <v>0.3270034856402192</v>
      </c>
      <c r="E106" s="5" t="n">
        <v>1.160169396562227</v>
      </c>
      <c r="F106" s="5" t="n">
        <v>1.984313483298443</v>
      </c>
    </row>
    <row r="107">
      <c r="A107" t="n">
        <v>103</v>
      </c>
      <c r="B107" t="inlineStr">
        <is>
          <t>Avian / Blue Avian</t>
        </is>
      </c>
      <c r="C107" t="inlineStr">
        <is>
          <t>Antarian</t>
        </is>
      </c>
      <c r="D107" s="5" t="n">
        <v>0.3064886240626917</v>
      </c>
      <c r="E107" s="5" t="n">
        <v>1.177719300968876</v>
      </c>
      <c r="F107" s="5" t="n">
        <v>2.10059515376</v>
      </c>
    </row>
    <row r="108">
      <c r="A108" t="n">
        <v>104</v>
      </c>
      <c r="B108" t="inlineStr">
        <is>
          <t>Hadarian</t>
        </is>
      </c>
      <c r="C108" t="inlineStr">
        <is>
          <t>Polarian</t>
        </is>
      </c>
      <c r="D108" s="5" t="n">
        <v>0.2975235298633847</v>
      </c>
      <c r="E108" s="5" t="n">
        <v>1.185307107999117</v>
      </c>
      <c r="F108" s="5" t="n">
        <v>2.219234102117215</v>
      </c>
    </row>
    <row r="109">
      <c r="A109" t="n">
        <v>105</v>
      </c>
      <c r="B109" t="inlineStr">
        <is>
          <t>Antarian</t>
        </is>
      </c>
      <c r="C109" t="inlineStr">
        <is>
          <t>Earth-Origin Soul</t>
        </is>
      </c>
      <c r="D109" s="5" t="n">
        <v>0.2966954145484633</v>
      </c>
      <c r="E109" s="5" t="n">
        <v>1.186005552644284</v>
      </c>
      <c r="F109" s="5" t="n">
        <v>2.179449471770337</v>
      </c>
    </row>
    <row r="110">
      <c r="A110" t="n">
        <v>106</v>
      </c>
      <c r="B110" t="inlineStr">
        <is>
          <t>Pleiadian</t>
        </is>
      </c>
      <c r="C110" t="inlineStr">
        <is>
          <t>Sirian</t>
        </is>
      </c>
      <c r="D110" s="5" t="n">
        <v>0.2895473530931649</v>
      </c>
      <c r="E110" s="5" t="n">
        <v>1.192017321104719</v>
      </c>
      <c r="F110" s="5" t="n">
        <v>2.173706511928416</v>
      </c>
    </row>
    <row r="111">
      <c r="A111" t="n">
        <v>107</v>
      </c>
      <c r="B111" t="inlineStr">
        <is>
          <t>Mintakan</t>
        </is>
      </c>
      <c r="C111" t="inlineStr">
        <is>
          <t>Martian</t>
        </is>
      </c>
      <c r="D111" s="5" t="n">
        <v>0.2874373934341474</v>
      </c>
      <c r="E111" s="5" t="n">
        <v>1.193786083488874</v>
      </c>
      <c r="F111" s="5" t="n">
        <v>2.310303010429585</v>
      </c>
    </row>
    <row r="112">
      <c r="A112" t="n">
        <v>108</v>
      </c>
      <c r="B112" t="inlineStr">
        <is>
          <t>Draconian</t>
        </is>
      </c>
      <c r="C112" t="inlineStr">
        <is>
          <t>Reptilian</t>
        </is>
      </c>
      <c r="D112" s="5" t="n">
        <v>0.2802234916736436</v>
      </c>
      <c r="E112" s="5" t="n">
        <v>1.199813742483688</v>
      </c>
      <c r="F112" s="5" t="n">
        <v>2.210769096943415</v>
      </c>
    </row>
    <row r="113">
      <c r="A113" t="n">
        <v>109</v>
      </c>
      <c r="B113" t="inlineStr">
        <is>
          <t>Pleiadian</t>
        </is>
      </c>
      <c r="C113" t="inlineStr">
        <is>
          <t>Alpha Centaurian</t>
        </is>
      </c>
      <c r="D113" s="5" t="n">
        <v>0.2800560168056019</v>
      </c>
      <c r="E113" s="5" t="n">
        <v>1.199953318420678</v>
      </c>
      <c r="F113" s="5" t="n">
        <v>2.153485546735803</v>
      </c>
    </row>
    <row r="114">
      <c r="A114" t="n">
        <v>110</v>
      </c>
      <c r="B114" t="inlineStr">
        <is>
          <t>Vegan</t>
        </is>
      </c>
      <c r="C114" t="inlineStr">
        <is>
          <t>Martian</t>
        </is>
      </c>
      <c r="D114" s="5" t="n">
        <v>0.2797278768014309</v>
      </c>
      <c r="E114" s="5" t="n">
        <v>1.200226747909385</v>
      </c>
      <c r="F114" s="5" t="n">
        <v>2.339871791359518</v>
      </c>
    </row>
    <row r="115">
      <c r="A115" t="n">
        <v>111</v>
      </c>
      <c r="B115" t="inlineStr">
        <is>
          <t>Hadarian</t>
        </is>
      </c>
      <c r="C115" t="inlineStr">
        <is>
          <t>Alpha Centaurian</t>
        </is>
      </c>
      <c r="D115" s="5" t="n">
        <v>0.2766470039866957</v>
      </c>
      <c r="E115" s="5" t="n">
        <v>1.202790917835103</v>
      </c>
      <c r="F115" s="5" t="n">
        <v>2.1242645786248</v>
      </c>
    </row>
    <row r="116">
      <c r="A116" t="n">
        <v>112</v>
      </c>
      <c r="B116" t="inlineStr">
        <is>
          <t>Pleiadian</t>
        </is>
      </c>
      <c r="C116" t="inlineStr">
        <is>
          <t>Reptilian</t>
        </is>
      </c>
      <c r="D116" s="5" t="n">
        <v>0.2712677482364058</v>
      </c>
      <c r="E116" s="5" t="n">
        <v>1.207254945538509</v>
      </c>
      <c r="F116" s="5" t="n">
        <v>2.199431744792277</v>
      </c>
    </row>
    <row r="117">
      <c r="A117" t="n">
        <v>113</v>
      </c>
      <c r="B117" t="inlineStr">
        <is>
          <t>Anunnaki / Nibiruan</t>
        </is>
      </c>
      <c r="C117" t="inlineStr">
        <is>
          <t>Earth-Origin Soul</t>
        </is>
      </c>
      <c r="D117" s="5" t="n">
        <v>0.2688630552454317</v>
      </c>
      <c r="E117" s="5" t="n">
        <v>1.209245173448766</v>
      </c>
      <c r="F117" s="5" t="n">
        <v>2.318404623873926</v>
      </c>
    </row>
    <row r="118">
      <c r="A118" t="n">
        <v>114</v>
      </c>
      <c r="B118" t="inlineStr">
        <is>
          <t>Pleiadian</t>
        </is>
      </c>
      <c r="C118" t="inlineStr">
        <is>
          <t>Arcturian</t>
        </is>
      </c>
      <c r="D118" s="5" t="n">
        <v>0.2681994524445568</v>
      </c>
      <c r="E118" s="5" t="n">
        <v>1.209793823389294</v>
      </c>
      <c r="F118" s="5" t="n">
        <v>2.04939015319192</v>
      </c>
    </row>
    <row r="119">
      <c r="A119" t="n">
        <v>115</v>
      </c>
      <c r="B119" t="inlineStr">
        <is>
          <t>Martian</t>
        </is>
      </c>
      <c r="C119" t="inlineStr">
        <is>
          <t>Draconian</t>
        </is>
      </c>
      <c r="D119" s="5" t="n">
        <v>0.2649694184094756</v>
      </c>
      <c r="E119" s="5" t="n">
        <v>1.212460788306595</v>
      </c>
      <c r="F119" s="5" t="n">
        <v>2.342541355024496</v>
      </c>
    </row>
    <row r="120">
      <c r="A120" t="n">
        <v>116</v>
      </c>
      <c r="B120" t="inlineStr">
        <is>
          <t>Draconian</t>
        </is>
      </c>
      <c r="C120" t="inlineStr">
        <is>
          <t>Zeta / Grey</t>
        </is>
      </c>
      <c r="D120" s="5" t="n">
        <v>0.2603717097344621</v>
      </c>
      <c r="E120" s="5" t="n">
        <v>1.216246924160993</v>
      </c>
      <c r="F120" s="5" t="n">
        <v>2.32379000772445</v>
      </c>
    </row>
    <row r="121">
      <c r="A121" t="n">
        <v>117</v>
      </c>
      <c r="B121" t="inlineStr">
        <is>
          <t>Sirian</t>
        </is>
      </c>
      <c r="C121" t="inlineStr">
        <is>
          <t>Reptilian</t>
        </is>
      </c>
      <c r="D121" s="5" t="n">
        <v>0.2581893039258533</v>
      </c>
      <c r="E121" s="5" t="n">
        <v>1.218039979700294</v>
      </c>
      <c r="F121" s="5" t="n">
        <v>2.193741096848031</v>
      </c>
    </row>
    <row r="122">
      <c r="A122" t="n">
        <v>118</v>
      </c>
      <c r="B122" t="inlineStr">
        <is>
          <t>Hadarian</t>
        </is>
      </c>
      <c r="C122" t="inlineStr">
        <is>
          <t>Reptilian</t>
        </is>
      </c>
      <c r="D122" s="5" t="n">
        <v>0.256315028475495</v>
      </c>
      <c r="E122" s="5" t="n">
        <v>1.219577772447912</v>
      </c>
      <c r="F122" s="5" t="n">
        <v>2.188035648704107</v>
      </c>
    </row>
    <row r="123">
      <c r="A123" t="n">
        <v>119</v>
      </c>
      <c r="B123" t="inlineStr">
        <is>
          <t>Mintakan</t>
        </is>
      </c>
      <c r="C123" t="inlineStr">
        <is>
          <t>Alpha Centaurian</t>
        </is>
      </c>
      <c r="D123" s="5" t="n">
        <v>0.2503558720662703</v>
      </c>
      <c r="E123" s="5" t="n">
        <v>1.224454268589668</v>
      </c>
      <c r="F123" s="5" t="n">
        <v>2.227666940994546</v>
      </c>
    </row>
    <row r="124">
      <c r="A124" t="n">
        <v>120</v>
      </c>
      <c r="B124" t="inlineStr">
        <is>
          <t>Venusian</t>
        </is>
      </c>
      <c r="C124" t="inlineStr">
        <is>
          <t>Avian / Blue Avian</t>
        </is>
      </c>
      <c r="D124" s="5" t="n">
        <v>0.2330452975974442</v>
      </c>
      <c r="E124" s="5" t="n">
        <v>1.238510962731098</v>
      </c>
      <c r="F124" s="5" t="n">
        <v>2.222048604328897</v>
      </c>
    </row>
    <row r="125">
      <c r="A125" t="n">
        <v>121</v>
      </c>
      <c r="B125" t="inlineStr">
        <is>
          <t>Vegan</t>
        </is>
      </c>
      <c r="C125" t="inlineStr">
        <is>
          <t>Tau Cetian</t>
        </is>
      </c>
      <c r="D125" s="5" t="n">
        <v>0.2324747331784487</v>
      </c>
      <c r="E125" s="5" t="n">
        <v>1.23897156288718</v>
      </c>
      <c r="F125" s="5" t="n">
        <v>2.207940216581962</v>
      </c>
    </row>
    <row r="126">
      <c r="A126" t="n">
        <v>122</v>
      </c>
      <c r="B126" t="inlineStr">
        <is>
          <t>Sirian</t>
        </is>
      </c>
      <c r="C126" t="inlineStr">
        <is>
          <t>Venusian</t>
        </is>
      </c>
      <c r="D126" s="5" t="n">
        <v>0.2260552990717156</v>
      </c>
      <c r="E126" s="5" t="n">
        <v>1.244142034438419</v>
      </c>
      <c r="F126" s="5" t="n">
        <v>2.247220505424423</v>
      </c>
    </row>
    <row r="127">
      <c r="A127" t="n">
        <v>123</v>
      </c>
      <c r="B127" t="inlineStr">
        <is>
          <t>Venusian</t>
        </is>
      </c>
      <c r="C127" t="inlineStr">
        <is>
          <t>Reptilian</t>
        </is>
      </c>
      <c r="D127" s="5" t="n">
        <v>0.2188136083694053</v>
      </c>
      <c r="E127" s="5" t="n">
        <v>1.249949112268651</v>
      </c>
      <c r="F127" s="5" t="n">
        <v>2.255548713727992</v>
      </c>
    </row>
    <row r="128">
      <c r="A128" t="n">
        <v>124</v>
      </c>
      <c r="B128" t="inlineStr">
        <is>
          <t>Zeta / Grey</t>
        </is>
      </c>
      <c r="C128" t="inlineStr">
        <is>
          <t>Tau Cetian</t>
        </is>
      </c>
      <c r="D128" s="5" t="n">
        <v>0.2186053742172201</v>
      </c>
      <c r="E128" s="5" t="n">
        <v>1.250115695272066</v>
      </c>
      <c r="F128" s="5" t="n">
        <v>2.238861317723811</v>
      </c>
    </row>
    <row r="129">
      <c r="A129" t="n">
        <v>125</v>
      </c>
      <c r="B129" t="inlineStr">
        <is>
          <t>Sirian</t>
        </is>
      </c>
      <c r="C129" t="inlineStr">
        <is>
          <t>Tau Cetian</t>
        </is>
      </c>
      <c r="D129" s="5" t="n">
        <v>0.2177420334850171</v>
      </c>
      <c r="E129" s="5" t="n">
        <v>1.250806113284535</v>
      </c>
      <c r="F129" s="5" t="n">
        <v>2.147673159491453</v>
      </c>
    </row>
    <row r="130">
      <c r="A130" t="n">
        <v>126</v>
      </c>
      <c r="B130" t="inlineStr">
        <is>
          <t>Alpha Centaurian</t>
        </is>
      </c>
      <c r="C130" t="inlineStr">
        <is>
          <t>Avian / Blue Avian</t>
        </is>
      </c>
      <c r="D130" s="5" t="n">
        <v>0.213753124766407</v>
      </c>
      <c r="E130" s="5" t="n">
        <v>1.253991128544052</v>
      </c>
      <c r="F130" s="5" t="n">
        <v>2.207940216581962</v>
      </c>
    </row>
    <row r="131">
      <c r="A131" t="n">
        <v>127</v>
      </c>
      <c r="B131" t="inlineStr">
        <is>
          <t>Sirian</t>
        </is>
      </c>
      <c r="C131" t="inlineStr">
        <is>
          <t>Mintakan</t>
        </is>
      </c>
      <c r="D131" s="5" t="n">
        <v>0.2126955006778628</v>
      </c>
      <c r="E131" s="5" t="n">
        <v>1.254834251462827</v>
      </c>
      <c r="F131" s="5" t="n">
        <v>2.318404623873926</v>
      </c>
    </row>
    <row r="132">
      <c r="A132" t="n">
        <v>128</v>
      </c>
      <c r="B132" t="inlineStr">
        <is>
          <t>Venusian</t>
        </is>
      </c>
      <c r="C132" t="inlineStr">
        <is>
          <t>Feline / Urmah</t>
        </is>
      </c>
      <c r="D132" s="5" t="n">
        <v>0.2091875245581992</v>
      </c>
      <c r="E132" s="5" t="n">
        <v>1.257626713649007</v>
      </c>
      <c r="F132" s="5" t="n">
        <v>2.387467277262664</v>
      </c>
    </row>
    <row r="133">
      <c r="A133" t="n">
        <v>129</v>
      </c>
      <c r="B133" t="inlineStr">
        <is>
          <t>Reptilian</t>
        </is>
      </c>
      <c r="C133" t="inlineStr">
        <is>
          <t>Antarian</t>
        </is>
      </c>
      <c r="D133" s="5" t="n">
        <v>0.2058287349878975</v>
      </c>
      <c r="E133" s="5" t="n">
        <v>1.260294620326614</v>
      </c>
      <c r="F133" s="5" t="n">
        <v>2.261083810919003</v>
      </c>
    </row>
    <row r="134">
      <c r="A134" t="n">
        <v>130</v>
      </c>
      <c r="B134" t="inlineStr">
        <is>
          <t>Tau Cetian</t>
        </is>
      </c>
      <c r="C134" t="inlineStr">
        <is>
          <t>Antarian</t>
        </is>
      </c>
      <c r="D134" s="5" t="n">
        <v>0.2022258398038198</v>
      </c>
      <c r="E134" s="5" t="n">
        <v>1.263150157500034</v>
      </c>
      <c r="F134" s="5" t="n">
        <v>2.159282288168918</v>
      </c>
    </row>
    <row r="135">
      <c r="A135" t="n">
        <v>131</v>
      </c>
      <c r="B135" t="inlineStr">
        <is>
          <t>Pleiadian</t>
        </is>
      </c>
      <c r="C135" t="inlineStr">
        <is>
          <t>Avian / Blue Avian</t>
        </is>
      </c>
      <c r="D135" s="5" t="n">
        <v>0.202037114368679</v>
      </c>
      <c r="E135" s="5" t="n">
        <v>1.263299557216198</v>
      </c>
      <c r="F135" s="5" t="n">
        <v>2.288558498269162</v>
      </c>
    </row>
    <row r="136">
      <c r="A136" t="n">
        <v>132</v>
      </c>
      <c r="B136" t="inlineStr">
        <is>
          <t>Feline / Urmah</t>
        </is>
      </c>
      <c r="C136" t="inlineStr">
        <is>
          <t>Draconian</t>
        </is>
      </c>
      <c r="D136" s="5" t="n">
        <v>0.197573192545162</v>
      </c>
      <c r="E136" s="5" t="n">
        <v>1.266828171027814</v>
      </c>
      <c r="F136" s="5" t="n">
        <v>2.449489742783178</v>
      </c>
    </row>
    <row r="137">
      <c r="A137" t="n">
        <v>133</v>
      </c>
      <c r="B137" t="inlineStr">
        <is>
          <t>Arcturian</t>
        </is>
      </c>
      <c r="C137" t="inlineStr">
        <is>
          <t>Draconian</t>
        </is>
      </c>
      <c r="D137" s="5" t="n">
        <v>0.196854085364461</v>
      </c>
      <c r="E137" s="5" t="n">
        <v>1.267395687727822</v>
      </c>
      <c r="F137" s="5" t="n">
        <v>2.173706511928416</v>
      </c>
    </row>
    <row r="138">
      <c r="A138" t="n">
        <v>134</v>
      </c>
      <c r="B138" t="inlineStr">
        <is>
          <t>Lyran</t>
        </is>
      </c>
      <c r="C138" t="inlineStr">
        <is>
          <t>Anunnaki / Nibiruan</t>
        </is>
      </c>
      <c r="D138" s="5" t="n">
        <v>0.1938079216222234</v>
      </c>
      <c r="E138" s="5" t="n">
        <v>1.269796895867821</v>
      </c>
      <c r="F138" s="5" t="n">
        <v>2.355843797877949</v>
      </c>
    </row>
    <row r="139">
      <c r="A139" t="n">
        <v>135</v>
      </c>
      <c r="B139" t="inlineStr">
        <is>
          <t>Venusian</t>
        </is>
      </c>
      <c r="C139" t="inlineStr">
        <is>
          <t>Alpha Centaurian</t>
        </is>
      </c>
      <c r="D139" s="5" t="n">
        <v>0.1902337000017124</v>
      </c>
      <c r="E139" s="5" t="n">
        <v>1.272608580827811</v>
      </c>
      <c r="F139" s="5" t="n">
        <v>2.261083810919003</v>
      </c>
    </row>
    <row r="140">
      <c r="A140" t="n">
        <v>136</v>
      </c>
      <c r="B140" t="inlineStr">
        <is>
          <t>Feline / Urmah</t>
        </is>
      </c>
      <c r="C140" t="inlineStr">
        <is>
          <t>Martian</t>
        </is>
      </c>
      <c r="D140" s="5" t="n">
        <v>0.1881980065043869</v>
      </c>
      <c r="E140" s="5" t="n">
        <v>1.274207199395462</v>
      </c>
      <c r="F140" s="5" t="n">
        <v>2.522399651125887</v>
      </c>
    </row>
    <row r="141">
      <c r="A141" t="n">
        <v>137</v>
      </c>
      <c r="B141" t="inlineStr">
        <is>
          <t>Arcturian</t>
        </is>
      </c>
      <c r="C141" t="inlineStr">
        <is>
          <t>Mintakan</t>
        </is>
      </c>
      <c r="D141" s="5" t="n">
        <v>0.1830869383628659</v>
      </c>
      <c r="E141" s="5" t="n">
        <v>1.278212080710501</v>
      </c>
      <c r="F141" s="5" t="n">
        <v>2.19658826364888</v>
      </c>
    </row>
    <row r="142">
      <c r="A142" t="n">
        <v>138</v>
      </c>
      <c r="B142" t="inlineStr">
        <is>
          <t>Andromedan</t>
        </is>
      </c>
      <c r="C142" t="inlineStr">
        <is>
          <t>Mintakan</t>
        </is>
      </c>
      <c r="D142" s="5" t="n">
        <v>0.1810894212716565</v>
      </c>
      <c r="E142" s="5" t="n">
        <v>1.279773869656936</v>
      </c>
      <c r="F142" s="5" t="n">
        <v>2.355843797877949</v>
      </c>
    </row>
    <row r="143">
      <c r="A143" t="n">
        <v>139</v>
      </c>
      <c r="B143" t="inlineStr">
        <is>
          <t>Mintakan</t>
        </is>
      </c>
      <c r="C143" t="inlineStr">
        <is>
          <t>Reptilian</t>
        </is>
      </c>
      <c r="D143" s="5" t="n">
        <v>0.1763633496620857</v>
      </c>
      <c r="E143" s="5" t="n">
        <v>1.283461452742477</v>
      </c>
      <c r="F143" s="5" t="n">
        <v>2.369071548096427</v>
      </c>
    </row>
    <row r="144">
      <c r="A144" t="n">
        <v>140</v>
      </c>
      <c r="B144" t="inlineStr">
        <is>
          <t>Orion</t>
        </is>
      </c>
      <c r="C144" t="inlineStr">
        <is>
          <t>Reptilian</t>
        </is>
      </c>
      <c r="D144" s="5" t="n">
        <v>0.1687199939579574</v>
      </c>
      <c r="E144" s="5" t="n">
        <v>1.289402967300791</v>
      </c>
      <c r="F144" s="5" t="n">
        <v>2.25</v>
      </c>
    </row>
    <row r="145">
      <c r="A145" t="n">
        <v>141</v>
      </c>
      <c r="B145" t="inlineStr">
        <is>
          <t>Pleiadian</t>
        </is>
      </c>
      <c r="C145" t="inlineStr">
        <is>
          <t>Vegan</t>
        </is>
      </c>
      <c r="D145" s="5" t="n">
        <v>0.1659213978641466</v>
      </c>
      <c r="E145" s="5" t="n">
        <v>1.291571602456367</v>
      </c>
      <c r="F145" s="5" t="n">
        <v>2.431563283157566</v>
      </c>
    </row>
    <row r="146">
      <c r="A146" t="n">
        <v>142</v>
      </c>
      <c r="B146" t="inlineStr">
        <is>
          <t>Orion</t>
        </is>
      </c>
      <c r="C146" t="inlineStr">
        <is>
          <t>Earth-Origin Soul</t>
        </is>
      </c>
      <c r="D146" s="5" t="n">
        <v>0.1650527242401519</v>
      </c>
      <c r="E146" s="5" t="n">
        <v>1.292243998445996</v>
      </c>
      <c r="F146" s="5" t="n">
        <v>2.313006701244075</v>
      </c>
    </row>
    <row r="147">
      <c r="A147" t="n">
        <v>143</v>
      </c>
      <c r="B147" t="inlineStr">
        <is>
          <t>Zeta / Grey</t>
        </is>
      </c>
      <c r="C147" t="inlineStr">
        <is>
          <t>Earth-Origin Soul</t>
        </is>
      </c>
      <c r="D147" s="5" t="n">
        <v>0.1610193468094699</v>
      </c>
      <c r="E147" s="5" t="n">
        <v>1.295361457810545</v>
      </c>
      <c r="F147" s="5" t="n">
        <v>2.474873734152916</v>
      </c>
    </row>
    <row r="148">
      <c r="A148" t="n">
        <v>144</v>
      </c>
      <c r="B148" t="inlineStr">
        <is>
          <t>Alpha Centaurian</t>
        </is>
      </c>
      <c r="C148" t="inlineStr">
        <is>
          <t>Reptilian</t>
        </is>
      </c>
      <c r="D148" s="5" t="n">
        <v>0.1594435562964834</v>
      </c>
      <c r="E148" s="5" t="n">
        <v>1.296577374246147</v>
      </c>
      <c r="F148" s="5" t="n">
        <v>2.29673681557117</v>
      </c>
    </row>
    <row r="149">
      <c r="A149" t="n">
        <v>145</v>
      </c>
      <c r="B149" t="inlineStr">
        <is>
          <t>Lyran</t>
        </is>
      </c>
      <c r="C149" t="inlineStr">
        <is>
          <t>Feline / Urmah</t>
        </is>
      </c>
      <c r="D149" s="5" t="n">
        <v>0.1583143561011738</v>
      </c>
      <c r="E149" s="5" t="n">
        <v>1.297447990401793</v>
      </c>
      <c r="F149" s="5" t="n">
        <v>2.428991560298224</v>
      </c>
    </row>
    <row r="150">
      <c r="A150" t="n">
        <v>146</v>
      </c>
      <c r="B150" t="inlineStr">
        <is>
          <t>Arcturian</t>
        </is>
      </c>
      <c r="C150" t="inlineStr">
        <is>
          <t>Orion</t>
        </is>
      </c>
      <c r="D150" s="5" t="n">
        <v>0.1562333133729014</v>
      </c>
      <c r="E150" s="5" t="n">
        <v>1.299050950984678</v>
      </c>
      <c r="F150" s="5" t="n">
        <v>2.085665361461421</v>
      </c>
    </row>
    <row r="151">
      <c r="A151" t="n">
        <v>147</v>
      </c>
      <c r="B151" t="inlineStr">
        <is>
          <t>Orion</t>
        </is>
      </c>
      <c r="C151" t="inlineStr">
        <is>
          <t>Anunnaki / Nibiruan</t>
        </is>
      </c>
      <c r="D151" s="5" t="n">
        <v>0.1557326383998333</v>
      </c>
      <c r="E151" s="5" t="n">
        <v>1.299436309789877</v>
      </c>
      <c r="F151" s="5" t="n">
        <v>2.371708245126285</v>
      </c>
    </row>
    <row r="152">
      <c r="A152" t="n">
        <v>148</v>
      </c>
      <c r="B152" t="inlineStr">
        <is>
          <t>Lyran</t>
        </is>
      </c>
      <c r="C152" t="inlineStr">
        <is>
          <t>Alpha Centaurian</t>
        </is>
      </c>
      <c r="D152" s="5" t="n">
        <v>0.1554221478090433</v>
      </c>
      <c r="E152" s="5" t="n">
        <v>1.299675230348687</v>
      </c>
      <c r="F152" s="5" t="n">
        <v>2.272113553500353</v>
      </c>
    </row>
    <row r="153">
      <c r="A153" t="n">
        <v>149</v>
      </c>
      <c r="B153" t="inlineStr">
        <is>
          <t>Alpha Centaurian</t>
        </is>
      </c>
      <c r="C153" t="inlineStr">
        <is>
          <t>Feline / Urmah</t>
        </is>
      </c>
      <c r="D153" s="5" t="n">
        <v>0.1520482162385841</v>
      </c>
      <c r="E153" s="5" t="n">
        <v>1.302268623411788</v>
      </c>
      <c r="F153" s="5" t="n">
        <v>2.431563283157566</v>
      </c>
    </row>
    <row r="154">
      <c r="A154" t="n">
        <v>150</v>
      </c>
      <c r="B154" t="inlineStr">
        <is>
          <t>Mintakan</t>
        </is>
      </c>
      <c r="C154" t="inlineStr">
        <is>
          <t>Earth-Origin Soul</t>
        </is>
      </c>
      <c r="D154" s="5" t="n">
        <v>0.1438605346936133</v>
      </c>
      <c r="E154" s="5" t="n">
        <v>1.308540763833047</v>
      </c>
      <c r="F154" s="5" t="n">
        <v>2.469817807045694</v>
      </c>
    </row>
    <row r="155">
      <c r="A155" t="n">
        <v>151</v>
      </c>
      <c r="B155" t="inlineStr">
        <is>
          <t>Feline / Urmah</t>
        </is>
      </c>
      <c r="C155" t="inlineStr">
        <is>
          <t>Anunnaki / Nibiruan</t>
        </is>
      </c>
      <c r="D155" s="5" t="n">
        <v>0.1391767977279724</v>
      </c>
      <c r="E155" s="5" t="n">
        <v>1.312115240573043</v>
      </c>
      <c r="F155" s="5" t="n">
        <v>2.578759391645526</v>
      </c>
    </row>
    <row r="156">
      <c r="A156" t="n">
        <v>152</v>
      </c>
      <c r="B156" t="inlineStr">
        <is>
          <t>Pleiadian</t>
        </is>
      </c>
      <c r="C156" t="inlineStr">
        <is>
          <t>Lyran</t>
        </is>
      </c>
      <c r="D156" s="5" t="n">
        <v>0.1353056832849991</v>
      </c>
      <c r="E156" s="5" t="n">
        <v>1.315062216562396</v>
      </c>
      <c r="F156" s="5" t="n">
        <v>2.366431913239846</v>
      </c>
    </row>
    <row r="157">
      <c r="A157" t="n">
        <v>153</v>
      </c>
      <c r="B157" t="inlineStr">
        <is>
          <t>Sirian</t>
        </is>
      </c>
      <c r="C157" t="inlineStr">
        <is>
          <t>Hadarian</t>
        </is>
      </c>
      <c r="D157" s="5" t="n">
        <v>0.131786905501034</v>
      </c>
      <c r="E157" s="5" t="n">
        <v>1.317735249964094</v>
      </c>
      <c r="F157" s="5" t="n">
        <v>2.366431913239846</v>
      </c>
    </row>
    <row r="158">
      <c r="A158" t="n">
        <v>154</v>
      </c>
      <c r="B158" t="inlineStr">
        <is>
          <t>Hadarian</t>
        </is>
      </c>
      <c r="C158" t="inlineStr">
        <is>
          <t>Vegan</t>
        </is>
      </c>
      <c r="D158" s="5" t="n">
        <v>0.131000064691406</v>
      </c>
      <c r="E158" s="5" t="n">
        <v>1.318332230743521</v>
      </c>
      <c r="F158" s="5" t="n">
        <v>2.446936860648431</v>
      </c>
    </row>
    <row r="159">
      <c r="A159" t="n">
        <v>155</v>
      </c>
      <c r="B159" t="inlineStr">
        <is>
          <t>Martian</t>
        </is>
      </c>
      <c r="C159" t="inlineStr">
        <is>
          <t>Earth-Origin Soul</t>
        </is>
      </c>
      <c r="D159" s="5" t="n">
        <v>0.1308076875692348</v>
      </c>
      <c r="E159" s="5" t="n">
        <v>1.318478147282514</v>
      </c>
      <c r="F159" s="5" t="n">
        <v>2.547057125390006</v>
      </c>
    </row>
    <row r="160">
      <c r="A160" t="n">
        <v>156</v>
      </c>
      <c r="B160" t="inlineStr">
        <is>
          <t>Lyran</t>
        </is>
      </c>
      <c r="C160" t="inlineStr">
        <is>
          <t>Tau Cetian</t>
        </is>
      </c>
      <c r="D160" s="5" t="n">
        <v>0.12289925496785</v>
      </c>
      <c r="E160" s="5" t="n">
        <v>1.324462717506348</v>
      </c>
      <c r="F160" s="5" t="n">
        <v>2.238861317723811</v>
      </c>
    </row>
    <row r="161">
      <c r="A161" t="n">
        <v>157</v>
      </c>
      <c r="B161" t="inlineStr">
        <is>
          <t>Arcturian</t>
        </is>
      </c>
      <c r="C161" t="inlineStr">
        <is>
          <t>Anunnaki / Nibiruan</t>
        </is>
      </c>
      <c r="D161" s="5" t="n">
        <v>0.1226174540828776</v>
      </c>
      <c r="E161" s="5" t="n">
        <v>1.324675466608424</v>
      </c>
      <c r="F161" s="5" t="n">
        <v>2.318404623873926</v>
      </c>
    </row>
    <row r="162">
      <c r="A162" t="n">
        <v>158</v>
      </c>
      <c r="B162" t="inlineStr">
        <is>
          <t>Lyran</t>
        </is>
      </c>
      <c r="C162" t="inlineStr">
        <is>
          <t>Earth-Origin Soul</t>
        </is>
      </c>
      <c r="D162" s="5" t="n">
        <v>0.1172829740570397</v>
      </c>
      <c r="E162" s="5" t="n">
        <v>1.328696373098806</v>
      </c>
      <c r="F162" s="5" t="n">
        <v>2.418677324489565</v>
      </c>
    </row>
    <row r="163">
      <c r="A163" t="n">
        <v>159</v>
      </c>
      <c r="B163" t="inlineStr">
        <is>
          <t>Orion</t>
        </is>
      </c>
      <c r="C163" t="inlineStr">
        <is>
          <t>Venusian</t>
        </is>
      </c>
      <c r="D163" s="5" t="n">
        <v>0.1145618352186135</v>
      </c>
      <c r="E163" s="5" t="n">
        <v>1.330742773627861</v>
      </c>
      <c r="F163" s="5" t="n">
        <v>2.329162939770423</v>
      </c>
    </row>
    <row r="164">
      <c r="A164" t="n">
        <v>160</v>
      </c>
      <c r="B164" t="inlineStr">
        <is>
          <t>Lyran</t>
        </is>
      </c>
      <c r="C164" t="inlineStr">
        <is>
          <t>Mintakan</t>
        </is>
      </c>
      <c r="D164" s="5" t="n">
        <v>0.1131021041484979</v>
      </c>
      <c r="E164" s="5" t="n">
        <v>1.331839251450041</v>
      </c>
      <c r="F164" s="5" t="n">
        <v>2.428991560298224</v>
      </c>
    </row>
    <row r="165">
      <c r="A165" t="n">
        <v>161</v>
      </c>
      <c r="B165" t="inlineStr">
        <is>
          <t>Reptilian</t>
        </is>
      </c>
      <c r="C165" t="inlineStr">
        <is>
          <t>Earth-Origin Soul</t>
        </is>
      </c>
      <c r="D165" s="5" t="n">
        <v>0.1106145361869646</v>
      </c>
      <c r="E165" s="5" t="n">
        <v>1.333705712526594</v>
      </c>
      <c r="F165" s="5" t="n">
        <v>2.457132475061123</v>
      </c>
    </row>
    <row r="166">
      <c r="A166" t="n">
        <v>162</v>
      </c>
      <c r="B166" t="inlineStr">
        <is>
          <t>Maldekian</t>
        </is>
      </c>
      <c r="C166" t="inlineStr">
        <is>
          <t>Tau Cetian</t>
        </is>
      </c>
      <c r="D166" s="5" t="n">
        <v>0.1076409566746834</v>
      </c>
      <c r="E166" s="5" t="n">
        <v>1.335933414003345</v>
      </c>
      <c r="F166" s="5" t="n">
        <v>2.492488716122903</v>
      </c>
    </row>
    <row r="167">
      <c r="A167" t="n">
        <v>163</v>
      </c>
      <c r="B167" t="inlineStr">
        <is>
          <t>Maldekian</t>
        </is>
      </c>
      <c r="C167" t="inlineStr">
        <is>
          <t>Reptilian</t>
        </is>
      </c>
      <c r="D167" s="5" t="n">
        <v>0.1072064400842896</v>
      </c>
      <c r="E167" s="5" t="n">
        <v>1.336258627598498</v>
      </c>
      <c r="F167" s="5" t="n">
        <v>2.595669470483482</v>
      </c>
    </row>
    <row r="168">
      <c r="A168" t="n">
        <v>164</v>
      </c>
      <c r="B168" t="inlineStr">
        <is>
          <t>Vegan</t>
        </is>
      </c>
      <c r="C168" t="inlineStr">
        <is>
          <t>Feline / Urmah</t>
        </is>
      </c>
      <c r="D168" s="5" t="n">
        <v>0.1051414946037456</v>
      </c>
      <c r="E168" s="5" t="n">
        <v>1.337803053813419</v>
      </c>
      <c r="F168" s="5" t="n">
        <v>2.610076627227638</v>
      </c>
    </row>
    <row r="169">
      <c r="A169" t="n">
        <v>165</v>
      </c>
      <c r="B169" t="inlineStr">
        <is>
          <t>Mintakan</t>
        </is>
      </c>
      <c r="C169" t="inlineStr">
        <is>
          <t>Feline / Urmah</t>
        </is>
      </c>
      <c r="D169" s="5" t="n">
        <v>0.1034460359662627</v>
      </c>
      <c r="E169" s="5" t="n">
        <v>1.339069799550223</v>
      </c>
      <c r="F169" s="5" t="n">
        <v>2.593260495977988</v>
      </c>
    </row>
    <row r="170">
      <c r="A170" t="n">
        <v>166</v>
      </c>
      <c r="B170" t="inlineStr">
        <is>
          <t>Pleiadian</t>
        </is>
      </c>
      <c r="C170" t="inlineStr">
        <is>
          <t>Feline / Urmah</t>
        </is>
      </c>
      <c r="D170" s="5" t="n">
        <v>0.09923130934256785</v>
      </c>
      <c r="E170" s="5" t="n">
        <v>1.34221361240112</v>
      </c>
      <c r="F170" s="5" t="n">
        <v>2.569046515733026</v>
      </c>
    </row>
    <row r="171">
      <c r="A171" t="n">
        <v>167</v>
      </c>
      <c r="B171" t="inlineStr">
        <is>
          <t>Orion</t>
        </is>
      </c>
      <c r="C171" t="inlineStr">
        <is>
          <t>Draconian</t>
        </is>
      </c>
      <c r="D171" s="5" t="n">
        <v>0.09038601565532124</v>
      </c>
      <c r="E171" s="5" t="n">
        <v>1.348787592132044</v>
      </c>
      <c r="F171" s="5" t="n">
        <v>2.413503677229434</v>
      </c>
    </row>
    <row r="172">
      <c r="A172" t="n">
        <v>168</v>
      </c>
      <c r="B172" t="inlineStr">
        <is>
          <t>Hadarian</t>
        </is>
      </c>
      <c r="C172" t="inlineStr">
        <is>
          <t>Feline / Urmah</t>
        </is>
      </c>
      <c r="D172" s="5" t="n">
        <v>0.08464989719746506</v>
      </c>
      <c r="E172" s="5" t="n">
        <v>1.353033704534026</v>
      </c>
      <c r="F172" s="5" t="n">
        <v>2.55440795488896</v>
      </c>
    </row>
    <row r="173">
      <c r="A173" t="n">
        <v>169</v>
      </c>
      <c r="B173" t="inlineStr">
        <is>
          <t>Andromedan</t>
        </is>
      </c>
      <c r="C173" t="inlineStr">
        <is>
          <t>Orion</t>
        </is>
      </c>
      <c r="D173" s="5" t="n">
        <v>0.078644108700737</v>
      </c>
      <c r="E173" s="5" t="n">
        <v>1.35746520493106</v>
      </c>
      <c r="F173" s="5" t="n">
        <v>2.361143790623519</v>
      </c>
    </row>
    <row r="174">
      <c r="A174" t="n">
        <v>170</v>
      </c>
      <c r="B174" t="inlineStr">
        <is>
          <t>Hadarian</t>
        </is>
      </c>
      <c r="C174" t="inlineStr">
        <is>
          <t>Draconian</t>
        </is>
      </c>
      <c r="D174" s="5" t="n">
        <v>0.07417385363711584</v>
      </c>
      <c r="E174" s="5" t="n">
        <v>1.360754310199225</v>
      </c>
      <c r="F174" s="5" t="n">
        <v>2.5</v>
      </c>
    </row>
    <row r="175">
      <c r="A175" t="n">
        <v>171</v>
      </c>
      <c r="B175" t="inlineStr">
        <is>
          <t>Mintakan</t>
        </is>
      </c>
      <c r="C175" t="inlineStr">
        <is>
          <t>Avian / Blue Avian</t>
        </is>
      </c>
      <c r="D175" s="5" t="n">
        <v>0.07063343446400491</v>
      </c>
      <c r="E175" s="5" t="n">
        <v>1.36335363390134</v>
      </c>
      <c r="F175" s="5" t="n">
        <v>2.50249875124844</v>
      </c>
    </row>
    <row r="176">
      <c r="A176" t="n">
        <v>172</v>
      </c>
      <c r="B176" t="inlineStr">
        <is>
          <t>Venusian</t>
        </is>
      </c>
      <c r="C176" t="inlineStr">
        <is>
          <t>Draconian</t>
        </is>
      </c>
      <c r="D176" s="5" t="n">
        <v>0.06965363491672304</v>
      </c>
      <c r="E176" s="5" t="n">
        <v>1.364072113257417</v>
      </c>
      <c r="F176" s="5" t="n">
        <v>2.51992063367083</v>
      </c>
    </row>
    <row r="177">
      <c r="A177" t="n">
        <v>173</v>
      </c>
      <c r="B177" t="inlineStr">
        <is>
          <t>Vegan</t>
        </is>
      </c>
      <c r="C177" t="inlineStr">
        <is>
          <t>Zeta / Grey</t>
        </is>
      </c>
      <c r="D177" s="5" t="n">
        <v>0.06722926454528144</v>
      </c>
      <c r="E177" s="5" t="n">
        <v>1.365848260572688</v>
      </c>
      <c r="F177" s="5" t="n">
        <v>2.633913438213185</v>
      </c>
    </row>
    <row r="178">
      <c r="A178" t="n">
        <v>174</v>
      </c>
      <c r="B178" t="inlineStr">
        <is>
          <t>Pleiadian</t>
        </is>
      </c>
      <c r="C178" t="inlineStr">
        <is>
          <t>Antarian</t>
        </is>
      </c>
      <c r="D178" s="5" t="n">
        <v>0.06442352540027596</v>
      </c>
      <c r="E178" s="5" t="n">
        <v>1.367900928137505</v>
      </c>
      <c r="F178" s="5" t="n">
        <v>2.484954727957835</v>
      </c>
    </row>
    <row r="179">
      <c r="A179" t="n">
        <v>175</v>
      </c>
      <c r="B179" t="inlineStr">
        <is>
          <t>Draconian</t>
        </is>
      </c>
      <c r="C179" t="inlineStr">
        <is>
          <t>Tau Cetian</t>
        </is>
      </c>
      <c r="D179" s="5" t="n">
        <v>0.05310592216844737</v>
      </c>
      <c r="E179" s="5" t="n">
        <v>1.376149757716472</v>
      </c>
      <c r="F179" s="5" t="n">
        <v>2.42126000256065</v>
      </c>
    </row>
    <row r="180">
      <c r="A180" t="n">
        <v>176</v>
      </c>
      <c r="B180" t="inlineStr">
        <is>
          <t>Martian</t>
        </is>
      </c>
      <c r="C180" t="inlineStr">
        <is>
          <t>Tau Cetian</t>
        </is>
      </c>
      <c r="D180" s="5" t="n">
        <v>0.04669472796507761</v>
      </c>
      <c r="E180" s="5" t="n">
        <v>1.380800689480507</v>
      </c>
      <c r="F180" s="5" t="n">
        <v>2.5</v>
      </c>
    </row>
    <row r="181">
      <c r="A181" t="n">
        <v>177</v>
      </c>
      <c r="B181" t="inlineStr">
        <is>
          <t>Pleiadian</t>
        </is>
      </c>
      <c r="C181" t="inlineStr">
        <is>
          <t>Orion</t>
        </is>
      </c>
      <c r="D181" s="5" t="n">
        <v>0.04417136392647244</v>
      </c>
      <c r="E181" s="5" t="n">
        <v>1.382626946123594</v>
      </c>
      <c r="F181" s="5" t="n">
        <v>2.444381312316063</v>
      </c>
    </row>
    <row r="182">
      <c r="A182" t="n">
        <v>178</v>
      </c>
      <c r="B182" t="inlineStr">
        <is>
          <t>Anunnaki / Nibiruan</t>
        </is>
      </c>
      <c r="C182" t="inlineStr">
        <is>
          <t>Tau Cetian</t>
        </is>
      </c>
      <c r="D182" s="5" t="n">
        <v>0.04343248373685311</v>
      </c>
      <c r="E182" s="5" t="n">
        <v>1.383161246032542</v>
      </c>
      <c r="F182" s="5" t="n">
        <v>2.482438317461282</v>
      </c>
    </row>
    <row r="183">
      <c r="A183" t="n">
        <v>179</v>
      </c>
      <c r="B183" t="inlineStr">
        <is>
          <t>Avian / Blue Avian</t>
        </is>
      </c>
      <c r="C183" t="inlineStr">
        <is>
          <t>Anunnaki / Nibiruan</t>
        </is>
      </c>
      <c r="D183" s="5" t="n">
        <v>0.04326973083835145</v>
      </c>
      <c r="E183" s="5" t="n">
        <v>1.383278908363493</v>
      </c>
      <c r="F183" s="5" t="n">
        <v>2.581181899828061</v>
      </c>
    </row>
    <row r="184">
      <c r="A184" t="n">
        <v>180</v>
      </c>
      <c r="B184" t="inlineStr">
        <is>
          <t>Hadarian</t>
        </is>
      </c>
      <c r="C184" t="inlineStr">
        <is>
          <t>Avian / Blue Avian</t>
        </is>
      </c>
      <c r="D184" s="5" t="n">
        <v>0.03143473067309657</v>
      </c>
      <c r="E184" s="5" t="n">
        <v>1.391808369946742</v>
      </c>
      <c r="F184" s="5" t="n">
        <v>2.482438317461282</v>
      </c>
    </row>
    <row r="185">
      <c r="A185" t="n">
        <v>181</v>
      </c>
      <c r="B185" t="inlineStr">
        <is>
          <t>Mintakan</t>
        </is>
      </c>
      <c r="C185" t="inlineStr">
        <is>
          <t>Draconian</t>
        </is>
      </c>
      <c r="D185" s="5" t="n">
        <v>0.02807034823290016</v>
      </c>
      <c r="E185" s="5" t="n">
        <v>1.394223548622745</v>
      </c>
      <c r="F185" s="5" t="n">
        <v>2.631539473388154</v>
      </c>
    </row>
    <row r="186">
      <c r="A186" t="n">
        <v>182</v>
      </c>
      <c r="B186" t="inlineStr">
        <is>
          <t>Pleiadian</t>
        </is>
      </c>
      <c r="C186" t="inlineStr">
        <is>
          <t>Draconian</t>
        </is>
      </c>
      <c r="D186" s="5" t="n">
        <v>0.02518572273452393</v>
      </c>
      <c r="E186" s="5" t="n">
        <v>1.396290999230086</v>
      </c>
      <c r="F186" s="5" t="n">
        <v>2.602883016964074</v>
      </c>
    </row>
    <row r="187">
      <c r="A187" t="n">
        <v>183</v>
      </c>
      <c r="B187" t="inlineStr">
        <is>
          <t>Orion</t>
        </is>
      </c>
      <c r="C187" t="inlineStr">
        <is>
          <t>Mintakan</t>
        </is>
      </c>
      <c r="D187" s="5" t="n">
        <v>0.02349637204863597</v>
      </c>
      <c r="E187" s="5" t="n">
        <v>1.397500359893595</v>
      </c>
      <c r="F187" s="5" t="n">
        <v>2.50499500997507</v>
      </c>
    </row>
    <row r="188">
      <c r="A188" t="n">
        <v>184</v>
      </c>
      <c r="B188" t="inlineStr">
        <is>
          <t>Arcturian</t>
        </is>
      </c>
      <c r="C188" t="inlineStr">
        <is>
          <t>Earth-Origin Soul</t>
        </is>
      </c>
      <c r="D188" s="5" t="n">
        <v>0.02187267615160676</v>
      </c>
      <c r="E188" s="5" t="n">
        <v>1.398661734550848</v>
      </c>
      <c r="F188" s="5" t="n">
        <v>2.39269722280108</v>
      </c>
    </row>
    <row r="189">
      <c r="A189" t="n">
        <v>185</v>
      </c>
      <c r="B189" t="inlineStr">
        <is>
          <t>Reptilian</t>
        </is>
      </c>
      <c r="C189" t="inlineStr">
        <is>
          <t>Zeta / Grey</t>
        </is>
      </c>
      <c r="D189" s="5" t="n">
        <v>0.02152488010002524</v>
      </c>
      <c r="E189" s="5" t="n">
        <v>1.398910375899739</v>
      </c>
      <c r="F189" s="5" t="n">
        <v>2.614861372998576</v>
      </c>
    </row>
    <row r="190">
      <c r="A190" t="n">
        <v>186</v>
      </c>
      <c r="B190" t="inlineStr">
        <is>
          <t>Polarian</t>
        </is>
      </c>
      <c r="C190" t="inlineStr">
        <is>
          <t>Avian / Blue Avian</t>
        </is>
      </c>
      <c r="D190" s="5" t="n">
        <v>0.01802905451597976</v>
      </c>
      <c r="E190" s="5" t="n">
        <v>1.401407111073738</v>
      </c>
      <c r="F190" s="5" t="n">
        <v>2.614861372998576</v>
      </c>
    </row>
    <row r="191">
      <c r="A191" t="n">
        <v>187</v>
      </c>
      <c r="B191" t="inlineStr">
        <is>
          <t>Arcturian</t>
        </is>
      </c>
      <c r="C191" t="inlineStr">
        <is>
          <t>Zeta / Grey</t>
        </is>
      </c>
      <c r="D191" s="5" t="n">
        <v>0.01702513061517497</v>
      </c>
      <c r="E191" s="5" t="n">
        <v>1.402123296564767</v>
      </c>
      <c r="F191" s="5" t="n">
        <v>2.439262183530094</v>
      </c>
    </row>
    <row r="192">
      <c r="A192" t="n">
        <v>188</v>
      </c>
      <c r="B192" t="inlineStr">
        <is>
          <t>Mintakan</t>
        </is>
      </c>
      <c r="C192" t="inlineStr">
        <is>
          <t>Antarian</t>
        </is>
      </c>
      <c r="D192" s="5" t="n">
        <v>0.01108710742479535</v>
      </c>
      <c r="E192" s="5" t="n">
        <v>1.406351942136252</v>
      </c>
      <c r="F192" s="5" t="n">
        <v>2.588435821108957</v>
      </c>
    </row>
    <row r="193">
      <c r="A193" t="n">
        <v>189</v>
      </c>
      <c r="B193" t="inlineStr">
        <is>
          <t>Alpha Centaurian</t>
        </is>
      </c>
      <c r="C193" t="inlineStr">
        <is>
          <t>Martian</t>
        </is>
      </c>
      <c r="D193" s="5" t="n">
        <v>0.007251948146276027</v>
      </c>
      <c r="E193" s="5" t="n">
        <v>1.409076329979128</v>
      </c>
      <c r="F193" s="5" t="n">
        <v>2.62678510731274</v>
      </c>
    </row>
    <row r="194">
      <c r="A194" t="n">
        <v>190</v>
      </c>
      <c r="B194" t="inlineStr">
        <is>
          <t>Reptilian</t>
        </is>
      </c>
      <c r="C194" t="inlineStr">
        <is>
          <t>Anunnaki / Nibiruan</t>
        </is>
      </c>
      <c r="D194" s="5" t="n">
        <v>0.007127600043607262</v>
      </c>
      <c r="E194" s="5" t="n">
        <v>1.409164575169553</v>
      </c>
      <c r="F194" s="5" t="n">
        <v>2.643387977577261</v>
      </c>
    </row>
    <row r="195">
      <c r="A195" t="n">
        <v>191</v>
      </c>
      <c r="B195" t="inlineStr">
        <is>
          <t>Feline / Urmah</t>
        </is>
      </c>
      <c r="C195" t="inlineStr">
        <is>
          <t>Avian / Blue Avian</t>
        </is>
      </c>
      <c r="D195" s="5" t="n">
        <v>1.377366588861784e-17</v>
      </c>
      <c r="E195" s="5" t="n">
        <v>1.414213562373095</v>
      </c>
      <c r="F195" s="5" t="n">
        <v>2.662235902394827</v>
      </c>
    </row>
    <row r="196">
      <c r="A196" t="n">
        <v>192</v>
      </c>
      <c r="B196" t="inlineStr">
        <is>
          <t>Lyran</t>
        </is>
      </c>
      <c r="C196" t="inlineStr">
        <is>
          <t>Polarian</t>
        </is>
      </c>
      <c r="D196" s="5" t="n">
        <v>-0.00365675323815515</v>
      </c>
      <c r="E196" s="5" t="n">
        <v>1.416796917866604</v>
      </c>
      <c r="F196" s="5" t="n">
        <v>2.62678510731274</v>
      </c>
    </row>
    <row r="197">
      <c r="A197" t="n">
        <v>193</v>
      </c>
      <c r="B197" t="inlineStr">
        <is>
          <t>Sirian</t>
        </is>
      </c>
      <c r="C197" t="inlineStr">
        <is>
          <t>Avian / Blue Avian</t>
        </is>
      </c>
      <c r="D197" s="5" t="n">
        <v>-0.01169699542776236</v>
      </c>
      <c r="E197" s="5" t="n">
        <v>1.42246054105396</v>
      </c>
      <c r="F197" s="5" t="n">
        <v>2.547057125390006</v>
      </c>
    </row>
    <row r="198">
      <c r="A198" t="n">
        <v>194</v>
      </c>
      <c r="B198" t="inlineStr">
        <is>
          <t>Avian / Blue Avian</t>
        </is>
      </c>
      <c r="C198" t="inlineStr">
        <is>
          <t>Maldekian</t>
        </is>
      </c>
      <c r="D198" s="5" t="n">
        <v>-0.02033816510029915</v>
      </c>
      <c r="E198" s="5" t="n">
        <v>1.428522429015589</v>
      </c>
      <c r="F198" s="5" t="n">
        <v>2.759075932264279</v>
      </c>
    </row>
    <row r="199">
      <c r="A199" t="n">
        <v>195</v>
      </c>
      <c r="B199" t="inlineStr">
        <is>
          <t>Arcturian</t>
        </is>
      </c>
      <c r="C199" t="inlineStr">
        <is>
          <t>Antarian</t>
        </is>
      </c>
      <c r="D199" s="5" t="n">
        <v>-0.02764536677904321</v>
      </c>
      <c r="E199" s="5" t="n">
        <v>1.433628520069996</v>
      </c>
      <c r="F199" s="5" t="n">
        <v>2.376972864800943</v>
      </c>
    </row>
    <row r="200">
      <c r="A200" t="n">
        <v>196</v>
      </c>
      <c r="B200" t="inlineStr">
        <is>
          <t>Andromedan</t>
        </is>
      </c>
      <c r="C200" t="inlineStr">
        <is>
          <t>Feline / Urmah</t>
        </is>
      </c>
      <c r="D200" s="5" t="n">
        <v>-0.0317437114490494</v>
      </c>
      <c r="E200" s="5" t="n">
        <v>1.436484397025634</v>
      </c>
      <c r="F200" s="5" t="n">
        <v>2.711088342345192</v>
      </c>
    </row>
    <row r="201">
      <c r="A201" t="n">
        <v>197</v>
      </c>
      <c r="B201" t="inlineStr">
        <is>
          <t>Mintakan</t>
        </is>
      </c>
      <c r="C201" t="inlineStr">
        <is>
          <t>Maldekian</t>
        </is>
      </c>
      <c r="D201" s="5" t="n">
        <v>-0.03188142774453626</v>
      </c>
      <c r="E201" s="5" t="n">
        <v>1.436580264200046</v>
      </c>
      <c r="F201" s="5" t="n">
        <v>2.850438562747845</v>
      </c>
    </row>
    <row r="202">
      <c r="A202" t="n">
        <v>198</v>
      </c>
      <c r="B202" t="inlineStr">
        <is>
          <t>Venusian</t>
        </is>
      </c>
      <c r="C202" t="inlineStr">
        <is>
          <t>Zeta / Grey</t>
        </is>
      </c>
      <c r="D202" s="5" t="n">
        <v>-0.03923570062535318</v>
      </c>
      <c r="E202" s="5" t="n">
        <v>1.441690466518631</v>
      </c>
      <c r="F202" s="5" t="n">
        <v>2.701851217221259</v>
      </c>
    </row>
    <row r="203">
      <c r="A203" t="n">
        <v>199</v>
      </c>
      <c r="B203" t="inlineStr">
        <is>
          <t>Mintakan</t>
        </is>
      </c>
      <c r="C203" t="inlineStr">
        <is>
          <t>Zeta / Grey</t>
        </is>
      </c>
      <c r="D203" s="5" t="n">
        <v>-0.04096732451993512</v>
      </c>
      <c r="E203" s="5" t="n">
        <v>1.442891073172147</v>
      </c>
      <c r="F203" s="5" t="n">
        <v>2.761340254296815</v>
      </c>
    </row>
    <row r="204">
      <c r="A204" t="n">
        <v>200</v>
      </c>
      <c r="B204" t="inlineStr">
        <is>
          <t>Lyran</t>
        </is>
      </c>
      <c r="C204" t="inlineStr">
        <is>
          <t>Avian / Blue Avian</t>
        </is>
      </c>
      <c r="D204" s="5" t="n">
        <v>-0.04810092542060208</v>
      </c>
      <c r="E204" s="5" t="n">
        <v>1.447826595570479</v>
      </c>
      <c r="F204" s="5" t="n">
        <v>2.556853535109119</v>
      </c>
    </row>
    <row r="205">
      <c r="A205" t="n">
        <v>201</v>
      </c>
      <c r="B205" t="inlineStr">
        <is>
          <t>Mintakan</t>
        </is>
      </c>
      <c r="C205" t="inlineStr">
        <is>
          <t>Vegan</t>
        </is>
      </c>
      <c r="D205" s="5" t="n">
        <v>-0.04819855421260451</v>
      </c>
      <c r="E205" s="5" t="n">
        <v>1.447894025274367</v>
      </c>
      <c r="F205" s="5" t="n">
        <v>2.759075932264279</v>
      </c>
    </row>
    <row r="206">
      <c r="A206" t="n">
        <v>202</v>
      </c>
      <c r="B206" t="inlineStr">
        <is>
          <t>Polarian</t>
        </is>
      </c>
      <c r="C206" t="inlineStr">
        <is>
          <t>Reptilian</t>
        </is>
      </c>
      <c r="D206" s="5" t="n">
        <v>-0.04989320030525059</v>
      </c>
      <c r="E206" s="5" t="n">
        <v>1.449063973953704</v>
      </c>
      <c r="F206" s="5" t="n">
        <v>2.717995584985377</v>
      </c>
    </row>
    <row r="207">
      <c r="A207" t="n">
        <v>203</v>
      </c>
      <c r="B207" t="inlineStr">
        <is>
          <t>Avian / Blue Avian</t>
        </is>
      </c>
      <c r="C207" t="inlineStr">
        <is>
          <t>Reptilian</t>
        </is>
      </c>
      <c r="D207" s="5" t="n">
        <v>-0.05078473723089719</v>
      </c>
      <c r="E207" s="5" t="n">
        <v>1.449679093614099</v>
      </c>
      <c r="F207" s="5" t="n">
        <v>2.593260495977988</v>
      </c>
    </row>
    <row r="208">
      <c r="A208" t="n">
        <v>204</v>
      </c>
      <c r="B208" t="inlineStr">
        <is>
          <t>Alpha Centaurian</t>
        </is>
      </c>
      <c r="C208" t="inlineStr">
        <is>
          <t>Vegan</t>
        </is>
      </c>
      <c r="D208" s="5" t="n">
        <v>-0.05228942797966335</v>
      </c>
      <c r="E208" s="5" t="n">
        <v>1.450716669773711</v>
      </c>
      <c r="F208" s="5" t="n">
        <v>2.659887215654077</v>
      </c>
    </row>
    <row r="209">
      <c r="A209" t="n">
        <v>205</v>
      </c>
      <c r="B209" t="inlineStr">
        <is>
          <t>Reptilian</t>
        </is>
      </c>
      <c r="C209" t="inlineStr">
        <is>
          <t>Tau Cetian</t>
        </is>
      </c>
      <c r="D209" s="5" t="n">
        <v>-0.05560991645473511</v>
      </c>
      <c r="E209" s="5" t="n">
        <v>1.453003727768608</v>
      </c>
      <c r="F209" s="5" t="n">
        <v>2.489979919597746</v>
      </c>
    </row>
    <row r="210">
      <c r="A210" t="n">
        <v>206</v>
      </c>
      <c r="B210" t="inlineStr">
        <is>
          <t>Pleiadian</t>
        </is>
      </c>
      <c r="C210" t="inlineStr">
        <is>
          <t>Maldekian</t>
        </is>
      </c>
      <c r="D210" s="5" t="n">
        <v>-0.06211406148970553</v>
      </c>
      <c r="E210" s="5" t="n">
        <v>1.45747319803124</v>
      </c>
      <c r="F210" s="5" t="n">
        <v>2.859195691099159</v>
      </c>
    </row>
    <row r="211">
      <c r="A211" t="n">
        <v>207</v>
      </c>
      <c r="B211" t="inlineStr">
        <is>
          <t>Arcturian</t>
        </is>
      </c>
      <c r="C211" t="inlineStr">
        <is>
          <t>Polarian</t>
        </is>
      </c>
      <c r="D211" s="5" t="n">
        <v>-0.06765100914917388</v>
      </c>
      <c r="E211" s="5" t="n">
        <v>1.46126726449967</v>
      </c>
      <c r="F211" s="5" t="n">
        <v>2.549509756796392</v>
      </c>
    </row>
    <row r="212">
      <c r="A212" t="n">
        <v>208</v>
      </c>
      <c r="B212" t="inlineStr">
        <is>
          <t>Andromedan</t>
        </is>
      </c>
      <c r="C212" t="inlineStr">
        <is>
          <t>Alpha Centaurian</t>
        </is>
      </c>
      <c r="D212" s="5" t="n">
        <v>-0.06815940677933079</v>
      </c>
      <c r="E212" s="5" t="n">
        <v>1.461615138659511</v>
      </c>
      <c r="F212" s="5" t="n">
        <v>2.581181899828061</v>
      </c>
    </row>
    <row r="213">
      <c r="A213" t="n">
        <v>209</v>
      </c>
      <c r="B213" t="inlineStr">
        <is>
          <t>Venusian</t>
        </is>
      </c>
      <c r="C213" t="inlineStr">
        <is>
          <t>Antarian</t>
        </is>
      </c>
      <c r="D213" s="5" t="n">
        <v>-0.06950273211171176</v>
      </c>
      <c r="E213" s="5" t="n">
        <v>1.462533918999291</v>
      </c>
      <c r="F213" s="5" t="n">
        <v>2.631539473388154</v>
      </c>
    </row>
    <row r="214">
      <c r="A214" t="n">
        <v>210</v>
      </c>
      <c r="B214" t="inlineStr">
        <is>
          <t>Andromedan</t>
        </is>
      </c>
      <c r="C214" t="inlineStr">
        <is>
          <t>Antarian</t>
        </is>
      </c>
      <c r="D214" s="5" t="n">
        <v>-0.07421875</v>
      </c>
      <c r="E214" s="5" t="n">
        <v>1.465754924944822</v>
      </c>
      <c r="F214" s="5" t="n">
        <v>2.622022120425379</v>
      </c>
    </row>
    <row r="215">
      <c r="A215" t="n">
        <v>211</v>
      </c>
      <c r="B215" t="inlineStr">
        <is>
          <t>Arcturian</t>
        </is>
      </c>
      <c r="C215" t="inlineStr">
        <is>
          <t>Feline / Urmah</t>
        </is>
      </c>
      <c r="D215" s="5" t="n">
        <v>-0.07488567858663121</v>
      </c>
      <c r="E215" s="5" t="n">
        <v>1.466209861231762</v>
      </c>
      <c r="F215" s="5" t="n">
        <v>2.583602136552763</v>
      </c>
    </row>
    <row r="216">
      <c r="A216" t="n">
        <v>212</v>
      </c>
      <c r="B216" t="inlineStr">
        <is>
          <t>Feline / Urmah</t>
        </is>
      </c>
      <c r="C216" t="inlineStr">
        <is>
          <t>Tau Cetian</t>
        </is>
      </c>
      <c r="D216" s="5" t="n">
        <v>-0.07770052334780998</v>
      </c>
      <c r="E216" s="5" t="n">
        <v>1.468128416282316</v>
      </c>
      <c r="F216" s="5" t="n">
        <v>2.657536453183662</v>
      </c>
    </row>
    <row r="217">
      <c r="A217" t="n">
        <v>213</v>
      </c>
      <c r="B217" t="inlineStr">
        <is>
          <t>Lyran</t>
        </is>
      </c>
      <c r="C217" t="inlineStr">
        <is>
          <t>Maldekian</t>
        </is>
      </c>
      <c r="D217" s="5" t="n">
        <v>-0.07906441486448564</v>
      </c>
      <c r="E217" s="5" t="n">
        <v>1.469057122690936</v>
      </c>
      <c r="F217" s="5" t="n">
        <v>2.819574435974337</v>
      </c>
    </row>
    <row r="218">
      <c r="A218" t="n">
        <v>214</v>
      </c>
      <c r="B218" t="inlineStr">
        <is>
          <t>Vegan</t>
        </is>
      </c>
      <c r="C218" t="inlineStr">
        <is>
          <t>Antarian</t>
        </is>
      </c>
      <c r="D218" s="5" t="n">
        <v>-0.08005559508919251</v>
      </c>
      <c r="E218" s="5" t="n">
        <v>1.469731672849975</v>
      </c>
      <c r="F218" s="5" t="n">
        <v>2.727178028658928</v>
      </c>
    </row>
    <row r="219">
      <c r="A219" t="n">
        <v>215</v>
      </c>
      <c r="B219" t="inlineStr">
        <is>
          <t>Venusian</t>
        </is>
      </c>
      <c r="C219" t="inlineStr">
        <is>
          <t>Maldekian</t>
        </is>
      </c>
      <c r="D219" s="5" t="n">
        <v>-0.08327413720912827</v>
      </c>
      <c r="E219" s="5" t="n">
        <v>1.471919927991417</v>
      </c>
      <c r="F219" s="5" t="n">
        <v>2.863564212655271</v>
      </c>
    </row>
    <row r="220">
      <c r="A220" t="n">
        <v>216</v>
      </c>
      <c r="B220" t="inlineStr">
        <is>
          <t>Sirian</t>
        </is>
      </c>
      <c r="C220" t="inlineStr">
        <is>
          <t>Martian</t>
        </is>
      </c>
      <c r="D220" s="5" t="n">
        <v>-0.09114115022960659</v>
      </c>
      <c r="E220" s="5" t="n">
        <v>1.47725498830067</v>
      </c>
      <c r="F220" s="5" t="n">
        <v>2.795084971874737</v>
      </c>
    </row>
    <row r="221">
      <c r="A221" t="n">
        <v>217</v>
      </c>
      <c r="B221" t="inlineStr">
        <is>
          <t>Avian / Blue Avian</t>
        </is>
      </c>
      <c r="C221" t="inlineStr">
        <is>
          <t>Draconian</t>
        </is>
      </c>
      <c r="D221" s="5" t="n">
        <v>-0.09326540448273682</v>
      </c>
      <c r="E221" s="5" t="n">
        <v>1.478692263104624</v>
      </c>
      <c r="F221" s="5" t="n">
        <v>2.708782014116307</v>
      </c>
    </row>
    <row r="222">
      <c r="A222" t="n">
        <v>218</v>
      </c>
      <c r="B222" t="inlineStr">
        <is>
          <t>Hadarian</t>
        </is>
      </c>
      <c r="C222" t="inlineStr">
        <is>
          <t>Maldekian</t>
        </is>
      </c>
      <c r="D222" s="5" t="n">
        <v>-0.09435367655300861</v>
      </c>
      <c r="E222" s="5" t="n">
        <v>1.479428049317038</v>
      </c>
      <c r="F222" s="5" t="n">
        <v>2.863564212655271</v>
      </c>
    </row>
    <row r="223">
      <c r="A223" t="n">
        <v>219</v>
      </c>
      <c r="B223" t="inlineStr">
        <is>
          <t>Lyran</t>
        </is>
      </c>
      <c r="C223" t="inlineStr">
        <is>
          <t>Antarian</t>
        </is>
      </c>
      <c r="D223" s="5" t="n">
        <v>-0.09563650695950074</v>
      </c>
      <c r="E223" s="5" t="n">
        <v>1.480294907752844</v>
      </c>
      <c r="F223" s="5" t="n">
        <v>2.622022120425379</v>
      </c>
    </row>
    <row r="224">
      <c r="A224" t="n">
        <v>220</v>
      </c>
      <c r="B224" t="inlineStr">
        <is>
          <t>Arcturian</t>
        </is>
      </c>
      <c r="C224" t="inlineStr">
        <is>
          <t>Sirian</t>
        </is>
      </c>
      <c r="D224" s="5" t="n">
        <v>-0.1005835814444251</v>
      </c>
      <c r="E224" s="5" t="n">
        <v>1.48363309577835</v>
      </c>
      <c r="F224" s="5" t="n">
        <v>2.469817807045694</v>
      </c>
    </row>
    <row r="225">
      <c r="A225" t="n">
        <v>221</v>
      </c>
      <c r="B225" t="inlineStr">
        <is>
          <t>Polarian</t>
        </is>
      </c>
      <c r="C225" t="inlineStr">
        <is>
          <t>Martian</t>
        </is>
      </c>
      <c r="D225" s="5" t="n">
        <v>-0.1037387516922042</v>
      </c>
      <c r="E225" s="5" t="n">
        <v>1.485758225077152</v>
      </c>
      <c r="F225" s="5" t="n">
        <v>2.917618892179032</v>
      </c>
    </row>
    <row r="226">
      <c r="A226" t="n">
        <v>222</v>
      </c>
      <c r="B226" t="inlineStr">
        <is>
          <t>Mintakan</t>
        </is>
      </c>
      <c r="C226" t="inlineStr">
        <is>
          <t>Anunnaki / Nibiruan</t>
        </is>
      </c>
      <c r="D226" s="5" t="n">
        <v>-0.1051336846362616</v>
      </c>
      <c r="E226" s="5" t="n">
        <v>1.486696798029956</v>
      </c>
      <c r="F226" s="5" t="n">
        <v>2.85482048472404</v>
      </c>
    </row>
    <row r="227">
      <c r="A227" t="n">
        <v>223</v>
      </c>
      <c r="B227" t="inlineStr">
        <is>
          <t>Sirian</t>
        </is>
      </c>
      <c r="C227" t="inlineStr">
        <is>
          <t>Lyran</t>
        </is>
      </c>
      <c r="D227" s="5" t="n">
        <v>-0.1107143217390995</v>
      </c>
      <c r="E227" s="5" t="n">
        <v>1.490445786829631</v>
      </c>
      <c r="F227" s="5" t="n">
        <v>2.650471656139715</v>
      </c>
    </row>
    <row r="228">
      <c r="A228" t="n">
        <v>224</v>
      </c>
      <c r="B228" t="inlineStr">
        <is>
          <t>Pleiadian</t>
        </is>
      </c>
      <c r="C228" t="inlineStr">
        <is>
          <t>Anunnaki / Nibiruan</t>
        </is>
      </c>
      <c r="D228" s="5" t="n">
        <v>-0.1112829768149314</v>
      </c>
      <c r="E228" s="5" t="n">
        <v>1.490827271560949</v>
      </c>
      <c r="F228" s="5" t="n">
        <v>2.82842712474619</v>
      </c>
    </row>
    <row r="229">
      <c r="A229" t="n">
        <v>225</v>
      </c>
      <c r="B229" t="inlineStr">
        <is>
          <t>Martian</t>
        </is>
      </c>
      <c r="C229" t="inlineStr">
        <is>
          <t>Anunnaki / Nibiruan</t>
        </is>
      </c>
      <c r="D229" s="5" t="n">
        <v>-0.1167060956537297</v>
      </c>
      <c r="E229" s="5" t="n">
        <v>1.494460501755553</v>
      </c>
      <c r="F229" s="5" t="n">
        <v>2.934706118165838</v>
      </c>
    </row>
    <row r="230">
      <c r="A230" t="n">
        <v>226</v>
      </c>
      <c r="B230" t="inlineStr">
        <is>
          <t>Lyran</t>
        </is>
      </c>
      <c r="C230" t="inlineStr">
        <is>
          <t>Zeta / Grey</t>
        </is>
      </c>
      <c r="D230" s="5" t="n">
        <v>-0.1177936278131697</v>
      </c>
      <c r="E230" s="5" t="n">
        <v>1.495188033535026</v>
      </c>
      <c r="F230" s="5" t="n">
        <v>2.761340254296815</v>
      </c>
    </row>
    <row r="231">
      <c r="A231" t="n">
        <v>227</v>
      </c>
      <c r="B231" t="inlineStr">
        <is>
          <t>Andromedan</t>
        </is>
      </c>
      <c r="C231" t="inlineStr">
        <is>
          <t>Draconian</t>
        </is>
      </c>
      <c r="D231" s="5" t="n">
        <v>-0.1186781658193853</v>
      </c>
      <c r="E231" s="5" t="n">
        <v>1.495779506357394</v>
      </c>
      <c r="F231" s="5" t="n">
        <v>2.747726332806817</v>
      </c>
    </row>
    <row r="232">
      <c r="A232" t="n">
        <v>228</v>
      </c>
      <c r="B232" t="inlineStr">
        <is>
          <t>Pleiadian</t>
        </is>
      </c>
      <c r="C232" t="inlineStr">
        <is>
          <t>Zeta / Grey</t>
        </is>
      </c>
      <c r="D232" s="5" t="n">
        <v>-0.1260252075625208</v>
      </c>
      <c r="E232" s="5" t="n">
        <v>1.500683316068064</v>
      </c>
      <c r="F232" s="5" t="n">
        <v>2.837252191822222</v>
      </c>
    </row>
    <row r="233">
      <c r="A233" t="n">
        <v>229</v>
      </c>
      <c r="B233" t="inlineStr">
        <is>
          <t>Andromedan</t>
        </is>
      </c>
      <c r="C233" t="inlineStr">
        <is>
          <t>Zeta / Grey</t>
        </is>
      </c>
      <c r="D233" s="5" t="n">
        <v>-0.1371206889325361</v>
      </c>
      <c r="E233" s="5" t="n">
        <v>1.50805881114268</v>
      </c>
      <c r="F233" s="5" t="n">
        <v>2.810693864511039</v>
      </c>
    </row>
    <row r="234">
      <c r="A234" t="n">
        <v>230</v>
      </c>
      <c r="B234" t="inlineStr">
        <is>
          <t>Martian</t>
        </is>
      </c>
      <c r="C234" t="inlineStr">
        <is>
          <t>Antarian</t>
        </is>
      </c>
      <c r="D234" s="5" t="n">
        <v>-0.137775645867654</v>
      </c>
      <c r="E234" s="5" t="n">
        <v>1.508493053260541</v>
      </c>
      <c r="F234" s="5" t="n">
        <v>2.843853020111975</v>
      </c>
    </row>
    <row r="235">
      <c r="A235" t="n">
        <v>231</v>
      </c>
      <c r="B235" t="inlineStr">
        <is>
          <t>Hadarian</t>
        </is>
      </c>
      <c r="C235" t="inlineStr">
        <is>
          <t>Antarian</t>
        </is>
      </c>
      <c r="D235" s="5" t="n">
        <v>-0.14453125</v>
      </c>
      <c r="E235" s="5" t="n">
        <v>1.512964804613776</v>
      </c>
      <c r="F235" s="5" t="n">
        <v>2.706473720544872</v>
      </c>
    </row>
    <row r="236">
      <c r="A236" t="n">
        <v>232</v>
      </c>
      <c r="B236" t="inlineStr">
        <is>
          <t>Vegan</t>
        </is>
      </c>
      <c r="C236" t="inlineStr">
        <is>
          <t>Draconian</t>
        </is>
      </c>
      <c r="D236" s="5" t="n">
        <v>-0.1451039090647709</v>
      </c>
      <c r="E236" s="5" t="n">
        <v>1.51334325852714</v>
      </c>
      <c r="F236" s="5" t="n">
        <v>2.878801834096956</v>
      </c>
    </row>
    <row r="237">
      <c r="A237" t="n">
        <v>233</v>
      </c>
      <c r="B237" t="inlineStr">
        <is>
          <t>Sirian</t>
        </is>
      </c>
      <c r="C237" t="inlineStr">
        <is>
          <t>Vegan</t>
        </is>
      </c>
      <c r="D237" s="5" t="n">
        <v>-0.1516532103815649</v>
      </c>
      <c r="E237" s="5" t="n">
        <v>1.517664791962682</v>
      </c>
      <c r="F237" s="5" t="n">
        <v>2.826216552212516</v>
      </c>
    </row>
    <row r="238">
      <c r="A238" t="n">
        <v>234</v>
      </c>
      <c r="B238" t="inlineStr">
        <is>
          <t>Arcturian</t>
        </is>
      </c>
      <c r="C238" t="inlineStr">
        <is>
          <t>Maldekian</t>
        </is>
      </c>
      <c r="D238" s="5" t="n">
        <v>-0.1589907501872233</v>
      </c>
      <c r="E238" s="5" t="n">
        <v>1.522491872022457</v>
      </c>
      <c r="F238" s="5" t="n">
        <v>2.756809750418044</v>
      </c>
    </row>
    <row r="239">
      <c r="A239" t="n">
        <v>235</v>
      </c>
      <c r="B239" t="inlineStr">
        <is>
          <t>Venusian</t>
        </is>
      </c>
      <c r="C239" t="inlineStr">
        <is>
          <t>Anunnaki / Nibiruan</t>
        </is>
      </c>
      <c r="D239" s="5" t="n">
        <v>-0.1594502029341741</v>
      </c>
      <c r="E239" s="5" t="n">
        <v>1.522793618934735</v>
      </c>
      <c r="F239" s="5" t="n">
        <v>2.863564212655271</v>
      </c>
    </row>
    <row r="240">
      <c r="A240" t="n">
        <v>236</v>
      </c>
      <c r="B240" t="inlineStr">
        <is>
          <t>Hadarian</t>
        </is>
      </c>
      <c r="C240" t="inlineStr">
        <is>
          <t>Anunnaki / Nibiruan</t>
        </is>
      </c>
      <c r="D240" s="5" t="n">
        <v>-0.1613079378777387</v>
      </c>
      <c r="E240" s="5" t="n">
        <v>1.524013082540789</v>
      </c>
      <c r="F240" s="5" t="n">
        <v>2.850438562747845</v>
      </c>
    </row>
    <row r="241">
      <c r="A241" t="n">
        <v>237</v>
      </c>
      <c r="B241" t="inlineStr">
        <is>
          <t>Orion</t>
        </is>
      </c>
      <c r="C241" t="inlineStr">
        <is>
          <t>Hadarian</t>
        </is>
      </c>
      <c r="D241" s="5" t="n">
        <v>-0.1655665446331306</v>
      </c>
      <c r="E241" s="5" t="n">
        <v>1.526804862864361</v>
      </c>
      <c r="F241" s="5" t="n">
        <v>2.655183609470351</v>
      </c>
    </row>
    <row r="242">
      <c r="A242" t="n">
        <v>238</v>
      </c>
      <c r="B242" t="inlineStr">
        <is>
          <t>Lyran</t>
        </is>
      </c>
      <c r="C242" t="inlineStr">
        <is>
          <t>Orion</t>
        </is>
      </c>
      <c r="D242" s="5" t="n">
        <v>-0.177343107178349</v>
      </c>
      <c r="E242" s="5" t="n">
        <v>1.534498685029315</v>
      </c>
      <c r="F242" s="5" t="n">
        <v>2.641022529248851</v>
      </c>
    </row>
    <row r="243">
      <c r="A243" t="n">
        <v>239</v>
      </c>
      <c r="B243" t="inlineStr">
        <is>
          <t>Avian / Blue Avian</t>
        </is>
      </c>
      <c r="C243" t="inlineStr">
        <is>
          <t>Martian</t>
        </is>
      </c>
      <c r="D243" s="5" t="n">
        <v>-0.1918939711530078</v>
      </c>
      <c r="E243" s="5" t="n">
        <v>1.543952053111111</v>
      </c>
      <c r="F243" s="5" t="n">
        <v>2.902585054739999</v>
      </c>
    </row>
    <row r="244">
      <c r="A244" t="n">
        <v>240</v>
      </c>
      <c r="B244" t="inlineStr">
        <is>
          <t>Vegan</t>
        </is>
      </c>
      <c r="C244" t="inlineStr">
        <is>
          <t>Maldekian</t>
        </is>
      </c>
      <c r="D244" s="5" t="n">
        <v>-0.2166002040710635</v>
      </c>
      <c r="E244" s="5" t="n">
        <v>1.559871920428766</v>
      </c>
      <c r="F244" s="5" t="n">
        <v>3.116488408449484</v>
      </c>
    </row>
    <row r="245">
      <c r="A245" t="n">
        <v>241</v>
      </c>
      <c r="B245" t="inlineStr">
        <is>
          <t>Martian</t>
        </is>
      </c>
      <c r="C245" t="inlineStr">
        <is>
          <t>Maldekian</t>
        </is>
      </c>
      <c r="D245" s="5" t="n">
        <v>-0.2285650765200612</v>
      </c>
      <c r="E245" s="5" t="n">
        <v>1.567523573360261</v>
      </c>
      <c r="F245" s="5" t="n">
        <v>3.176082492631449</v>
      </c>
    </row>
    <row r="246">
      <c r="A246" t="n">
        <v>242</v>
      </c>
      <c r="B246" t="inlineStr">
        <is>
          <t>Orion</t>
        </is>
      </c>
      <c r="C246" t="inlineStr">
        <is>
          <t>Martian</t>
        </is>
      </c>
      <c r="D246" s="5" t="n">
        <v>-0.2358310350961288</v>
      </c>
      <c r="E246" s="5" t="n">
        <v>1.572152050595698</v>
      </c>
      <c r="F246" s="5" t="n">
        <v>2.887472943596182</v>
      </c>
    </row>
    <row r="247">
      <c r="A247" t="n">
        <v>243</v>
      </c>
      <c r="B247" t="inlineStr">
        <is>
          <t>Hadarian</t>
        </is>
      </c>
      <c r="C247" t="inlineStr">
        <is>
          <t>Zeta / Grey</t>
        </is>
      </c>
      <c r="D247" s="5" t="n">
        <v>-0.2453738644055909</v>
      </c>
      <c r="E247" s="5" t="n">
        <v>1.578210292961994</v>
      </c>
      <c r="F247" s="5" t="n">
        <v>2.941088233970548</v>
      </c>
    </row>
    <row r="248">
      <c r="A248" t="n">
        <v>244</v>
      </c>
      <c r="B248" t="inlineStr">
        <is>
          <t>Sirian</t>
        </is>
      </c>
      <c r="C248" t="inlineStr">
        <is>
          <t>Andromedan</t>
        </is>
      </c>
      <c r="D248" s="5" t="n">
        <v>-0.248069469178417</v>
      </c>
      <c r="E248" s="5" t="n">
        <v>1.579917383395991</v>
      </c>
      <c r="F248" s="5" t="n">
        <v>2.837252191822222</v>
      </c>
    </row>
    <row r="249">
      <c r="A249" t="n">
        <v>245</v>
      </c>
      <c r="B249" t="inlineStr">
        <is>
          <t>Andromedan</t>
        </is>
      </c>
      <c r="C249" t="inlineStr">
        <is>
          <t>Earth-Origin Soul</t>
        </is>
      </c>
      <c r="D249" s="5" t="n">
        <v>-0.2484824096843381</v>
      </c>
      <c r="E249" s="5" t="n">
        <v>1.580178730197529</v>
      </c>
      <c r="F249" s="5" t="n">
        <v>2.902585054739999</v>
      </c>
    </row>
    <row r="250">
      <c r="A250" t="n">
        <v>246</v>
      </c>
      <c r="B250" t="inlineStr">
        <is>
          <t>Avian / Blue Avian</t>
        </is>
      </c>
      <c r="C250" t="inlineStr">
        <is>
          <t>Earth-Origin Soul</t>
        </is>
      </c>
      <c r="D250" s="5" t="n">
        <v>-0.2499512840137346</v>
      </c>
      <c r="E250" s="5" t="n">
        <v>1.581108019088977</v>
      </c>
      <c r="F250" s="5" t="n">
        <v>2.896118091514916</v>
      </c>
    </row>
    <row r="251">
      <c r="A251" t="n">
        <v>247</v>
      </c>
      <c r="B251" t="inlineStr">
        <is>
          <t>Vegan</t>
        </is>
      </c>
      <c r="C251" t="inlineStr">
        <is>
          <t>Earth-Origin Soul</t>
        </is>
      </c>
      <c r="D251" s="5" t="n">
        <v>-0.2625689783076807</v>
      </c>
      <c r="E251" s="5" t="n">
        <v>1.589068266820328</v>
      </c>
      <c r="F251" s="5" t="n">
        <v>3.022829800038368</v>
      </c>
    </row>
    <row r="252">
      <c r="A252" t="n">
        <v>248</v>
      </c>
      <c r="B252" t="inlineStr">
        <is>
          <t>Vegan</t>
        </is>
      </c>
      <c r="C252" t="inlineStr">
        <is>
          <t>Anunnaki / Nibiruan</t>
        </is>
      </c>
      <c r="D252" s="5" t="n">
        <v>-0.267142008695733</v>
      </c>
      <c r="E252" s="5" t="n">
        <v>1.591943471795235</v>
      </c>
      <c r="F252" s="5" t="n">
        <v>3.080178566252288</v>
      </c>
    </row>
    <row r="253">
      <c r="A253" t="n">
        <v>249</v>
      </c>
      <c r="B253" t="inlineStr">
        <is>
          <t>Andromedan</t>
        </is>
      </c>
      <c r="C253" t="inlineStr">
        <is>
          <t>Polarian</t>
        </is>
      </c>
      <c r="D253" s="5" t="n">
        <v>-0.2903542881799296</v>
      </c>
      <c r="E253" s="5" t="n">
        <v>1.606458395464962</v>
      </c>
      <c r="F253" s="5" t="n">
        <v>3.004163777159961</v>
      </c>
    </row>
    <row r="254">
      <c r="A254" t="n">
        <v>250</v>
      </c>
      <c r="B254" t="inlineStr">
        <is>
          <t>Andromedan</t>
        </is>
      </c>
      <c r="C254" t="inlineStr">
        <is>
          <t>Anunnaki / Nibiruan</t>
        </is>
      </c>
      <c r="D254" s="5" t="n">
        <v>-0.2975235298633848</v>
      </c>
      <c r="E254" s="5" t="n">
        <v>1.610914975945897</v>
      </c>
      <c r="F254" s="5" t="n">
        <v>3.012474066278414</v>
      </c>
    </row>
    <row r="255">
      <c r="A255" t="n">
        <v>251</v>
      </c>
      <c r="B255" t="inlineStr">
        <is>
          <t>Polarian</t>
        </is>
      </c>
      <c r="C255" t="inlineStr">
        <is>
          <t>Vegan</t>
        </is>
      </c>
      <c r="D255" s="5" t="n">
        <v>-0.3439453361957563</v>
      </c>
      <c r="E255" s="5" t="n">
        <v>1.639478780707915</v>
      </c>
      <c r="F255" s="5" t="n">
        <v>3.17214438511238</v>
      </c>
    </row>
    <row r="256">
      <c r="A256" t="n">
        <v>252</v>
      </c>
      <c r="B256" t="inlineStr">
        <is>
          <t>Martian</t>
        </is>
      </c>
      <c r="C256" t="inlineStr">
        <is>
          <t>Zeta / Grey</t>
        </is>
      </c>
      <c r="D256" s="5" t="n">
        <v>-0.365498186572309</v>
      </c>
      <c r="E256" s="5" t="n">
        <v>1.652572652909583</v>
      </c>
      <c r="F256" s="5" t="n">
        <v>3.234578797927174</v>
      </c>
    </row>
    <row r="257">
      <c r="A257" t="n">
        <v>253</v>
      </c>
      <c r="B257" t="inlineStr">
        <is>
          <t>Andromedan</t>
        </is>
      </c>
      <c r="C257" t="inlineStr">
        <is>
          <t>Maldekian</t>
        </is>
      </c>
      <c r="D257" s="5" t="n">
        <v>-0.3942635770250716</v>
      </c>
      <c r="E257" s="5" t="n">
        <v>1.669888365744891</v>
      </c>
      <c r="F257" s="5" t="n">
        <v>3.228776858192588</v>
      </c>
    </row>
  </sheetData>
  <autoFilter ref="A4:G257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12" customWidth="1" min="7" max="7"/>
    <col width="78" customWidth="1" min="8" max="8"/>
  </cols>
  <sheetData>
    <row r="1" ht="30" customHeight="1">
      <c r="A1" s="1" t="inlineStr">
        <is>
          <t>Structural Robustness — Equal-Weight Spherical Decoder</t>
        </is>
      </c>
    </row>
    <row r="2" ht="38" customHeight="1">
      <c r="A2" s="2" t="inlineStr">
        <is>
          <t>Synthetic structural tests, not empirical accuracy.</t>
        </is>
      </c>
    </row>
    <row r="3"/>
    <row r="4">
      <c r="A4" s="3" t="inlineStr">
        <is>
          <t>Test</t>
        </is>
      </c>
      <c r="B4" s="3" t="inlineStr">
        <is>
          <t>25%</t>
        </is>
      </c>
      <c r="C4" s="3" t="inlineStr">
        <is>
          <t>50%</t>
        </is>
      </c>
      <c r="D4" s="3" t="inlineStr">
        <is>
          <t>75%</t>
        </is>
      </c>
      <c r="E4" s="3" t="inlineStr">
        <is>
          <t>100%</t>
        </is>
      </c>
      <c r="F4" s="3" t="inlineStr">
        <is>
          <t>Result</t>
        </is>
      </c>
      <c r="G4" s="3" t="inlineStr">
        <is>
          <t>Status</t>
        </is>
      </c>
      <c r="H4" s="3" t="inlineStr">
        <is>
          <t>Interpretation</t>
        </is>
      </c>
    </row>
    <row r="5">
      <c r="A5" s="4" t="inlineStr">
        <is>
          <t>Exact prototype self-classification</t>
        </is>
      </c>
      <c r="B5" s="4" t="inlineStr"/>
      <c r="C5" s="4" t="inlineStr"/>
      <c r="D5" s="4" t="inlineStr"/>
      <c r="E5" s="4" t="inlineStr"/>
      <c r="F5" s="4" t="inlineStr">
        <is>
          <t>23/23</t>
        </is>
      </c>
      <c r="G5" s="10" t="inlineStr">
        <is>
          <t>PASS</t>
        </is>
      </c>
      <c r="H5" s="4" t="inlineStr">
        <is>
          <t>Unique 80-D directions.</t>
        </is>
      </c>
    </row>
    <row r="6">
      <c r="A6" s="4" t="inlineStr">
        <is>
          <t>Continuous amplitude</t>
        </is>
      </c>
      <c r="B6" s="4" t="n">
        <v>23</v>
      </c>
      <c r="C6" s="4" t="n">
        <v>23</v>
      </c>
      <c r="D6" s="4" t="n">
        <v>23</v>
      </c>
      <c r="E6" s="4" t="n">
        <v>23</v>
      </c>
      <c r="F6" s="4" t="inlineStr">
        <is>
          <t>23 each</t>
        </is>
      </c>
      <c r="G6" s="10" t="inlineStr">
        <is>
          <t>PASS</t>
        </is>
      </c>
      <c r="H6" s="4" t="inlineStr">
        <is>
          <t>Positive rescaling should not alter cosine direction.</t>
        </is>
      </c>
    </row>
    <row r="7">
      <c r="A7" s="4" t="inlineStr">
        <is>
          <t>Quantized amplitude</t>
        </is>
      </c>
      <c r="B7" s="4" t="n">
        <v>23</v>
      </c>
      <c r="C7" s="4" t="n">
        <v>23</v>
      </c>
      <c r="D7" s="4" t="n">
        <v>23</v>
      </c>
      <c r="E7" s="4" t="n">
        <v>23</v>
      </c>
      <c r="F7" s="4" t="inlineStr">
        <is>
          <t>23 each</t>
        </is>
      </c>
      <c r="G7" s="10" t="inlineStr">
        <is>
          <t>PASS</t>
        </is>
      </c>
      <c r="H7" s="4" t="inlineStr">
        <is>
          <t>After scale + legal integer rounding.</t>
        </is>
      </c>
    </row>
    <row r="8">
      <c r="A8" s="4" t="inlineStr">
        <is>
          <t>One-item arbitrary corruption</t>
        </is>
      </c>
      <c r="B8" s="4" t="inlineStr"/>
      <c r="C8" s="4" t="inlineStr"/>
      <c r="D8" s="4" t="inlineStr"/>
      <c r="E8" s="4" t="inlineStr"/>
      <c r="F8" s="4" t="inlineStr">
        <is>
          <t>11040/11040</t>
        </is>
      </c>
      <c r="G8" s="10" t="inlineStr">
        <is>
          <t>PASS</t>
        </is>
      </c>
      <c r="H8" s="4" t="inlineStr">
        <is>
          <t>Each item replaced by any other legal response.</t>
        </is>
      </c>
    </row>
    <row r="9">
      <c r="A9" s="4" t="inlineStr">
        <is>
          <t>Min angular chord</t>
        </is>
      </c>
      <c r="B9" s="4" t="inlineStr"/>
      <c r="C9" s="4" t="inlineStr"/>
      <c r="D9" s="4" t="inlineStr"/>
      <c r="E9" s="4" t="inlineStr"/>
      <c r="F9" s="4" t="inlineStr">
        <is>
          <t>0.610908</t>
        </is>
      </c>
      <c r="G9" s="10" t="inlineStr">
        <is>
          <t>PASS</t>
        </is>
      </c>
      <c r="H9" s="4" t="inlineStr">
        <is>
          <t>Draconian ↔ Anunnaki / Nibiruan</t>
        </is>
      </c>
    </row>
    <row r="10">
      <c r="A10" s="4" t="inlineStr">
        <is>
          <t>Median angular chord</t>
        </is>
      </c>
      <c r="B10" s="4" t="inlineStr"/>
      <c r="C10" s="4" t="inlineStr"/>
      <c r="D10" s="4" t="inlineStr"/>
      <c r="E10" s="4" t="inlineStr"/>
      <c r="F10" s="4" t="inlineStr">
        <is>
          <t>1.254834</t>
        </is>
      </c>
      <c r="G10" s="11" t="inlineStr">
        <is>
          <t>INFO</t>
        </is>
      </c>
      <c r="H10" s="4" t="inlineStr">
        <is>
          <t>253 pairs.</t>
        </is>
      </c>
    </row>
    <row r="11">
      <c r="A11" s="4" t="inlineStr">
        <is>
          <t>High-risk code gates</t>
        </is>
      </c>
      <c r="B11" s="4" t="inlineStr"/>
      <c r="C11" s="4" t="inlineStr"/>
      <c r="D11" s="4" t="inlineStr"/>
      <c r="E11" s="4" t="inlineStr"/>
      <c r="F11" s="4" t="inlineStr">
        <is>
          <t>28/28</t>
        </is>
      </c>
      <c r="G11" s="10" t="inlineStr">
        <is>
          <t>PASS</t>
        </is>
      </c>
      <c r="H11" s="4" t="inlineStr">
        <is>
          <t>All top 28 edge gates.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2" customWidth="1" min="7" max="7"/>
  </cols>
  <sheetData>
    <row r="1" ht="30" customHeight="1">
      <c r="A1" s="1" t="inlineStr">
        <is>
          <t>Quantization Threshold Sensitivity</t>
        </is>
      </c>
    </row>
    <row r="2" ht="38" customHeight="1">
      <c r="A2" s="2" t="inlineStr">
        <is>
          <t>Thresholds are design bands, not calibrated psychometric parameters. Nearby alternatives keep codewords unique and separation structurally similar.</t>
        </is>
      </c>
    </row>
    <row r="3"/>
    <row r="4">
      <c r="A4" s="3" t="inlineStr">
        <is>
          <t>t0</t>
        </is>
      </c>
      <c r="B4" s="3" t="inlineStr">
        <is>
          <t>t1</t>
        </is>
      </c>
      <c r="C4" s="3" t="inlineStr">
        <is>
          <t>t2</t>
        </is>
      </c>
      <c r="D4" s="3" t="inlineStr">
        <is>
          <t>Unique</t>
        </is>
      </c>
      <c r="E4" s="3" t="inlineStr">
        <is>
          <t>Min chord</t>
        </is>
      </c>
      <c r="F4" s="3" t="inlineStr">
        <is>
          <t>Median chord</t>
        </is>
      </c>
      <c r="G4" s="3" t="inlineStr">
        <is>
          <t>Selected</t>
        </is>
      </c>
    </row>
    <row r="5">
      <c r="A5" s="5" t="n">
        <v>0.12</v>
      </c>
      <c r="B5" s="5" t="n">
        <v>0.34</v>
      </c>
      <c r="C5" s="5" t="n">
        <v>0.6</v>
      </c>
      <c r="D5" s="5" t="n">
        <v>23</v>
      </c>
      <c r="E5" s="5" t="n">
        <v>0.5711493482394855</v>
      </c>
      <c r="F5" s="5" t="n">
        <v>1.252802166262132</v>
      </c>
      <c r="G5" t="inlineStr">
        <is>
          <t>NO</t>
        </is>
      </c>
    </row>
    <row r="6">
      <c r="A6" s="12" t="n">
        <v>0.15</v>
      </c>
      <c r="B6" s="12" t="n">
        <v>0.4</v>
      </c>
      <c r="C6" s="12" t="n">
        <v>0.7</v>
      </c>
      <c r="D6" s="12" t="n">
        <v>23</v>
      </c>
      <c r="E6" s="12" t="n">
        <v>0.6109078075082004</v>
      </c>
      <c r="F6" s="12" t="n">
        <v>1.254834251462827</v>
      </c>
      <c r="G6" s="8" t="inlineStr">
        <is>
          <t>YES</t>
        </is>
      </c>
    </row>
    <row r="7">
      <c r="A7" s="5" t="n">
        <v>0.18</v>
      </c>
      <c r="B7" s="5" t="n">
        <v>0.45</v>
      </c>
      <c r="C7" s="5" t="n">
        <v>0.75</v>
      </c>
      <c r="D7" s="5" t="n">
        <v>23</v>
      </c>
      <c r="E7" s="5" t="n">
        <v>0.5233878747803632</v>
      </c>
      <c r="F7" s="5" t="n">
        <v>1.255755342552501</v>
      </c>
      <c r="G7" t="inlineStr">
        <is>
          <t>NO</t>
        </is>
      </c>
    </row>
    <row r="8">
      <c r="A8" s="5" t="n">
        <v>0.1</v>
      </c>
      <c r="B8" s="5" t="n">
        <v>0.3</v>
      </c>
      <c r="C8" s="5" t="n">
        <v>0.55</v>
      </c>
      <c r="D8" s="5" t="n">
        <v>23</v>
      </c>
      <c r="E8" s="5" t="n">
        <v>0.5854806746075848</v>
      </c>
      <c r="F8" s="5" t="n">
        <v>1.25072296808896</v>
      </c>
      <c r="G8" t="inlineStr">
        <is>
          <t>NO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2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Comparative-Centering Gain Sensitivity</t>
        </is>
      </c>
    </row>
    <row r="2">
      <c r="A2" s="13" t="inlineStr">
        <is>
          <t>Gain is a design constant, not calibration. 1.70 is the smallest tested simple value that satisfies all 28 direct-code gates; larger values add extremity without improving the discrete gate outcome.</t>
        </is>
      </c>
    </row>
    <row r="3"/>
    <row r="4">
      <c r="A4" s="14" t="inlineStr">
        <is>
          <t>Gain</t>
        </is>
      </c>
      <c r="B4" s="14" t="inlineStr">
        <is>
          <t>Unique codewords</t>
        </is>
      </c>
      <c r="C4" s="14" t="inlineStr">
        <is>
          <t>Min chord</t>
        </is>
      </c>
      <c r="D4" s="14" t="inlineStr">
        <is>
          <t>Median chord</t>
        </is>
      </c>
      <c r="E4" s="14" t="inlineStr">
        <is>
          <t>High-risk gates</t>
        </is>
      </c>
      <c r="F4" s="14" t="inlineStr">
        <is>
          <t>Zero cells</t>
        </is>
      </c>
      <c r="G4" s="14" t="inlineStr">
        <is>
          <t>±3 cells</t>
        </is>
      </c>
      <c r="H4" s="14" t="inlineStr">
        <is>
          <t>Selected</t>
        </is>
      </c>
    </row>
    <row r="5">
      <c r="A5" s="5" t="n">
        <v>1.5</v>
      </c>
      <c r="B5" t="n">
        <v>23</v>
      </c>
      <c r="C5" s="5" t="n">
        <v>0.5277716122803362</v>
      </c>
      <c r="D5" s="5" t="n">
        <v>1.245574865534358</v>
      </c>
      <c r="E5" t="inlineStr">
        <is>
          <t>25/28</t>
        </is>
      </c>
      <c r="F5" t="n">
        <v>485</v>
      </c>
      <c r="G5" t="n">
        <v>303</v>
      </c>
      <c r="H5" t="inlineStr">
        <is>
          <t>NO</t>
        </is>
      </c>
    </row>
    <row r="6">
      <c r="A6" s="5" t="n">
        <v>1.6</v>
      </c>
      <c r="B6" t="n">
        <v>23</v>
      </c>
      <c r="C6" s="5" t="n">
        <v>0.5776371449314324</v>
      </c>
      <c r="D6" s="5" t="n">
        <v>1.247149774341196</v>
      </c>
      <c r="E6" t="inlineStr">
        <is>
          <t>27/28</t>
        </is>
      </c>
      <c r="F6" t="n">
        <v>485</v>
      </c>
      <c r="G6" t="n">
        <v>360</v>
      </c>
      <c r="H6" t="inlineStr">
        <is>
          <t>NO</t>
        </is>
      </c>
    </row>
    <row r="7">
      <c r="A7" s="5" t="n">
        <v>1.65</v>
      </c>
      <c r="B7" t="n">
        <v>23</v>
      </c>
      <c r="C7" s="5" t="n">
        <v>0.5898667616750224</v>
      </c>
      <c r="D7" s="5" t="n">
        <v>1.244692110721537</v>
      </c>
      <c r="E7" t="inlineStr">
        <is>
          <t>27/28</t>
        </is>
      </c>
      <c r="F7" t="n">
        <v>482</v>
      </c>
      <c r="G7" t="n">
        <v>360</v>
      </c>
      <c r="H7" t="inlineStr">
        <is>
          <t>NO</t>
        </is>
      </c>
    </row>
    <row r="8">
      <c r="A8" s="12" t="n">
        <v>1.7</v>
      </c>
      <c r="B8" s="8" t="n">
        <v>23</v>
      </c>
      <c r="C8" s="12" t="n">
        <v>0.6109078075082004</v>
      </c>
      <c r="D8" s="12" t="n">
        <v>1.254834251462827</v>
      </c>
      <c r="E8" s="8" t="inlineStr">
        <is>
          <t>28/28</t>
        </is>
      </c>
      <c r="F8" s="8" t="n">
        <v>481</v>
      </c>
      <c r="G8" s="8" t="n">
        <v>407</v>
      </c>
      <c r="H8" s="8" t="inlineStr">
        <is>
          <t>YES</t>
        </is>
      </c>
    </row>
    <row r="9">
      <c r="A9" s="5" t="n">
        <v>1.75</v>
      </c>
      <c r="B9" t="n">
        <v>23</v>
      </c>
      <c r="C9" s="5" t="n">
        <v>0.6109078075082004</v>
      </c>
      <c r="D9" s="5" t="n">
        <v>1.254834251462827</v>
      </c>
      <c r="E9" t="inlineStr">
        <is>
          <t>28/28</t>
        </is>
      </c>
      <c r="F9" t="n">
        <v>481</v>
      </c>
      <c r="G9" t="n">
        <v>407</v>
      </c>
      <c r="H9" t="inlineStr">
        <is>
          <t>NO</t>
        </is>
      </c>
    </row>
    <row r="10">
      <c r="A10" s="5" t="n">
        <v>2</v>
      </c>
      <c r="B10" t="n">
        <v>23</v>
      </c>
      <c r="C10" s="5" t="n">
        <v>0.5759543087970563</v>
      </c>
      <c r="D10" s="5" t="n">
        <v>1.251553558039664</v>
      </c>
      <c r="E10" t="inlineStr">
        <is>
          <t>28/28</t>
        </is>
      </c>
      <c r="F10" t="n">
        <v>446</v>
      </c>
      <c r="G10" t="n">
        <v>488</v>
      </c>
      <c r="H10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5" customWidth="1" min="3" max="3"/>
    <col width="12" customWidth="1" min="4" max="4"/>
    <col width="14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Prototype Magnitude / Sparsity Audit</t>
        </is>
      </c>
    </row>
    <row r="2">
      <c r="A2" s="13" t="inlineStr">
        <is>
          <t>Spherical decoding removes prototype-norm centrality from scoring, but extreme sparsity can still increase quantization sensitivity. This sheet checks that no lineage codeword is abnormally empty.</t>
        </is>
      </c>
    </row>
    <row r="3"/>
    <row r="4">
      <c r="A4" s="14" t="inlineStr">
        <is>
          <t>#</t>
        </is>
      </c>
      <c r="B4" s="14" t="inlineStr">
        <is>
          <t>Lineage</t>
        </is>
      </c>
      <c r="C4" s="14" t="inlineStr">
        <is>
          <t>Nonzero items</t>
        </is>
      </c>
      <c r="D4" s="14" t="inlineStr">
        <is>
          <t>Zero items</t>
        </is>
      </c>
      <c r="E4" s="14" t="inlineStr">
        <is>
          <t>L2 norm</t>
        </is>
      </c>
      <c r="F4" s="14" t="inlineStr">
        <is>
          <t>Mean |code|</t>
        </is>
      </c>
      <c r="G4" s="14" t="inlineStr">
        <is>
          <t>Max |code|</t>
        </is>
      </c>
      <c r="H4" s="14" t="inlineStr">
        <is>
          <t>Status</t>
        </is>
      </c>
    </row>
    <row r="5">
      <c r="A5" t="n">
        <v>1</v>
      </c>
      <c r="B5" t="inlineStr">
        <is>
          <t>Pleiadian</t>
        </is>
      </c>
      <c r="C5" t="n">
        <v>59</v>
      </c>
      <c r="D5" t="n">
        <v>21</v>
      </c>
      <c r="E5" s="5" t="n">
        <v>16.49242250247064</v>
      </c>
      <c r="F5" s="5" t="n">
        <v>1.475</v>
      </c>
      <c r="G5" t="n">
        <v>3</v>
      </c>
      <c r="H5" s="8" t="inlineStr">
        <is>
          <t>PASS</t>
        </is>
      </c>
    </row>
    <row r="6">
      <c r="A6" t="n">
        <v>2</v>
      </c>
      <c r="B6" t="inlineStr">
        <is>
          <t>Arcturian</t>
        </is>
      </c>
      <c r="C6" t="n">
        <v>55</v>
      </c>
      <c r="D6" t="n">
        <v>25</v>
      </c>
      <c r="E6" s="5" t="n">
        <v>13.56465996625054</v>
      </c>
      <c r="F6" s="5" t="n">
        <v>1.175</v>
      </c>
      <c r="G6" t="n">
        <v>3</v>
      </c>
      <c r="H6" s="8" t="inlineStr">
        <is>
          <t>PASS</t>
        </is>
      </c>
    </row>
    <row r="7">
      <c r="A7" t="n">
        <v>3</v>
      </c>
      <c r="B7" t="inlineStr">
        <is>
          <t>Sirian</t>
        </is>
      </c>
      <c r="C7" t="n">
        <v>56</v>
      </c>
      <c r="D7" t="n">
        <v>24</v>
      </c>
      <c r="E7" s="5" t="n">
        <v>16.1245154965971</v>
      </c>
      <c r="F7" s="5" t="n">
        <v>1.425</v>
      </c>
      <c r="G7" t="n">
        <v>3</v>
      </c>
      <c r="H7" s="8" t="inlineStr">
        <is>
          <t>PASS</t>
        </is>
      </c>
    </row>
    <row r="8">
      <c r="A8" t="n">
        <v>4</v>
      </c>
      <c r="B8" t="inlineStr">
        <is>
          <t>Andromedan</t>
        </is>
      </c>
      <c r="C8" t="n">
        <v>61</v>
      </c>
      <c r="D8" t="n">
        <v>19</v>
      </c>
      <c r="E8" s="5" t="n">
        <v>16</v>
      </c>
      <c r="F8" s="5" t="n">
        <v>1.475</v>
      </c>
      <c r="G8" t="n">
        <v>3</v>
      </c>
      <c r="H8" s="8" t="inlineStr">
        <is>
          <t>PASS</t>
        </is>
      </c>
    </row>
    <row r="9">
      <c r="A9" t="n">
        <v>5</v>
      </c>
      <c r="B9" t="inlineStr">
        <is>
          <t>Lyran</t>
        </is>
      </c>
      <c r="C9" t="n">
        <v>62</v>
      </c>
      <c r="D9" t="n">
        <v>18</v>
      </c>
      <c r="E9" s="5" t="n">
        <v>15.68438714135812</v>
      </c>
      <c r="F9" s="5" t="n">
        <v>1.425</v>
      </c>
      <c r="G9" t="n">
        <v>3</v>
      </c>
      <c r="H9" s="8" t="inlineStr">
        <is>
          <t>PASS</t>
        </is>
      </c>
    </row>
    <row r="10">
      <c r="A10" t="n">
        <v>6</v>
      </c>
      <c r="B10" t="inlineStr">
        <is>
          <t>Orion</t>
        </is>
      </c>
      <c r="C10" t="n">
        <v>54</v>
      </c>
      <c r="D10" t="n">
        <v>26</v>
      </c>
      <c r="E10" s="5" t="n">
        <v>15.0996688705415</v>
      </c>
      <c r="F10" s="5" t="n">
        <v>1.3</v>
      </c>
      <c r="G10" t="n">
        <v>3</v>
      </c>
      <c r="H10" s="8" t="inlineStr">
        <is>
          <t>PASS</t>
        </is>
      </c>
    </row>
    <row r="11">
      <c r="A11" t="n">
        <v>7</v>
      </c>
      <c r="B11" t="inlineStr">
        <is>
          <t>Mintakan</t>
        </is>
      </c>
      <c r="C11" t="n">
        <v>65</v>
      </c>
      <c r="D11" t="n">
        <v>15</v>
      </c>
      <c r="E11" s="5" t="n">
        <v>16.91153452528776</v>
      </c>
      <c r="F11" s="5" t="n">
        <v>1.55</v>
      </c>
      <c r="G11" t="n">
        <v>3</v>
      </c>
      <c r="H11" s="8" t="inlineStr">
        <is>
          <t>PASS</t>
        </is>
      </c>
    </row>
    <row r="12">
      <c r="A12" t="n">
        <v>8</v>
      </c>
      <c r="B12" t="inlineStr">
        <is>
          <t>Venusian</t>
        </is>
      </c>
      <c r="C12" t="n">
        <v>58</v>
      </c>
      <c r="D12" t="n">
        <v>22</v>
      </c>
      <c r="E12" s="5" t="n">
        <v>16.18641405623865</v>
      </c>
      <c r="F12" s="5" t="n">
        <v>1.4</v>
      </c>
      <c r="G12" t="n">
        <v>3</v>
      </c>
      <c r="H12" s="8" t="inlineStr">
        <is>
          <t>PASS</t>
        </is>
      </c>
    </row>
    <row r="13">
      <c r="A13" t="n">
        <v>9</v>
      </c>
      <c r="B13" t="inlineStr">
        <is>
          <t>Hadarian</t>
        </is>
      </c>
      <c r="C13" t="n">
        <v>53</v>
      </c>
      <c r="D13" t="n">
        <v>27</v>
      </c>
      <c r="E13" s="5" t="n">
        <v>16</v>
      </c>
      <c r="F13" s="5" t="n">
        <v>1.35</v>
      </c>
      <c r="G13" t="n">
        <v>3</v>
      </c>
      <c r="H13" s="8" t="inlineStr">
        <is>
          <t>PASS</t>
        </is>
      </c>
    </row>
    <row r="14">
      <c r="A14" t="n">
        <v>10</v>
      </c>
      <c r="B14" t="inlineStr">
        <is>
          <t>Polarian</t>
        </is>
      </c>
      <c r="C14" t="n">
        <v>54</v>
      </c>
      <c r="D14" t="n">
        <v>26</v>
      </c>
      <c r="E14" s="5" t="n">
        <v>17.4355957741627</v>
      </c>
      <c r="F14" s="5" t="n">
        <v>1.525</v>
      </c>
      <c r="G14" t="n">
        <v>3</v>
      </c>
      <c r="H14" s="8" t="inlineStr">
        <is>
          <t>PASS</t>
        </is>
      </c>
    </row>
    <row r="15">
      <c r="A15" t="n">
        <v>11</v>
      </c>
      <c r="B15" t="inlineStr">
        <is>
          <t>Alpha Centaurian</t>
        </is>
      </c>
      <c r="C15" t="n">
        <v>53</v>
      </c>
      <c r="D15" t="n">
        <v>27</v>
      </c>
      <c r="E15" s="5" t="n">
        <v>15.5884572681199</v>
      </c>
      <c r="F15" s="5" t="n">
        <v>1.3125</v>
      </c>
      <c r="G15" t="n">
        <v>3</v>
      </c>
      <c r="H15" s="8" t="inlineStr">
        <is>
          <t>PASS</t>
        </is>
      </c>
    </row>
    <row r="16">
      <c r="A16" t="n">
        <v>12</v>
      </c>
      <c r="B16" t="inlineStr">
        <is>
          <t>Vegan</t>
        </is>
      </c>
      <c r="C16" t="n">
        <v>67</v>
      </c>
      <c r="D16" t="n">
        <v>13</v>
      </c>
      <c r="E16" s="5" t="n">
        <v>17.17556403731767</v>
      </c>
      <c r="F16" s="5" t="n">
        <v>1.6625</v>
      </c>
      <c r="G16" t="n">
        <v>3</v>
      </c>
      <c r="H16" s="8" t="inlineStr">
        <is>
          <t>PASS</t>
        </is>
      </c>
    </row>
    <row r="17">
      <c r="A17" t="n">
        <v>13</v>
      </c>
      <c r="B17" t="inlineStr">
        <is>
          <t>Feline / Urmah</t>
        </is>
      </c>
      <c r="C17" t="n">
        <v>63</v>
      </c>
      <c r="D17" t="n">
        <v>17</v>
      </c>
      <c r="E17" s="5" t="n">
        <v>17.72004514666935</v>
      </c>
      <c r="F17" s="5" t="n">
        <v>1.65</v>
      </c>
      <c r="G17" t="n">
        <v>3</v>
      </c>
      <c r="H17" s="8" t="inlineStr">
        <is>
          <t>PASS</t>
        </is>
      </c>
    </row>
    <row r="18">
      <c r="A18" t="n">
        <v>14</v>
      </c>
      <c r="B18" t="inlineStr">
        <is>
          <t>Avian / Blue Avian</t>
        </is>
      </c>
      <c r="C18" t="n">
        <v>60</v>
      </c>
      <c r="D18" t="n">
        <v>20</v>
      </c>
      <c r="E18" s="5" t="n">
        <v>15.90597372058687</v>
      </c>
      <c r="F18" s="5" t="n">
        <v>1.4375</v>
      </c>
      <c r="G18" t="n">
        <v>3</v>
      </c>
      <c r="H18" s="8" t="inlineStr">
        <is>
          <t>PASS</t>
        </is>
      </c>
    </row>
    <row r="19">
      <c r="A19" t="n">
        <v>15</v>
      </c>
      <c r="B19" t="inlineStr">
        <is>
          <t>Martian</t>
        </is>
      </c>
      <c r="C19" t="n">
        <v>60</v>
      </c>
      <c r="D19" t="n">
        <v>20</v>
      </c>
      <c r="E19" s="5" t="n">
        <v>17.69180601295413</v>
      </c>
      <c r="F19" s="5" t="n">
        <v>1.6125</v>
      </c>
      <c r="G19" t="n">
        <v>3</v>
      </c>
      <c r="H19" s="8" t="inlineStr">
        <is>
          <t>PASS</t>
        </is>
      </c>
    </row>
    <row r="20">
      <c r="A20" t="n">
        <v>16</v>
      </c>
      <c r="B20" t="inlineStr">
        <is>
          <t>Maldekian</t>
        </is>
      </c>
      <c r="C20" t="n">
        <v>64</v>
      </c>
      <c r="D20" t="n">
        <v>16</v>
      </c>
      <c r="E20" s="5" t="n">
        <v>18.54723699099141</v>
      </c>
      <c r="F20" s="5" t="n">
        <v>1.725</v>
      </c>
      <c r="G20" t="n">
        <v>3</v>
      </c>
      <c r="H20" s="8" t="inlineStr">
        <is>
          <t>PASS</t>
        </is>
      </c>
    </row>
    <row r="21">
      <c r="A21" t="n">
        <v>17</v>
      </c>
      <c r="B21" t="inlineStr">
        <is>
          <t>Draconian</t>
        </is>
      </c>
      <c r="C21" t="n">
        <v>66</v>
      </c>
      <c r="D21" t="n">
        <v>14</v>
      </c>
      <c r="E21" s="5" t="n">
        <v>16.85229954635272</v>
      </c>
      <c r="F21" s="5" t="n">
        <v>1.6</v>
      </c>
      <c r="G21" t="n">
        <v>3</v>
      </c>
      <c r="H21" s="8" t="inlineStr">
        <is>
          <t>PASS</t>
        </is>
      </c>
    </row>
    <row r="22">
      <c r="A22" t="n">
        <v>18</v>
      </c>
      <c r="B22" t="inlineStr">
        <is>
          <t>Reptilian</t>
        </is>
      </c>
      <c r="C22" t="n">
        <v>61</v>
      </c>
      <c r="D22" t="n">
        <v>19</v>
      </c>
      <c r="E22" s="5" t="n">
        <v>16.09347693943108</v>
      </c>
      <c r="F22" s="5" t="n">
        <v>1.4625</v>
      </c>
      <c r="G22" t="n">
        <v>3</v>
      </c>
      <c r="H22" s="8" t="inlineStr">
        <is>
          <t>PASS</t>
        </is>
      </c>
    </row>
    <row r="23">
      <c r="A23" t="n">
        <v>19</v>
      </c>
      <c r="B23" t="inlineStr">
        <is>
          <t>Zeta / Grey</t>
        </is>
      </c>
      <c r="C23" t="n">
        <v>54</v>
      </c>
      <c r="D23" t="n">
        <v>26</v>
      </c>
      <c r="E23" s="5" t="n">
        <v>17.32050807568877</v>
      </c>
      <c r="F23" s="5" t="n">
        <v>1.5</v>
      </c>
      <c r="G23" t="n">
        <v>3</v>
      </c>
      <c r="H23" s="8" t="inlineStr">
        <is>
          <t>PASS</t>
        </is>
      </c>
    </row>
    <row r="24">
      <c r="A24" t="n">
        <v>20</v>
      </c>
      <c r="B24" t="inlineStr">
        <is>
          <t>Anunnaki / Nibiruan</t>
        </is>
      </c>
      <c r="C24" t="n">
        <v>65</v>
      </c>
      <c r="D24" t="n">
        <v>15</v>
      </c>
      <c r="E24" s="5" t="n">
        <v>17.4355957741627</v>
      </c>
      <c r="F24" s="5" t="n">
        <v>1.65</v>
      </c>
      <c r="G24" t="n">
        <v>3</v>
      </c>
      <c r="H24" s="8" t="inlineStr">
        <is>
          <t>PASS</t>
        </is>
      </c>
    </row>
    <row r="25">
      <c r="A25" t="n">
        <v>21</v>
      </c>
      <c r="B25" t="inlineStr">
        <is>
          <t>Tau Cetian</t>
        </is>
      </c>
      <c r="C25" t="n">
        <v>49</v>
      </c>
      <c r="D25" t="n">
        <v>31</v>
      </c>
      <c r="E25" s="5" t="n">
        <v>14.52583904633395</v>
      </c>
      <c r="F25" s="5" t="n">
        <v>1.1625</v>
      </c>
      <c r="G25" t="n">
        <v>3</v>
      </c>
      <c r="H25" s="9" t="inlineStr">
        <is>
          <t>WATCH</t>
        </is>
      </c>
    </row>
    <row r="26">
      <c r="A26" t="n">
        <v>22</v>
      </c>
      <c r="B26" t="inlineStr">
        <is>
          <t>Antarian</t>
        </is>
      </c>
      <c r="C26" t="n">
        <v>60</v>
      </c>
      <c r="D26" t="n">
        <v>20</v>
      </c>
      <c r="E26" s="5" t="n">
        <v>16</v>
      </c>
      <c r="F26" s="5" t="n">
        <v>1.425</v>
      </c>
      <c r="G26" t="n">
        <v>3</v>
      </c>
      <c r="H26" s="8" t="inlineStr">
        <is>
          <t>PASS</t>
        </is>
      </c>
    </row>
    <row r="27">
      <c r="A27" t="n">
        <v>23</v>
      </c>
      <c r="B27" t="inlineStr">
        <is>
          <t>Earth-Origin Soul</t>
        </is>
      </c>
      <c r="C27" t="n">
        <v>60</v>
      </c>
      <c r="D27" t="n">
        <v>20</v>
      </c>
      <c r="E27" s="5" t="n">
        <v>16.85229954635272</v>
      </c>
      <c r="F27" s="5" t="n">
        <v>1.525</v>
      </c>
      <c r="G27" t="n">
        <v>3</v>
      </c>
      <c r="H27" s="8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72" customWidth="1" min="4" max="4"/>
  </cols>
  <sheetData>
    <row r="1" ht="30" customHeight="1">
      <c r="A1" s="1" t="inlineStr">
        <is>
          <t>Static QA Snapshot</t>
        </is>
      </c>
    </row>
    <row r="2" ht="38" customHeight="1">
      <c r="A2" s="2" t="inlineStr">
        <is>
          <t>Independent Python calculation of the final integer codebook.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  <c r="D4" s="3" t="inlineStr">
        <is>
          <t>Detail</t>
        </is>
      </c>
    </row>
    <row r="5">
      <c r="A5" s="4" t="inlineStr">
        <is>
          <t>Unique codewords</t>
        </is>
      </c>
      <c r="B5" s="4" t="inlineStr">
        <is>
          <t>23/23</t>
        </is>
      </c>
      <c r="C5" s="10" t="inlineStr">
        <is>
          <t>PASS</t>
        </is>
      </c>
      <c r="D5" s="4" t="inlineStr"/>
    </row>
    <row r="6">
      <c r="A6" s="4" t="inlineStr">
        <is>
          <t>Legal code range</t>
        </is>
      </c>
      <c r="B6" s="4" t="inlineStr">
        <is>
          <t>-3…3</t>
        </is>
      </c>
      <c r="C6" s="10" t="inlineStr">
        <is>
          <t>PASS</t>
        </is>
      </c>
      <c r="D6" s="4" t="inlineStr"/>
    </row>
    <row r="7">
      <c r="A7" s="4" t="inlineStr">
        <is>
          <t>Zero cells</t>
        </is>
      </c>
      <c r="B7" s="4" t="n">
        <v>481</v>
      </c>
      <c r="C7" s="11" t="inlineStr">
        <is>
          <t>INFO</t>
        </is>
      </c>
      <c r="D7" s="4" t="inlineStr">
        <is>
          <t>26.1%</t>
        </is>
      </c>
    </row>
    <row r="8">
      <c r="A8" s="4" t="inlineStr">
        <is>
          <t>±3 cells</t>
        </is>
      </c>
      <c r="B8" s="4" t="n">
        <v>407</v>
      </c>
      <c r="C8" s="11" t="inlineStr">
        <is>
          <t>INFO</t>
        </is>
      </c>
      <c r="D8" s="4" t="inlineStr">
        <is>
          <t>22.1%</t>
        </is>
      </c>
    </row>
    <row r="9">
      <c r="A9" s="4" t="inlineStr">
        <is>
          <t>Min angular chord</t>
        </is>
      </c>
      <c r="B9" s="4" t="inlineStr">
        <is>
          <t>0.610908</t>
        </is>
      </c>
      <c r="C9" s="10" t="inlineStr">
        <is>
          <t>PASS</t>
        </is>
      </c>
      <c r="D9" s="4" t="inlineStr">
        <is>
          <t>Draconian ↔ Anunnaki / Nibiruan</t>
        </is>
      </c>
    </row>
    <row r="10">
      <c r="A10" s="4" t="inlineStr">
        <is>
          <t>Exact classification</t>
        </is>
      </c>
      <c r="B10" s="4" t="inlineStr">
        <is>
          <t>23/23</t>
        </is>
      </c>
      <c r="C10" s="10" t="inlineStr">
        <is>
          <t>PASS</t>
        </is>
      </c>
      <c r="D10" s="4" t="inlineStr">
        <is>
          <t>Equal-weight cosine</t>
        </is>
      </c>
    </row>
    <row r="11">
      <c r="A11" s="4" t="inlineStr">
        <is>
          <t>Amplitude continuous</t>
        </is>
      </c>
      <c r="B11" s="4" t="inlineStr">
        <is>
          <t>23 / 23 / 23 / 23</t>
        </is>
      </c>
      <c r="C11" s="10" t="inlineStr">
        <is>
          <t>PASS</t>
        </is>
      </c>
      <c r="D11" s="4" t="inlineStr">
        <is>
          <t>25/50/75/100%</t>
        </is>
      </c>
    </row>
    <row r="12">
      <c r="A12" s="4" t="inlineStr">
        <is>
          <t>Amplitude quantized</t>
        </is>
      </c>
      <c r="B12" s="4" t="inlineStr">
        <is>
          <t>23 / 23 / 23 / 23</t>
        </is>
      </c>
      <c r="C12" s="10" t="inlineStr">
        <is>
          <t>PASS</t>
        </is>
      </c>
      <c r="D12" s="4" t="inlineStr">
        <is>
          <t>25/50/75/100%</t>
        </is>
      </c>
    </row>
    <row r="13">
      <c r="A13" s="4" t="inlineStr">
        <is>
          <t>One-item corruption</t>
        </is>
      </c>
      <c r="B13" s="4" t="inlineStr">
        <is>
          <t>11040/11040</t>
        </is>
      </c>
      <c r="C13" s="10" t="inlineStr">
        <is>
          <t>PASS</t>
        </is>
      </c>
      <c r="D13" s="4" t="inlineStr"/>
    </row>
    <row r="14">
      <c r="A14" s="4" t="inlineStr">
        <is>
          <t>High-risk gates</t>
        </is>
      </c>
      <c r="B14" s="4" t="inlineStr">
        <is>
          <t>28/28</t>
        </is>
      </c>
      <c r="C14" s="10" t="inlineStr">
        <is>
          <t>PASS</t>
        </is>
      </c>
      <c r="D14" s="4" t="inlineStr"/>
    </row>
    <row r="15">
      <c r="A15" s="4" t="inlineStr">
        <is>
          <t>Final item weights</t>
        </is>
      </c>
      <c r="B15" s="4" t="inlineStr">
        <is>
          <t>NOT YET REBUILT</t>
        </is>
      </c>
      <c r="C15" s="11" t="inlineStr">
        <is>
          <t>NEXT</t>
        </is>
      </c>
      <c r="D15" s="4" t="inlineStr">
        <is>
          <t>Equal-weight QA is not the final production scoring geometry.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0" customHeight="1">
      <c r="A1" s="1" t="inlineStr">
        <is>
          <t>23×22 Cell Coding Confidence</t>
        </is>
      </c>
    </row>
    <row r="2" ht="36" customHeight="1">
      <c r="A2" s="21" t="inlineStr">
        <is>
          <t>Confidence is intentionally conservative: lineage phenotype-convergence caps every cell; ±1/secondary lean is one grade below a defining ±2; zero cells never receive A/B because “not defining” is not proof of exact neutrality.</t>
        </is>
      </c>
    </row>
    <row r="3"/>
    <row r="4" ht="34" customHeight="1">
      <c r="A4" s="22" t="inlineStr">
        <is>
          <t>#</t>
        </is>
      </c>
      <c r="B4" s="22" t="inlineStr">
        <is>
          <t>中文</t>
        </is>
      </c>
      <c r="C4" s="22" t="inlineStr">
        <is>
          <t>English</t>
        </is>
      </c>
      <c r="D4" s="22" t="inlineStr">
        <is>
          <t>D01</t>
        </is>
      </c>
      <c r="E4" s="22" t="inlineStr">
        <is>
          <t>D02</t>
        </is>
      </c>
      <c r="F4" s="22" t="inlineStr">
        <is>
          <t>D03</t>
        </is>
      </c>
      <c r="G4" s="22" t="inlineStr">
        <is>
          <t>D04</t>
        </is>
      </c>
      <c r="H4" s="22" t="inlineStr">
        <is>
          <t>D05</t>
        </is>
      </c>
      <c r="I4" s="22" t="inlineStr">
        <is>
          <t>D06</t>
        </is>
      </c>
      <c r="J4" s="22" t="inlineStr">
        <is>
          <t>D07</t>
        </is>
      </c>
      <c r="K4" s="22" t="inlineStr">
        <is>
          <t>D08</t>
        </is>
      </c>
      <c r="L4" s="22" t="inlineStr">
        <is>
          <t>D09</t>
        </is>
      </c>
      <c r="M4" s="22" t="inlineStr">
        <is>
          <t>D10</t>
        </is>
      </c>
      <c r="N4" s="22" t="inlineStr">
        <is>
          <t>D11</t>
        </is>
      </c>
      <c r="O4" s="22" t="inlineStr">
        <is>
          <t>D12</t>
        </is>
      </c>
      <c r="P4" s="22" t="inlineStr">
        <is>
          <t>D13</t>
        </is>
      </c>
      <c r="Q4" s="22" t="inlineStr">
        <is>
          <t>D14</t>
        </is>
      </c>
      <c r="R4" s="22" t="inlineStr">
        <is>
          <t>D15</t>
        </is>
      </c>
      <c r="S4" s="22" t="inlineStr">
        <is>
          <t>D16</t>
        </is>
      </c>
      <c r="T4" s="22" t="inlineStr">
        <is>
          <t>D17</t>
        </is>
      </c>
      <c r="U4" s="22" t="inlineStr">
        <is>
          <t>D18</t>
        </is>
      </c>
      <c r="V4" s="22" t="inlineStr">
        <is>
          <t>D19</t>
        </is>
      </c>
      <c r="W4" s="22" t="inlineStr">
        <is>
          <t>D20</t>
        </is>
      </c>
      <c r="X4" s="22" t="inlineStr">
        <is>
          <t>D21</t>
        </is>
      </c>
      <c r="Y4" s="22" t="inlineStr">
        <is>
          <t>D22</t>
        </is>
      </c>
    </row>
    <row r="5">
      <c r="A5" s="23" t="n">
        <v>1</v>
      </c>
      <c r="B5" s="23" t="inlineStr">
        <is>
          <t>昴宿星人</t>
        </is>
      </c>
      <c r="C5" s="23" t="inlineStr">
        <is>
          <t>Pleiadian</t>
        </is>
      </c>
      <c r="D5" s="24" t="inlineStr">
        <is>
          <t>A</t>
        </is>
      </c>
      <c r="E5" s="25" t="inlineStr">
        <is>
          <t>B</t>
        </is>
      </c>
      <c r="F5" s="26" t="inlineStr">
        <is>
          <t>C</t>
        </is>
      </c>
      <c r="G5" s="25" t="inlineStr">
        <is>
          <t>B</t>
        </is>
      </c>
      <c r="H5" s="25" t="inlineStr">
        <is>
          <t>B</t>
        </is>
      </c>
      <c r="I5" s="26" t="inlineStr">
        <is>
          <t>C</t>
        </is>
      </c>
      <c r="J5" s="26" t="inlineStr">
        <is>
          <t>C</t>
        </is>
      </c>
      <c r="K5" s="26" t="inlineStr">
        <is>
          <t>C</t>
        </is>
      </c>
      <c r="L5" s="26" t="inlineStr">
        <is>
          <t>C</t>
        </is>
      </c>
      <c r="M5" s="26" t="inlineStr">
        <is>
          <t>C</t>
        </is>
      </c>
      <c r="N5" s="25" t="inlineStr">
        <is>
          <t>B</t>
        </is>
      </c>
      <c r="O5" s="24" t="inlineStr">
        <is>
          <t>A</t>
        </is>
      </c>
      <c r="P5" s="25" t="inlineStr">
        <is>
          <t>B</t>
        </is>
      </c>
      <c r="Q5" s="25" t="inlineStr">
        <is>
          <t>B</t>
        </is>
      </c>
      <c r="R5" s="25" t="inlineStr">
        <is>
          <t>B</t>
        </is>
      </c>
      <c r="S5" s="24" t="inlineStr">
        <is>
          <t>A</t>
        </is>
      </c>
      <c r="T5" s="26" t="inlineStr">
        <is>
          <t>C</t>
        </is>
      </c>
      <c r="U5" s="26" t="inlineStr">
        <is>
          <t>C</t>
        </is>
      </c>
      <c r="V5" s="25" t="inlineStr">
        <is>
          <t>B</t>
        </is>
      </c>
      <c r="W5" s="26" t="inlineStr">
        <is>
          <t>C</t>
        </is>
      </c>
      <c r="X5" s="26" t="inlineStr">
        <is>
          <t>C</t>
        </is>
      </c>
      <c r="Y5" s="26" t="inlineStr">
        <is>
          <t>C</t>
        </is>
      </c>
    </row>
    <row r="6">
      <c r="A6" s="27" t="n">
        <v>2</v>
      </c>
      <c r="B6" s="27" t="inlineStr">
        <is>
          <t>大角星人</t>
        </is>
      </c>
      <c r="C6" s="27" t="inlineStr">
        <is>
          <t>Arcturian</t>
        </is>
      </c>
      <c r="D6" s="26" t="inlineStr">
        <is>
          <t>C</t>
        </is>
      </c>
      <c r="E6" s="26" t="inlineStr">
        <is>
          <t>C</t>
        </is>
      </c>
      <c r="F6" s="26" t="inlineStr">
        <is>
          <t>C</t>
        </is>
      </c>
      <c r="G6" s="26" t="inlineStr">
        <is>
          <t>C</t>
        </is>
      </c>
      <c r="H6" s="26" t="inlineStr">
        <is>
          <t>C</t>
        </is>
      </c>
      <c r="I6" s="26" t="inlineStr">
        <is>
          <t>C</t>
        </is>
      </c>
      <c r="J6" s="26" t="inlineStr">
        <is>
          <t>C</t>
        </is>
      </c>
      <c r="K6" s="26" t="inlineStr">
        <is>
          <t>C</t>
        </is>
      </c>
      <c r="L6" s="26" t="inlineStr">
        <is>
          <t>C</t>
        </is>
      </c>
      <c r="M6" s="26" t="inlineStr">
        <is>
          <t>C</t>
        </is>
      </c>
      <c r="N6" s="26" t="inlineStr">
        <is>
          <t>C</t>
        </is>
      </c>
      <c r="O6" s="26" t="inlineStr">
        <is>
          <t>C</t>
        </is>
      </c>
      <c r="P6" s="26" t="inlineStr">
        <is>
          <t>C</t>
        </is>
      </c>
      <c r="Q6" s="26" t="inlineStr">
        <is>
          <t>C</t>
        </is>
      </c>
      <c r="R6" s="26" t="inlineStr">
        <is>
          <t>C</t>
        </is>
      </c>
      <c r="S6" s="25" t="inlineStr">
        <is>
          <t>B</t>
        </is>
      </c>
      <c r="T6" s="26" t="inlineStr">
        <is>
          <t>C</t>
        </is>
      </c>
      <c r="U6" s="26" t="inlineStr">
        <is>
          <t>C</t>
        </is>
      </c>
      <c r="V6" s="26" t="inlineStr">
        <is>
          <t>C</t>
        </is>
      </c>
      <c r="W6" s="26" t="inlineStr">
        <is>
          <t>C</t>
        </is>
      </c>
      <c r="X6" s="26" t="inlineStr">
        <is>
          <t>C</t>
        </is>
      </c>
      <c r="Y6" s="26" t="inlineStr">
        <is>
          <t>C</t>
        </is>
      </c>
    </row>
    <row r="7">
      <c r="A7" s="23" t="n">
        <v>3</v>
      </c>
      <c r="B7" s="23" t="inlineStr">
        <is>
          <t>天狼星人</t>
        </is>
      </c>
      <c r="C7" s="23" t="inlineStr">
        <is>
          <t>Sirian</t>
        </is>
      </c>
      <c r="D7" s="26" t="inlineStr">
        <is>
          <t>C</t>
        </is>
      </c>
      <c r="E7" s="26" t="inlineStr">
        <is>
          <t>C</t>
        </is>
      </c>
      <c r="F7" s="26" t="inlineStr">
        <is>
          <t>C</t>
        </is>
      </c>
      <c r="G7" s="26" t="inlineStr">
        <is>
          <t>C</t>
        </is>
      </c>
      <c r="H7" s="26" t="inlineStr">
        <is>
          <t>C</t>
        </is>
      </c>
      <c r="I7" s="25" t="inlineStr">
        <is>
          <t>B</t>
        </is>
      </c>
      <c r="J7" s="26" t="inlineStr">
        <is>
          <t>C</t>
        </is>
      </c>
      <c r="K7" s="25" t="inlineStr">
        <is>
          <t>B</t>
        </is>
      </c>
      <c r="L7" s="26" t="inlineStr">
        <is>
          <t>C</t>
        </is>
      </c>
      <c r="M7" s="26" t="inlineStr">
        <is>
          <t>C</t>
        </is>
      </c>
      <c r="N7" s="26" t="inlineStr">
        <is>
          <t>C</t>
        </is>
      </c>
      <c r="O7" s="26" t="inlineStr">
        <is>
          <t>C</t>
        </is>
      </c>
      <c r="P7" s="25" t="inlineStr">
        <is>
          <t>B</t>
        </is>
      </c>
      <c r="Q7" s="26" t="inlineStr">
        <is>
          <t>C</t>
        </is>
      </c>
      <c r="R7" s="26" t="inlineStr">
        <is>
          <t>C</t>
        </is>
      </c>
      <c r="S7" s="26" t="inlineStr">
        <is>
          <t>C</t>
        </is>
      </c>
      <c r="T7" s="25" t="inlineStr">
        <is>
          <t>B</t>
        </is>
      </c>
      <c r="U7" s="26" t="inlineStr">
        <is>
          <t>C</t>
        </is>
      </c>
      <c r="V7" s="26" t="inlineStr">
        <is>
          <t>C</t>
        </is>
      </c>
      <c r="W7" s="26" t="inlineStr">
        <is>
          <t>C</t>
        </is>
      </c>
      <c r="X7" s="26" t="inlineStr">
        <is>
          <t>C</t>
        </is>
      </c>
      <c r="Y7" s="26" t="inlineStr">
        <is>
          <t>C</t>
        </is>
      </c>
    </row>
    <row r="8">
      <c r="A8" s="27" t="n">
        <v>4</v>
      </c>
      <c r="B8" s="27" t="inlineStr">
        <is>
          <t>仙女座人</t>
        </is>
      </c>
      <c r="C8" s="27" t="inlineStr">
        <is>
          <t>Andromedan</t>
        </is>
      </c>
      <c r="D8" s="26" t="inlineStr">
        <is>
          <t>C</t>
        </is>
      </c>
      <c r="E8" s="26" t="inlineStr">
        <is>
          <t>C</t>
        </is>
      </c>
      <c r="F8" s="26" t="inlineStr">
        <is>
          <t>C</t>
        </is>
      </c>
      <c r="G8" s="26" t="inlineStr">
        <is>
          <t>C</t>
        </is>
      </c>
      <c r="H8" s="26" t="inlineStr">
        <is>
          <t>C</t>
        </is>
      </c>
      <c r="I8" s="26" t="inlineStr">
        <is>
          <t>C</t>
        </is>
      </c>
      <c r="J8" s="25" t="inlineStr">
        <is>
          <t>B</t>
        </is>
      </c>
      <c r="K8" s="26" t="inlineStr">
        <is>
          <t>C</t>
        </is>
      </c>
      <c r="L8" s="25" t="inlineStr">
        <is>
          <t>B</t>
        </is>
      </c>
      <c r="M8" s="26" t="inlineStr">
        <is>
          <t>C</t>
        </is>
      </c>
      <c r="N8" s="26" t="inlineStr">
        <is>
          <t>C</t>
        </is>
      </c>
      <c r="O8" s="26" t="inlineStr">
        <is>
          <t>C</t>
        </is>
      </c>
      <c r="P8" s="26" t="inlineStr">
        <is>
          <t>C</t>
        </is>
      </c>
      <c r="Q8" s="26" t="inlineStr">
        <is>
          <t>C</t>
        </is>
      </c>
      <c r="R8" s="26" t="inlineStr">
        <is>
          <t>C</t>
        </is>
      </c>
      <c r="S8" s="26" t="inlineStr">
        <is>
          <t>C</t>
        </is>
      </c>
      <c r="T8" s="26" t="inlineStr">
        <is>
          <t>C</t>
        </is>
      </c>
      <c r="U8" s="26" t="inlineStr">
        <is>
          <t>C</t>
        </is>
      </c>
      <c r="V8" s="26" t="inlineStr">
        <is>
          <t>C</t>
        </is>
      </c>
      <c r="W8" s="25" t="inlineStr">
        <is>
          <t>B</t>
        </is>
      </c>
      <c r="X8" s="26" t="inlineStr">
        <is>
          <t>C</t>
        </is>
      </c>
      <c r="Y8" s="26" t="inlineStr">
        <is>
          <t>C</t>
        </is>
      </c>
    </row>
    <row r="9">
      <c r="A9" s="23" t="n">
        <v>5</v>
      </c>
      <c r="B9" s="23" t="inlineStr">
        <is>
          <t>天琴座人</t>
        </is>
      </c>
      <c r="C9" s="23" t="inlineStr">
        <is>
          <t>Lyran</t>
        </is>
      </c>
      <c r="D9" s="26" t="inlineStr">
        <is>
          <t>C</t>
        </is>
      </c>
      <c r="E9" s="26" t="inlineStr">
        <is>
          <t>C</t>
        </is>
      </c>
      <c r="F9" s="26" t="inlineStr">
        <is>
          <t>C</t>
        </is>
      </c>
      <c r="G9" s="26" t="inlineStr">
        <is>
          <t>C</t>
        </is>
      </c>
      <c r="H9" s="26" t="inlineStr">
        <is>
          <t>C</t>
        </is>
      </c>
      <c r="I9" s="26" t="inlineStr">
        <is>
          <t>C</t>
        </is>
      </c>
      <c r="J9" s="26" t="inlineStr">
        <is>
          <t>C</t>
        </is>
      </c>
      <c r="K9" s="26" t="inlineStr">
        <is>
          <t>C</t>
        </is>
      </c>
      <c r="L9" s="25" t="inlineStr">
        <is>
          <t>B</t>
        </is>
      </c>
      <c r="M9" s="26" t="inlineStr">
        <is>
          <t>C</t>
        </is>
      </c>
      <c r="N9" s="25" t="inlineStr">
        <is>
          <t>B</t>
        </is>
      </c>
      <c r="O9" s="26" t="inlineStr">
        <is>
          <t>C</t>
        </is>
      </c>
      <c r="P9" s="26" t="inlineStr">
        <is>
          <t>C</t>
        </is>
      </c>
      <c r="Q9" s="26" t="inlineStr">
        <is>
          <t>C</t>
        </is>
      </c>
      <c r="R9" s="26" t="inlineStr">
        <is>
          <t>C</t>
        </is>
      </c>
      <c r="S9" s="26" t="inlineStr">
        <is>
          <t>C</t>
        </is>
      </c>
      <c r="T9" s="26" t="inlineStr">
        <is>
          <t>C</t>
        </is>
      </c>
      <c r="U9" s="25" t="inlineStr">
        <is>
          <t>B</t>
        </is>
      </c>
      <c r="V9" s="26" t="inlineStr">
        <is>
          <t>C</t>
        </is>
      </c>
      <c r="W9" s="26" t="inlineStr">
        <is>
          <t>C</t>
        </is>
      </c>
      <c r="X9" s="26" t="inlineStr">
        <is>
          <t>C</t>
        </is>
      </c>
      <c r="Y9" s="26" t="inlineStr">
        <is>
          <t>C</t>
        </is>
      </c>
    </row>
    <row r="10">
      <c r="A10" s="27" t="n">
        <v>6</v>
      </c>
      <c r="B10" s="27" t="inlineStr">
        <is>
          <t>獵戶座人</t>
        </is>
      </c>
      <c r="C10" s="27" t="inlineStr">
        <is>
          <t>Orion</t>
        </is>
      </c>
      <c r="D10" s="25" t="inlineStr">
        <is>
          <t>B</t>
        </is>
      </c>
      <c r="E10" s="25" t="inlineStr">
        <is>
          <t>B</t>
        </is>
      </c>
      <c r="F10" s="26" t="inlineStr">
        <is>
          <t>C</t>
        </is>
      </c>
      <c r="G10" s="24" t="inlineStr">
        <is>
          <t>A</t>
        </is>
      </c>
      <c r="H10" s="26" t="inlineStr">
        <is>
          <t>C</t>
        </is>
      </c>
      <c r="I10" s="26" t="inlineStr">
        <is>
          <t>C</t>
        </is>
      </c>
      <c r="J10" s="25" t="inlineStr">
        <is>
          <t>B</t>
        </is>
      </c>
      <c r="K10" s="26" t="inlineStr">
        <is>
          <t>C</t>
        </is>
      </c>
      <c r="L10" s="26" t="inlineStr">
        <is>
          <t>C</t>
        </is>
      </c>
      <c r="M10" s="26" t="inlineStr">
        <is>
          <t>C</t>
        </is>
      </c>
      <c r="N10" s="25" t="inlineStr">
        <is>
          <t>B</t>
        </is>
      </c>
      <c r="O10" s="25" t="inlineStr">
        <is>
          <t>B</t>
        </is>
      </c>
      <c r="P10" s="25" t="inlineStr">
        <is>
          <t>B</t>
        </is>
      </c>
      <c r="Q10" s="26" t="inlineStr">
        <is>
          <t>C</t>
        </is>
      </c>
      <c r="R10" s="25" t="inlineStr">
        <is>
          <t>B</t>
        </is>
      </c>
      <c r="S10" s="26" t="inlineStr">
        <is>
          <t>C</t>
        </is>
      </c>
      <c r="T10" s="26" t="inlineStr">
        <is>
          <t>C</t>
        </is>
      </c>
      <c r="U10" s="26" t="inlineStr">
        <is>
          <t>C</t>
        </is>
      </c>
      <c r="V10" s="24" t="inlineStr">
        <is>
          <t>A</t>
        </is>
      </c>
      <c r="W10" s="26" t="inlineStr">
        <is>
          <t>C</t>
        </is>
      </c>
      <c r="X10" s="24" t="inlineStr">
        <is>
          <t>A</t>
        </is>
      </c>
      <c r="Y10" s="26" t="inlineStr">
        <is>
          <t>C</t>
        </is>
      </c>
    </row>
    <row r="11">
      <c r="A11" s="23" t="n">
        <v>7</v>
      </c>
      <c r="B11" s="23" t="inlineStr">
        <is>
          <t>明塔卡星人</t>
        </is>
      </c>
      <c r="C11" s="23" t="inlineStr">
        <is>
          <t>Mintakan</t>
        </is>
      </c>
      <c r="D11" s="26" t="inlineStr">
        <is>
          <t>C</t>
        </is>
      </c>
      <c r="E11" s="26" t="inlineStr">
        <is>
          <t>C</t>
        </is>
      </c>
      <c r="F11" s="26" t="inlineStr">
        <is>
          <t>C</t>
        </is>
      </c>
      <c r="G11" s="26" t="inlineStr">
        <is>
          <t>C</t>
        </is>
      </c>
      <c r="H11" s="26" t="inlineStr">
        <is>
          <t>C</t>
        </is>
      </c>
      <c r="I11" s="26" t="inlineStr">
        <is>
          <t>C</t>
        </is>
      </c>
      <c r="J11" s="26" t="inlineStr">
        <is>
          <t>C</t>
        </is>
      </c>
      <c r="K11" s="26" t="inlineStr">
        <is>
          <t>C</t>
        </is>
      </c>
      <c r="L11" s="26" t="inlineStr">
        <is>
          <t>C</t>
        </is>
      </c>
      <c r="M11" s="26" t="inlineStr">
        <is>
          <t>C</t>
        </is>
      </c>
      <c r="N11" s="26" t="inlineStr">
        <is>
          <t>C</t>
        </is>
      </c>
      <c r="O11" s="25" t="inlineStr">
        <is>
          <t>B</t>
        </is>
      </c>
      <c r="P11" s="26" t="inlineStr">
        <is>
          <t>C</t>
        </is>
      </c>
      <c r="Q11" s="26" t="inlineStr">
        <is>
          <t>C</t>
        </is>
      </c>
      <c r="R11" s="26" t="inlineStr">
        <is>
          <t>C</t>
        </is>
      </c>
      <c r="S11" s="25" t="inlineStr">
        <is>
          <t>B</t>
        </is>
      </c>
      <c r="T11" s="26" t="inlineStr">
        <is>
          <t>C</t>
        </is>
      </c>
      <c r="U11" s="26" t="inlineStr">
        <is>
          <t>C</t>
        </is>
      </c>
      <c r="V11" s="26" t="inlineStr">
        <is>
          <t>C</t>
        </is>
      </c>
      <c r="W11" s="26" t="inlineStr">
        <is>
          <t>C</t>
        </is>
      </c>
      <c r="X11" s="26" t="inlineStr">
        <is>
          <t>C</t>
        </is>
      </c>
      <c r="Y11" s="25" t="inlineStr">
        <is>
          <t>B</t>
        </is>
      </c>
    </row>
    <row r="12">
      <c r="A12" s="27" t="n">
        <v>8</v>
      </c>
      <c r="B12" s="27" t="inlineStr">
        <is>
          <t>金星人</t>
        </is>
      </c>
      <c r="C12" s="27" t="inlineStr">
        <is>
          <t>Venusian</t>
        </is>
      </c>
      <c r="D12" s="26" t="inlineStr">
        <is>
          <t>C</t>
        </is>
      </c>
      <c r="E12" s="26" t="inlineStr">
        <is>
          <t>C</t>
        </is>
      </c>
      <c r="F12" s="25" t="inlineStr">
        <is>
          <t>B</t>
        </is>
      </c>
      <c r="G12" s="26" t="inlineStr">
        <is>
          <t>C</t>
        </is>
      </c>
      <c r="H12" s="26" t="inlineStr">
        <is>
          <t>C</t>
        </is>
      </c>
      <c r="I12" s="26" t="inlineStr">
        <is>
          <t>C</t>
        </is>
      </c>
      <c r="J12" s="26" t="inlineStr">
        <is>
          <t>C</t>
        </is>
      </c>
      <c r="K12" s="26" t="inlineStr">
        <is>
          <t>C</t>
        </is>
      </c>
      <c r="L12" s="26" t="inlineStr">
        <is>
          <t>C</t>
        </is>
      </c>
      <c r="M12" s="26" t="inlineStr">
        <is>
          <t>C</t>
        </is>
      </c>
      <c r="N12" s="26" t="inlineStr">
        <is>
          <t>C</t>
        </is>
      </c>
      <c r="O12" s="25" t="inlineStr">
        <is>
          <t>B</t>
        </is>
      </c>
      <c r="P12" s="26" t="inlineStr">
        <is>
          <t>C</t>
        </is>
      </c>
      <c r="Q12" s="26" t="inlineStr">
        <is>
          <t>C</t>
        </is>
      </c>
      <c r="R12" s="26" t="inlineStr">
        <is>
          <t>C</t>
        </is>
      </c>
      <c r="S12" s="25" t="inlineStr">
        <is>
          <t>B</t>
        </is>
      </c>
      <c r="T12" s="26" t="inlineStr">
        <is>
          <t>C</t>
        </is>
      </c>
      <c r="U12" s="26" t="inlineStr">
        <is>
          <t>C</t>
        </is>
      </c>
      <c r="V12" s="26" t="inlineStr">
        <is>
          <t>C</t>
        </is>
      </c>
      <c r="W12" s="26" t="inlineStr">
        <is>
          <t>C</t>
        </is>
      </c>
      <c r="X12" s="26" t="inlineStr">
        <is>
          <t>C</t>
        </is>
      </c>
      <c r="Y12" s="26" t="inlineStr">
        <is>
          <t>C</t>
        </is>
      </c>
    </row>
    <row r="13">
      <c r="A13" s="23" t="n">
        <v>9</v>
      </c>
      <c r="B13" s="23" t="inlineStr">
        <is>
          <t>哈達爾星人</t>
        </is>
      </c>
      <c r="C13" s="23" t="inlineStr">
        <is>
          <t>Hadarian</t>
        </is>
      </c>
      <c r="D13" s="26" t="inlineStr">
        <is>
          <t>C</t>
        </is>
      </c>
      <c r="E13" s="25" t="inlineStr">
        <is>
          <t>B</t>
        </is>
      </c>
      <c r="F13" s="26" t="inlineStr">
        <is>
          <t>C</t>
        </is>
      </c>
      <c r="G13" s="26" t="inlineStr">
        <is>
          <t>C</t>
        </is>
      </c>
      <c r="H13" s="26" t="inlineStr">
        <is>
          <t>C</t>
        </is>
      </c>
      <c r="I13" s="26" t="inlineStr">
        <is>
          <t>C</t>
        </is>
      </c>
      <c r="J13" s="26" t="inlineStr">
        <is>
          <t>C</t>
        </is>
      </c>
      <c r="K13" s="26" t="inlineStr">
        <is>
          <t>C</t>
        </is>
      </c>
      <c r="L13" s="26" t="inlineStr">
        <is>
          <t>C</t>
        </is>
      </c>
      <c r="M13" s="26" t="inlineStr">
        <is>
          <t>C</t>
        </is>
      </c>
      <c r="N13" s="26" t="inlineStr">
        <is>
          <t>C</t>
        </is>
      </c>
      <c r="O13" s="25" t="inlineStr">
        <is>
          <t>B</t>
        </is>
      </c>
      <c r="P13" s="25" t="inlineStr">
        <is>
          <t>B</t>
        </is>
      </c>
      <c r="Q13" s="26" t="inlineStr">
        <is>
          <t>C</t>
        </is>
      </c>
      <c r="R13" s="26" t="inlineStr">
        <is>
          <t>C</t>
        </is>
      </c>
      <c r="S13" s="25" t="inlineStr">
        <is>
          <t>B</t>
        </is>
      </c>
      <c r="T13" s="26" t="inlineStr">
        <is>
          <t>C</t>
        </is>
      </c>
      <c r="U13" s="26" t="inlineStr">
        <is>
          <t>C</t>
        </is>
      </c>
      <c r="V13" s="26" t="inlineStr">
        <is>
          <t>C</t>
        </is>
      </c>
      <c r="W13" s="26" t="inlineStr">
        <is>
          <t>C</t>
        </is>
      </c>
      <c r="X13" s="26" t="inlineStr">
        <is>
          <t>C</t>
        </is>
      </c>
      <c r="Y13" s="26" t="inlineStr">
        <is>
          <t>C</t>
        </is>
      </c>
    </row>
    <row r="14">
      <c r="A14" s="27" t="n">
        <v>10</v>
      </c>
      <c r="B14" s="27" t="inlineStr">
        <is>
          <t>北極星人</t>
        </is>
      </c>
      <c r="C14" s="27" t="inlineStr">
        <is>
          <t>Polarian</t>
        </is>
      </c>
      <c r="D14" s="28" t="inlineStr">
        <is>
          <t>D</t>
        </is>
      </c>
      <c r="E14" s="28" t="inlineStr">
        <is>
          <t>D</t>
        </is>
      </c>
      <c r="F14" s="28" t="inlineStr">
        <is>
          <t>D</t>
        </is>
      </c>
      <c r="G14" s="28" t="inlineStr">
        <is>
          <t>D</t>
        </is>
      </c>
      <c r="H14" s="28" t="inlineStr">
        <is>
          <t>D</t>
        </is>
      </c>
      <c r="I14" s="26" t="inlineStr">
        <is>
          <t>C</t>
        </is>
      </c>
      <c r="J14" s="28" t="inlineStr">
        <is>
          <t>D</t>
        </is>
      </c>
      <c r="K14" s="28" t="inlineStr">
        <is>
          <t>D</t>
        </is>
      </c>
      <c r="L14" s="28" t="inlineStr">
        <is>
          <t>D</t>
        </is>
      </c>
      <c r="M14" s="28" t="inlineStr">
        <is>
          <t>D</t>
        </is>
      </c>
      <c r="N14" s="28" t="inlineStr">
        <is>
          <t>D</t>
        </is>
      </c>
      <c r="O14" s="28" t="inlineStr">
        <is>
          <t>D</t>
        </is>
      </c>
      <c r="P14" s="28" t="inlineStr">
        <is>
          <t>D</t>
        </is>
      </c>
      <c r="Q14" s="28" t="inlineStr">
        <is>
          <t>D</t>
        </is>
      </c>
      <c r="R14" s="26" t="inlineStr">
        <is>
          <t>C</t>
        </is>
      </c>
      <c r="S14" s="28" t="inlineStr">
        <is>
          <t>D</t>
        </is>
      </c>
      <c r="T14" s="28" t="inlineStr">
        <is>
          <t>D</t>
        </is>
      </c>
      <c r="U14" s="28" t="inlineStr">
        <is>
          <t>D</t>
        </is>
      </c>
      <c r="V14" s="28" t="inlineStr">
        <is>
          <t>D</t>
        </is>
      </c>
      <c r="W14" s="26" t="inlineStr">
        <is>
          <t>C</t>
        </is>
      </c>
      <c r="X14" s="28" t="inlineStr">
        <is>
          <t>D</t>
        </is>
      </c>
      <c r="Y14" s="28" t="inlineStr">
        <is>
          <t>D</t>
        </is>
      </c>
    </row>
    <row r="15">
      <c r="A15" s="23" t="n">
        <v>11</v>
      </c>
      <c r="B15" s="23" t="inlineStr">
        <is>
          <t>半人馬座α星人</t>
        </is>
      </c>
      <c r="C15" s="23" t="inlineStr">
        <is>
          <t>Alpha Centaurian</t>
        </is>
      </c>
      <c r="D15" s="28" t="inlineStr">
        <is>
          <t>D</t>
        </is>
      </c>
      <c r="E15" s="28" t="inlineStr">
        <is>
          <t>D</t>
        </is>
      </c>
      <c r="F15" s="28" t="inlineStr">
        <is>
          <t>D</t>
        </is>
      </c>
      <c r="G15" s="28" t="inlineStr">
        <is>
          <t>D</t>
        </is>
      </c>
      <c r="H15" s="26" t="inlineStr">
        <is>
          <t>C</t>
        </is>
      </c>
      <c r="I15" s="28" t="inlineStr">
        <is>
          <t>D</t>
        </is>
      </c>
      <c r="J15" s="28" t="inlineStr">
        <is>
          <t>D</t>
        </is>
      </c>
      <c r="K15" s="28" t="inlineStr">
        <is>
          <t>D</t>
        </is>
      </c>
      <c r="L15" s="28" t="inlineStr">
        <is>
          <t>D</t>
        </is>
      </c>
      <c r="M15" s="28" t="inlineStr">
        <is>
          <t>D</t>
        </is>
      </c>
      <c r="N15" s="28" t="inlineStr">
        <is>
          <t>D</t>
        </is>
      </c>
      <c r="O15" s="28" t="inlineStr">
        <is>
          <t>D</t>
        </is>
      </c>
      <c r="P15" s="28" t="inlineStr">
        <is>
          <t>D</t>
        </is>
      </c>
      <c r="Q15" s="28" t="inlineStr">
        <is>
          <t>D</t>
        </is>
      </c>
      <c r="R15" s="28" t="inlineStr">
        <is>
          <t>D</t>
        </is>
      </c>
      <c r="S15" s="28" t="inlineStr">
        <is>
          <t>D</t>
        </is>
      </c>
      <c r="T15" s="28" t="inlineStr">
        <is>
          <t>D</t>
        </is>
      </c>
      <c r="U15" s="26" t="inlineStr">
        <is>
          <t>C</t>
        </is>
      </c>
      <c r="V15" s="28" t="inlineStr">
        <is>
          <t>D</t>
        </is>
      </c>
      <c r="W15" s="28" t="inlineStr">
        <is>
          <t>D</t>
        </is>
      </c>
      <c r="X15" s="28" t="inlineStr">
        <is>
          <t>D</t>
        </is>
      </c>
      <c r="Y15" s="28" t="inlineStr">
        <is>
          <t>D</t>
        </is>
      </c>
    </row>
    <row r="16">
      <c r="A16" s="27" t="n">
        <v>12</v>
      </c>
      <c r="B16" s="27" t="inlineStr">
        <is>
          <t>織女星人</t>
        </is>
      </c>
      <c r="C16" s="27" t="inlineStr">
        <is>
          <t>Vegan</t>
        </is>
      </c>
      <c r="D16" s="28" t="inlineStr">
        <is>
          <t>D</t>
        </is>
      </c>
      <c r="E16" s="28" t="inlineStr">
        <is>
          <t>D</t>
        </is>
      </c>
      <c r="F16" s="28" t="inlineStr">
        <is>
          <t>D</t>
        </is>
      </c>
      <c r="G16" s="28" t="inlineStr">
        <is>
          <t>D</t>
        </is>
      </c>
      <c r="H16" s="28" t="inlineStr">
        <is>
          <t>D</t>
        </is>
      </c>
      <c r="I16" s="28" t="inlineStr">
        <is>
          <t>D</t>
        </is>
      </c>
      <c r="J16" s="28" t="inlineStr">
        <is>
          <t>D</t>
        </is>
      </c>
      <c r="K16" s="28" t="inlineStr">
        <is>
          <t>D</t>
        </is>
      </c>
      <c r="L16" s="26" t="inlineStr">
        <is>
          <t>C</t>
        </is>
      </c>
      <c r="M16" s="28" t="inlineStr">
        <is>
          <t>D</t>
        </is>
      </c>
      <c r="N16" s="28" t="inlineStr">
        <is>
          <t>D</t>
        </is>
      </c>
      <c r="O16" s="28" t="inlineStr">
        <is>
          <t>D</t>
        </is>
      </c>
      <c r="P16" s="28" t="inlineStr">
        <is>
          <t>D</t>
        </is>
      </c>
      <c r="Q16" s="28" t="inlineStr">
        <is>
          <t>D</t>
        </is>
      </c>
      <c r="R16" s="28" t="inlineStr">
        <is>
          <t>D</t>
        </is>
      </c>
      <c r="S16" s="28" t="inlineStr">
        <is>
          <t>D</t>
        </is>
      </c>
      <c r="T16" s="28" t="inlineStr">
        <is>
          <t>D</t>
        </is>
      </c>
      <c r="U16" s="28" t="inlineStr">
        <is>
          <t>D</t>
        </is>
      </c>
      <c r="V16" s="28" t="inlineStr">
        <is>
          <t>D</t>
        </is>
      </c>
      <c r="W16" s="26" t="inlineStr">
        <is>
          <t>C</t>
        </is>
      </c>
      <c r="X16" s="28" t="inlineStr">
        <is>
          <t>D</t>
        </is>
      </c>
      <c r="Y16" s="28" t="inlineStr">
        <is>
          <t>D</t>
        </is>
      </c>
    </row>
    <row r="17">
      <c r="A17" s="23" t="n">
        <v>13</v>
      </c>
      <c r="B17" s="23" t="inlineStr">
        <is>
          <t>貓科星族</t>
        </is>
      </c>
      <c r="C17" s="23" t="inlineStr">
        <is>
          <t>Feline / Urmah</t>
        </is>
      </c>
      <c r="D17" s="28" t="inlineStr">
        <is>
          <t>D</t>
        </is>
      </c>
      <c r="E17" s="28" t="inlineStr">
        <is>
          <t>D</t>
        </is>
      </c>
      <c r="F17" s="28" t="inlineStr">
        <is>
          <t>D</t>
        </is>
      </c>
      <c r="G17" s="28" t="inlineStr">
        <is>
          <t>D</t>
        </is>
      </c>
      <c r="H17" s="28" t="inlineStr">
        <is>
          <t>D</t>
        </is>
      </c>
      <c r="I17" s="28" t="inlineStr">
        <is>
          <t>D</t>
        </is>
      </c>
      <c r="J17" s="28" t="inlineStr">
        <is>
          <t>D</t>
        </is>
      </c>
      <c r="K17" s="28" t="inlineStr">
        <is>
          <t>D</t>
        </is>
      </c>
      <c r="L17" s="26" t="inlineStr">
        <is>
          <t>C</t>
        </is>
      </c>
      <c r="M17" s="28" t="inlineStr">
        <is>
          <t>D</t>
        </is>
      </c>
      <c r="N17" s="28" t="inlineStr">
        <is>
          <t>D</t>
        </is>
      </c>
      <c r="O17" s="28" t="inlineStr">
        <is>
          <t>D</t>
        </is>
      </c>
      <c r="P17" s="26" t="inlineStr">
        <is>
          <t>C</t>
        </is>
      </c>
      <c r="Q17" s="28" t="inlineStr">
        <is>
          <t>D</t>
        </is>
      </c>
      <c r="R17" s="28" t="inlineStr">
        <is>
          <t>D</t>
        </is>
      </c>
      <c r="S17" s="28" t="inlineStr">
        <is>
          <t>D</t>
        </is>
      </c>
      <c r="T17" s="26" t="inlineStr">
        <is>
          <t>C</t>
        </is>
      </c>
      <c r="U17" s="28" t="inlineStr">
        <is>
          <t>D</t>
        </is>
      </c>
      <c r="V17" s="28" t="inlineStr">
        <is>
          <t>D</t>
        </is>
      </c>
      <c r="W17" s="28" t="inlineStr">
        <is>
          <t>D</t>
        </is>
      </c>
      <c r="X17" s="28" t="inlineStr">
        <is>
          <t>D</t>
        </is>
      </c>
      <c r="Y17" s="28" t="inlineStr">
        <is>
          <t>D</t>
        </is>
      </c>
    </row>
    <row r="18">
      <c r="A18" s="27" t="n">
        <v>14</v>
      </c>
      <c r="B18" s="27" t="inlineStr">
        <is>
          <t>藍鳥人</t>
        </is>
      </c>
      <c r="C18" s="27" t="inlineStr">
        <is>
          <t>Avian / Blue Avian</t>
        </is>
      </c>
      <c r="D18" s="28" t="inlineStr">
        <is>
          <t>D</t>
        </is>
      </c>
      <c r="E18" s="28" t="inlineStr">
        <is>
          <t>D</t>
        </is>
      </c>
      <c r="F18" s="28" t="inlineStr">
        <is>
          <t>D</t>
        </is>
      </c>
      <c r="G18" s="28" t="inlineStr">
        <is>
          <t>D</t>
        </is>
      </c>
      <c r="H18" s="28" t="inlineStr">
        <is>
          <t>D</t>
        </is>
      </c>
      <c r="I18" s="28" t="inlineStr">
        <is>
          <t>D</t>
        </is>
      </c>
      <c r="J18" s="26" t="inlineStr">
        <is>
          <t>C</t>
        </is>
      </c>
      <c r="K18" s="28" t="inlineStr">
        <is>
          <t>D</t>
        </is>
      </c>
      <c r="L18" s="28" t="inlineStr">
        <is>
          <t>D</t>
        </is>
      </c>
      <c r="M18" s="28" t="inlineStr">
        <is>
          <t>D</t>
        </is>
      </c>
      <c r="N18" s="28" t="inlineStr">
        <is>
          <t>D</t>
        </is>
      </c>
      <c r="O18" s="28" t="inlineStr">
        <is>
          <t>D</t>
        </is>
      </c>
      <c r="P18" s="28" t="inlineStr">
        <is>
          <t>D</t>
        </is>
      </c>
      <c r="Q18" s="28" t="inlineStr">
        <is>
          <t>D</t>
        </is>
      </c>
      <c r="R18" s="28" t="inlineStr">
        <is>
          <t>D</t>
        </is>
      </c>
      <c r="S18" s="28" t="inlineStr">
        <is>
          <t>D</t>
        </is>
      </c>
      <c r="T18" s="28" t="inlineStr">
        <is>
          <t>D</t>
        </is>
      </c>
      <c r="U18" s="28" t="inlineStr">
        <is>
          <t>D</t>
        </is>
      </c>
      <c r="V18" s="26" t="inlineStr">
        <is>
          <t>C</t>
        </is>
      </c>
      <c r="W18" s="26" t="inlineStr">
        <is>
          <t>C</t>
        </is>
      </c>
      <c r="X18" s="26" t="inlineStr">
        <is>
          <t>C</t>
        </is>
      </c>
      <c r="Y18" s="28" t="inlineStr">
        <is>
          <t>D</t>
        </is>
      </c>
    </row>
    <row r="19">
      <c r="A19" s="23" t="n">
        <v>15</v>
      </c>
      <c r="B19" s="23" t="inlineStr">
        <is>
          <t>火星人</t>
        </is>
      </c>
      <c r="C19" s="23" t="inlineStr">
        <is>
          <t>Martian</t>
        </is>
      </c>
      <c r="D19" s="28" t="inlineStr">
        <is>
          <t>D</t>
        </is>
      </c>
      <c r="E19" s="28" t="inlineStr">
        <is>
          <t>D</t>
        </is>
      </c>
      <c r="F19" s="28" t="inlineStr">
        <is>
          <t>D</t>
        </is>
      </c>
      <c r="G19" s="28" t="inlineStr">
        <is>
          <t>D</t>
        </is>
      </c>
      <c r="H19" s="28" t="inlineStr">
        <is>
          <t>D</t>
        </is>
      </c>
      <c r="I19" s="28" t="inlineStr">
        <is>
          <t>D</t>
        </is>
      </c>
      <c r="J19" s="28" t="inlineStr">
        <is>
          <t>D</t>
        </is>
      </c>
      <c r="K19" s="28" t="inlineStr">
        <is>
          <t>D</t>
        </is>
      </c>
      <c r="L19" s="28" t="inlineStr">
        <is>
          <t>D</t>
        </is>
      </c>
      <c r="M19" s="28" t="inlineStr">
        <is>
          <t>D</t>
        </is>
      </c>
      <c r="N19" s="26" t="inlineStr">
        <is>
          <t>C</t>
        </is>
      </c>
      <c r="O19" s="26" t="inlineStr">
        <is>
          <t>C</t>
        </is>
      </c>
      <c r="P19" s="28" t="inlineStr">
        <is>
          <t>D</t>
        </is>
      </c>
      <c r="Q19" s="28" t="inlineStr">
        <is>
          <t>D</t>
        </is>
      </c>
      <c r="R19" s="28" t="inlineStr">
        <is>
          <t>D</t>
        </is>
      </c>
      <c r="S19" s="28" t="inlineStr">
        <is>
          <t>D</t>
        </is>
      </c>
      <c r="T19" s="26" t="inlineStr">
        <is>
          <t>C</t>
        </is>
      </c>
      <c r="U19" s="28" t="inlineStr">
        <is>
          <t>D</t>
        </is>
      </c>
      <c r="V19" s="28" t="inlineStr">
        <is>
          <t>D</t>
        </is>
      </c>
      <c r="W19" s="28" t="inlineStr">
        <is>
          <t>D</t>
        </is>
      </c>
      <c r="X19" s="28" t="inlineStr">
        <is>
          <t>D</t>
        </is>
      </c>
      <c r="Y19" s="28" t="inlineStr">
        <is>
          <t>D</t>
        </is>
      </c>
    </row>
    <row r="20">
      <c r="A20" s="27" t="n">
        <v>16</v>
      </c>
      <c r="B20" s="27" t="inlineStr">
        <is>
          <t>馬爾德克人</t>
        </is>
      </c>
      <c r="C20" s="27" t="inlineStr">
        <is>
          <t>Maldekian</t>
        </is>
      </c>
      <c r="D20" s="26" t="inlineStr">
        <is>
          <t>C</t>
        </is>
      </c>
      <c r="E20" s="26" t="inlineStr">
        <is>
          <t>C</t>
        </is>
      </c>
      <c r="F20" s="26" t="inlineStr">
        <is>
          <t>C</t>
        </is>
      </c>
      <c r="G20" s="25" t="inlineStr">
        <is>
          <t>B</t>
        </is>
      </c>
      <c r="H20" s="26" t="inlineStr">
        <is>
          <t>C</t>
        </is>
      </c>
      <c r="I20" s="25" t="inlineStr">
        <is>
          <t>B</t>
        </is>
      </c>
      <c r="J20" s="26" t="inlineStr">
        <is>
          <t>C</t>
        </is>
      </c>
      <c r="K20" s="26" t="inlineStr">
        <is>
          <t>C</t>
        </is>
      </c>
      <c r="L20" s="26" t="inlineStr">
        <is>
          <t>C</t>
        </is>
      </c>
      <c r="M20" s="26" t="inlineStr">
        <is>
          <t>C</t>
        </is>
      </c>
      <c r="N20" s="26" t="inlineStr">
        <is>
          <t>C</t>
        </is>
      </c>
      <c r="O20" s="26" t="inlineStr">
        <is>
          <t>C</t>
        </is>
      </c>
      <c r="P20" s="25" t="inlineStr">
        <is>
          <t>B</t>
        </is>
      </c>
      <c r="Q20" s="26" t="inlineStr">
        <is>
          <t>C</t>
        </is>
      </c>
      <c r="R20" s="25" t="inlineStr">
        <is>
          <t>B</t>
        </is>
      </c>
      <c r="S20" s="26" t="inlineStr">
        <is>
          <t>C</t>
        </is>
      </c>
      <c r="T20" s="26" t="inlineStr">
        <is>
          <t>C</t>
        </is>
      </c>
      <c r="U20" s="25" t="inlineStr">
        <is>
          <t>B</t>
        </is>
      </c>
      <c r="V20" s="26" t="inlineStr">
        <is>
          <t>C</t>
        </is>
      </c>
      <c r="W20" s="26" t="inlineStr">
        <is>
          <t>C</t>
        </is>
      </c>
      <c r="X20" s="26" t="inlineStr">
        <is>
          <t>C</t>
        </is>
      </c>
      <c r="Y20" s="26" t="inlineStr">
        <is>
          <t>C</t>
        </is>
      </c>
    </row>
    <row r="21">
      <c r="A21" s="23" t="n">
        <v>17</v>
      </c>
      <c r="B21" s="23" t="inlineStr">
        <is>
          <t>天龍座人</t>
        </is>
      </c>
      <c r="C21" s="23" t="inlineStr">
        <is>
          <t>Draconian</t>
        </is>
      </c>
      <c r="D21" s="28" t="inlineStr">
        <is>
          <t>D</t>
        </is>
      </c>
      <c r="E21" s="28" t="inlineStr">
        <is>
          <t>D</t>
        </is>
      </c>
      <c r="F21" s="28" t="inlineStr">
        <is>
          <t>D</t>
        </is>
      </c>
      <c r="G21" s="28" t="inlineStr">
        <is>
          <t>D</t>
        </is>
      </c>
      <c r="H21" s="28" t="inlineStr">
        <is>
          <t>D</t>
        </is>
      </c>
      <c r="I21" s="28" t="inlineStr">
        <is>
          <t>D</t>
        </is>
      </c>
      <c r="J21" s="28" t="inlineStr">
        <is>
          <t>D</t>
        </is>
      </c>
      <c r="K21" s="28" t="inlineStr">
        <is>
          <t>D</t>
        </is>
      </c>
      <c r="L21" s="28" t="inlineStr">
        <is>
          <t>D</t>
        </is>
      </c>
      <c r="M21" s="26" t="inlineStr">
        <is>
          <t>C</t>
        </is>
      </c>
      <c r="N21" s="28" t="inlineStr">
        <is>
          <t>D</t>
        </is>
      </c>
      <c r="O21" s="28" t="inlineStr">
        <is>
          <t>D</t>
        </is>
      </c>
      <c r="P21" s="28" t="inlineStr">
        <is>
          <t>D</t>
        </is>
      </c>
      <c r="Q21" s="28" t="inlineStr">
        <is>
          <t>D</t>
        </is>
      </c>
      <c r="R21" s="28" t="inlineStr">
        <is>
          <t>D</t>
        </is>
      </c>
      <c r="S21" s="28" t="inlineStr">
        <is>
          <t>D</t>
        </is>
      </c>
      <c r="T21" s="26" t="inlineStr">
        <is>
          <t>C</t>
        </is>
      </c>
      <c r="U21" s="28" t="inlineStr">
        <is>
          <t>D</t>
        </is>
      </c>
      <c r="V21" s="28" t="inlineStr">
        <is>
          <t>D</t>
        </is>
      </c>
      <c r="W21" s="28" t="inlineStr">
        <is>
          <t>D</t>
        </is>
      </c>
      <c r="X21" s="28" t="inlineStr">
        <is>
          <t>D</t>
        </is>
      </c>
      <c r="Y21" s="28" t="inlineStr">
        <is>
          <t>D</t>
        </is>
      </c>
    </row>
    <row r="22">
      <c r="A22" s="27" t="n">
        <v>18</v>
      </c>
      <c r="B22" s="27" t="inlineStr">
        <is>
          <t>爬蟲族</t>
        </is>
      </c>
      <c r="C22" s="27" t="inlineStr">
        <is>
          <t>Reptilian</t>
        </is>
      </c>
      <c r="D22" s="28" t="inlineStr">
        <is>
          <t>D</t>
        </is>
      </c>
      <c r="E22" s="28" t="inlineStr">
        <is>
          <t>D</t>
        </is>
      </c>
      <c r="F22" s="28" t="inlineStr">
        <is>
          <t>D</t>
        </is>
      </c>
      <c r="G22" s="28" t="inlineStr">
        <is>
          <t>D</t>
        </is>
      </c>
      <c r="H22" s="28" t="inlineStr">
        <is>
          <t>D</t>
        </is>
      </c>
      <c r="I22" s="28" t="inlineStr">
        <is>
          <t>D</t>
        </is>
      </c>
      <c r="J22" s="28" t="inlineStr">
        <is>
          <t>D</t>
        </is>
      </c>
      <c r="K22" s="28" t="inlineStr">
        <is>
          <t>D</t>
        </is>
      </c>
      <c r="L22" s="28" t="inlineStr">
        <is>
          <t>D</t>
        </is>
      </c>
      <c r="M22" s="28" t="inlineStr">
        <is>
          <t>D</t>
        </is>
      </c>
      <c r="N22" s="28" t="inlineStr">
        <is>
          <t>D</t>
        </is>
      </c>
      <c r="O22" s="28" t="inlineStr">
        <is>
          <t>D</t>
        </is>
      </c>
      <c r="P22" s="28" t="inlineStr">
        <is>
          <t>D</t>
        </is>
      </c>
      <c r="Q22" s="28" t="inlineStr">
        <is>
          <t>D</t>
        </is>
      </c>
      <c r="R22" s="28" t="inlineStr">
        <is>
          <t>D</t>
        </is>
      </c>
      <c r="S22" s="28" t="inlineStr">
        <is>
          <t>D</t>
        </is>
      </c>
      <c r="T22" s="28" t="inlineStr">
        <is>
          <t>D</t>
        </is>
      </c>
      <c r="U22" s="28" t="inlineStr">
        <is>
          <t>D</t>
        </is>
      </c>
      <c r="V22" s="28" t="inlineStr">
        <is>
          <t>D</t>
        </is>
      </c>
      <c r="W22" s="28" t="inlineStr">
        <is>
          <t>D</t>
        </is>
      </c>
      <c r="X22" s="28" t="inlineStr">
        <is>
          <t>D</t>
        </is>
      </c>
      <c r="Y22" s="28" t="inlineStr">
        <is>
          <t>D</t>
        </is>
      </c>
    </row>
    <row r="23">
      <c r="A23" s="23" t="n">
        <v>19</v>
      </c>
      <c r="B23" s="23" t="inlineStr">
        <is>
          <t>灰人</t>
        </is>
      </c>
      <c r="C23" s="23" t="inlineStr">
        <is>
          <t>Zeta / Grey</t>
        </is>
      </c>
      <c r="D23" s="25" t="inlineStr">
        <is>
          <t>B</t>
        </is>
      </c>
      <c r="E23" s="25" t="inlineStr">
        <is>
          <t>B</t>
        </is>
      </c>
      <c r="F23" s="26" t="inlineStr">
        <is>
          <t>C</t>
        </is>
      </c>
      <c r="G23" s="25" t="inlineStr">
        <is>
          <t>B</t>
        </is>
      </c>
      <c r="H23" s="26" t="inlineStr">
        <is>
          <t>C</t>
        </is>
      </c>
      <c r="I23" s="26" t="inlineStr">
        <is>
          <t>C</t>
        </is>
      </c>
      <c r="J23" s="26" t="inlineStr">
        <is>
          <t>C</t>
        </is>
      </c>
      <c r="K23" s="26" t="inlineStr">
        <is>
          <t>C</t>
        </is>
      </c>
      <c r="L23" s="26" t="inlineStr">
        <is>
          <t>C</t>
        </is>
      </c>
      <c r="M23" s="26" t="inlineStr">
        <is>
          <t>C</t>
        </is>
      </c>
      <c r="N23" s="25" t="inlineStr">
        <is>
          <t>B</t>
        </is>
      </c>
      <c r="O23" s="26" t="inlineStr">
        <is>
          <t>C</t>
        </is>
      </c>
      <c r="P23" s="26" t="inlineStr">
        <is>
          <t>C</t>
        </is>
      </c>
      <c r="Q23" s="26" t="inlineStr">
        <is>
          <t>C</t>
        </is>
      </c>
      <c r="R23" s="25" t="inlineStr">
        <is>
          <t>B</t>
        </is>
      </c>
      <c r="S23" s="26" t="inlineStr">
        <is>
          <t>C</t>
        </is>
      </c>
      <c r="T23" s="26" t="inlineStr">
        <is>
          <t>C</t>
        </is>
      </c>
      <c r="U23" s="26" t="inlineStr">
        <is>
          <t>C</t>
        </is>
      </c>
      <c r="V23" s="26" t="inlineStr">
        <is>
          <t>C</t>
        </is>
      </c>
      <c r="W23" s="26" t="inlineStr">
        <is>
          <t>C</t>
        </is>
      </c>
      <c r="X23" s="26" t="inlineStr">
        <is>
          <t>C</t>
        </is>
      </c>
      <c r="Y23" s="26" t="inlineStr">
        <is>
          <t>C</t>
        </is>
      </c>
    </row>
    <row r="24">
      <c r="A24" s="27" t="n">
        <v>20</v>
      </c>
      <c r="B24" s="27" t="inlineStr">
        <is>
          <t>阿努納奇</t>
        </is>
      </c>
      <c r="C24" s="27" t="inlineStr">
        <is>
          <t>Anunnaki / Nibiruan</t>
        </is>
      </c>
      <c r="D24" s="28" t="inlineStr">
        <is>
          <t>D</t>
        </is>
      </c>
      <c r="E24" s="28" t="inlineStr">
        <is>
          <t>D</t>
        </is>
      </c>
      <c r="F24" s="28" t="inlineStr">
        <is>
          <t>D</t>
        </is>
      </c>
      <c r="G24" s="28" t="inlineStr">
        <is>
          <t>D</t>
        </is>
      </c>
      <c r="H24" s="28" t="inlineStr">
        <is>
          <t>D</t>
        </is>
      </c>
      <c r="I24" s="28" t="inlineStr">
        <is>
          <t>D</t>
        </is>
      </c>
      <c r="J24" s="28" t="inlineStr">
        <is>
          <t>D</t>
        </is>
      </c>
      <c r="K24" s="28" t="inlineStr">
        <is>
          <t>D</t>
        </is>
      </c>
      <c r="L24" s="28" t="inlineStr">
        <is>
          <t>D</t>
        </is>
      </c>
      <c r="M24" s="28" t="inlineStr">
        <is>
          <t>D</t>
        </is>
      </c>
      <c r="N24" s="28" t="inlineStr">
        <is>
          <t>D</t>
        </is>
      </c>
      <c r="O24" s="28" t="inlineStr">
        <is>
          <t>D</t>
        </is>
      </c>
      <c r="P24" s="28" t="inlineStr">
        <is>
          <t>D</t>
        </is>
      </c>
      <c r="Q24" s="28" t="inlineStr">
        <is>
          <t>D</t>
        </is>
      </c>
      <c r="R24" s="28" t="inlineStr">
        <is>
          <t>D</t>
        </is>
      </c>
      <c r="S24" s="28" t="inlineStr">
        <is>
          <t>D</t>
        </is>
      </c>
      <c r="T24" s="28" t="inlineStr">
        <is>
          <t>D</t>
        </is>
      </c>
      <c r="U24" s="28" t="inlineStr">
        <is>
          <t>D</t>
        </is>
      </c>
      <c r="V24" s="28" t="inlineStr">
        <is>
          <t>D</t>
        </is>
      </c>
      <c r="W24" s="28" t="inlineStr">
        <is>
          <t>D</t>
        </is>
      </c>
      <c r="X24" s="28" t="inlineStr">
        <is>
          <t>D</t>
        </is>
      </c>
      <c r="Y24" s="28" t="inlineStr">
        <is>
          <t>D</t>
        </is>
      </c>
    </row>
    <row r="25">
      <c r="A25" s="23" t="n">
        <v>21</v>
      </c>
      <c r="B25" s="23" t="inlineStr">
        <is>
          <t>鯨魚座τ星人</t>
        </is>
      </c>
      <c r="C25" s="23" t="inlineStr">
        <is>
          <t>Tau Cetian</t>
        </is>
      </c>
      <c r="D25" s="28" t="inlineStr">
        <is>
          <t>D</t>
        </is>
      </c>
      <c r="E25" s="28" t="inlineStr">
        <is>
          <t>D</t>
        </is>
      </c>
      <c r="F25" s="28" t="inlineStr">
        <is>
          <t>D</t>
        </is>
      </c>
      <c r="G25" s="28" t="inlineStr">
        <is>
          <t>D</t>
        </is>
      </c>
      <c r="H25" s="28" t="inlineStr">
        <is>
          <t>D</t>
        </is>
      </c>
      <c r="I25" s="28" t="inlineStr">
        <is>
          <t>D</t>
        </is>
      </c>
      <c r="J25" s="28" t="inlineStr">
        <is>
          <t>D</t>
        </is>
      </c>
      <c r="K25" s="28" t="inlineStr">
        <is>
          <t>D</t>
        </is>
      </c>
      <c r="L25" s="28" t="inlineStr">
        <is>
          <t>D</t>
        </is>
      </c>
      <c r="M25" s="28" t="inlineStr">
        <is>
          <t>D</t>
        </is>
      </c>
      <c r="N25" s="28" t="inlineStr">
        <is>
          <t>D</t>
        </is>
      </c>
      <c r="O25" s="28" t="inlineStr">
        <is>
          <t>D</t>
        </is>
      </c>
      <c r="P25" s="28" t="inlineStr">
        <is>
          <t>D</t>
        </is>
      </c>
      <c r="Q25" s="26" t="inlineStr">
        <is>
          <t>C</t>
        </is>
      </c>
      <c r="R25" s="28" t="inlineStr">
        <is>
          <t>D</t>
        </is>
      </c>
      <c r="S25" s="28" t="inlineStr">
        <is>
          <t>D</t>
        </is>
      </c>
      <c r="T25" s="28" t="inlineStr">
        <is>
          <t>D</t>
        </is>
      </c>
      <c r="U25" s="28" t="inlineStr">
        <is>
          <t>D</t>
        </is>
      </c>
      <c r="V25" s="28" t="inlineStr">
        <is>
          <t>D</t>
        </is>
      </c>
      <c r="W25" s="28" t="inlineStr">
        <is>
          <t>D</t>
        </is>
      </c>
      <c r="X25" s="26" t="inlineStr">
        <is>
          <t>C</t>
        </is>
      </c>
      <c r="Y25" s="28" t="inlineStr">
        <is>
          <t>D</t>
        </is>
      </c>
    </row>
    <row r="26">
      <c r="A26" s="27" t="n">
        <v>22</v>
      </c>
      <c r="B26" s="27" t="inlineStr">
        <is>
          <t>安塔瑞斯星人</t>
        </is>
      </c>
      <c r="C26" s="27" t="inlineStr">
        <is>
          <t>Antarian</t>
        </is>
      </c>
      <c r="D26" s="28" t="inlineStr">
        <is>
          <t>D</t>
        </is>
      </c>
      <c r="E26" s="28" t="inlineStr">
        <is>
          <t>D</t>
        </is>
      </c>
      <c r="F26" s="28" t="inlineStr">
        <is>
          <t>D</t>
        </is>
      </c>
      <c r="G26" s="28" t="inlineStr">
        <is>
          <t>D</t>
        </is>
      </c>
      <c r="H26" s="28" t="inlineStr">
        <is>
          <t>D</t>
        </is>
      </c>
      <c r="I26" s="28" t="inlineStr">
        <is>
          <t>D</t>
        </is>
      </c>
      <c r="J26" s="28" t="inlineStr">
        <is>
          <t>D</t>
        </is>
      </c>
      <c r="K26" s="28" t="inlineStr">
        <is>
          <t>D</t>
        </is>
      </c>
      <c r="L26" s="28" t="inlineStr">
        <is>
          <t>D</t>
        </is>
      </c>
      <c r="M26" s="28" t="inlineStr">
        <is>
          <t>D</t>
        </is>
      </c>
      <c r="N26" s="28" t="inlineStr">
        <is>
          <t>D</t>
        </is>
      </c>
      <c r="O26" s="28" t="inlineStr">
        <is>
          <t>D</t>
        </is>
      </c>
      <c r="P26" s="26" t="inlineStr">
        <is>
          <t>C</t>
        </is>
      </c>
      <c r="Q26" s="28" t="inlineStr">
        <is>
          <t>D</t>
        </is>
      </c>
      <c r="R26" s="26" t="inlineStr">
        <is>
          <t>C</t>
        </is>
      </c>
      <c r="S26" s="28" t="inlineStr">
        <is>
          <t>D</t>
        </is>
      </c>
      <c r="T26" s="26" t="inlineStr">
        <is>
          <t>C</t>
        </is>
      </c>
      <c r="U26" s="28" t="inlineStr">
        <is>
          <t>D</t>
        </is>
      </c>
      <c r="V26" s="28" t="inlineStr">
        <is>
          <t>D</t>
        </is>
      </c>
      <c r="W26" s="28" t="inlineStr">
        <is>
          <t>D</t>
        </is>
      </c>
      <c r="X26" s="28" t="inlineStr">
        <is>
          <t>D</t>
        </is>
      </c>
      <c r="Y26" s="28" t="inlineStr">
        <is>
          <t>D</t>
        </is>
      </c>
    </row>
    <row r="27">
      <c r="A27" s="23" t="n">
        <v>23</v>
      </c>
      <c r="B27" s="23" t="inlineStr">
        <is>
          <t>地球源靈魂</t>
        </is>
      </c>
      <c r="C27" s="23" t="inlineStr">
        <is>
          <t>Earth-Origin Soul</t>
        </is>
      </c>
      <c r="D27" s="26" t="inlineStr">
        <is>
          <t>C</t>
        </is>
      </c>
      <c r="E27" s="26" t="inlineStr">
        <is>
          <t>C</t>
        </is>
      </c>
      <c r="F27" s="26" t="inlineStr">
        <is>
          <t>C</t>
        </is>
      </c>
      <c r="G27" s="26" t="inlineStr">
        <is>
          <t>C</t>
        </is>
      </c>
      <c r="H27" s="26" t="inlineStr">
        <is>
          <t>C</t>
        </is>
      </c>
      <c r="I27" s="26" t="inlineStr">
        <is>
          <t>C</t>
        </is>
      </c>
      <c r="J27" s="26" t="inlineStr">
        <is>
          <t>C</t>
        </is>
      </c>
      <c r="K27" s="26" t="inlineStr">
        <is>
          <t>C</t>
        </is>
      </c>
      <c r="L27" s="26" t="inlineStr">
        <is>
          <t>C</t>
        </is>
      </c>
      <c r="M27" s="26" t="inlineStr">
        <is>
          <t>C</t>
        </is>
      </c>
      <c r="N27" s="26" t="inlineStr">
        <is>
          <t>C</t>
        </is>
      </c>
      <c r="O27" s="26" t="inlineStr">
        <is>
          <t>C</t>
        </is>
      </c>
      <c r="P27" s="26" t="inlineStr">
        <is>
          <t>C</t>
        </is>
      </c>
      <c r="Q27" s="26" t="inlineStr">
        <is>
          <t>C</t>
        </is>
      </c>
      <c r="R27" s="26" t="inlineStr">
        <is>
          <t>C</t>
        </is>
      </c>
      <c r="S27" s="26" t="inlineStr">
        <is>
          <t>C</t>
        </is>
      </c>
      <c r="T27" s="26" t="inlineStr">
        <is>
          <t>C</t>
        </is>
      </c>
      <c r="U27" s="25" t="inlineStr">
        <is>
          <t>B</t>
        </is>
      </c>
      <c r="V27" s="26" t="inlineStr">
        <is>
          <t>C</t>
        </is>
      </c>
      <c r="W27" s="25" t="inlineStr">
        <is>
          <t>B</t>
        </is>
      </c>
      <c r="X27" s="26" t="inlineStr">
        <is>
          <t>C</t>
        </is>
      </c>
      <c r="Y27" s="25" t="inlineStr">
        <is>
          <t>B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0" customHeight="1">
      <c r="A1" s="1" t="inlineStr">
        <is>
          <t>23×19 Motif Confidence</t>
        </is>
      </c>
    </row>
    <row r="2" ht="36" customHeight="1">
      <c r="A2" s="21" t="inlineStr">
        <is>
          <t>Nonzero motif confidence is manually assigned from provenance/convergence. Zero motif cells are D because absence of a motif is generally “not defining,” not a strong claim that the motif never appears.</t>
        </is>
      </c>
    </row>
    <row r="3"/>
    <row r="4" ht="34" customHeight="1">
      <c r="A4" s="22" t="inlineStr">
        <is>
          <t>#</t>
        </is>
      </c>
      <c r="B4" s="22" t="inlineStr">
        <is>
          <t>中文</t>
        </is>
      </c>
      <c r="C4" s="22" t="inlineStr">
        <is>
          <t>English</t>
        </is>
      </c>
      <c r="D4" s="22" t="inlineStr">
        <is>
          <t>M01</t>
        </is>
      </c>
      <c r="E4" s="22" t="inlineStr">
        <is>
          <t>M02</t>
        </is>
      </c>
      <c r="F4" s="22" t="inlineStr">
        <is>
          <t>M03</t>
        </is>
      </c>
      <c r="G4" s="22" t="inlineStr">
        <is>
          <t>M04</t>
        </is>
      </c>
      <c r="H4" s="22" t="inlineStr">
        <is>
          <t>M05</t>
        </is>
      </c>
      <c r="I4" s="22" t="inlineStr">
        <is>
          <t>M06</t>
        </is>
      </c>
      <c r="J4" s="22" t="inlineStr">
        <is>
          <t>M07</t>
        </is>
      </c>
      <c r="K4" s="22" t="inlineStr">
        <is>
          <t>M08</t>
        </is>
      </c>
      <c r="L4" s="22" t="inlineStr">
        <is>
          <t>M09</t>
        </is>
      </c>
      <c r="M4" s="22" t="inlineStr">
        <is>
          <t>M10</t>
        </is>
      </c>
      <c r="N4" s="22" t="inlineStr">
        <is>
          <t>M11</t>
        </is>
      </c>
      <c r="O4" s="22" t="inlineStr">
        <is>
          <t>M12</t>
        </is>
      </c>
      <c r="P4" s="22" t="inlineStr">
        <is>
          <t>M13</t>
        </is>
      </c>
      <c r="Q4" s="22" t="inlineStr">
        <is>
          <t>M14</t>
        </is>
      </c>
      <c r="R4" s="22" t="inlineStr">
        <is>
          <t>M15</t>
        </is>
      </c>
      <c r="S4" s="22" t="inlineStr">
        <is>
          <t>M16</t>
        </is>
      </c>
      <c r="T4" s="22" t="inlineStr">
        <is>
          <t>M17</t>
        </is>
      </c>
      <c r="U4" s="22" t="inlineStr">
        <is>
          <t>M18</t>
        </is>
      </c>
      <c r="V4" s="22" t="inlineStr">
        <is>
          <t>M19</t>
        </is>
      </c>
    </row>
    <row r="5">
      <c r="A5" s="23" t="n">
        <v>1</v>
      </c>
      <c r="B5" s="23" t="inlineStr">
        <is>
          <t>昴宿星人</t>
        </is>
      </c>
      <c r="C5" s="23" t="inlineStr">
        <is>
          <t>Pleiadian</t>
        </is>
      </c>
      <c r="D5" s="28" t="inlineStr">
        <is>
          <t>D</t>
        </is>
      </c>
      <c r="E5" s="28" t="inlineStr">
        <is>
          <t>D</t>
        </is>
      </c>
      <c r="F5" s="28" t="inlineStr">
        <is>
          <t>D</t>
        </is>
      </c>
      <c r="G5" s="28" t="inlineStr">
        <is>
          <t>D</t>
        </is>
      </c>
      <c r="H5" s="28" t="inlineStr">
        <is>
          <t>D</t>
        </is>
      </c>
      <c r="I5" s="28" t="inlineStr">
        <is>
          <t>D</t>
        </is>
      </c>
      <c r="J5" s="28" t="inlineStr">
        <is>
          <t>D</t>
        </is>
      </c>
      <c r="K5" s="28" t="inlineStr">
        <is>
          <t>D</t>
        </is>
      </c>
      <c r="L5" s="28" t="inlineStr">
        <is>
          <t>D</t>
        </is>
      </c>
      <c r="M5" s="28" t="inlineStr">
        <is>
          <t>D</t>
        </is>
      </c>
      <c r="N5" s="28" t="inlineStr">
        <is>
          <t>D</t>
        </is>
      </c>
      <c r="O5" s="28" t="inlineStr">
        <is>
          <t>D</t>
        </is>
      </c>
      <c r="P5" s="28" t="inlineStr">
        <is>
          <t>D</t>
        </is>
      </c>
      <c r="Q5" s="28" t="inlineStr">
        <is>
          <t>D</t>
        </is>
      </c>
      <c r="R5" s="28" t="inlineStr">
        <is>
          <t>D</t>
        </is>
      </c>
      <c r="S5" s="28" t="inlineStr">
        <is>
          <t>D</t>
        </is>
      </c>
      <c r="T5" s="28" t="inlineStr">
        <is>
          <t>D</t>
        </is>
      </c>
      <c r="U5" s="28" t="inlineStr">
        <is>
          <t>D</t>
        </is>
      </c>
      <c r="V5" s="28" t="inlineStr">
        <is>
          <t>D</t>
        </is>
      </c>
    </row>
    <row r="6">
      <c r="A6" s="27" t="n">
        <v>2</v>
      </c>
      <c r="B6" s="27" t="inlineStr">
        <is>
          <t>大角星人</t>
        </is>
      </c>
      <c r="C6" s="27" t="inlineStr">
        <is>
          <t>Arcturian</t>
        </is>
      </c>
      <c r="D6" s="28" t="inlineStr">
        <is>
          <t>D</t>
        </is>
      </c>
      <c r="E6" s="28" t="inlineStr">
        <is>
          <t>D</t>
        </is>
      </c>
      <c r="F6" s="28" t="inlineStr">
        <is>
          <t>D</t>
        </is>
      </c>
      <c r="G6" s="28" t="inlineStr">
        <is>
          <t>D</t>
        </is>
      </c>
      <c r="H6" s="28" t="inlineStr">
        <is>
          <t>D</t>
        </is>
      </c>
      <c r="I6" s="26" t="inlineStr">
        <is>
          <t>C</t>
        </is>
      </c>
      <c r="J6" s="28" t="inlineStr">
        <is>
          <t>D</t>
        </is>
      </c>
      <c r="K6" s="28" t="inlineStr">
        <is>
          <t>D</t>
        </is>
      </c>
      <c r="L6" s="28" t="inlineStr">
        <is>
          <t>D</t>
        </is>
      </c>
      <c r="M6" s="28" t="inlineStr">
        <is>
          <t>D</t>
        </is>
      </c>
      <c r="N6" s="28" t="inlineStr">
        <is>
          <t>D</t>
        </is>
      </c>
      <c r="O6" s="28" t="inlineStr">
        <is>
          <t>D</t>
        </is>
      </c>
      <c r="P6" s="28" t="inlineStr">
        <is>
          <t>D</t>
        </is>
      </c>
      <c r="Q6" s="28" t="inlineStr">
        <is>
          <t>D</t>
        </is>
      </c>
      <c r="R6" s="28" t="inlineStr">
        <is>
          <t>D</t>
        </is>
      </c>
      <c r="S6" s="28" t="inlineStr">
        <is>
          <t>D</t>
        </is>
      </c>
      <c r="T6" s="28" t="inlineStr">
        <is>
          <t>D</t>
        </is>
      </c>
      <c r="U6" s="28" t="inlineStr">
        <is>
          <t>D</t>
        </is>
      </c>
      <c r="V6" s="28" t="inlineStr">
        <is>
          <t>D</t>
        </is>
      </c>
    </row>
    <row r="7">
      <c r="A7" s="23" t="n">
        <v>3</v>
      </c>
      <c r="B7" s="23" t="inlineStr">
        <is>
          <t>天狼星人</t>
        </is>
      </c>
      <c r="C7" s="23" t="inlineStr">
        <is>
          <t>Sirian</t>
        </is>
      </c>
      <c r="D7" s="28" t="inlineStr">
        <is>
          <t>D</t>
        </is>
      </c>
      <c r="E7" s="28" t="inlineStr">
        <is>
          <t>D</t>
        </is>
      </c>
      <c r="F7" s="26" t="inlineStr">
        <is>
          <t>C</t>
        </is>
      </c>
      <c r="G7" s="28" t="inlineStr">
        <is>
          <t>D</t>
        </is>
      </c>
      <c r="H7" s="28" t="inlineStr">
        <is>
          <t>D</t>
        </is>
      </c>
      <c r="I7" s="28" t="inlineStr">
        <is>
          <t>D</t>
        </is>
      </c>
      <c r="J7" s="28" t="inlineStr">
        <is>
          <t>D</t>
        </is>
      </c>
      <c r="K7" s="28" t="inlineStr">
        <is>
          <t>D</t>
        </is>
      </c>
      <c r="L7" s="28" t="inlineStr">
        <is>
          <t>D</t>
        </is>
      </c>
      <c r="M7" s="28" t="inlineStr">
        <is>
          <t>D</t>
        </is>
      </c>
      <c r="N7" s="28" t="inlineStr">
        <is>
          <t>D</t>
        </is>
      </c>
      <c r="O7" s="28" t="inlineStr">
        <is>
          <t>D</t>
        </is>
      </c>
      <c r="P7" s="28" t="inlineStr">
        <is>
          <t>D</t>
        </is>
      </c>
      <c r="Q7" s="28" t="inlineStr">
        <is>
          <t>D</t>
        </is>
      </c>
      <c r="R7" s="28" t="inlineStr">
        <is>
          <t>D</t>
        </is>
      </c>
      <c r="S7" s="28" t="inlineStr">
        <is>
          <t>D</t>
        </is>
      </c>
      <c r="T7" s="28" t="inlineStr">
        <is>
          <t>D</t>
        </is>
      </c>
      <c r="U7" s="28" t="inlineStr">
        <is>
          <t>D</t>
        </is>
      </c>
      <c r="V7" s="25" t="inlineStr">
        <is>
          <t>B</t>
        </is>
      </c>
    </row>
    <row r="8">
      <c r="A8" s="27" t="n">
        <v>4</v>
      </c>
      <c r="B8" s="27" t="inlineStr">
        <is>
          <t>仙女座人</t>
        </is>
      </c>
      <c r="C8" s="27" t="inlineStr">
        <is>
          <t>Andromedan</t>
        </is>
      </c>
      <c r="D8" s="28" t="inlineStr">
        <is>
          <t>D</t>
        </is>
      </c>
      <c r="E8" s="28" t="inlineStr">
        <is>
          <t>D</t>
        </is>
      </c>
      <c r="F8" s="28" t="inlineStr">
        <is>
          <t>D</t>
        </is>
      </c>
      <c r="G8" s="28" t="inlineStr">
        <is>
          <t>D</t>
        </is>
      </c>
      <c r="H8" s="28" t="inlineStr">
        <is>
          <t>D</t>
        </is>
      </c>
      <c r="I8" s="28" t="inlineStr">
        <is>
          <t>D</t>
        </is>
      </c>
      <c r="J8" s="28" t="inlineStr">
        <is>
          <t>D</t>
        </is>
      </c>
      <c r="K8" s="28" t="inlineStr">
        <is>
          <t>D</t>
        </is>
      </c>
      <c r="L8" s="28" t="inlineStr">
        <is>
          <t>D</t>
        </is>
      </c>
      <c r="M8" s="28" t="inlineStr">
        <is>
          <t>D</t>
        </is>
      </c>
      <c r="N8" s="28" t="inlineStr">
        <is>
          <t>D</t>
        </is>
      </c>
      <c r="O8" s="28" t="inlineStr">
        <is>
          <t>D</t>
        </is>
      </c>
      <c r="P8" s="25" t="inlineStr">
        <is>
          <t>B</t>
        </is>
      </c>
      <c r="Q8" s="28" t="inlineStr">
        <is>
          <t>D</t>
        </is>
      </c>
      <c r="R8" s="28" t="inlineStr">
        <is>
          <t>D</t>
        </is>
      </c>
      <c r="S8" s="28" t="inlineStr">
        <is>
          <t>D</t>
        </is>
      </c>
      <c r="T8" s="28" t="inlineStr">
        <is>
          <t>D</t>
        </is>
      </c>
      <c r="U8" s="28" t="inlineStr">
        <is>
          <t>D</t>
        </is>
      </c>
      <c r="V8" s="28" t="inlineStr">
        <is>
          <t>D</t>
        </is>
      </c>
    </row>
    <row r="9">
      <c r="A9" s="23" t="n">
        <v>5</v>
      </c>
      <c r="B9" s="23" t="inlineStr">
        <is>
          <t>天琴座人</t>
        </is>
      </c>
      <c r="C9" s="23" t="inlineStr">
        <is>
          <t>Lyran</t>
        </is>
      </c>
      <c r="D9" s="28" t="inlineStr">
        <is>
          <t>D</t>
        </is>
      </c>
      <c r="E9" s="28" t="inlineStr">
        <is>
          <t>D</t>
        </is>
      </c>
      <c r="F9" s="28" t="inlineStr">
        <is>
          <t>D</t>
        </is>
      </c>
      <c r="G9" s="26" t="inlineStr">
        <is>
          <t>C</t>
        </is>
      </c>
      <c r="H9" s="28" t="inlineStr">
        <is>
          <t>D</t>
        </is>
      </c>
      <c r="I9" s="28" t="inlineStr">
        <is>
          <t>D</t>
        </is>
      </c>
      <c r="J9" s="28" t="inlineStr">
        <is>
          <t>D</t>
        </is>
      </c>
      <c r="K9" s="28" t="inlineStr">
        <is>
          <t>D</t>
        </is>
      </c>
      <c r="L9" s="28" t="inlineStr">
        <is>
          <t>D</t>
        </is>
      </c>
      <c r="M9" s="28" t="inlineStr">
        <is>
          <t>D</t>
        </is>
      </c>
      <c r="N9" s="28" t="inlineStr">
        <is>
          <t>D</t>
        </is>
      </c>
      <c r="O9" s="28" t="inlineStr">
        <is>
          <t>D</t>
        </is>
      </c>
      <c r="P9" s="28" t="inlineStr">
        <is>
          <t>D</t>
        </is>
      </c>
      <c r="Q9" s="28" t="inlineStr">
        <is>
          <t>D</t>
        </is>
      </c>
      <c r="R9" s="26" t="inlineStr">
        <is>
          <t>C</t>
        </is>
      </c>
      <c r="S9" s="28" t="inlineStr">
        <is>
          <t>D</t>
        </is>
      </c>
      <c r="T9" s="28" t="inlineStr">
        <is>
          <t>D</t>
        </is>
      </c>
      <c r="U9" s="28" t="inlineStr">
        <is>
          <t>D</t>
        </is>
      </c>
      <c r="V9" s="28" t="inlineStr">
        <is>
          <t>D</t>
        </is>
      </c>
    </row>
    <row r="10">
      <c r="A10" s="27" t="n">
        <v>6</v>
      </c>
      <c r="B10" s="27" t="inlineStr">
        <is>
          <t>獵戶座人</t>
        </is>
      </c>
      <c r="C10" s="27" t="inlineStr">
        <is>
          <t>Orion</t>
        </is>
      </c>
      <c r="D10" s="28" t="inlineStr">
        <is>
          <t>D</t>
        </is>
      </c>
      <c r="E10" s="28" t="inlineStr">
        <is>
          <t>D</t>
        </is>
      </c>
      <c r="F10" s="28" t="inlineStr">
        <is>
          <t>D</t>
        </is>
      </c>
      <c r="G10" s="28" t="inlineStr">
        <is>
          <t>D</t>
        </is>
      </c>
      <c r="H10" s="28" t="inlineStr">
        <is>
          <t>D</t>
        </is>
      </c>
      <c r="I10" s="28" t="inlineStr">
        <is>
          <t>D</t>
        </is>
      </c>
      <c r="J10" s="28" t="inlineStr">
        <is>
          <t>D</t>
        </is>
      </c>
      <c r="K10" s="28" t="inlineStr">
        <is>
          <t>D</t>
        </is>
      </c>
      <c r="L10" s="28" t="inlineStr">
        <is>
          <t>D</t>
        </is>
      </c>
      <c r="M10" s="28" t="inlineStr">
        <is>
          <t>D</t>
        </is>
      </c>
      <c r="N10" s="28" t="inlineStr">
        <is>
          <t>D</t>
        </is>
      </c>
      <c r="O10" s="25" t="inlineStr">
        <is>
          <t>B</t>
        </is>
      </c>
      <c r="P10" s="28" t="inlineStr">
        <is>
          <t>D</t>
        </is>
      </c>
      <c r="Q10" s="28" t="inlineStr">
        <is>
          <t>D</t>
        </is>
      </c>
      <c r="R10" s="28" t="inlineStr">
        <is>
          <t>D</t>
        </is>
      </c>
      <c r="S10" s="28" t="inlineStr">
        <is>
          <t>D</t>
        </is>
      </c>
      <c r="T10" s="28" t="inlineStr">
        <is>
          <t>D</t>
        </is>
      </c>
      <c r="U10" s="28" t="inlineStr">
        <is>
          <t>D</t>
        </is>
      </c>
      <c r="V10" s="28" t="inlineStr">
        <is>
          <t>D</t>
        </is>
      </c>
    </row>
    <row r="11">
      <c r="A11" s="23" t="n">
        <v>7</v>
      </c>
      <c r="B11" s="23" t="inlineStr">
        <is>
          <t>明塔卡星人</t>
        </is>
      </c>
      <c r="C11" s="23" t="inlineStr">
        <is>
          <t>Mintakan</t>
        </is>
      </c>
      <c r="D11" s="25" t="inlineStr">
        <is>
          <t>B</t>
        </is>
      </c>
      <c r="E11" s="28" t="inlineStr">
        <is>
          <t>D</t>
        </is>
      </c>
      <c r="F11" s="25" t="inlineStr">
        <is>
          <t>B</t>
        </is>
      </c>
      <c r="G11" s="28" t="inlineStr">
        <is>
          <t>D</t>
        </is>
      </c>
      <c r="H11" s="28" t="inlineStr">
        <is>
          <t>D</t>
        </is>
      </c>
      <c r="I11" s="28" t="inlineStr">
        <is>
          <t>D</t>
        </is>
      </c>
      <c r="J11" s="28" t="inlineStr">
        <is>
          <t>D</t>
        </is>
      </c>
      <c r="K11" s="28" t="inlineStr">
        <is>
          <t>D</t>
        </is>
      </c>
      <c r="L11" s="28" t="inlineStr">
        <is>
          <t>D</t>
        </is>
      </c>
      <c r="M11" s="28" t="inlineStr">
        <is>
          <t>D</t>
        </is>
      </c>
      <c r="N11" s="28" t="inlineStr">
        <is>
          <t>D</t>
        </is>
      </c>
      <c r="O11" s="28" t="inlineStr">
        <is>
          <t>D</t>
        </is>
      </c>
      <c r="P11" s="28" t="inlineStr">
        <is>
          <t>D</t>
        </is>
      </c>
      <c r="Q11" s="28" t="inlineStr">
        <is>
          <t>D</t>
        </is>
      </c>
      <c r="R11" s="28" t="inlineStr">
        <is>
          <t>D</t>
        </is>
      </c>
      <c r="S11" s="28" t="inlineStr">
        <is>
          <t>D</t>
        </is>
      </c>
      <c r="T11" s="28" t="inlineStr">
        <is>
          <t>D</t>
        </is>
      </c>
      <c r="U11" s="28" t="inlineStr">
        <is>
          <t>D</t>
        </is>
      </c>
      <c r="V11" s="28" t="inlineStr">
        <is>
          <t>D</t>
        </is>
      </c>
    </row>
    <row r="12">
      <c r="A12" s="27" t="n">
        <v>8</v>
      </c>
      <c r="B12" s="27" t="inlineStr">
        <is>
          <t>金星人</t>
        </is>
      </c>
      <c r="C12" s="27" t="inlineStr">
        <is>
          <t>Venusian</t>
        </is>
      </c>
      <c r="D12" s="28" t="inlineStr">
        <is>
          <t>D</t>
        </is>
      </c>
      <c r="E12" s="28" t="inlineStr">
        <is>
          <t>D</t>
        </is>
      </c>
      <c r="F12" s="28" t="inlineStr">
        <is>
          <t>D</t>
        </is>
      </c>
      <c r="G12" s="28" t="inlineStr">
        <is>
          <t>D</t>
        </is>
      </c>
      <c r="H12" s="28" t="inlineStr">
        <is>
          <t>D</t>
        </is>
      </c>
      <c r="I12" s="28" t="inlineStr">
        <is>
          <t>D</t>
        </is>
      </c>
      <c r="J12" s="28" t="inlineStr">
        <is>
          <t>D</t>
        </is>
      </c>
      <c r="K12" s="25" t="inlineStr">
        <is>
          <t>B</t>
        </is>
      </c>
      <c r="L12" s="28" t="inlineStr">
        <is>
          <t>D</t>
        </is>
      </c>
      <c r="M12" s="28" t="inlineStr">
        <is>
          <t>D</t>
        </is>
      </c>
      <c r="N12" s="28" t="inlineStr">
        <is>
          <t>D</t>
        </is>
      </c>
      <c r="O12" s="28" t="inlineStr">
        <is>
          <t>D</t>
        </is>
      </c>
      <c r="P12" s="28" t="inlineStr">
        <is>
          <t>D</t>
        </is>
      </c>
      <c r="Q12" s="28" t="inlineStr">
        <is>
          <t>D</t>
        </is>
      </c>
      <c r="R12" s="28" t="inlineStr">
        <is>
          <t>D</t>
        </is>
      </c>
      <c r="S12" s="28" t="inlineStr">
        <is>
          <t>D</t>
        </is>
      </c>
      <c r="T12" s="28" t="inlineStr">
        <is>
          <t>D</t>
        </is>
      </c>
      <c r="U12" s="26" t="inlineStr">
        <is>
          <t>C</t>
        </is>
      </c>
      <c r="V12" s="28" t="inlineStr">
        <is>
          <t>D</t>
        </is>
      </c>
    </row>
    <row r="13">
      <c r="A13" s="23" t="n">
        <v>9</v>
      </c>
      <c r="B13" s="23" t="inlineStr">
        <is>
          <t>哈達爾星人</t>
        </is>
      </c>
      <c r="C13" s="23" t="inlineStr">
        <is>
          <t>Hadarian</t>
        </is>
      </c>
      <c r="D13" s="28" t="inlineStr">
        <is>
          <t>D</t>
        </is>
      </c>
      <c r="E13" s="28" t="inlineStr">
        <is>
          <t>D</t>
        </is>
      </c>
      <c r="F13" s="28" t="inlineStr">
        <is>
          <t>D</t>
        </is>
      </c>
      <c r="G13" s="28" t="inlineStr">
        <is>
          <t>D</t>
        </is>
      </c>
      <c r="H13" s="28" t="inlineStr">
        <is>
          <t>D</t>
        </is>
      </c>
      <c r="I13" s="28" t="inlineStr">
        <is>
          <t>D</t>
        </is>
      </c>
      <c r="J13" s="28" t="inlineStr">
        <is>
          <t>D</t>
        </is>
      </c>
      <c r="K13" s="28" t="inlineStr">
        <is>
          <t>D</t>
        </is>
      </c>
      <c r="L13" s="25" t="inlineStr">
        <is>
          <t>B</t>
        </is>
      </c>
      <c r="M13" s="28" t="inlineStr">
        <is>
          <t>D</t>
        </is>
      </c>
      <c r="N13" s="28" t="inlineStr">
        <is>
          <t>D</t>
        </is>
      </c>
      <c r="O13" s="28" t="inlineStr">
        <is>
          <t>D</t>
        </is>
      </c>
      <c r="P13" s="28" t="inlineStr">
        <is>
          <t>D</t>
        </is>
      </c>
      <c r="Q13" s="28" t="inlineStr">
        <is>
          <t>D</t>
        </is>
      </c>
      <c r="R13" s="28" t="inlineStr">
        <is>
          <t>D</t>
        </is>
      </c>
      <c r="S13" s="28" t="inlineStr">
        <is>
          <t>D</t>
        </is>
      </c>
      <c r="T13" s="28" t="inlineStr">
        <is>
          <t>D</t>
        </is>
      </c>
      <c r="U13" s="28" t="inlineStr">
        <is>
          <t>D</t>
        </is>
      </c>
      <c r="V13" s="28" t="inlineStr">
        <is>
          <t>D</t>
        </is>
      </c>
    </row>
    <row r="14">
      <c r="A14" s="27" t="n">
        <v>10</v>
      </c>
      <c r="B14" s="27" t="inlineStr">
        <is>
          <t>北極星人</t>
        </is>
      </c>
      <c r="C14" s="27" t="inlineStr">
        <is>
          <t>Polarian</t>
        </is>
      </c>
      <c r="D14" s="28" t="inlineStr">
        <is>
          <t>D</t>
        </is>
      </c>
      <c r="E14" s="28" t="inlineStr">
        <is>
          <t>D</t>
        </is>
      </c>
      <c r="F14" s="28" t="inlineStr">
        <is>
          <t>D</t>
        </is>
      </c>
      <c r="G14" s="28" t="inlineStr">
        <is>
          <t>D</t>
        </is>
      </c>
      <c r="H14" s="28" t="inlineStr">
        <is>
          <t>D</t>
        </is>
      </c>
      <c r="I14" s="28" t="inlineStr">
        <is>
          <t>D</t>
        </is>
      </c>
      <c r="J14" s="28" t="inlineStr">
        <is>
          <t>D</t>
        </is>
      </c>
      <c r="K14" s="28" t="inlineStr">
        <is>
          <t>D</t>
        </is>
      </c>
      <c r="L14" s="28" t="inlineStr">
        <is>
          <t>D</t>
        </is>
      </c>
      <c r="M14" s="25" t="inlineStr">
        <is>
          <t>B</t>
        </is>
      </c>
      <c r="N14" s="28" t="inlineStr">
        <is>
          <t>D</t>
        </is>
      </c>
      <c r="O14" s="28" t="inlineStr">
        <is>
          <t>D</t>
        </is>
      </c>
      <c r="P14" s="28" t="inlineStr">
        <is>
          <t>D</t>
        </is>
      </c>
      <c r="Q14" s="28" t="inlineStr">
        <is>
          <t>D</t>
        </is>
      </c>
      <c r="R14" s="28" t="inlineStr">
        <is>
          <t>D</t>
        </is>
      </c>
      <c r="S14" s="28" t="inlineStr">
        <is>
          <t>D</t>
        </is>
      </c>
      <c r="T14" s="28" t="inlineStr">
        <is>
          <t>D</t>
        </is>
      </c>
      <c r="U14" s="28" t="inlineStr">
        <is>
          <t>D</t>
        </is>
      </c>
      <c r="V14" s="28" t="inlineStr">
        <is>
          <t>D</t>
        </is>
      </c>
    </row>
    <row r="15">
      <c r="A15" s="23" t="n">
        <v>11</v>
      </c>
      <c r="B15" s="23" t="inlineStr">
        <is>
          <t>半人馬座α星人</t>
        </is>
      </c>
      <c r="C15" s="23" t="inlineStr">
        <is>
          <t>Alpha Centaurian</t>
        </is>
      </c>
      <c r="D15" s="28" t="inlineStr">
        <is>
          <t>D</t>
        </is>
      </c>
      <c r="E15" s="28" t="inlineStr">
        <is>
          <t>D</t>
        </is>
      </c>
      <c r="F15" s="28" t="inlineStr">
        <is>
          <t>D</t>
        </is>
      </c>
      <c r="G15" s="28" t="inlineStr">
        <is>
          <t>D</t>
        </is>
      </c>
      <c r="H15" s="28" t="inlineStr">
        <is>
          <t>D</t>
        </is>
      </c>
      <c r="I15" s="28" t="inlineStr">
        <is>
          <t>D</t>
        </is>
      </c>
      <c r="J15" s="28" t="inlineStr">
        <is>
          <t>D</t>
        </is>
      </c>
      <c r="K15" s="28" t="inlineStr">
        <is>
          <t>D</t>
        </is>
      </c>
      <c r="L15" s="28" t="inlineStr">
        <is>
          <t>D</t>
        </is>
      </c>
      <c r="M15" s="28" t="inlineStr">
        <is>
          <t>D</t>
        </is>
      </c>
      <c r="N15" s="28" t="inlineStr">
        <is>
          <t>D</t>
        </is>
      </c>
      <c r="O15" s="28" t="inlineStr">
        <is>
          <t>D</t>
        </is>
      </c>
      <c r="P15" s="28" t="inlineStr">
        <is>
          <t>D</t>
        </is>
      </c>
      <c r="Q15" s="28" t="inlineStr">
        <is>
          <t>D</t>
        </is>
      </c>
      <c r="R15" s="28" t="inlineStr">
        <is>
          <t>D</t>
        </is>
      </c>
      <c r="S15" s="28" t="inlineStr">
        <is>
          <t>D</t>
        </is>
      </c>
      <c r="T15" s="28" t="inlineStr">
        <is>
          <t>D</t>
        </is>
      </c>
      <c r="U15" s="28" t="inlineStr">
        <is>
          <t>D</t>
        </is>
      </c>
      <c r="V15" s="28" t="inlineStr">
        <is>
          <t>D</t>
        </is>
      </c>
    </row>
    <row r="16">
      <c r="A16" s="27" t="n">
        <v>12</v>
      </c>
      <c r="B16" s="27" t="inlineStr">
        <is>
          <t>織女星人</t>
        </is>
      </c>
      <c r="C16" s="27" t="inlineStr">
        <is>
          <t>Vegan</t>
        </is>
      </c>
      <c r="D16" s="28" t="inlineStr">
        <is>
          <t>D</t>
        </is>
      </c>
      <c r="E16" s="28" t="inlineStr">
        <is>
          <t>D</t>
        </is>
      </c>
      <c r="F16" s="28" t="inlineStr">
        <is>
          <t>D</t>
        </is>
      </c>
      <c r="G16" s="28" t="inlineStr">
        <is>
          <t>D</t>
        </is>
      </c>
      <c r="H16" s="28" t="inlineStr">
        <is>
          <t>D</t>
        </is>
      </c>
      <c r="I16" s="28" t="inlineStr">
        <is>
          <t>D</t>
        </is>
      </c>
      <c r="J16" s="28" t="inlineStr">
        <is>
          <t>D</t>
        </is>
      </c>
      <c r="K16" s="28" t="inlineStr">
        <is>
          <t>D</t>
        </is>
      </c>
      <c r="L16" s="28" t="inlineStr">
        <is>
          <t>D</t>
        </is>
      </c>
      <c r="M16" s="28" t="inlineStr">
        <is>
          <t>D</t>
        </is>
      </c>
      <c r="N16" s="28" t="inlineStr">
        <is>
          <t>D</t>
        </is>
      </c>
      <c r="O16" s="28" t="inlineStr">
        <is>
          <t>D</t>
        </is>
      </c>
      <c r="P16" s="25" t="inlineStr">
        <is>
          <t>B</t>
        </is>
      </c>
      <c r="Q16" s="28" t="inlineStr">
        <is>
          <t>D</t>
        </is>
      </c>
      <c r="R16" s="28" t="inlineStr">
        <is>
          <t>D</t>
        </is>
      </c>
      <c r="S16" s="28" t="inlineStr">
        <is>
          <t>D</t>
        </is>
      </c>
      <c r="T16" s="28" t="inlineStr">
        <is>
          <t>D</t>
        </is>
      </c>
      <c r="U16" s="25" t="inlineStr">
        <is>
          <t>B</t>
        </is>
      </c>
      <c r="V16" s="28" t="inlineStr">
        <is>
          <t>D</t>
        </is>
      </c>
    </row>
    <row r="17">
      <c r="A17" s="23" t="n">
        <v>13</v>
      </c>
      <c r="B17" s="23" t="inlineStr">
        <is>
          <t>貓科星族</t>
        </is>
      </c>
      <c r="C17" s="23" t="inlineStr">
        <is>
          <t>Feline / Urmah</t>
        </is>
      </c>
      <c r="D17" s="28" t="inlineStr">
        <is>
          <t>D</t>
        </is>
      </c>
      <c r="E17" s="28" t="inlineStr">
        <is>
          <t>D</t>
        </is>
      </c>
      <c r="F17" s="28" t="inlineStr">
        <is>
          <t>D</t>
        </is>
      </c>
      <c r="G17" s="26" t="inlineStr">
        <is>
          <t>C</t>
        </is>
      </c>
      <c r="H17" s="28" t="inlineStr">
        <is>
          <t>D</t>
        </is>
      </c>
      <c r="I17" s="28" t="inlineStr">
        <is>
          <t>D</t>
        </is>
      </c>
      <c r="J17" s="28" t="inlineStr">
        <is>
          <t>D</t>
        </is>
      </c>
      <c r="K17" s="28" t="inlineStr">
        <is>
          <t>D</t>
        </is>
      </c>
      <c r="L17" s="28" t="inlineStr">
        <is>
          <t>D</t>
        </is>
      </c>
      <c r="M17" s="28" t="inlineStr">
        <is>
          <t>D</t>
        </is>
      </c>
      <c r="N17" s="28" t="inlineStr">
        <is>
          <t>D</t>
        </is>
      </c>
      <c r="O17" s="28" t="inlineStr">
        <is>
          <t>D</t>
        </is>
      </c>
      <c r="P17" s="28" t="inlineStr">
        <is>
          <t>D</t>
        </is>
      </c>
      <c r="Q17" s="28" t="inlineStr">
        <is>
          <t>D</t>
        </is>
      </c>
      <c r="R17" s="28" t="inlineStr">
        <is>
          <t>D</t>
        </is>
      </c>
      <c r="S17" s="28" t="inlineStr">
        <is>
          <t>D</t>
        </is>
      </c>
      <c r="T17" s="28" t="inlineStr">
        <is>
          <t>D</t>
        </is>
      </c>
      <c r="U17" s="28" t="inlineStr">
        <is>
          <t>D</t>
        </is>
      </c>
      <c r="V17" s="28" t="inlineStr">
        <is>
          <t>D</t>
        </is>
      </c>
    </row>
    <row r="18">
      <c r="A18" s="27" t="n">
        <v>14</v>
      </c>
      <c r="B18" s="27" t="inlineStr">
        <is>
          <t>藍鳥人</t>
        </is>
      </c>
      <c r="C18" s="27" t="inlineStr">
        <is>
          <t>Avian / Blue Avian</t>
        </is>
      </c>
      <c r="D18" s="28" t="inlineStr">
        <is>
          <t>D</t>
        </is>
      </c>
      <c r="E18" s="28" t="inlineStr">
        <is>
          <t>D</t>
        </is>
      </c>
      <c r="F18" s="28" t="inlineStr">
        <is>
          <t>D</t>
        </is>
      </c>
      <c r="G18" s="28" t="inlineStr">
        <is>
          <t>D</t>
        </is>
      </c>
      <c r="H18" s="26" t="inlineStr">
        <is>
          <t>C</t>
        </is>
      </c>
      <c r="I18" s="28" t="inlineStr">
        <is>
          <t>D</t>
        </is>
      </c>
      <c r="J18" s="28" t="inlineStr">
        <is>
          <t>D</t>
        </is>
      </c>
      <c r="K18" s="28" t="inlineStr">
        <is>
          <t>D</t>
        </is>
      </c>
      <c r="L18" s="28" t="inlineStr">
        <is>
          <t>D</t>
        </is>
      </c>
      <c r="M18" s="28" t="inlineStr">
        <is>
          <t>D</t>
        </is>
      </c>
      <c r="N18" s="28" t="inlineStr">
        <is>
          <t>D</t>
        </is>
      </c>
      <c r="O18" s="28" t="inlineStr">
        <is>
          <t>D</t>
        </is>
      </c>
      <c r="P18" s="26" t="inlineStr">
        <is>
          <t>C</t>
        </is>
      </c>
      <c r="Q18" s="28" t="inlineStr">
        <is>
          <t>D</t>
        </is>
      </c>
      <c r="R18" s="28" t="inlineStr">
        <is>
          <t>D</t>
        </is>
      </c>
      <c r="S18" s="28" t="inlineStr">
        <is>
          <t>D</t>
        </is>
      </c>
      <c r="T18" s="28" t="inlineStr">
        <is>
          <t>D</t>
        </is>
      </c>
      <c r="U18" s="28" t="inlineStr">
        <is>
          <t>D</t>
        </is>
      </c>
      <c r="V18" s="28" t="inlineStr">
        <is>
          <t>D</t>
        </is>
      </c>
    </row>
    <row r="19">
      <c r="A19" s="23" t="n">
        <v>15</v>
      </c>
      <c r="B19" s="23" t="inlineStr">
        <is>
          <t>火星人</t>
        </is>
      </c>
      <c r="C19" s="23" t="inlineStr">
        <is>
          <t>Martian</t>
        </is>
      </c>
      <c r="D19" s="28" t="inlineStr">
        <is>
          <t>D</t>
        </is>
      </c>
      <c r="E19" s="28" t="inlineStr">
        <is>
          <t>D</t>
        </is>
      </c>
      <c r="F19" s="28" t="inlineStr">
        <is>
          <t>D</t>
        </is>
      </c>
      <c r="G19" s="28" t="inlineStr">
        <is>
          <t>D</t>
        </is>
      </c>
      <c r="H19" s="28" t="inlineStr">
        <is>
          <t>D</t>
        </is>
      </c>
      <c r="I19" s="28" t="inlineStr">
        <is>
          <t>D</t>
        </is>
      </c>
      <c r="J19" s="28" t="inlineStr">
        <is>
          <t>D</t>
        </is>
      </c>
      <c r="K19" s="28" t="inlineStr">
        <is>
          <t>D</t>
        </is>
      </c>
      <c r="L19" s="28" t="inlineStr">
        <is>
          <t>D</t>
        </is>
      </c>
      <c r="M19" s="28" t="inlineStr">
        <is>
          <t>D</t>
        </is>
      </c>
      <c r="N19" s="28" t="inlineStr">
        <is>
          <t>D</t>
        </is>
      </c>
      <c r="O19" s="28" t="inlineStr">
        <is>
          <t>D</t>
        </is>
      </c>
      <c r="P19" s="28" t="inlineStr">
        <is>
          <t>D</t>
        </is>
      </c>
      <c r="Q19" s="28" t="inlineStr">
        <is>
          <t>D</t>
        </is>
      </c>
      <c r="R19" s="26" t="inlineStr">
        <is>
          <t>C</t>
        </is>
      </c>
      <c r="S19" s="28" t="inlineStr">
        <is>
          <t>D</t>
        </is>
      </c>
      <c r="T19" s="28" t="inlineStr">
        <is>
          <t>D</t>
        </is>
      </c>
      <c r="U19" s="28" t="inlineStr">
        <is>
          <t>D</t>
        </is>
      </c>
      <c r="V19" s="28" t="inlineStr">
        <is>
          <t>D</t>
        </is>
      </c>
    </row>
    <row r="20">
      <c r="A20" s="27" t="n">
        <v>16</v>
      </c>
      <c r="B20" s="27" t="inlineStr">
        <is>
          <t>馬爾德克人</t>
        </is>
      </c>
      <c r="C20" s="27" t="inlineStr">
        <is>
          <t>Maldekian</t>
        </is>
      </c>
      <c r="D20" s="28" t="inlineStr">
        <is>
          <t>D</t>
        </is>
      </c>
      <c r="E20" s="25" t="inlineStr">
        <is>
          <t>B</t>
        </is>
      </c>
      <c r="F20" s="28" t="inlineStr">
        <is>
          <t>D</t>
        </is>
      </c>
      <c r="G20" s="28" t="inlineStr">
        <is>
          <t>D</t>
        </is>
      </c>
      <c r="H20" s="28" t="inlineStr">
        <is>
          <t>D</t>
        </is>
      </c>
      <c r="I20" s="28" t="inlineStr">
        <is>
          <t>D</t>
        </is>
      </c>
      <c r="J20" s="28" t="inlineStr">
        <is>
          <t>D</t>
        </is>
      </c>
      <c r="K20" s="28" t="inlineStr">
        <is>
          <t>D</t>
        </is>
      </c>
      <c r="L20" s="28" t="inlineStr">
        <is>
          <t>D</t>
        </is>
      </c>
      <c r="M20" s="28" t="inlineStr">
        <is>
          <t>D</t>
        </is>
      </c>
      <c r="N20" s="28" t="inlineStr">
        <is>
          <t>D</t>
        </is>
      </c>
      <c r="O20" s="28" t="inlineStr">
        <is>
          <t>D</t>
        </is>
      </c>
      <c r="P20" s="28" t="inlineStr">
        <is>
          <t>D</t>
        </is>
      </c>
      <c r="Q20" s="28" t="inlineStr">
        <is>
          <t>D</t>
        </is>
      </c>
      <c r="R20" s="28" t="inlineStr">
        <is>
          <t>D</t>
        </is>
      </c>
      <c r="S20" s="28" t="inlineStr">
        <is>
          <t>D</t>
        </is>
      </c>
      <c r="T20" s="28" t="inlineStr">
        <is>
          <t>D</t>
        </is>
      </c>
      <c r="U20" s="28" t="inlineStr">
        <is>
          <t>D</t>
        </is>
      </c>
      <c r="V20" s="28" t="inlineStr">
        <is>
          <t>D</t>
        </is>
      </c>
    </row>
    <row r="21">
      <c r="A21" s="23" t="n">
        <v>17</v>
      </c>
      <c r="B21" s="23" t="inlineStr">
        <is>
          <t>天龍座人</t>
        </is>
      </c>
      <c r="C21" s="23" t="inlineStr">
        <is>
          <t>Draconian</t>
        </is>
      </c>
      <c r="D21" s="28" t="inlineStr">
        <is>
          <t>D</t>
        </is>
      </c>
      <c r="E21" s="28" t="inlineStr">
        <is>
          <t>D</t>
        </is>
      </c>
      <c r="F21" s="28" t="inlineStr">
        <is>
          <t>D</t>
        </is>
      </c>
      <c r="G21" s="28" t="inlineStr">
        <is>
          <t>D</t>
        </is>
      </c>
      <c r="H21" s="28" t="inlineStr">
        <is>
          <t>D</t>
        </is>
      </c>
      <c r="I21" s="28" t="inlineStr">
        <is>
          <t>D</t>
        </is>
      </c>
      <c r="J21" s="28" t="inlineStr">
        <is>
          <t>D</t>
        </is>
      </c>
      <c r="K21" s="28" t="inlineStr">
        <is>
          <t>D</t>
        </is>
      </c>
      <c r="L21" s="28" t="inlineStr">
        <is>
          <t>D</t>
        </is>
      </c>
      <c r="M21" s="28" t="inlineStr">
        <is>
          <t>D</t>
        </is>
      </c>
      <c r="N21" s="28" t="inlineStr">
        <is>
          <t>D</t>
        </is>
      </c>
      <c r="O21" s="28" t="inlineStr">
        <is>
          <t>D</t>
        </is>
      </c>
      <c r="P21" s="28" t="inlineStr">
        <is>
          <t>D</t>
        </is>
      </c>
      <c r="Q21" s="28" t="inlineStr">
        <is>
          <t>D</t>
        </is>
      </c>
      <c r="R21" s="28" t="inlineStr">
        <is>
          <t>D</t>
        </is>
      </c>
      <c r="S21" s="28" t="inlineStr">
        <is>
          <t>D</t>
        </is>
      </c>
      <c r="T21" s="28" t="inlineStr">
        <is>
          <t>D</t>
        </is>
      </c>
      <c r="U21" s="28" t="inlineStr">
        <is>
          <t>D</t>
        </is>
      </c>
      <c r="V21" s="28" t="inlineStr">
        <is>
          <t>D</t>
        </is>
      </c>
    </row>
    <row r="22">
      <c r="A22" s="27" t="n">
        <v>18</v>
      </c>
      <c r="B22" s="27" t="inlineStr">
        <is>
          <t>爬蟲族</t>
        </is>
      </c>
      <c r="C22" s="27" t="inlineStr">
        <is>
          <t>Reptilian</t>
        </is>
      </c>
      <c r="D22" s="28" t="inlineStr">
        <is>
          <t>D</t>
        </is>
      </c>
      <c r="E22" s="28" t="inlineStr">
        <is>
          <t>D</t>
        </is>
      </c>
      <c r="F22" s="28" t="inlineStr">
        <is>
          <t>D</t>
        </is>
      </c>
      <c r="G22" s="28" t="inlineStr">
        <is>
          <t>D</t>
        </is>
      </c>
      <c r="H22" s="28" t="inlineStr">
        <is>
          <t>D</t>
        </is>
      </c>
      <c r="I22" s="28" t="inlineStr">
        <is>
          <t>D</t>
        </is>
      </c>
      <c r="J22" s="28" t="inlineStr">
        <is>
          <t>D</t>
        </is>
      </c>
      <c r="K22" s="28" t="inlineStr">
        <is>
          <t>D</t>
        </is>
      </c>
      <c r="L22" s="28" t="inlineStr">
        <is>
          <t>D</t>
        </is>
      </c>
      <c r="M22" s="28" t="inlineStr">
        <is>
          <t>D</t>
        </is>
      </c>
      <c r="N22" s="28" t="inlineStr">
        <is>
          <t>D</t>
        </is>
      </c>
      <c r="O22" s="28" t="inlineStr">
        <is>
          <t>D</t>
        </is>
      </c>
      <c r="P22" s="28" t="inlineStr">
        <is>
          <t>D</t>
        </is>
      </c>
      <c r="Q22" s="28" t="inlineStr">
        <is>
          <t>D</t>
        </is>
      </c>
      <c r="R22" s="28" t="inlineStr">
        <is>
          <t>D</t>
        </is>
      </c>
      <c r="S22" s="28" t="inlineStr">
        <is>
          <t>D</t>
        </is>
      </c>
      <c r="T22" s="28" t="inlineStr">
        <is>
          <t>D</t>
        </is>
      </c>
      <c r="U22" s="28" t="inlineStr">
        <is>
          <t>D</t>
        </is>
      </c>
      <c r="V22" s="28" t="inlineStr">
        <is>
          <t>D</t>
        </is>
      </c>
    </row>
    <row r="23">
      <c r="A23" s="23" t="n">
        <v>19</v>
      </c>
      <c r="B23" s="23" t="inlineStr">
        <is>
          <t>灰人</t>
        </is>
      </c>
      <c r="C23" s="23" t="inlineStr">
        <is>
          <t>Zeta / Grey</t>
        </is>
      </c>
      <c r="D23" s="28" t="inlineStr">
        <is>
          <t>D</t>
        </is>
      </c>
      <c r="E23" s="28" t="inlineStr">
        <is>
          <t>D</t>
        </is>
      </c>
      <c r="F23" s="28" t="inlineStr">
        <is>
          <t>D</t>
        </is>
      </c>
      <c r="G23" s="28" t="inlineStr">
        <is>
          <t>D</t>
        </is>
      </c>
      <c r="H23" s="28" t="inlineStr">
        <is>
          <t>D</t>
        </is>
      </c>
      <c r="I23" s="28" t="inlineStr">
        <is>
          <t>D</t>
        </is>
      </c>
      <c r="J23" s="25" t="inlineStr">
        <is>
          <t>B</t>
        </is>
      </c>
      <c r="K23" s="28" t="inlineStr">
        <is>
          <t>D</t>
        </is>
      </c>
      <c r="L23" s="28" t="inlineStr">
        <is>
          <t>D</t>
        </is>
      </c>
      <c r="M23" s="28" t="inlineStr">
        <is>
          <t>D</t>
        </is>
      </c>
      <c r="N23" s="28" t="inlineStr">
        <is>
          <t>D</t>
        </is>
      </c>
      <c r="O23" s="28" t="inlineStr">
        <is>
          <t>D</t>
        </is>
      </c>
      <c r="P23" s="28" t="inlineStr">
        <is>
          <t>D</t>
        </is>
      </c>
      <c r="Q23" s="28" t="inlineStr">
        <is>
          <t>D</t>
        </is>
      </c>
      <c r="R23" s="28" t="inlineStr">
        <is>
          <t>D</t>
        </is>
      </c>
      <c r="S23" s="28" t="inlineStr">
        <is>
          <t>D</t>
        </is>
      </c>
      <c r="T23" s="28" t="inlineStr">
        <is>
          <t>D</t>
        </is>
      </c>
      <c r="U23" s="28" t="inlineStr">
        <is>
          <t>D</t>
        </is>
      </c>
      <c r="V23" s="28" t="inlineStr">
        <is>
          <t>D</t>
        </is>
      </c>
    </row>
    <row r="24">
      <c r="A24" s="27" t="n">
        <v>20</v>
      </c>
      <c r="B24" s="27" t="inlineStr">
        <is>
          <t>阿努納奇</t>
        </is>
      </c>
      <c r="C24" s="27" t="inlineStr">
        <is>
          <t>Anunnaki / Nibiruan</t>
        </is>
      </c>
      <c r="D24" s="28" t="inlineStr">
        <is>
          <t>D</t>
        </is>
      </c>
      <c r="E24" s="28" t="inlineStr">
        <is>
          <t>D</t>
        </is>
      </c>
      <c r="F24" s="28" t="inlineStr">
        <is>
          <t>D</t>
        </is>
      </c>
      <c r="G24" s="28" t="inlineStr">
        <is>
          <t>D</t>
        </is>
      </c>
      <c r="H24" s="28" t="inlineStr">
        <is>
          <t>D</t>
        </is>
      </c>
      <c r="I24" s="28" t="inlineStr">
        <is>
          <t>D</t>
        </is>
      </c>
      <c r="J24" s="28" t="inlineStr">
        <is>
          <t>D</t>
        </is>
      </c>
      <c r="K24" s="28" t="inlineStr">
        <is>
          <t>D</t>
        </is>
      </c>
      <c r="L24" s="28" t="inlineStr">
        <is>
          <t>D</t>
        </is>
      </c>
      <c r="M24" s="28" t="inlineStr">
        <is>
          <t>D</t>
        </is>
      </c>
      <c r="N24" s="28" t="inlineStr">
        <is>
          <t>D</t>
        </is>
      </c>
      <c r="O24" s="28" t="inlineStr">
        <is>
          <t>D</t>
        </is>
      </c>
      <c r="P24" s="28" t="inlineStr">
        <is>
          <t>D</t>
        </is>
      </c>
      <c r="Q24" s="28" t="inlineStr">
        <is>
          <t>D</t>
        </is>
      </c>
      <c r="R24" s="28" t="inlineStr">
        <is>
          <t>D</t>
        </is>
      </c>
      <c r="S24" s="28" t="inlineStr">
        <is>
          <t>D</t>
        </is>
      </c>
      <c r="T24" s="28" t="inlineStr">
        <is>
          <t>D</t>
        </is>
      </c>
      <c r="U24" s="28" t="inlineStr">
        <is>
          <t>D</t>
        </is>
      </c>
      <c r="V24" s="28" t="inlineStr">
        <is>
          <t>D</t>
        </is>
      </c>
    </row>
    <row r="25">
      <c r="A25" s="23" t="n">
        <v>21</v>
      </c>
      <c r="B25" s="23" t="inlineStr">
        <is>
          <t>鯨魚座τ星人</t>
        </is>
      </c>
      <c r="C25" s="23" t="inlineStr">
        <is>
          <t>Tau Cetian</t>
        </is>
      </c>
      <c r="D25" s="28" t="inlineStr">
        <is>
          <t>D</t>
        </is>
      </c>
      <c r="E25" s="28" t="inlineStr">
        <is>
          <t>D</t>
        </is>
      </c>
      <c r="F25" s="28" t="inlineStr">
        <is>
          <t>D</t>
        </is>
      </c>
      <c r="G25" s="28" t="inlineStr">
        <is>
          <t>D</t>
        </is>
      </c>
      <c r="H25" s="28" t="inlineStr">
        <is>
          <t>D</t>
        </is>
      </c>
      <c r="I25" s="28" t="inlineStr">
        <is>
          <t>D</t>
        </is>
      </c>
      <c r="J25" s="28" t="inlineStr">
        <is>
          <t>D</t>
        </is>
      </c>
      <c r="K25" s="28" t="inlineStr">
        <is>
          <t>D</t>
        </is>
      </c>
      <c r="L25" s="28" t="inlineStr">
        <is>
          <t>D</t>
        </is>
      </c>
      <c r="M25" s="28" t="inlineStr">
        <is>
          <t>D</t>
        </is>
      </c>
      <c r="N25" s="28" t="inlineStr">
        <is>
          <t>D</t>
        </is>
      </c>
      <c r="O25" s="28" t="inlineStr">
        <is>
          <t>D</t>
        </is>
      </c>
      <c r="P25" s="28" t="inlineStr">
        <is>
          <t>D</t>
        </is>
      </c>
      <c r="Q25" s="28" t="inlineStr">
        <is>
          <t>D</t>
        </is>
      </c>
      <c r="R25" s="28" t="inlineStr">
        <is>
          <t>D</t>
        </is>
      </c>
      <c r="S25" s="28" t="inlineStr">
        <is>
          <t>D</t>
        </is>
      </c>
      <c r="T25" s="28" t="inlineStr">
        <is>
          <t>D</t>
        </is>
      </c>
      <c r="U25" s="28" t="inlineStr">
        <is>
          <t>D</t>
        </is>
      </c>
      <c r="V25" s="28" t="inlineStr">
        <is>
          <t>D</t>
        </is>
      </c>
    </row>
    <row r="26">
      <c r="A26" s="27" t="n">
        <v>22</v>
      </c>
      <c r="B26" s="27" t="inlineStr">
        <is>
          <t>安塔瑞斯星人</t>
        </is>
      </c>
      <c r="C26" s="27" t="inlineStr">
        <is>
          <t>Antarian</t>
        </is>
      </c>
      <c r="D26" s="28" t="inlineStr">
        <is>
          <t>D</t>
        </is>
      </c>
      <c r="E26" s="28" t="inlineStr">
        <is>
          <t>D</t>
        </is>
      </c>
      <c r="F26" s="28" t="inlineStr">
        <is>
          <t>D</t>
        </is>
      </c>
      <c r="G26" s="28" t="inlineStr">
        <is>
          <t>D</t>
        </is>
      </c>
      <c r="H26" s="28" t="inlineStr">
        <is>
          <t>D</t>
        </is>
      </c>
      <c r="I26" s="28" t="inlineStr">
        <is>
          <t>D</t>
        </is>
      </c>
      <c r="J26" s="28" t="inlineStr">
        <is>
          <t>D</t>
        </is>
      </c>
      <c r="K26" s="28" t="inlineStr">
        <is>
          <t>D</t>
        </is>
      </c>
      <c r="L26" s="28" t="inlineStr">
        <is>
          <t>D</t>
        </is>
      </c>
      <c r="M26" s="28" t="inlineStr">
        <is>
          <t>D</t>
        </is>
      </c>
      <c r="N26" s="28" t="inlineStr">
        <is>
          <t>D</t>
        </is>
      </c>
      <c r="O26" s="28" t="inlineStr">
        <is>
          <t>D</t>
        </is>
      </c>
      <c r="P26" s="28" t="inlineStr">
        <is>
          <t>D</t>
        </is>
      </c>
      <c r="Q26" s="28" t="inlineStr">
        <is>
          <t>D</t>
        </is>
      </c>
      <c r="R26" s="28" t="inlineStr">
        <is>
          <t>D</t>
        </is>
      </c>
      <c r="S26" s="26" t="inlineStr">
        <is>
          <t>C</t>
        </is>
      </c>
      <c r="T26" s="28" t="inlineStr">
        <is>
          <t>D</t>
        </is>
      </c>
      <c r="U26" s="28" t="inlineStr">
        <is>
          <t>D</t>
        </is>
      </c>
      <c r="V26" s="28" t="inlineStr">
        <is>
          <t>D</t>
        </is>
      </c>
    </row>
    <row r="27">
      <c r="A27" s="23" t="n">
        <v>23</v>
      </c>
      <c r="B27" s="23" t="inlineStr">
        <is>
          <t>地球源靈魂</t>
        </is>
      </c>
      <c r="C27" s="23" t="inlineStr">
        <is>
          <t>Earth-Origin Soul</t>
        </is>
      </c>
      <c r="D27" s="28" t="inlineStr">
        <is>
          <t>D</t>
        </is>
      </c>
      <c r="E27" s="28" t="inlineStr">
        <is>
          <t>D</t>
        </is>
      </c>
      <c r="F27" s="28" t="inlineStr">
        <is>
          <t>D</t>
        </is>
      </c>
      <c r="G27" s="28" t="inlineStr">
        <is>
          <t>D</t>
        </is>
      </c>
      <c r="H27" s="28" t="inlineStr">
        <is>
          <t>D</t>
        </is>
      </c>
      <c r="I27" s="28" t="inlineStr">
        <is>
          <t>D</t>
        </is>
      </c>
      <c r="J27" s="28" t="inlineStr">
        <is>
          <t>D</t>
        </is>
      </c>
      <c r="K27" s="28" t="inlineStr">
        <is>
          <t>D</t>
        </is>
      </c>
      <c r="L27" s="28" t="inlineStr">
        <is>
          <t>D</t>
        </is>
      </c>
      <c r="M27" s="28" t="inlineStr">
        <is>
          <t>D</t>
        </is>
      </c>
      <c r="N27" s="28" t="inlineStr">
        <is>
          <t>D</t>
        </is>
      </c>
      <c r="O27" s="28" t="inlineStr">
        <is>
          <t>D</t>
        </is>
      </c>
      <c r="P27" s="28" t="inlineStr">
        <is>
          <t>D</t>
        </is>
      </c>
      <c r="Q27" s="25" t="inlineStr">
        <is>
          <t>B</t>
        </is>
      </c>
      <c r="R27" s="28" t="inlineStr">
        <is>
          <t>D</t>
        </is>
      </c>
      <c r="S27" s="28" t="inlineStr">
        <is>
          <t>D</t>
        </is>
      </c>
      <c r="T27" s="28" t="inlineStr">
        <is>
          <t>D</t>
        </is>
      </c>
      <c r="U27" s="28" t="inlineStr">
        <is>
          <t>D</t>
        </is>
      </c>
      <c r="V27" s="28" t="inlineStr">
        <is>
          <t>D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88" customWidth="1" min="3" max="3"/>
    <col width="14" customWidth="1" min="4" max="4"/>
  </cols>
  <sheetData>
    <row r="1" ht="30" customHeight="1">
      <c r="A1" s="1" t="inlineStr">
        <is>
          <t>v4 Final Item Weight Control</t>
        </is>
      </c>
    </row>
    <row r="2" ht="34" customHeight="1">
      <c r="A2" s="29" t="inlineStr">
        <is>
          <t>No respondent calibration. Final weights are a bounded semantic-confidence prior around unit weights; confusion risk, layer, slot count and expert wording flags do NOT enter the weight formula.</t>
        </is>
      </c>
    </row>
    <row r="3"/>
    <row r="4" ht="32" customHeight="1">
      <c r="A4" s="30" t="inlineStr">
        <is>
          <t>Control</t>
        </is>
      </c>
      <c r="B4" s="30" t="inlineStr">
        <is>
          <t>Value</t>
        </is>
      </c>
      <c r="C4" s="30" t="inlineStr">
        <is>
          <t>Meaning</t>
        </is>
      </c>
      <c r="D4" s="30" t="inlineStr">
        <is>
          <t>Status</t>
        </is>
      </c>
    </row>
    <row r="5" ht="36" customHeight="1">
      <c r="A5" s="31" t="inlineStr">
        <is>
          <t>Confidence A</t>
        </is>
      </c>
      <c r="B5" s="32" t="n">
        <v>1</v>
      </c>
      <c r="C5" s="31" t="inlineStr">
        <is>
          <t>Frozen cell-confidence numeric mapping; design scale, not empirical reliability.</t>
        </is>
      </c>
      <c r="D5" s="31" t="inlineStr">
        <is>
          <t>FROZEN</t>
        </is>
      </c>
    </row>
    <row r="6" ht="36" customHeight="1">
      <c r="A6" s="31" t="inlineStr">
        <is>
          <t>Confidence B</t>
        </is>
      </c>
      <c r="B6" s="32" t="n">
        <v>0.8</v>
      </c>
      <c r="C6" s="31" t="inlineStr">
        <is>
          <t>Same mapping used in v4 confidence-aware graph.</t>
        </is>
      </c>
      <c r="D6" s="31" t="inlineStr">
        <is>
          <t>FROZEN</t>
        </is>
      </c>
    </row>
    <row r="7" ht="36" customHeight="1">
      <c r="A7" s="31" t="inlineStr">
        <is>
          <t>Confidence C</t>
        </is>
      </c>
      <c r="B7" s="32" t="n">
        <v>0.55</v>
      </c>
      <c r="C7" s="31" t="inlineStr">
        <is>
          <t>Same mapping used in v4 confidence-aware graph.</t>
        </is>
      </c>
      <c r="D7" s="31" t="inlineStr">
        <is>
          <t>FROZEN</t>
        </is>
      </c>
    </row>
    <row r="8" ht="36" customHeight="1">
      <c r="A8" s="31" t="inlineStr">
        <is>
          <t>Confidence D</t>
        </is>
      </c>
      <c r="B8" s="32" t="n">
        <v>0.3</v>
      </c>
      <c r="C8" s="31" t="inlineStr">
        <is>
          <t>Same mapping used in v4 confidence-aware graph.</t>
        </is>
      </c>
      <c r="D8" s="31" t="inlineStr">
        <is>
          <t>FROZEN</t>
        </is>
      </c>
    </row>
    <row r="9" ht="36" customHeight="1">
      <c r="A9" s="31" t="inlineStr">
        <is>
          <t>Max weight deviation δ</t>
        </is>
      </c>
      <c r="B9" s="32" t="n">
        <v>0.1</v>
      </c>
      <c r="C9" s="31" t="inlineStr">
        <is>
          <t>Final item weights stay close to equal weights: no item may deviate more than +10% from unit weight.</t>
        </is>
      </c>
      <c r="D9" s="31" t="inlineStr">
        <is>
          <t>SELECTED</t>
        </is>
      </c>
    </row>
    <row r="10" ht="36" customHeight="1">
      <c r="A10" s="31" t="inlineStr">
        <is>
          <t>Dependency correlation threshold</t>
        </is>
      </c>
      <c r="B10" s="32" t="n">
        <v>0.8</v>
      </c>
      <c r="C10" s="31" t="inlineStr">
        <is>
          <t>Within-item feature dependence is only penalized above |r|=.80 in the 23-lineage feature model.</t>
        </is>
      </c>
      <c r="D10" s="31" t="inlineStr">
        <is>
          <t>FROZEN</t>
        </is>
      </c>
    </row>
    <row r="11" ht="36" customHeight="1">
      <c r="A11" s="31" t="inlineStr">
        <is>
          <t>Maximum dependency penalty</t>
        </is>
      </c>
      <c r="B11" s="32" t="n">
        <v>0.1</v>
      </c>
      <c r="C11" s="31" t="inlineStr">
        <is>
          <t>At perfect duplicate evidence with balanced coefficient mass, semantic reliability can be reduced by at most 10%.</t>
        </is>
      </c>
      <c r="D11" s="31" t="inlineStr">
        <is>
          <t>FROZEN</t>
        </is>
      </c>
    </row>
    <row r="12" ht="36" customHeight="1">
      <c r="A12" s="31" t="inlineStr">
        <is>
          <t>Mean raw reliability</t>
        </is>
      </c>
      <c r="B12" s="31">
        <f>AVERAGE('23_ITEM_WEIGHT_MODEL'!K5:K84)</f>
        <v/>
      </c>
      <c r="C12" s="31" t="inlineStr">
        <is>
          <t>Calculated from 80 items.</t>
        </is>
      </c>
      <c r="D12" s="31" t="inlineStr">
        <is>
          <t>FORMULA</t>
        </is>
      </c>
    </row>
    <row r="13" ht="36" customHeight="1">
      <c r="A13" s="31" t="inlineStr">
        <is>
          <t>Max |raw−mean|</t>
        </is>
      </c>
      <c r="B13" s="31">
        <f>MAX(MAX('23_ITEM_WEIGHT_MODEL'!K5:K84)-B12,B12-MIN('23_ITEM_WEIGHT_MODEL'!K5:K84))</f>
        <v/>
      </c>
      <c r="C13" s="31" t="inlineStr">
        <is>
          <t>Used to scale the bounded linear shrinkage.</t>
        </is>
      </c>
      <c r="D13" s="31" t="inlineStr">
        <is>
          <t>FORMULA</t>
        </is>
      </c>
    </row>
    <row r="14" ht="36" customHeight="1">
      <c r="A14" s="31" t="inlineStr">
        <is>
          <t>Shrink slope β</t>
        </is>
      </c>
      <c r="B14" s="31">
        <f>B9/B13</f>
        <v/>
      </c>
      <c r="C14" s="31" t="inlineStr">
        <is>
          <t>β=δ/max|R−mean|. This is a deterministic design transform, not a fitted parameter.</t>
        </is>
      </c>
      <c r="D14" s="31" t="inlineStr">
        <is>
          <t>FORMULA</t>
        </is>
      </c>
    </row>
    <row r="15" ht="36" customHeight="1">
      <c r="A15" s="31" t="inlineStr">
        <is>
          <t>Weight sum</t>
        </is>
      </c>
      <c r="B15" s="31">
        <f>SUM('24_FINAL_ITEM_WEIGHTS'!I5:I84)</f>
        <v/>
      </c>
      <c r="C15" s="31" t="inlineStr">
        <is>
          <t>Must equal 80 so mean item weight=1.</t>
        </is>
      </c>
      <c r="D15" s="31" t="inlineStr">
        <is>
          <t>GATE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R27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Numeric Feature Confidence Helper</t>
        </is>
      </c>
    </row>
    <row r="2"/>
    <row r="3"/>
    <row r="4">
      <c r="A4" t="inlineStr">
        <is>
          <t>#</t>
        </is>
      </c>
      <c r="B4" t="inlineStr">
        <is>
          <t>中文</t>
        </is>
      </c>
      <c r="C4" t="inlineStr">
        <is>
          <t>English</t>
        </is>
      </c>
      <c r="D4" t="inlineStr">
        <is>
          <t>D01</t>
        </is>
      </c>
      <c r="E4" t="inlineStr">
        <is>
          <t>D02</t>
        </is>
      </c>
      <c r="F4" t="inlineStr">
        <is>
          <t>D03</t>
        </is>
      </c>
      <c r="G4" t="inlineStr">
        <is>
          <t>D04</t>
        </is>
      </c>
      <c r="H4" t="inlineStr">
        <is>
          <t>D05</t>
        </is>
      </c>
      <c r="I4" t="inlineStr">
        <is>
          <t>D06</t>
        </is>
      </c>
      <c r="J4" t="inlineStr">
        <is>
          <t>D07</t>
        </is>
      </c>
      <c r="K4" t="inlineStr">
        <is>
          <t>D08</t>
        </is>
      </c>
      <c r="L4" t="inlineStr">
        <is>
          <t>D09</t>
        </is>
      </c>
      <c r="M4" t="inlineStr">
        <is>
          <t>D10</t>
        </is>
      </c>
      <c r="N4" t="inlineStr">
        <is>
          <t>D11</t>
        </is>
      </c>
      <c r="O4" t="inlineStr">
        <is>
          <t>D12</t>
        </is>
      </c>
      <c r="P4" t="inlineStr">
        <is>
          <t>D13</t>
        </is>
      </c>
      <c r="Q4" t="inlineStr">
        <is>
          <t>D14</t>
        </is>
      </c>
      <c r="R4" t="inlineStr">
        <is>
          <t>D15</t>
        </is>
      </c>
      <c r="S4" t="inlineStr">
        <is>
          <t>D16</t>
        </is>
      </c>
      <c r="T4" t="inlineStr">
        <is>
          <t>D17</t>
        </is>
      </c>
      <c r="U4" t="inlineStr">
        <is>
          <t>D18</t>
        </is>
      </c>
      <c r="V4" t="inlineStr">
        <is>
          <t>D19</t>
        </is>
      </c>
      <c r="W4" t="inlineStr">
        <is>
          <t>D20</t>
        </is>
      </c>
      <c r="X4" t="inlineStr">
        <is>
          <t>D21</t>
        </is>
      </c>
      <c r="Y4" t="inlineStr">
        <is>
          <t>D22</t>
        </is>
      </c>
      <c r="Z4" t="inlineStr">
        <is>
          <t>M01</t>
        </is>
      </c>
      <c r="AA4" t="inlineStr">
        <is>
          <t>M02</t>
        </is>
      </c>
      <c r="AB4" t="inlineStr">
        <is>
          <t>M03</t>
        </is>
      </c>
      <c r="AC4" t="inlineStr">
        <is>
          <t>M04</t>
        </is>
      </c>
      <c r="AD4" t="inlineStr">
        <is>
          <t>M05</t>
        </is>
      </c>
      <c r="AE4" t="inlineStr">
        <is>
          <t>M06</t>
        </is>
      </c>
      <c r="AF4" t="inlineStr">
        <is>
          <t>M07</t>
        </is>
      </c>
      <c r="AG4" t="inlineStr">
        <is>
          <t>M08</t>
        </is>
      </c>
      <c r="AH4" t="inlineStr">
        <is>
          <t>M09</t>
        </is>
      </c>
      <c r="AI4" t="inlineStr">
        <is>
          <t>M10</t>
        </is>
      </c>
      <c r="AJ4" t="inlineStr">
        <is>
          <t>M11</t>
        </is>
      </c>
      <c r="AK4" t="inlineStr">
        <is>
          <t>M12</t>
        </is>
      </c>
      <c r="AL4" t="inlineStr">
        <is>
          <t>M13</t>
        </is>
      </c>
      <c r="AM4" t="inlineStr">
        <is>
          <t>M14</t>
        </is>
      </c>
      <c r="AN4" t="inlineStr">
        <is>
          <t>M15</t>
        </is>
      </c>
      <c r="AO4" t="inlineStr">
        <is>
          <t>M16</t>
        </is>
      </c>
      <c r="AP4" t="inlineStr">
        <is>
          <t>M17</t>
        </is>
      </c>
      <c r="AQ4" t="inlineStr">
        <is>
          <t>M18</t>
        </is>
      </c>
      <c r="AR4" t="inlineStr">
        <is>
          <t>M19</t>
        </is>
      </c>
    </row>
    <row r="5">
      <c r="A5" t="n">
        <v>1</v>
      </c>
      <c r="B5" t="inlineStr">
        <is>
          <t>昴宿星人</t>
        </is>
      </c>
      <c r="C5" t="inlineStr">
        <is>
          <t>Pleiadian</t>
        </is>
      </c>
      <c r="D5">
        <f>IF('90_CANON_CONF_SOURCE'!D5='18_WEIGHT_CONTROL'!$A$5,'18_WEIGHT_CONTROL'!$B$5,IF('90_CANON_CONF_SOURCE'!D5='18_WEIGHT_CONTROL'!$A$6,'18_WEIGHT_CONTROL'!$B$6,IF('90_CANON_CONF_SOURCE'!D5='18_WEIGHT_CONTROL'!$A$7,'18_WEIGHT_CONTROL'!$B$7,'18_WEIGHT_CONTROL'!$B$8)))</f>
        <v/>
      </c>
      <c r="E5">
        <f>IF('90_CANON_CONF_SOURCE'!E5='18_WEIGHT_CONTROL'!$A$5,'18_WEIGHT_CONTROL'!$B$5,IF('90_CANON_CONF_SOURCE'!E5='18_WEIGHT_CONTROL'!$A$6,'18_WEIGHT_CONTROL'!$B$6,IF('90_CANON_CONF_SOURCE'!E5='18_WEIGHT_CONTROL'!$A$7,'18_WEIGHT_CONTROL'!$B$7,'18_WEIGHT_CONTROL'!$B$8)))</f>
        <v/>
      </c>
      <c r="F5">
        <f>IF('90_CANON_CONF_SOURCE'!F5='18_WEIGHT_CONTROL'!$A$5,'18_WEIGHT_CONTROL'!$B$5,IF('90_CANON_CONF_SOURCE'!F5='18_WEIGHT_CONTROL'!$A$6,'18_WEIGHT_CONTROL'!$B$6,IF('90_CANON_CONF_SOURCE'!F5='18_WEIGHT_CONTROL'!$A$7,'18_WEIGHT_CONTROL'!$B$7,'18_WEIGHT_CONTROL'!$B$8)))</f>
        <v/>
      </c>
      <c r="G5">
        <f>IF('90_CANON_CONF_SOURCE'!G5='18_WEIGHT_CONTROL'!$A$5,'18_WEIGHT_CONTROL'!$B$5,IF('90_CANON_CONF_SOURCE'!G5='18_WEIGHT_CONTROL'!$A$6,'18_WEIGHT_CONTROL'!$B$6,IF('90_CANON_CONF_SOURCE'!G5='18_WEIGHT_CONTROL'!$A$7,'18_WEIGHT_CONTROL'!$B$7,'18_WEIGHT_CONTROL'!$B$8)))</f>
        <v/>
      </c>
      <c r="H5">
        <f>IF('90_CANON_CONF_SOURCE'!H5='18_WEIGHT_CONTROL'!$A$5,'18_WEIGHT_CONTROL'!$B$5,IF('90_CANON_CONF_SOURCE'!H5='18_WEIGHT_CONTROL'!$A$6,'18_WEIGHT_CONTROL'!$B$6,IF('90_CANON_CONF_SOURCE'!H5='18_WEIGHT_CONTROL'!$A$7,'18_WEIGHT_CONTROL'!$B$7,'18_WEIGHT_CONTROL'!$B$8)))</f>
        <v/>
      </c>
      <c r="I5">
        <f>IF('90_CANON_CONF_SOURCE'!I5='18_WEIGHT_CONTROL'!$A$5,'18_WEIGHT_CONTROL'!$B$5,IF('90_CANON_CONF_SOURCE'!I5='18_WEIGHT_CONTROL'!$A$6,'18_WEIGHT_CONTROL'!$B$6,IF('90_CANON_CONF_SOURCE'!I5='18_WEIGHT_CONTROL'!$A$7,'18_WEIGHT_CONTROL'!$B$7,'18_WEIGHT_CONTROL'!$B$8)))</f>
        <v/>
      </c>
      <c r="J5">
        <f>IF('90_CANON_CONF_SOURCE'!J5='18_WEIGHT_CONTROL'!$A$5,'18_WEIGHT_CONTROL'!$B$5,IF('90_CANON_CONF_SOURCE'!J5='18_WEIGHT_CONTROL'!$A$6,'18_WEIGHT_CONTROL'!$B$6,IF('90_CANON_CONF_SOURCE'!J5='18_WEIGHT_CONTROL'!$A$7,'18_WEIGHT_CONTROL'!$B$7,'18_WEIGHT_CONTROL'!$B$8)))</f>
        <v/>
      </c>
      <c r="K5">
        <f>IF('90_CANON_CONF_SOURCE'!K5='18_WEIGHT_CONTROL'!$A$5,'18_WEIGHT_CONTROL'!$B$5,IF('90_CANON_CONF_SOURCE'!K5='18_WEIGHT_CONTROL'!$A$6,'18_WEIGHT_CONTROL'!$B$6,IF('90_CANON_CONF_SOURCE'!K5='18_WEIGHT_CONTROL'!$A$7,'18_WEIGHT_CONTROL'!$B$7,'18_WEIGHT_CONTROL'!$B$8)))</f>
        <v/>
      </c>
      <c r="L5">
        <f>IF('90_CANON_CONF_SOURCE'!L5='18_WEIGHT_CONTROL'!$A$5,'18_WEIGHT_CONTROL'!$B$5,IF('90_CANON_CONF_SOURCE'!L5='18_WEIGHT_CONTROL'!$A$6,'18_WEIGHT_CONTROL'!$B$6,IF('90_CANON_CONF_SOURCE'!L5='18_WEIGHT_CONTROL'!$A$7,'18_WEIGHT_CONTROL'!$B$7,'18_WEIGHT_CONTROL'!$B$8)))</f>
        <v/>
      </c>
      <c r="M5">
        <f>IF('90_CANON_CONF_SOURCE'!M5='18_WEIGHT_CONTROL'!$A$5,'18_WEIGHT_CONTROL'!$B$5,IF('90_CANON_CONF_SOURCE'!M5='18_WEIGHT_CONTROL'!$A$6,'18_WEIGHT_CONTROL'!$B$6,IF('90_CANON_CONF_SOURCE'!M5='18_WEIGHT_CONTROL'!$A$7,'18_WEIGHT_CONTROL'!$B$7,'18_WEIGHT_CONTROL'!$B$8)))</f>
        <v/>
      </c>
      <c r="N5">
        <f>IF('90_CANON_CONF_SOURCE'!N5='18_WEIGHT_CONTROL'!$A$5,'18_WEIGHT_CONTROL'!$B$5,IF('90_CANON_CONF_SOURCE'!N5='18_WEIGHT_CONTROL'!$A$6,'18_WEIGHT_CONTROL'!$B$6,IF('90_CANON_CONF_SOURCE'!N5='18_WEIGHT_CONTROL'!$A$7,'18_WEIGHT_CONTROL'!$B$7,'18_WEIGHT_CONTROL'!$B$8)))</f>
        <v/>
      </c>
      <c r="O5">
        <f>IF('90_CANON_CONF_SOURCE'!O5='18_WEIGHT_CONTROL'!$A$5,'18_WEIGHT_CONTROL'!$B$5,IF('90_CANON_CONF_SOURCE'!O5='18_WEIGHT_CONTROL'!$A$6,'18_WEIGHT_CONTROL'!$B$6,IF('90_CANON_CONF_SOURCE'!O5='18_WEIGHT_CONTROL'!$A$7,'18_WEIGHT_CONTROL'!$B$7,'18_WEIGHT_CONTROL'!$B$8)))</f>
        <v/>
      </c>
      <c r="P5">
        <f>IF('90_CANON_CONF_SOURCE'!P5='18_WEIGHT_CONTROL'!$A$5,'18_WEIGHT_CONTROL'!$B$5,IF('90_CANON_CONF_SOURCE'!P5='18_WEIGHT_CONTROL'!$A$6,'18_WEIGHT_CONTROL'!$B$6,IF('90_CANON_CONF_SOURCE'!P5='18_WEIGHT_CONTROL'!$A$7,'18_WEIGHT_CONTROL'!$B$7,'18_WEIGHT_CONTROL'!$B$8)))</f>
        <v/>
      </c>
      <c r="Q5">
        <f>IF('90_CANON_CONF_SOURCE'!Q5='18_WEIGHT_CONTROL'!$A$5,'18_WEIGHT_CONTROL'!$B$5,IF('90_CANON_CONF_SOURCE'!Q5='18_WEIGHT_CONTROL'!$A$6,'18_WEIGHT_CONTROL'!$B$6,IF('90_CANON_CONF_SOURCE'!Q5='18_WEIGHT_CONTROL'!$A$7,'18_WEIGHT_CONTROL'!$B$7,'18_WEIGHT_CONTROL'!$B$8)))</f>
        <v/>
      </c>
      <c r="R5">
        <f>IF('90_CANON_CONF_SOURCE'!R5='18_WEIGHT_CONTROL'!$A$5,'18_WEIGHT_CONTROL'!$B$5,IF('90_CANON_CONF_SOURCE'!R5='18_WEIGHT_CONTROL'!$A$6,'18_WEIGHT_CONTROL'!$B$6,IF('90_CANON_CONF_SOURCE'!R5='18_WEIGHT_CONTROL'!$A$7,'18_WEIGHT_CONTROL'!$B$7,'18_WEIGHT_CONTROL'!$B$8)))</f>
        <v/>
      </c>
      <c r="S5">
        <f>IF('90_CANON_CONF_SOURCE'!S5='18_WEIGHT_CONTROL'!$A$5,'18_WEIGHT_CONTROL'!$B$5,IF('90_CANON_CONF_SOURCE'!S5='18_WEIGHT_CONTROL'!$A$6,'18_WEIGHT_CONTROL'!$B$6,IF('90_CANON_CONF_SOURCE'!S5='18_WEIGHT_CONTROL'!$A$7,'18_WEIGHT_CONTROL'!$B$7,'18_WEIGHT_CONTROL'!$B$8)))</f>
        <v/>
      </c>
      <c r="T5">
        <f>IF('90_CANON_CONF_SOURCE'!T5='18_WEIGHT_CONTROL'!$A$5,'18_WEIGHT_CONTROL'!$B$5,IF('90_CANON_CONF_SOURCE'!T5='18_WEIGHT_CONTROL'!$A$6,'18_WEIGHT_CONTROL'!$B$6,IF('90_CANON_CONF_SOURCE'!T5='18_WEIGHT_CONTROL'!$A$7,'18_WEIGHT_CONTROL'!$B$7,'18_WEIGHT_CONTROL'!$B$8)))</f>
        <v/>
      </c>
      <c r="U5">
        <f>IF('90_CANON_CONF_SOURCE'!U5='18_WEIGHT_CONTROL'!$A$5,'18_WEIGHT_CONTROL'!$B$5,IF('90_CANON_CONF_SOURCE'!U5='18_WEIGHT_CONTROL'!$A$6,'18_WEIGHT_CONTROL'!$B$6,IF('90_CANON_CONF_SOURCE'!U5='18_WEIGHT_CONTROL'!$A$7,'18_WEIGHT_CONTROL'!$B$7,'18_WEIGHT_CONTROL'!$B$8)))</f>
        <v/>
      </c>
      <c r="V5">
        <f>IF('90_CANON_CONF_SOURCE'!V5='18_WEIGHT_CONTROL'!$A$5,'18_WEIGHT_CONTROL'!$B$5,IF('90_CANON_CONF_SOURCE'!V5='18_WEIGHT_CONTROL'!$A$6,'18_WEIGHT_CONTROL'!$B$6,IF('90_CANON_CONF_SOURCE'!V5='18_WEIGHT_CONTROL'!$A$7,'18_WEIGHT_CONTROL'!$B$7,'18_WEIGHT_CONTROL'!$B$8)))</f>
        <v/>
      </c>
      <c r="W5">
        <f>IF('90_CANON_CONF_SOURCE'!W5='18_WEIGHT_CONTROL'!$A$5,'18_WEIGHT_CONTROL'!$B$5,IF('90_CANON_CONF_SOURCE'!W5='18_WEIGHT_CONTROL'!$A$6,'18_WEIGHT_CONTROL'!$B$6,IF('90_CANON_CONF_SOURCE'!W5='18_WEIGHT_CONTROL'!$A$7,'18_WEIGHT_CONTROL'!$B$7,'18_WEIGHT_CONTROL'!$B$8)))</f>
        <v/>
      </c>
      <c r="X5">
        <f>IF('90_CANON_CONF_SOURCE'!X5='18_WEIGHT_CONTROL'!$A$5,'18_WEIGHT_CONTROL'!$B$5,IF('90_CANON_CONF_SOURCE'!X5='18_WEIGHT_CONTROL'!$A$6,'18_WEIGHT_CONTROL'!$B$6,IF('90_CANON_CONF_SOURCE'!X5='18_WEIGHT_CONTROL'!$A$7,'18_WEIGHT_CONTROL'!$B$7,'18_WEIGHT_CONTROL'!$B$8)))</f>
        <v/>
      </c>
      <c r="Y5">
        <f>IF('90_CANON_CONF_SOURCE'!Y5='18_WEIGHT_CONTROL'!$A$5,'18_WEIGHT_CONTROL'!$B$5,IF('90_CANON_CONF_SOURCE'!Y5='18_WEIGHT_CONTROL'!$A$6,'18_WEIGHT_CONTROL'!$B$6,IF('90_CANON_CONF_SOURCE'!Y5='18_WEIGHT_CONTROL'!$A$7,'18_WEIGHT_CONTROL'!$B$7,'18_WEIGHT_CONTROL'!$B$8)))</f>
        <v/>
      </c>
      <c r="Z5">
        <f>IF('91_MOTIF_CONF_SOURCE'!D5='18_WEIGHT_CONTROL'!$A$5,'18_WEIGHT_CONTROL'!$B$5,IF('91_MOTIF_CONF_SOURCE'!D5='18_WEIGHT_CONTROL'!$A$6,'18_WEIGHT_CONTROL'!$B$6,IF('91_MOTIF_CONF_SOURCE'!D5='18_WEIGHT_CONTROL'!$A$7,'18_WEIGHT_CONTROL'!$B$7,'18_WEIGHT_CONTROL'!$B$8)))</f>
        <v/>
      </c>
      <c r="AA5">
        <f>IF('91_MOTIF_CONF_SOURCE'!E5='18_WEIGHT_CONTROL'!$A$5,'18_WEIGHT_CONTROL'!$B$5,IF('91_MOTIF_CONF_SOURCE'!E5='18_WEIGHT_CONTROL'!$A$6,'18_WEIGHT_CONTROL'!$B$6,IF('91_MOTIF_CONF_SOURCE'!E5='18_WEIGHT_CONTROL'!$A$7,'18_WEIGHT_CONTROL'!$B$7,'18_WEIGHT_CONTROL'!$B$8)))</f>
        <v/>
      </c>
      <c r="AB5">
        <f>IF('91_MOTIF_CONF_SOURCE'!F5='18_WEIGHT_CONTROL'!$A$5,'18_WEIGHT_CONTROL'!$B$5,IF('91_MOTIF_CONF_SOURCE'!F5='18_WEIGHT_CONTROL'!$A$6,'18_WEIGHT_CONTROL'!$B$6,IF('91_MOTIF_CONF_SOURCE'!F5='18_WEIGHT_CONTROL'!$A$7,'18_WEIGHT_CONTROL'!$B$7,'18_WEIGHT_CONTROL'!$B$8)))</f>
        <v/>
      </c>
      <c r="AC5">
        <f>IF('91_MOTIF_CONF_SOURCE'!G5='18_WEIGHT_CONTROL'!$A$5,'18_WEIGHT_CONTROL'!$B$5,IF('91_MOTIF_CONF_SOURCE'!G5='18_WEIGHT_CONTROL'!$A$6,'18_WEIGHT_CONTROL'!$B$6,IF('91_MOTIF_CONF_SOURCE'!G5='18_WEIGHT_CONTROL'!$A$7,'18_WEIGHT_CONTROL'!$B$7,'18_WEIGHT_CONTROL'!$B$8)))</f>
        <v/>
      </c>
      <c r="AD5">
        <f>IF('91_MOTIF_CONF_SOURCE'!H5='18_WEIGHT_CONTROL'!$A$5,'18_WEIGHT_CONTROL'!$B$5,IF('91_MOTIF_CONF_SOURCE'!H5='18_WEIGHT_CONTROL'!$A$6,'18_WEIGHT_CONTROL'!$B$6,IF('91_MOTIF_CONF_SOURCE'!H5='18_WEIGHT_CONTROL'!$A$7,'18_WEIGHT_CONTROL'!$B$7,'18_WEIGHT_CONTROL'!$B$8)))</f>
        <v/>
      </c>
      <c r="AE5">
        <f>IF('91_MOTIF_CONF_SOURCE'!I5='18_WEIGHT_CONTROL'!$A$5,'18_WEIGHT_CONTROL'!$B$5,IF('91_MOTIF_CONF_SOURCE'!I5='18_WEIGHT_CONTROL'!$A$6,'18_WEIGHT_CONTROL'!$B$6,IF('91_MOTIF_CONF_SOURCE'!I5='18_WEIGHT_CONTROL'!$A$7,'18_WEIGHT_CONTROL'!$B$7,'18_WEIGHT_CONTROL'!$B$8)))</f>
        <v/>
      </c>
      <c r="AF5">
        <f>IF('91_MOTIF_CONF_SOURCE'!J5='18_WEIGHT_CONTROL'!$A$5,'18_WEIGHT_CONTROL'!$B$5,IF('91_MOTIF_CONF_SOURCE'!J5='18_WEIGHT_CONTROL'!$A$6,'18_WEIGHT_CONTROL'!$B$6,IF('91_MOTIF_CONF_SOURCE'!J5='18_WEIGHT_CONTROL'!$A$7,'18_WEIGHT_CONTROL'!$B$7,'18_WEIGHT_CONTROL'!$B$8)))</f>
        <v/>
      </c>
      <c r="AG5">
        <f>IF('91_MOTIF_CONF_SOURCE'!K5='18_WEIGHT_CONTROL'!$A$5,'18_WEIGHT_CONTROL'!$B$5,IF('91_MOTIF_CONF_SOURCE'!K5='18_WEIGHT_CONTROL'!$A$6,'18_WEIGHT_CONTROL'!$B$6,IF('91_MOTIF_CONF_SOURCE'!K5='18_WEIGHT_CONTROL'!$A$7,'18_WEIGHT_CONTROL'!$B$7,'18_WEIGHT_CONTROL'!$B$8)))</f>
        <v/>
      </c>
      <c r="AH5">
        <f>IF('91_MOTIF_CONF_SOURCE'!L5='18_WEIGHT_CONTROL'!$A$5,'18_WEIGHT_CONTROL'!$B$5,IF('91_MOTIF_CONF_SOURCE'!L5='18_WEIGHT_CONTROL'!$A$6,'18_WEIGHT_CONTROL'!$B$6,IF('91_MOTIF_CONF_SOURCE'!L5='18_WEIGHT_CONTROL'!$A$7,'18_WEIGHT_CONTROL'!$B$7,'18_WEIGHT_CONTROL'!$B$8)))</f>
        <v/>
      </c>
      <c r="AI5">
        <f>IF('91_MOTIF_CONF_SOURCE'!M5='18_WEIGHT_CONTROL'!$A$5,'18_WEIGHT_CONTROL'!$B$5,IF('91_MOTIF_CONF_SOURCE'!M5='18_WEIGHT_CONTROL'!$A$6,'18_WEIGHT_CONTROL'!$B$6,IF('91_MOTIF_CONF_SOURCE'!M5='18_WEIGHT_CONTROL'!$A$7,'18_WEIGHT_CONTROL'!$B$7,'18_WEIGHT_CONTROL'!$B$8)))</f>
        <v/>
      </c>
      <c r="AJ5">
        <f>IF('91_MOTIF_CONF_SOURCE'!N5='18_WEIGHT_CONTROL'!$A$5,'18_WEIGHT_CONTROL'!$B$5,IF('91_MOTIF_CONF_SOURCE'!N5='18_WEIGHT_CONTROL'!$A$6,'18_WEIGHT_CONTROL'!$B$6,IF('91_MOTIF_CONF_SOURCE'!N5='18_WEIGHT_CONTROL'!$A$7,'18_WEIGHT_CONTROL'!$B$7,'18_WEIGHT_CONTROL'!$B$8)))</f>
        <v/>
      </c>
      <c r="AK5">
        <f>IF('91_MOTIF_CONF_SOURCE'!O5='18_WEIGHT_CONTROL'!$A$5,'18_WEIGHT_CONTROL'!$B$5,IF('91_MOTIF_CONF_SOURCE'!O5='18_WEIGHT_CONTROL'!$A$6,'18_WEIGHT_CONTROL'!$B$6,IF('91_MOTIF_CONF_SOURCE'!O5='18_WEIGHT_CONTROL'!$A$7,'18_WEIGHT_CONTROL'!$B$7,'18_WEIGHT_CONTROL'!$B$8)))</f>
        <v/>
      </c>
      <c r="AL5">
        <f>IF('91_MOTIF_CONF_SOURCE'!P5='18_WEIGHT_CONTROL'!$A$5,'18_WEIGHT_CONTROL'!$B$5,IF('91_MOTIF_CONF_SOURCE'!P5='18_WEIGHT_CONTROL'!$A$6,'18_WEIGHT_CONTROL'!$B$6,IF('91_MOTIF_CONF_SOURCE'!P5='18_WEIGHT_CONTROL'!$A$7,'18_WEIGHT_CONTROL'!$B$7,'18_WEIGHT_CONTROL'!$B$8)))</f>
        <v/>
      </c>
      <c r="AM5">
        <f>IF('91_MOTIF_CONF_SOURCE'!Q5='18_WEIGHT_CONTROL'!$A$5,'18_WEIGHT_CONTROL'!$B$5,IF('91_MOTIF_CONF_SOURCE'!Q5='18_WEIGHT_CONTROL'!$A$6,'18_WEIGHT_CONTROL'!$B$6,IF('91_MOTIF_CONF_SOURCE'!Q5='18_WEIGHT_CONTROL'!$A$7,'18_WEIGHT_CONTROL'!$B$7,'18_WEIGHT_CONTROL'!$B$8)))</f>
        <v/>
      </c>
      <c r="AN5">
        <f>IF('91_MOTIF_CONF_SOURCE'!R5='18_WEIGHT_CONTROL'!$A$5,'18_WEIGHT_CONTROL'!$B$5,IF('91_MOTIF_CONF_SOURCE'!R5='18_WEIGHT_CONTROL'!$A$6,'18_WEIGHT_CONTROL'!$B$6,IF('91_MOTIF_CONF_SOURCE'!R5='18_WEIGHT_CONTROL'!$A$7,'18_WEIGHT_CONTROL'!$B$7,'18_WEIGHT_CONTROL'!$B$8)))</f>
        <v/>
      </c>
      <c r="AO5">
        <f>IF('91_MOTIF_CONF_SOURCE'!S5='18_WEIGHT_CONTROL'!$A$5,'18_WEIGHT_CONTROL'!$B$5,IF('91_MOTIF_CONF_SOURCE'!S5='18_WEIGHT_CONTROL'!$A$6,'18_WEIGHT_CONTROL'!$B$6,IF('91_MOTIF_CONF_SOURCE'!S5='18_WEIGHT_CONTROL'!$A$7,'18_WEIGHT_CONTROL'!$B$7,'18_WEIGHT_CONTROL'!$B$8)))</f>
        <v/>
      </c>
      <c r="AP5">
        <f>IF('91_MOTIF_CONF_SOURCE'!T5='18_WEIGHT_CONTROL'!$A$5,'18_WEIGHT_CONTROL'!$B$5,IF('91_MOTIF_CONF_SOURCE'!T5='18_WEIGHT_CONTROL'!$A$6,'18_WEIGHT_CONTROL'!$B$6,IF('91_MOTIF_CONF_SOURCE'!T5='18_WEIGHT_CONTROL'!$A$7,'18_WEIGHT_CONTROL'!$B$7,'18_WEIGHT_CONTROL'!$B$8)))</f>
        <v/>
      </c>
      <c r="AQ5">
        <f>IF('91_MOTIF_CONF_SOURCE'!U5='18_WEIGHT_CONTROL'!$A$5,'18_WEIGHT_CONTROL'!$B$5,IF('91_MOTIF_CONF_SOURCE'!U5='18_WEIGHT_CONTROL'!$A$6,'18_WEIGHT_CONTROL'!$B$6,IF('91_MOTIF_CONF_SOURCE'!U5='18_WEIGHT_CONTROL'!$A$7,'18_WEIGHT_CONTROL'!$B$7,'18_WEIGHT_CONTROL'!$B$8)))</f>
        <v/>
      </c>
      <c r="AR5">
        <f>IF('91_MOTIF_CONF_SOURCE'!V5='18_WEIGHT_CONTROL'!$A$5,'18_WEIGHT_CONTROL'!$B$5,IF('91_MOTIF_CONF_SOURCE'!V5='18_WEIGHT_CONTROL'!$A$6,'18_WEIGHT_CONTROL'!$B$6,IF('91_MOTIF_CONF_SOURCE'!V5='18_WEIGHT_CONTROL'!$A$7,'18_WEIGHT_CONTROL'!$B$7,'18_WEIGHT_CONTROL'!$B$8)))</f>
        <v/>
      </c>
    </row>
    <row r="6">
      <c r="A6" t="n">
        <v>2</v>
      </c>
      <c r="B6" t="inlineStr">
        <is>
          <t>大角星人</t>
        </is>
      </c>
      <c r="C6" t="inlineStr">
        <is>
          <t>Arcturian</t>
        </is>
      </c>
      <c r="D6">
        <f>IF('90_CANON_CONF_SOURCE'!D6='18_WEIGHT_CONTROL'!$A$5,'18_WEIGHT_CONTROL'!$B$5,IF('90_CANON_CONF_SOURCE'!D6='18_WEIGHT_CONTROL'!$A$6,'18_WEIGHT_CONTROL'!$B$6,IF('90_CANON_CONF_SOURCE'!D6='18_WEIGHT_CONTROL'!$A$7,'18_WEIGHT_CONTROL'!$B$7,'18_WEIGHT_CONTROL'!$B$8)))</f>
        <v/>
      </c>
      <c r="E6">
        <f>IF('90_CANON_CONF_SOURCE'!E6='18_WEIGHT_CONTROL'!$A$5,'18_WEIGHT_CONTROL'!$B$5,IF('90_CANON_CONF_SOURCE'!E6='18_WEIGHT_CONTROL'!$A$6,'18_WEIGHT_CONTROL'!$B$6,IF('90_CANON_CONF_SOURCE'!E6='18_WEIGHT_CONTROL'!$A$7,'18_WEIGHT_CONTROL'!$B$7,'18_WEIGHT_CONTROL'!$B$8)))</f>
        <v/>
      </c>
      <c r="F6">
        <f>IF('90_CANON_CONF_SOURCE'!F6='18_WEIGHT_CONTROL'!$A$5,'18_WEIGHT_CONTROL'!$B$5,IF('90_CANON_CONF_SOURCE'!F6='18_WEIGHT_CONTROL'!$A$6,'18_WEIGHT_CONTROL'!$B$6,IF('90_CANON_CONF_SOURCE'!F6='18_WEIGHT_CONTROL'!$A$7,'18_WEIGHT_CONTROL'!$B$7,'18_WEIGHT_CONTROL'!$B$8)))</f>
        <v/>
      </c>
      <c r="G6">
        <f>IF('90_CANON_CONF_SOURCE'!G6='18_WEIGHT_CONTROL'!$A$5,'18_WEIGHT_CONTROL'!$B$5,IF('90_CANON_CONF_SOURCE'!G6='18_WEIGHT_CONTROL'!$A$6,'18_WEIGHT_CONTROL'!$B$6,IF('90_CANON_CONF_SOURCE'!G6='18_WEIGHT_CONTROL'!$A$7,'18_WEIGHT_CONTROL'!$B$7,'18_WEIGHT_CONTROL'!$B$8)))</f>
        <v/>
      </c>
      <c r="H6">
        <f>IF('90_CANON_CONF_SOURCE'!H6='18_WEIGHT_CONTROL'!$A$5,'18_WEIGHT_CONTROL'!$B$5,IF('90_CANON_CONF_SOURCE'!H6='18_WEIGHT_CONTROL'!$A$6,'18_WEIGHT_CONTROL'!$B$6,IF('90_CANON_CONF_SOURCE'!H6='18_WEIGHT_CONTROL'!$A$7,'18_WEIGHT_CONTROL'!$B$7,'18_WEIGHT_CONTROL'!$B$8)))</f>
        <v/>
      </c>
      <c r="I6">
        <f>IF('90_CANON_CONF_SOURCE'!I6='18_WEIGHT_CONTROL'!$A$5,'18_WEIGHT_CONTROL'!$B$5,IF('90_CANON_CONF_SOURCE'!I6='18_WEIGHT_CONTROL'!$A$6,'18_WEIGHT_CONTROL'!$B$6,IF('90_CANON_CONF_SOURCE'!I6='18_WEIGHT_CONTROL'!$A$7,'18_WEIGHT_CONTROL'!$B$7,'18_WEIGHT_CONTROL'!$B$8)))</f>
        <v/>
      </c>
      <c r="J6">
        <f>IF('90_CANON_CONF_SOURCE'!J6='18_WEIGHT_CONTROL'!$A$5,'18_WEIGHT_CONTROL'!$B$5,IF('90_CANON_CONF_SOURCE'!J6='18_WEIGHT_CONTROL'!$A$6,'18_WEIGHT_CONTROL'!$B$6,IF('90_CANON_CONF_SOURCE'!J6='18_WEIGHT_CONTROL'!$A$7,'18_WEIGHT_CONTROL'!$B$7,'18_WEIGHT_CONTROL'!$B$8)))</f>
        <v/>
      </c>
      <c r="K6">
        <f>IF('90_CANON_CONF_SOURCE'!K6='18_WEIGHT_CONTROL'!$A$5,'18_WEIGHT_CONTROL'!$B$5,IF('90_CANON_CONF_SOURCE'!K6='18_WEIGHT_CONTROL'!$A$6,'18_WEIGHT_CONTROL'!$B$6,IF('90_CANON_CONF_SOURCE'!K6='18_WEIGHT_CONTROL'!$A$7,'18_WEIGHT_CONTROL'!$B$7,'18_WEIGHT_CONTROL'!$B$8)))</f>
        <v/>
      </c>
      <c r="L6">
        <f>IF('90_CANON_CONF_SOURCE'!L6='18_WEIGHT_CONTROL'!$A$5,'18_WEIGHT_CONTROL'!$B$5,IF('90_CANON_CONF_SOURCE'!L6='18_WEIGHT_CONTROL'!$A$6,'18_WEIGHT_CONTROL'!$B$6,IF('90_CANON_CONF_SOURCE'!L6='18_WEIGHT_CONTROL'!$A$7,'18_WEIGHT_CONTROL'!$B$7,'18_WEIGHT_CONTROL'!$B$8)))</f>
        <v/>
      </c>
      <c r="M6">
        <f>IF('90_CANON_CONF_SOURCE'!M6='18_WEIGHT_CONTROL'!$A$5,'18_WEIGHT_CONTROL'!$B$5,IF('90_CANON_CONF_SOURCE'!M6='18_WEIGHT_CONTROL'!$A$6,'18_WEIGHT_CONTROL'!$B$6,IF('90_CANON_CONF_SOURCE'!M6='18_WEIGHT_CONTROL'!$A$7,'18_WEIGHT_CONTROL'!$B$7,'18_WEIGHT_CONTROL'!$B$8)))</f>
        <v/>
      </c>
      <c r="N6">
        <f>IF('90_CANON_CONF_SOURCE'!N6='18_WEIGHT_CONTROL'!$A$5,'18_WEIGHT_CONTROL'!$B$5,IF('90_CANON_CONF_SOURCE'!N6='18_WEIGHT_CONTROL'!$A$6,'18_WEIGHT_CONTROL'!$B$6,IF('90_CANON_CONF_SOURCE'!N6='18_WEIGHT_CONTROL'!$A$7,'18_WEIGHT_CONTROL'!$B$7,'18_WEIGHT_CONTROL'!$B$8)))</f>
        <v/>
      </c>
      <c r="O6">
        <f>IF('90_CANON_CONF_SOURCE'!O6='18_WEIGHT_CONTROL'!$A$5,'18_WEIGHT_CONTROL'!$B$5,IF('90_CANON_CONF_SOURCE'!O6='18_WEIGHT_CONTROL'!$A$6,'18_WEIGHT_CONTROL'!$B$6,IF('90_CANON_CONF_SOURCE'!O6='18_WEIGHT_CONTROL'!$A$7,'18_WEIGHT_CONTROL'!$B$7,'18_WEIGHT_CONTROL'!$B$8)))</f>
        <v/>
      </c>
      <c r="P6">
        <f>IF('90_CANON_CONF_SOURCE'!P6='18_WEIGHT_CONTROL'!$A$5,'18_WEIGHT_CONTROL'!$B$5,IF('90_CANON_CONF_SOURCE'!P6='18_WEIGHT_CONTROL'!$A$6,'18_WEIGHT_CONTROL'!$B$6,IF('90_CANON_CONF_SOURCE'!P6='18_WEIGHT_CONTROL'!$A$7,'18_WEIGHT_CONTROL'!$B$7,'18_WEIGHT_CONTROL'!$B$8)))</f>
        <v/>
      </c>
      <c r="Q6">
        <f>IF('90_CANON_CONF_SOURCE'!Q6='18_WEIGHT_CONTROL'!$A$5,'18_WEIGHT_CONTROL'!$B$5,IF('90_CANON_CONF_SOURCE'!Q6='18_WEIGHT_CONTROL'!$A$6,'18_WEIGHT_CONTROL'!$B$6,IF('90_CANON_CONF_SOURCE'!Q6='18_WEIGHT_CONTROL'!$A$7,'18_WEIGHT_CONTROL'!$B$7,'18_WEIGHT_CONTROL'!$B$8)))</f>
        <v/>
      </c>
      <c r="R6">
        <f>IF('90_CANON_CONF_SOURCE'!R6='18_WEIGHT_CONTROL'!$A$5,'18_WEIGHT_CONTROL'!$B$5,IF('90_CANON_CONF_SOURCE'!R6='18_WEIGHT_CONTROL'!$A$6,'18_WEIGHT_CONTROL'!$B$6,IF('90_CANON_CONF_SOURCE'!R6='18_WEIGHT_CONTROL'!$A$7,'18_WEIGHT_CONTROL'!$B$7,'18_WEIGHT_CONTROL'!$B$8)))</f>
        <v/>
      </c>
      <c r="S6">
        <f>IF('90_CANON_CONF_SOURCE'!S6='18_WEIGHT_CONTROL'!$A$5,'18_WEIGHT_CONTROL'!$B$5,IF('90_CANON_CONF_SOURCE'!S6='18_WEIGHT_CONTROL'!$A$6,'18_WEIGHT_CONTROL'!$B$6,IF('90_CANON_CONF_SOURCE'!S6='18_WEIGHT_CONTROL'!$A$7,'18_WEIGHT_CONTROL'!$B$7,'18_WEIGHT_CONTROL'!$B$8)))</f>
        <v/>
      </c>
      <c r="T6">
        <f>IF('90_CANON_CONF_SOURCE'!T6='18_WEIGHT_CONTROL'!$A$5,'18_WEIGHT_CONTROL'!$B$5,IF('90_CANON_CONF_SOURCE'!T6='18_WEIGHT_CONTROL'!$A$6,'18_WEIGHT_CONTROL'!$B$6,IF('90_CANON_CONF_SOURCE'!T6='18_WEIGHT_CONTROL'!$A$7,'18_WEIGHT_CONTROL'!$B$7,'18_WEIGHT_CONTROL'!$B$8)))</f>
        <v/>
      </c>
      <c r="U6">
        <f>IF('90_CANON_CONF_SOURCE'!U6='18_WEIGHT_CONTROL'!$A$5,'18_WEIGHT_CONTROL'!$B$5,IF('90_CANON_CONF_SOURCE'!U6='18_WEIGHT_CONTROL'!$A$6,'18_WEIGHT_CONTROL'!$B$6,IF('90_CANON_CONF_SOURCE'!U6='18_WEIGHT_CONTROL'!$A$7,'18_WEIGHT_CONTROL'!$B$7,'18_WEIGHT_CONTROL'!$B$8)))</f>
        <v/>
      </c>
      <c r="V6">
        <f>IF('90_CANON_CONF_SOURCE'!V6='18_WEIGHT_CONTROL'!$A$5,'18_WEIGHT_CONTROL'!$B$5,IF('90_CANON_CONF_SOURCE'!V6='18_WEIGHT_CONTROL'!$A$6,'18_WEIGHT_CONTROL'!$B$6,IF('90_CANON_CONF_SOURCE'!V6='18_WEIGHT_CONTROL'!$A$7,'18_WEIGHT_CONTROL'!$B$7,'18_WEIGHT_CONTROL'!$B$8)))</f>
        <v/>
      </c>
      <c r="W6">
        <f>IF('90_CANON_CONF_SOURCE'!W6='18_WEIGHT_CONTROL'!$A$5,'18_WEIGHT_CONTROL'!$B$5,IF('90_CANON_CONF_SOURCE'!W6='18_WEIGHT_CONTROL'!$A$6,'18_WEIGHT_CONTROL'!$B$6,IF('90_CANON_CONF_SOURCE'!W6='18_WEIGHT_CONTROL'!$A$7,'18_WEIGHT_CONTROL'!$B$7,'18_WEIGHT_CONTROL'!$B$8)))</f>
        <v/>
      </c>
      <c r="X6">
        <f>IF('90_CANON_CONF_SOURCE'!X6='18_WEIGHT_CONTROL'!$A$5,'18_WEIGHT_CONTROL'!$B$5,IF('90_CANON_CONF_SOURCE'!X6='18_WEIGHT_CONTROL'!$A$6,'18_WEIGHT_CONTROL'!$B$6,IF('90_CANON_CONF_SOURCE'!X6='18_WEIGHT_CONTROL'!$A$7,'18_WEIGHT_CONTROL'!$B$7,'18_WEIGHT_CONTROL'!$B$8)))</f>
        <v/>
      </c>
      <c r="Y6">
        <f>IF('90_CANON_CONF_SOURCE'!Y6='18_WEIGHT_CONTROL'!$A$5,'18_WEIGHT_CONTROL'!$B$5,IF('90_CANON_CONF_SOURCE'!Y6='18_WEIGHT_CONTROL'!$A$6,'18_WEIGHT_CONTROL'!$B$6,IF('90_CANON_CONF_SOURCE'!Y6='18_WEIGHT_CONTROL'!$A$7,'18_WEIGHT_CONTROL'!$B$7,'18_WEIGHT_CONTROL'!$B$8)))</f>
        <v/>
      </c>
      <c r="Z6">
        <f>IF('91_MOTIF_CONF_SOURCE'!D6='18_WEIGHT_CONTROL'!$A$5,'18_WEIGHT_CONTROL'!$B$5,IF('91_MOTIF_CONF_SOURCE'!D6='18_WEIGHT_CONTROL'!$A$6,'18_WEIGHT_CONTROL'!$B$6,IF('91_MOTIF_CONF_SOURCE'!D6='18_WEIGHT_CONTROL'!$A$7,'18_WEIGHT_CONTROL'!$B$7,'18_WEIGHT_CONTROL'!$B$8)))</f>
        <v/>
      </c>
      <c r="AA6">
        <f>IF('91_MOTIF_CONF_SOURCE'!E6='18_WEIGHT_CONTROL'!$A$5,'18_WEIGHT_CONTROL'!$B$5,IF('91_MOTIF_CONF_SOURCE'!E6='18_WEIGHT_CONTROL'!$A$6,'18_WEIGHT_CONTROL'!$B$6,IF('91_MOTIF_CONF_SOURCE'!E6='18_WEIGHT_CONTROL'!$A$7,'18_WEIGHT_CONTROL'!$B$7,'18_WEIGHT_CONTROL'!$B$8)))</f>
        <v/>
      </c>
      <c r="AB6">
        <f>IF('91_MOTIF_CONF_SOURCE'!F6='18_WEIGHT_CONTROL'!$A$5,'18_WEIGHT_CONTROL'!$B$5,IF('91_MOTIF_CONF_SOURCE'!F6='18_WEIGHT_CONTROL'!$A$6,'18_WEIGHT_CONTROL'!$B$6,IF('91_MOTIF_CONF_SOURCE'!F6='18_WEIGHT_CONTROL'!$A$7,'18_WEIGHT_CONTROL'!$B$7,'18_WEIGHT_CONTROL'!$B$8)))</f>
        <v/>
      </c>
      <c r="AC6">
        <f>IF('91_MOTIF_CONF_SOURCE'!G6='18_WEIGHT_CONTROL'!$A$5,'18_WEIGHT_CONTROL'!$B$5,IF('91_MOTIF_CONF_SOURCE'!G6='18_WEIGHT_CONTROL'!$A$6,'18_WEIGHT_CONTROL'!$B$6,IF('91_MOTIF_CONF_SOURCE'!G6='18_WEIGHT_CONTROL'!$A$7,'18_WEIGHT_CONTROL'!$B$7,'18_WEIGHT_CONTROL'!$B$8)))</f>
        <v/>
      </c>
      <c r="AD6">
        <f>IF('91_MOTIF_CONF_SOURCE'!H6='18_WEIGHT_CONTROL'!$A$5,'18_WEIGHT_CONTROL'!$B$5,IF('91_MOTIF_CONF_SOURCE'!H6='18_WEIGHT_CONTROL'!$A$6,'18_WEIGHT_CONTROL'!$B$6,IF('91_MOTIF_CONF_SOURCE'!H6='18_WEIGHT_CONTROL'!$A$7,'18_WEIGHT_CONTROL'!$B$7,'18_WEIGHT_CONTROL'!$B$8)))</f>
        <v/>
      </c>
      <c r="AE6">
        <f>IF('91_MOTIF_CONF_SOURCE'!I6='18_WEIGHT_CONTROL'!$A$5,'18_WEIGHT_CONTROL'!$B$5,IF('91_MOTIF_CONF_SOURCE'!I6='18_WEIGHT_CONTROL'!$A$6,'18_WEIGHT_CONTROL'!$B$6,IF('91_MOTIF_CONF_SOURCE'!I6='18_WEIGHT_CONTROL'!$A$7,'18_WEIGHT_CONTROL'!$B$7,'18_WEIGHT_CONTROL'!$B$8)))</f>
        <v/>
      </c>
      <c r="AF6">
        <f>IF('91_MOTIF_CONF_SOURCE'!J6='18_WEIGHT_CONTROL'!$A$5,'18_WEIGHT_CONTROL'!$B$5,IF('91_MOTIF_CONF_SOURCE'!J6='18_WEIGHT_CONTROL'!$A$6,'18_WEIGHT_CONTROL'!$B$6,IF('91_MOTIF_CONF_SOURCE'!J6='18_WEIGHT_CONTROL'!$A$7,'18_WEIGHT_CONTROL'!$B$7,'18_WEIGHT_CONTROL'!$B$8)))</f>
        <v/>
      </c>
      <c r="AG6">
        <f>IF('91_MOTIF_CONF_SOURCE'!K6='18_WEIGHT_CONTROL'!$A$5,'18_WEIGHT_CONTROL'!$B$5,IF('91_MOTIF_CONF_SOURCE'!K6='18_WEIGHT_CONTROL'!$A$6,'18_WEIGHT_CONTROL'!$B$6,IF('91_MOTIF_CONF_SOURCE'!K6='18_WEIGHT_CONTROL'!$A$7,'18_WEIGHT_CONTROL'!$B$7,'18_WEIGHT_CONTROL'!$B$8)))</f>
        <v/>
      </c>
      <c r="AH6">
        <f>IF('91_MOTIF_CONF_SOURCE'!L6='18_WEIGHT_CONTROL'!$A$5,'18_WEIGHT_CONTROL'!$B$5,IF('91_MOTIF_CONF_SOURCE'!L6='18_WEIGHT_CONTROL'!$A$6,'18_WEIGHT_CONTROL'!$B$6,IF('91_MOTIF_CONF_SOURCE'!L6='18_WEIGHT_CONTROL'!$A$7,'18_WEIGHT_CONTROL'!$B$7,'18_WEIGHT_CONTROL'!$B$8)))</f>
        <v/>
      </c>
      <c r="AI6">
        <f>IF('91_MOTIF_CONF_SOURCE'!M6='18_WEIGHT_CONTROL'!$A$5,'18_WEIGHT_CONTROL'!$B$5,IF('91_MOTIF_CONF_SOURCE'!M6='18_WEIGHT_CONTROL'!$A$6,'18_WEIGHT_CONTROL'!$B$6,IF('91_MOTIF_CONF_SOURCE'!M6='18_WEIGHT_CONTROL'!$A$7,'18_WEIGHT_CONTROL'!$B$7,'18_WEIGHT_CONTROL'!$B$8)))</f>
        <v/>
      </c>
      <c r="AJ6">
        <f>IF('91_MOTIF_CONF_SOURCE'!N6='18_WEIGHT_CONTROL'!$A$5,'18_WEIGHT_CONTROL'!$B$5,IF('91_MOTIF_CONF_SOURCE'!N6='18_WEIGHT_CONTROL'!$A$6,'18_WEIGHT_CONTROL'!$B$6,IF('91_MOTIF_CONF_SOURCE'!N6='18_WEIGHT_CONTROL'!$A$7,'18_WEIGHT_CONTROL'!$B$7,'18_WEIGHT_CONTROL'!$B$8)))</f>
        <v/>
      </c>
      <c r="AK6">
        <f>IF('91_MOTIF_CONF_SOURCE'!O6='18_WEIGHT_CONTROL'!$A$5,'18_WEIGHT_CONTROL'!$B$5,IF('91_MOTIF_CONF_SOURCE'!O6='18_WEIGHT_CONTROL'!$A$6,'18_WEIGHT_CONTROL'!$B$6,IF('91_MOTIF_CONF_SOURCE'!O6='18_WEIGHT_CONTROL'!$A$7,'18_WEIGHT_CONTROL'!$B$7,'18_WEIGHT_CONTROL'!$B$8)))</f>
        <v/>
      </c>
      <c r="AL6">
        <f>IF('91_MOTIF_CONF_SOURCE'!P6='18_WEIGHT_CONTROL'!$A$5,'18_WEIGHT_CONTROL'!$B$5,IF('91_MOTIF_CONF_SOURCE'!P6='18_WEIGHT_CONTROL'!$A$6,'18_WEIGHT_CONTROL'!$B$6,IF('91_MOTIF_CONF_SOURCE'!P6='18_WEIGHT_CONTROL'!$A$7,'18_WEIGHT_CONTROL'!$B$7,'18_WEIGHT_CONTROL'!$B$8)))</f>
        <v/>
      </c>
      <c r="AM6">
        <f>IF('91_MOTIF_CONF_SOURCE'!Q6='18_WEIGHT_CONTROL'!$A$5,'18_WEIGHT_CONTROL'!$B$5,IF('91_MOTIF_CONF_SOURCE'!Q6='18_WEIGHT_CONTROL'!$A$6,'18_WEIGHT_CONTROL'!$B$6,IF('91_MOTIF_CONF_SOURCE'!Q6='18_WEIGHT_CONTROL'!$A$7,'18_WEIGHT_CONTROL'!$B$7,'18_WEIGHT_CONTROL'!$B$8)))</f>
        <v/>
      </c>
      <c r="AN6">
        <f>IF('91_MOTIF_CONF_SOURCE'!R6='18_WEIGHT_CONTROL'!$A$5,'18_WEIGHT_CONTROL'!$B$5,IF('91_MOTIF_CONF_SOURCE'!R6='18_WEIGHT_CONTROL'!$A$6,'18_WEIGHT_CONTROL'!$B$6,IF('91_MOTIF_CONF_SOURCE'!R6='18_WEIGHT_CONTROL'!$A$7,'18_WEIGHT_CONTROL'!$B$7,'18_WEIGHT_CONTROL'!$B$8)))</f>
        <v/>
      </c>
      <c r="AO6">
        <f>IF('91_MOTIF_CONF_SOURCE'!S6='18_WEIGHT_CONTROL'!$A$5,'18_WEIGHT_CONTROL'!$B$5,IF('91_MOTIF_CONF_SOURCE'!S6='18_WEIGHT_CONTROL'!$A$6,'18_WEIGHT_CONTROL'!$B$6,IF('91_MOTIF_CONF_SOURCE'!S6='18_WEIGHT_CONTROL'!$A$7,'18_WEIGHT_CONTROL'!$B$7,'18_WEIGHT_CONTROL'!$B$8)))</f>
        <v/>
      </c>
      <c r="AP6">
        <f>IF('91_MOTIF_CONF_SOURCE'!T6='18_WEIGHT_CONTROL'!$A$5,'18_WEIGHT_CONTROL'!$B$5,IF('91_MOTIF_CONF_SOURCE'!T6='18_WEIGHT_CONTROL'!$A$6,'18_WEIGHT_CONTROL'!$B$6,IF('91_MOTIF_CONF_SOURCE'!T6='18_WEIGHT_CONTROL'!$A$7,'18_WEIGHT_CONTROL'!$B$7,'18_WEIGHT_CONTROL'!$B$8)))</f>
        <v/>
      </c>
      <c r="AQ6">
        <f>IF('91_MOTIF_CONF_SOURCE'!U6='18_WEIGHT_CONTROL'!$A$5,'18_WEIGHT_CONTROL'!$B$5,IF('91_MOTIF_CONF_SOURCE'!U6='18_WEIGHT_CONTROL'!$A$6,'18_WEIGHT_CONTROL'!$B$6,IF('91_MOTIF_CONF_SOURCE'!U6='18_WEIGHT_CONTROL'!$A$7,'18_WEIGHT_CONTROL'!$B$7,'18_WEIGHT_CONTROL'!$B$8)))</f>
        <v/>
      </c>
      <c r="AR6">
        <f>IF('91_MOTIF_CONF_SOURCE'!V6='18_WEIGHT_CONTROL'!$A$5,'18_WEIGHT_CONTROL'!$B$5,IF('91_MOTIF_CONF_SOURCE'!V6='18_WEIGHT_CONTROL'!$A$6,'18_WEIGHT_CONTROL'!$B$6,IF('91_MOTIF_CONF_SOURCE'!V6='18_WEIGHT_CONTROL'!$A$7,'18_WEIGHT_CONTROL'!$B$7,'18_WEIGHT_CONTROL'!$B$8)))</f>
        <v/>
      </c>
    </row>
    <row r="7">
      <c r="A7" t="n">
        <v>3</v>
      </c>
      <c r="B7" t="inlineStr">
        <is>
          <t>天狼星人</t>
        </is>
      </c>
      <c r="C7" t="inlineStr">
        <is>
          <t>Sirian</t>
        </is>
      </c>
      <c r="D7">
        <f>IF('90_CANON_CONF_SOURCE'!D7='18_WEIGHT_CONTROL'!$A$5,'18_WEIGHT_CONTROL'!$B$5,IF('90_CANON_CONF_SOURCE'!D7='18_WEIGHT_CONTROL'!$A$6,'18_WEIGHT_CONTROL'!$B$6,IF('90_CANON_CONF_SOURCE'!D7='18_WEIGHT_CONTROL'!$A$7,'18_WEIGHT_CONTROL'!$B$7,'18_WEIGHT_CONTROL'!$B$8)))</f>
        <v/>
      </c>
      <c r="E7">
        <f>IF('90_CANON_CONF_SOURCE'!E7='18_WEIGHT_CONTROL'!$A$5,'18_WEIGHT_CONTROL'!$B$5,IF('90_CANON_CONF_SOURCE'!E7='18_WEIGHT_CONTROL'!$A$6,'18_WEIGHT_CONTROL'!$B$6,IF('90_CANON_CONF_SOURCE'!E7='18_WEIGHT_CONTROL'!$A$7,'18_WEIGHT_CONTROL'!$B$7,'18_WEIGHT_CONTROL'!$B$8)))</f>
        <v/>
      </c>
      <c r="F7">
        <f>IF('90_CANON_CONF_SOURCE'!F7='18_WEIGHT_CONTROL'!$A$5,'18_WEIGHT_CONTROL'!$B$5,IF('90_CANON_CONF_SOURCE'!F7='18_WEIGHT_CONTROL'!$A$6,'18_WEIGHT_CONTROL'!$B$6,IF('90_CANON_CONF_SOURCE'!F7='18_WEIGHT_CONTROL'!$A$7,'18_WEIGHT_CONTROL'!$B$7,'18_WEIGHT_CONTROL'!$B$8)))</f>
        <v/>
      </c>
      <c r="G7">
        <f>IF('90_CANON_CONF_SOURCE'!G7='18_WEIGHT_CONTROL'!$A$5,'18_WEIGHT_CONTROL'!$B$5,IF('90_CANON_CONF_SOURCE'!G7='18_WEIGHT_CONTROL'!$A$6,'18_WEIGHT_CONTROL'!$B$6,IF('90_CANON_CONF_SOURCE'!G7='18_WEIGHT_CONTROL'!$A$7,'18_WEIGHT_CONTROL'!$B$7,'18_WEIGHT_CONTROL'!$B$8)))</f>
        <v/>
      </c>
      <c r="H7">
        <f>IF('90_CANON_CONF_SOURCE'!H7='18_WEIGHT_CONTROL'!$A$5,'18_WEIGHT_CONTROL'!$B$5,IF('90_CANON_CONF_SOURCE'!H7='18_WEIGHT_CONTROL'!$A$6,'18_WEIGHT_CONTROL'!$B$6,IF('90_CANON_CONF_SOURCE'!H7='18_WEIGHT_CONTROL'!$A$7,'18_WEIGHT_CONTROL'!$B$7,'18_WEIGHT_CONTROL'!$B$8)))</f>
        <v/>
      </c>
      <c r="I7">
        <f>IF('90_CANON_CONF_SOURCE'!I7='18_WEIGHT_CONTROL'!$A$5,'18_WEIGHT_CONTROL'!$B$5,IF('90_CANON_CONF_SOURCE'!I7='18_WEIGHT_CONTROL'!$A$6,'18_WEIGHT_CONTROL'!$B$6,IF('90_CANON_CONF_SOURCE'!I7='18_WEIGHT_CONTROL'!$A$7,'18_WEIGHT_CONTROL'!$B$7,'18_WEIGHT_CONTROL'!$B$8)))</f>
        <v/>
      </c>
      <c r="J7">
        <f>IF('90_CANON_CONF_SOURCE'!J7='18_WEIGHT_CONTROL'!$A$5,'18_WEIGHT_CONTROL'!$B$5,IF('90_CANON_CONF_SOURCE'!J7='18_WEIGHT_CONTROL'!$A$6,'18_WEIGHT_CONTROL'!$B$6,IF('90_CANON_CONF_SOURCE'!J7='18_WEIGHT_CONTROL'!$A$7,'18_WEIGHT_CONTROL'!$B$7,'18_WEIGHT_CONTROL'!$B$8)))</f>
        <v/>
      </c>
      <c r="K7">
        <f>IF('90_CANON_CONF_SOURCE'!K7='18_WEIGHT_CONTROL'!$A$5,'18_WEIGHT_CONTROL'!$B$5,IF('90_CANON_CONF_SOURCE'!K7='18_WEIGHT_CONTROL'!$A$6,'18_WEIGHT_CONTROL'!$B$6,IF('90_CANON_CONF_SOURCE'!K7='18_WEIGHT_CONTROL'!$A$7,'18_WEIGHT_CONTROL'!$B$7,'18_WEIGHT_CONTROL'!$B$8)))</f>
        <v/>
      </c>
      <c r="L7">
        <f>IF('90_CANON_CONF_SOURCE'!L7='18_WEIGHT_CONTROL'!$A$5,'18_WEIGHT_CONTROL'!$B$5,IF('90_CANON_CONF_SOURCE'!L7='18_WEIGHT_CONTROL'!$A$6,'18_WEIGHT_CONTROL'!$B$6,IF('90_CANON_CONF_SOURCE'!L7='18_WEIGHT_CONTROL'!$A$7,'18_WEIGHT_CONTROL'!$B$7,'18_WEIGHT_CONTROL'!$B$8)))</f>
        <v/>
      </c>
      <c r="M7">
        <f>IF('90_CANON_CONF_SOURCE'!M7='18_WEIGHT_CONTROL'!$A$5,'18_WEIGHT_CONTROL'!$B$5,IF('90_CANON_CONF_SOURCE'!M7='18_WEIGHT_CONTROL'!$A$6,'18_WEIGHT_CONTROL'!$B$6,IF('90_CANON_CONF_SOURCE'!M7='18_WEIGHT_CONTROL'!$A$7,'18_WEIGHT_CONTROL'!$B$7,'18_WEIGHT_CONTROL'!$B$8)))</f>
        <v/>
      </c>
      <c r="N7">
        <f>IF('90_CANON_CONF_SOURCE'!N7='18_WEIGHT_CONTROL'!$A$5,'18_WEIGHT_CONTROL'!$B$5,IF('90_CANON_CONF_SOURCE'!N7='18_WEIGHT_CONTROL'!$A$6,'18_WEIGHT_CONTROL'!$B$6,IF('90_CANON_CONF_SOURCE'!N7='18_WEIGHT_CONTROL'!$A$7,'18_WEIGHT_CONTROL'!$B$7,'18_WEIGHT_CONTROL'!$B$8)))</f>
        <v/>
      </c>
      <c r="O7">
        <f>IF('90_CANON_CONF_SOURCE'!O7='18_WEIGHT_CONTROL'!$A$5,'18_WEIGHT_CONTROL'!$B$5,IF('90_CANON_CONF_SOURCE'!O7='18_WEIGHT_CONTROL'!$A$6,'18_WEIGHT_CONTROL'!$B$6,IF('90_CANON_CONF_SOURCE'!O7='18_WEIGHT_CONTROL'!$A$7,'18_WEIGHT_CONTROL'!$B$7,'18_WEIGHT_CONTROL'!$B$8)))</f>
        <v/>
      </c>
      <c r="P7">
        <f>IF('90_CANON_CONF_SOURCE'!P7='18_WEIGHT_CONTROL'!$A$5,'18_WEIGHT_CONTROL'!$B$5,IF('90_CANON_CONF_SOURCE'!P7='18_WEIGHT_CONTROL'!$A$6,'18_WEIGHT_CONTROL'!$B$6,IF('90_CANON_CONF_SOURCE'!P7='18_WEIGHT_CONTROL'!$A$7,'18_WEIGHT_CONTROL'!$B$7,'18_WEIGHT_CONTROL'!$B$8)))</f>
        <v/>
      </c>
      <c r="Q7">
        <f>IF('90_CANON_CONF_SOURCE'!Q7='18_WEIGHT_CONTROL'!$A$5,'18_WEIGHT_CONTROL'!$B$5,IF('90_CANON_CONF_SOURCE'!Q7='18_WEIGHT_CONTROL'!$A$6,'18_WEIGHT_CONTROL'!$B$6,IF('90_CANON_CONF_SOURCE'!Q7='18_WEIGHT_CONTROL'!$A$7,'18_WEIGHT_CONTROL'!$B$7,'18_WEIGHT_CONTROL'!$B$8)))</f>
        <v/>
      </c>
      <c r="R7">
        <f>IF('90_CANON_CONF_SOURCE'!R7='18_WEIGHT_CONTROL'!$A$5,'18_WEIGHT_CONTROL'!$B$5,IF('90_CANON_CONF_SOURCE'!R7='18_WEIGHT_CONTROL'!$A$6,'18_WEIGHT_CONTROL'!$B$6,IF('90_CANON_CONF_SOURCE'!R7='18_WEIGHT_CONTROL'!$A$7,'18_WEIGHT_CONTROL'!$B$7,'18_WEIGHT_CONTROL'!$B$8)))</f>
        <v/>
      </c>
      <c r="S7">
        <f>IF('90_CANON_CONF_SOURCE'!S7='18_WEIGHT_CONTROL'!$A$5,'18_WEIGHT_CONTROL'!$B$5,IF('90_CANON_CONF_SOURCE'!S7='18_WEIGHT_CONTROL'!$A$6,'18_WEIGHT_CONTROL'!$B$6,IF('90_CANON_CONF_SOURCE'!S7='18_WEIGHT_CONTROL'!$A$7,'18_WEIGHT_CONTROL'!$B$7,'18_WEIGHT_CONTROL'!$B$8)))</f>
        <v/>
      </c>
      <c r="T7">
        <f>IF('90_CANON_CONF_SOURCE'!T7='18_WEIGHT_CONTROL'!$A$5,'18_WEIGHT_CONTROL'!$B$5,IF('90_CANON_CONF_SOURCE'!T7='18_WEIGHT_CONTROL'!$A$6,'18_WEIGHT_CONTROL'!$B$6,IF('90_CANON_CONF_SOURCE'!T7='18_WEIGHT_CONTROL'!$A$7,'18_WEIGHT_CONTROL'!$B$7,'18_WEIGHT_CONTROL'!$B$8)))</f>
        <v/>
      </c>
      <c r="U7">
        <f>IF('90_CANON_CONF_SOURCE'!U7='18_WEIGHT_CONTROL'!$A$5,'18_WEIGHT_CONTROL'!$B$5,IF('90_CANON_CONF_SOURCE'!U7='18_WEIGHT_CONTROL'!$A$6,'18_WEIGHT_CONTROL'!$B$6,IF('90_CANON_CONF_SOURCE'!U7='18_WEIGHT_CONTROL'!$A$7,'18_WEIGHT_CONTROL'!$B$7,'18_WEIGHT_CONTROL'!$B$8)))</f>
        <v/>
      </c>
      <c r="V7">
        <f>IF('90_CANON_CONF_SOURCE'!V7='18_WEIGHT_CONTROL'!$A$5,'18_WEIGHT_CONTROL'!$B$5,IF('90_CANON_CONF_SOURCE'!V7='18_WEIGHT_CONTROL'!$A$6,'18_WEIGHT_CONTROL'!$B$6,IF('90_CANON_CONF_SOURCE'!V7='18_WEIGHT_CONTROL'!$A$7,'18_WEIGHT_CONTROL'!$B$7,'18_WEIGHT_CONTROL'!$B$8)))</f>
        <v/>
      </c>
      <c r="W7">
        <f>IF('90_CANON_CONF_SOURCE'!W7='18_WEIGHT_CONTROL'!$A$5,'18_WEIGHT_CONTROL'!$B$5,IF('90_CANON_CONF_SOURCE'!W7='18_WEIGHT_CONTROL'!$A$6,'18_WEIGHT_CONTROL'!$B$6,IF('90_CANON_CONF_SOURCE'!W7='18_WEIGHT_CONTROL'!$A$7,'18_WEIGHT_CONTROL'!$B$7,'18_WEIGHT_CONTROL'!$B$8)))</f>
        <v/>
      </c>
      <c r="X7">
        <f>IF('90_CANON_CONF_SOURCE'!X7='18_WEIGHT_CONTROL'!$A$5,'18_WEIGHT_CONTROL'!$B$5,IF('90_CANON_CONF_SOURCE'!X7='18_WEIGHT_CONTROL'!$A$6,'18_WEIGHT_CONTROL'!$B$6,IF('90_CANON_CONF_SOURCE'!X7='18_WEIGHT_CONTROL'!$A$7,'18_WEIGHT_CONTROL'!$B$7,'18_WEIGHT_CONTROL'!$B$8)))</f>
        <v/>
      </c>
      <c r="Y7">
        <f>IF('90_CANON_CONF_SOURCE'!Y7='18_WEIGHT_CONTROL'!$A$5,'18_WEIGHT_CONTROL'!$B$5,IF('90_CANON_CONF_SOURCE'!Y7='18_WEIGHT_CONTROL'!$A$6,'18_WEIGHT_CONTROL'!$B$6,IF('90_CANON_CONF_SOURCE'!Y7='18_WEIGHT_CONTROL'!$A$7,'18_WEIGHT_CONTROL'!$B$7,'18_WEIGHT_CONTROL'!$B$8)))</f>
        <v/>
      </c>
      <c r="Z7">
        <f>IF('91_MOTIF_CONF_SOURCE'!D7='18_WEIGHT_CONTROL'!$A$5,'18_WEIGHT_CONTROL'!$B$5,IF('91_MOTIF_CONF_SOURCE'!D7='18_WEIGHT_CONTROL'!$A$6,'18_WEIGHT_CONTROL'!$B$6,IF('91_MOTIF_CONF_SOURCE'!D7='18_WEIGHT_CONTROL'!$A$7,'18_WEIGHT_CONTROL'!$B$7,'18_WEIGHT_CONTROL'!$B$8)))</f>
        <v/>
      </c>
      <c r="AA7">
        <f>IF('91_MOTIF_CONF_SOURCE'!E7='18_WEIGHT_CONTROL'!$A$5,'18_WEIGHT_CONTROL'!$B$5,IF('91_MOTIF_CONF_SOURCE'!E7='18_WEIGHT_CONTROL'!$A$6,'18_WEIGHT_CONTROL'!$B$6,IF('91_MOTIF_CONF_SOURCE'!E7='18_WEIGHT_CONTROL'!$A$7,'18_WEIGHT_CONTROL'!$B$7,'18_WEIGHT_CONTROL'!$B$8)))</f>
        <v/>
      </c>
      <c r="AB7">
        <f>IF('91_MOTIF_CONF_SOURCE'!F7='18_WEIGHT_CONTROL'!$A$5,'18_WEIGHT_CONTROL'!$B$5,IF('91_MOTIF_CONF_SOURCE'!F7='18_WEIGHT_CONTROL'!$A$6,'18_WEIGHT_CONTROL'!$B$6,IF('91_MOTIF_CONF_SOURCE'!F7='18_WEIGHT_CONTROL'!$A$7,'18_WEIGHT_CONTROL'!$B$7,'18_WEIGHT_CONTROL'!$B$8)))</f>
        <v/>
      </c>
      <c r="AC7">
        <f>IF('91_MOTIF_CONF_SOURCE'!G7='18_WEIGHT_CONTROL'!$A$5,'18_WEIGHT_CONTROL'!$B$5,IF('91_MOTIF_CONF_SOURCE'!G7='18_WEIGHT_CONTROL'!$A$6,'18_WEIGHT_CONTROL'!$B$6,IF('91_MOTIF_CONF_SOURCE'!G7='18_WEIGHT_CONTROL'!$A$7,'18_WEIGHT_CONTROL'!$B$7,'18_WEIGHT_CONTROL'!$B$8)))</f>
        <v/>
      </c>
      <c r="AD7">
        <f>IF('91_MOTIF_CONF_SOURCE'!H7='18_WEIGHT_CONTROL'!$A$5,'18_WEIGHT_CONTROL'!$B$5,IF('91_MOTIF_CONF_SOURCE'!H7='18_WEIGHT_CONTROL'!$A$6,'18_WEIGHT_CONTROL'!$B$6,IF('91_MOTIF_CONF_SOURCE'!H7='18_WEIGHT_CONTROL'!$A$7,'18_WEIGHT_CONTROL'!$B$7,'18_WEIGHT_CONTROL'!$B$8)))</f>
        <v/>
      </c>
      <c r="AE7">
        <f>IF('91_MOTIF_CONF_SOURCE'!I7='18_WEIGHT_CONTROL'!$A$5,'18_WEIGHT_CONTROL'!$B$5,IF('91_MOTIF_CONF_SOURCE'!I7='18_WEIGHT_CONTROL'!$A$6,'18_WEIGHT_CONTROL'!$B$6,IF('91_MOTIF_CONF_SOURCE'!I7='18_WEIGHT_CONTROL'!$A$7,'18_WEIGHT_CONTROL'!$B$7,'18_WEIGHT_CONTROL'!$B$8)))</f>
        <v/>
      </c>
      <c r="AF7">
        <f>IF('91_MOTIF_CONF_SOURCE'!J7='18_WEIGHT_CONTROL'!$A$5,'18_WEIGHT_CONTROL'!$B$5,IF('91_MOTIF_CONF_SOURCE'!J7='18_WEIGHT_CONTROL'!$A$6,'18_WEIGHT_CONTROL'!$B$6,IF('91_MOTIF_CONF_SOURCE'!J7='18_WEIGHT_CONTROL'!$A$7,'18_WEIGHT_CONTROL'!$B$7,'18_WEIGHT_CONTROL'!$B$8)))</f>
        <v/>
      </c>
      <c r="AG7">
        <f>IF('91_MOTIF_CONF_SOURCE'!K7='18_WEIGHT_CONTROL'!$A$5,'18_WEIGHT_CONTROL'!$B$5,IF('91_MOTIF_CONF_SOURCE'!K7='18_WEIGHT_CONTROL'!$A$6,'18_WEIGHT_CONTROL'!$B$6,IF('91_MOTIF_CONF_SOURCE'!K7='18_WEIGHT_CONTROL'!$A$7,'18_WEIGHT_CONTROL'!$B$7,'18_WEIGHT_CONTROL'!$B$8)))</f>
        <v/>
      </c>
      <c r="AH7">
        <f>IF('91_MOTIF_CONF_SOURCE'!L7='18_WEIGHT_CONTROL'!$A$5,'18_WEIGHT_CONTROL'!$B$5,IF('91_MOTIF_CONF_SOURCE'!L7='18_WEIGHT_CONTROL'!$A$6,'18_WEIGHT_CONTROL'!$B$6,IF('91_MOTIF_CONF_SOURCE'!L7='18_WEIGHT_CONTROL'!$A$7,'18_WEIGHT_CONTROL'!$B$7,'18_WEIGHT_CONTROL'!$B$8)))</f>
        <v/>
      </c>
      <c r="AI7">
        <f>IF('91_MOTIF_CONF_SOURCE'!M7='18_WEIGHT_CONTROL'!$A$5,'18_WEIGHT_CONTROL'!$B$5,IF('91_MOTIF_CONF_SOURCE'!M7='18_WEIGHT_CONTROL'!$A$6,'18_WEIGHT_CONTROL'!$B$6,IF('91_MOTIF_CONF_SOURCE'!M7='18_WEIGHT_CONTROL'!$A$7,'18_WEIGHT_CONTROL'!$B$7,'18_WEIGHT_CONTROL'!$B$8)))</f>
        <v/>
      </c>
      <c r="AJ7">
        <f>IF('91_MOTIF_CONF_SOURCE'!N7='18_WEIGHT_CONTROL'!$A$5,'18_WEIGHT_CONTROL'!$B$5,IF('91_MOTIF_CONF_SOURCE'!N7='18_WEIGHT_CONTROL'!$A$6,'18_WEIGHT_CONTROL'!$B$6,IF('91_MOTIF_CONF_SOURCE'!N7='18_WEIGHT_CONTROL'!$A$7,'18_WEIGHT_CONTROL'!$B$7,'18_WEIGHT_CONTROL'!$B$8)))</f>
        <v/>
      </c>
      <c r="AK7">
        <f>IF('91_MOTIF_CONF_SOURCE'!O7='18_WEIGHT_CONTROL'!$A$5,'18_WEIGHT_CONTROL'!$B$5,IF('91_MOTIF_CONF_SOURCE'!O7='18_WEIGHT_CONTROL'!$A$6,'18_WEIGHT_CONTROL'!$B$6,IF('91_MOTIF_CONF_SOURCE'!O7='18_WEIGHT_CONTROL'!$A$7,'18_WEIGHT_CONTROL'!$B$7,'18_WEIGHT_CONTROL'!$B$8)))</f>
        <v/>
      </c>
      <c r="AL7">
        <f>IF('91_MOTIF_CONF_SOURCE'!P7='18_WEIGHT_CONTROL'!$A$5,'18_WEIGHT_CONTROL'!$B$5,IF('91_MOTIF_CONF_SOURCE'!P7='18_WEIGHT_CONTROL'!$A$6,'18_WEIGHT_CONTROL'!$B$6,IF('91_MOTIF_CONF_SOURCE'!P7='18_WEIGHT_CONTROL'!$A$7,'18_WEIGHT_CONTROL'!$B$7,'18_WEIGHT_CONTROL'!$B$8)))</f>
        <v/>
      </c>
      <c r="AM7">
        <f>IF('91_MOTIF_CONF_SOURCE'!Q7='18_WEIGHT_CONTROL'!$A$5,'18_WEIGHT_CONTROL'!$B$5,IF('91_MOTIF_CONF_SOURCE'!Q7='18_WEIGHT_CONTROL'!$A$6,'18_WEIGHT_CONTROL'!$B$6,IF('91_MOTIF_CONF_SOURCE'!Q7='18_WEIGHT_CONTROL'!$A$7,'18_WEIGHT_CONTROL'!$B$7,'18_WEIGHT_CONTROL'!$B$8)))</f>
        <v/>
      </c>
      <c r="AN7">
        <f>IF('91_MOTIF_CONF_SOURCE'!R7='18_WEIGHT_CONTROL'!$A$5,'18_WEIGHT_CONTROL'!$B$5,IF('91_MOTIF_CONF_SOURCE'!R7='18_WEIGHT_CONTROL'!$A$6,'18_WEIGHT_CONTROL'!$B$6,IF('91_MOTIF_CONF_SOURCE'!R7='18_WEIGHT_CONTROL'!$A$7,'18_WEIGHT_CONTROL'!$B$7,'18_WEIGHT_CONTROL'!$B$8)))</f>
        <v/>
      </c>
      <c r="AO7">
        <f>IF('91_MOTIF_CONF_SOURCE'!S7='18_WEIGHT_CONTROL'!$A$5,'18_WEIGHT_CONTROL'!$B$5,IF('91_MOTIF_CONF_SOURCE'!S7='18_WEIGHT_CONTROL'!$A$6,'18_WEIGHT_CONTROL'!$B$6,IF('91_MOTIF_CONF_SOURCE'!S7='18_WEIGHT_CONTROL'!$A$7,'18_WEIGHT_CONTROL'!$B$7,'18_WEIGHT_CONTROL'!$B$8)))</f>
        <v/>
      </c>
      <c r="AP7">
        <f>IF('91_MOTIF_CONF_SOURCE'!T7='18_WEIGHT_CONTROL'!$A$5,'18_WEIGHT_CONTROL'!$B$5,IF('91_MOTIF_CONF_SOURCE'!T7='18_WEIGHT_CONTROL'!$A$6,'18_WEIGHT_CONTROL'!$B$6,IF('91_MOTIF_CONF_SOURCE'!T7='18_WEIGHT_CONTROL'!$A$7,'18_WEIGHT_CONTROL'!$B$7,'18_WEIGHT_CONTROL'!$B$8)))</f>
        <v/>
      </c>
      <c r="AQ7">
        <f>IF('91_MOTIF_CONF_SOURCE'!U7='18_WEIGHT_CONTROL'!$A$5,'18_WEIGHT_CONTROL'!$B$5,IF('91_MOTIF_CONF_SOURCE'!U7='18_WEIGHT_CONTROL'!$A$6,'18_WEIGHT_CONTROL'!$B$6,IF('91_MOTIF_CONF_SOURCE'!U7='18_WEIGHT_CONTROL'!$A$7,'18_WEIGHT_CONTROL'!$B$7,'18_WEIGHT_CONTROL'!$B$8)))</f>
        <v/>
      </c>
      <c r="AR7">
        <f>IF('91_MOTIF_CONF_SOURCE'!V7='18_WEIGHT_CONTROL'!$A$5,'18_WEIGHT_CONTROL'!$B$5,IF('91_MOTIF_CONF_SOURCE'!V7='18_WEIGHT_CONTROL'!$A$6,'18_WEIGHT_CONTROL'!$B$6,IF('91_MOTIF_CONF_SOURCE'!V7='18_WEIGHT_CONTROL'!$A$7,'18_WEIGHT_CONTROL'!$B$7,'18_WEIGHT_CONTROL'!$B$8)))</f>
        <v/>
      </c>
    </row>
    <row r="8">
      <c r="A8" t="n">
        <v>4</v>
      </c>
      <c r="B8" t="inlineStr">
        <is>
          <t>仙女座人</t>
        </is>
      </c>
      <c r="C8" t="inlineStr">
        <is>
          <t>Andromedan</t>
        </is>
      </c>
      <c r="D8">
        <f>IF('90_CANON_CONF_SOURCE'!D8='18_WEIGHT_CONTROL'!$A$5,'18_WEIGHT_CONTROL'!$B$5,IF('90_CANON_CONF_SOURCE'!D8='18_WEIGHT_CONTROL'!$A$6,'18_WEIGHT_CONTROL'!$B$6,IF('90_CANON_CONF_SOURCE'!D8='18_WEIGHT_CONTROL'!$A$7,'18_WEIGHT_CONTROL'!$B$7,'18_WEIGHT_CONTROL'!$B$8)))</f>
        <v/>
      </c>
      <c r="E8">
        <f>IF('90_CANON_CONF_SOURCE'!E8='18_WEIGHT_CONTROL'!$A$5,'18_WEIGHT_CONTROL'!$B$5,IF('90_CANON_CONF_SOURCE'!E8='18_WEIGHT_CONTROL'!$A$6,'18_WEIGHT_CONTROL'!$B$6,IF('90_CANON_CONF_SOURCE'!E8='18_WEIGHT_CONTROL'!$A$7,'18_WEIGHT_CONTROL'!$B$7,'18_WEIGHT_CONTROL'!$B$8)))</f>
        <v/>
      </c>
      <c r="F8">
        <f>IF('90_CANON_CONF_SOURCE'!F8='18_WEIGHT_CONTROL'!$A$5,'18_WEIGHT_CONTROL'!$B$5,IF('90_CANON_CONF_SOURCE'!F8='18_WEIGHT_CONTROL'!$A$6,'18_WEIGHT_CONTROL'!$B$6,IF('90_CANON_CONF_SOURCE'!F8='18_WEIGHT_CONTROL'!$A$7,'18_WEIGHT_CONTROL'!$B$7,'18_WEIGHT_CONTROL'!$B$8)))</f>
        <v/>
      </c>
      <c r="G8">
        <f>IF('90_CANON_CONF_SOURCE'!G8='18_WEIGHT_CONTROL'!$A$5,'18_WEIGHT_CONTROL'!$B$5,IF('90_CANON_CONF_SOURCE'!G8='18_WEIGHT_CONTROL'!$A$6,'18_WEIGHT_CONTROL'!$B$6,IF('90_CANON_CONF_SOURCE'!G8='18_WEIGHT_CONTROL'!$A$7,'18_WEIGHT_CONTROL'!$B$7,'18_WEIGHT_CONTROL'!$B$8)))</f>
        <v/>
      </c>
      <c r="H8">
        <f>IF('90_CANON_CONF_SOURCE'!H8='18_WEIGHT_CONTROL'!$A$5,'18_WEIGHT_CONTROL'!$B$5,IF('90_CANON_CONF_SOURCE'!H8='18_WEIGHT_CONTROL'!$A$6,'18_WEIGHT_CONTROL'!$B$6,IF('90_CANON_CONF_SOURCE'!H8='18_WEIGHT_CONTROL'!$A$7,'18_WEIGHT_CONTROL'!$B$7,'18_WEIGHT_CONTROL'!$B$8)))</f>
        <v/>
      </c>
      <c r="I8">
        <f>IF('90_CANON_CONF_SOURCE'!I8='18_WEIGHT_CONTROL'!$A$5,'18_WEIGHT_CONTROL'!$B$5,IF('90_CANON_CONF_SOURCE'!I8='18_WEIGHT_CONTROL'!$A$6,'18_WEIGHT_CONTROL'!$B$6,IF('90_CANON_CONF_SOURCE'!I8='18_WEIGHT_CONTROL'!$A$7,'18_WEIGHT_CONTROL'!$B$7,'18_WEIGHT_CONTROL'!$B$8)))</f>
        <v/>
      </c>
      <c r="J8">
        <f>IF('90_CANON_CONF_SOURCE'!J8='18_WEIGHT_CONTROL'!$A$5,'18_WEIGHT_CONTROL'!$B$5,IF('90_CANON_CONF_SOURCE'!J8='18_WEIGHT_CONTROL'!$A$6,'18_WEIGHT_CONTROL'!$B$6,IF('90_CANON_CONF_SOURCE'!J8='18_WEIGHT_CONTROL'!$A$7,'18_WEIGHT_CONTROL'!$B$7,'18_WEIGHT_CONTROL'!$B$8)))</f>
        <v/>
      </c>
      <c r="K8">
        <f>IF('90_CANON_CONF_SOURCE'!K8='18_WEIGHT_CONTROL'!$A$5,'18_WEIGHT_CONTROL'!$B$5,IF('90_CANON_CONF_SOURCE'!K8='18_WEIGHT_CONTROL'!$A$6,'18_WEIGHT_CONTROL'!$B$6,IF('90_CANON_CONF_SOURCE'!K8='18_WEIGHT_CONTROL'!$A$7,'18_WEIGHT_CONTROL'!$B$7,'18_WEIGHT_CONTROL'!$B$8)))</f>
        <v/>
      </c>
      <c r="L8">
        <f>IF('90_CANON_CONF_SOURCE'!L8='18_WEIGHT_CONTROL'!$A$5,'18_WEIGHT_CONTROL'!$B$5,IF('90_CANON_CONF_SOURCE'!L8='18_WEIGHT_CONTROL'!$A$6,'18_WEIGHT_CONTROL'!$B$6,IF('90_CANON_CONF_SOURCE'!L8='18_WEIGHT_CONTROL'!$A$7,'18_WEIGHT_CONTROL'!$B$7,'18_WEIGHT_CONTROL'!$B$8)))</f>
        <v/>
      </c>
      <c r="M8">
        <f>IF('90_CANON_CONF_SOURCE'!M8='18_WEIGHT_CONTROL'!$A$5,'18_WEIGHT_CONTROL'!$B$5,IF('90_CANON_CONF_SOURCE'!M8='18_WEIGHT_CONTROL'!$A$6,'18_WEIGHT_CONTROL'!$B$6,IF('90_CANON_CONF_SOURCE'!M8='18_WEIGHT_CONTROL'!$A$7,'18_WEIGHT_CONTROL'!$B$7,'18_WEIGHT_CONTROL'!$B$8)))</f>
        <v/>
      </c>
      <c r="N8">
        <f>IF('90_CANON_CONF_SOURCE'!N8='18_WEIGHT_CONTROL'!$A$5,'18_WEIGHT_CONTROL'!$B$5,IF('90_CANON_CONF_SOURCE'!N8='18_WEIGHT_CONTROL'!$A$6,'18_WEIGHT_CONTROL'!$B$6,IF('90_CANON_CONF_SOURCE'!N8='18_WEIGHT_CONTROL'!$A$7,'18_WEIGHT_CONTROL'!$B$7,'18_WEIGHT_CONTROL'!$B$8)))</f>
        <v/>
      </c>
      <c r="O8">
        <f>IF('90_CANON_CONF_SOURCE'!O8='18_WEIGHT_CONTROL'!$A$5,'18_WEIGHT_CONTROL'!$B$5,IF('90_CANON_CONF_SOURCE'!O8='18_WEIGHT_CONTROL'!$A$6,'18_WEIGHT_CONTROL'!$B$6,IF('90_CANON_CONF_SOURCE'!O8='18_WEIGHT_CONTROL'!$A$7,'18_WEIGHT_CONTROL'!$B$7,'18_WEIGHT_CONTROL'!$B$8)))</f>
        <v/>
      </c>
      <c r="P8">
        <f>IF('90_CANON_CONF_SOURCE'!P8='18_WEIGHT_CONTROL'!$A$5,'18_WEIGHT_CONTROL'!$B$5,IF('90_CANON_CONF_SOURCE'!P8='18_WEIGHT_CONTROL'!$A$6,'18_WEIGHT_CONTROL'!$B$6,IF('90_CANON_CONF_SOURCE'!P8='18_WEIGHT_CONTROL'!$A$7,'18_WEIGHT_CONTROL'!$B$7,'18_WEIGHT_CONTROL'!$B$8)))</f>
        <v/>
      </c>
      <c r="Q8">
        <f>IF('90_CANON_CONF_SOURCE'!Q8='18_WEIGHT_CONTROL'!$A$5,'18_WEIGHT_CONTROL'!$B$5,IF('90_CANON_CONF_SOURCE'!Q8='18_WEIGHT_CONTROL'!$A$6,'18_WEIGHT_CONTROL'!$B$6,IF('90_CANON_CONF_SOURCE'!Q8='18_WEIGHT_CONTROL'!$A$7,'18_WEIGHT_CONTROL'!$B$7,'18_WEIGHT_CONTROL'!$B$8)))</f>
        <v/>
      </c>
      <c r="R8">
        <f>IF('90_CANON_CONF_SOURCE'!R8='18_WEIGHT_CONTROL'!$A$5,'18_WEIGHT_CONTROL'!$B$5,IF('90_CANON_CONF_SOURCE'!R8='18_WEIGHT_CONTROL'!$A$6,'18_WEIGHT_CONTROL'!$B$6,IF('90_CANON_CONF_SOURCE'!R8='18_WEIGHT_CONTROL'!$A$7,'18_WEIGHT_CONTROL'!$B$7,'18_WEIGHT_CONTROL'!$B$8)))</f>
        <v/>
      </c>
      <c r="S8">
        <f>IF('90_CANON_CONF_SOURCE'!S8='18_WEIGHT_CONTROL'!$A$5,'18_WEIGHT_CONTROL'!$B$5,IF('90_CANON_CONF_SOURCE'!S8='18_WEIGHT_CONTROL'!$A$6,'18_WEIGHT_CONTROL'!$B$6,IF('90_CANON_CONF_SOURCE'!S8='18_WEIGHT_CONTROL'!$A$7,'18_WEIGHT_CONTROL'!$B$7,'18_WEIGHT_CONTROL'!$B$8)))</f>
        <v/>
      </c>
      <c r="T8">
        <f>IF('90_CANON_CONF_SOURCE'!T8='18_WEIGHT_CONTROL'!$A$5,'18_WEIGHT_CONTROL'!$B$5,IF('90_CANON_CONF_SOURCE'!T8='18_WEIGHT_CONTROL'!$A$6,'18_WEIGHT_CONTROL'!$B$6,IF('90_CANON_CONF_SOURCE'!T8='18_WEIGHT_CONTROL'!$A$7,'18_WEIGHT_CONTROL'!$B$7,'18_WEIGHT_CONTROL'!$B$8)))</f>
        <v/>
      </c>
      <c r="U8">
        <f>IF('90_CANON_CONF_SOURCE'!U8='18_WEIGHT_CONTROL'!$A$5,'18_WEIGHT_CONTROL'!$B$5,IF('90_CANON_CONF_SOURCE'!U8='18_WEIGHT_CONTROL'!$A$6,'18_WEIGHT_CONTROL'!$B$6,IF('90_CANON_CONF_SOURCE'!U8='18_WEIGHT_CONTROL'!$A$7,'18_WEIGHT_CONTROL'!$B$7,'18_WEIGHT_CONTROL'!$B$8)))</f>
        <v/>
      </c>
      <c r="V8">
        <f>IF('90_CANON_CONF_SOURCE'!V8='18_WEIGHT_CONTROL'!$A$5,'18_WEIGHT_CONTROL'!$B$5,IF('90_CANON_CONF_SOURCE'!V8='18_WEIGHT_CONTROL'!$A$6,'18_WEIGHT_CONTROL'!$B$6,IF('90_CANON_CONF_SOURCE'!V8='18_WEIGHT_CONTROL'!$A$7,'18_WEIGHT_CONTROL'!$B$7,'18_WEIGHT_CONTROL'!$B$8)))</f>
        <v/>
      </c>
      <c r="W8">
        <f>IF('90_CANON_CONF_SOURCE'!W8='18_WEIGHT_CONTROL'!$A$5,'18_WEIGHT_CONTROL'!$B$5,IF('90_CANON_CONF_SOURCE'!W8='18_WEIGHT_CONTROL'!$A$6,'18_WEIGHT_CONTROL'!$B$6,IF('90_CANON_CONF_SOURCE'!W8='18_WEIGHT_CONTROL'!$A$7,'18_WEIGHT_CONTROL'!$B$7,'18_WEIGHT_CONTROL'!$B$8)))</f>
        <v/>
      </c>
      <c r="X8">
        <f>IF('90_CANON_CONF_SOURCE'!X8='18_WEIGHT_CONTROL'!$A$5,'18_WEIGHT_CONTROL'!$B$5,IF('90_CANON_CONF_SOURCE'!X8='18_WEIGHT_CONTROL'!$A$6,'18_WEIGHT_CONTROL'!$B$6,IF('90_CANON_CONF_SOURCE'!X8='18_WEIGHT_CONTROL'!$A$7,'18_WEIGHT_CONTROL'!$B$7,'18_WEIGHT_CONTROL'!$B$8)))</f>
        <v/>
      </c>
      <c r="Y8">
        <f>IF('90_CANON_CONF_SOURCE'!Y8='18_WEIGHT_CONTROL'!$A$5,'18_WEIGHT_CONTROL'!$B$5,IF('90_CANON_CONF_SOURCE'!Y8='18_WEIGHT_CONTROL'!$A$6,'18_WEIGHT_CONTROL'!$B$6,IF('90_CANON_CONF_SOURCE'!Y8='18_WEIGHT_CONTROL'!$A$7,'18_WEIGHT_CONTROL'!$B$7,'18_WEIGHT_CONTROL'!$B$8)))</f>
        <v/>
      </c>
      <c r="Z8">
        <f>IF('91_MOTIF_CONF_SOURCE'!D8='18_WEIGHT_CONTROL'!$A$5,'18_WEIGHT_CONTROL'!$B$5,IF('91_MOTIF_CONF_SOURCE'!D8='18_WEIGHT_CONTROL'!$A$6,'18_WEIGHT_CONTROL'!$B$6,IF('91_MOTIF_CONF_SOURCE'!D8='18_WEIGHT_CONTROL'!$A$7,'18_WEIGHT_CONTROL'!$B$7,'18_WEIGHT_CONTROL'!$B$8)))</f>
        <v/>
      </c>
      <c r="AA8">
        <f>IF('91_MOTIF_CONF_SOURCE'!E8='18_WEIGHT_CONTROL'!$A$5,'18_WEIGHT_CONTROL'!$B$5,IF('91_MOTIF_CONF_SOURCE'!E8='18_WEIGHT_CONTROL'!$A$6,'18_WEIGHT_CONTROL'!$B$6,IF('91_MOTIF_CONF_SOURCE'!E8='18_WEIGHT_CONTROL'!$A$7,'18_WEIGHT_CONTROL'!$B$7,'18_WEIGHT_CONTROL'!$B$8)))</f>
        <v/>
      </c>
      <c r="AB8">
        <f>IF('91_MOTIF_CONF_SOURCE'!F8='18_WEIGHT_CONTROL'!$A$5,'18_WEIGHT_CONTROL'!$B$5,IF('91_MOTIF_CONF_SOURCE'!F8='18_WEIGHT_CONTROL'!$A$6,'18_WEIGHT_CONTROL'!$B$6,IF('91_MOTIF_CONF_SOURCE'!F8='18_WEIGHT_CONTROL'!$A$7,'18_WEIGHT_CONTROL'!$B$7,'18_WEIGHT_CONTROL'!$B$8)))</f>
        <v/>
      </c>
      <c r="AC8">
        <f>IF('91_MOTIF_CONF_SOURCE'!G8='18_WEIGHT_CONTROL'!$A$5,'18_WEIGHT_CONTROL'!$B$5,IF('91_MOTIF_CONF_SOURCE'!G8='18_WEIGHT_CONTROL'!$A$6,'18_WEIGHT_CONTROL'!$B$6,IF('91_MOTIF_CONF_SOURCE'!G8='18_WEIGHT_CONTROL'!$A$7,'18_WEIGHT_CONTROL'!$B$7,'18_WEIGHT_CONTROL'!$B$8)))</f>
        <v/>
      </c>
      <c r="AD8">
        <f>IF('91_MOTIF_CONF_SOURCE'!H8='18_WEIGHT_CONTROL'!$A$5,'18_WEIGHT_CONTROL'!$B$5,IF('91_MOTIF_CONF_SOURCE'!H8='18_WEIGHT_CONTROL'!$A$6,'18_WEIGHT_CONTROL'!$B$6,IF('91_MOTIF_CONF_SOURCE'!H8='18_WEIGHT_CONTROL'!$A$7,'18_WEIGHT_CONTROL'!$B$7,'18_WEIGHT_CONTROL'!$B$8)))</f>
        <v/>
      </c>
      <c r="AE8">
        <f>IF('91_MOTIF_CONF_SOURCE'!I8='18_WEIGHT_CONTROL'!$A$5,'18_WEIGHT_CONTROL'!$B$5,IF('91_MOTIF_CONF_SOURCE'!I8='18_WEIGHT_CONTROL'!$A$6,'18_WEIGHT_CONTROL'!$B$6,IF('91_MOTIF_CONF_SOURCE'!I8='18_WEIGHT_CONTROL'!$A$7,'18_WEIGHT_CONTROL'!$B$7,'18_WEIGHT_CONTROL'!$B$8)))</f>
        <v/>
      </c>
      <c r="AF8">
        <f>IF('91_MOTIF_CONF_SOURCE'!J8='18_WEIGHT_CONTROL'!$A$5,'18_WEIGHT_CONTROL'!$B$5,IF('91_MOTIF_CONF_SOURCE'!J8='18_WEIGHT_CONTROL'!$A$6,'18_WEIGHT_CONTROL'!$B$6,IF('91_MOTIF_CONF_SOURCE'!J8='18_WEIGHT_CONTROL'!$A$7,'18_WEIGHT_CONTROL'!$B$7,'18_WEIGHT_CONTROL'!$B$8)))</f>
        <v/>
      </c>
      <c r="AG8">
        <f>IF('91_MOTIF_CONF_SOURCE'!K8='18_WEIGHT_CONTROL'!$A$5,'18_WEIGHT_CONTROL'!$B$5,IF('91_MOTIF_CONF_SOURCE'!K8='18_WEIGHT_CONTROL'!$A$6,'18_WEIGHT_CONTROL'!$B$6,IF('91_MOTIF_CONF_SOURCE'!K8='18_WEIGHT_CONTROL'!$A$7,'18_WEIGHT_CONTROL'!$B$7,'18_WEIGHT_CONTROL'!$B$8)))</f>
        <v/>
      </c>
      <c r="AH8">
        <f>IF('91_MOTIF_CONF_SOURCE'!L8='18_WEIGHT_CONTROL'!$A$5,'18_WEIGHT_CONTROL'!$B$5,IF('91_MOTIF_CONF_SOURCE'!L8='18_WEIGHT_CONTROL'!$A$6,'18_WEIGHT_CONTROL'!$B$6,IF('91_MOTIF_CONF_SOURCE'!L8='18_WEIGHT_CONTROL'!$A$7,'18_WEIGHT_CONTROL'!$B$7,'18_WEIGHT_CONTROL'!$B$8)))</f>
        <v/>
      </c>
      <c r="AI8">
        <f>IF('91_MOTIF_CONF_SOURCE'!M8='18_WEIGHT_CONTROL'!$A$5,'18_WEIGHT_CONTROL'!$B$5,IF('91_MOTIF_CONF_SOURCE'!M8='18_WEIGHT_CONTROL'!$A$6,'18_WEIGHT_CONTROL'!$B$6,IF('91_MOTIF_CONF_SOURCE'!M8='18_WEIGHT_CONTROL'!$A$7,'18_WEIGHT_CONTROL'!$B$7,'18_WEIGHT_CONTROL'!$B$8)))</f>
        <v/>
      </c>
      <c r="AJ8">
        <f>IF('91_MOTIF_CONF_SOURCE'!N8='18_WEIGHT_CONTROL'!$A$5,'18_WEIGHT_CONTROL'!$B$5,IF('91_MOTIF_CONF_SOURCE'!N8='18_WEIGHT_CONTROL'!$A$6,'18_WEIGHT_CONTROL'!$B$6,IF('91_MOTIF_CONF_SOURCE'!N8='18_WEIGHT_CONTROL'!$A$7,'18_WEIGHT_CONTROL'!$B$7,'18_WEIGHT_CONTROL'!$B$8)))</f>
        <v/>
      </c>
      <c r="AK8">
        <f>IF('91_MOTIF_CONF_SOURCE'!O8='18_WEIGHT_CONTROL'!$A$5,'18_WEIGHT_CONTROL'!$B$5,IF('91_MOTIF_CONF_SOURCE'!O8='18_WEIGHT_CONTROL'!$A$6,'18_WEIGHT_CONTROL'!$B$6,IF('91_MOTIF_CONF_SOURCE'!O8='18_WEIGHT_CONTROL'!$A$7,'18_WEIGHT_CONTROL'!$B$7,'18_WEIGHT_CONTROL'!$B$8)))</f>
        <v/>
      </c>
      <c r="AL8">
        <f>IF('91_MOTIF_CONF_SOURCE'!P8='18_WEIGHT_CONTROL'!$A$5,'18_WEIGHT_CONTROL'!$B$5,IF('91_MOTIF_CONF_SOURCE'!P8='18_WEIGHT_CONTROL'!$A$6,'18_WEIGHT_CONTROL'!$B$6,IF('91_MOTIF_CONF_SOURCE'!P8='18_WEIGHT_CONTROL'!$A$7,'18_WEIGHT_CONTROL'!$B$7,'18_WEIGHT_CONTROL'!$B$8)))</f>
        <v/>
      </c>
      <c r="AM8">
        <f>IF('91_MOTIF_CONF_SOURCE'!Q8='18_WEIGHT_CONTROL'!$A$5,'18_WEIGHT_CONTROL'!$B$5,IF('91_MOTIF_CONF_SOURCE'!Q8='18_WEIGHT_CONTROL'!$A$6,'18_WEIGHT_CONTROL'!$B$6,IF('91_MOTIF_CONF_SOURCE'!Q8='18_WEIGHT_CONTROL'!$A$7,'18_WEIGHT_CONTROL'!$B$7,'18_WEIGHT_CONTROL'!$B$8)))</f>
        <v/>
      </c>
      <c r="AN8">
        <f>IF('91_MOTIF_CONF_SOURCE'!R8='18_WEIGHT_CONTROL'!$A$5,'18_WEIGHT_CONTROL'!$B$5,IF('91_MOTIF_CONF_SOURCE'!R8='18_WEIGHT_CONTROL'!$A$6,'18_WEIGHT_CONTROL'!$B$6,IF('91_MOTIF_CONF_SOURCE'!R8='18_WEIGHT_CONTROL'!$A$7,'18_WEIGHT_CONTROL'!$B$7,'18_WEIGHT_CONTROL'!$B$8)))</f>
        <v/>
      </c>
      <c r="AO8">
        <f>IF('91_MOTIF_CONF_SOURCE'!S8='18_WEIGHT_CONTROL'!$A$5,'18_WEIGHT_CONTROL'!$B$5,IF('91_MOTIF_CONF_SOURCE'!S8='18_WEIGHT_CONTROL'!$A$6,'18_WEIGHT_CONTROL'!$B$6,IF('91_MOTIF_CONF_SOURCE'!S8='18_WEIGHT_CONTROL'!$A$7,'18_WEIGHT_CONTROL'!$B$7,'18_WEIGHT_CONTROL'!$B$8)))</f>
        <v/>
      </c>
      <c r="AP8">
        <f>IF('91_MOTIF_CONF_SOURCE'!T8='18_WEIGHT_CONTROL'!$A$5,'18_WEIGHT_CONTROL'!$B$5,IF('91_MOTIF_CONF_SOURCE'!T8='18_WEIGHT_CONTROL'!$A$6,'18_WEIGHT_CONTROL'!$B$6,IF('91_MOTIF_CONF_SOURCE'!T8='18_WEIGHT_CONTROL'!$A$7,'18_WEIGHT_CONTROL'!$B$7,'18_WEIGHT_CONTROL'!$B$8)))</f>
        <v/>
      </c>
      <c r="AQ8">
        <f>IF('91_MOTIF_CONF_SOURCE'!U8='18_WEIGHT_CONTROL'!$A$5,'18_WEIGHT_CONTROL'!$B$5,IF('91_MOTIF_CONF_SOURCE'!U8='18_WEIGHT_CONTROL'!$A$6,'18_WEIGHT_CONTROL'!$B$6,IF('91_MOTIF_CONF_SOURCE'!U8='18_WEIGHT_CONTROL'!$A$7,'18_WEIGHT_CONTROL'!$B$7,'18_WEIGHT_CONTROL'!$B$8)))</f>
        <v/>
      </c>
      <c r="AR8">
        <f>IF('91_MOTIF_CONF_SOURCE'!V8='18_WEIGHT_CONTROL'!$A$5,'18_WEIGHT_CONTROL'!$B$5,IF('91_MOTIF_CONF_SOURCE'!V8='18_WEIGHT_CONTROL'!$A$6,'18_WEIGHT_CONTROL'!$B$6,IF('91_MOTIF_CONF_SOURCE'!V8='18_WEIGHT_CONTROL'!$A$7,'18_WEIGHT_CONTROL'!$B$7,'18_WEIGHT_CONTROL'!$B$8)))</f>
        <v/>
      </c>
    </row>
    <row r="9">
      <c r="A9" t="n">
        <v>5</v>
      </c>
      <c r="B9" t="inlineStr">
        <is>
          <t>天琴座人</t>
        </is>
      </c>
      <c r="C9" t="inlineStr">
        <is>
          <t>Lyran</t>
        </is>
      </c>
      <c r="D9">
        <f>IF('90_CANON_CONF_SOURCE'!D9='18_WEIGHT_CONTROL'!$A$5,'18_WEIGHT_CONTROL'!$B$5,IF('90_CANON_CONF_SOURCE'!D9='18_WEIGHT_CONTROL'!$A$6,'18_WEIGHT_CONTROL'!$B$6,IF('90_CANON_CONF_SOURCE'!D9='18_WEIGHT_CONTROL'!$A$7,'18_WEIGHT_CONTROL'!$B$7,'18_WEIGHT_CONTROL'!$B$8)))</f>
        <v/>
      </c>
      <c r="E9">
        <f>IF('90_CANON_CONF_SOURCE'!E9='18_WEIGHT_CONTROL'!$A$5,'18_WEIGHT_CONTROL'!$B$5,IF('90_CANON_CONF_SOURCE'!E9='18_WEIGHT_CONTROL'!$A$6,'18_WEIGHT_CONTROL'!$B$6,IF('90_CANON_CONF_SOURCE'!E9='18_WEIGHT_CONTROL'!$A$7,'18_WEIGHT_CONTROL'!$B$7,'18_WEIGHT_CONTROL'!$B$8)))</f>
        <v/>
      </c>
      <c r="F9">
        <f>IF('90_CANON_CONF_SOURCE'!F9='18_WEIGHT_CONTROL'!$A$5,'18_WEIGHT_CONTROL'!$B$5,IF('90_CANON_CONF_SOURCE'!F9='18_WEIGHT_CONTROL'!$A$6,'18_WEIGHT_CONTROL'!$B$6,IF('90_CANON_CONF_SOURCE'!F9='18_WEIGHT_CONTROL'!$A$7,'18_WEIGHT_CONTROL'!$B$7,'18_WEIGHT_CONTROL'!$B$8)))</f>
        <v/>
      </c>
      <c r="G9">
        <f>IF('90_CANON_CONF_SOURCE'!G9='18_WEIGHT_CONTROL'!$A$5,'18_WEIGHT_CONTROL'!$B$5,IF('90_CANON_CONF_SOURCE'!G9='18_WEIGHT_CONTROL'!$A$6,'18_WEIGHT_CONTROL'!$B$6,IF('90_CANON_CONF_SOURCE'!G9='18_WEIGHT_CONTROL'!$A$7,'18_WEIGHT_CONTROL'!$B$7,'18_WEIGHT_CONTROL'!$B$8)))</f>
        <v/>
      </c>
      <c r="H9">
        <f>IF('90_CANON_CONF_SOURCE'!H9='18_WEIGHT_CONTROL'!$A$5,'18_WEIGHT_CONTROL'!$B$5,IF('90_CANON_CONF_SOURCE'!H9='18_WEIGHT_CONTROL'!$A$6,'18_WEIGHT_CONTROL'!$B$6,IF('90_CANON_CONF_SOURCE'!H9='18_WEIGHT_CONTROL'!$A$7,'18_WEIGHT_CONTROL'!$B$7,'18_WEIGHT_CONTROL'!$B$8)))</f>
        <v/>
      </c>
      <c r="I9">
        <f>IF('90_CANON_CONF_SOURCE'!I9='18_WEIGHT_CONTROL'!$A$5,'18_WEIGHT_CONTROL'!$B$5,IF('90_CANON_CONF_SOURCE'!I9='18_WEIGHT_CONTROL'!$A$6,'18_WEIGHT_CONTROL'!$B$6,IF('90_CANON_CONF_SOURCE'!I9='18_WEIGHT_CONTROL'!$A$7,'18_WEIGHT_CONTROL'!$B$7,'18_WEIGHT_CONTROL'!$B$8)))</f>
        <v/>
      </c>
      <c r="J9">
        <f>IF('90_CANON_CONF_SOURCE'!J9='18_WEIGHT_CONTROL'!$A$5,'18_WEIGHT_CONTROL'!$B$5,IF('90_CANON_CONF_SOURCE'!J9='18_WEIGHT_CONTROL'!$A$6,'18_WEIGHT_CONTROL'!$B$6,IF('90_CANON_CONF_SOURCE'!J9='18_WEIGHT_CONTROL'!$A$7,'18_WEIGHT_CONTROL'!$B$7,'18_WEIGHT_CONTROL'!$B$8)))</f>
        <v/>
      </c>
      <c r="K9">
        <f>IF('90_CANON_CONF_SOURCE'!K9='18_WEIGHT_CONTROL'!$A$5,'18_WEIGHT_CONTROL'!$B$5,IF('90_CANON_CONF_SOURCE'!K9='18_WEIGHT_CONTROL'!$A$6,'18_WEIGHT_CONTROL'!$B$6,IF('90_CANON_CONF_SOURCE'!K9='18_WEIGHT_CONTROL'!$A$7,'18_WEIGHT_CONTROL'!$B$7,'18_WEIGHT_CONTROL'!$B$8)))</f>
        <v/>
      </c>
      <c r="L9">
        <f>IF('90_CANON_CONF_SOURCE'!L9='18_WEIGHT_CONTROL'!$A$5,'18_WEIGHT_CONTROL'!$B$5,IF('90_CANON_CONF_SOURCE'!L9='18_WEIGHT_CONTROL'!$A$6,'18_WEIGHT_CONTROL'!$B$6,IF('90_CANON_CONF_SOURCE'!L9='18_WEIGHT_CONTROL'!$A$7,'18_WEIGHT_CONTROL'!$B$7,'18_WEIGHT_CONTROL'!$B$8)))</f>
        <v/>
      </c>
      <c r="M9">
        <f>IF('90_CANON_CONF_SOURCE'!M9='18_WEIGHT_CONTROL'!$A$5,'18_WEIGHT_CONTROL'!$B$5,IF('90_CANON_CONF_SOURCE'!M9='18_WEIGHT_CONTROL'!$A$6,'18_WEIGHT_CONTROL'!$B$6,IF('90_CANON_CONF_SOURCE'!M9='18_WEIGHT_CONTROL'!$A$7,'18_WEIGHT_CONTROL'!$B$7,'18_WEIGHT_CONTROL'!$B$8)))</f>
        <v/>
      </c>
      <c r="N9">
        <f>IF('90_CANON_CONF_SOURCE'!N9='18_WEIGHT_CONTROL'!$A$5,'18_WEIGHT_CONTROL'!$B$5,IF('90_CANON_CONF_SOURCE'!N9='18_WEIGHT_CONTROL'!$A$6,'18_WEIGHT_CONTROL'!$B$6,IF('90_CANON_CONF_SOURCE'!N9='18_WEIGHT_CONTROL'!$A$7,'18_WEIGHT_CONTROL'!$B$7,'18_WEIGHT_CONTROL'!$B$8)))</f>
        <v/>
      </c>
      <c r="O9">
        <f>IF('90_CANON_CONF_SOURCE'!O9='18_WEIGHT_CONTROL'!$A$5,'18_WEIGHT_CONTROL'!$B$5,IF('90_CANON_CONF_SOURCE'!O9='18_WEIGHT_CONTROL'!$A$6,'18_WEIGHT_CONTROL'!$B$6,IF('90_CANON_CONF_SOURCE'!O9='18_WEIGHT_CONTROL'!$A$7,'18_WEIGHT_CONTROL'!$B$7,'18_WEIGHT_CONTROL'!$B$8)))</f>
        <v/>
      </c>
      <c r="P9">
        <f>IF('90_CANON_CONF_SOURCE'!P9='18_WEIGHT_CONTROL'!$A$5,'18_WEIGHT_CONTROL'!$B$5,IF('90_CANON_CONF_SOURCE'!P9='18_WEIGHT_CONTROL'!$A$6,'18_WEIGHT_CONTROL'!$B$6,IF('90_CANON_CONF_SOURCE'!P9='18_WEIGHT_CONTROL'!$A$7,'18_WEIGHT_CONTROL'!$B$7,'18_WEIGHT_CONTROL'!$B$8)))</f>
        <v/>
      </c>
      <c r="Q9">
        <f>IF('90_CANON_CONF_SOURCE'!Q9='18_WEIGHT_CONTROL'!$A$5,'18_WEIGHT_CONTROL'!$B$5,IF('90_CANON_CONF_SOURCE'!Q9='18_WEIGHT_CONTROL'!$A$6,'18_WEIGHT_CONTROL'!$B$6,IF('90_CANON_CONF_SOURCE'!Q9='18_WEIGHT_CONTROL'!$A$7,'18_WEIGHT_CONTROL'!$B$7,'18_WEIGHT_CONTROL'!$B$8)))</f>
        <v/>
      </c>
      <c r="R9">
        <f>IF('90_CANON_CONF_SOURCE'!R9='18_WEIGHT_CONTROL'!$A$5,'18_WEIGHT_CONTROL'!$B$5,IF('90_CANON_CONF_SOURCE'!R9='18_WEIGHT_CONTROL'!$A$6,'18_WEIGHT_CONTROL'!$B$6,IF('90_CANON_CONF_SOURCE'!R9='18_WEIGHT_CONTROL'!$A$7,'18_WEIGHT_CONTROL'!$B$7,'18_WEIGHT_CONTROL'!$B$8)))</f>
        <v/>
      </c>
      <c r="S9">
        <f>IF('90_CANON_CONF_SOURCE'!S9='18_WEIGHT_CONTROL'!$A$5,'18_WEIGHT_CONTROL'!$B$5,IF('90_CANON_CONF_SOURCE'!S9='18_WEIGHT_CONTROL'!$A$6,'18_WEIGHT_CONTROL'!$B$6,IF('90_CANON_CONF_SOURCE'!S9='18_WEIGHT_CONTROL'!$A$7,'18_WEIGHT_CONTROL'!$B$7,'18_WEIGHT_CONTROL'!$B$8)))</f>
        <v/>
      </c>
      <c r="T9">
        <f>IF('90_CANON_CONF_SOURCE'!T9='18_WEIGHT_CONTROL'!$A$5,'18_WEIGHT_CONTROL'!$B$5,IF('90_CANON_CONF_SOURCE'!T9='18_WEIGHT_CONTROL'!$A$6,'18_WEIGHT_CONTROL'!$B$6,IF('90_CANON_CONF_SOURCE'!T9='18_WEIGHT_CONTROL'!$A$7,'18_WEIGHT_CONTROL'!$B$7,'18_WEIGHT_CONTROL'!$B$8)))</f>
        <v/>
      </c>
      <c r="U9">
        <f>IF('90_CANON_CONF_SOURCE'!U9='18_WEIGHT_CONTROL'!$A$5,'18_WEIGHT_CONTROL'!$B$5,IF('90_CANON_CONF_SOURCE'!U9='18_WEIGHT_CONTROL'!$A$6,'18_WEIGHT_CONTROL'!$B$6,IF('90_CANON_CONF_SOURCE'!U9='18_WEIGHT_CONTROL'!$A$7,'18_WEIGHT_CONTROL'!$B$7,'18_WEIGHT_CONTROL'!$B$8)))</f>
        <v/>
      </c>
      <c r="V9">
        <f>IF('90_CANON_CONF_SOURCE'!V9='18_WEIGHT_CONTROL'!$A$5,'18_WEIGHT_CONTROL'!$B$5,IF('90_CANON_CONF_SOURCE'!V9='18_WEIGHT_CONTROL'!$A$6,'18_WEIGHT_CONTROL'!$B$6,IF('90_CANON_CONF_SOURCE'!V9='18_WEIGHT_CONTROL'!$A$7,'18_WEIGHT_CONTROL'!$B$7,'18_WEIGHT_CONTROL'!$B$8)))</f>
        <v/>
      </c>
      <c r="W9">
        <f>IF('90_CANON_CONF_SOURCE'!W9='18_WEIGHT_CONTROL'!$A$5,'18_WEIGHT_CONTROL'!$B$5,IF('90_CANON_CONF_SOURCE'!W9='18_WEIGHT_CONTROL'!$A$6,'18_WEIGHT_CONTROL'!$B$6,IF('90_CANON_CONF_SOURCE'!W9='18_WEIGHT_CONTROL'!$A$7,'18_WEIGHT_CONTROL'!$B$7,'18_WEIGHT_CONTROL'!$B$8)))</f>
        <v/>
      </c>
      <c r="X9">
        <f>IF('90_CANON_CONF_SOURCE'!X9='18_WEIGHT_CONTROL'!$A$5,'18_WEIGHT_CONTROL'!$B$5,IF('90_CANON_CONF_SOURCE'!X9='18_WEIGHT_CONTROL'!$A$6,'18_WEIGHT_CONTROL'!$B$6,IF('90_CANON_CONF_SOURCE'!X9='18_WEIGHT_CONTROL'!$A$7,'18_WEIGHT_CONTROL'!$B$7,'18_WEIGHT_CONTROL'!$B$8)))</f>
        <v/>
      </c>
      <c r="Y9">
        <f>IF('90_CANON_CONF_SOURCE'!Y9='18_WEIGHT_CONTROL'!$A$5,'18_WEIGHT_CONTROL'!$B$5,IF('90_CANON_CONF_SOURCE'!Y9='18_WEIGHT_CONTROL'!$A$6,'18_WEIGHT_CONTROL'!$B$6,IF('90_CANON_CONF_SOURCE'!Y9='18_WEIGHT_CONTROL'!$A$7,'18_WEIGHT_CONTROL'!$B$7,'18_WEIGHT_CONTROL'!$B$8)))</f>
        <v/>
      </c>
      <c r="Z9">
        <f>IF('91_MOTIF_CONF_SOURCE'!D9='18_WEIGHT_CONTROL'!$A$5,'18_WEIGHT_CONTROL'!$B$5,IF('91_MOTIF_CONF_SOURCE'!D9='18_WEIGHT_CONTROL'!$A$6,'18_WEIGHT_CONTROL'!$B$6,IF('91_MOTIF_CONF_SOURCE'!D9='18_WEIGHT_CONTROL'!$A$7,'18_WEIGHT_CONTROL'!$B$7,'18_WEIGHT_CONTROL'!$B$8)))</f>
        <v/>
      </c>
      <c r="AA9">
        <f>IF('91_MOTIF_CONF_SOURCE'!E9='18_WEIGHT_CONTROL'!$A$5,'18_WEIGHT_CONTROL'!$B$5,IF('91_MOTIF_CONF_SOURCE'!E9='18_WEIGHT_CONTROL'!$A$6,'18_WEIGHT_CONTROL'!$B$6,IF('91_MOTIF_CONF_SOURCE'!E9='18_WEIGHT_CONTROL'!$A$7,'18_WEIGHT_CONTROL'!$B$7,'18_WEIGHT_CONTROL'!$B$8)))</f>
        <v/>
      </c>
      <c r="AB9">
        <f>IF('91_MOTIF_CONF_SOURCE'!F9='18_WEIGHT_CONTROL'!$A$5,'18_WEIGHT_CONTROL'!$B$5,IF('91_MOTIF_CONF_SOURCE'!F9='18_WEIGHT_CONTROL'!$A$6,'18_WEIGHT_CONTROL'!$B$6,IF('91_MOTIF_CONF_SOURCE'!F9='18_WEIGHT_CONTROL'!$A$7,'18_WEIGHT_CONTROL'!$B$7,'18_WEIGHT_CONTROL'!$B$8)))</f>
        <v/>
      </c>
      <c r="AC9">
        <f>IF('91_MOTIF_CONF_SOURCE'!G9='18_WEIGHT_CONTROL'!$A$5,'18_WEIGHT_CONTROL'!$B$5,IF('91_MOTIF_CONF_SOURCE'!G9='18_WEIGHT_CONTROL'!$A$6,'18_WEIGHT_CONTROL'!$B$6,IF('91_MOTIF_CONF_SOURCE'!G9='18_WEIGHT_CONTROL'!$A$7,'18_WEIGHT_CONTROL'!$B$7,'18_WEIGHT_CONTROL'!$B$8)))</f>
        <v/>
      </c>
      <c r="AD9">
        <f>IF('91_MOTIF_CONF_SOURCE'!H9='18_WEIGHT_CONTROL'!$A$5,'18_WEIGHT_CONTROL'!$B$5,IF('91_MOTIF_CONF_SOURCE'!H9='18_WEIGHT_CONTROL'!$A$6,'18_WEIGHT_CONTROL'!$B$6,IF('91_MOTIF_CONF_SOURCE'!H9='18_WEIGHT_CONTROL'!$A$7,'18_WEIGHT_CONTROL'!$B$7,'18_WEIGHT_CONTROL'!$B$8)))</f>
        <v/>
      </c>
      <c r="AE9">
        <f>IF('91_MOTIF_CONF_SOURCE'!I9='18_WEIGHT_CONTROL'!$A$5,'18_WEIGHT_CONTROL'!$B$5,IF('91_MOTIF_CONF_SOURCE'!I9='18_WEIGHT_CONTROL'!$A$6,'18_WEIGHT_CONTROL'!$B$6,IF('91_MOTIF_CONF_SOURCE'!I9='18_WEIGHT_CONTROL'!$A$7,'18_WEIGHT_CONTROL'!$B$7,'18_WEIGHT_CONTROL'!$B$8)))</f>
        <v/>
      </c>
      <c r="AF9">
        <f>IF('91_MOTIF_CONF_SOURCE'!J9='18_WEIGHT_CONTROL'!$A$5,'18_WEIGHT_CONTROL'!$B$5,IF('91_MOTIF_CONF_SOURCE'!J9='18_WEIGHT_CONTROL'!$A$6,'18_WEIGHT_CONTROL'!$B$6,IF('91_MOTIF_CONF_SOURCE'!J9='18_WEIGHT_CONTROL'!$A$7,'18_WEIGHT_CONTROL'!$B$7,'18_WEIGHT_CONTROL'!$B$8)))</f>
        <v/>
      </c>
      <c r="AG9">
        <f>IF('91_MOTIF_CONF_SOURCE'!K9='18_WEIGHT_CONTROL'!$A$5,'18_WEIGHT_CONTROL'!$B$5,IF('91_MOTIF_CONF_SOURCE'!K9='18_WEIGHT_CONTROL'!$A$6,'18_WEIGHT_CONTROL'!$B$6,IF('91_MOTIF_CONF_SOURCE'!K9='18_WEIGHT_CONTROL'!$A$7,'18_WEIGHT_CONTROL'!$B$7,'18_WEIGHT_CONTROL'!$B$8)))</f>
        <v/>
      </c>
      <c r="AH9">
        <f>IF('91_MOTIF_CONF_SOURCE'!L9='18_WEIGHT_CONTROL'!$A$5,'18_WEIGHT_CONTROL'!$B$5,IF('91_MOTIF_CONF_SOURCE'!L9='18_WEIGHT_CONTROL'!$A$6,'18_WEIGHT_CONTROL'!$B$6,IF('91_MOTIF_CONF_SOURCE'!L9='18_WEIGHT_CONTROL'!$A$7,'18_WEIGHT_CONTROL'!$B$7,'18_WEIGHT_CONTROL'!$B$8)))</f>
        <v/>
      </c>
      <c r="AI9">
        <f>IF('91_MOTIF_CONF_SOURCE'!M9='18_WEIGHT_CONTROL'!$A$5,'18_WEIGHT_CONTROL'!$B$5,IF('91_MOTIF_CONF_SOURCE'!M9='18_WEIGHT_CONTROL'!$A$6,'18_WEIGHT_CONTROL'!$B$6,IF('91_MOTIF_CONF_SOURCE'!M9='18_WEIGHT_CONTROL'!$A$7,'18_WEIGHT_CONTROL'!$B$7,'18_WEIGHT_CONTROL'!$B$8)))</f>
        <v/>
      </c>
      <c r="AJ9">
        <f>IF('91_MOTIF_CONF_SOURCE'!N9='18_WEIGHT_CONTROL'!$A$5,'18_WEIGHT_CONTROL'!$B$5,IF('91_MOTIF_CONF_SOURCE'!N9='18_WEIGHT_CONTROL'!$A$6,'18_WEIGHT_CONTROL'!$B$6,IF('91_MOTIF_CONF_SOURCE'!N9='18_WEIGHT_CONTROL'!$A$7,'18_WEIGHT_CONTROL'!$B$7,'18_WEIGHT_CONTROL'!$B$8)))</f>
        <v/>
      </c>
      <c r="AK9">
        <f>IF('91_MOTIF_CONF_SOURCE'!O9='18_WEIGHT_CONTROL'!$A$5,'18_WEIGHT_CONTROL'!$B$5,IF('91_MOTIF_CONF_SOURCE'!O9='18_WEIGHT_CONTROL'!$A$6,'18_WEIGHT_CONTROL'!$B$6,IF('91_MOTIF_CONF_SOURCE'!O9='18_WEIGHT_CONTROL'!$A$7,'18_WEIGHT_CONTROL'!$B$7,'18_WEIGHT_CONTROL'!$B$8)))</f>
        <v/>
      </c>
      <c r="AL9">
        <f>IF('91_MOTIF_CONF_SOURCE'!P9='18_WEIGHT_CONTROL'!$A$5,'18_WEIGHT_CONTROL'!$B$5,IF('91_MOTIF_CONF_SOURCE'!P9='18_WEIGHT_CONTROL'!$A$6,'18_WEIGHT_CONTROL'!$B$6,IF('91_MOTIF_CONF_SOURCE'!P9='18_WEIGHT_CONTROL'!$A$7,'18_WEIGHT_CONTROL'!$B$7,'18_WEIGHT_CONTROL'!$B$8)))</f>
        <v/>
      </c>
      <c r="AM9">
        <f>IF('91_MOTIF_CONF_SOURCE'!Q9='18_WEIGHT_CONTROL'!$A$5,'18_WEIGHT_CONTROL'!$B$5,IF('91_MOTIF_CONF_SOURCE'!Q9='18_WEIGHT_CONTROL'!$A$6,'18_WEIGHT_CONTROL'!$B$6,IF('91_MOTIF_CONF_SOURCE'!Q9='18_WEIGHT_CONTROL'!$A$7,'18_WEIGHT_CONTROL'!$B$7,'18_WEIGHT_CONTROL'!$B$8)))</f>
        <v/>
      </c>
      <c r="AN9">
        <f>IF('91_MOTIF_CONF_SOURCE'!R9='18_WEIGHT_CONTROL'!$A$5,'18_WEIGHT_CONTROL'!$B$5,IF('91_MOTIF_CONF_SOURCE'!R9='18_WEIGHT_CONTROL'!$A$6,'18_WEIGHT_CONTROL'!$B$6,IF('91_MOTIF_CONF_SOURCE'!R9='18_WEIGHT_CONTROL'!$A$7,'18_WEIGHT_CONTROL'!$B$7,'18_WEIGHT_CONTROL'!$B$8)))</f>
        <v/>
      </c>
      <c r="AO9">
        <f>IF('91_MOTIF_CONF_SOURCE'!S9='18_WEIGHT_CONTROL'!$A$5,'18_WEIGHT_CONTROL'!$B$5,IF('91_MOTIF_CONF_SOURCE'!S9='18_WEIGHT_CONTROL'!$A$6,'18_WEIGHT_CONTROL'!$B$6,IF('91_MOTIF_CONF_SOURCE'!S9='18_WEIGHT_CONTROL'!$A$7,'18_WEIGHT_CONTROL'!$B$7,'18_WEIGHT_CONTROL'!$B$8)))</f>
        <v/>
      </c>
      <c r="AP9">
        <f>IF('91_MOTIF_CONF_SOURCE'!T9='18_WEIGHT_CONTROL'!$A$5,'18_WEIGHT_CONTROL'!$B$5,IF('91_MOTIF_CONF_SOURCE'!T9='18_WEIGHT_CONTROL'!$A$6,'18_WEIGHT_CONTROL'!$B$6,IF('91_MOTIF_CONF_SOURCE'!T9='18_WEIGHT_CONTROL'!$A$7,'18_WEIGHT_CONTROL'!$B$7,'18_WEIGHT_CONTROL'!$B$8)))</f>
        <v/>
      </c>
      <c r="AQ9">
        <f>IF('91_MOTIF_CONF_SOURCE'!U9='18_WEIGHT_CONTROL'!$A$5,'18_WEIGHT_CONTROL'!$B$5,IF('91_MOTIF_CONF_SOURCE'!U9='18_WEIGHT_CONTROL'!$A$6,'18_WEIGHT_CONTROL'!$B$6,IF('91_MOTIF_CONF_SOURCE'!U9='18_WEIGHT_CONTROL'!$A$7,'18_WEIGHT_CONTROL'!$B$7,'18_WEIGHT_CONTROL'!$B$8)))</f>
        <v/>
      </c>
      <c r="AR9">
        <f>IF('91_MOTIF_CONF_SOURCE'!V9='18_WEIGHT_CONTROL'!$A$5,'18_WEIGHT_CONTROL'!$B$5,IF('91_MOTIF_CONF_SOURCE'!V9='18_WEIGHT_CONTROL'!$A$6,'18_WEIGHT_CONTROL'!$B$6,IF('91_MOTIF_CONF_SOURCE'!V9='18_WEIGHT_CONTROL'!$A$7,'18_WEIGHT_CONTROL'!$B$7,'18_WEIGHT_CONTROL'!$B$8)))</f>
        <v/>
      </c>
    </row>
    <row r="10">
      <c r="A10" t="n">
        <v>6</v>
      </c>
      <c r="B10" t="inlineStr">
        <is>
          <t>獵戶座人</t>
        </is>
      </c>
      <c r="C10" t="inlineStr">
        <is>
          <t>Orion</t>
        </is>
      </c>
      <c r="D10">
        <f>IF('90_CANON_CONF_SOURCE'!D10='18_WEIGHT_CONTROL'!$A$5,'18_WEIGHT_CONTROL'!$B$5,IF('90_CANON_CONF_SOURCE'!D10='18_WEIGHT_CONTROL'!$A$6,'18_WEIGHT_CONTROL'!$B$6,IF('90_CANON_CONF_SOURCE'!D10='18_WEIGHT_CONTROL'!$A$7,'18_WEIGHT_CONTROL'!$B$7,'18_WEIGHT_CONTROL'!$B$8)))</f>
        <v/>
      </c>
      <c r="E10">
        <f>IF('90_CANON_CONF_SOURCE'!E10='18_WEIGHT_CONTROL'!$A$5,'18_WEIGHT_CONTROL'!$B$5,IF('90_CANON_CONF_SOURCE'!E10='18_WEIGHT_CONTROL'!$A$6,'18_WEIGHT_CONTROL'!$B$6,IF('90_CANON_CONF_SOURCE'!E10='18_WEIGHT_CONTROL'!$A$7,'18_WEIGHT_CONTROL'!$B$7,'18_WEIGHT_CONTROL'!$B$8)))</f>
        <v/>
      </c>
      <c r="F10">
        <f>IF('90_CANON_CONF_SOURCE'!F10='18_WEIGHT_CONTROL'!$A$5,'18_WEIGHT_CONTROL'!$B$5,IF('90_CANON_CONF_SOURCE'!F10='18_WEIGHT_CONTROL'!$A$6,'18_WEIGHT_CONTROL'!$B$6,IF('90_CANON_CONF_SOURCE'!F10='18_WEIGHT_CONTROL'!$A$7,'18_WEIGHT_CONTROL'!$B$7,'18_WEIGHT_CONTROL'!$B$8)))</f>
        <v/>
      </c>
      <c r="G10">
        <f>IF('90_CANON_CONF_SOURCE'!G10='18_WEIGHT_CONTROL'!$A$5,'18_WEIGHT_CONTROL'!$B$5,IF('90_CANON_CONF_SOURCE'!G10='18_WEIGHT_CONTROL'!$A$6,'18_WEIGHT_CONTROL'!$B$6,IF('90_CANON_CONF_SOURCE'!G10='18_WEIGHT_CONTROL'!$A$7,'18_WEIGHT_CONTROL'!$B$7,'18_WEIGHT_CONTROL'!$B$8)))</f>
        <v/>
      </c>
      <c r="H10">
        <f>IF('90_CANON_CONF_SOURCE'!H10='18_WEIGHT_CONTROL'!$A$5,'18_WEIGHT_CONTROL'!$B$5,IF('90_CANON_CONF_SOURCE'!H10='18_WEIGHT_CONTROL'!$A$6,'18_WEIGHT_CONTROL'!$B$6,IF('90_CANON_CONF_SOURCE'!H10='18_WEIGHT_CONTROL'!$A$7,'18_WEIGHT_CONTROL'!$B$7,'18_WEIGHT_CONTROL'!$B$8)))</f>
        <v/>
      </c>
      <c r="I10">
        <f>IF('90_CANON_CONF_SOURCE'!I10='18_WEIGHT_CONTROL'!$A$5,'18_WEIGHT_CONTROL'!$B$5,IF('90_CANON_CONF_SOURCE'!I10='18_WEIGHT_CONTROL'!$A$6,'18_WEIGHT_CONTROL'!$B$6,IF('90_CANON_CONF_SOURCE'!I10='18_WEIGHT_CONTROL'!$A$7,'18_WEIGHT_CONTROL'!$B$7,'18_WEIGHT_CONTROL'!$B$8)))</f>
        <v/>
      </c>
      <c r="J10">
        <f>IF('90_CANON_CONF_SOURCE'!J10='18_WEIGHT_CONTROL'!$A$5,'18_WEIGHT_CONTROL'!$B$5,IF('90_CANON_CONF_SOURCE'!J10='18_WEIGHT_CONTROL'!$A$6,'18_WEIGHT_CONTROL'!$B$6,IF('90_CANON_CONF_SOURCE'!J10='18_WEIGHT_CONTROL'!$A$7,'18_WEIGHT_CONTROL'!$B$7,'18_WEIGHT_CONTROL'!$B$8)))</f>
        <v/>
      </c>
      <c r="K10">
        <f>IF('90_CANON_CONF_SOURCE'!K10='18_WEIGHT_CONTROL'!$A$5,'18_WEIGHT_CONTROL'!$B$5,IF('90_CANON_CONF_SOURCE'!K10='18_WEIGHT_CONTROL'!$A$6,'18_WEIGHT_CONTROL'!$B$6,IF('90_CANON_CONF_SOURCE'!K10='18_WEIGHT_CONTROL'!$A$7,'18_WEIGHT_CONTROL'!$B$7,'18_WEIGHT_CONTROL'!$B$8)))</f>
        <v/>
      </c>
      <c r="L10">
        <f>IF('90_CANON_CONF_SOURCE'!L10='18_WEIGHT_CONTROL'!$A$5,'18_WEIGHT_CONTROL'!$B$5,IF('90_CANON_CONF_SOURCE'!L10='18_WEIGHT_CONTROL'!$A$6,'18_WEIGHT_CONTROL'!$B$6,IF('90_CANON_CONF_SOURCE'!L10='18_WEIGHT_CONTROL'!$A$7,'18_WEIGHT_CONTROL'!$B$7,'18_WEIGHT_CONTROL'!$B$8)))</f>
        <v/>
      </c>
      <c r="M10">
        <f>IF('90_CANON_CONF_SOURCE'!M10='18_WEIGHT_CONTROL'!$A$5,'18_WEIGHT_CONTROL'!$B$5,IF('90_CANON_CONF_SOURCE'!M10='18_WEIGHT_CONTROL'!$A$6,'18_WEIGHT_CONTROL'!$B$6,IF('90_CANON_CONF_SOURCE'!M10='18_WEIGHT_CONTROL'!$A$7,'18_WEIGHT_CONTROL'!$B$7,'18_WEIGHT_CONTROL'!$B$8)))</f>
        <v/>
      </c>
      <c r="N10">
        <f>IF('90_CANON_CONF_SOURCE'!N10='18_WEIGHT_CONTROL'!$A$5,'18_WEIGHT_CONTROL'!$B$5,IF('90_CANON_CONF_SOURCE'!N10='18_WEIGHT_CONTROL'!$A$6,'18_WEIGHT_CONTROL'!$B$6,IF('90_CANON_CONF_SOURCE'!N10='18_WEIGHT_CONTROL'!$A$7,'18_WEIGHT_CONTROL'!$B$7,'18_WEIGHT_CONTROL'!$B$8)))</f>
        <v/>
      </c>
      <c r="O10">
        <f>IF('90_CANON_CONF_SOURCE'!O10='18_WEIGHT_CONTROL'!$A$5,'18_WEIGHT_CONTROL'!$B$5,IF('90_CANON_CONF_SOURCE'!O10='18_WEIGHT_CONTROL'!$A$6,'18_WEIGHT_CONTROL'!$B$6,IF('90_CANON_CONF_SOURCE'!O10='18_WEIGHT_CONTROL'!$A$7,'18_WEIGHT_CONTROL'!$B$7,'18_WEIGHT_CONTROL'!$B$8)))</f>
        <v/>
      </c>
      <c r="P10">
        <f>IF('90_CANON_CONF_SOURCE'!P10='18_WEIGHT_CONTROL'!$A$5,'18_WEIGHT_CONTROL'!$B$5,IF('90_CANON_CONF_SOURCE'!P10='18_WEIGHT_CONTROL'!$A$6,'18_WEIGHT_CONTROL'!$B$6,IF('90_CANON_CONF_SOURCE'!P10='18_WEIGHT_CONTROL'!$A$7,'18_WEIGHT_CONTROL'!$B$7,'18_WEIGHT_CONTROL'!$B$8)))</f>
        <v/>
      </c>
      <c r="Q10">
        <f>IF('90_CANON_CONF_SOURCE'!Q10='18_WEIGHT_CONTROL'!$A$5,'18_WEIGHT_CONTROL'!$B$5,IF('90_CANON_CONF_SOURCE'!Q10='18_WEIGHT_CONTROL'!$A$6,'18_WEIGHT_CONTROL'!$B$6,IF('90_CANON_CONF_SOURCE'!Q10='18_WEIGHT_CONTROL'!$A$7,'18_WEIGHT_CONTROL'!$B$7,'18_WEIGHT_CONTROL'!$B$8)))</f>
        <v/>
      </c>
      <c r="R10">
        <f>IF('90_CANON_CONF_SOURCE'!R10='18_WEIGHT_CONTROL'!$A$5,'18_WEIGHT_CONTROL'!$B$5,IF('90_CANON_CONF_SOURCE'!R10='18_WEIGHT_CONTROL'!$A$6,'18_WEIGHT_CONTROL'!$B$6,IF('90_CANON_CONF_SOURCE'!R10='18_WEIGHT_CONTROL'!$A$7,'18_WEIGHT_CONTROL'!$B$7,'18_WEIGHT_CONTROL'!$B$8)))</f>
        <v/>
      </c>
      <c r="S10">
        <f>IF('90_CANON_CONF_SOURCE'!S10='18_WEIGHT_CONTROL'!$A$5,'18_WEIGHT_CONTROL'!$B$5,IF('90_CANON_CONF_SOURCE'!S10='18_WEIGHT_CONTROL'!$A$6,'18_WEIGHT_CONTROL'!$B$6,IF('90_CANON_CONF_SOURCE'!S10='18_WEIGHT_CONTROL'!$A$7,'18_WEIGHT_CONTROL'!$B$7,'18_WEIGHT_CONTROL'!$B$8)))</f>
        <v/>
      </c>
      <c r="T10">
        <f>IF('90_CANON_CONF_SOURCE'!T10='18_WEIGHT_CONTROL'!$A$5,'18_WEIGHT_CONTROL'!$B$5,IF('90_CANON_CONF_SOURCE'!T10='18_WEIGHT_CONTROL'!$A$6,'18_WEIGHT_CONTROL'!$B$6,IF('90_CANON_CONF_SOURCE'!T10='18_WEIGHT_CONTROL'!$A$7,'18_WEIGHT_CONTROL'!$B$7,'18_WEIGHT_CONTROL'!$B$8)))</f>
        <v/>
      </c>
      <c r="U10">
        <f>IF('90_CANON_CONF_SOURCE'!U10='18_WEIGHT_CONTROL'!$A$5,'18_WEIGHT_CONTROL'!$B$5,IF('90_CANON_CONF_SOURCE'!U10='18_WEIGHT_CONTROL'!$A$6,'18_WEIGHT_CONTROL'!$B$6,IF('90_CANON_CONF_SOURCE'!U10='18_WEIGHT_CONTROL'!$A$7,'18_WEIGHT_CONTROL'!$B$7,'18_WEIGHT_CONTROL'!$B$8)))</f>
        <v/>
      </c>
      <c r="V10">
        <f>IF('90_CANON_CONF_SOURCE'!V10='18_WEIGHT_CONTROL'!$A$5,'18_WEIGHT_CONTROL'!$B$5,IF('90_CANON_CONF_SOURCE'!V10='18_WEIGHT_CONTROL'!$A$6,'18_WEIGHT_CONTROL'!$B$6,IF('90_CANON_CONF_SOURCE'!V10='18_WEIGHT_CONTROL'!$A$7,'18_WEIGHT_CONTROL'!$B$7,'18_WEIGHT_CONTROL'!$B$8)))</f>
        <v/>
      </c>
      <c r="W10">
        <f>IF('90_CANON_CONF_SOURCE'!W10='18_WEIGHT_CONTROL'!$A$5,'18_WEIGHT_CONTROL'!$B$5,IF('90_CANON_CONF_SOURCE'!W10='18_WEIGHT_CONTROL'!$A$6,'18_WEIGHT_CONTROL'!$B$6,IF('90_CANON_CONF_SOURCE'!W10='18_WEIGHT_CONTROL'!$A$7,'18_WEIGHT_CONTROL'!$B$7,'18_WEIGHT_CONTROL'!$B$8)))</f>
        <v/>
      </c>
      <c r="X10">
        <f>IF('90_CANON_CONF_SOURCE'!X10='18_WEIGHT_CONTROL'!$A$5,'18_WEIGHT_CONTROL'!$B$5,IF('90_CANON_CONF_SOURCE'!X10='18_WEIGHT_CONTROL'!$A$6,'18_WEIGHT_CONTROL'!$B$6,IF('90_CANON_CONF_SOURCE'!X10='18_WEIGHT_CONTROL'!$A$7,'18_WEIGHT_CONTROL'!$B$7,'18_WEIGHT_CONTROL'!$B$8)))</f>
        <v/>
      </c>
      <c r="Y10">
        <f>IF('90_CANON_CONF_SOURCE'!Y10='18_WEIGHT_CONTROL'!$A$5,'18_WEIGHT_CONTROL'!$B$5,IF('90_CANON_CONF_SOURCE'!Y10='18_WEIGHT_CONTROL'!$A$6,'18_WEIGHT_CONTROL'!$B$6,IF('90_CANON_CONF_SOURCE'!Y10='18_WEIGHT_CONTROL'!$A$7,'18_WEIGHT_CONTROL'!$B$7,'18_WEIGHT_CONTROL'!$B$8)))</f>
        <v/>
      </c>
      <c r="Z10">
        <f>IF('91_MOTIF_CONF_SOURCE'!D10='18_WEIGHT_CONTROL'!$A$5,'18_WEIGHT_CONTROL'!$B$5,IF('91_MOTIF_CONF_SOURCE'!D10='18_WEIGHT_CONTROL'!$A$6,'18_WEIGHT_CONTROL'!$B$6,IF('91_MOTIF_CONF_SOURCE'!D10='18_WEIGHT_CONTROL'!$A$7,'18_WEIGHT_CONTROL'!$B$7,'18_WEIGHT_CONTROL'!$B$8)))</f>
        <v/>
      </c>
      <c r="AA10">
        <f>IF('91_MOTIF_CONF_SOURCE'!E10='18_WEIGHT_CONTROL'!$A$5,'18_WEIGHT_CONTROL'!$B$5,IF('91_MOTIF_CONF_SOURCE'!E10='18_WEIGHT_CONTROL'!$A$6,'18_WEIGHT_CONTROL'!$B$6,IF('91_MOTIF_CONF_SOURCE'!E10='18_WEIGHT_CONTROL'!$A$7,'18_WEIGHT_CONTROL'!$B$7,'18_WEIGHT_CONTROL'!$B$8)))</f>
        <v/>
      </c>
      <c r="AB10">
        <f>IF('91_MOTIF_CONF_SOURCE'!F10='18_WEIGHT_CONTROL'!$A$5,'18_WEIGHT_CONTROL'!$B$5,IF('91_MOTIF_CONF_SOURCE'!F10='18_WEIGHT_CONTROL'!$A$6,'18_WEIGHT_CONTROL'!$B$6,IF('91_MOTIF_CONF_SOURCE'!F10='18_WEIGHT_CONTROL'!$A$7,'18_WEIGHT_CONTROL'!$B$7,'18_WEIGHT_CONTROL'!$B$8)))</f>
        <v/>
      </c>
      <c r="AC10">
        <f>IF('91_MOTIF_CONF_SOURCE'!G10='18_WEIGHT_CONTROL'!$A$5,'18_WEIGHT_CONTROL'!$B$5,IF('91_MOTIF_CONF_SOURCE'!G10='18_WEIGHT_CONTROL'!$A$6,'18_WEIGHT_CONTROL'!$B$6,IF('91_MOTIF_CONF_SOURCE'!G10='18_WEIGHT_CONTROL'!$A$7,'18_WEIGHT_CONTROL'!$B$7,'18_WEIGHT_CONTROL'!$B$8)))</f>
        <v/>
      </c>
      <c r="AD10">
        <f>IF('91_MOTIF_CONF_SOURCE'!H10='18_WEIGHT_CONTROL'!$A$5,'18_WEIGHT_CONTROL'!$B$5,IF('91_MOTIF_CONF_SOURCE'!H10='18_WEIGHT_CONTROL'!$A$6,'18_WEIGHT_CONTROL'!$B$6,IF('91_MOTIF_CONF_SOURCE'!H10='18_WEIGHT_CONTROL'!$A$7,'18_WEIGHT_CONTROL'!$B$7,'18_WEIGHT_CONTROL'!$B$8)))</f>
        <v/>
      </c>
      <c r="AE10">
        <f>IF('91_MOTIF_CONF_SOURCE'!I10='18_WEIGHT_CONTROL'!$A$5,'18_WEIGHT_CONTROL'!$B$5,IF('91_MOTIF_CONF_SOURCE'!I10='18_WEIGHT_CONTROL'!$A$6,'18_WEIGHT_CONTROL'!$B$6,IF('91_MOTIF_CONF_SOURCE'!I10='18_WEIGHT_CONTROL'!$A$7,'18_WEIGHT_CONTROL'!$B$7,'18_WEIGHT_CONTROL'!$B$8)))</f>
        <v/>
      </c>
      <c r="AF10">
        <f>IF('91_MOTIF_CONF_SOURCE'!J10='18_WEIGHT_CONTROL'!$A$5,'18_WEIGHT_CONTROL'!$B$5,IF('91_MOTIF_CONF_SOURCE'!J10='18_WEIGHT_CONTROL'!$A$6,'18_WEIGHT_CONTROL'!$B$6,IF('91_MOTIF_CONF_SOURCE'!J10='18_WEIGHT_CONTROL'!$A$7,'18_WEIGHT_CONTROL'!$B$7,'18_WEIGHT_CONTROL'!$B$8)))</f>
        <v/>
      </c>
      <c r="AG10">
        <f>IF('91_MOTIF_CONF_SOURCE'!K10='18_WEIGHT_CONTROL'!$A$5,'18_WEIGHT_CONTROL'!$B$5,IF('91_MOTIF_CONF_SOURCE'!K10='18_WEIGHT_CONTROL'!$A$6,'18_WEIGHT_CONTROL'!$B$6,IF('91_MOTIF_CONF_SOURCE'!K10='18_WEIGHT_CONTROL'!$A$7,'18_WEIGHT_CONTROL'!$B$7,'18_WEIGHT_CONTROL'!$B$8)))</f>
        <v/>
      </c>
      <c r="AH10">
        <f>IF('91_MOTIF_CONF_SOURCE'!L10='18_WEIGHT_CONTROL'!$A$5,'18_WEIGHT_CONTROL'!$B$5,IF('91_MOTIF_CONF_SOURCE'!L10='18_WEIGHT_CONTROL'!$A$6,'18_WEIGHT_CONTROL'!$B$6,IF('91_MOTIF_CONF_SOURCE'!L10='18_WEIGHT_CONTROL'!$A$7,'18_WEIGHT_CONTROL'!$B$7,'18_WEIGHT_CONTROL'!$B$8)))</f>
        <v/>
      </c>
      <c r="AI10">
        <f>IF('91_MOTIF_CONF_SOURCE'!M10='18_WEIGHT_CONTROL'!$A$5,'18_WEIGHT_CONTROL'!$B$5,IF('91_MOTIF_CONF_SOURCE'!M10='18_WEIGHT_CONTROL'!$A$6,'18_WEIGHT_CONTROL'!$B$6,IF('91_MOTIF_CONF_SOURCE'!M10='18_WEIGHT_CONTROL'!$A$7,'18_WEIGHT_CONTROL'!$B$7,'18_WEIGHT_CONTROL'!$B$8)))</f>
        <v/>
      </c>
      <c r="AJ10">
        <f>IF('91_MOTIF_CONF_SOURCE'!N10='18_WEIGHT_CONTROL'!$A$5,'18_WEIGHT_CONTROL'!$B$5,IF('91_MOTIF_CONF_SOURCE'!N10='18_WEIGHT_CONTROL'!$A$6,'18_WEIGHT_CONTROL'!$B$6,IF('91_MOTIF_CONF_SOURCE'!N10='18_WEIGHT_CONTROL'!$A$7,'18_WEIGHT_CONTROL'!$B$7,'18_WEIGHT_CONTROL'!$B$8)))</f>
        <v/>
      </c>
      <c r="AK10">
        <f>IF('91_MOTIF_CONF_SOURCE'!O10='18_WEIGHT_CONTROL'!$A$5,'18_WEIGHT_CONTROL'!$B$5,IF('91_MOTIF_CONF_SOURCE'!O10='18_WEIGHT_CONTROL'!$A$6,'18_WEIGHT_CONTROL'!$B$6,IF('91_MOTIF_CONF_SOURCE'!O10='18_WEIGHT_CONTROL'!$A$7,'18_WEIGHT_CONTROL'!$B$7,'18_WEIGHT_CONTROL'!$B$8)))</f>
        <v/>
      </c>
      <c r="AL10">
        <f>IF('91_MOTIF_CONF_SOURCE'!P10='18_WEIGHT_CONTROL'!$A$5,'18_WEIGHT_CONTROL'!$B$5,IF('91_MOTIF_CONF_SOURCE'!P10='18_WEIGHT_CONTROL'!$A$6,'18_WEIGHT_CONTROL'!$B$6,IF('91_MOTIF_CONF_SOURCE'!P10='18_WEIGHT_CONTROL'!$A$7,'18_WEIGHT_CONTROL'!$B$7,'18_WEIGHT_CONTROL'!$B$8)))</f>
        <v/>
      </c>
      <c r="AM10">
        <f>IF('91_MOTIF_CONF_SOURCE'!Q10='18_WEIGHT_CONTROL'!$A$5,'18_WEIGHT_CONTROL'!$B$5,IF('91_MOTIF_CONF_SOURCE'!Q10='18_WEIGHT_CONTROL'!$A$6,'18_WEIGHT_CONTROL'!$B$6,IF('91_MOTIF_CONF_SOURCE'!Q10='18_WEIGHT_CONTROL'!$A$7,'18_WEIGHT_CONTROL'!$B$7,'18_WEIGHT_CONTROL'!$B$8)))</f>
        <v/>
      </c>
      <c r="AN10">
        <f>IF('91_MOTIF_CONF_SOURCE'!R10='18_WEIGHT_CONTROL'!$A$5,'18_WEIGHT_CONTROL'!$B$5,IF('91_MOTIF_CONF_SOURCE'!R10='18_WEIGHT_CONTROL'!$A$6,'18_WEIGHT_CONTROL'!$B$6,IF('91_MOTIF_CONF_SOURCE'!R10='18_WEIGHT_CONTROL'!$A$7,'18_WEIGHT_CONTROL'!$B$7,'18_WEIGHT_CONTROL'!$B$8)))</f>
        <v/>
      </c>
      <c r="AO10">
        <f>IF('91_MOTIF_CONF_SOURCE'!S10='18_WEIGHT_CONTROL'!$A$5,'18_WEIGHT_CONTROL'!$B$5,IF('91_MOTIF_CONF_SOURCE'!S10='18_WEIGHT_CONTROL'!$A$6,'18_WEIGHT_CONTROL'!$B$6,IF('91_MOTIF_CONF_SOURCE'!S10='18_WEIGHT_CONTROL'!$A$7,'18_WEIGHT_CONTROL'!$B$7,'18_WEIGHT_CONTROL'!$B$8)))</f>
        <v/>
      </c>
      <c r="AP10">
        <f>IF('91_MOTIF_CONF_SOURCE'!T10='18_WEIGHT_CONTROL'!$A$5,'18_WEIGHT_CONTROL'!$B$5,IF('91_MOTIF_CONF_SOURCE'!T10='18_WEIGHT_CONTROL'!$A$6,'18_WEIGHT_CONTROL'!$B$6,IF('91_MOTIF_CONF_SOURCE'!T10='18_WEIGHT_CONTROL'!$A$7,'18_WEIGHT_CONTROL'!$B$7,'18_WEIGHT_CONTROL'!$B$8)))</f>
        <v/>
      </c>
      <c r="AQ10">
        <f>IF('91_MOTIF_CONF_SOURCE'!U10='18_WEIGHT_CONTROL'!$A$5,'18_WEIGHT_CONTROL'!$B$5,IF('91_MOTIF_CONF_SOURCE'!U10='18_WEIGHT_CONTROL'!$A$6,'18_WEIGHT_CONTROL'!$B$6,IF('91_MOTIF_CONF_SOURCE'!U10='18_WEIGHT_CONTROL'!$A$7,'18_WEIGHT_CONTROL'!$B$7,'18_WEIGHT_CONTROL'!$B$8)))</f>
        <v/>
      </c>
      <c r="AR10">
        <f>IF('91_MOTIF_CONF_SOURCE'!V10='18_WEIGHT_CONTROL'!$A$5,'18_WEIGHT_CONTROL'!$B$5,IF('91_MOTIF_CONF_SOURCE'!V10='18_WEIGHT_CONTROL'!$A$6,'18_WEIGHT_CONTROL'!$B$6,IF('91_MOTIF_CONF_SOURCE'!V10='18_WEIGHT_CONTROL'!$A$7,'18_WEIGHT_CONTROL'!$B$7,'18_WEIGHT_CONTROL'!$B$8)))</f>
        <v/>
      </c>
    </row>
    <row r="11">
      <c r="A11" t="n">
        <v>7</v>
      </c>
      <c r="B11" t="inlineStr">
        <is>
          <t>明塔卡星人</t>
        </is>
      </c>
      <c r="C11" t="inlineStr">
        <is>
          <t>Mintakan</t>
        </is>
      </c>
      <c r="D11">
        <f>IF('90_CANON_CONF_SOURCE'!D11='18_WEIGHT_CONTROL'!$A$5,'18_WEIGHT_CONTROL'!$B$5,IF('90_CANON_CONF_SOURCE'!D11='18_WEIGHT_CONTROL'!$A$6,'18_WEIGHT_CONTROL'!$B$6,IF('90_CANON_CONF_SOURCE'!D11='18_WEIGHT_CONTROL'!$A$7,'18_WEIGHT_CONTROL'!$B$7,'18_WEIGHT_CONTROL'!$B$8)))</f>
        <v/>
      </c>
      <c r="E11">
        <f>IF('90_CANON_CONF_SOURCE'!E11='18_WEIGHT_CONTROL'!$A$5,'18_WEIGHT_CONTROL'!$B$5,IF('90_CANON_CONF_SOURCE'!E11='18_WEIGHT_CONTROL'!$A$6,'18_WEIGHT_CONTROL'!$B$6,IF('90_CANON_CONF_SOURCE'!E11='18_WEIGHT_CONTROL'!$A$7,'18_WEIGHT_CONTROL'!$B$7,'18_WEIGHT_CONTROL'!$B$8)))</f>
        <v/>
      </c>
      <c r="F11">
        <f>IF('90_CANON_CONF_SOURCE'!F11='18_WEIGHT_CONTROL'!$A$5,'18_WEIGHT_CONTROL'!$B$5,IF('90_CANON_CONF_SOURCE'!F11='18_WEIGHT_CONTROL'!$A$6,'18_WEIGHT_CONTROL'!$B$6,IF('90_CANON_CONF_SOURCE'!F11='18_WEIGHT_CONTROL'!$A$7,'18_WEIGHT_CONTROL'!$B$7,'18_WEIGHT_CONTROL'!$B$8)))</f>
        <v/>
      </c>
      <c r="G11">
        <f>IF('90_CANON_CONF_SOURCE'!G11='18_WEIGHT_CONTROL'!$A$5,'18_WEIGHT_CONTROL'!$B$5,IF('90_CANON_CONF_SOURCE'!G11='18_WEIGHT_CONTROL'!$A$6,'18_WEIGHT_CONTROL'!$B$6,IF('90_CANON_CONF_SOURCE'!G11='18_WEIGHT_CONTROL'!$A$7,'18_WEIGHT_CONTROL'!$B$7,'18_WEIGHT_CONTROL'!$B$8)))</f>
        <v/>
      </c>
      <c r="H11">
        <f>IF('90_CANON_CONF_SOURCE'!H11='18_WEIGHT_CONTROL'!$A$5,'18_WEIGHT_CONTROL'!$B$5,IF('90_CANON_CONF_SOURCE'!H11='18_WEIGHT_CONTROL'!$A$6,'18_WEIGHT_CONTROL'!$B$6,IF('90_CANON_CONF_SOURCE'!H11='18_WEIGHT_CONTROL'!$A$7,'18_WEIGHT_CONTROL'!$B$7,'18_WEIGHT_CONTROL'!$B$8)))</f>
        <v/>
      </c>
      <c r="I11">
        <f>IF('90_CANON_CONF_SOURCE'!I11='18_WEIGHT_CONTROL'!$A$5,'18_WEIGHT_CONTROL'!$B$5,IF('90_CANON_CONF_SOURCE'!I11='18_WEIGHT_CONTROL'!$A$6,'18_WEIGHT_CONTROL'!$B$6,IF('90_CANON_CONF_SOURCE'!I11='18_WEIGHT_CONTROL'!$A$7,'18_WEIGHT_CONTROL'!$B$7,'18_WEIGHT_CONTROL'!$B$8)))</f>
        <v/>
      </c>
      <c r="J11">
        <f>IF('90_CANON_CONF_SOURCE'!J11='18_WEIGHT_CONTROL'!$A$5,'18_WEIGHT_CONTROL'!$B$5,IF('90_CANON_CONF_SOURCE'!J11='18_WEIGHT_CONTROL'!$A$6,'18_WEIGHT_CONTROL'!$B$6,IF('90_CANON_CONF_SOURCE'!J11='18_WEIGHT_CONTROL'!$A$7,'18_WEIGHT_CONTROL'!$B$7,'18_WEIGHT_CONTROL'!$B$8)))</f>
        <v/>
      </c>
      <c r="K11">
        <f>IF('90_CANON_CONF_SOURCE'!K11='18_WEIGHT_CONTROL'!$A$5,'18_WEIGHT_CONTROL'!$B$5,IF('90_CANON_CONF_SOURCE'!K11='18_WEIGHT_CONTROL'!$A$6,'18_WEIGHT_CONTROL'!$B$6,IF('90_CANON_CONF_SOURCE'!K11='18_WEIGHT_CONTROL'!$A$7,'18_WEIGHT_CONTROL'!$B$7,'18_WEIGHT_CONTROL'!$B$8)))</f>
        <v/>
      </c>
      <c r="L11">
        <f>IF('90_CANON_CONF_SOURCE'!L11='18_WEIGHT_CONTROL'!$A$5,'18_WEIGHT_CONTROL'!$B$5,IF('90_CANON_CONF_SOURCE'!L11='18_WEIGHT_CONTROL'!$A$6,'18_WEIGHT_CONTROL'!$B$6,IF('90_CANON_CONF_SOURCE'!L11='18_WEIGHT_CONTROL'!$A$7,'18_WEIGHT_CONTROL'!$B$7,'18_WEIGHT_CONTROL'!$B$8)))</f>
        <v/>
      </c>
      <c r="M11">
        <f>IF('90_CANON_CONF_SOURCE'!M11='18_WEIGHT_CONTROL'!$A$5,'18_WEIGHT_CONTROL'!$B$5,IF('90_CANON_CONF_SOURCE'!M11='18_WEIGHT_CONTROL'!$A$6,'18_WEIGHT_CONTROL'!$B$6,IF('90_CANON_CONF_SOURCE'!M11='18_WEIGHT_CONTROL'!$A$7,'18_WEIGHT_CONTROL'!$B$7,'18_WEIGHT_CONTROL'!$B$8)))</f>
        <v/>
      </c>
      <c r="N11">
        <f>IF('90_CANON_CONF_SOURCE'!N11='18_WEIGHT_CONTROL'!$A$5,'18_WEIGHT_CONTROL'!$B$5,IF('90_CANON_CONF_SOURCE'!N11='18_WEIGHT_CONTROL'!$A$6,'18_WEIGHT_CONTROL'!$B$6,IF('90_CANON_CONF_SOURCE'!N11='18_WEIGHT_CONTROL'!$A$7,'18_WEIGHT_CONTROL'!$B$7,'18_WEIGHT_CONTROL'!$B$8)))</f>
        <v/>
      </c>
      <c r="O11">
        <f>IF('90_CANON_CONF_SOURCE'!O11='18_WEIGHT_CONTROL'!$A$5,'18_WEIGHT_CONTROL'!$B$5,IF('90_CANON_CONF_SOURCE'!O11='18_WEIGHT_CONTROL'!$A$6,'18_WEIGHT_CONTROL'!$B$6,IF('90_CANON_CONF_SOURCE'!O11='18_WEIGHT_CONTROL'!$A$7,'18_WEIGHT_CONTROL'!$B$7,'18_WEIGHT_CONTROL'!$B$8)))</f>
        <v/>
      </c>
      <c r="P11">
        <f>IF('90_CANON_CONF_SOURCE'!P11='18_WEIGHT_CONTROL'!$A$5,'18_WEIGHT_CONTROL'!$B$5,IF('90_CANON_CONF_SOURCE'!P11='18_WEIGHT_CONTROL'!$A$6,'18_WEIGHT_CONTROL'!$B$6,IF('90_CANON_CONF_SOURCE'!P11='18_WEIGHT_CONTROL'!$A$7,'18_WEIGHT_CONTROL'!$B$7,'18_WEIGHT_CONTROL'!$B$8)))</f>
        <v/>
      </c>
      <c r="Q11">
        <f>IF('90_CANON_CONF_SOURCE'!Q11='18_WEIGHT_CONTROL'!$A$5,'18_WEIGHT_CONTROL'!$B$5,IF('90_CANON_CONF_SOURCE'!Q11='18_WEIGHT_CONTROL'!$A$6,'18_WEIGHT_CONTROL'!$B$6,IF('90_CANON_CONF_SOURCE'!Q11='18_WEIGHT_CONTROL'!$A$7,'18_WEIGHT_CONTROL'!$B$7,'18_WEIGHT_CONTROL'!$B$8)))</f>
        <v/>
      </c>
      <c r="R11">
        <f>IF('90_CANON_CONF_SOURCE'!R11='18_WEIGHT_CONTROL'!$A$5,'18_WEIGHT_CONTROL'!$B$5,IF('90_CANON_CONF_SOURCE'!R11='18_WEIGHT_CONTROL'!$A$6,'18_WEIGHT_CONTROL'!$B$6,IF('90_CANON_CONF_SOURCE'!R11='18_WEIGHT_CONTROL'!$A$7,'18_WEIGHT_CONTROL'!$B$7,'18_WEIGHT_CONTROL'!$B$8)))</f>
        <v/>
      </c>
      <c r="S11">
        <f>IF('90_CANON_CONF_SOURCE'!S11='18_WEIGHT_CONTROL'!$A$5,'18_WEIGHT_CONTROL'!$B$5,IF('90_CANON_CONF_SOURCE'!S11='18_WEIGHT_CONTROL'!$A$6,'18_WEIGHT_CONTROL'!$B$6,IF('90_CANON_CONF_SOURCE'!S11='18_WEIGHT_CONTROL'!$A$7,'18_WEIGHT_CONTROL'!$B$7,'18_WEIGHT_CONTROL'!$B$8)))</f>
        <v/>
      </c>
      <c r="T11">
        <f>IF('90_CANON_CONF_SOURCE'!T11='18_WEIGHT_CONTROL'!$A$5,'18_WEIGHT_CONTROL'!$B$5,IF('90_CANON_CONF_SOURCE'!T11='18_WEIGHT_CONTROL'!$A$6,'18_WEIGHT_CONTROL'!$B$6,IF('90_CANON_CONF_SOURCE'!T11='18_WEIGHT_CONTROL'!$A$7,'18_WEIGHT_CONTROL'!$B$7,'18_WEIGHT_CONTROL'!$B$8)))</f>
        <v/>
      </c>
      <c r="U11">
        <f>IF('90_CANON_CONF_SOURCE'!U11='18_WEIGHT_CONTROL'!$A$5,'18_WEIGHT_CONTROL'!$B$5,IF('90_CANON_CONF_SOURCE'!U11='18_WEIGHT_CONTROL'!$A$6,'18_WEIGHT_CONTROL'!$B$6,IF('90_CANON_CONF_SOURCE'!U11='18_WEIGHT_CONTROL'!$A$7,'18_WEIGHT_CONTROL'!$B$7,'18_WEIGHT_CONTROL'!$B$8)))</f>
        <v/>
      </c>
      <c r="V11">
        <f>IF('90_CANON_CONF_SOURCE'!V11='18_WEIGHT_CONTROL'!$A$5,'18_WEIGHT_CONTROL'!$B$5,IF('90_CANON_CONF_SOURCE'!V11='18_WEIGHT_CONTROL'!$A$6,'18_WEIGHT_CONTROL'!$B$6,IF('90_CANON_CONF_SOURCE'!V11='18_WEIGHT_CONTROL'!$A$7,'18_WEIGHT_CONTROL'!$B$7,'18_WEIGHT_CONTROL'!$B$8)))</f>
        <v/>
      </c>
      <c r="W11">
        <f>IF('90_CANON_CONF_SOURCE'!W11='18_WEIGHT_CONTROL'!$A$5,'18_WEIGHT_CONTROL'!$B$5,IF('90_CANON_CONF_SOURCE'!W11='18_WEIGHT_CONTROL'!$A$6,'18_WEIGHT_CONTROL'!$B$6,IF('90_CANON_CONF_SOURCE'!W11='18_WEIGHT_CONTROL'!$A$7,'18_WEIGHT_CONTROL'!$B$7,'18_WEIGHT_CONTROL'!$B$8)))</f>
        <v/>
      </c>
      <c r="X11">
        <f>IF('90_CANON_CONF_SOURCE'!X11='18_WEIGHT_CONTROL'!$A$5,'18_WEIGHT_CONTROL'!$B$5,IF('90_CANON_CONF_SOURCE'!X11='18_WEIGHT_CONTROL'!$A$6,'18_WEIGHT_CONTROL'!$B$6,IF('90_CANON_CONF_SOURCE'!X11='18_WEIGHT_CONTROL'!$A$7,'18_WEIGHT_CONTROL'!$B$7,'18_WEIGHT_CONTROL'!$B$8)))</f>
        <v/>
      </c>
      <c r="Y11">
        <f>IF('90_CANON_CONF_SOURCE'!Y11='18_WEIGHT_CONTROL'!$A$5,'18_WEIGHT_CONTROL'!$B$5,IF('90_CANON_CONF_SOURCE'!Y11='18_WEIGHT_CONTROL'!$A$6,'18_WEIGHT_CONTROL'!$B$6,IF('90_CANON_CONF_SOURCE'!Y11='18_WEIGHT_CONTROL'!$A$7,'18_WEIGHT_CONTROL'!$B$7,'18_WEIGHT_CONTROL'!$B$8)))</f>
        <v/>
      </c>
      <c r="Z11">
        <f>IF('91_MOTIF_CONF_SOURCE'!D11='18_WEIGHT_CONTROL'!$A$5,'18_WEIGHT_CONTROL'!$B$5,IF('91_MOTIF_CONF_SOURCE'!D11='18_WEIGHT_CONTROL'!$A$6,'18_WEIGHT_CONTROL'!$B$6,IF('91_MOTIF_CONF_SOURCE'!D11='18_WEIGHT_CONTROL'!$A$7,'18_WEIGHT_CONTROL'!$B$7,'18_WEIGHT_CONTROL'!$B$8)))</f>
        <v/>
      </c>
      <c r="AA11">
        <f>IF('91_MOTIF_CONF_SOURCE'!E11='18_WEIGHT_CONTROL'!$A$5,'18_WEIGHT_CONTROL'!$B$5,IF('91_MOTIF_CONF_SOURCE'!E11='18_WEIGHT_CONTROL'!$A$6,'18_WEIGHT_CONTROL'!$B$6,IF('91_MOTIF_CONF_SOURCE'!E11='18_WEIGHT_CONTROL'!$A$7,'18_WEIGHT_CONTROL'!$B$7,'18_WEIGHT_CONTROL'!$B$8)))</f>
        <v/>
      </c>
      <c r="AB11">
        <f>IF('91_MOTIF_CONF_SOURCE'!F11='18_WEIGHT_CONTROL'!$A$5,'18_WEIGHT_CONTROL'!$B$5,IF('91_MOTIF_CONF_SOURCE'!F11='18_WEIGHT_CONTROL'!$A$6,'18_WEIGHT_CONTROL'!$B$6,IF('91_MOTIF_CONF_SOURCE'!F11='18_WEIGHT_CONTROL'!$A$7,'18_WEIGHT_CONTROL'!$B$7,'18_WEIGHT_CONTROL'!$B$8)))</f>
        <v/>
      </c>
      <c r="AC11">
        <f>IF('91_MOTIF_CONF_SOURCE'!G11='18_WEIGHT_CONTROL'!$A$5,'18_WEIGHT_CONTROL'!$B$5,IF('91_MOTIF_CONF_SOURCE'!G11='18_WEIGHT_CONTROL'!$A$6,'18_WEIGHT_CONTROL'!$B$6,IF('91_MOTIF_CONF_SOURCE'!G11='18_WEIGHT_CONTROL'!$A$7,'18_WEIGHT_CONTROL'!$B$7,'18_WEIGHT_CONTROL'!$B$8)))</f>
        <v/>
      </c>
      <c r="AD11">
        <f>IF('91_MOTIF_CONF_SOURCE'!H11='18_WEIGHT_CONTROL'!$A$5,'18_WEIGHT_CONTROL'!$B$5,IF('91_MOTIF_CONF_SOURCE'!H11='18_WEIGHT_CONTROL'!$A$6,'18_WEIGHT_CONTROL'!$B$6,IF('91_MOTIF_CONF_SOURCE'!H11='18_WEIGHT_CONTROL'!$A$7,'18_WEIGHT_CONTROL'!$B$7,'18_WEIGHT_CONTROL'!$B$8)))</f>
        <v/>
      </c>
      <c r="AE11">
        <f>IF('91_MOTIF_CONF_SOURCE'!I11='18_WEIGHT_CONTROL'!$A$5,'18_WEIGHT_CONTROL'!$B$5,IF('91_MOTIF_CONF_SOURCE'!I11='18_WEIGHT_CONTROL'!$A$6,'18_WEIGHT_CONTROL'!$B$6,IF('91_MOTIF_CONF_SOURCE'!I11='18_WEIGHT_CONTROL'!$A$7,'18_WEIGHT_CONTROL'!$B$7,'18_WEIGHT_CONTROL'!$B$8)))</f>
        <v/>
      </c>
      <c r="AF11">
        <f>IF('91_MOTIF_CONF_SOURCE'!J11='18_WEIGHT_CONTROL'!$A$5,'18_WEIGHT_CONTROL'!$B$5,IF('91_MOTIF_CONF_SOURCE'!J11='18_WEIGHT_CONTROL'!$A$6,'18_WEIGHT_CONTROL'!$B$6,IF('91_MOTIF_CONF_SOURCE'!J11='18_WEIGHT_CONTROL'!$A$7,'18_WEIGHT_CONTROL'!$B$7,'18_WEIGHT_CONTROL'!$B$8)))</f>
        <v/>
      </c>
      <c r="AG11">
        <f>IF('91_MOTIF_CONF_SOURCE'!K11='18_WEIGHT_CONTROL'!$A$5,'18_WEIGHT_CONTROL'!$B$5,IF('91_MOTIF_CONF_SOURCE'!K11='18_WEIGHT_CONTROL'!$A$6,'18_WEIGHT_CONTROL'!$B$6,IF('91_MOTIF_CONF_SOURCE'!K11='18_WEIGHT_CONTROL'!$A$7,'18_WEIGHT_CONTROL'!$B$7,'18_WEIGHT_CONTROL'!$B$8)))</f>
        <v/>
      </c>
      <c r="AH11">
        <f>IF('91_MOTIF_CONF_SOURCE'!L11='18_WEIGHT_CONTROL'!$A$5,'18_WEIGHT_CONTROL'!$B$5,IF('91_MOTIF_CONF_SOURCE'!L11='18_WEIGHT_CONTROL'!$A$6,'18_WEIGHT_CONTROL'!$B$6,IF('91_MOTIF_CONF_SOURCE'!L11='18_WEIGHT_CONTROL'!$A$7,'18_WEIGHT_CONTROL'!$B$7,'18_WEIGHT_CONTROL'!$B$8)))</f>
        <v/>
      </c>
      <c r="AI11">
        <f>IF('91_MOTIF_CONF_SOURCE'!M11='18_WEIGHT_CONTROL'!$A$5,'18_WEIGHT_CONTROL'!$B$5,IF('91_MOTIF_CONF_SOURCE'!M11='18_WEIGHT_CONTROL'!$A$6,'18_WEIGHT_CONTROL'!$B$6,IF('91_MOTIF_CONF_SOURCE'!M11='18_WEIGHT_CONTROL'!$A$7,'18_WEIGHT_CONTROL'!$B$7,'18_WEIGHT_CONTROL'!$B$8)))</f>
        <v/>
      </c>
      <c r="AJ11">
        <f>IF('91_MOTIF_CONF_SOURCE'!N11='18_WEIGHT_CONTROL'!$A$5,'18_WEIGHT_CONTROL'!$B$5,IF('91_MOTIF_CONF_SOURCE'!N11='18_WEIGHT_CONTROL'!$A$6,'18_WEIGHT_CONTROL'!$B$6,IF('91_MOTIF_CONF_SOURCE'!N11='18_WEIGHT_CONTROL'!$A$7,'18_WEIGHT_CONTROL'!$B$7,'18_WEIGHT_CONTROL'!$B$8)))</f>
        <v/>
      </c>
      <c r="AK11">
        <f>IF('91_MOTIF_CONF_SOURCE'!O11='18_WEIGHT_CONTROL'!$A$5,'18_WEIGHT_CONTROL'!$B$5,IF('91_MOTIF_CONF_SOURCE'!O11='18_WEIGHT_CONTROL'!$A$6,'18_WEIGHT_CONTROL'!$B$6,IF('91_MOTIF_CONF_SOURCE'!O11='18_WEIGHT_CONTROL'!$A$7,'18_WEIGHT_CONTROL'!$B$7,'18_WEIGHT_CONTROL'!$B$8)))</f>
        <v/>
      </c>
      <c r="AL11">
        <f>IF('91_MOTIF_CONF_SOURCE'!P11='18_WEIGHT_CONTROL'!$A$5,'18_WEIGHT_CONTROL'!$B$5,IF('91_MOTIF_CONF_SOURCE'!P11='18_WEIGHT_CONTROL'!$A$6,'18_WEIGHT_CONTROL'!$B$6,IF('91_MOTIF_CONF_SOURCE'!P11='18_WEIGHT_CONTROL'!$A$7,'18_WEIGHT_CONTROL'!$B$7,'18_WEIGHT_CONTROL'!$B$8)))</f>
        <v/>
      </c>
      <c r="AM11">
        <f>IF('91_MOTIF_CONF_SOURCE'!Q11='18_WEIGHT_CONTROL'!$A$5,'18_WEIGHT_CONTROL'!$B$5,IF('91_MOTIF_CONF_SOURCE'!Q11='18_WEIGHT_CONTROL'!$A$6,'18_WEIGHT_CONTROL'!$B$6,IF('91_MOTIF_CONF_SOURCE'!Q11='18_WEIGHT_CONTROL'!$A$7,'18_WEIGHT_CONTROL'!$B$7,'18_WEIGHT_CONTROL'!$B$8)))</f>
        <v/>
      </c>
      <c r="AN11">
        <f>IF('91_MOTIF_CONF_SOURCE'!R11='18_WEIGHT_CONTROL'!$A$5,'18_WEIGHT_CONTROL'!$B$5,IF('91_MOTIF_CONF_SOURCE'!R11='18_WEIGHT_CONTROL'!$A$6,'18_WEIGHT_CONTROL'!$B$6,IF('91_MOTIF_CONF_SOURCE'!R11='18_WEIGHT_CONTROL'!$A$7,'18_WEIGHT_CONTROL'!$B$7,'18_WEIGHT_CONTROL'!$B$8)))</f>
        <v/>
      </c>
      <c r="AO11">
        <f>IF('91_MOTIF_CONF_SOURCE'!S11='18_WEIGHT_CONTROL'!$A$5,'18_WEIGHT_CONTROL'!$B$5,IF('91_MOTIF_CONF_SOURCE'!S11='18_WEIGHT_CONTROL'!$A$6,'18_WEIGHT_CONTROL'!$B$6,IF('91_MOTIF_CONF_SOURCE'!S11='18_WEIGHT_CONTROL'!$A$7,'18_WEIGHT_CONTROL'!$B$7,'18_WEIGHT_CONTROL'!$B$8)))</f>
        <v/>
      </c>
      <c r="AP11">
        <f>IF('91_MOTIF_CONF_SOURCE'!T11='18_WEIGHT_CONTROL'!$A$5,'18_WEIGHT_CONTROL'!$B$5,IF('91_MOTIF_CONF_SOURCE'!T11='18_WEIGHT_CONTROL'!$A$6,'18_WEIGHT_CONTROL'!$B$6,IF('91_MOTIF_CONF_SOURCE'!T11='18_WEIGHT_CONTROL'!$A$7,'18_WEIGHT_CONTROL'!$B$7,'18_WEIGHT_CONTROL'!$B$8)))</f>
        <v/>
      </c>
      <c r="AQ11">
        <f>IF('91_MOTIF_CONF_SOURCE'!U11='18_WEIGHT_CONTROL'!$A$5,'18_WEIGHT_CONTROL'!$B$5,IF('91_MOTIF_CONF_SOURCE'!U11='18_WEIGHT_CONTROL'!$A$6,'18_WEIGHT_CONTROL'!$B$6,IF('91_MOTIF_CONF_SOURCE'!U11='18_WEIGHT_CONTROL'!$A$7,'18_WEIGHT_CONTROL'!$B$7,'18_WEIGHT_CONTROL'!$B$8)))</f>
        <v/>
      </c>
      <c r="AR11">
        <f>IF('91_MOTIF_CONF_SOURCE'!V11='18_WEIGHT_CONTROL'!$A$5,'18_WEIGHT_CONTROL'!$B$5,IF('91_MOTIF_CONF_SOURCE'!V11='18_WEIGHT_CONTROL'!$A$6,'18_WEIGHT_CONTROL'!$B$6,IF('91_MOTIF_CONF_SOURCE'!V11='18_WEIGHT_CONTROL'!$A$7,'18_WEIGHT_CONTROL'!$B$7,'18_WEIGHT_CONTROL'!$B$8)))</f>
        <v/>
      </c>
    </row>
    <row r="12">
      <c r="A12" t="n">
        <v>8</v>
      </c>
      <c r="B12" t="inlineStr">
        <is>
          <t>金星人</t>
        </is>
      </c>
      <c r="C12" t="inlineStr">
        <is>
          <t>Venusian</t>
        </is>
      </c>
      <c r="D12">
        <f>IF('90_CANON_CONF_SOURCE'!D12='18_WEIGHT_CONTROL'!$A$5,'18_WEIGHT_CONTROL'!$B$5,IF('90_CANON_CONF_SOURCE'!D12='18_WEIGHT_CONTROL'!$A$6,'18_WEIGHT_CONTROL'!$B$6,IF('90_CANON_CONF_SOURCE'!D12='18_WEIGHT_CONTROL'!$A$7,'18_WEIGHT_CONTROL'!$B$7,'18_WEIGHT_CONTROL'!$B$8)))</f>
        <v/>
      </c>
      <c r="E12">
        <f>IF('90_CANON_CONF_SOURCE'!E12='18_WEIGHT_CONTROL'!$A$5,'18_WEIGHT_CONTROL'!$B$5,IF('90_CANON_CONF_SOURCE'!E12='18_WEIGHT_CONTROL'!$A$6,'18_WEIGHT_CONTROL'!$B$6,IF('90_CANON_CONF_SOURCE'!E12='18_WEIGHT_CONTROL'!$A$7,'18_WEIGHT_CONTROL'!$B$7,'18_WEIGHT_CONTROL'!$B$8)))</f>
        <v/>
      </c>
      <c r="F12">
        <f>IF('90_CANON_CONF_SOURCE'!F12='18_WEIGHT_CONTROL'!$A$5,'18_WEIGHT_CONTROL'!$B$5,IF('90_CANON_CONF_SOURCE'!F12='18_WEIGHT_CONTROL'!$A$6,'18_WEIGHT_CONTROL'!$B$6,IF('90_CANON_CONF_SOURCE'!F12='18_WEIGHT_CONTROL'!$A$7,'18_WEIGHT_CONTROL'!$B$7,'18_WEIGHT_CONTROL'!$B$8)))</f>
        <v/>
      </c>
      <c r="G12">
        <f>IF('90_CANON_CONF_SOURCE'!G12='18_WEIGHT_CONTROL'!$A$5,'18_WEIGHT_CONTROL'!$B$5,IF('90_CANON_CONF_SOURCE'!G12='18_WEIGHT_CONTROL'!$A$6,'18_WEIGHT_CONTROL'!$B$6,IF('90_CANON_CONF_SOURCE'!G12='18_WEIGHT_CONTROL'!$A$7,'18_WEIGHT_CONTROL'!$B$7,'18_WEIGHT_CONTROL'!$B$8)))</f>
        <v/>
      </c>
      <c r="H12">
        <f>IF('90_CANON_CONF_SOURCE'!H12='18_WEIGHT_CONTROL'!$A$5,'18_WEIGHT_CONTROL'!$B$5,IF('90_CANON_CONF_SOURCE'!H12='18_WEIGHT_CONTROL'!$A$6,'18_WEIGHT_CONTROL'!$B$6,IF('90_CANON_CONF_SOURCE'!H12='18_WEIGHT_CONTROL'!$A$7,'18_WEIGHT_CONTROL'!$B$7,'18_WEIGHT_CONTROL'!$B$8)))</f>
        <v/>
      </c>
      <c r="I12">
        <f>IF('90_CANON_CONF_SOURCE'!I12='18_WEIGHT_CONTROL'!$A$5,'18_WEIGHT_CONTROL'!$B$5,IF('90_CANON_CONF_SOURCE'!I12='18_WEIGHT_CONTROL'!$A$6,'18_WEIGHT_CONTROL'!$B$6,IF('90_CANON_CONF_SOURCE'!I12='18_WEIGHT_CONTROL'!$A$7,'18_WEIGHT_CONTROL'!$B$7,'18_WEIGHT_CONTROL'!$B$8)))</f>
        <v/>
      </c>
      <c r="J12">
        <f>IF('90_CANON_CONF_SOURCE'!J12='18_WEIGHT_CONTROL'!$A$5,'18_WEIGHT_CONTROL'!$B$5,IF('90_CANON_CONF_SOURCE'!J12='18_WEIGHT_CONTROL'!$A$6,'18_WEIGHT_CONTROL'!$B$6,IF('90_CANON_CONF_SOURCE'!J12='18_WEIGHT_CONTROL'!$A$7,'18_WEIGHT_CONTROL'!$B$7,'18_WEIGHT_CONTROL'!$B$8)))</f>
        <v/>
      </c>
      <c r="K12">
        <f>IF('90_CANON_CONF_SOURCE'!K12='18_WEIGHT_CONTROL'!$A$5,'18_WEIGHT_CONTROL'!$B$5,IF('90_CANON_CONF_SOURCE'!K12='18_WEIGHT_CONTROL'!$A$6,'18_WEIGHT_CONTROL'!$B$6,IF('90_CANON_CONF_SOURCE'!K12='18_WEIGHT_CONTROL'!$A$7,'18_WEIGHT_CONTROL'!$B$7,'18_WEIGHT_CONTROL'!$B$8)))</f>
        <v/>
      </c>
      <c r="L12">
        <f>IF('90_CANON_CONF_SOURCE'!L12='18_WEIGHT_CONTROL'!$A$5,'18_WEIGHT_CONTROL'!$B$5,IF('90_CANON_CONF_SOURCE'!L12='18_WEIGHT_CONTROL'!$A$6,'18_WEIGHT_CONTROL'!$B$6,IF('90_CANON_CONF_SOURCE'!L12='18_WEIGHT_CONTROL'!$A$7,'18_WEIGHT_CONTROL'!$B$7,'18_WEIGHT_CONTROL'!$B$8)))</f>
        <v/>
      </c>
      <c r="M12">
        <f>IF('90_CANON_CONF_SOURCE'!M12='18_WEIGHT_CONTROL'!$A$5,'18_WEIGHT_CONTROL'!$B$5,IF('90_CANON_CONF_SOURCE'!M12='18_WEIGHT_CONTROL'!$A$6,'18_WEIGHT_CONTROL'!$B$6,IF('90_CANON_CONF_SOURCE'!M12='18_WEIGHT_CONTROL'!$A$7,'18_WEIGHT_CONTROL'!$B$7,'18_WEIGHT_CONTROL'!$B$8)))</f>
        <v/>
      </c>
      <c r="N12">
        <f>IF('90_CANON_CONF_SOURCE'!N12='18_WEIGHT_CONTROL'!$A$5,'18_WEIGHT_CONTROL'!$B$5,IF('90_CANON_CONF_SOURCE'!N12='18_WEIGHT_CONTROL'!$A$6,'18_WEIGHT_CONTROL'!$B$6,IF('90_CANON_CONF_SOURCE'!N12='18_WEIGHT_CONTROL'!$A$7,'18_WEIGHT_CONTROL'!$B$7,'18_WEIGHT_CONTROL'!$B$8)))</f>
        <v/>
      </c>
      <c r="O12">
        <f>IF('90_CANON_CONF_SOURCE'!O12='18_WEIGHT_CONTROL'!$A$5,'18_WEIGHT_CONTROL'!$B$5,IF('90_CANON_CONF_SOURCE'!O12='18_WEIGHT_CONTROL'!$A$6,'18_WEIGHT_CONTROL'!$B$6,IF('90_CANON_CONF_SOURCE'!O12='18_WEIGHT_CONTROL'!$A$7,'18_WEIGHT_CONTROL'!$B$7,'18_WEIGHT_CONTROL'!$B$8)))</f>
        <v/>
      </c>
      <c r="P12">
        <f>IF('90_CANON_CONF_SOURCE'!P12='18_WEIGHT_CONTROL'!$A$5,'18_WEIGHT_CONTROL'!$B$5,IF('90_CANON_CONF_SOURCE'!P12='18_WEIGHT_CONTROL'!$A$6,'18_WEIGHT_CONTROL'!$B$6,IF('90_CANON_CONF_SOURCE'!P12='18_WEIGHT_CONTROL'!$A$7,'18_WEIGHT_CONTROL'!$B$7,'18_WEIGHT_CONTROL'!$B$8)))</f>
        <v/>
      </c>
      <c r="Q12">
        <f>IF('90_CANON_CONF_SOURCE'!Q12='18_WEIGHT_CONTROL'!$A$5,'18_WEIGHT_CONTROL'!$B$5,IF('90_CANON_CONF_SOURCE'!Q12='18_WEIGHT_CONTROL'!$A$6,'18_WEIGHT_CONTROL'!$B$6,IF('90_CANON_CONF_SOURCE'!Q12='18_WEIGHT_CONTROL'!$A$7,'18_WEIGHT_CONTROL'!$B$7,'18_WEIGHT_CONTROL'!$B$8)))</f>
        <v/>
      </c>
      <c r="R12">
        <f>IF('90_CANON_CONF_SOURCE'!R12='18_WEIGHT_CONTROL'!$A$5,'18_WEIGHT_CONTROL'!$B$5,IF('90_CANON_CONF_SOURCE'!R12='18_WEIGHT_CONTROL'!$A$6,'18_WEIGHT_CONTROL'!$B$6,IF('90_CANON_CONF_SOURCE'!R12='18_WEIGHT_CONTROL'!$A$7,'18_WEIGHT_CONTROL'!$B$7,'18_WEIGHT_CONTROL'!$B$8)))</f>
        <v/>
      </c>
      <c r="S12">
        <f>IF('90_CANON_CONF_SOURCE'!S12='18_WEIGHT_CONTROL'!$A$5,'18_WEIGHT_CONTROL'!$B$5,IF('90_CANON_CONF_SOURCE'!S12='18_WEIGHT_CONTROL'!$A$6,'18_WEIGHT_CONTROL'!$B$6,IF('90_CANON_CONF_SOURCE'!S12='18_WEIGHT_CONTROL'!$A$7,'18_WEIGHT_CONTROL'!$B$7,'18_WEIGHT_CONTROL'!$B$8)))</f>
        <v/>
      </c>
      <c r="T12">
        <f>IF('90_CANON_CONF_SOURCE'!T12='18_WEIGHT_CONTROL'!$A$5,'18_WEIGHT_CONTROL'!$B$5,IF('90_CANON_CONF_SOURCE'!T12='18_WEIGHT_CONTROL'!$A$6,'18_WEIGHT_CONTROL'!$B$6,IF('90_CANON_CONF_SOURCE'!T12='18_WEIGHT_CONTROL'!$A$7,'18_WEIGHT_CONTROL'!$B$7,'18_WEIGHT_CONTROL'!$B$8)))</f>
        <v/>
      </c>
      <c r="U12">
        <f>IF('90_CANON_CONF_SOURCE'!U12='18_WEIGHT_CONTROL'!$A$5,'18_WEIGHT_CONTROL'!$B$5,IF('90_CANON_CONF_SOURCE'!U12='18_WEIGHT_CONTROL'!$A$6,'18_WEIGHT_CONTROL'!$B$6,IF('90_CANON_CONF_SOURCE'!U12='18_WEIGHT_CONTROL'!$A$7,'18_WEIGHT_CONTROL'!$B$7,'18_WEIGHT_CONTROL'!$B$8)))</f>
        <v/>
      </c>
      <c r="V12">
        <f>IF('90_CANON_CONF_SOURCE'!V12='18_WEIGHT_CONTROL'!$A$5,'18_WEIGHT_CONTROL'!$B$5,IF('90_CANON_CONF_SOURCE'!V12='18_WEIGHT_CONTROL'!$A$6,'18_WEIGHT_CONTROL'!$B$6,IF('90_CANON_CONF_SOURCE'!V12='18_WEIGHT_CONTROL'!$A$7,'18_WEIGHT_CONTROL'!$B$7,'18_WEIGHT_CONTROL'!$B$8)))</f>
        <v/>
      </c>
      <c r="W12">
        <f>IF('90_CANON_CONF_SOURCE'!W12='18_WEIGHT_CONTROL'!$A$5,'18_WEIGHT_CONTROL'!$B$5,IF('90_CANON_CONF_SOURCE'!W12='18_WEIGHT_CONTROL'!$A$6,'18_WEIGHT_CONTROL'!$B$6,IF('90_CANON_CONF_SOURCE'!W12='18_WEIGHT_CONTROL'!$A$7,'18_WEIGHT_CONTROL'!$B$7,'18_WEIGHT_CONTROL'!$B$8)))</f>
        <v/>
      </c>
      <c r="X12">
        <f>IF('90_CANON_CONF_SOURCE'!X12='18_WEIGHT_CONTROL'!$A$5,'18_WEIGHT_CONTROL'!$B$5,IF('90_CANON_CONF_SOURCE'!X12='18_WEIGHT_CONTROL'!$A$6,'18_WEIGHT_CONTROL'!$B$6,IF('90_CANON_CONF_SOURCE'!X12='18_WEIGHT_CONTROL'!$A$7,'18_WEIGHT_CONTROL'!$B$7,'18_WEIGHT_CONTROL'!$B$8)))</f>
        <v/>
      </c>
      <c r="Y12">
        <f>IF('90_CANON_CONF_SOURCE'!Y12='18_WEIGHT_CONTROL'!$A$5,'18_WEIGHT_CONTROL'!$B$5,IF('90_CANON_CONF_SOURCE'!Y12='18_WEIGHT_CONTROL'!$A$6,'18_WEIGHT_CONTROL'!$B$6,IF('90_CANON_CONF_SOURCE'!Y12='18_WEIGHT_CONTROL'!$A$7,'18_WEIGHT_CONTROL'!$B$7,'18_WEIGHT_CONTROL'!$B$8)))</f>
        <v/>
      </c>
      <c r="Z12">
        <f>IF('91_MOTIF_CONF_SOURCE'!D12='18_WEIGHT_CONTROL'!$A$5,'18_WEIGHT_CONTROL'!$B$5,IF('91_MOTIF_CONF_SOURCE'!D12='18_WEIGHT_CONTROL'!$A$6,'18_WEIGHT_CONTROL'!$B$6,IF('91_MOTIF_CONF_SOURCE'!D12='18_WEIGHT_CONTROL'!$A$7,'18_WEIGHT_CONTROL'!$B$7,'18_WEIGHT_CONTROL'!$B$8)))</f>
        <v/>
      </c>
      <c r="AA12">
        <f>IF('91_MOTIF_CONF_SOURCE'!E12='18_WEIGHT_CONTROL'!$A$5,'18_WEIGHT_CONTROL'!$B$5,IF('91_MOTIF_CONF_SOURCE'!E12='18_WEIGHT_CONTROL'!$A$6,'18_WEIGHT_CONTROL'!$B$6,IF('91_MOTIF_CONF_SOURCE'!E12='18_WEIGHT_CONTROL'!$A$7,'18_WEIGHT_CONTROL'!$B$7,'18_WEIGHT_CONTROL'!$B$8)))</f>
        <v/>
      </c>
      <c r="AB12">
        <f>IF('91_MOTIF_CONF_SOURCE'!F12='18_WEIGHT_CONTROL'!$A$5,'18_WEIGHT_CONTROL'!$B$5,IF('91_MOTIF_CONF_SOURCE'!F12='18_WEIGHT_CONTROL'!$A$6,'18_WEIGHT_CONTROL'!$B$6,IF('91_MOTIF_CONF_SOURCE'!F12='18_WEIGHT_CONTROL'!$A$7,'18_WEIGHT_CONTROL'!$B$7,'18_WEIGHT_CONTROL'!$B$8)))</f>
        <v/>
      </c>
      <c r="AC12">
        <f>IF('91_MOTIF_CONF_SOURCE'!G12='18_WEIGHT_CONTROL'!$A$5,'18_WEIGHT_CONTROL'!$B$5,IF('91_MOTIF_CONF_SOURCE'!G12='18_WEIGHT_CONTROL'!$A$6,'18_WEIGHT_CONTROL'!$B$6,IF('91_MOTIF_CONF_SOURCE'!G12='18_WEIGHT_CONTROL'!$A$7,'18_WEIGHT_CONTROL'!$B$7,'18_WEIGHT_CONTROL'!$B$8)))</f>
        <v/>
      </c>
      <c r="AD12">
        <f>IF('91_MOTIF_CONF_SOURCE'!H12='18_WEIGHT_CONTROL'!$A$5,'18_WEIGHT_CONTROL'!$B$5,IF('91_MOTIF_CONF_SOURCE'!H12='18_WEIGHT_CONTROL'!$A$6,'18_WEIGHT_CONTROL'!$B$6,IF('91_MOTIF_CONF_SOURCE'!H12='18_WEIGHT_CONTROL'!$A$7,'18_WEIGHT_CONTROL'!$B$7,'18_WEIGHT_CONTROL'!$B$8)))</f>
        <v/>
      </c>
      <c r="AE12">
        <f>IF('91_MOTIF_CONF_SOURCE'!I12='18_WEIGHT_CONTROL'!$A$5,'18_WEIGHT_CONTROL'!$B$5,IF('91_MOTIF_CONF_SOURCE'!I12='18_WEIGHT_CONTROL'!$A$6,'18_WEIGHT_CONTROL'!$B$6,IF('91_MOTIF_CONF_SOURCE'!I12='18_WEIGHT_CONTROL'!$A$7,'18_WEIGHT_CONTROL'!$B$7,'18_WEIGHT_CONTROL'!$B$8)))</f>
        <v/>
      </c>
      <c r="AF12">
        <f>IF('91_MOTIF_CONF_SOURCE'!J12='18_WEIGHT_CONTROL'!$A$5,'18_WEIGHT_CONTROL'!$B$5,IF('91_MOTIF_CONF_SOURCE'!J12='18_WEIGHT_CONTROL'!$A$6,'18_WEIGHT_CONTROL'!$B$6,IF('91_MOTIF_CONF_SOURCE'!J12='18_WEIGHT_CONTROL'!$A$7,'18_WEIGHT_CONTROL'!$B$7,'18_WEIGHT_CONTROL'!$B$8)))</f>
        <v/>
      </c>
      <c r="AG12">
        <f>IF('91_MOTIF_CONF_SOURCE'!K12='18_WEIGHT_CONTROL'!$A$5,'18_WEIGHT_CONTROL'!$B$5,IF('91_MOTIF_CONF_SOURCE'!K12='18_WEIGHT_CONTROL'!$A$6,'18_WEIGHT_CONTROL'!$B$6,IF('91_MOTIF_CONF_SOURCE'!K12='18_WEIGHT_CONTROL'!$A$7,'18_WEIGHT_CONTROL'!$B$7,'18_WEIGHT_CONTROL'!$B$8)))</f>
        <v/>
      </c>
      <c r="AH12">
        <f>IF('91_MOTIF_CONF_SOURCE'!L12='18_WEIGHT_CONTROL'!$A$5,'18_WEIGHT_CONTROL'!$B$5,IF('91_MOTIF_CONF_SOURCE'!L12='18_WEIGHT_CONTROL'!$A$6,'18_WEIGHT_CONTROL'!$B$6,IF('91_MOTIF_CONF_SOURCE'!L12='18_WEIGHT_CONTROL'!$A$7,'18_WEIGHT_CONTROL'!$B$7,'18_WEIGHT_CONTROL'!$B$8)))</f>
        <v/>
      </c>
      <c r="AI12">
        <f>IF('91_MOTIF_CONF_SOURCE'!M12='18_WEIGHT_CONTROL'!$A$5,'18_WEIGHT_CONTROL'!$B$5,IF('91_MOTIF_CONF_SOURCE'!M12='18_WEIGHT_CONTROL'!$A$6,'18_WEIGHT_CONTROL'!$B$6,IF('91_MOTIF_CONF_SOURCE'!M12='18_WEIGHT_CONTROL'!$A$7,'18_WEIGHT_CONTROL'!$B$7,'18_WEIGHT_CONTROL'!$B$8)))</f>
        <v/>
      </c>
      <c r="AJ12">
        <f>IF('91_MOTIF_CONF_SOURCE'!N12='18_WEIGHT_CONTROL'!$A$5,'18_WEIGHT_CONTROL'!$B$5,IF('91_MOTIF_CONF_SOURCE'!N12='18_WEIGHT_CONTROL'!$A$6,'18_WEIGHT_CONTROL'!$B$6,IF('91_MOTIF_CONF_SOURCE'!N12='18_WEIGHT_CONTROL'!$A$7,'18_WEIGHT_CONTROL'!$B$7,'18_WEIGHT_CONTROL'!$B$8)))</f>
        <v/>
      </c>
      <c r="AK12">
        <f>IF('91_MOTIF_CONF_SOURCE'!O12='18_WEIGHT_CONTROL'!$A$5,'18_WEIGHT_CONTROL'!$B$5,IF('91_MOTIF_CONF_SOURCE'!O12='18_WEIGHT_CONTROL'!$A$6,'18_WEIGHT_CONTROL'!$B$6,IF('91_MOTIF_CONF_SOURCE'!O12='18_WEIGHT_CONTROL'!$A$7,'18_WEIGHT_CONTROL'!$B$7,'18_WEIGHT_CONTROL'!$B$8)))</f>
        <v/>
      </c>
      <c r="AL12">
        <f>IF('91_MOTIF_CONF_SOURCE'!P12='18_WEIGHT_CONTROL'!$A$5,'18_WEIGHT_CONTROL'!$B$5,IF('91_MOTIF_CONF_SOURCE'!P12='18_WEIGHT_CONTROL'!$A$6,'18_WEIGHT_CONTROL'!$B$6,IF('91_MOTIF_CONF_SOURCE'!P12='18_WEIGHT_CONTROL'!$A$7,'18_WEIGHT_CONTROL'!$B$7,'18_WEIGHT_CONTROL'!$B$8)))</f>
        <v/>
      </c>
      <c r="AM12">
        <f>IF('91_MOTIF_CONF_SOURCE'!Q12='18_WEIGHT_CONTROL'!$A$5,'18_WEIGHT_CONTROL'!$B$5,IF('91_MOTIF_CONF_SOURCE'!Q12='18_WEIGHT_CONTROL'!$A$6,'18_WEIGHT_CONTROL'!$B$6,IF('91_MOTIF_CONF_SOURCE'!Q12='18_WEIGHT_CONTROL'!$A$7,'18_WEIGHT_CONTROL'!$B$7,'18_WEIGHT_CONTROL'!$B$8)))</f>
        <v/>
      </c>
      <c r="AN12">
        <f>IF('91_MOTIF_CONF_SOURCE'!R12='18_WEIGHT_CONTROL'!$A$5,'18_WEIGHT_CONTROL'!$B$5,IF('91_MOTIF_CONF_SOURCE'!R12='18_WEIGHT_CONTROL'!$A$6,'18_WEIGHT_CONTROL'!$B$6,IF('91_MOTIF_CONF_SOURCE'!R12='18_WEIGHT_CONTROL'!$A$7,'18_WEIGHT_CONTROL'!$B$7,'18_WEIGHT_CONTROL'!$B$8)))</f>
        <v/>
      </c>
      <c r="AO12">
        <f>IF('91_MOTIF_CONF_SOURCE'!S12='18_WEIGHT_CONTROL'!$A$5,'18_WEIGHT_CONTROL'!$B$5,IF('91_MOTIF_CONF_SOURCE'!S12='18_WEIGHT_CONTROL'!$A$6,'18_WEIGHT_CONTROL'!$B$6,IF('91_MOTIF_CONF_SOURCE'!S12='18_WEIGHT_CONTROL'!$A$7,'18_WEIGHT_CONTROL'!$B$7,'18_WEIGHT_CONTROL'!$B$8)))</f>
        <v/>
      </c>
      <c r="AP12">
        <f>IF('91_MOTIF_CONF_SOURCE'!T12='18_WEIGHT_CONTROL'!$A$5,'18_WEIGHT_CONTROL'!$B$5,IF('91_MOTIF_CONF_SOURCE'!T12='18_WEIGHT_CONTROL'!$A$6,'18_WEIGHT_CONTROL'!$B$6,IF('91_MOTIF_CONF_SOURCE'!T12='18_WEIGHT_CONTROL'!$A$7,'18_WEIGHT_CONTROL'!$B$7,'18_WEIGHT_CONTROL'!$B$8)))</f>
        <v/>
      </c>
      <c r="AQ12">
        <f>IF('91_MOTIF_CONF_SOURCE'!U12='18_WEIGHT_CONTROL'!$A$5,'18_WEIGHT_CONTROL'!$B$5,IF('91_MOTIF_CONF_SOURCE'!U12='18_WEIGHT_CONTROL'!$A$6,'18_WEIGHT_CONTROL'!$B$6,IF('91_MOTIF_CONF_SOURCE'!U12='18_WEIGHT_CONTROL'!$A$7,'18_WEIGHT_CONTROL'!$B$7,'18_WEIGHT_CONTROL'!$B$8)))</f>
        <v/>
      </c>
      <c r="AR12">
        <f>IF('91_MOTIF_CONF_SOURCE'!V12='18_WEIGHT_CONTROL'!$A$5,'18_WEIGHT_CONTROL'!$B$5,IF('91_MOTIF_CONF_SOURCE'!V12='18_WEIGHT_CONTROL'!$A$6,'18_WEIGHT_CONTROL'!$B$6,IF('91_MOTIF_CONF_SOURCE'!V12='18_WEIGHT_CONTROL'!$A$7,'18_WEIGHT_CONTROL'!$B$7,'18_WEIGHT_CONTROL'!$B$8)))</f>
        <v/>
      </c>
    </row>
    <row r="13">
      <c r="A13" t="n">
        <v>9</v>
      </c>
      <c r="B13" t="inlineStr">
        <is>
          <t>哈達爾星人</t>
        </is>
      </c>
      <c r="C13" t="inlineStr">
        <is>
          <t>Hadarian</t>
        </is>
      </c>
      <c r="D13">
        <f>IF('90_CANON_CONF_SOURCE'!D13='18_WEIGHT_CONTROL'!$A$5,'18_WEIGHT_CONTROL'!$B$5,IF('90_CANON_CONF_SOURCE'!D13='18_WEIGHT_CONTROL'!$A$6,'18_WEIGHT_CONTROL'!$B$6,IF('90_CANON_CONF_SOURCE'!D13='18_WEIGHT_CONTROL'!$A$7,'18_WEIGHT_CONTROL'!$B$7,'18_WEIGHT_CONTROL'!$B$8)))</f>
        <v/>
      </c>
      <c r="E13">
        <f>IF('90_CANON_CONF_SOURCE'!E13='18_WEIGHT_CONTROL'!$A$5,'18_WEIGHT_CONTROL'!$B$5,IF('90_CANON_CONF_SOURCE'!E13='18_WEIGHT_CONTROL'!$A$6,'18_WEIGHT_CONTROL'!$B$6,IF('90_CANON_CONF_SOURCE'!E13='18_WEIGHT_CONTROL'!$A$7,'18_WEIGHT_CONTROL'!$B$7,'18_WEIGHT_CONTROL'!$B$8)))</f>
        <v/>
      </c>
      <c r="F13">
        <f>IF('90_CANON_CONF_SOURCE'!F13='18_WEIGHT_CONTROL'!$A$5,'18_WEIGHT_CONTROL'!$B$5,IF('90_CANON_CONF_SOURCE'!F13='18_WEIGHT_CONTROL'!$A$6,'18_WEIGHT_CONTROL'!$B$6,IF('90_CANON_CONF_SOURCE'!F13='18_WEIGHT_CONTROL'!$A$7,'18_WEIGHT_CONTROL'!$B$7,'18_WEIGHT_CONTROL'!$B$8)))</f>
        <v/>
      </c>
      <c r="G13">
        <f>IF('90_CANON_CONF_SOURCE'!G13='18_WEIGHT_CONTROL'!$A$5,'18_WEIGHT_CONTROL'!$B$5,IF('90_CANON_CONF_SOURCE'!G13='18_WEIGHT_CONTROL'!$A$6,'18_WEIGHT_CONTROL'!$B$6,IF('90_CANON_CONF_SOURCE'!G13='18_WEIGHT_CONTROL'!$A$7,'18_WEIGHT_CONTROL'!$B$7,'18_WEIGHT_CONTROL'!$B$8)))</f>
        <v/>
      </c>
      <c r="H13">
        <f>IF('90_CANON_CONF_SOURCE'!H13='18_WEIGHT_CONTROL'!$A$5,'18_WEIGHT_CONTROL'!$B$5,IF('90_CANON_CONF_SOURCE'!H13='18_WEIGHT_CONTROL'!$A$6,'18_WEIGHT_CONTROL'!$B$6,IF('90_CANON_CONF_SOURCE'!H13='18_WEIGHT_CONTROL'!$A$7,'18_WEIGHT_CONTROL'!$B$7,'18_WEIGHT_CONTROL'!$B$8)))</f>
        <v/>
      </c>
      <c r="I13">
        <f>IF('90_CANON_CONF_SOURCE'!I13='18_WEIGHT_CONTROL'!$A$5,'18_WEIGHT_CONTROL'!$B$5,IF('90_CANON_CONF_SOURCE'!I13='18_WEIGHT_CONTROL'!$A$6,'18_WEIGHT_CONTROL'!$B$6,IF('90_CANON_CONF_SOURCE'!I13='18_WEIGHT_CONTROL'!$A$7,'18_WEIGHT_CONTROL'!$B$7,'18_WEIGHT_CONTROL'!$B$8)))</f>
        <v/>
      </c>
      <c r="J13">
        <f>IF('90_CANON_CONF_SOURCE'!J13='18_WEIGHT_CONTROL'!$A$5,'18_WEIGHT_CONTROL'!$B$5,IF('90_CANON_CONF_SOURCE'!J13='18_WEIGHT_CONTROL'!$A$6,'18_WEIGHT_CONTROL'!$B$6,IF('90_CANON_CONF_SOURCE'!J13='18_WEIGHT_CONTROL'!$A$7,'18_WEIGHT_CONTROL'!$B$7,'18_WEIGHT_CONTROL'!$B$8)))</f>
        <v/>
      </c>
      <c r="K13">
        <f>IF('90_CANON_CONF_SOURCE'!K13='18_WEIGHT_CONTROL'!$A$5,'18_WEIGHT_CONTROL'!$B$5,IF('90_CANON_CONF_SOURCE'!K13='18_WEIGHT_CONTROL'!$A$6,'18_WEIGHT_CONTROL'!$B$6,IF('90_CANON_CONF_SOURCE'!K13='18_WEIGHT_CONTROL'!$A$7,'18_WEIGHT_CONTROL'!$B$7,'18_WEIGHT_CONTROL'!$B$8)))</f>
        <v/>
      </c>
      <c r="L13">
        <f>IF('90_CANON_CONF_SOURCE'!L13='18_WEIGHT_CONTROL'!$A$5,'18_WEIGHT_CONTROL'!$B$5,IF('90_CANON_CONF_SOURCE'!L13='18_WEIGHT_CONTROL'!$A$6,'18_WEIGHT_CONTROL'!$B$6,IF('90_CANON_CONF_SOURCE'!L13='18_WEIGHT_CONTROL'!$A$7,'18_WEIGHT_CONTROL'!$B$7,'18_WEIGHT_CONTROL'!$B$8)))</f>
        <v/>
      </c>
      <c r="M13">
        <f>IF('90_CANON_CONF_SOURCE'!M13='18_WEIGHT_CONTROL'!$A$5,'18_WEIGHT_CONTROL'!$B$5,IF('90_CANON_CONF_SOURCE'!M13='18_WEIGHT_CONTROL'!$A$6,'18_WEIGHT_CONTROL'!$B$6,IF('90_CANON_CONF_SOURCE'!M13='18_WEIGHT_CONTROL'!$A$7,'18_WEIGHT_CONTROL'!$B$7,'18_WEIGHT_CONTROL'!$B$8)))</f>
        <v/>
      </c>
      <c r="N13">
        <f>IF('90_CANON_CONF_SOURCE'!N13='18_WEIGHT_CONTROL'!$A$5,'18_WEIGHT_CONTROL'!$B$5,IF('90_CANON_CONF_SOURCE'!N13='18_WEIGHT_CONTROL'!$A$6,'18_WEIGHT_CONTROL'!$B$6,IF('90_CANON_CONF_SOURCE'!N13='18_WEIGHT_CONTROL'!$A$7,'18_WEIGHT_CONTROL'!$B$7,'18_WEIGHT_CONTROL'!$B$8)))</f>
        <v/>
      </c>
      <c r="O13">
        <f>IF('90_CANON_CONF_SOURCE'!O13='18_WEIGHT_CONTROL'!$A$5,'18_WEIGHT_CONTROL'!$B$5,IF('90_CANON_CONF_SOURCE'!O13='18_WEIGHT_CONTROL'!$A$6,'18_WEIGHT_CONTROL'!$B$6,IF('90_CANON_CONF_SOURCE'!O13='18_WEIGHT_CONTROL'!$A$7,'18_WEIGHT_CONTROL'!$B$7,'18_WEIGHT_CONTROL'!$B$8)))</f>
        <v/>
      </c>
      <c r="P13">
        <f>IF('90_CANON_CONF_SOURCE'!P13='18_WEIGHT_CONTROL'!$A$5,'18_WEIGHT_CONTROL'!$B$5,IF('90_CANON_CONF_SOURCE'!P13='18_WEIGHT_CONTROL'!$A$6,'18_WEIGHT_CONTROL'!$B$6,IF('90_CANON_CONF_SOURCE'!P13='18_WEIGHT_CONTROL'!$A$7,'18_WEIGHT_CONTROL'!$B$7,'18_WEIGHT_CONTROL'!$B$8)))</f>
        <v/>
      </c>
      <c r="Q13">
        <f>IF('90_CANON_CONF_SOURCE'!Q13='18_WEIGHT_CONTROL'!$A$5,'18_WEIGHT_CONTROL'!$B$5,IF('90_CANON_CONF_SOURCE'!Q13='18_WEIGHT_CONTROL'!$A$6,'18_WEIGHT_CONTROL'!$B$6,IF('90_CANON_CONF_SOURCE'!Q13='18_WEIGHT_CONTROL'!$A$7,'18_WEIGHT_CONTROL'!$B$7,'18_WEIGHT_CONTROL'!$B$8)))</f>
        <v/>
      </c>
      <c r="R13">
        <f>IF('90_CANON_CONF_SOURCE'!R13='18_WEIGHT_CONTROL'!$A$5,'18_WEIGHT_CONTROL'!$B$5,IF('90_CANON_CONF_SOURCE'!R13='18_WEIGHT_CONTROL'!$A$6,'18_WEIGHT_CONTROL'!$B$6,IF('90_CANON_CONF_SOURCE'!R13='18_WEIGHT_CONTROL'!$A$7,'18_WEIGHT_CONTROL'!$B$7,'18_WEIGHT_CONTROL'!$B$8)))</f>
        <v/>
      </c>
      <c r="S13">
        <f>IF('90_CANON_CONF_SOURCE'!S13='18_WEIGHT_CONTROL'!$A$5,'18_WEIGHT_CONTROL'!$B$5,IF('90_CANON_CONF_SOURCE'!S13='18_WEIGHT_CONTROL'!$A$6,'18_WEIGHT_CONTROL'!$B$6,IF('90_CANON_CONF_SOURCE'!S13='18_WEIGHT_CONTROL'!$A$7,'18_WEIGHT_CONTROL'!$B$7,'18_WEIGHT_CONTROL'!$B$8)))</f>
        <v/>
      </c>
      <c r="T13">
        <f>IF('90_CANON_CONF_SOURCE'!T13='18_WEIGHT_CONTROL'!$A$5,'18_WEIGHT_CONTROL'!$B$5,IF('90_CANON_CONF_SOURCE'!T13='18_WEIGHT_CONTROL'!$A$6,'18_WEIGHT_CONTROL'!$B$6,IF('90_CANON_CONF_SOURCE'!T13='18_WEIGHT_CONTROL'!$A$7,'18_WEIGHT_CONTROL'!$B$7,'18_WEIGHT_CONTROL'!$B$8)))</f>
        <v/>
      </c>
      <c r="U13">
        <f>IF('90_CANON_CONF_SOURCE'!U13='18_WEIGHT_CONTROL'!$A$5,'18_WEIGHT_CONTROL'!$B$5,IF('90_CANON_CONF_SOURCE'!U13='18_WEIGHT_CONTROL'!$A$6,'18_WEIGHT_CONTROL'!$B$6,IF('90_CANON_CONF_SOURCE'!U13='18_WEIGHT_CONTROL'!$A$7,'18_WEIGHT_CONTROL'!$B$7,'18_WEIGHT_CONTROL'!$B$8)))</f>
        <v/>
      </c>
      <c r="V13">
        <f>IF('90_CANON_CONF_SOURCE'!V13='18_WEIGHT_CONTROL'!$A$5,'18_WEIGHT_CONTROL'!$B$5,IF('90_CANON_CONF_SOURCE'!V13='18_WEIGHT_CONTROL'!$A$6,'18_WEIGHT_CONTROL'!$B$6,IF('90_CANON_CONF_SOURCE'!V13='18_WEIGHT_CONTROL'!$A$7,'18_WEIGHT_CONTROL'!$B$7,'18_WEIGHT_CONTROL'!$B$8)))</f>
        <v/>
      </c>
      <c r="W13">
        <f>IF('90_CANON_CONF_SOURCE'!W13='18_WEIGHT_CONTROL'!$A$5,'18_WEIGHT_CONTROL'!$B$5,IF('90_CANON_CONF_SOURCE'!W13='18_WEIGHT_CONTROL'!$A$6,'18_WEIGHT_CONTROL'!$B$6,IF('90_CANON_CONF_SOURCE'!W13='18_WEIGHT_CONTROL'!$A$7,'18_WEIGHT_CONTROL'!$B$7,'18_WEIGHT_CONTROL'!$B$8)))</f>
        <v/>
      </c>
      <c r="X13">
        <f>IF('90_CANON_CONF_SOURCE'!X13='18_WEIGHT_CONTROL'!$A$5,'18_WEIGHT_CONTROL'!$B$5,IF('90_CANON_CONF_SOURCE'!X13='18_WEIGHT_CONTROL'!$A$6,'18_WEIGHT_CONTROL'!$B$6,IF('90_CANON_CONF_SOURCE'!X13='18_WEIGHT_CONTROL'!$A$7,'18_WEIGHT_CONTROL'!$B$7,'18_WEIGHT_CONTROL'!$B$8)))</f>
        <v/>
      </c>
      <c r="Y13">
        <f>IF('90_CANON_CONF_SOURCE'!Y13='18_WEIGHT_CONTROL'!$A$5,'18_WEIGHT_CONTROL'!$B$5,IF('90_CANON_CONF_SOURCE'!Y13='18_WEIGHT_CONTROL'!$A$6,'18_WEIGHT_CONTROL'!$B$6,IF('90_CANON_CONF_SOURCE'!Y13='18_WEIGHT_CONTROL'!$A$7,'18_WEIGHT_CONTROL'!$B$7,'18_WEIGHT_CONTROL'!$B$8)))</f>
        <v/>
      </c>
      <c r="Z13">
        <f>IF('91_MOTIF_CONF_SOURCE'!D13='18_WEIGHT_CONTROL'!$A$5,'18_WEIGHT_CONTROL'!$B$5,IF('91_MOTIF_CONF_SOURCE'!D13='18_WEIGHT_CONTROL'!$A$6,'18_WEIGHT_CONTROL'!$B$6,IF('91_MOTIF_CONF_SOURCE'!D13='18_WEIGHT_CONTROL'!$A$7,'18_WEIGHT_CONTROL'!$B$7,'18_WEIGHT_CONTROL'!$B$8)))</f>
        <v/>
      </c>
      <c r="AA13">
        <f>IF('91_MOTIF_CONF_SOURCE'!E13='18_WEIGHT_CONTROL'!$A$5,'18_WEIGHT_CONTROL'!$B$5,IF('91_MOTIF_CONF_SOURCE'!E13='18_WEIGHT_CONTROL'!$A$6,'18_WEIGHT_CONTROL'!$B$6,IF('91_MOTIF_CONF_SOURCE'!E13='18_WEIGHT_CONTROL'!$A$7,'18_WEIGHT_CONTROL'!$B$7,'18_WEIGHT_CONTROL'!$B$8)))</f>
        <v/>
      </c>
      <c r="AB13">
        <f>IF('91_MOTIF_CONF_SOURCE'!F13='18_WEIGHT_CONTROL'!$A$5,'18_WEIGHT_CONTROL'!$B$5,IF('91_MOTIF_CONF_SOURCE'!F13='18_WEIGHT_CONTROL'!$A$6,'18_WEIGHT_CONTROL'!$B$6,IF('91_MOTIF_CONF_SOURCE'!F13='18_WEIGHT_CONTROL'!$A$7,'18_WEIGHT_CONTROL'!$B$7,'18_WEIGHT_CONTROL'!$B$8)))</f>
        <v/>
      </c>
      <c r="AC13">
        <f>IF('91_MOTIF_CONF_SOURCE'!G13='18_WEIGHT_CONTROL'!$A$5,'18_WEIGHT_CONTROL'!$B$5,IF('91_MOTIF_CONF_SOURCE'!G13='18_WEIGHT_CONTROL'!$A$6,'18_WEIGHT_CONTROL'!$B$6,IF('91_MOTIF_CONF_SOURCE'!G13='18_WEIGHT_CONTROL'!$A$7,'18_WEIGHT_CONTROL'!$B$7,'18_WEIGHT_CONTROL'!$B$8)))</f>
        <v/>
      </c>
      <c r="AD13">
        <f>IF('91_MOTIF_CONF_SOURCE'!H13='18_WEIGHT_CONTROL'!$A$5,'18_WEIGHT_CONTROL'!$B$5,IF('91_MOTIF_CONF_SOURCE'!H13='18_WEIGHT_CONTROL'!$A$6,'18_WEIGHT_CONTROL'!$B$6,IF('91_MOTIF_CONF_SOURCE'!H13='18_WEIGHT_CONTROL'!$A$7,'18_WEIGHT_CONTROL'!$B$7,'18_WEIGHT_CONTROL'!$B$8)))</f>
        <v/>
      </c>
      <c r="AE13">
        <f>IF('91_MOTIF_CONF_SOURCE'!I13='18_WEIGHT_CONTROL'!$A$5,'18_WEIGHT_CONTROL'!$B$5,IF('91_MOTIF_CONF_SOURCE'!I13='18_WEIGHT_CONTROL'!$A$6,'18_WEIGHT_CONTROL'!$B$6,IF('91_MOTIF_CONF_SOURCE'!I13='18_WEIGHT_CONTROL'!$A$7,'18_WEIGHT_CONTROL'!$B$7,'18_WEIGHT_CONTROL'!$B$8)))</f>
        <v/>
      </c>
      <c r="AF13">
        <f>IF('91_MOTIF_CONF_SOURCE'!J13='18_WEIGHT_CONTROL'!$A$5,'18_WEIGHT_CONTROL'!$B$5,IF('91_MOTIF_CONF_SOURCE'!J13='18_WEIGHT_CONTROL'!$A$6,'18_WEIGHT_CONTROL'!$B$6,IF('91_MOTIF_CONF_SOURCE'!J13='18_WEIGHT_CONTROL'!$A$7,'18_WEIGHT_CONTROL'!$B$7,'18_WEIGHT_CONTROL'!$B$8)))</f>
        <v/>
      </c>
      <c r="AG13">
        <f>IF('91_MOTIF_CONF_SOURCE'!K13='18_WEIGHT_CONTROL'!$A$5,'18_WEIGHT_CONTROL'!$B$5,IF('91_MOTIF_CONF_SOURCE'!K13='18_WEIGHT_CONTROL'!$A$6,'18_WEIGHT_CONTROL'!$B$6,IF('91_MOTIF_CONF_SOURCE'!K13='18_WEIGHT_CONTROL'!$A$7,'18_WEIGHT_CONTROL'!$B$7,'18_WEIGHT_CONTROL'!$B$8)))</f>
        <v/>
      </c>
      <c r="AH13">
        <f>IF('91_MOTIF_CONF_SOURCE'!L13='18_WEIGHT_CONTROL'!$A$5,'18_WEIGHT_CONTROL'!$B$5,IF('91_MOTIF_CONF_SOURCE'!L13='18_WEIGHT_CONTROL'!$A$6,'18_WEIGHT_CONTROL'!$B$6,IF('91_MOTIF_CONF_SOURCE'!L13='18_WEIGHT_CONTROL'!$A$7,'18_WEIGHT_CONTROL'!$B$7,'18_WEIGHT_CONTROL'!$B$8)))</f>
        <v/>
      </c>
      <c r="AI13">
        <f>IF('91_MOTIF_CONF_SOURCE'!M13='18_WEIGHT_CONTROL'!$A$5,'18_WEIGHT_CONTROL'!$B$5,IF('91_MOTIF_CONF_SOURCE'!M13='18_WEIGHT_CONTROL'!$A$6,'18_WEIGHT_CONTROL'!$B$6,IF('91_MOTIF_CONF_SOURCE'!M13='18_WEIGHT_CONTROL'!$A$7,'18_WEIGHT_CONTROL'!$B$7,'18_WEIGHT_CONTROL'!$B$8)))</f>
        <v/>
      </c>
      <c r="AJ13">
        <f>IF('91_MOTIF_CONF_SOURCE'!N13='18_WEIGHT_CONTROL'!$A$5,'18_WEIGHT_CONTROL'!$B$5,IF('91_MOTIF_CONF_SOURCE'!N13='18_WEIGHT_CONTROL'!$A$6,'18_WEIGHT_CONTROL'!$B$6,IF('91_MOTIF_CONF_SOURCE'!N13='18_WEIGHT_CONTROL'!$A$7,'18_WEIGHT_CONTROL'!$B$7,'18_WEIGHT_CONTROL'!$B$8)))</f>
        <v/>
      </c>
      <c r="AK13">
        <f>IF('91_MOTIF_CONF_SOURCE'!O13='18_WEIGHT_CONTROL'!$A$5,'18_WEIGHT_CONTROL'!$B$5,IF('91_MOTIF_CONF_SOURCE'!O13='18_WEIGHT_CONTROL'!$A$6,'18_WEIGHT_CONTROL'!$B$6,IF('91_MOTIF_CONF_SOURCE'!O13='18_WEIGHT_CONTROL'!$A$7,'18_WEIGHT_CONTROL'!$B$7,'18_WEIGHT_CONTROL'!$B$8)))</f>
        <v/>
      </c>
      <c r="AL13">
        <f>IF('91_MOTIF_CONF_SOURCE'!P13='18_WEIGHT_CONTROL'!$A$5,'18_WEIGHT_CONTROL'!$B$5,IF('91_MOTIF_CONF_SOURCE'!P13='18_WEIGHT_CONTROL'!$A$6,'18_WEIGHT_CONTROL'!$B$6,IF('91_MOTIF_CONF_SOURCE'!P13='18_WEIGHT_CONTROL'!$A$7,'18_WEIGHT_CONTROL'!$B$7,'18_WEIGHT_CONTROL'!$B$8)))</f>
        <v/>
      </c>
      <c r="AM13">
        <f>IF('91_MOTIF_CONF_SOURCE'!Q13='18_WEIGHT_CONTROL'!$A$5,'18_WEIGHT_CONTROL'!$B$5,IF('91_MOTIF_CONF_SOURCE'!Q13='18_WEIGHT_CONTROL'!$A$6,'18_WEIGHT_CONTROL'!$B$6,IF('91_MOTIF_CONF_SOURCE'!Q13='18_WEIGHT_CONTROL'!$A$7,'18_WEIGHT_CONTROL'!$B$7,'18_WEIGHT_CONTROL'!$B$8)))</f>
        <v/>
      </c>
      <c r="AN13">
        <f>IF('91_MOTIF_CONF_SOURCE'!R13='18_WEIGHT_CONTROL'!$A$5,'18_WEIGHT_CONTROL'!$B$5,IF('91_MOTIF_CONF_SOURCE'!R13='18_WEIGHT_CONTROL'!$A$6,'18_WEIGHT_CONTROL'!$B$6,IF('91_MOTIF_CONF_SOURCE'!R13='18_WEIGHT_CONTROL'!$A$7,'18_WEIGHT_CONTROL'!$B$7,'18_WEIGHT_CONTROL'!$B$8)))</f>
        <v/>
      </c>
      <c r="AO13">
        <f>IF('91_MOTIF_CONF_SOURCE'!S13='18_WEIGHT_CONTROL'!$A$5,'18_WEIGHT_CONTROL'!$B$5,IF('91_MOTIF_CONF_SOURCE'!S13='18_WEIGHT_CONTROL'!$A$6,'18_WEIGHT_CONTROL'!$B$6,IF('91_MOTIF_CONF_SOURCE'!S13='18_WEIGHT_CONTROL'!$A$7,'18_WEIGHT_CONTROL'!$B$7,'18_WEIGHT_CONTROL'!$B$8)))</f>
        <v/>
      </c>
      <c r="AP13">
        <f>IF('91_MOTIF_CONF_SOURCE'!T13='18_WEIGHT_CONTROL'!$A$5,'18_WEIGHT_CONTROL'!$B$5,IF('91_MOTIF_CONF_SOURCE'!T13='18_WEIGHT_CONTROL'!$A$6,'18_WEIGHT_CONTROL'!$B$6,IF('91_MOTIF_CONF_SOURCE'!T13='18_WEIGHT_CONTROL'!$A$7,'18_WEIGHT_CONTROL'!$B$7,'18_WEIGHT_CONTROL'!$B$8)))</f>
        <v/>
      </c>
      <c r="AQ13">
        <f>IF('91_MOTIF_CONF_SOURCE'!U13='18_WEIGHT_CONTROL'!$A$5,'18_WEIGHT_CONTROL'!$B$5,IF('91_MOTIF_CONF_SOURCE'!U13='18_WEIGHT_CONTROL'!$A$6,'18_WEIGHT_CONTROL'!$B$6,IF('91_MOTIF_CONF_SOURCE'!U13='18_WEIGHT_CONTROL'!$A$7,'18_WEIGHT_CONTROL'!$B$7,'18_WEIGHT_CONTROL'!$B$8)))</f>
        <v/>
      </c>
      <c r="AR13">
        <f>IF('91_MOTIF_CONF_SOURCE'!V13='18_WEIGHT_CONTROL'!$A$5,'18_WEIGHT_CONTROL'!$B$5,IF('91_MOTIF_CONF_SOURCE'!V13='18_WEIGHT_CONTROL'!$A$6,'18_WEIGHT_CONTROL'!$B$6,IF('91_MOTIF_CONF_SOURCE'!V13='18_WEIGHT_CONTROL'!$A$7,'18_WEIGHT_CONTROL'!$B$7,'18_WEIGHT_CONTROL'!$B$8)))</f>
        <v/>
      </c>
    </row>
    <row r="14">
      <c r="A14" t="n">
        <v>10</v>
      </c>
      <c r="B14" t="inlineStr">
        <is>
          <t>北極星人</t>
        </is>
      </c>
      <c r="C14" t="inlineStr">
        <is>
          <t>Polarian</t>
        </is>
      </c>
      <c r="D14">
        <f>IF('90_CANON_CONF_SOURCE'!D14='18_WEIGHT_CONTROL'!$A$5,'18_WEIGHT_CONTROL'!$B$5,IF('90_CANON_CONF_SOURCE'!D14='18_WEIGHT_CONTROL'!$A$6,'18_WEIGHT_CONTROL'!$B$6,IF('90_CANON_CONF_SOURCE'!D14='18_WEIGHT_CONTROL'!$A$7,'18_WEIGHT_CONTROL'!$B$7,'18_WEIGHT_CONTROL'!$B$8)))</f>
        <v/>
      </c>
      <c r="E14">
        <f>IF('90_CANON_CONF_SOURCE'!E14='18_WEIGHT_CONTROL'!$A$5,'18_WEIGHT_CONTROL'!$B$5,IF('90_CANON_CONF_SOURCE'!E14='18_WEIGHT_CONTROL'!$A$6,'18_WEIGHT_CONTROL'!$B$6,IF('90_CANON_CONF_SOURCE'!E14='18_WEIGHT_CONTROL'!$A$7,'18_WEIGHT_CONTROL'!$B$7,'18_WEIGHT_CONTROL'!$B$8)))</f>
        <v/>
      </c>
      <c r="F14">
        <f>IF('90_CANON_CONF_SOURCE'!F14='18_WEIGHT_CONTROL'!$A$5,'18_WEIGHT_CONTROL'!$B$5,IF('90_CANON_CONF_SOURCE'!F14='18_WEIGHT_CONTROL'!$A$6,'18_WEIGHT_CONTROL'!$B$6,IF('90_CANON_CONF_SOURCE'!F14='18_WEIGHT_CONTROL'!$A$7,'18_WEIGHT_CONTROL'!$B$7,'18_WEIGHT_CONTROL'!$B$8)))</f>
        <v/>
      </c>
      <c r="G14">
        <f>IF('90_CANON_CONF_SOURCE'!G14='18_WEIGHT_CONTROL'!$A$5,'18_WEIGHT_CONTROL'!$B$5,IF('90_CANON_CONF_SOURCE'!G14='18_WEIGHT_CONTROL'!$A$6,'18_WEIGHT_CONTROL'!$B$6,IF('90_CANON_CONF_SOURCE'!G14='18_WEIGHT_CONTROL'!$A$7,'18_WEIGHT_CONTROL'!$B$7,'18_WEIGHT_CONTROL'!$B$8)))</f>
        <v/>
      </c>
      <c r="H14">
        <f>IF('90_CANON_CONF_SOURCE'!H14='18_WEIGHT_CONTROL'!$A$5,'18_WEIGHT_CONTROL'!$B$5,IF('90_CANON_CONF_SOURCE'!H14='18_WEIGHT_CONTROL'!$A$6,'18_WEIGHT_CONTROL'!$B$6,IF('90_CANON_CONF_SOURCE'!H14='18_WEIGHT_CONTROL'!$A$7,'18_WEIGHT_CONTROL'!$B$7,'18_WEIGHT_CONTROL'!$B$8)))</f>
        <v/>
      </c>
      <c r="I14">
        <f>IF('90_CANON_CONF_SOURCE'!I14='18_WEIGHT_CONTROL'!$A$5,'18_WEIGHT_CONTROL'!$B$5,IF('90_CANON_CONF_SOURCE'!I14='18_WEIGHT_CONTROL'!$A$6,'18_WEIGHT_CONTROL'!$B$6,IF('90_CANON_CONF_SOURCE'!I14='18_WEIGHT_CONTROL'!$A$7,'18_WEIGHT_CONTROL'!$B$7,'18_WEIGHT_CONTROL'!$B$8)))</f>
        <v/>
      </c>
      <c r="J14">
        <f>IF('90_CANON_CONF_SOURCE'!J14='18_WEIGHT_CONTROL'!$A$5,'18_WEIGHT_CONTROL'!$B$5,IF('90_CANON_CONF_SOURCE'!J14='18_WEIGHT_CONTROL'!$A$6,'18_WEIGHT_CONTROL'!$B$6,IF('90_CANON_CONF_SOURCE'!J14='18_WEIGHT_CONTROL'!$A$7,'18_WEIGHT_CONTROL'!$B$7,'18_WEIGHT_CONTROL'!$B$8)))</f>
        <v/>
      </c>
      <c r="K14">
        <f>IF('90_CANON_CONF_SOURCE'!K14='18_WEIGHT_CONTROL'!$A$5,'18_WEIGHT_CONTROL'!$B$5,IF('90_CANON_CONF_SOURCE'!K14='18_WEIGHT_CONTROL'!$A$6,'18_WEIGHT_CONTROL'!$B$6,IF('90_CANON_CONF_SOURCE'!K14='18_WEIGHT_CONTROL'!$A$7,'18_WEIGHT_CONTROL'!$B$7,'18_WEIGHT_CONTROL'!$B$8)))</f>
        <v/>
      </c>
      <c r="L14">
        <f>IF('90_CANON_CONF_SOURCE'!L14='18_WEIGHT_CONTROL'!$A$5,'18_WEIGHT_CONTROL'!$B$5,IF('90_CANON_CONF_SOURCE'!L14='18_WEIGHT_CONTROL'!$A$6,'18_WEIGHT_CONTROL'!$B$6,IF('90_CANON_CONF_SOURCE'!L14='18_WEIGHT_CONTROL'!$A$7,'18_WEIGHT_CONTROL'!$B$7,'18_WEIGHT_CONTROL'!$B$8)))</f>
        <v/>
      </c>
      <c r="M14">
        <f>IF('90_CANON_CONF_SOURCE'!M14='18_WEIGHT_CONTROL'!$A$5,'18_WEIGHT_CONTROL'!$B$5,IF('90_CANON_CONF_SOURCE'!M14='18_WEIGHT_CONTROL'!$A$6,'18_WEIGHT_CONTROL'!$B$6,IF('90_CANON_CONF_SOURCE'!M14='18_WEIGHT_CONTROL'!$A$7,'18_WEIGHT_CONTROL'!$B$7,'18_WEIGHT_CONTROL'!$B$8)))</f>
        <v/>
      </c>
      <c r="N14">
        <f>IF('90_CANON_CONF_SOURCE'!N14='18_WEIGHT_CONTROL'!$A$5,'18_WEIGHT_CONTROL'!$B$5,IF('90_CANON_CONF_SOURCE'!N14='18_WEIGHT_CONTROL'!$A$6,'18_WEIGHT_CONTROL'!$B$6,IF('90_CANON_CONF_SOURCE'!N14='18_WEIGHT_CONTROL'!$A$7,'18_WEIGHT_CONTROL'!$B$7,'18_WEIGHT_CONTROL'!$B$8)))</f>
        <v/>
      </c>
      <c r="O14">
        <f>IF('90_CANON_CONF_SOURCE'!O14='18_WEIGHT_CONTROL'!$A$5,'18_WEIGHT_CONTROL'!$B$5,IF('90_CANON_CONF_SOURCE'!O14='18_WEIGHT_CONTROL'!$A$6,'18_WEIGHT_CONTROL'!$B$6,IF('90_CANON_CONF_SOURCE'!O14='18_WEIGHT_CONTROL'!$A$7,'18_WEIGHT_CONTROL'!$B$7,'18_WEIGHT_CONTROL'!$B$8)))</f>
        <v/>
      </c>
      <c r="P14">
        <f>IF('90_CANON_CONF_SOURCE'!P14='18_WEIGHT_CONTROL'!$A$5,'18_WEIGHT_CONTROL'!$B$5,IF('90_CANON_CONF_SOURCE'!P14='18_WEIGHT_CONTROL'!$A$6,'18_WEIGHT_CONTROL'!$B$6,IF('90_CANON_CONF_SOURCE'!P14='18_WEIGHT_CONTROL'!$A$7,'18_WEIGHT_CONTROL'!$B$7,'18_WEIGHT_CONTROL'!$B$8)))</f>
        <v/>
      </c>
      <c r="Q14">
        <f>IF('90_CANON_CONF_SOURCE'!Q14='18_WEIGHT_CONTROL'!$A$5,'18_WEIGHT_CONTROL'!$B$5,IF('90_CANON_CONF_SOURCE'!Q14='18_WEIGHT_CONTROL'!$A$6,'18_WEIGHT_CONTROL'!$B$6,IF('90_CANON_CONF_SOURCE'!Q14='18_WEIGHT_CONTROL'!$A$7,'18_WEIGHT_CONTROL'!$B$7,'18_WEIGHT_CONTROL'!$B$8)))</f>
        <v/>
      </c>
      <c r="R14">
        <f>IF('90_CANON_CONF_SOURCE'!R14='18_WEIGHT_CONTROL'!$A$5,'18_WEIGHT_CONTROL'!$B$5,IF('90_CANON_CONF_SOURCE'!R14='18_WEIGHT_CONTROL'!$A$6,'18_WEIGHT_CONTROL'!$B$6,IF('90_CANON_CONF_SOURCE'!R14='18_WEIGHT_CONTROL'!$A$7,'18_WEIGHT_CONTROL'!$B$7,'18_WEIGHT_CONTROL'!$B$8)))</f>
        <v/>
      </c>
      <c r="S14">
        <f>IF('90_CANON_CONF_SOURCE'!S14='18_WEIGHT_CONTROL'!$A$5,'18_WEIGHT_CONTROL'!$B$5,IF('90_CANON_CONF_SOURCE'!S14='18_WEIGHT_CONTROL'!$A$6,'18_WEIGHT_CONTROL'!$B$6,IF('90_CANON_CONF_SOURCE'!S14='18_WEIGHT_CONTROL'!$A$7,'18_WEIGHT_CONTROL'!$B$7,'18_WEIGHT_CONTROL'!$B$8)))</f>
        <v/>
      </c>
      <c r="T14">
        <f>IF('90_CANON_CONF_SOURCE'!T14='18_WEIGHT_CONTROL'!$A$5,'18_WEIGHT_CONTROL'!$B$5,IF('90_CANON_CONF_SOURCE'!T14='18_WEIGHT_CONTROL'!$A$6,'18_WEIGHT_CONTROL'!$B$6,IF('90_CANON_CONF_SOURCE'!T14='18_WEIGHT_CONTROL'!$A$7,'18_WEIGHT_CONTROL'!$B$7,'18_WEIGHT_CONTROL'!$B$8)))</f>
        <v/>
      </c>
      <c r="U14">
        <f>IF('90_CANON_CONF_SOURCE'!U14='18_WEIGHT_CONTROL'!$A$5,'18_WEIGHT_CONTROL'!$B$5,IF('90_CANON_CONF_SOURCE'!U14='18_WEIGHT_CONTROL'!$A$6,'18_WEIGHT_CONTROL'!$B$6,IF('90_CANON_CONF_SOURCE'!U14='18_WEIGHT_CONTROL'!$A$7,'18_WEIGHT_CONTROL'!$B$7,'18_WEIGHT_CONTROL'!$B$8)))</f>
        <v/>
      </c>
      <c r="V14">
        <f>IF('90_CANON_CONF_SOURCE'!V14='18_WEIGHT_CONTROL'!$A$5,'18_WEIGHT_CONTROL'!$B$5,IF('90_CANON_CONF_SOURCE'!V14='18_WEIGHT_CONTROL'!$A$6,'18_WEIGHT_CONTROL'!$B$6,IF('90_CANON_CONF_SOURCE'!V14='18_WEIGHT_CONTROL'!$A$7,'18_WEIGHT_CONTROL'!$B$7,'18_WEIGHT_CONTROL'!$B$8)))</f>
        <v/>
      </c>
      <c r="W14">
        <f>IF('90_CANON_CONF_SOURCE'!W14='18_WEIGHT_CONTROL'!$A$5,'18_WEIGHT_CONTROL'!$B$5,IF('90_CANON_CONF_SOURCE'!W14='18_WEIGHT_CONTROL'!$A$6,'18_WEIGHT_CONTROL'!$B$6,IF('90_CANON_CONF_SOURCE'!W14='18_WEIGHT_CONTROL'!$A$7,'18_WEIGHT_CONTROL'!$B$7,'18_WEIGHT_CONTROL'!$B$8)))</f>
        <v/>
      </c>
      <c r="X14">
        <f>IF('90_CANON_CONF_SOURCE'!X14='18_WEIGHT_CONTROL'!$A$5,'18_WEIGHT_CONTROL'!$B$5,IF('90_CANON_CONF_SOURCE'!X14='18_WEIGHT_CONTROL'!$A$6,'18_WEIGHT_CONTROL'!$B$6,IF('90_CANON_CONF_SOURCE'!X14='18_WEIGHT_CONTROL'!$A$7,'18_WEIGHT_CONTROL'!$B$7,'18_WEIGHT_CONTROL'!$B$8)))</f>
        <v/>
      </c>
      <c r="Y14">
        <f>IF('90_CANON_CONF_SOURCE'!Y14='18_WEIGHT_CONTROL'!$A$5,'18_WEIGHT_CONTROL'!$B$5,IF('90_CANON_CONF_SOURCE'!Y14='18_WEIGHT_CONTROL'!$A$6,'18_WEIGHT_CONTROL'!$B$6,IF('90_CANON_CONF_SOURCE'!Y14='18_WEIGHT_CONTROL'!$A$7,'18_WEIGHT_CONTROL'!$B$7,'18_WEIGHT_CONTROL'!$B$8)))</f>
        <v/>
      </c>
      <c r="Z14">
        <f>IF('91_MOTIF_CONF_SOURCE'!D14='18_WEIGHT_CONTROL'!$A$5,'18_WEIGHT_CONTROL'!$B$5,IF('91_MOTIF_CONF_SOURCE'!D14='18_WEIGHT_CONTROL'!$A$6,'18_WEIGHT_CONTROL'!$B$6,IF('91_MOTIF_CONF_SOURCE'!D14='18_WEIGHT_CONTROL'!$A$7,'18_WEIGHT_CONTROL'!$B$7,'18_WEIGHT_CONTROL'!$B$8)))</f>
        <v/>
      </c>
      <c r="AA14">
        <f>IF('91_MOTIF_CONF_SOURCE'!E14='18_WEIGHT_CONTROL'!$A$5,'18_WEIGHT_CONTROL'!$B$5,IF('91_MOTIF_CONF_SOURCE'!E14='18_WEIGHT_CONTROL'!$A$6,'18_WEIGHT_CONTROL'!$B$6,IF('91_MOTIF_CONF_SOURCE'!E14='18_WEIGHT_CONTROL'!$A$7,'18_WEIGHT_CONTROL'!$B$7,'18_WEIGHT_CONTROL'!$B$8)))</f>
        <v/>
      </c>
      <c r="AB14">
        <f>IF('91_MOTIF_CONF_SOURCE'!F14='18_WEIGHT_CONTROL'!$A$5,'18_WEIGHT_CONTROL'!$B$5,IF('91_MOTIF_CONF_SOURCE'!F14='18_WEIGHT_CONTROL'!$A$6,'18_WEIGHT_CONTROL'!$B$6,IF('91_MOTIF_CONF_SOURCE'!F14='18_WEIGHT_CONTROL'!$A$7,'18_WEIGHT_CONTROL'!$B$7,'18_WEIGHT_CONTROL'!$B$8)))</f>
        <v/>
      </c>
      <c r="AC14">
        <f>IF('91_MOTIF_CONF_SOURCE'!G14='18_WEIGHT_CONTROL'!$A$5,'18_WEIGHT_CONTROL'!$B$5,IF('91_MOTIF_CONF_SOURCE'!G14='18_WEIGHT_CONTROL'!$A$6,'18_WEIGHT_CONTROL'!$B$6,IF('91_MOTIF_CONF_SOURCE'!G14='18_WEIGHT_CONTROL'!$A$7,'18_WEIGHT_CONTROL'!$B$7,'18_WEIGHT_CONTROL'!$B$8)))</f>
        <v/>
      </c>
      <c r="AD14">
        <f>IF('91_MOTIF_CONF_SOURCE'!H14='18_WEIGHT_CONTROL'!$A$5,'18_WEIGHT_CONTROL'!$B$5,IF('91_MOTIF_CONF_SOURCE'!H14='18_WEIGHT_CONTROL'!$A$6,'18_WEIGHT_CONTROL'!$B$6,IF('91_MOTIF_CONF_SOURCE'!H14='18_WEIGHT_CONTROL'!$A$7,'18_WEIGHT_CONTROL'!$B$7,'18_WEIGHT_CONTROL'!$B$8)))</f>
        <v/>
      </c>
      <c r="AE14">
        <f>IF('91_MOTIF_CONF_SOURCE'!I14='18_WEIGHT_CONTROL'!$A$5,'18_WEIGHT_CONTROL'!$B$5,IF('91_MOTIF_CONF_SOURCE'!I14='18_WEIGHT_CONTROL'!$A$6,'18_WEIGHT_CONTROL'!$B$6,IF('91_MOTIF_CONF_SOURCE'!I14='18_WEIGHT_CONTROL'!$A$7,'18_WEIGHT_CONTROL'!$B$7,'18_WEIGHT_CONTROL'!$B$8)))</f>
        <v/>
      </c>
      <c r="AF14">
        <f>IF('91_MOTIF_CONF_SOURCE'!J14='18_WEIGHT_CONTROL'!$A$5,'18_WEIGHT_CONTROL'!$B$5,IF('91_MOTIF_CONF_SOURCE'!J14='18_WEIGHT_CONTROL'!$A$6,'18_WEIGHT_CONTROL'!$B$6,IF('91_MOTIF_CONF_SOURCE'!J14='18_WEIGHT_CONTROL'!$A$7,'18_WEIGHT_CONTROL'!$B$7,'18_WEIGHT_CONTROL'!$B$8)))</f>
        <v/>
      </c>
      <c r="AG14">
        <f>IF('91_MOTIF_CONF_SOURCE'!K14='18_WEIGHT_CONTROL'!$A$5,'18_WEIGHT_CONTROL'!$B$5,IF('91_MOTIF_CONF_SOURCE'!K14='18_WEIGHT_CONTROL'!$A$6,'18_WEIGHT_CONTROL'!$B$6,IF('91_MOTIF_CONF_SOURCE'!K14='18_WEIGHT_CONTROL'!$A$7,'18_WEIGHT_CONTROL'!$B$7,'18_WEIGHT_CONTROL'!$B$8)))</f>
        <v/>
      </c>
      <c r="AH14">
        <f>IF('91_MOTIF_CONF_SOURCE'!L14='18_WEIGHT_CONTROL'!$A$5,'18_WEIGHT_CONTROL'!$B$5,IF('91_MOTIF_CONF_SOURCE'!L14='18_WEIGHT_CONTROL'!$A$6,'18_WEIGHT_CONTROL'!$B$6,IF('91_MOTIF_CONF_SOURCE'!L14='18_WEIGHT_CONTROL'!$A$7,'18_WEIGHT_CONTROL'!$B$7,'18_WEIGHT_CONTROL'!$B$8)))</f>
        <v/>
      </c>
      <c r="AI14">
        <f>IF('91_MOTIF_CONF_SOURCE'!M14='18_WEIGHT_CONTROL'!$A$5,'18_WEIGHT_CONTROL'!$B$5,IF('91_MOTIF_CONF_SOURCE'!M14='18_WEIGHT_CONTROL'!$A$6,'18_WEIGHT_CONTROL'!$B$6,IF('91_MOTIF_CONF_SOURCE'!M14='18_WEIGHT_CONTROL'!$A$7,'18_WEIGHT_CONTROL'!$B$7,'18_WEIGHT_CONTROL'!$B$8)))</f>
        <v/>
      </c>
      <c r="AJ14">
        <f>IF('91_MOTIF_CONF_SOURCE'!N14='18_WEIGHT_CONTROL'!$A$5,'18_WEIGHT_CONTROL'!$B$5,IF('91_MOTIF_CONF_SOURCE'!N14='18_WEIGHT_CONTROL'!$A$6,'18_WEIGHT_CONTROL'!$B$6,IF('91_MOTIF_CONF_SOURCE'!N14='18_WEIGHT_CONTROL'!$A$7,'18_WEIGHT_CONTROL'!$B$7,'18_WEIGHT_CONTROL'!$B$8)))</f>
        <v/>
      </c>
      <c r="AK14">
        <f>IF('91_MOTIF_CONF_SOURCE'!O14='18_WEIGHT_CONTROL'!$A$5,'18_WEIGHT_CONTROL'!$B$5,IF('91_MOTIF_CONF_SOURCE'!O14='18_WEIGHT_CONTROL'!$A$6,'18_WEIGHT_CONTROL'!$B$6,IF('91_MOTIF_CONF_SOURCE'!O14='18_WEIGHT_CONTROL'!$A$7,'18_WEIGHT_CONTROL'!$B$7,'18_WEIGHT_CONTROL'!$B$8)))</f>
        <v/>
      </c>
      <c r="AL14">
        <f>IF('91_MOTIF_CONF_SOURCE'!P14='18_WEIGHT_CONTROL'!$A$5,'18_WEIGHT_CONTROL'!$B$5,IF('91_MOTIF_CONF_SOURCE'!P14='18_WEIGHT_CONTROL'!$A$6,'18_WEIGHT_CONTROL'!$B$6,IF('91_MOTIF_CONF_SOURCE'!P14='18_WEIGHT_CONTROL'!$A$7,'18_WEIGHT_CONTROL'!$B$7,'18_WEIGHT_CONTROL'!$B$8)))</f>
        <v/>
      </c>
      <c r="AM14">
        <f>IF('91_MOTIF_CONF_SOURCE'!Q14='18_WEIGHT_CONTROL'!$A$5,'18_WEIGHT_CONTROL'!$B$5,IF('91_MOTIF_CONF_SOURCE'!Q14='18_WEIGHT_CONTROL'!$A$6,'18_WEIGHT_CONTROL'!$B$6,IF('91_MOTIF_CONF_SOURCE'!Q14='18_WEIGHT_CONTROL'!$A$7,'18_WEIGHT_CONTROL'!$B$7,'18_WEIGHT_CONTROL'!$B$8)))</f>
        <v/>
      </c>
      <c r="AN14">
        <f>IF('91_MOTIF_CONF_SOURCE'!R14='18_WEIGHT_CONTROL'!$A$5,'18_WEIGHT_CONTROL'!$B$5,IF('91_MOTIF_CONF_SOURCE'!R14='18_WEIGHT_CONTROL'!$A$6,'18_WEIGHT_CONTROL'!$B$6,IF('91_MOTIF_CONF_SOURCE'!R14='18_WEIGHT_CONTROL'!$A$7,'18_WEIGHT_CONTROL'!$B$7,'18_WEIGHT_CONTROL'!$B$8)))</f>
        <v/>
      </c>
      <c r="AO14">
        <f>IF('91_MOTIF_CONF_SOURCE'!S14='18_WEIGHT_CONTROL'!$A$5,'18_WEIGHT_CONTROL'!$B$5,IF('91_MOTIF_CONF_SOURCE'!S14='18_WEIGHT_CONTROL'!$A$6,'18_WEIGHT_CONTROL'!$B$6,IF('91_MOTIF_CONF_SOURCE'!S14='18_WEIGHT_CONTROL'!$A$7,'18_WEIGHT_CONTROL'!$B$7,'18_WEIGHT_CONTROL'!$B$8)))</f>
        <v/>
      </c>
      <c r="AP14">
        <f>IF('91_MOTIF_CONF_SOURCE'!T14='18_WEIGHT_CONTROL'!$A$5,'18_WEIGHT_CONTROL'!$B$5,IF('91_MOTIF_CONF_SOURCE'!T14='18_WEIGHT_CONTROL'!$A$6,'18_WEIGHT_CONTROL'!$B$6,IF('91_MOTIF_CONF_SOURCE'!T14='18_WEIGHT_CONTROL'!$A$7,'18_WEIGHT_CONTROL'!$B$7,'18_WEIGHT_CONTROL'!$B$8)))</f>
        <v/>
      </c>
      <c r="AQ14">
        <f>IF('91_MOTIF_CONF_SOURCE'!U14='18_WEIGHT_CONTROL'!$A$5,'18_WEIGHT_CONTROL'!$B$5,IF('91_MOTIF_CONF_SOURCE'!U14='18_WEIGHT_CONTROL'!$A$6,'18_WEIGHT_CONTROL'!$B$6,IF('91_MOTIF_CONF_SOURCE'!U14='18_WEIGHT_CONTROL'!$A$7,'18_WEIGHT_CONTROL'!$B$7,'18_WEIGHT_CONTROL'!$B$8)))</f>
        <v/>
      </c>
      <c r="AR14">
        <f>IF('91_MOTIF_CONF_SOURCE'!V14='18_WEIGHT_CONTROL'!$A$5,'18_WEIGHT_CONTROL'!$B$5,IF('91_MOTIF_CONF_SOURCE'!V14='18_WEIGHT_CONTROL'!$A$6,'18_WEIGHT_CONTROL'!$B$6,IF('91_MOTIF_CONF_SOURCE'!V14='18_WEIGHT_CONTROL'!$A$7,'18_WEIGHT_CONTROL'!$B$7,'18_WEIGHT_CONTROL'!$B$8)))</f>
        <v/>
      </c>
    </row>
    <row r="15">
      <c r="A15" t="n">
        <v>11</v>
      </c>
      <c r="B15" t="inlineStr">
        <is>
          <t>半人馬座α星人</t>
        </is>
      </c>
      <c r="C15" t="inlineStr">
        <is>
          <t>Alpha Centaurian</t>
        </is>
      </c>
      <c r="D15">
        <f>IF('90_CANON_CONF_SOURCE'!D15='18_WEIGHT_CONTROL'!$A$5,'18_WEIGHT_CONTROL'!$B$5,IF('90_CANON_CONF_SOURCE'!D15='18_WEIGHT_CONTROL'!$A$6,'18_WEIGHT_CONTROL'!$B$6,IF('90_CANON_CONF_SOURCE'!D15='18_WEIGHT_CONTROL'!$A$7,'18_WEIGHT_CONTROL'!$B$7,'18_WEIGHT_CONTROL'!$B$8)))</f>
        <v/>
      </c>
      <c r="E15">
        <f>IF('90_CANON_CONF_SOURCE'!E15='18_WEIGHT_CONTROL'!$A$5,'18_WEIGHT_CONTROL'!$B$5,IF('90_CANON_CONF_SOURCE'!E15='18_WEIGHT_CONTROL'!$A$6,'18_WEIGHT_CONTROL'!$B$6,IF('90_CANON_CONF_SOURCE'!E15='18_WEIGHT_CONTROL'!$A$7,'18_WEIGHT_CONTROL'!$B$7,'18_WEIGHT_CONTROL'!$B$8)))</f>
        <v/>
      </c>
      <c r="F15">
        <f>IF('90_CANON_CONF_SOURCE'!F15='18_WEIGHT_CONTROL'!$A$5,'18_WEIGHT_CONTROL'!$B$5,IF('90_CANON_CONF_SOURCE'!F15='18_WEIGHT_CONTROL'!$A$6,'18_WEIGHT_CONTROL'!$B$6,IF('90_CANON_CONF_SOURCE'!F15='18_WEIGHT_CONTROL'!$A$7,'18_WEIGHT_CONTROL'!$B$7,'18_WEIGHT_CONTROL'!$B$8)))</f>
        <v/>
      </c>
      <c r="G15">
        <f>IF('90_CANON_CONF_SOURCE'!G15='18_WEIGHT_CONTROL'!$A$5,'18_WEIGHT_CONTROL'!$B$5,IF('90_CANON_CONF_SOURCE'!G15='18_WEIGHT_CONTROL'!$A$6,'18_WEIGHT_CONTROL'!$B$6,IF('90_CANON_CONF_SOURCE'!G15='18_WEIGHT_CONTROL'!$A$7,'18_WEIGHT_CONTROL'!$B$7,'18_WEIGHT_CONTROL'!$B$8)))</f>
        <v/>
      </c>
      <c r="H15">
        <f>IF('90_CANON_CONF_SOURCE'!H15='18_WEIGHT_CONTROL'!$A$5,'18_WEIGHT_CONTROL'!$B$5,IF('90_CANON_CONF_SOURCE'!H15='18_WEIGHT_CONTROL'!$A$6,'18_WEIGHT_CONTROL'!$B$6,IF('90_CANON_CONF_SOURCE'!H15='18_WEIGHT_CONTROL'!$A$7,'18_WEIGHT_CONTROL'!$B$7,'18_WEIGHT_CONTROL'!$B$8)))</f>
        <v/>
      </c>
      <c r="I15">
        <f>IF('90_CANON_CONF_SOURCE'!I15='18_WEIGHT_CONTROL'!$A$5,'18_WEIGHT_CONTROL'!$B$5,IF('90_CANON_CONF_SOURCE'!I15='18_WEIGHT_CONTROL'!$A$6,'18_WEIGHT_CONTROL'!$B$6,IF('90_CANON_CONF_SOURCE'!I15='18_WEIGHT_CONTROL'!$A$7,'18_WEIGHT_CONTROL'!$B$7,'18_WEIGHT_CONTROL'!$B$8)))</f>
        <v/>
      </c>
      <c r="J15">
        <f>IF('90_CANON_CONF_SOURCE'!J15='18_WEIGHT_CONTROL'!$A$5,'18_WEIGHT_CONTROL'!$B$5,IF('90_CANON_CONF_SOURCE'!J15='18_WEIGHT_CONTROL'!$A$6,'18_WEIGHT_CONTROL'!$B$6,IF('90_CANON_CONF_SOURCE'!J15='18_WEIGHT_CONTROL'!$A$7,'18_WEIGHT_CONTROL'!$B$7,'18_WEIGHT_CONTROL'!$B$8)))</f>
        <v/>
      </c>
      <c r="K15">
        <f>IF('90_CANON_CONF_SOURCE'!K15='18_WEIGHT_CONTROL'!$A$5,'18_WEIGHT_CONTROL'!$B$5,IF('90_CANON_CONF_SOURCE'!K15='18_WEIGHT_CONTROL'!$A$6,'18_WEIGHT_CONTROL'!$B$6,IF('90_CANON_CONF_SOURCE'!K15='18_WEIGHT_CONTROL'!$A$7,'18_WEIGHT_CONTROL'!$B$7,'18_WEIGHT_CONTROL'!$B$8)))</f>
        <v/>
      </c>
      <c r="L15">
        <f>IF('90_CANON_CONF_SOURCE'!L15='18_WEIGHT_CONTROL'!$A$5,'18_WEIGHT_CONTROL'!$B$5,IF('90_CANON_CONF_SOURCE'!L15='18_WEIGHT_CONTROL'!$A$6,'18_WEIGHT_CONTROL'!$B$6,IF('90_CANON_CONF_SOURCE'!L15='18_WEIGHT_CONTROL'!$A$7,'18_WEIGHT_CONTROL'!$B$7,'18_WEIGHT_CONTROL'!$B$8)))</f>
        <v/>
      </c>
      <c r="M15">
        <f>IF('90_CANON_CONF_SOURCE'!M15='18_WEIGHT_CONTROL'!$A$5,'18_WEIGHT_CONTROL'!$B$5,IF('90_CANON_CONF_SOURCE'!M15='18_WEIGHT_CONTROL'!$A$6,'18_WEIGHT_CONTROL'!$B$6,IF('90_CANON_CONF_SOURCE'!M15='18_WEIGHT_CONTROL'!$A$7,'18_WEIGHT_CONTROL'!$B$7,'18_WEIGHT_CONTROL'!$B$8)))</f>
        <v/>
      </c>
      <c r="N15">
        <f>IF('90_CANON_CONF_SOURCE'!N15='18_WEIGHT_CONTROL'!$A$5,'18_WEIGHT_CONTROL'!$B$5,IF('90_CANON_CONF_SOURCE'!N15='18_WEIGHT_CONTROL'!$A$6,'18_WEIGHT_CONTROL'!$B$6,IF('90_CANON_CONF_SOURCE'!N15='18_WEIGHT_CONTROL'!$A$7,'18_WEIGHT_CONTROL'!$B$7,'18_WEIGHT_CONTROL'!$B$8)))</f>
        <v/>
      </c>
      <c r="O15">
        <f>IF('90_CANON_CONF_SOURCE'!O15='18_WEIGHT_CONTROL'!$A$5,'18_WEIGHT_CONTROL'!$B$5,IF('90_CANON_CONF_SOURCE'!O15='18_WEIGHT_CONTROL'!$A$6,'18_WEIGHT_CONTROL'!$B$6,IF('90_CANON_CONF_SOURCE'!O15='18_WEIGHT_CONTROL'!$A$7,'18_WEIGHT_CONTROL'!$B$7,'18_WEIGHT_CONTROL'!$B$8)))</f>
        <v/>
      </c>
      <c r="P15">
        <f>IF('90_CANON_CONF_SOURCE'!P15='18_WEIGHT_CONTROL'!$A$5,'18_WEIGHT_CONTROL'!$B$5,IF('90_CANON_CONF_SOURCE'!P15='18_WEIGHT_CONTROL'!$A$6,'18_WEIGHT_CONTROL'!$B$6,IF('90_CANON_CONF_SOURCE'!P15='18_WEIGHT_CONTROL'!$A$7,'18_WEIGHT_CONTROL'!$B$7,'18_WEIGHT_CONTROL'!$B$8)))</f>
        <v/>
      </c>
      <c r="Q15">
        <f>IF('90_CANON_CONF_SOURCE'!Q15='18_WEIGHT_CONTROL'!$A$5,'18_WEIGHT_CONTROL'!$B$5,IF('90_CANON_CONF_SOURCE'!Q15='18_WEIGHT_CONTROL'!$A$6,'18_WEIGHT_CONTROL'!$B$6,IF('90_CANON_CONF_SOURCE'!Q15='18_WEIGHT_CONTROL'!$A$7,'18_WEIGHT_CONTROL'!$B$7,'18_WEIGHT_CONTROL'!$B$8)))</f>
        <v/>
      </c>
      <c r="R15">
        <f>IF('90_CANON_CONF_SOURCE'!R15='18_WEIGHT_CONTROL'!$A$5,'18_WEIGHT_CONTROL'!$B$5,IF('90_CANON_CONF_SOURCE'!R15='18_WEIGHT_CONTROL'!$A$6,'18_WEIGHT_CONTROL'!$B$6,IF('90_CANON_CONF_SOURCE'!R15='18_WEIGHT_CONTROL'!$A$7,'18_WEIGHT_CONTROL'!$B$7,'18_WEIGHT_CONTROL'!$B$8)))</f>
        <v/>
      </c>
      <c r="S15">
        <f>IF('90_CANON_CONF_SOURCE'!S15='18_WEIGHT_CONTROL'!$A$5,'18_WEIGHT_CONTROL'!$B$5,IF('90_CANON_CONF_SOURCE'!S15='18_WEIGHT_CONTROL'!$A$6,'18_WEIGHT_CONTROL'!$B$6,IF('90_CANON_CONF_SOURCE'!S15='18_WEIGHT_CONTROL'!$A$7,'18_WEIGHT_CONTROL'!$B$7,'18_WEIGHT_CONTROL'!$B$8)))</f>
        <v/>
      </c>
      <c r="T15">
        <f>IF('90_CANON_CONF_SOURCE'!T15='18_WEIGHT_CONTROL'!$A$5,'18_WEIGHT_CONTROL'!$B$5,IF('90_CANON_CONF_SOURCE'!T15='18_WEIGHT_CONTROL'!$A$6,'18_WEIGHT_CONTROL'!$B$6,IF('90_CANON_CONF_SOURCE'!T15='18_WEIGHT_CONTROL'!$A$7,'18_WEIGHT_CONTROL'!$B$7,'18_WEIGHT_CONTROL'!$B$8)))</f>
        <v/>
      </c>
      <c r="U15">
        <f>IF('90_CANON_CONF_SOURCE'!U15='18_WEIGHT_CONTROL'!$A$5,'18_WEIGHT_CONTROL'!$B$5,IF('90_CANON_CONF_SOURCE'!U15='18_WEIGHT_CONTROL'!$A$6,'18_WEIGHT_CONTROL'!$B$6,IF('90_CANON_CONF_SOURCE'!U15='18_WEIGHT_CONTROL'!$A$7,'18_WEIGHT_CONTROL'!$B$7,'18_WEIGHT_CONTROL'!$B$8)))</f>
        <v/>
      </c>
      <c r="V15">
        <f>IF('90_CANON_CONF_SOURCE'!V15='18_WEIGHT_CONTROL'!$A$5,'18_WEIGHT_CONTROL'!$B$5,IF('90_CANON_CONF_SOURCE'!V15='18_WEIGHT_CONTROL'!$A$6,'18_WEIGHT_CONTROL'!$B$6,IF('90_CANON_CONF_SOURCE'!V15='18_WEIGHT_CONTROL'!$A$7,'18_WEIGHT_CONTROL'!$B$7,'18_WEIGHT_CONTROL'!$B$8)))</f>
        <v/>
      </c>
      <c r="W15">
        <f>IF('90_CANON_CONF_SOURCE'!W15='18_WEIGHT_CONTROL'!$A$5,'18_WEIGHT_CONTROL'!$B$5,IF('90_CANON_CONF_SOURCE'!W15='18_WEIGHT_CONTROL'!$A$6,'18_WEIGHT_CONTROL'!$B$6,IF('90_CANON_CONF_SOURCE'!W15='18_WEIGHT_CONTROL'!$A$7,'18_WEIGHT_CONTROL'!$B$7,'18_WEIGHT_CONTROL'!$B$8)))</f>
        <v/>
      </c>
      <c r="X15">
        <f>IF('90_CANON_CONF_SOURCE'!X15='18_WEIGHT_CONTROL'!$A$5,'18_WEIGHT_CONTROL'!$B$5,IF('90_CANON_CONF_SOURCE'!X15='18_WEIGHT_CONTROL'!$A$6,'18_WEIGHT_CONTROL'!$B$6,IF('90_CANON_CONF_SOURCE'!X15='18_WEIGHT_CONTROL'!$A$7,'18_WEIGHT_CONTROL'!$B$7,'18_WEIGHT_CONTROL'!$B$8)))</f>
        <v/>
      </c>
      <c r="Y15">
        <f>IF('90_CANON_CONF_SOURCE'!Y15='18_WEIGHT_CONTROL'!$A$5,'18_WEIGHT_CONTROL'!$B$5,IF('90_CANON_CONF_SOURCE'!Y15='18_WEIGHT_CONTROL'!$A$6,'18_WEIGHT_CONTROL'!$B$6,IF('90_CANON_CONF_SOURCE'!Y15='18_WEIGHT_CONTROL'!$A$7,'18_WEIGHT_CONTROL'!$B$7,'18_WEIGHT_CONTROL'!$B$8)))</f>
        <v/>
      </c>
      <c r="Z15">
        <f>IF('91_MOTIF_CONF_SOURCE'!D15='18_WEIGHT_CONTROL'!$A$5,'18_WEIGHT_CONTROL'!$B$5,IF('91_MOTIF_CONF_SOURCE'!D15='18_WEIGHT_CONTROL'!$A$6,'18_WEIGHT_CONTROL'!$B$6,IF('91_MOTIF_CONF_SOURCE'!D15='18_WEIGHT_CONTROL'!$A$7,'18_WEIGHT_CONTROL'!$B$7,'18_WEIGHT_CONTROL'!$B$8)))</f>
        <v/>
      </c>
      <c r="AA15">
        <f>IF('91_MOTIF_CONF_SOURCE'!E15='18_WEIGHT_CONTROL'!$A$5,'18_WEIGHT_CONTROL'!$B$5,IF('91_MOTIF_CONF_SOURCE'!E15='18_WEIGHT_CONTROL'!$A$6,'18_WEIGHT_CONTROL'!$B$6,IF('91_MOTIF_CONF_SOURCE'!E15='18_WEIGHT_CONTROL'!$A$7,'18_WEIGHT_CONTROL'!$B$7,'18_WEIGHT_CONTROL'!$B$8)))</f>
        <v/>
      </c>
      <c r="AB15">
        <f>IF('91_MOTIF_CONF_SOURCE'!F15='18_WEIGHT_CONTROL'!$A$5,'18_WEIGHT_CONTROL'!$B$5,IF('91_MOTIF_CONF_SOURCE'!F15='18_WEIGHT_CONTROL'!$A$6,'18_WEIGHT_CONTROL'!$B$6,IF('91_MOTIF_CONF_SOURCE'!F15='18_WEIGHT_CONTROL'!$A$7,'18_WEIGHT_CONTROL'!$B$7,'18_WEIGHT_CONTROL'!$B$8)))</f>
        <v/>
      </c>
      <c r="AC15">
        <f>IF('91_MOTIF_CONF_SOURCE'!G15='18_WEIGHT_CONTROL'!$A$5,'18_WEIGHT_CONTROL'!$B$5,IF('91_MOTIF_CONF_SOURCE'!G15='18_WEIGHT_CONTROL'!$A$6,'18_WEIGHT_CONTROL'!$B$6,IF('91_MOTIF_CONF_SOURCE'!G15='18_WEIGHT_CONTROL'!$A$7,'18_WEIGHT_CONTROL'!$B$7,'18_WEIGHT_CONTROL'!$B$8)))</f>
        <v/>
      </c>
      <c r="AD15">
        <f>IF('91_MOTIF_CONF_SOURCE'!H15='18_WEIGHT_CONTROL'!$A$5,'18_WEIGHT_CONTROL'!$B$5,IF('91_MOTIF_CONF_SOURCE'!H15='18_WEIGHT_CONTROL'!$A$6,'18_WEIGHT_CONTROL'!$B$6,IF('91_MOTIF_CONF_SOURCE'!H15='18_WEIGHT_CONTROL'!$A$7,'18_WEIGHT_CONTROL'!$B$7,'18_WEIGHT_CONTROL'!$B$8)))</f>
        <v/>
      </c>
      <c r="AE15">
        <f>IF('91_MOTIF_CONF_SOURCE'!I15='18_WEIGHT_CONTROL'!$A$5,'18_WEIGHT_CONTROL'!$B$5,IF('91_MOTIF_CONF_SOURCE'!I15='18_WEIGHT_CONTROL'!$A$6,'18_WEIGHT_CONTROL'!$B$6,IF('91_MOTIF_CONF_SOURCE'!I15='18_WEIGHT_CONTROL'!$A$7,'18_WEIGHT_CONTROL'!$B$7,'18_WEIGHT_CONTROL'!$B$8)))</f>
        <v/>
      </c>
      <c r="AF15">
        <f>IF('91_MOTIF_CONF_SOURCE'!J15='18_WEIGHT_CONTROL'!$A$5,'18_WEIGHT_CONTROL'!$B$5,IF('91_MOTIF_CONF_SOURCE'!J15='18_WEIGHT_CONTROL'!$A$6,'18_WEIGHT_CONTROL'!$B$6,IF('91_MOTIF_CONF_SOURCE'!J15='18_WEIGHT_CONTROL'!$A$7,'18_WEIGHT_CONTROL'!$B$7,'18_WEIGHT_CONTROL'!$B$8)))</f>
        <v/>
      </c>
      <c r="AG15">
        <f>IF('91_MOTIF_CONF_SOURCE'!K15='18_WEIGHT_CONTROL'!$A$5,'18_WEIGHT_CONTROL'!$B$5,IF('91_MOTIF_CONF_SOURCE'!K15='18_WEIGHT_CONTROL'!$A$6,'18_WEIGHT_CONTROL'!$B$6,IF('91_MOTIF_CONF_SOURCE'!K15='18_WEIGHT_CONTROL'!$A$7,'18_WEIGHT_CONTROL'!$B$7,'18_WEIGHT_CONTROL'!$B$8)))</f>
        <v/>
      </c>
      <c r="AH15">
        <f>IF('91_MOTIF_CONF_SOURCE'!L15='18_WEIGHT_CONTROL'!$A$5,'18_WEIGHT_CONTROL'!$B$5,IF('91_MOTIF_CONF_SOURCE'!L15='18_WEIGHT_CONTROL'!$A$6,'18_WEIGHT_CONTROL'!$B$6,IF('91_MOTIF_CONF_SOURCE'!L15='18_WEIGHT_CONTROL'!$A$7,'18_WEIGHT_CONTROL'!$B$7,'18_WEIGHT_CONTROL'!$B$8)))</f>
        <v/>
      </c>
      <c r="AI15">
        <f>IF('91_MOTIF_CONF_SOURCE'!M15='18_WEIGHT_CONTROL'!$A$5,'18_WEIGHT_CONTROL'!$B$5,IF('91_MOTIF_CONF_SOURCE'!M15='18_WEIGHT_CONTROL'!$A$6,'18_WEIGHT_CONTROL'!$B$6,IF('91_MOTIF_CONF_SOURCE'!M15='18_WEIGHT_CONTROL'!$A$7,'18_WEIGHT_CONTROL'!$B$7,'18_WEIGHT_CONTROL'!$B$8)))</f>
        <v/>
      </c>
      <c r="AJ15">
        <f>IF('91_MOTIF_CONF_SOURCE'!N15='18_WEIGHT_CONTROL'!$A$5,'18_WEIGHT_CONTROL'!$B$5,IF('91_MOTIF_CONF_SOURCE'!N15='18_WEIGHT_CONTROL'!$A$6,'18_WEIGHT_CONTROL'!$B$6,IF('91_MOTIF_CONF_SOURCE'!N15='18_WEIGHT_CONTROL'!$A$7,'18_WEIGHT_CONTROL'!$B$7,'18_WEIGHT_CONTROL'!$B$8)))</f>
        <v/>
      </c>
      <c r="AK15">
        <f>IF('91_MOTIF_CONF_SOURCE'!O15='18_WEIGHT_CONTROL'!$A$5,'18_WEIGHT_CONTROL'!$B$5,IF('91_MOTIF_CONF_SOURCE'!O15='18_WEIGHT_CONTROL'!$A$6,'18_WEIGHT_CONTROL'!$B$6,IF('91_MOTIF_CONF_SOURCE'!O15='18_WEIGHT_CONTROL'!$A$7,'18_WEIGHT_CONTROL'!$B$7,'18_WEIGHT_CONTROL'!$B$8)))</f>
        <v/>
      </c>
      <c r="AL15">
        <f>IF('91_MOTIF_CONF_SOURCE'!P15='18_WEIGHT_CONTROL'!$A$5,'18_WEIGHT_CONTROL'!$B$5,IF('91_MOTIF_CONF_SOURCE'!P15='18_WEIGHT_CONTROL'!$A$6,'18_WEIGHT_CONTROL'!$B$6,IF('91_MOTIF_CONF_SOURCE'!P15='18_WEIGHT_CONTROL'!$A$7,'18_WEIGHT_CONTROL'!$B$7,'18_WEIGHT_CONTROL'!$B$8)))</f>
        <v/>
      </c>
      <c r="AM15">
        <f>IF('91_MOTIF_CONF_SOURCE'!Q15='18_WEIGHT_CONTROL'!$A$5,'18_WEIGHT_CONTROL'!$B$5,IF('91_MOTIF_CONF_SOURCE'!Q15='18_WEIGHT_CONTROL'!$A$6,'18_WEIGHT_CONTROL'!$B$6,IF('91_MOTIF_CONF_SOURCE'!Q15='18_WEIGHT_CONTROL'!$A$7,'18_WEIGHT_CONTROL'!$B$7,'18_WEIGHT_CONTROL'!$B$8)))</f>
        <v/>
      </c>
      <c r="AN15">
        <f>IF('91_MOTIF_CONF_SOURCE'!R15='18_WEIGHT_CONTROL'!$A$5,'18_WEIGHT_CONTROL'!$B$5,IF('91_MOTIF_CONF_SOURCE'!R15='18_WEIGHT_CONTROL'!$A$6,'18_WEIGHT_CONTROL'!$B$6,IF('91_MOTIF_CONF_SOURCE'!R15='18_WEIGHT_CONTROL'!$A$7,'18_WEIGHT_CONTROL'!$B$7,'18_WEIGHT_CONTROL'!$B$8)))</f>
        <v/>
      </c>
      <c r="AO15">
        <f>IF('91_MOTIF_CONF_SOURCE'!S15='18_WEIGHT_CONTROL'!$A$5,'18_WEIGHT_CONTROL'!$B$5,IF('91_MOTIF_CONF_SOURCE'!S15='18_WEIGHT_CONTROL'!$A$6,'18_WEIGHT_CONTROL'!$B$6,IF('91_MOTIF_CONF_SOURCE'!S15='18_WEIGHT_CONTROL'!$A$7,'18_WEIGHT_CONTROL'!$B$7,'18_WEIGHT_CONTROL'!$B$8)))</f>
        <v/>
      </c>
      <c r="AP15">
        <f>IF('91_MOTIF_CONF_SOURCE'!T15='18_WEIGHT_CONTROL'!$A$5,'18_WEIGHT_CONTROL'!$B$5,IF('91_MOTIF_CONF_SOURCE'!T15='18_WEIGHT_CONTROL'!$A$6,'18_WEIGHT_CONTROL'!$B$6,IF('91_MOTIF_CONF_SOURCE'!T15='18_WEIGHT_CONTROL'!$A$7,'18_WEIGHT_CONTROL'!$B$7,'18_WEIGHT_CONTROL'!$B$8)))</f>
        <v/>
      </c>
      <c r="AQ15">
        <f>IF('91_MOTIF_CONF_SOURCE'!U15='18_WEIGHT_CONTROL'!$A$5,'18_WEIGHT_CONTROL'!$B$5,IF('91_MOTIF_CONF_SOURCE'!U15='18_WEIGHT_CONTROL'!$A$6,'18_WEIGHT_CONTROL'!$B$6,IF('91_MOTIF_CONF_SOURCE'!U15='18_WEIGHT_CONTROL'!$A$7,'18_WEIGHT_CONTROL'!$B$7,'18_WEIGHT_CONTROL'!$B$8)))</f>
        <v/>
      </c>
      <c r="AR15">
        <f>IF('91_MOTIF_CONF_SOURCE'!V15='18_WEIGHT_CONTROL'!$A$5,'18_WEIGHT_CONTROL'!$B$5,IF('91_MOTIF_CONF_SOURCE'!V15='18_WEIGHT_CONTROL'!$A$6,'18_WEIGHT_CONTROL'!$B$6,IF('91_MOTIF_CONF_SOURCE'!V15='18_WEIGHT_CONTROL'!$A$7,'18_WEIGHT_CONTROL'!$B$7,'18_WEIGHT_CONTROL'!$B$8)))</f>
        <v/>
      </c>
    </row>
    <row r="16">
      <c r="A16" t="n">
        <v>12</v>
      </c>
      <c r="B16" t="inlineStr">
        <is>
          <t>織女星人</t>
        </is>
      </c>
      <c r="C16" t="inlineStr">
        <is>
          <t>Vegan</t>
        </is>
      </c>
      <c r="D16">
        <f>IF('90_CANON_CONF_SOURCE'!D16='18_WEIGHT_CONTROL'!$A$5,'18_WEIGHT_CONTROL'!$B$5,IF('90_CANON_CONF_SOURCE'!D16='18_WEIGHT_CONTROL'!$A$6,'18_WEIGHT_CONTROL'!$B$6,IF('90_CANON_CONF_SOURCE'!D16='18_WEIGHT_CONTROL'!$A$7,'18_WEIGHT_CONTROL'!$B$7,'18_WEIGHT_CONTROL'!$B$8)))</f>
        <v/>
      </c>
      <c r="E16">
        <f>IF('90_CANON_CONF_SOURCE'!E16='18_WEIGHT_CONTROL'!$A$5,'18_WEIGHT_CONTROL'!$B$5,IF('90_CANON_CONF_SOURCE'!E16='18_WEIGHT_CONTROL'!$A$6,'18_WEIGHT_CONTROL'!$B$6,IF('90_CANON_CONF_SOURCE'!E16='18_WEIGHT_CONTROL'!$A$7,'18_WEIGHT_CONTROL'!$B$7,'18_WEIGHT_CONTROL'!$B$8)))</f>
        <v/>
      </c>
      <c r="F16">
        <f>IF('90_CANON_CONF_SOURCE'!F16='18_WEIGHT_CONTROL'!$A$5,'18_WEIGHT_CONTROL'!$B$5,IF('90_CANON_CONF_SOURCE'!F16='18_WEIGHT_CONTROL'!$A$6,'18_WEIGHT_CONTROL'!$B$6,IF('90_CANON_CONF_SOURCE'!F16='18_WEIGHT_CONTROL'!$A$7,'18_WEIGHT_CONTROL'!$B$7,'18_WEIGHT_CONTROL'!$B$8)))</f>
        <v/>
      </c>
      <c r="G16">
        <f>IF('90_CANON_CONF_SOURCE'!G16='18_WEIGHT_CONTROL'!$A$5,'18_WEIGHT_CONTROL'!$B$5,IF('90_CANON_CONF_SOURCE'!G16='18_WEIGHT_CONTROL'!$A$6,'18_WEIGHT_CONTROL'!$B$6,IF('90_CANON_CONF_SOURCE'!G16='18_WEIGHT_CONTROL'!$A$7,'18_WEIGHT_CONTROL'!$B$7,'18_WEIGHT_CONTROL'!$B$8)))</f>
        <v/>
      </c>
      <c r="H16">
        <f>IF('90_CANON_CONF_SOURCE'!H16='18_WEIGHT_CONTROL'!$A$5,'18_WEIGHT_CONTROL'!$B$5,IF('90_CANON_CONF_SOURCE'!H16='18_WEIGHT_CONTROL'!$A$6,'18_WEIGHT_CONTROL'!$B$6,IF('90_CANON_CONF_SOURCE'!H16='18_WEIGHT_CONTROL'!$A$7,'18_WEIGHT_CONTROL'!$B$7,'18_WEIGHT_CONTROL'!$B$8)))</f>
        <v/>
      </c>
      <c r="I16">
        <f>IF('90_CANON_CONF_SOURCE'!I16='18_WEIGHT_CONTROL'!$A$5,'18_WEIGHT_CONTROL'!$B$5,IF('90_CANON_CONF_SOURCE'!I16='18_WEIGHT_CONTROL'!$A$6,'18_WEIGHT_CONTROL'!$B$6,IF('90_CANON_CONF_SOURCE'!I16='18_WEIGHT_CONTROL'!$A$7,'18_WEIGHT_CONTROL'!$B$7,'18_WEIGHT_CONTROL'!$B$8)))</f>
        <v/>
      </c>
      <c r="J16">
        <f>IF('90_CANON_CONF_SOURCE'!J16='18_WEIGHT_CONTROL'!$A$5,'18_WEIGHT_CONTROL'!$B$5,IF('90_CANON_CONF_SOURCE'!J16='18_WEIGHT_CONTROL'!$A$6,'18_WEIGHT_CONTROL'!$B$6,IF('90_CANON_CONF_SOURCE'!J16='18_WEIGHT_CONTROL'!$A$7,'18_WEIGHT_CONTROL'!$B$7,'18_WEIGHT_CONTROL'!$B$8)))</f>
        <v/>
      </c>
      <c r="K16">
        <f>IF('90_CANON_CONF_SOURCE'!K16='18_WEIGHT_CONTROL'!$A$5,'18_WEIGHT_CONTROL'!$B$5,IF('90_CANON_CONF_SOURCE'!K16='18_WEIGHT_CONTROL'!$A$6,'18_WEIGHT_CONTROL'!$B$6,IF('90_CANON_CONF_SOURCE'!K16='18_WEIGHT_CONTROL'!$A$7,'18_WEIGHT_CONTROL'!$B$7,'18_WEIGHT_CONTROL'!$B$8)))</f>
        <v/>
      </c>
      <c r="L16">
        <f>IF('90_CANON_CONF_SOURCE'!L16='18_WEIGHT_CONTROL'!$A$5,'18_WEIGHT_CONTROL'!$B$5,IF('90_CANON_CONF_SOURCE'!L16='18_WEIGHT_CONTROL'!$A$6,'18_WEIGHT_CONTROL'!$B$6,IF('90_CANON_CONF_SOURCE'!L16='18_WEIGHT_CONTROL'!$A$7,'18_WEIGHT_CONTROL'!$B$7,'18_WEIGHT_CONTROL'!$B$8)))</f>
        <v/>
      </c>
      <c r="M16">
        <f>IF('90_CANON_CONF_SOURCE'!M16='18_WEIGHT_CONTROL'!$A$5,'18_WEIGHT_CONTROL'!$B$5,IF('90_CANON_CONF_SOURCE'!M16='18_WEIGHT_CONTROL'!$A$6,'18_WEIGHT_CONTROL'!$B$6,IF('90_CANON_CONF_SOURCE'!M16='18_WEIGHT_CONTROL'!$A$7,'18_WEIGHT_CONTROL'!$B$7,'18_WEIGHT_CONTROL'!$B$8)))</f>
        <v/>
      </c>
      <c r="N16">
        <f>IF('90_CANON_CONF_SOURCE'!N16='18_WEIGHT_CONTROL'!$A$5,'18_WEIGHT_CONTROL'!$B$5,IF('90_CANON_CONF_SOURCE'!N16='18_WEIGHT_CONTROL'!$A$6,'18_WEIGHT_CONTROL'!$B$6,IF('90_CANON_CONF_SOURCE'!N16='18_WEIGHT_CONTROL'!$A$7,'18_WEIGHT_CONTROL'!$B$7,'18_WEIGHT_CONTROL'!$B$8)))</f>
        <v/>
      </c>
      <c r="O16">
        <f>IF('90_CANON_CONF_SOURCE'!O16='18_WEIGHT_CONTROL'!$A$5,'18_WEIGHT_CONTROL'!$B$5,IF('90_CANON_CONF_SOURCE'!O16='18_WEIGHT_CONTROL'!$A$6,'18_WEIGHT_CONTROL'!$B$6,IF('90_CANON_CONF_SOURCE'!O16='18_WEIGHT_CONTROL'!$A$7,'18_WEIGHT_CONTROL'!$B$7,'18_WEIGHT_CONTROL'!$B$8)))</f>
        <v/>
      </c>
      <c r="P16">
        <f>IF('90_CANON_CONF_SOURCE'!P16='18_WEIGHT_CONTROL'!$A$5,'18_WEIGHT_CONTROL'!$B$5,IF('90_CANON_CONF_SOURCE'!P16='18_WEIGHT_CONTROL'!$A$6,'18_WEIGHT_CONTROL'!$B$6,IF('90_CANON_CONF_SOURCE'!P16='18_WEIGHT_CONTROL'!$A$7,'18_WEIGHT_CONTROL'!$B$7,'18_WEIGHT_CONTROL'!$B$8)))</f>
        <v/>
      </c>
      <c r="Q16">
        <f>IF('90_CANON_CONF_SOURCE'!Q16='18_WEIGHT_CONTROL'!$A$5,'18_WEIGHT_CONTROL'!$B$5,IF('90_CANON_CONF_SOURCE'!Q16='18_WEIGHT_CONTROL'!$A$6,'18_WEIGHT_CONTROL'!$B$6,IF('90_CANON_CONF_SOURCE'!Q16='18_WEIGHT_CONTROL'!$A$7,'18_WEIGHT_CONTROL'!$B$7,'18_WEIGHT_CONTROL'!$B$8)))</f>
        <v/>
      </c>
      <c r="R16">
        <f>IF('90_CANON_CONF_SOURCE'!R16='18_WEIGHT_CONTROL'!$A$5,'18_WEIGHT_CONTROL'!$B$5,IF('90_CANON_CONF_SOURCE'!R16='18_WEIGHT_CONTROL'!$A$6,'18_WEIGHT_CONTROL'!$B$6,IF('90_CANON_CONF_SOURCE'!R16='18_WEIGHT_CONTROL'!$A$7,'18_WEIGHT_CONTROL'!$B$7,'18_WEIGHT_CONTROL'!$B$8)))</f>
        <v/>
      </c>
      <c r="S16">
        <f>IF('90_CANON_CONF_SOURCE'!S16='18_WEIGHT_CONTROL'!$A$5,'18_WEIGHT_CONTROL'!$B$5,IF('90_CANON_CONF_SOURCE'!S16='18_WEIGHT_CONTROL'!$A$6,'18_WEIGHT_CONTROL'!$B$6,IF('90_CANON_CONF_SOURCE'!S16='18_WEIGHT_CONTROL'!$A$7,'18_WEIGHT_CONTROL'!$B$7,'18_WEIGHT_CONTROL'!$B$8)))</f>
        <v/>
      </c>
      <c r="T16">
        <f>IF('90_CANON_CONF_SOURCE'!T16='18_WEIGHT_CONTROL'!$A$5,'18_WEIGHT_CONTROL'!$B$5,IF('90_CANON_CONF_SOURCE'!T16='18_WEIGHT_CONTROL'!$A$6,'18_WEIGHT_CONTROL'!$B$6,IF('90_CANON_CONF_SOURCE'!T16='18_WEIGHT_CONTROL'!$A$7,'18_WEIGHT_CONTROL'!$B$7,'18_WEIGHT_CONTROL'!$B$8)))</f>
        <v/>
      </c>
      <c r="U16">
        <f>IF('90_CANON_CONF_SOURCE'!U16='18_WEIGHT_CONTROL'!$A$5,'18_WEIGHT_CONTROL'!$B$5,IF('90_CANON_CONF_SOURCE'!U16='18_WEIGHT_CONTROL'!$A$6,'18_WEIGHT_CONTROL'!$B$6,IF('90_CANON_CONF_SOURCE'!U16='18_WEIGHT_CONTROL'!$A$7,'18_WEIGHT_CONTROL'!$B$7,'18_WEIGHT_CONTROL'!$B$8)))</f>
        <v/>
      </c>
      <c r="V16">
        <f>IF('90_CANON_CONF_SOURCE'!V16='18_WEIGHT_CONTROL'!$A$5,'18_WEIGHT_CONTROL'!$B$5,IF('90_CANON_CONF_SOURCE'!V16='18_WEIGHT_CONTROL'!$A$6,'18_WEIGHT_CONTROL'!$B$6,IF('90_CANON_CONF_SOURCE'!V16='18_WEIGHT_CONTROL'!$A$7,'18_WEIGHT_CONTROL'!$B$7,'18_WEIGHT_CONTROL'!$B$8)))</f>
        <v/>
      </c>
      <c r="W16">
        <f>IF('90_CANON_CONF_SOURCE'!W16='18_WEIGHT_CONTROL'!$A$5,'18_WEIGHT_CONTROL'!$B$5,IF('90_CANON_CONF_SOURCE'!W16='18_WEIGHT_CONTROL'!$A$6,'18_WEIGHT_CONTROL'!$B$6,IF('90_CANON_CONF_SOURCE'!W16='18_WEIGHT_CONTROL'!$A$7,'18_WEIGHT_CONTROL'!$B$7,'18_WEIGHT_CONTROL'!$B$8)))</f>
        <v/>
      </c>
      <c r="X16">
        <f>IF('90_CANON_CONF_SOURCE'!X16='18_WEIGHT_CONTROL'!$A$5,'18_WEIGHT_CONTROL'!$B$5,IF('90_CANON_CONF_SOURCE'!X16='18_WEIGHT_CONTROL'!$A$6,'18_WEIGHT_CONTROL'!$B$6,IF('90_CANON_CONF_SOURCE'!X16='18_WEIGHT_CONTROL'!$A$7,'18_WEIGHT_CONTROL'!$B$7,'18_WEIGHT_CONTROL'!$B$8)))</f>
        <v/>
      </c>
      <c r="Y16">
        <f>IF('90_CANON_CONF_SOURCE'!Y16='18_WEIGHT_CONTROL'!$A$5,'18_WEIGHT_CONTROL'!$B$5,IF('90_CANON_CONF_SOURCE'!Y16='18_WEIGHT_CONTROL'!$A$6,'18_WEIGHT_CONTROL'!$B$6,IF('90_CANON_CONF_SOURCE'!Y16='18_WEIGHT_CONTROL'!$A$7,'18_WEIGHT_CONTROL'!$B$7,'18_WEIGHT_CONTROL'!$B$8)))</f>
        <v/>
      </c>
      <c r="Z16">
        <f>IF('91_MOTIF_CONF_SOURCE'!D16='18_WEIGHT_CONTROL'!$A$5,'18_WEIGHT_CONTROL'!$B$5,IF('91_MOTIF_CONF_SOURCE'!D16='18_WEIGHT_CONTROL'!$A$6,'18_WEIGHT_CONTROL'!$B$6,IF('91_MOTIF_CONF_SOURCE'!D16='18_WEIGHT_CONTROL'!$A$7,'18_WEIGHT_CONTROL'!$B$7,'18_WEIGHT_CONTROL'!$B$8)))</f>
        <v/>
      </c>
      <c r="AA16">
        <f>IF('91_MOTIF_CONF_SOURCE'!E16='18_WEIGHT_CONTROL'!$A$5,'18_WEIGHT_CONTROL'!$B$5,IF('91_MOTIF_CONF_SOURCE'!E16='18_WEIGHT_CONTROL'!$A$6,'18_WEIGHT_CONTROL'!$B$6,IF('91_MOTIF_CONF_SOURCE'!E16='18_WEIGHT_CONTROL'!$A$7,'18_WEIGHT_CONTROL'!$B$7,'18_WEIGHT_CONTROL'!$B$8)))</f>
        <v/>
      </c>
      <c r="AB16">
        <f>IF('91_MOTIF_CONF_SOURCE'!F16='18_WEIGHT_CONTROL'!$A$5,'18_WEIGHT_CONTROL'!$B$5,IF('91_MOTIF_CONF_SOURCE'!F16='18_WEIGHT_CONTROL'!$A$6,'18_WEIGHT_CONTROL'!$B$6,IF('91_MOTIF_CONF_SOURCE'!F16='18_WEIGHT_CONTROL'!$A$7,'18_WEIGHT_CONTROL'!$B$7,'18_WEIGHT_CONTROL'!$B$8)))</f>
        <v/>
      </c>
      <c r="AC16">
        <f>IF('91_MOTIF_CONF_SOURCE'!G16='18_WEIGHT_CONTROL'!$A$5,'18_WEIGHT_CONTROL'!$B$5,IF('91_MOTIF_CONF_SOURCE'!G16='18_WEIGHT_CONTROL'!$A$6,'18_WEIGHT_CONTROL'!$B$6,IF('91_MOTIF_CONF_SOURCE'!G16='18_WEIGHT_CONTROL'!$A$7,'18_WEIGHT_CONTROL'!$B$7,'18_WEIGHT_CONTROL'!$B$8)))</f>
        <v/>
      </c>
      <c r="AD16">
        <f>IF('91_MOTIF_CONF_SOURCE'!H16='18_WEIGHT_CONTROL'!$A$5,'18_WEIGHT_CONTROL'!$B$5,IF('91_MOTIF_CONF_SOURCE'!H16='18_WEIGHT_CONTROL'!$A$6,'18_WEIGHT_CONTROL'!$B$6,IF('91_MOTIF_CONF_SOURCE'!H16='18_WEIGHT_CONTROL'!$A$7,'18_WEIGHT_CONTROL'!$B$7,'18_WEIGHT_CONTROL'!$B$8)))</f>
        <v/>
      </c>
      <c r="AE16">
        <f>IF('91_MOTIF_CONF_SOURCE'!I16='18_WEIGHT_CONTROL'!$A$5,'18_WEIGHT_CONTROL'!$B$5,IF('91_MOTIF_CONF_SOURCE'!I16='18_WEIGHT_CONTROL'!$A$6,'18_WEIGHT_CONTROL'!$B$6,IF('91_MOTIF_CONF_SOURCE'!I16='18_WEIGHT_CONTROL'!$A$7,'18_WEIGHT_CONTROL'!$B$7,'18_WEIGHT_CONTROL'!$B$8)))</f>
        <v/>
      </c>
      <c r="AF16">
        <f>IF('91_MOTIF_CONF_SOURCE'!J16='18_WEIGHT_CONTROL'!$A$5,'18_WEIGHT_CONTROL'!$B$5,IF('91_MOTIF_CONF_SOURCE'!J16='18_WEIGHT_CONTROL'!$A$6,'18_WEIGHT_CONTROL'!$B$6,IF('91_MOTIF_CONF_SOURCE'!J16='18_WEIGHT_CONTROL'!$A$7,'18_WEIGHT_CONTROL'!$B$7,'18_WEIGHT_CONTROL'!$B$8)))</f>
        <v/>
      </c>
      <c r="AG16">
        <f>IF('91_MOTIF_CONF_SOURCE'!K16='18_WEIGHT_CONTROL'!$A$5,'18_WEIGHT_CONTROL'!$B$5,IF('91_MOTIF_CONF_SOURCE'!K16='18_WEIGHT_CONTROL'!$A$6,'18_WEIGHT_CONTROL'!$B$6,IF('91_MOTIF_CONF_SOURCE'!K16='18_WEIGHT_CONTROL'!$A$7,'18_WEIGHT_CONTROL'!$B$7,'18_WEIGHT_CONTROL'!$B$8)))</f>
        <v/>
      </c>
      <c r="AH16">
        <f>IF('91_MOTIF_CONF_SOURCE'!L16='18_WEIGHT_CONTROL'!$A$5,'18_WEIGHT_CONTROL'!$B$5,IF('91_MOTIF_CONF_SOURCE'!L16='18_WEIGHT_CONTROL'!$A$6,'18_WEIGHT_CONTROL'!$B$6,IF('91_MOTIF_CONF_SOURCE'!L16='18_WEIGHT_CONTROL'!$A$7,'18_WEIGHT_CONTROL'!$B$7,'18_WEIGHT_CONTROL'!$B$8)))</f>
        <v/>
      </c>
      <c r="AI16">
        <f>IF('91_MOTIF_CONF_SOURCE'!M16='18_WEIGHT_CONTROL'!$A$5,'18_WEIGHT_CONTROL'!$B$5,IF('91_MOTIF_CONF_SOURCE'!M16='18_WEIGHT_CONTROL'!$A$6,'18_WEIGHT_CONTROL'!$B$6,IF('91_MOTIF_CONF_SOURCE'!M16='18_WEIGHT_CONTROL'!$A$7,'18_WEIGHT_CONTROL'!$B$7,'18_WEIGHT_CONTROL'!$B$8)))</f>
        <v/>
      </c>
      <c r="AJ16">
        <f>IF('91_MOTIF_CONF_SOURCE'!N16='18_WEIGHT_CONTROL'!$A$5,'18_WEIGHT_CONTROL'!$B$5,IF('91_MOTIF_CONF_SOURCE'!N16='18_WEIGHT_CONTROL'!$A$6,'18_WEIGHT_CONTROL'!$B$6,IF('91_MOTIF_CONF_SOURCE'!N16='18_WEIGHT_CONTROL'!$A$7,'18_WEIGHT_CONTROL'!$B$7,'18_WEIGHT_CONTROL'!$B$8)))</f>
        <v/>
      </c>
      <c r="AK16">
        <f>IF('91_MOTIF_CONF_SOURCE'!O16='18_WEIGHT_CONTROL'!$A$5,'18_WEIGHT_CONTROL'!$B$5,IF('91_MOTIF_CONF_SOURCE'!O16='18_WEIGHT_CONTROL'!$A$6,'18_WEIGHT_CONTROL'!$B$6,IF('91_MOTIF_CONF_SOURCE'!O16='18_WEIGHT_CONTROL'!$A$7,'18_WEIGHT_CONTROL'!$B$7,'18_WEIGHT_CONTROL'!$B$8)))</f>
        <v/>
      </c>
      <c r="AL16">
        <f>IF('91_MOTIF_CONF_SOURCE'!P16='18_WEIGHT_CONTROL'!$A$5,'18_WEIGHT_CONTROL'!$B$5,IF('91_MOTIF_CONF_SOURCE'!P16='18_WEIGHT_CONTROL'!$A$6,'18_WEIGHT_CONTROL'!$B$6,IF('91_MOTIF_CONF_SOURCE'!P16='18_WEIGHT_CONTROL'!$A$7,'18_WEIGHT_CONTROL'!$B$7,'18_WEIGHT_CONTROL'!$B$8)))</f>
        <v/>
      </c>
      <c r="AM16">
        <f>IF('91_MOTIF_CONF_SOURCE'!Q16='18_WEIGHT_CONTROL'!$A$5,'18_WEIGHT_CONTROL'!$B$5,IF('91_MOTIF_CONF_SOURCE'!Q16='18_WEIGHT_CONTROL'!$A$6,'18_WEIGHT_CONTROL'!$B$6,IF('91_MOTIF_CONF_SOURCE'!Q16='18_WEIGHT_CONTROL'!$A$7,'18_WEIGHT_CONTROL'!$B$7,'18_WEIGHT_CONTROL'!$B$8)))</f>
        <v/>
      </c>
      <c r="AN16">
        <f>IF('91_MOTIF_CONF_SOURCE'!R16='18_WEIGHT_CONTROL'!$A$5,'18_WEIGHT_CONTROL'!$B$5,IF('91_MOTIF_CONF_SOURCE'!R16='18_WEIGHT_CONTROL'!$A$6,'18_WEIGHT_CONTROL'!$B$6,IF('91_MOTIF_CONF_SOURCE'!R16='18_WEIGHT_CONTROL'!$A$7,'18_WEIGHT_CONTROL'!$B$7,'18_WEIGHT_CONTROL'!$B$8)))</f>
        <v/>
      </c>
      <c r="AO16">
        <f>IF('91_MOTIF_CONF_SOURCE'!S16='18_WEIGHT_CONTROL'!$A$5,'18_WEIGHT_CONTROL'!$B$5,IF('91_MOTIF_CONF_SOURCE'!S16='18_WEIGHT_CONTROL'!$A$6,'18_WEIGHT_CONTROL'!$B$6,IF('91_MOTIF_CONF_SOURCE'!S16='18_WEIGHT_CONTROL'!$A$7,'18_WEIGHT_CONTROL'!$B$7,'18_WEIGHT_CONTROL'!$B$8)))</f>
        <v/>
      </c>
      <c r="AP16">
        <f>IF('91_MOTIF_CONF_SOURCE'!T16='18_WEIGHT_CONTROL'!$A$5,'18_WEIGHT_CONTROL'!$B$5,IF('91_MOTIF_CONF_SOURCE'!T16='18_WEIGHT_CONTROL'!$A$6,'18_WEIGHT_CONTROL'!$B$6,IF('91_MOTIF_CONF_SOURCE'!T16='18_WEIGHT_CONTROL'!$A$7,'18_WEIGHT_CONTROL'!$B$7,'18_WEIGHT_CONTROL'!$B$8)))</f>
        <v/>
      </c>
      <c r="AQ16">
        <f>IF('91_MOTIF_CONF_SOURCE'!U16='18_WEIGHT_CONTROL'!$A$5,'18_WEIGHT_CONTROL'!$B$5,IF('91_MOTIF_CONF_SOURCE'!U16='18_WEIGHT_CONTROL'!$A$6,'18_WEIGHT_CONTROL'!$B$6,IF('91_MOTIF_CONF_SOURCE'!U16='18_WEIGHT_CONTROL'!$A$7,'18_WEIGHT_CONTROL'!$B$7,'18_WEIGHT_CONTROL'!$B$8)))</f>
        <v/>
      </c>
      <c r="AR16">
        <f>IF('91_MOTIF_CONF_SOURCE'!V16='18_WEIGHT_CONTROL'!$A$5,'18_WEIGHT_CONTROL'!$B$5,IF('91_MOTIF_CONF_SOURCE'!V16='18_WEIGHT_CONTROL'!$A$6,'18_WEIGHT_CONTROL'!$B$6,IF('91_MOTIF_CONF_SOURCE'!V16='18_WEIGHT_CONTROL'!$A$7,'18_WEIGHT_CONTROL'!$B$7,'18_WEIGHT_CONTROL'!$B$8)))</f>
        <v/>
      </c>
    </row>
    <row r="17">
      <c r="A17" t="n">
        <v>13</v>
      </c>
      <c r="B17" t="inlineStr">
        <is>
          <t>貓科星族</t>
        </is>
      </c>
      <c r="C17" t="inlineStr">
        <is>
          <t>Feline / Urmah</t>
        </is>
      </c>
      <c r="D17">
        <f>IF('90_CANON_CONF_SOURCE'!D17='18_WEIGHT_CONTROL'!$A$5,'18_WEIGHT_CONTROL'!$B$5,IF('90_CANON_CONF_SOURCE'!D17='18_WEIGHT_CONTROL'!$A$6,'18_WEIGHT_CONTROL'!$B$6,IF('90_CANON_CONF_SOURCE'!D17='18_WEIGHT_CONTROL'!$A$7,'18_WEIGHT_CONTROL'!$B$7,'18_WEIGHT_CONTROL'!$B$8)))</f>
        <v/>
      </c>
      <c r="E17">
        <f>IF('90_CANON_CONF_SOURCE'!E17='18_WEIGHT_CONTROL'!$A$5,'18_WEIGHT_CONTROL'!$B$5,IF('90_CANON_CONF_SOURCE'!E17='18_WEIGHT_CONTROL'!$A$6,'18_WEIGHT_CONTROL'!$B$6,IF('90_CANON_CONF_SOURCE'!E17='18_WEIGHT_CONTROL'!$A$7,'18_WEIGHT_CONTROL'!$B$7,'18_WEIGHT_CONTROL'!$B$8)))</f>
        <v/>
      </c>
      <c r="F17">
        <f>IF('90_CANON_CONF_SOURCE'!F17='18_WEIGHT_CONTROL'!$A$5,'18_WEIGHT_CONTROL'!$B$5,IF('90_CANON_CONF_SOURCE'!F17='18_WEIGHT_CONTROL'!$A$6,'18_WEIGHT_CONTROL'!$B$6,IF('90_CANON_CONF_SOURCE'!F17='18_WEIGHT_CONTROL'!$A$7,'18_WEIGHT_CONTROL'!$B$7,'18_WEIGHT_CONTROL'!$B$8)))</f>
        <v/>
      </c>
      <c r="G17">
        <f>IF('90_CANON_CONF_SOURCE'!G17='18_WEIGHT_CONTROL'!$A$5,'18_WEIGHT_CONTROL'!$B$5,IF('90_CANON_CONF_SOURCE'!G17='18_WEIGHT_CONTROL'!$A$6,'18_WEIGHT_CONTROL'!$B$6,IF('90_CANON_CONF_SOURCE'!G17='18_WEIGHT_CONTROL'!$A$7,'18_WEIGHT_CONTROL'!$B$7,'18_WEIGHT_CONTROL'!$B$8)))</f>
        <v/>
      </c>
      <c r="H17">
        <f>IF('90_CANON_CONF_SOURCE'!H17='18_WEIGHT_CONTROL'!$A$5,'18_WEIGHT_CONTROL'!$B$5,IF('90_CANON_CONF_SOURCE'!H17='18_WEIGHT_CONTROL'!$A$6,'18_WEIGHT_CONTROL'!$B$6,IF('90_CANON_CONF_SOURCE'!H17='18_WEIGHT_CONTROL'!$A$7,'18_WEIGHT_CONTROL'!$B$7,'18_WEIGHT_CONTROL'!$B$8)))</f>
        <v/>
      </c>
      <c r="I17">
        <f>IF('90_CANON_CONF_SOURCE'!I17='18_WEIGHT_CONTROL'!$A$5,'18_WEIGHT_CONTROL'!$B$5,IF('90_CANON_CONF_SOURCE'!I17='18_WEIGHT_CONTROL'!$A$6,'18_WEIGHT_CONTROL'!$B$6,IF('90_CANON_CONF_SOURCE'!I17='18_WEIGHT_CONTROL'!$A$7,'18_WEIGHT_CONTROL'!$B$7,'18_WEIGHT_CONTROL'!$B$8)))</f>
        <v/>
      </c>
      <c r="J17">
        <f>IF('90_CANON_CONF_SOURCE'!J17='18_WEIGHT_CONTROL'!$A$5,'18_WEIGHT_CONTROL'!$B$5,IF('90_CANON_CONF_SOURCE'!J17='18_WEIGHT_CONTROL'!$A$6,'18_WEIGHT_CONTROL'!$B$6,IF('90_CANON_CONF_SOURCE'!J17='18_WEIGHT_CONTROL'!$A$7,'18_WEIGHT_CONTROL'!$B$7,'18_WEIGHT_CONTROL'!$B$8)))</f>
        <v/>
      </c>
      <c r="K17">
        <f>IF('90_CANON_CONF_SOURCE'!K17='18_WEIGHT_CONTROL'!$A$5,'18_WEIGHT_CONTROL'!$B$5,IF('90_CANON_CONF_SOURCE'!K17='18_WEIGHT_CONTROL'!$A$6,'18_WEIGHT_CONTROL'!$B$6,IF('90_CANON_CONF_SOURCE'!K17='18_WEIGHT_CONTROL'!$A$7,'18_WEIGHT_CONTROL'!$B$7,'18_WEIGHT_CONTROL'!$B$8)))</f>
        <v/>
      </c>
      <c r="L17">
        <f>IF('90_CANON_CONF_SOURCE'!L17='18_WEIGHT_CONTROL'!$A$5,'18_WEIGHT_CONTROL'!$B$5,IF('90_CANON_CONF_SOURCE'!L17='18_WEIGHT_CONTROL'!$A$6,'18_WEIGHT_CONTROL'!$B$6,IF('90_CANON_CONF_SOURCE'!L17='18_WEIGHT_CONTROL'!$A$7,'18_WEIGHT_CONTROL'!$B$7,'18_WEIGHT_CONTROL'!$B$8)))</f>
        <v/>
      </c>
      <c r="M17">
        <f>IF('90_CANON_CONF_SOURCE'!M17='18_WEIGHT_CONTROL'!$A$5,'18_WEIGHT_CONTROL'!$B$5,IF('90_CANON_CONF_SOURCE'!M17='18_WEIGHT_CONTROL'!$A$6,'18_WEIGHT_CONTROL'!$B$6,IF('90_CANON_CONF_SOURCE'!M17='18_WEIGHT_CONTROL'!$A$7,'18_WEIGHT_CONTROL'!$B$7,'18_WEIGHT_CONTROL'!$B$8)))</f>
        <v/>
      </c>
      <c r="N17">
        <f>IF('90_CANON_CONF_SOURCE'!N17='18_WEIGHT_CONTROL'!$A$5,'18_WEIGHT_CONTROL'!$B$5,IF('90_CANON_CONF_SOURCE'!N17='18_WEIGHT_CONTROL'!$A$6,'18_WEIGHT_CONTROL'!$B$6,IF('90_CANON_CONF_SOURCE'!N17='18_WEIGHT_CONTROL'!$A$7,'18_WEIGHT_CONTROL'!$B$7,'18_WEIGHT_CONTROL'!$B$8)))</f>
        <v/>
      </c>
      <c r="O17">
        <f>IF('90_CANON_CONF_SOURCE'!O17='18_WEIGHT_CONTROL'!$A$5,'18_WEIGHT_CONTROL'!$B$5,IF('90_CANON_CONF_SOURCE'!O17='18_WEIGHT_CONTROL'!$A$6,'18_WEIGHT_CONTROL'!$B$6,IF('90_CANON_CONF_SOURCE'!O17='18_WEIGHT_CONTROL'!$A$7,'18_WEIGHT_CONTROL'!$B$7,'18_WEIGHT_CONTROL'!$B$8)))</f>
        <v/>
      </c>
      <c r="P17">
        <f>IF('90_CANON_CONF_SOURCE'!P17='18_WEIGHT_CONTROL'!$A$5,'18_WEIGHT_CONTROL'!$B$5,IF('90_CANON_CONF_SOURCE'!P17='18_WEIGHT_CONTROL'!$A$6,'18_WEIGHT_CONTROL'!$B$6,IF('90_CANON_CONF_SOURCE'!P17='18_WEIGHT_CONTROL'!$A$7,'18_WEIGHT_CONTROL'!$B$7,'18_WEIGHT_CONTROL'!$B$8)))</f>
        <v/>
      </c>
      <c r="Q17">
        <f>IF('90_CANON_CONF_SOURCE'!Q17='18_WEIGHT_CONTROL'!$A$5,'18_WEIGHT_CONTROL'!$B$5,IF('90_CANON_CONF_SOURCE'!Q17='18_WEIGHT_CONTROL'!$A$6,'18_WEIGHT_CONTROL'!$B$6,IF('90_CANON_CONF_SOURCE'!Q17='18_WEIGHT_CONTROL'!$A$7,'18_WEIGHT_CONTROL'!$B$7,'18_WEIGHT_CONTROL'!$B$8)))</f>
        <v/>
      </c>
      <c r="R17">
        <f>IF('90_CANON_CONF_SOURCE'!R17='18_WEIGHT_CONTROL'!$A$5,'18_WEIGHT_CONTROL'!$B$5,IF('90_CANON_CONF_SOURCE'!R17='18_WEIGHT_CONTROL'!$A$6,'18_WEIGHT_CONTROL'!$B$6,IF('90_CANON_CONF_SOURCE'!R17='18_WEIGHT_CONTROL'!$A$7,'18_WEIGHT_CONTROL'!$B$7,'18_WEIGHT_CONTROL'!$B$8)))</f>
        <v/>
      </c>
      <c r="S17">
        <f>IF('90_CANON_CONF_SOURCE'!S17='18_WEIGHT_CONTROL'!$A$5,'18_WEIGHT_CONTROL'!$B$5,IF('90_CANON_CONF_SOURCE'!S17='18_WEIGHT_CONTROL'!$A$6,'18_WEIGHT_CONTROL'!$B$6,IF('90_CANON_CONF_SOURCE'!S17='18_WEIGHT_CONTROL'!$A$7,'18_WEIGHT_CONTROL'!$B$7,'18_WEIGHT_CONTROL'!$B$8)))</f>
        <v/>
      </c>
      <c r="T17">
        <f>IF('90_CANON_CONF_SOURCE'!T17='18_WEIGHT_CONTROL'!$A$5,'18_WEIGHT_CONTROL'!$B$5,IF('90_CANON_CONF_SOURCE'!T17='18_WEIGHT_CONTROL'!$A$6,'18_WEIGHT_CONTROL'!$B$6,IF('90_CANON_CONF_SOURCE'!T17='18_WEIGHT_CONTROL'!$A$7,'18_WEIGHT_CONTROL'!$B$7,'18_WEIGHT_CONTROL'!$B$8)))</f>
        <v/>
      </c>
      <c r="U17">
        <f>IF('90_CANON_CONF_SOURCE'!U17='18_WEIGHT_CONTROL'!$A$5,'18_WEIGHT_CONTROL'!$B$5,IF('90_CANON_CONF_SOURCE'!U17='18_WEIGHT_CONTROL'!$A$6,'18_WEIGHT_CONTROL'!$B$6,IF('90_CANON_CONF_SOURCE'!U17='18_WEIGHT_CONTROL'!$A$7,'18_WEIGHT_CONTROL'!$B$7,'18_WEIGHT_CONTROL'!$B$8)))</f>
        <v/>
      </c>
      <c r="V17">
        <f>IF('90_CANON_CONF_SOURCE'!V17='18_WEIGHT_CONTROL'!$A$5,'18_WEIGHT_CONTROL'!$B$5,IF('90_CANON_CONF_SOURCE'!V17='18_WEIGHT_CONTROL'!$A$6,'18_WEIGHT_CONTROL'!$B$6,IF('90_CANON_CONF_SOURCE'!V17='18_WEIGHT_CONTROL'!$A$7,'18_WEIGHT_CONTROL'!$B$7,'18_WEIGHT_CONTROL'!$B$8)))</f>
        <v/>
      </c>
      <c r="W17">
        <f>IF('90_CANON_CONF_SOURCE'!W17='18_WEIGHT_CONTROL'!$A$5,'18_WEIGHT_CONTROL'!$B$5,IF('90_CANON_CONF_SOURCE'!W17='18_WEIGHT_CONTROL'!$A$6,'18_WEIGHT_CONTROL'!$B$6,IF('90_CANON_CONF_SOURCE'!W17='18_WEIGHT_CONTROL'!$A$7,'18_WEIGHT_CONTROL'!$B$7,'18_WEIGHT_CONTROL'!$B$8)))</f>
        <v/>
      </c>
      <c r="X17">
        <f>IF('90_CANON_CONF_SOURCE'!X17='18_WEIGHT_CONTROL'!$A$5,'18_WEIGHT_CONTROL'!$B$5,IF('90_CANON_CONF_SOURCE'!X17='18_WEIGHT_CONTROL'!$A$6,'18_WEIGHT_CONTROL'!$B$6,IF('90_CANON_CONF_SOURCE'!X17='18_WEIGHT_CONTROL'!$A$7,'18_WEIGHT_CONTROL'!$B$7,'18_WEIGHT_CONTROL'!$B$8)))</f>
        <v/>
      </c>
      <c r="Y17">
        <f>IF('90_CANON_CONF_SOURCE'!Y17='18_WEIGHT_CONTROL'!$A$5,'18_WEIGHT_CONTROL'!$B$5,IF('90_CANON_CONF_SOURCE'!Y17='18_WEIGHT_CONTROL'!$A$6,'18_WEIGHT_CONTROL'!$B$6,IF('90_CANON_CONF_SOURCE'!Y17='18_WEIGHT_CONTROL'!$A$7,'18_WEIGHT_CONTROL'!$B$7,'18_WEIGHT_CONTROL'!$B$8)))</f>
        <v/>
      </c>
      <c r="Z17">
        <f>IF('91_MOTIF_CONF_SOURCE'!D17='18_WEIGHT_CONTROL'!$A$5,'18_WEIGHT_CONTROL'!$B$5,IF('91_MOTIF_CONF_SOURCE'!D17='18_WEIGHT_CONTROL'!$A$6,'18_WEIGHT_CONTROL'!$B$6,IF('91_MOTIF_CONF_SOURCE'!D17='18_WEIGHT_CONTROL'!$A$7,'18_WEIGHT_CONTROL'!$B$7,'18_WEIGHT_CONTROL'!$B$8)))</f>
        <v/>
      </c>
      <c r="AA17">
        <f>IF('91_MOTIF_CONF_SOURCE'!E17='18_WEIGHT_CONTROL'!$A$5,'18_WEIGHT_CONTROL'!$B$5,IF('91_MOTIF_CONF_SOURCE'!E17='18_WEIGHT_CONTROL'!$A$6,'18_WEIGHT_CONTROL'!$B$6,IF('91_MOTIF_CONF_SOURCE'!E17='18_WEIGHT_CONTROL'!$A$7,'18_WEIGHT_CONTROL'!$B$7,'18_WEIGHT_CONTROL'!$B$8)))</f>
        <v/>
      </c>
      <c r="AB17">
        <f>IF('91_MOTIF_CONF_SOURCE'!F17='18_WEIGHT_CONTROL'!$A$5,'18_WEIGHT_CONTROL'!$B$5,IF('91_MOTIF_CONF_SOURCE'!F17='18_WEIGHT_CONTROL'!$A$6,'18_WEIGHT_CONTROL'!$B$6,IF('91_MOTIF_CONF_SOURCE'!F17='18_WEIGHT_CONTROL'!$A$7,'18_WEIGHT_CONTROL'!$B$7,'18_WEIGHT_CONTROL'!$B$8)))</f>
        <v/>
      </c>
      <c r="AC17">
        <f>IF('91_MOTIF_CONF_SOURCE'!G17='18_WEIGHT_CONTROL'!$A$5,'18_WEIGHT_CONTROL'!$B$5,IF('91_MOTIF_CONF_SOURCE'!G17='18_WEIGHT_CONTROL'!$A$6,'18_WEIGHT_CONTROL'!$B$6,IF('91_MOTIF_CONF_SOURCE'!G17='18_WEIGHT_CONTROL'!$A$7,'18_WEIGHT_CONTROL'!$B$7,'18_WEIGHT_CONTROL'!$B$8)))</f>
        <v/>
      </c>
      <c r="AD17">
        <f>IF('91_MOTIF_CONF_SOURCE'!H17='18_WEIGHT_CONTROL'!$A$5,'18_WEIGHT_CONTROL'!$B$5,IF('91_MOTIF_CONF_SOURCE'!H17='18_WEIGHT_CONTROL'!$A$6,'18_WEIGHT_CONTROL'!$B$6,IF('91_MOTIF_CONF_SOURCE'!H17='18_WEIGHT_CONTROL'!$A$7,'18_WEIGHT_CONTROL'!$B$7,'18_WEIGHT_CONTROL'!$B$8)))</f>
        <v/>
      </c>
      <c r="AE17">
        <f>IF('91_MOTIF_CONF_SOURCE'!I17='18_WEIGHT_CONTROL'!$A$5,'18_WEIGHT_CONTROL'!$B$5,IF('91_MOTIF_CONF_SOURCE'!I17='18_WEIGHT_CONTROL'!$A$6,'18_WEIGHT_CONTROL'!$B$6,IF('91_MOTIF_CONF_SOURCE'!I17='18_WEIGHT_CONTROL'!$A$7,'18_WEIGHT_CONTROL'!$B$7,'18_WEIGHT_CONTROL'!$B$8)))</f>
        <v/>
      </c>
      <c r="AF17">
        <f>IF('91_MOTIF_CONF_SOURCE'!J17='18_WEIGHT_CONTROL'!$A$5,'18_WEIGHT_CONTROL'!$B$5,IF('91_MOTIF_CONF_SOURCE'!J17='18_WEIGHT_CONTROL'!$A$6,'18_WEIGHT_CONTROL'!$B$6,IF('91_MOTIF_CONF_SOURCE'!J17='18_WEIGHT_CONTROL'!$A$7,'18_WEIGHT_CONTROL'!$B$7,'18_WEIGHT_CONTROL'!$B$8)))</f>
        <v/>
      </c>
      <c r="AG17">
        <f>IF('91_MOTIF_CONF_SOURCE'!K17='18_WEIGHT_CONTROL'!$A$5,'18_WEIGHT_CONTROL'!$B$5,IF('91_MOTIF_CONF_SOURCE'!K17='18_WEIGHT_CONTROL'!$A$6,'18_WEIGHT_CONTROL'!$B$6,IF('91_MOTIF_CONF_SOURCE'!K17='18_WEIGHT_CONTROL'!$A$7,'18_WEIGHT_CONTROL'!$B$7,'18_WEIGHT_CONTROL'!$B$8)))</f>
        <v/>
      </c>
      <c r="AH17">
        <f>IF('91_MOTIF_CONF_SOURCE'!L17='18_WEIGHT_CONTROL'!$A$5,'18_WEIGHT_CONTROL'!$B$5,IF('91_MOTIF_CONF_SOURCE'!L17='18_WEIGHT_CONTROL'!$A$6,'18_WEIGHT_CONTROL'!$B$6,IF('91_MOTIF_CONF_SOURCE'!L17='18_WEIGHT_CONTROL'!$A$7,'18_WEIGHT_CONTROL'!$B$7,'18_WEIGHT_CONTROL'!$B$8)))</f>
        <v/>
      </c>
      <c r="AI17">
        <f>IF('91_MOTIF_CONF_SOURCE'!M17='18_WEIGHT_CONTROL'!$A$5,'18_WEIGHT_CONTROL'!$B$5,IF('91_MOTIF_CONF_SOURCE'!M17='18_WEIGHT_CONTROL'!$A$6,'18_WEIGHT_CONTROL'!$B$6,IF('91_MOTIF_CONF_SOURCE'!M17='18_WEIGHT_CONTROL'!$A$7,'18_WEIGHT_CONTROL'!$B$7,'18_WEIGHT_CONTROL'!$B$8)))</f>
        <v/>
      </c>
      <c r="AJ17">
        <f>IF('91_MOTIF_CONF_SOURCE'!N17='18_WEIGHT_CONTROL'!$A$5,'18_WEIGHT_CONTROL'!$B$5,IF('91_MOTIF_CONF_SOURCE'!N17='18_WEIGHT_CONTROL'!$A$6,'18_WEIGHT_CONTROL'!$B$6,IF('91_MOTIF_CONF_SOURCE'!N17='18_WEIGHT_CONTROL'!$A$7,'18_WEIGHT_CONTROL'!$B$7,'18_WEIGHT_CONTROL'!$B$8)))</f>
        <v/>
      </c>
      <c r="AK17">
        <f>IF('91_MOTIF_CONF_SOURCE'!O17='18_WEIGHT_CONTROL'!$A$5,'18_WEIGHT_CONTROL'!$B$5,IF('91_MOTIF_CONF_SOURCE'!O17='18_WEIGHT_CONTROL'!$A$6,'18_WEIGHT_CONTROL'!$B$6,IF('91_MOTIF_CONF_SOURCE'!O17='18_WEIGHT_CONTROL'!$A$7,'18_WEIGHT_CONTROL'!$B$7,'18_WEIGHT_CONTROL'!$B$8)))</f>
        <v/>
      </c>
      <c r="AL17">
        <f>IF('91_MOTIF_CONF_SOURCE'!P17='18_WEIGHT_CONTROL'!$A$5,'18_WEIGHT_CONTROL'!$B$5,IF('91_MOTIF_CONF_SOURCE'!P17='18_WEIGHT_CONTROL'!$A$6,'18_WEIGHT_CONTROL'!$B$6,IF('91_MOTIF_CONF_SOURCE'!P17='18_WEIGHT_CONTROL'!$A$7,'18_WEIGHT_CONTROL'!$B$7,'18_WEIGHT_CONTROL'!$B$8)))</f>
        <v/>
      </c>
      <c r="AM17">
        <f>IF('91_MOTIF_CONF_SOURCE'!Q17='18_WEIGHT_CONTROL'!$A$5,'18_WEIGHT_CONTROL'!$B$5,IF('91_MOTIF_CONF_SOURCE'!Q17='18_WEIGHT_CONTROL'!$A$6,'18_WEIGHT_CONTROL'!$B$6,IF('91_MOTIF_CONF_SOURCE'!Q17='18_WEIGHT_CONTROL'!$A$7,'18_WEIGHT_CONTROL'!$B$7,'18_WEIGHT_CONTROL'!$B$8)))</f>
        <v/>
      </c>
      <c r="AN17">
        <f>IF('91_MOTIF_CONF_SOURCE'!R17='18_WEIGHT_CONTROL'!$A$5,'18_WEIGHT_CONTROL'!$B$5,IF('91_MOTIF_CONF_SOURCE'!R17='18_WEIGHT_CONTROL'!$A$6,'18_WEIGHT_CONTROL'!$B$6,IF('91_MOTIF_CONF_SOURCE'!R17='18_WEIGHT_CONTROL'!$A$7,'18_WEIGHT_CONTROL'!$B$7,'18_WEIGHT_CONTROL'!$B$8)))</f>
        <v/>
      </c>
      <c r="AO17">
        <f>IF('91_MOTIF_CONF_SOURCE'!S17='18_WEIGHT_CONTROL'!$A$5,'18_WEIGHT_CONTROL'!$B$5,IF('91_MOTIF_CONF_SOURCE'!S17='18_WEIGHT_CONTROL'!$A$6,'18_WEIGHT_CONTROL'!$B$6,IF('91_MOTIF_CONF_SOURCE'!S17='18_WEIGHT_CONTROL'!$A$7,'18_WEIGHT_CONTROL'!$B$7,'18_WEIGHT_CONTROL'!$B$8)))</f>
        <v/>
      </c>
      <c r="AP17">
        <f>IF('91_MOTIF_CONF_SOURCE'!T17='18_WEIGHT_CONTROL'!$A$5,'18_WEIGHT_CONTROL'!$B$5,IF('91_MOTIF_CONF_SOURCE'!T17='18_WEIGHT_CONTROL'!$A$6,'18_WEIGHT_CONTROL'!$B$6,IF('91_MOTIF_CONF_SOURCE'!T17='18_WEIGHT_CONTROL'!$A$7,'18_WEIGHT_CONTROL'!$B$7,'18_WEIGHT_CONTROL'!$B$8)))</f>
        <v/>
      </c>
      <c r="AQ17">
        <f>IF('91_MOTIF_CONF_SOURCE'!U17='18_WEIGHT_CONTROL'!$A$5,'18_WEIGHT_CONTROL'!$B$5,IF('91_MOTIF_CONF_SOURCE'!U17='18_WEIGHT_CONTROL'!$A$6,'18_WEIGHT_CONTROL'!$B$6,IF('91_MOTIF_CONF_SOURCE'!U17='18_WEIGHT_CONTROL'!$A$7,'18_WEIGHT_CONTROL'!$B$7,'18_WEIGHT_CONTROL'!$B$8)))</f>
        <v/>
      </c>
      <c r="AR17">
        <f>IF('91_MOTIF_CONF_SOURCE'!V17='18_WEIGHT_CONTROL'!$A$5,'18_WEIGHT_CONTROL'!$B$5,IF('91_MOTIF_CONF_SOURCE'!V17='18_WEIGHT_CONTROL'!$A$6,'18_WEIGHT_CONTROL'!$B$6,IF('91_MOTIF_CONF_SOURCE'!V17='18_WEIGHT_CONTROL'!$A$7,'18_WEIGHT_CONTROL'!$B$7,'18_WEIGHT_CONTROL'!$B$8)))</f>
        <v/>
      </c>
    </row>
    <row r="18">
      <c r="A18" t="n">
        <v>14</v>
      </c>
      <c r="B18" t="inlineStr">
        <is>
          <t>藍鳥人</t>
        </is>
      </c>
      <c r="C18" t="inlineStr">
        <is>
          <t>Avian / Blue Avian</t>
        </is>
      </c>
      <c r="D18">
        <f>IF('90_CANON_CONF_SOURCE'!D18='18_WEIGHT_CONTROL'!$A$5,'18_WEIGHT_CONTROL'!$B$5,IF('90_CANON_CONF_SOURCE'!D18='18_WEIGHT_CONTROL'!$A$6,'18_WEIGHT_CONTROL'!$B$6,IF('90_CANON_CONF_SOURCE'!D18='18_WEIGHT_CONTROL'!$A$7,'18_WEIGHT_CONTROL'!$B$7,'18_WEIGHT_CONTROL'!$B$8)))</f>
        <v/>
      </c>
      <c r="E18">
        <f>IF('90_CANON_CONF_SOURCE'!E18='18_WEIGHT_CONTROL'!$A$5,'18_WEIGHT_CONTROL'!$B$5,IF('90_CANON_CONF_SOURCE'!E18='18_WEIGHT_CONTROL'!$A$6,'18_WEIGHT_CONTROL'!$B$6,IF('90_CANON_CONF_SOURCE'!E18='18_WEIGHT_CONTROL'!$A$7,'18_WEIGHT_CONTROL'!$B$7,'18_WEIGHT_CONTROL'!$B$8)))</f>
        <v/>
      </c>
      <c r="F18">
        <f>IF('90_CANON_CONF_SOURCE'!F18='18_WEIGHT_CONTROL'!$A$5,'18_WEIGHT_CONTROL'!$B$5,IF('90_CANON_CONF_SOURCE'!F18='18_WEIGHT_CONTROL'!$A$6,'18_WEIGHT_CONTROL'!$B$6,IF('90_CANON_CONF_SOURCE'!F18='18_WEIGHT_CONTROL'!$A$7,'18_WEIGHT_CONTROL'!$B$7,'18_WEIGHT_CONTROL'!$B$8)))</f>
        <v/>
      </c>
      <c r="G18">
        <f>IF('90_CANON_CONF_SOURCE'!G18='18_WEIGHT_CONTROL'!$A$5,'18_WEIGHT_CONTROL'!$B$5,IF('90_CANON_CONF_SOURCE'!G18='18_WEIGHT_CONTROL'!$A$6,'18_WEIGHT_CONTROL'!$B$6,IF('90_CANON_CONF_SOURCE'!G18='18_WEIGHT_CONTROL'!$A$7,'18_WEIGHT_CONTROL'!$B$7,'18_WEIGHT_CONTROL'!$B$8)))</f>
        <v/>
      </c>
      <c r="H18">
        <f>IF('90_CANON_CONF_SOURCE'!H18='18_WEIGHT_CONTROL'!$A$5,'18_WEIGHT_CONTROL'!$B$5,IF('90_CANON_CONF_SOURCE'!H18='18_WEIGHT_CONTROL'!$A$6,'18_WEIGHT_CONTROL'!$B$6,IF('90_CANON_CONF_SOURCE'!H18='18_WEIGHT_CONTROL'!$A$7,'18_WEIGHT_CONTROL'!$B$7,'18_WEIGHT_CONTROL'!$B$8)))</f>
        <v/>
      </c>
      <c r="I18">
        <f>IF('90_CANON_CONF_SOURCE'!I18='18_WEIGHT_CONTROL'!$A$5,'18_WEIGHT_CONTROL'!$B$5,IF('90_CANON_CONF_SOURCE'!I18='18_WEIGHT_CONTROL'!$A$6,'18_WEIGHT_CONTROL'!$B$6,IF('90_CANON_CONF_SOURCE'!I18='18_WEIGHT_CONTROL'!$A$7,'18_WEIGHT_CONTROL'!$B$7,'18_WEIGHT_CONTROL'!$B$8)))</f>
        <v/>
      </c>
      <c r="J18">
        <f>IF('90_CANON_CONF_SOURCE'!J18='18_WEIGHT_CONTROL'!$A$5,'18_WEIGHT_CONTROL'!$B$5,IF('90_CANON_CONF_SOURCE'!J18='18_WEIGHT_CONTROL'!$A$6,'18_WEIGHT_CONTROL'!$B$6,IF('90_CANON_CONF_SOURCE'!J18='18_WEIGHT_CONTROL'!$A$7,'18_WEIGHT_CONTROL'!$B$7,'18_WEIGHT_CONTROL'!$B$8)))</f>
        <v/>
      </c>
      <c r="K18">
        <f>IF('90_CANON_CONF_SOURCE'!K18='18_WEIGHT_CONTROL'!$A$5,'18_WEIGHT_CONTROL'!$B$5,IF('90_CANON_CONF_SOURCE'!K18='18_WEIGHT_CONTROL'!$A$6,'18_WEIGHT_CONTROL'!$B$6,IF('90_CANON_CONF_SOURCE'!K18='18_WEIGHT_CONTROL'!$A$7,'18_WEIGHT_CONTROL'!$B$7,'18_WEIGHT_CONTROL'!$B$8)))</f>
        <v/>
      </c>
      <c r="L18">
        <f>IF('90_CANON_CONF_SOURCE'!L18='18_WEIGHT_CONTROL'!$A$5,'18_WEIGHT_CONTROL'!$B$5,IF('90_CANON_CONF_SOURCE'!L18='18_WEIGHT_CONTROL'!$A$6,'18_WEIGHT_CONTROL'!$B$6,IF('90_CANON_CONF_SOURCE'!L18='18_WEIGHT_CONTROL'!$A$7,'18_WEIGHT_CONTROL'!$B$7,'18_WEIGHT_CONTROL'!$B$8)))</f>
        <v/>
      </c>
      <c r="M18">
        <f>IF('90_CANON_CONF_SOURCE'!M18='18_WEIGHT_CONTROL'!$A$5,'18_WEIGHT_CONTROL'!$B$5,IF('90_CANON_CONF_SOURCE'!M18='18_WEIGHT_CONTROL'!$A$6,'18_WEIGHT_CONTROL'!$B$6,IF('90_CANON_CONF_SOURCE'!M18='18_WEIGHT_CONTROL'!$A$7,'18_WEIGHT_CONTROL'!$B$7,'18_WEIGHT_CONTROL'!$B$8)))</f>
        <v/>
      </c>
      <c r="N18">
        <f>IF('90_CANON_CONF_SOURCE'!N18='18_WEIGHT_CONTROL'!$A$5,'18_WEIGHT_CONTROL'!$B$5,IF('90_CANON_CONF_SOURCE'!N18='18_WEIGHT_CONTROL'!$A$6,'18_WEIGHT_CONTROL'!$B$6,IF('90_CANON_CONF_SOURCE'!N18='18_WEIGHT_CONTROL'!$A$7,'18_WEIGHT_CONTROL'!$B$7,'18_WEIGHT_CONTROL'!$B$8)))</f>
        <v/>
      </c>
      <c r="O18">
        <f>IF('90_CANON_CONF_SOURCE'!O18='18_WEIGHT_CONTROL'!$A$5,'18_WEIGHT_CONTROL'!$B$5,IF('90_CANON_CONF_SOURCE'!O18='18_WEIGHT_CONTROL'!$A$6,'18_WEIGHT_CONTROL'!$B$6,IF('90_CANON_CONF_SOURCE'!O18='18_WEIGHT_CONTROL'!$A$7,'18_WEIGHT_CONTROL'!$B$7,'18_WEIGHT_CONTROL'!$B$8)))</f>
        <v/>
      </c>
      <c r="P18">
        <f>IF('90_CANON_CONF_SOURCE'!P18='18_WEIGHT_CONTROL'!$A$5,'18_WEIGHT_CONTROL'!$B$5,IF('90_CANON_CONF_SOURCE'!P18='18_WEIGHT_CONTROL'!$A$6,'18_WEIGHT_CONTROL'!$B$6,IF('90_CANON_CONF_SOURCE'!P18='18_WEIGHT_CONTROL'!$A$7,'18_WEIGHT_CONTROL'!$B$7,'18_WEIGHT_CONTROL'!$B$8)))</f>
        <v/>
      </c>
      <c r="Q18">
        <f>IF('90_CANON_CONF_SOURCE'!Q18='18_WEIGHT_CONTROL'!$A$5,'18_WEIGHT_CONTROL'!$B$5,IF('90_CANON_CONF_SOURCE'!Q18='18_WEIGHT_CONTROL'!$A$6,'18_WEIGHT_CONTROL'!$B$6,IF('90_CANON_CONF_SOURCE'!Q18='18_WEIGHT_CONTROL'!$A$7,'18_WEIGHT_CONTROL'!$B$7,'18_WEIGHT_CONTROL'!$B$8)))</f>
        <v/>
      </c>
      <c r="R18">
        <f>IF('90_CANON_CONF_SOURCE'!R18='18_WEIGHT_CONTROL'!$A$5,'18_WEIGHT_CONTROL'!$B$5,IF('90_CANON_CONF_SOURCE'!R18='18_WEIGHT_CONTROL'!$A$6,'18_WEIGHT_CONTROL'!$B$6,IF('90_CANON_CONF_SOURCE'!R18='18_WEIGHT_CONTROL'!$A$7,'18_WEIGHT_CONTROL'!$B$7,'18_WEIGHT_CONTROL'!$B$8)))</f>
        <v/>
      </c>
      <c r="S18">
        <f>IF('90_CANON_CONF_SOURCE'!S18='18_WEIGHT_CONTROL'!$A$5,'18_WEIGHT_CONTROL'!$B$5,IF('90_CANON_CONF_SOURCE'!S18='18_WEIGHT_CONTROL'!$A$6,'18_WEIGHT_CONTROL'!$B$6,IF('90_CANON_CONF_SOURCE'!S18='18_WEIGHT_CONTROL'!$A$7,'18_WEIGHT_CONTROL'!$B$7,'18_WEIGHT_CONTROL'!$B$8)))</f>
        <v/>
      </c>
      <c r="T18">
        <f>IF('90_CANON_CONF_SOURCE'!T18='18_WEIGHT_CONTROL'!$A$5,'18_WEIGHT_CONTROL'!$B$5,IF('90_CANON_CONF_SOURCE'!T18='18_WEIGHT_CONTROL'!$A$6,'18_WEIGHT_CONTROL'!$B$6,IF('90_CANON_CONF_SOURCE'!T18='18_WEIGHT_CONTROL'!$A$7,'18_WEIGHT_CONTROL'!$B$7,'18_WEIGHT_CONTROL'!$B$8)))</f>
        <v/>
      </c>
      <c r="U18">
        <f>IF('90_CANON_CONF_SOURCE'!U18='18_WEIGHT_CONTROL'!$A$5,'18_WEIGHT_CONTROL'!$B$5,IF('90_CANON_CONF_SOURCE'!U18='18_WEIGHT_CONTROL'!$A$6,'18_WEIGHT_CONTROL'!$B$6,IF('90_CANON_CONF_SOURCE'!U18='18_WEIGHT_CONTROL'!$A$7,'18_WEIGHT_CONTROL'!$B$7,'18_WEIGHT_CONTROL'!$B$8)))</f>
        <v/>
      </c>
      <c r="V18">
        <f>IF('90_CANON_CONF_SOURCE'!V18='18_WEIGHT_CONTROL'!$A$5,'18_WEIGHT_CONTROL'!$B$5,IF('90_CANON_CONF_SOURCE'!V18='18_WEIGHT_CONTROL'!$A$6,'18_WEIGHT_CONTROL'!$B$6,IF('90_CANON_CONF_SOURCE'!V18='18_WEIGHT_CONTROL'!$A$7,'18_WEIGHT_CONTROL'!$B$7,'18_WEIGHT_CONTROL'!$B$8)))</f>
        <v/>
      </c>
      <c r="W18">
        <f>IF('90_CANON_CONF_SOURCE'!W18='18_WEIGHT_CONTROL'!$A$5,'18_WEIGHT_CONTROL'!$B$5,IF('90_CANON_CONF_SOURCE'!W18='18_WEIGHT_CONTROL'!$A$6,'18_WEIGHT_CONTROL'!$B$6,IF('90_CANON_CONF_SOURCE'!W18='18_WEIGHT_CONTROL'!$A$7,'18_WEIGHT_CONTROL'!$B$7,'18_WEIGHT_CONTROL'!$B$8)))</f>
        <v/>
      </c>
      <c r="X18">
        <f>IF('90_CANON_CONF_SOURCE'!X18='18_WEIGHT_CONTROL'!$A$5,'18_WEIGHT_CONTROL'!$B$5,IF('90_CANON_CONF_SOURCE'!X18='18_WEIGHT_CONTROL'!$A$6,'18_WEIGHT_CONTROL'!$B$6,IF('90_CANON_CONF_SOURCE'!X18='18_WEIGHT_CONTROL'!$A$7,'18_WEIGHT_CONTROL'!$B$7,'18_WEIGHT_CONTROL'!$B$8)))</f>
        <v/>
      </c>
      <c r="Y18">
        <f>IF('90_CANON_CONF_SOURCE'!Y18='18_WEIGHT_CONTROL'!$A$5,'18_WEIGHT_CONTROL'!$B$5,IF('90_CANON_CONF_SOURCE'!Y18='18_WEIGHT_CONTROL'!$A$6,'18_WEIGHT_CONTROL'!$B$6,IF('90_CANON_CONF_SOURCE'!Y18='18_WEIGHT_CONTROL'!$A$7,'18_WEIGHT_CONTROL'!$B$7,'18_WEIGHT_CONTROL'!$B$8)))</f>
        <v/>
      </c>
      <c r="Z18">
        <f>IF('91_MOTIF_CONF_SOURCE'!D18='18_WEIGHT_CONTROL'!$A$5,'18_WEIGHT_CONTROL'!$B$5,IF('91_MOTIF_CONF_SOURCE'!D18='18_WEIGHT_CONTROL'!$A$6,'18_WEIGHT_CONTROL'!$B$6,IF('91_MOTIF_CONF_SOURCE'!D18='18_WEIGHT_CONTROL'!$A$7,'18_WEIGHT_CONTROL'!$B$7,'18_WEIGHT_CONTROL'!$B$8)))</f>
        <v/>
      </c>
      <c r="AA18">
        <f>IF('91_MOTIF_CONF_SOURCE'!E18='18_WEIGHT_CONTROL'!$A$5,'18_WEIGHT_CONTROL'!$B$5,IF('91_MOTIF_CONF_SOURCE'!E18='18_WEIGHT_CONTROL'!$A$6,'18_WEIGHT_CONTROL'!$B$6,IF('91_MOTIF_CONF_SOURCE'!E18='18_WEIGHT_CONTROL'!$A$7,'18_WEIGHT_CONTROL'!$B$7,'18_WEIGHT_CONTROL'!$B$8)))</f>
        <v/>
      </c>
      <c r="AB18">
        <f>IF('91_MOTIF_CONF_SOURCE'!F18='18_WEIGHT_CONTROL'!$A$5,'18_WEIGHT_CONTROL'!$B$5,IF('91_MOTIF_CONF_SOURCE'!F18='18_WEIGHT_CONTROL'!$A$6,'18_WEIGHT_CONTROL'!$B$6,IF('91_MOTIF_CONF_SOURCE'!F18='18_WEIGHT_CONTROL'!$A$7,'18_WEIGHT_CONTROL'!$B$7,'18_WEIGHT_CONTROL'!$B$8)))</f>
        <v/>
      </c>
      <c r="AC18">
        <f>IF('91_MOTIF_CONF_SOURCE'!G18='18_WEIGHT_CONTROL'!$A$5,'18_WEIGHT_CONTROL'!$B$5,IF('91_MOTIF_CONF_SOURCE'!G18='18_WEIGHT_CONTROL'!$A$6,'18_WEIGHT_CONTROL'!$B$6,IF('91_MOTIF_CONF_SOURCE'!G18='18_WEIGHT_CONTROL'!$A$7,'18_WEIGHT_CONTROL'!$B$7,'18_WEIGHT_CONTROL'!$B$8)))</f>
        <v/>
      </c>
      <c r="AD18">
        <f>IF('91_MOTIF_CONF_SOURCE'!H18='18_WEIGHT_CONTROL'!$A$5,'18_WEIGHT_CONTROL'!$B$5,IF('91_MOTIF_CONF_SOURCE'!H18='18_WEIGHT_CONTROL'!$A$6,'18_WEIGHT_CONTROL'!$B$6,IF('91_MOTIF_CONF_SOURCE'!H18='18_WEIGHT_CONTROL'!$A$7,'18_WEIGHT_CONTROL'!$B$7,'18_WEIGHT_CONTROL'!$B$8)))</f>
        <v/>
      </c>
      <c r="AE18">
        <f>IF('91_MOTIF_CONF_SOURCE'!I18='18_WEIGHT_CONTROL'!$A$5,'18_WEIGHT_CONTROL'!$B$5,IF('91_MOTIF_CONF_SOURCE'!I18='18_WEIGHT_CONTROL'!$A$6,'18_WEIGHT_CONTROL'!$B$6,IF('91_MOTIF_CONF_SOURCE'!I18='18_WEIGHT_CONTROL'!$A$7,'18_WEIGHT_CONTROL'!$B$7,'18_WEIGHT_CONTROL'!$B$8)))</f>
        <v/>
      </c>
      <c r="AF18">
        <f>IF('91_MOTIF_CONF_SOURCE'!J18='18_WEIGHT_CONTROL'!$A$5,'18_WEIGHT_CONTROL'!$B$5,IF('91_MOTIF_CONF_SOURCE'!J18='18_WEIGHT_CONTROL'!$A$6,'18_WEIGHT_CONTROL'!$B$6,IF('91_MOTIF_CONF_SOURCE'!J18='18_WEIGHT_CONTROL'!$A$7,'18_WEIGHT_CONTROL'!$B$7,'18_WEIGHT_CONTROL'!$B$8)))</f>
        <v/>
      </c>
      <c r="AG18">
        <f>IF('91_MOTIF_CONF_SOURCE'!K18='18_WEIGHT_CONTROL'!$A$5,'18_WEIGHT_CONTROL'!$B$5,IF('91_MOTIF_CONF_SOURCE'!K18='18_WEIGHT_CONTROL'!$A$6,'18_WEIGHT_CONTROL'!$B$6,IF('91_MOTIF_CONF_SOURCE'!K18='18_WEIGHT_CONTROL'!$A$7,'18_WEIGHT_CONTROL'!$B$7,'18_WEIGHT_CONTROL'!$B$8)))</f>
        <v/>
      </c>
      <c r="AH18">
        <f>IF('91_MOTIF_CONF_SOURCE'!L18='18_WEIGHT_CONTROL'!$A$5,'18_WEIGHT_CONTROL'!$B$5,IF('91_MOTIF_CONF_SOURCE'!L18='18_WEIGHT_CONTROL'!$A$6,'18_WEIGHT_CONTROL'!$B$6,IF('91_MOTIF_CONF_SOURCE'!L18='18_WEIGHT_CONTROL'!$A$7,'18_WEIGHT_CONTROL'!$B$7,'18_WEIGHT_CONTROL'!$B$8)))</f>
        <v/>
      </c>
      <c r="AI18">
        <f>IF('91_MOTIF_CONF_SOURCE'!M18='18_WEIGHT_CONTROL'!$A$5,'18_WEIGHT_CONTROL'!$B$5,IF('91_MOTIF_CONF_SOURCE'!M18='18_WEIGHT_CONTROL'!$A$6,'18_WEIGHT_CONTROL'!$B$6,IF('91_MOTIF_CONF_SOURCE'!M18='18_WEIGHT_CONTROL'!$A$7,'18_WEIGHT_CONTROL'!$B$7,'18_WEIGHT_CONTROL'!$B$8)))</f>
        <v/>
      </c>
      <c r="AJ18">
        <f>IF('91_MOTIF_CONF_SOURCE'!N18='18_WEIGHT_CONTROL'!$A$5,'18_WEIGHT_CONTROL'!$B$5,IF('91_MOTIF_CONF_SOURCE'!N18='18_WEIGHT_CONTROL'!$A$6,'18_WEIGHT_CONTROL'!$B$6,IF('91_MOTIF_CONF_SOURCE'!N18='18_WEIGHT_CONTROL'!$A$7,'18_WEIGHT_CONTROL'!$B$7,'18_WEIGHT_CONTROL'!$B$8)))</f>
        <v/>
      </c>
      <c r="AK18">
        <f>IF('91_MOTIF_CONF_SOURCE'!O18='18_WEIGHT_CONTROL'!$A$5,'18_WEIGHT_CONTROL'!$B$5,IF('91_MOTIF_CONF_SOURCE'!O18='18_WEIGHT_CONTROL'!$A$6,'18_WEIGHT_CONTROL'!$B$6,IF('91_MOTIF_CONF_SOURCE'!O18='18_WEIGHT_CONTROL'!$A$7,'18_WEIGHT_CONTROL'!$B$7,'18_WEIGHT_CONTROL'!$B$8)))</f>
        <v/>
      </c>
      <c r="AL18">
        <f>IF('91_MOTIF_CONF_SOURCE'!P18='18_WEIGHT_CONTROL'!$A$5,'18_WEIGHT_CONTROL'!$B$5,IF('91_MOTIF_CONF_SOURCE'!P18='18_WEIGHT_CONTROL'!$A$6,'18_WEIGHT_CONTROL'!$B$6,IF('91_MOTIF_CONF_SOURCE'!P18='18_WEIGHT_CONTROL'!$A$7,'18_WEIGHT_CONTROL'!$B$7,'18_WEIGHT_CONTROL'!$B$8)))</f>
        <v/>
      </c>
      <c r="AM18">
        <f>IF('91_MOTIF_CONF_SOURCE'!Q18='18_WEIGHT_CONTROL'!$A$5,'18_WEIGHT_CONTROL'!$B$5,IF('91_MOTIF_CONF_SOURCE'!Q18='18_WEIGHT_CONTROL'!$A$6,'18_WEIGHT_CONTROL'!$B$6,IF('91_MOTIF_CONF_SOURCE'!Q18='18_WEIGHT_CONTROL'!$A$7,'18_WEIGHT_CONTROL'!$B$7,'18_WEIGHT_CONTROL'!$B$8)))</f>
        <v/>
      </c>
      <c r="AN18">
        <f>IF('91_MOTIF_CONF_SOURCE'!R18='18_WEIGHT_CONTROL'!$A$5,'18_WEIGHT_CONTROL'!$B$5,IF('91_MOTIF_CONF_SOURCE'!R18='18_WEIGHT_CONTROL'!$A$6,'18_WEIGHT_CONTROL'!$B$6,IF('91_MOTIF_CONF_SOURCE'!R18='18_WEIGHT_CONTROL'!$A$7,'18_WEIGHT_CONTROL'!$B$7,'18_WEIGHT_CONTROL'!$B$8)))</f>
        <v/>
      </c>
      <c r="AO18">
        <f>IF('91_MOTIF_CONF_SOURCE'!S18='18_WEIGHT_CONTROL'!$A$5,'18_WEIGHT_CONTROL'!$B$5,IF('91_MOTIF_CONF_SOURCE'!S18='18_WEIGHT_CONTROL'!$A$6,'18_WEIGHT_CONTROL'!$B$6,IF('91_MOTIF_CONF_SOURCE'!S18='18_WEIGHT_CONTROL'!$A$7,'18_WEIGHT_CONTROL'!$B$7,'18_WEIGHT_CONTROL'!$B$8)))</f>
        <v/>
      </c>
      <c r="AP18">
        <f>IF('91_MOTIF_CONF_SOURCE'!T18='18_WEIGHT_CONTROL'!$A$5,'18_WEIGHT_CONTROL'!$B$5,IF('91_MOTIF_CONF_SOURCE'!T18='18_WEIGHT_CONTROL'!$A$6,'18_WEIGHT_CONTROL'!$B$6,IF('91_MOTIF_CONF_SOURCE'!T18='18_WEIGHT_CONTROL'!$A$7,'18_WEIGHT_CONTROL'!$B$7,'18_WEIGHT_CONTROL'!$B$8)))</f>
        <v/>
      </c>
      <c r="AQ18">
        <f>IF('91_MOTIF_CONF_SOURCE'!U18='18_WEIGHT_CONTROL'!$A$5,'18_WEIGHT_CONTROL'!$B$5,IF('91_MOTIF_CONF_SOURCE'!U18='18_WEIGHT_CONTROL'!$A$6,'18_WEIGHT_CONTROL'!$B$6,IF('91_MOTIF_CONF_SOURCE'!U18='18_WEIGHT_CONTROL'!$A$7,'18_WEIGHT_CONTROL'!$B$7,'18_WEIGHT_CONTROL'!$B$8)))</f>
        <v/>
      </c>
      <c r="AR18">
        <f>IF('91_MOTIF_CONF_SOURCE'!V18='18_WEIGHT_CONTROL'!$A$5,'18_WEIGHT_CONTROL'!$B$5,IF('91_MOTIF_CONF_SOURCE'!V18='18_WEIGHT_CONTROL'!$A$6,'18_WEIGHT_CONTROL'!$B$6,IF('91_MOTIF_CONF_SOURCE'!V18='18_WEIGHT_CONTROL'!$A$7,'18_WEIGHT_CONTROL'!$B$7,'18_WEIGHT_CONTROL'!$B$8)))</f>
        <v/>
      </c>
    </row>
    <row r="19">
      <c r="A19" t="n">
        <v>15</v>
      </c>
      <c r="B19" t="inlineStr">
        <is>
          <t>火星人</t>
        </is>
      </c>
      <c r="C19" t="inlineStr">
        <is>
          <t>Martian</t>
        </is>
      </c>
      <c r="D19">
        <f>IF('90_CANON_CONF_SOURCE'!D19='18_WEIGHT_CONTROL'!$A$5,'18_WEIGHT_CONTROL'!$B$5,IF('90_CANON_CONF_SOURCE'!D19='18_WEIGHT_CONTROL'!$A$6,'18_WEIGHT_CONTROL'!$B$6,IF('90_CANON_CONF_SOURCE'!D19='18_WEIGHT_CONTROL'!$A$7,'18_WEIGHT_CONTROL'!$B$7,'18_WEIGHT_CONTROL'!$B$8)))</f>
        <v/>
      </c>
      <c r="E19">
        <f>IF('90_CANON_CONF_SOURCE'!E19='18_WEIGHT_CONTROL'!$A$5,'18_WEIGHT_CONTROL'!$B$5,IF('90_CANON_CONF_SOURCE'!E19='18_WEIGHT_CONTROL'!$A$6,'18_WEIGHT_CONTROL'!$B$6,IF('90_CANON_CONF_SOURCE'!E19='18_WEIGHT_CONTROL'!$A$7,'18_WEIGHT_CONTROL'!$B$7,'18_WEIGHT_CONTROL'!$B$8)))</f>
        <v/>
      </c>
      <c r="F19">
        <f>IF('90_CANON_CONF_SOURCE'!F19='18_WEIGHT_CONTROL'!$A$5,'18_WEIGHT_CONTROL'!$B$5,IF('90_CANON_CONF_SOURCE'!F19='18_WEIGHT_CONTROL'!$A$6,'18_WEIGHT_CONTROL'!$B$6,IF('90_CANON_CONF_SOURCE'!F19='18_WEIGHT_CONTROL'!$A$7,'18_WEIGHT_CONTROL'!$B$7,'18_WEIGHT_CONTROL'!$B$8)))</f>
        <v/>
      </c>
      <c r="G19">
        <f>IF('90_CANON_CONF_SOURCE'!G19='18_WEIGHT_CONTROL'!$A$5,'18_WEIGHT_CONTROL'!$B$5,IF('90_CANON_CONF_SOURCE'!G19='18_WEIGHT_CONTROL'!$A$6,'18_WEIGHT_CONTROL'!$B$6,IF('90_CANON_CONF_SOURCE'!G19='18_WEIGHT_CONTROL'!$A$7,'18_WEIGHT_CONTROL'!$B$7,'18_WEIGHT_CONTROL'!$B$8)))</f>
        <v/>
      </c>
      <c r="H19">
        <f>IF('90_CANON_CONF_SOURCE'!H19='18_WEIGHT_CONTROL'!$A$5,'18_WEIGHT_CONTROL'!$B$5,IF('90_CANON_CONF_SOURCE'!H19='18_WEIGHT_CONTROL'!$A$6,'18_WEIGHT_CONTROL'!$B$6,IF('90_CANON_CONF_SOURCE'!H19='18_WEIGHT_CONTROL'!$A$7,'18_WEIGHT_CONTROL'!$B$7,'18_WEIGHT_CONTROL'!$B$8)))</f>
        <v/>
      </c>
      <c r="I19">
        <f>IF('90_CANON_CONF_SOURCE'!I19='18_WEIGHT_CONTROL'!$A$5,'18_WEIGHT_CONTROL'!$B$5,IF('90_CANON_CONF_SOURCE'!I19='18_WEIGHT_CONTROL'!$A$6,'18_WEIGHT_CONTROL'!$B$6,IF('90_CANON_CONF_SOURCE'!I19='18_WEIGHT_CONTROL'!$A$7,'18_WEIGHT_CONTROL'!$B$7,'18_WEIGHT_CONTROL'!$B$8)))</f>
        <v/>
      </c>
      <c r="J19">
        <f>IF('90_CANON_CONF_SOURCE'!J19='18_WEIGHT_CONTROL'!$A$5,'18_WEIGHT_CONTROL'!$B$5,IF('90_CANON_CONF_SOURCE'!J19='18_WEIGHT_CONTROL'!$A$6,'18_WEIGHT_CONTROL'!$B$6,IF('90_CANON_CONF_SOURCE'!J19='18_WEIGHT_CONTROL'!$A$7,'18_WEIGHT_CONTROL'!$B$7,'18_WEIGHT_CONTROL'!$B$8)))</f>
        <v/>
      </c>
      <c r="K19">
        <f>IF('90_CANON_CONF_SOURCE'!K19='18_WEIGHT_CONTROL'!$A$5,'18_WEIGHT_CONTROL'!$B$5,IF('90_CANON_CONF_SOURCE'!K19='18_WEIGHT_CONTROL'!$A$6,'18_WEIGHT_CONTROL'!$B$6,IF('90_CANON_CONF_SOURCE'!K19='18_WEIGHT_CONTROL'!$A$7,'18_WEIGHT_CONTROL'!$B$7,'18_WEIGHT_CONTROL'!$B$8)))</f>
        <v/>
      </c>
      <c r="L19">
        <f>IF('90_CANON_CONF_SOURCE'!L19='18_WEIGHT_CONTROL'!$A$5,'18_WEIGHT_CONTROL'!$B$5,IF('90_CANON_CONF_SOURCE'!L19='18_WEIGHT_CONTROL'!$A$6,'18_WEIGHT_CONTROL'!$B$6,IF('90_CANON_CONF_SOURCE'!L19='18_WEIGHT_CONTROL'!$A$7,'18_WEIGHT_CONTROL'!$B$7,'18_WEIGHT_CONTROL'!$B$8)))</f>
        <v/>
      </c>
      <c r="M19">
        <f>IF('90_CANON_CONF_SOURCE'!M19='18_WEIGHT_CONTROL'!$A$5,'18_WEIGHT_CONTROL'!$B$5,IF('90_CANON_CONF_SOURCE'!M19='18_WEIGHT_CONTROL'!$A$6,'18_WEIGHT_CONTROL'!$B$6,IF('90_CANON_CONF_SOURCE'!M19='18_WEIGHT_CONTROL'!$A$7,'18_WEIGHT_CONTROL'!$B$7,'18_WEIGHT_CONTROL'!$B$8)))</f>
        <v/>
      </c>
      <c r="N19">
        <f>IF('90_CANON_CONF_SOURCE'!N19='18_WEIGHT_CONTROL'!$A$5,'18_WEIGHT_CONTROL'!$B$5,IF('90_CANON_CONF_SOURCE'!N19='18_WEIGHT_CONTROL'!$A$6,'18_WEIGHT_CONTROL'!$B$6,IF('90_CANON_CONF_SOURCE'!N19='18_WEIGHT_CONTROL'!$A$7,'18_WEIGHT_CONTROL'!$B$7,'18_WEIGHT_CONTROL'!$B$8)))</f>
        <v/>
      </c>
      <c r="O19">
        <f>IF('90_CANON_CONF_SOURCE'!O19='18_WEIGHT_CONTROL'!$A$5,'18_WEIGHT_CONTROL'!$B$5,IF('90_CANON_CONF_SOURCE'!O19='18_WEIGHT_CONTROL'!$A$6,'18_WEIGHT_CONTROL'!$B$6,IF('90_CANON_CONF_SOURCE'!O19='18_WEIGHT_CONTROL'!$A$7,'18_WEIGHT_CONTROL'!$B$7,'18_WEIGHT_CONTROL'!$B$8)))</f>
        <v/>
      </c>
      <c r="P19">
        <f>IF('90_CANON_CONF_SOURCE'!P19='18_WEIGHT_CONTROL'!$A$5,'18_WEIGHT_CONTROL'!$B$5,IF('90_CANON_CONF_SOURCE'!P19='18_WEIGHT_CONTROL'!$A$6,'18_WEIGHT_CONTROL'!$B$6,IF('90_CANON_CONF_SOURCE'!P19='18_WEIGHT_CONTROL'!$A$7,'18_WEIGHT_CONTROL'!$B$7,'18_WEIGHT_CONTROL'!$B$8)))</f>
        <v/>
      </c>
      <c r="Q19">
        <f>IF('90_CANON_CONF_SOURCE'!Q19='18_WEIGHT_CONTROL'!$A$5,'18_WEIGHT_CONTROL'!$B$5,IF('90_CANON_CONF_SOURCE'!Q19='18_WEIGHT_CONTROL'!$A$6,'18_WEIGHT_CONTROL'!$B$6,IF('90_CANON_CONF_SOURCE'!Q19='18_WEIGHT_CONTROL'!$A$7,'18_WEIGHT_CONTROL'!$B$7,'18_WEIGHT_CONTROL'!$B$8)))</f>
        <v/>
      </c>
      <c r="R19">
        <f>IF('90_CANON_CONF_SOURCE'!R19='18_WEIGHT_CONTROL'!$A$5,'18_WEIGHT_CONTROL'!$B$5,IF('90_CANON_CONF_SOURCE'!R19='18_WEIGHT_CONTROL'!$A$6,'18_WEIGHT_CONTROL'!$B$6,IF('90_CANON_CONF_SOURCE'!R19='18_WEIGHT_CONTROL'!$A$7,'18_WEIGHT_CONTROL'!$B$7,'18_WEIGHT_CONTROL'!$B$8)))</f>
        <v/>
      </c>
      <c r="S19">
        <f>IF('90_CANON_CONF_SOURCE'!S19='18_WEIGHT_CONTROL'!$A$5,'18_WEIGHT_CONTROL'!$B$5,IF('90_CANON_CONF_SOURCE'!S19='18_WEIGHT_CONTROL'!$A$6,'18_WEIGHT_CONTROL'!$B$6,IF('90_CANON_CONF_SOURCE'!S19='18_WEIGHT_CONTROL'!$A$7,'18_WEIGHT_CONTROL'!$B$7,'18_WEIGHT_CONTROL'!$B$8)))</f>
        <v/>
      </c>
      <c r="T19">
        <f>IF('90_CANON_CONF_SOURCE'!T19='18_WEIGHT_CONTROL'!$A$5,'18_WEIGHT_CONTROL'!$B$5,IF('90_CANON_CONF_SOURCE'!T19='18_WEIGHT_CONTROL'!$A$6,'18_WEIGHT_CONTROL'!$B$6,IF('90_CANON_CONF_SOURCE'!T19='18_WEIGHT_CONTROL'!$A$7,'18_WEIGHT_CONTROL'!$B$7,'18_WEIGHT_CONTROL'!$B$8)))</f>
        <v/>
      </c>
      <c r="U19">
        <f>IF('90_CANON_CONF_SOURCE'!U19='18_WEIGHT_CONTROL'!$A$5,'18_WEIGHT_CONTROL'!$B$5,IF('90_CANON_CONF_SOURCE'!U19='18_WEIGHT_CONTROL'!$A$6,'18_WEIGHT_CONTROL'!$B$6,IF('90_CANON_CONF_SOURCE'!U19='18_WEIGHT_CONTROL'!$A$7,'18_WEIGHT_CONTROL'!$B$7,'18_WEIGHT_CONTROL'!$B$8)))</f>
        <v/>
      </c>
      <c r="V19">
        <f>IF('90_CANON_CONF_SOURCE'!V19='18_WEIGHT_CONTROL'!$A$5,'18_WEIGHT_CONTROL'!$B$5,IF('90_CANON_CONF_SOURCE'!V19='18_WEIGHT_CONTROL'!$A$6,'18_WEIGHT_CONTROL'!$B$6,IF('90_CANON_CONF_SOURCE'!V19='18_WEIGHT_CONTROL'!$A$7,'18_WEIGHT_CONTROL'!$B$7,'18_WEIGHT_CONTROL'!$B$8)))</f>
        <v/>
      </c>
      <c r="W19">
        <f>IF('90_CANON_CONF_SOURCE'!W19='18_WEIGHT_CONTROL'!$A$5,'18_WEIGHT_CONTROL'!$B$5,IF('90_CANON_CONF_SOURCE'!W19='18_WEIGHT_CONTROL'!$A$6,'18_WEIGHT_CONTROL'!$B$6,IF('90_CANON_CONF_SOURCE'!W19='18_WEIGHT_CONTROL'!$A$7,'18_WEIGHT_CONTROL'!$B$7,'18_WEIGHT_CONTROL'!$B$8)))</f>
        <v/>
      </c>
      <c r="X19">
        <f>IF('90_CANON_CONF_SOURCE'!X19='18_WEIGHT_CONTROL'!$A$5,'18_WEIGHT_CONTROL'!$B$5,IF('90_CANON_CONF_SOURCE'!X19='18_WEIGHT_CONTROL'!$A$6,'18_WEIGHT_CONTROL'!$B$6,IF('90_CANON_CONF_SOURCE'!X19='18_WEIGHT_CONTROL'!$A$7,'18_WEIGHT_CONTROL'!$B$7,'18_WEIGHT_CONTROL'!$B$8)))</f>
        <v/>
      </c>
      <c r="Y19">
        <f>IF('90_CANON_CONF_SOURCE'!Y19='18_WEIGHT_CONTROL'!$A$5,'18_WEIGHT_CONTROL'!$B$5,IF('90_CANON_CONF_SOURCE'!Y19='18_WEIGHT_CONTROL'!$A$6,'18_WEIGHT_CONTROL'!$B$6,IF('90_CANON_CONF_SOURCE'!Y19='18_WEIGHT_CONTROL'!$A$7,'18_WEIGHT_CONTROL'!$B$7,'18_WEIGHT_CONTROL'!$B$8)))</f>
        <v/>
      </c>
      <c r="Z19">
        <f>IF('91_MOTIF_CONF_SOURCE'!D19='18_WEIGHT_CONTROL'!$A$5,'18_WEIGHT_CONTROL'!$B$5,IF('91_MOTIF_CONF_SOURCE'!D19='18_WEIGHT_CONTROL'!$A$6,'18_WEIGHT_CONTROL'!$B$6,IF('91_MOTIF_CONF_SOURCE'!D19='18_WEIGHT_CONTROL'!$A$7,'18_WEIGHT_CONTROL'!$B$7,'18_WEIGHT_CONTROL'!$B$8)))</f>
        <v/>
      </c>
      <c r="AA19">
        <f>IF('91_MOTIF_CONF_SOURCE'!E19='18_WEIGHT_CONTROL'!$A$5,'18_WEIGHT_CONTROL'!$B$5,IF('91_MOTIF_CONF_SOURCE'!E19='18_WEIGHT_CONTROL'!$A$6,'18_WEIGHT_CONTROL'!$B$6,IF('91_MOTIF_CONF_SOURCE'!E19='18_WEIGHT_CONTROL'!$A$7,'18_WEIGHT_CONTROL'!$B$7,'18_WEIGHT_CONTROL'!$B$8)))</f>
        <v/>
      </c>
      <c r="AB19">
        <f>IF('91_MOTIF_CONF_SOURCE'!F19='18_WEIGHT_CONTROL'!$A$5,'18_WEIGHT_CONTROL'!$B$5,IF('91_MOTIF_CONF_SOURCE'!F19='18_WEIGHT_CONTROL'!$A$6,'18_WEIGHT_CONTROL'!$B$6,IF('91_MOTIF_CONF_SOURCE'!F19='18_WEIGHT_CONTROL'!$A$7,'18_WEIGHT_CONTROL'!$B$7,'18_WEIGHT_CONTROL'!$B$8)))</f>
        <v/>
      </c>
      <c r="AC19">
        <f>IF('91_MOTIF_CONF_SOURCE'!G19='18_WEIGHT_CONTROL'!$A$5,'18_WEIGHT_CONTROL'!$B$5,IF('91_MOTIF_CONF_SOURCE'!G19='18_WEIGHT_CONTROL'!$A$6,'18_WEIGHT_CONTROL'!$B$6,IF('91_MOTIF_CONF_SOURCE'!G19='18_WEIGHT_CONTROL'!$A$7,'18_WEIGHT_CONTROL'!$B$7,'18_WEIGHT_CONTROL'!$B$8)))</f>
        <v/>
      </c>
      <c r="AD19">
        <f>IF('91_MOTIF_CONF_SOURCE'!H19='18_WEIGHT_CONTROL'!$A$5,'18_WEIGHT_CONTROL'!$B$5,IF('91_MOTIF_CONF_SOURCE'!H19='18_WEIGHT_CONTROL'!$A$6,'18_WEIGHT_CONTROL'!$B$6,IF('91_MOTIF_CONF_SOURCE'!H19='18_WEIGHT_CONTROL'!$A$7,'18_WEIGHT_CONTROL'!$B$7,'18_WEIGHT_CONTROL'!$B$8)))</f>
        <v/>
      </c>
      <c r="AE19">
        <f>IF('91_MOTIF_CONF_SOURCE'!I19='18_WEIGHT_CONTROL'!$A$5,'18_WEIGHT_CONTROL'!$B$5,IF('91_MOTIF_CONF_SOURCE'!I19='18_WEIGHT_CONTROL'!$A$6,'18_WEIGHT_CONTROL'!$B$6,IF('91_MOTIF_CONF_SOURCE'!I19='18_WEIGHT_CONTROL'!$A$7,'18_WEIGHT_CONTROL'!$B$7,'18_WEIGHT_CONTROL'!$B$8)))</f>
        <v/>
      </c>
      <c r="AF19">
        <f>IF('91_MOTIF_CONF_SOURCE'!J19='18_WEIGHT_CONTROL'!$A$5,'18_WEIGHT_CONTROL'!$B$5,IF('91_MOTIF_CONF_SOURCE'!J19='18_WEIGHT_CONTROL'!$A$6,'18_WEIGHT_CONTROL'!$B$6,IF('91_MOTIF_CONF_SOURCE'!J19='18_WEIGHT_CONTROL'!$A$7,'18_WEIGHT_CONTROL'!$B$7,'18_WEIGHT_CONTROL'!$B$8)))</f>
        <v/>
      </c>
      <c r="AG19">
        <f>IF('91_MOTIF_CONF_SOURCE'!K19='18_WEIGHT_CONTROL'!$A$5,'18_WEIGHT_CONTROL'!$B$5,IF('91_MOTIF_CONF_SOURCE'!K19='18_WEIGHT_CONTROL'!$A$6,'18_WEIGHT_CONTROL'!$B$6,IF('91_MOTIF_CONF_SOURCE'!K19='18_WEIGHT_CONTROL'!$A$7,'18_WEIGHT_CONTROL'!$B$7,'18_WEIGHT_CONTROL'!$B$8)))</f>
        <v/>
      </c>
      <c r="AH19">
        <f>IF('91_MOTIF_CONF_SOURCE'!L19='18_WEIGHT_CONTROL'!$A$5,'18_WEIGHT_CONTROL'!$B$5,IF('91_MOTIF_CONF_SOURCE'!L19='18_WEIGHT_CONTROL'!$A$6,'18_WEIGHT_CONTROL'!$B$6,IF('91_MOTIF_CONF_SOURCE'!L19='18_WEIGHT_CONTROL'!$A$7,'18_WEIGHT_CONTROL'!$B$7,'18_WEIGHT_CONTROL'!$B$8)))</f>
        <v/>
      </c>
      <c r="AI19">
        <f>IF('91_MOTIF_CONF_SOURCE'!M19='18_WEIGHT_CONTROL'!$A$5,'18_WEIGHT_CONTROL'!$B$5,IF('91_MOTIF_CONF_SOURCE'!M19='18_WEIGHT_CONTROL'!$A$6,'18_WEIGHT_CONTROL'!$B$6,IF('91_MOTIF_CONF_SOURCE'!M19='18_WEIGHT_CONTROL'!$A$7,'18_WEIGHT_CONTROL'!$B$7,'18_WEIGHT_CONTROL'!$B$8)))</f>
        <v/>
      </c>
      <c r="AJ19">
        <f>IF('91_MOTIF_CONF_SOURCE'!N19='18_WEIGHT_CONTROL'!$A$5,'18_WEIGHT_CONTROL'!$B$5,IF('91_MOTIF_CONF_SOURCE'!N19='18_WEIGHT_CONTROL'!$A$6,'18_WEIGHT_CONTROL'!$B$6,IF('91_MOTIF_CONF_SOURCE'!N19='18_WEIGHT_CONTROL'!$A$7,'18_WEIGHT_CONTROL'!$B$7,'18_WEIGHT_CONTROL'!$B$8)))</f>
        <v/>
      </c>
      <c r="AK19">
        <f>IF('91_MOTIF_CONF_SOURCE'!O19='18_WEIGHT_CONTROL'!$A$5,'18_WEIGHT_CONTROL'!$B$5,IF('91_MOTIF_CONF_SOURCE'!O19='18_WEIGHT_CONTROL'!$A$6,'18_WEIGHT_CONTROL'!$B$6,IF('91_MOTIF_CONF_SOURCE'!O19='18_WEIGHT_CONTROL'!$A$7,'18_WEIGHT_CONTROL'!$B$7,'18_WEIGHT_CONTROL'!$B$8)))</f>
        <v/>
      </c>
      <c r="AL19">
        <f>IF('91_MOTIF_CONF_SOURCE'!P19='18_WEIGHT_CONTROL'!$A$5,'18_WEIGHT_CONTROL'!$B$5,IF('91_MOTIF_CONF_SOURCE'!P19='18_WEIGHT_CONTROL'!$A$6,'18_WEIGHT_CONTROL'!$B$6,IF('91_MOTIF_CONF_SOURCE'!P19='18_WEIGHT_CONTROL'!$A$7,'18_WEIGHT_CONTROL'!$B$7,'18_WEIGHT_CONTROL'!$B$8)))</f>
        <v/>
      </c>
      <c r="AM19">
        <f>IF('91_MOTIF_CONF_SOURCE'!Q19='18_WEIGHT_CONTROL'!$A$5,'18_WEIGHT_CONTROL'!$B$5,IF('91_MOTIF_CONF_SOURCE'!Q19='18_WEIGHT_CONTROL'!$A$6,'18_WEIGHT_CONTROL'!$B$6,IF('91_MOTIF_CONF_SOURCE'!Q19='18_WEIGHT_CONTROL'!$A$7,'18_WEIGHT_CONTROL'!$B$7,'18_WEIGHT_CONTROL'!$B$8)))</f>
        <v/>
      </c>
      <c r="AN19">
        <f>IF('91_MOTIF_CONF_SOURCE'!R19='18_WEIGHT_CONTROL'!$A$5,'18_WEIGHT_CONTROL'!$B$5,IF('91_MOTIF_CONF_SOURCE'!R19='18_WEIGHT_CONTROL'!$A$6,'18_WEIGHT_CONTROL'!$B$6,IF('91_MOTIF_CONF_SOURCE'!R19='18_WEIGHT_CONTROL'!$A$7,'18_WEIGHT_CONTROL'!$B$7,'18_WEIGHT_CONTROL'!$B$8)))</f>
        <v/>
      </c>
      <c r="AO19">
        <f>IF('91_MOTIF_CONF_SOURCE'!S19='18_WEIGHT_CONTROL'!$A$5,'18_WEIGHT_CONTROL'!$B$5,IF('91_MOTIF_CONF_SOURCE'!S19='18_WEIGHT_CONTROL'!$A$6,'18_WEIGHT_CONTROL'!$B$6,IF('91_MOTIF_CONF_SOURCE'!S19='18_WEIGHT_CONTROL'!$A$7,'18_WEIGHT_CONTROL'!$B$7,'18_WEIGHT_CONTROL'!$B$8)))</f>
        <v/>
      </c>
      <c r="AP19">
        <f>IF('91_MOTIF_CONF_SOURCE'!T19='18_WEIGHT_CONTROL'!$A$5,'18_WEIGHT_CONTROL'!$B$5,IF('91_MOTIF_CONF_SOURCE'!T19='18_WEIGHT_CONTROL'!$A$6,'18_WEIGHT_CONTROL'!$B$6,IF('91_MOTIF_CONF_SOURCE'!T19='18_WEIGHT_CONTROL'!$A$7,'18_WEIGHT_CONTROL'!$B$7,'18_WEIGHT_CONTROL'!$B$8)))</f>
        <v/>
      </c>
      <c r="AQ19">
        <f>IF('91_MOTIF_CONF_SOURCE'!U19='18_WEIGHT_CONTROL'!$A$5,'18_WEIGHT_CONTROL'!$B$5,IF('91_MOTIF_CONF_SOURCE'!U19='18_WEIGHT_CONTROL'!$A$6,'18_WEIGHT_CONTROL'!$B$6,IF('91_MOTIF_CONF_SOURCE'!U19='18_WEIGHT_CONTROL'!$A$7,'18_WEIGHT_CONTROL'!$B$7,'18_WEIGHT_CONTROL'!$B$8)))</f>
        <v/>
      </c>
      <c r="AR19">
        <f>IF('91_MOTIF_CONF_SOURCE'!V19='18_WEIGHT_CONTROL'!$A$5,'18_WEIGHT_CONTROL'!$B$5,IF('91_MOTIF_CONF_SOURCE'!V19='18_WEIGHT_CONTROL'!$A$6,'18_WEIGHT_CONTROL'!$B$6,IF('91_MOTIF_CONF_SOURCE'!V19='18_WEIGHT_CONTROL'!$A$7,'18_WEIGHT_CONTROL'!$B$7,'18_WEIGHT_CONTROL'!$B$8)))</f>
        <v/>
      </c>
    </row>
    <row r="20">
      <c r="A20" t="n">
        <v>16</v>
      </c>
      <c r="B20" t="inlineStr">
        <is>
          <t>馬爾德克人</t>
        </is>
      </c>
      <c r="C20" t="inlineStr">
        <is>
          <t>Maldekian</t>
        </is>
      </c>
      <c r="D20">
        <f>IF('90_CANON_CONF_SOURCE'!D20='18_WEIGHT_CONTROL'!$A$5,'18_WEIGHT_CONTROL'!$B$5,IF('90_CANON_CONF_SOURCE'!D20='18_WEIGHT_CONTROL'!$A$6,'18_WEIGHT_CONTROL'!$B$6,IF('90_CANON_CONF_SOURCE'!D20='18_WEIGHT_CONTROL'!$A$7,'18_WEIGHT_CONTROL'!$B$7,'18_WEIGHT_CONTROL'!$B$8)))</f>
        <v/>
      </c>
      <c r="E20">
        <f>IF('90_CANON_CONF_SOURCE'!E20='18_WEIGHT_CONTROL'!$A$5,'18_WEIGHT_CONTROL'!$B$5,IF('90_CANON_CONF_SOURCE'!E20='18_WEIGHT_CONTROL'!$A$6,'18_WEIGHT_CONTROL'!$B$6,IF('90_CANON_CONF_SOURCE'!E20='18_WEIGHT_CONTROL'!$A$7,'18_WEIGHT_CONTROL'!$B$7,'18_WEIGHT_CONTROL'!$B$8)))</f>
        <v/>
      </c>
      <c r="F20">
        <f>IF('90_CANON_CONF_SOURCE'!F20='18_WEIGHT_CONTROL'!$A$5,'18_WEIGHT_CONTROL'!$B$5,IF('90_CANON_CONF_SOURCE'!F20='18_WEIGHT_CONTROL'!$A$6,'18_WEIGHT_CONTROL'!$B$6,IF('90_CANON_CONF_SOURCE'!F20='18_WEIGHT_CONTROL'!$A$7,'18_WEIGHT_CONTROL'!$B$7,'18_WEIGHT_CONTROL'!$B$8)))</f>
        <v/>
      </c>
      <c r="G20">
        <f>IF('90_CANON_CONF_SOURCE'!G20='18_WEIGHT_CONTROL'!$A$5,'18_WEIGHT_CONTROL'!$B$5,IF('90_CANON_CONF_SOURCE'!G20='18_WEIGHT_CONTROL'!$A$6,'18_WEIGHT_CONTROL'!$B$6,IF('90_CANON_CONF_SOURCE'!G20='18_WEIGHT_CONTROL'!$A$7,'18_WEIGHT_CONTROL'!$B$7,'18_WEIGHT_CONTROL'!$B$8)))</f>
        <v/>
      </c>
      <c r="H20">
        <f>IF('90_CANON_CONF_SOURCE'!H20='18_WEIGHT_CONTROL'!$A$5,'18_WEIGHT_CONTROL'!$B$5,IF('90_CANON_CONF_SOURCE'!H20='18_WEIGHT_CONTROL'!$A$6,'18_WEIGHT_CONTROL'!$B$6,IF('90_CANON_CONF_SOURCE'!H20='18_WEIGHT_CONTROL'!$A$7,'18_WEIGHT_CONTROL'!$B$7,'18_WEIGHT_CONTROL'!$B$8)))</f>
        <v/>
      </c>
      <c r="I20">
        <f>IF('90_CANON_CONF_SOURCE'!I20='18_WEIGHT_CONTROL'!$A$5,'18_WEIGHT_CONTROL'!$B$5,IF('90_CANON_CONF_SOURCE'!I20='18_WEIGHT_CONTROL'!$A$6,'18_WEIGHT_CONTROL'!$B$6,IF('90_CANON_CONF_SOURCE'!I20='18_WEIGHT_CONTROL'!$A$7,'18_WEIGHT_CONTROL'!$B$7,'18_WEIGHT_CONTROL'!$B$8)))</f>
        <v/>
      </c>
      <c r="J20">
        <f>IF('90_CANON_CONF_SOURCE'!J20='18_WEIGHT_CONTROL'!$A$5,'18_WEIGHT_CONTROL'!$B$5,IF('90_CANON_CONF_SOURCE'!J20='18_WEIGHT_CONTROL'!$A$6,'18_WEIGHT_CONTROL'!$B$6,IF('90_CANON_CONF_SOURCE'!J20='18_WEIGHT_CONTROL'!$A$7,'18_WEIGHT_CONTROL'!$B$7,'18_WEIGHT_CONTROL'!$B$8)))</f>
        <v/>
      </c>
      <c r="K20">
        <f>IF('90_CANON_CONF_SOURCE'!K20='18_WEIGHT_CONTROL'!$A$5,'18_WEIGHT_CONTROL'!$B$5,IF('90_CANON_CONF_SOURCE'!K20='18_WEIGHT_CONTROL'!$A$6,'18_WEIGHT_CONTROL'!$B$6,IF('90_CANON_CONF_SOURCE'!K20='18_WEIGHT_CONTROL'!$A$7,'18_WEIGHT_CONTROL'!$B$7,'18_WEIGHT_CONTROL'!$B$8)))</f>
        <v/>
      </c>
      <c r="L20">
        <f>IF('90_CANON_CONF_SOURCE'!L20='18_WEIGHT_CONTROL'!$A$5,'18_WEIGHT_CONTROL'!$B$5,IF('90_CANON_CONF_SOURCE'!L20='18_WEIGHT_CONTROL'!$A$6,'18_WEIGHT_CONTROL'!$B$6,IF('90_CANON_CONF_SOURCE'!L20='18_WEIGHT_CONTROL'!$A$7,'18_WEIGHT_CONTROL'!$B$7,'18_WEIGHT_CONTROL'!$B$8)))</f>
        <v/>
      </c>
      <c r="M20">
        <f>IF('90_CANON_CONF_SOURCE'!M20='18_WEIGHT_CONTROL'!$A$5,'18_WEIGHT_CONTROL'!$B$5,IF('90_CANON_CONF_SOURCE'!M20='18_WEIGHT_CONTROL'!$A$6,'18_WEIGHT_CONTROL'!$B$6,IF('90_CANON_CONF_SOURCE'!M20='18_WEIGHT_CONTROL'!$A$7,'18_WEIGHT_CONTROL'!$B$7,'18_WEIGHT_CONTROL'!$B$8)))</f>
        <v/>
      </c>
      <c r="N20">
        <f>IF('90_CANON_CONF_SOURCE'!N20='18_WEIGHT_CONTROL'!$A$5,'18_WEIGHT_CONTROL'!$B$5,IF('90_CANON_CONF_SOURCE'!N20='18_WEIGHT_CONTROL'!$A$6,'18_WEIGHT_CONTROL'!$B$6,IF('90_CANON_CONF_SOURCE'!N20='18_WEIGHT_CONTROL'!$A$7,'18_WEIGHT_CONTROL'!$B$7,'18_WEIGHT_CONTROL'!$B$8)))</f>
        <v/>
      </c>
      <c r="O20">
        <f>IF('90_CANON_CONF_SOURCE'!O20='18_WEIGHT_CONTROL'!$A$5,'18_WEIGHT_CONTROL'!$B$5,IF('90_CANON_CONF_SOURCE'!O20='18_WEIGHT_CONTROL'!$A$6,'18_WEIGHT_CONTROL'!$B$6,IF('90_CANON_CONF_SOURCE'!O20='18_WEIGHT_CONTROL'!$A$7,'18_WEIGHT_CONTROL'!$B$7,'18_WEIGHT_CONTROL'!$B$8)))</f>
        <v/>
      </c>
      <c r="P20">
        <f>IF('90_CANON_CONF_SOURCE'!P20='18_WEIGHT_CONTROL'!$A$5,'18_WEIGHT_CONTROL'!$B$5,IF('90_CANON_CONF_SOURCE'!P20='18_WEIGHT_CONTROL'!$A$6,'18_WEIGHT_CONTROL'!$B$6,IF('90_CANON_CONF_SOURCE'!P20='18_WEIGHT_CONTROL'!$A$7,'18_WEIGHT_CONTROL'!$B$7,'18_WEIGHT_CONTROL'!$B$8)))</f>
        <v/>
      </c>
      <c r="Q20">
        <f>IF('90_CANON_CONF_SOURCE'!Q20='18_WEIGHT_CONTROL'!$A$5,'18_WEIGHT_CONTROL'!$B$5,IF('90_CANON_CONF_SOURCE'!Q20='18_WEIGHT_CONTROL'!$A$6,'18_WEIGHT_CONTROL'!$B$6,IF('90_CANON_CONF_SOURCE'!Q20='18_WEIGHT_CONTROL'!$A$7,'18_WEIGHT_CONTROL'!$B$7,'18_WEIGHT_CONTROL'!$B$8)))</f>
        <v/>
      </c>
      <c r="R20">
        <f>IF('90_CANON_CONF_SOURCE'!R20='18_WEIGHT_CONTROL'!$A$5,'18_WEIGHT_CONTROL'!$B$5,IF('90_CANON_CONF_SOURCE'!R20='18_WEIGHT_CONTROL'!$A$6,'18_WEIGHT_CONTROL'!$B$6,IF('90_CANON_CONF_SOURCE'!R20='18_WEIGHT_CONTROL'!$A$7,'18_WEIGHT_CONTROL'!$B$7,'18_WEIGHT_CONTROL'!$B$8)))</f>
        <v/>
      </c>
      <c r="S20">
        <f>IF('90_CANON_CONF_SOURCE'!S20='18_WEIGHT_CONTROL'!$A$5,'18_WEIGHT_CONTROL'!$B$5,IF('90_CANON_CONF_SOURCE'!S20='18_WEIGHT_CONTROL'!$A$6,'18_WEIGHT_CONTROL'!$B$6,IF('90_CANON_CONF_SOURCE'!S20='18_WEIGHT_CONTROL'!$A$7,'18_WEIGHT_CONTROL'!$B$7,'18_WEIGHT_CONTROL'!$B$8)))</f>
        <v/>
      </c>
      <c r="T20">
        <f>IF('90_CANON_CONF_SOURCE'!T20='18_WEIGHT_CONTROL'!$A$5,'18_WEIGHT_CONTROL'!$B$5,IF('90_CANON_CONF_SOURCE'!T20='18_WEIGHT_CONTROL'!$A$6,'18_WEIGHT_CONTROL'!$B$6,IF('90_CANON_CONF_SOURCE'!T20='18_WEIGHT_CONTROL'!$A$7,'18_WEIGHT_CONTROL'!$B$7,'18_WEIGHT_CONTROL'!$B$8)))</f>
        <v/>
      </c>
      <c r="U20">
        <f>IF('90_CANON_CONF_SOURCE'!U20='18_WEIGHT_CONTROL'!$A$5,'18_WEIGHT_CONTROL'!$B$5,IF('90_CANON_CONF_SOURCE'!U20='18_WEIGHT_CONTROL'!$A$6,'18_WEIGHT_CONTROL'!$B$6,IF('90_CANON_CONF_SOURCE'!U20='18_WEIGHT_CONTROL'!$A$7,'18_WEIGHT_CONTROL'!$B$7,'18_WEIGHT_CONTROL'!$B$8)))</f>
        <v/>
      </c>
      <c r="V20">
        <f>IF('90_CANON_CONF_SOURCE'!V20='18_WEIGHT_CONTROL'!$A$5,'18_WEIGHT_CONTROL'!$B$5,IF('90_CANON_CONF_SOURCE'!V20='18_WEIGHT_CONTROL'!$A$6,'18_WEIGHT_CONTROL'!$B$6,IF('90_CANON_CONF_SOURCE'!V20='18_WEIGHT_CONTROL'!$A$7,'18_WEIGHT_CONTROL'!$B$7,'18_WEIGHT_CONTROL'!$B$8)))</f>
        <v/>
      </c>
      <c r="W20">
        <f>IF('90_CANON_CONF_SOURCE'!W20='18_WEIGHT_CONTROL'!$A$5,'18_WEIGHT_CONTROL'!$B$5,IF('90_CANON_CONF_SOURCE'!W20='18_WEIGHT_CONTROL'!$A$6,'18_WEIGHT_CONTROL'!$B$6,IF('90_CANON_CONF_SOURCE'!W20='18_WEIGHT_CONTROL'!$A$7,'18_WEIGHT_CONTROL'!$B$7,'18_WEIGHT_CONTROL'!$B$8)))</f>
        <v/>
      </c>
      <c r="X20">
        <f>IF('90_CANON_CONF_SOURCE'!X20='18_WEIGHT_CONTROL'!$A$5,'18_WEIGHT_CONTROL'!$B$5,IF('90_CANON_CONF_SOURCE'!X20='18_WEIGHT_CONTROL'!$A$6,'18_WEIGHT_CONTROL'!$B$6,IF('90_CANON_CONF_SOURCE'!X20='18_WEIGHT_CONTROL'!$A$7,'18_WEIGHT_CONTROL'!$B$7,'18_WEIGHT_CONTROL'!$B$8)))</f>
        <v/>
      </c>
      <c r="Y20">
        <f>IF('90_CANON_CONF_SOURCE'!Y20='18_WEIGHT_CONTROL'!$A$5,'18_WEIGHT_CONTROL'!$B$5,IF('90_CANON_CONF_SOURCE'!Y20='18_WEIGHT_CONTROL'!$A$6,'18_WEIGHT_CONTROL'!$B$6,IF('90_CANON_CONF_SOURCE'!Y20='18_WEIGHT_CONTROL'!$A$7,'18_WEIGHT_CONTROL'!$B$7,'18_WEIGHT_CONTROL'!$B$8)))</f>
        <v/>
      </c>
      <c r="Z20">
        <f>IF('91_MOTIF_CONF_SOURCE'!D20='18_WEIGHT_CONTROL'!$A$5,'18_WEIGHT_CONTROL'!$B$5,IF('91_MOTIF_CONF_SOURCE'!D20='18_WEIGHT_CONTROL'!$A$6,'18_WEIGHT_CONTROL'!$B$6,IF('91_MOTIF_CONF_SOURCE'!D20='18_WEIGHT_CONTROL'!$A$7,'18_WEIGHT_CONTROL'!$B$7,'18_WEIGHT_CONTROL'!$B$8)))</f>
        <v/>
      </c>
      <c r="AA20">
        <f>IF('91_MOTIF_CONF_SOURCE'!E20='18_WEIGHT_CONTROL'!$A$5,'18_WEIGHT_CONTROL'!$B$5,IF('91_MOTIF_CONF_SOURCE'!E20='18_WEIGHT_CONTROL'!$A$6,'18_WEIGHT_CONTROL'!$B$6,IF('91_MOTIF_CONF_SOURCE'!E20='18_WEIGHT_CONTROL'!$A$7,'18_WEIGHT_CONTROL'!$B$7,'18_WEIGHT_CONTROL'!$B$8)))</f>
        <v/>
      </c>
      <c r="AB20">
        <f>IF('91_MOTIF_CONF_SOURCE'!F20='18_WEIGHT_CONTROL'!$A$5,'18_WEIGHT_CONTROL'!$B$5,IF('91_MOTIF_CONF_SOURCE'!F20='18_WEIGHT_CONTROL'!$A$6,'18_WEIGHT_CONTROL'!$B$6,IF('91_MOTIF_CONF_SOURCE'!F20='18_WEIGHT_CONTROL'!$A$7,'18_WEIGHT_CONTROL'!$B$7,'18_WEIGHT_CONTROL'!$B$8)))</f>
        <v/>
      </c>
      <c r="AC20">
        <f>IF('91_MOTIF_CONF_SOURCE'!G20='18_WEIGHT_CONTROL'!$A$5,'18_WEIGHT_CONTROL'!$B$5,IF('91_MOTIF_CONF_SOURCE'!G20='18_WEIGHT_CONTROL'!$A$6,'18_WEIGHT_CONTROL'!$B$6,IF('91_MOTIF_CONF_SOURCE'!G20='18_WEIGHT_CONTROL'!$A$7,'18_WEIGHT_CONTROL'!$B$7,'18_WEIGHT_CONTROL'!$B$8)))</f>
        <v/>
      </c>
      <c r="AD20">
        <f>IF('91_MOTIF_CONF_SOURCE'!H20='18_WEIGHT_CONTROL'!$A$5,'18_WEIGHT_CONTROL'!$B$5,IF('91_MOTIF_CONF_SOURCE'!H20='18_WEIGHT_CONTROL'!$A$6,'18_WEIGHT_CONTROL'!$B$6,IF('91_MOTIF_CONF_SOURCE'!H20='18_WEIGHT_CONTROL'!$A$7,'18_WEIGHT_CONTROL'!$B$7,'18_WEIGHT_CONTROL'!$B$8)))</f>
        <v/>
      </c>
      <c r="AE20">
        <f>IF('91_MOTIF_CONF_SOURCE'!I20='18_WEIGHT_CONTROL'!$A$5,'18_WEIGHT_CONTROL'!$B$5,IF('91_MOTIF_CONF_SOURCE'!I20='18_WEIGHT_CONTROL'!$A$6,'18_WEIGHT_CONTROL'!$B$6,IF('91_MOTIF_CONF_SOURCE'!I20='18_WEIGHT_CONTROL'!$A$7,'18_WEIGHT_CONTROL'!$B$7,'18_WEIGHT_CONTROL'!$B$8)))</f>
        <v/>
      </c>
      <c r="AF20">
        <f>IF('91_MOTIF_CONF_SOURCE'!J20='18_WEIGHT_CONTROL'!$A$5,'18_WEIGHT_CONTROL'!$B$5,IF('91_MOTIF_CONF_SOURCE'!J20='18_WEIGHT_CONTROL'!$A$6,'18_WEIGHT_CONTROL'!$B$6,IF('91_MOTIF_CONF_SOURCE'!J20='18_WEIGHT_CONTROL'!$A$7,'18_WEIGHT_CONTROL'!$B$7,'18_WEIGHT_CONTROL'!$B$8)))</f>
        <v/>
      </c>
      <c r="AG20">
        <f>IF('91_MOTIF_CONF_SOURCE'!K20='18_WEIGHT_CONTROL'!$A$5,'18_WEIGHT_CONTROL'!$B$5,IF('91_MOTIF_CONF_SOURCE'!K20='18_WEIGHT_CONTROL'!$A$6,'18_WEIGHT_CONTROL'!$B$6,IF('91_MOTIF_CONF_SOURCE'!K20='18_WEIGHT_CONTROL'!$A$7,'18_WEIGHT_CONTROL'!$B$7,'18_WEIGHT_CONTROL'!$B$8)))</f>
        <v/>
      </c>
      <c r="AH20">
        <f>IF('91_MOTIF_CONF_SOURCE'!L20='18_WEIGHT_CONTROL'!$A$5,'18_WEIGHT_CONTROL'!$B$5,IF('91_MOTIF_CONF_SOURCE'!L20='18_WEIGHT_CONTROL'!$A$6,'18_WEIGHT_CONTROL'!$B$6,IF('91_MOTIF_CONF_SOURCE'!L20='18_WEIGHT_CONTROL'!$A$7,'18_WEIGHT_CONTROL'!$B$7,'18_WEIGHT_CONTROL'!$B$8)))</f>
        <v/>
      </c>
      <c r="AI20">
        <f>IF('91_MOTIF_CONF_SOURCE'!M20='18_WEIGHT_CONTROL'!$A$5,'18_WEIGHT_CONTROL'!$B$5,IF('91_MOTIF_CONF_SOURCE'!M20='18_WEIGHT_CONTROL'!$A$6,'18_WEIGHT_CONTROL'!$B$6,IF('91_MOTIF_CONF_SOURCE'!M20='18_WEIGHT_CONTROL'!$A$7,'18_WEIGHT_CONTROL'!$B$7,'18_WEIGHT_CONTROL'!$B$8)))</f>
        <v/>
      </c>
      <c r="AJ20">
        <f>IF('91_MOTIF_CONF_SOURCE'!N20='18_WEIGHT_CONTROL'!$A$5,'18_WEIGHT_CONTROL'!$B$5,IF('91_MOTIF_CONF_SOURCE'!N20='18_WEIGHT_CONTROL'!$A$6,'18_WEIGHT_CONTROL'!$B$6,IF('91_MOTIF_CONF_SOURCE'!N20='18_WEIGHT_CONTROL'!$A$7,'18_WEIGHT_CONTROL'!$B$7,'18_WEIGHT_CONTROL'!$B$8)))</f>
        <v/>
      </c>
      <c r="AK20">
        <f>IF('91_MOTIF_CONF_SOURCE'!O20='18_WEIGHT_CONTROL'!$A$5,'18_WEIGHT_CONTROL'!$B$5,IF('91_MOTIF_CONF_SOURCE'!O20='18_WEIGHT_CONTROL'!$A$6,'18_WEIGHT_CONTROL'!$B$6,IF('91_MOTIF_CONF_SOURCE'!O20='18_WEIGHT_CONTROL'!$A$7,'18_WEIGHT_CONTROL'!$B$7,'18_WEIGHT_CONTROL'!$B$8)))</f>
        <v/>
      </c>
      <c r="AL20">
        <f>IF('91_MOTIF_CONF_SOURCE'!P20='18_WEIGHT_CONTROL'!$A$5,'18_WEIGHT_CONTROL'!$B$5,IF('91_MOTIF_CONF_SOURCE'!P20='18_WEIGHT_CONTROL'!$A$6,'18_WEIGHT_CONTROL'!$B$6,IF('91_MOTIF_CONF_SOURCE'!P20='18_WEIGHT_CONTROL'!$A$7,'18_WEIGHT_CONTROL'!$B$7,'18_WEIGHT_CONTROL'!$B$8)))</f>
        <v/>
      </c>
      <c r="AM20">
        <f>IF('91_MOTIF_CONF_SOURCE'!Q20='18_WEIGHT_CONTROL'!$A$5,'18_WEIGHT_CONTROL'!$B$5,IF('91_MOTIF_CONF_SOURCE'!Q20='18_WEIGHT_CONTROL'!$A$6,'18_WEIGHT_CONTROL'!$B$6,IF('91_MOTIF_CONF_SOURCE'!Q20='18_WEIGHT_CONTROL'!$A$7,'18_WEIGHT_CONTROL'!$B$7,'18_WEIGHT_CONTROL'!$B$8)))</f>
        <v/>
      </c>
      <c r="AN20">
        <f>IF('91_MOTIF_CONF_SOURCE'!R20='18_WEIGHT_CONTROL'!$A$5,'18_WEIGHT_CONTROL'!$B$5,IF('91_MOTIF_CONF_SOURCE'!R20='18_WEIGHT_CONTROL'!$A$6,'18_WEIGHT_CONTROL'!$B$6,IF('91_MOTIF_CONF_SOURCE'!R20='18_WEIGHT_CONTROL'!$A$7,'18_WEIGHT_CONTROL'!$B$7,'18_WEIGHT_CONTROL'!$B$8)))</f>
        <v/>
      </c>
      <c r="AO20">
        <f>IF('91_MOTIF_CONF_SOURCE'!S20='18_WEIGHT_CONTROL'!$A$5,'18_WEIGHT_CONTROL'!$B$5,IF('91_MOTIF_CONF_SOURCE'!S20='18_WEIGHT_CONTROL'!$A$6,'18_WEIGHT_CONTROL'!$B$6,IF('91_MOTIF_CONF_SOURCE'!S20='18_WEIGHT_CONTROL'!$A$7,'18_WEIGHT_CONTROL'!$B$7,'18_WEIGHT_CONTROL'!$B$8)))</f>
        <v/>
      </c>
      <c r="AP20">
        <f>IF('91_MOTIF_CONF_SOURCE'!T20='18_WEIGHT_CONTROL'!$A$5,'18_WEIGHT_CONTROL'!$B$5,IF('91_MOTIF_CONF_SOURCE'!T20='18_WEIGHT_CONTROL'!$A$6,'18_WEIGHT_CONTROL'!$B$6,IF('91_MOTIF_CONF_SOURCE'!T20='18_WEIGHT_CONTROL'!$A$7,'18_WEIGHT_CONTROL'!$B$7,'18_WEIGHT_CONTROL'!$B$8)))</f>
        <v/>
      </c>
      <c r="AQ20">
        <f>IF('91_MOTIF_CONF_SOURCE'!U20='18_WEIGHT_CONTROL'!$A$5,'18_WEIGHT_CONTROL'!$B$5,IF('91_MOTIF_CONF_SOURCE'!U20='18_WEIGHT_CONTROL'!$A$6,'18_WEIGHT_CONTROL'!$B$6,IF('91_MOTIF_CONF_SOURCE'!U20='18_WEIGHT_CONTROL'!$A$7,'18_WEIGHT_CONTROL'!$B$7,'18_WEIGHT_CONTROL'!$B$8)))</f>
        <v/>
      </c>
      <c r="AR20">
        <f>IF('91_MOTIF_CONF_SOURCE'!V20='18_WEIGHT_CONTROL'!$A$5,'18_WEIGHT_CONTROL'!$B$5,IF('91_MOTIF_CONF_SOURCE'!V20='18_WEIGHT_CONTROL'!$A$6,'18_WEIGHT_CONTROL'!$B$6,IF('91_MOTIF_CONF_SOURCE'!V20='18_WEIGHT_CONTROL'!$A$7,'18_WEIGHT_CONTROL'!$B$7,'18_WEIGHT_CONTROL'!$B$8)))</f>
        <v/>
      </c>
    </row>
    <row r="21">
      <c r="A21" t="n">
        <v>17</v>
      </c>
      <c r="B21" t="inlineStr">
        <is>
          <t>天龍座人</t>
        </is>
      </c>
      <c r="C21" t="inlineStr">
        <is>
          <t>Draconian</t>
        </is>
      </c>
      <c r="D21">
        <f>IF('90_CANON_CONF_SOURCE'!D21='18_WEIGHT_CONTROL'!$A$5,'18_WEIGHT_CONTROL'!$B$5,IF('90_CANON_CONF_SOURCE'!D21='18_WEIGHT_CONTROL'!$A$6,'18_WEIGHT_CONTROL'!$B$6,IF('90_CANON_CONF_SOURCE'!D21='18_WEIGHT_CONTROL'!$A$7,'18_WEIGHT_CONTROL'!$B$7,'18_WEIGHT_CONTROL'!$B$8)))</f>
        <v/>
      </c>
      <c r="E21">
        <f>IF('90_CANON_CONF_SOURCE'!E21='18_WEIGHT_CONTROL'!$A$5,'18_WEIGHT_CONTROL'!$B$5,IF('90_CANON_CONF_SOURCE'!E21='18_WEIGHT_CONTROL'!$A$6,'18_WEIGHT_CONTROL'!$B$6,IF('90_CANON_CONF_SOURCE'!E21='18_WEIGHT_CONTROL'!$A$7,'18_WEIGHT_CONTROL'!$B$7,'18_WEIGHT_CONTROL'!$B$8)))</f>
        <v/>
      </c>
      <c r="F21">
        <f>IF('90_CANON_CONF_SOURCE'!F21='18_WEIGHT_CONTROL'!$A$5,'18_WEIGHT_CONTROL'!$B$5,IF('90_CANON_CONF_SOURCE'!F21='18_WEIGHT_CONTROL'!$A$6,'18_WEIGHT_CONTROL'!$B$6,IF('90_CANON_CONF_SOURCE'!F21='18_WEIGHT_CONTROL'!$A$7,'18_WEIGHT_CONTROL'!$B$7,'18_WEIGHT_CONTROL'!$B$8)))</f>
        <v/>
      </c>
      <c r="G21">
        <f>IF('90_CANON_CONF_SOURCE'!G21='18_WEIGHT_CONTROL'!$A$5,'18_WEIGHT_CONTROL'!$B$5,IF('90_CANON_CONF_SOURCE'!G21='18_WEIGHT_CONTROL'!$A$6,'18_WEIGHT_CONTROL'!$B$6,IF('90_CANON_CONF_SOURCE'!G21='18_WEIGHT_CONTROL'!$A$7,'18_WEIGHT_CONTROL'!$B$7,'18_WEIGHT_CONTROL'!$B$8)))</f>
        <v/>
      </c>
      <c r="H21">
        <f>IF('90_CANON_CONF_SOURCE'!H21='18_WEIGHT_CONTROL'!$A$5,'18_WEIGHT_CONTROL'!$B$5,IF('90_CANON_CONF_SOURCE'!H21='18_WEIGHT_CONTROL'!$A$6,'18_WEIGHT_CONTROL'!$B$6,IF('90_CANON_CONF_SOURCE'!H21='18_WEIGHT_CONTROL'!$A$7,'18_WEIGHT_CONTROL'!$B$7,'18_WEIGHT_CONTROL'!$B$8)))</f>
        <v/>
      </c>
      <c r="I21">
        <f>IF('90_CANON_CONF_SOURCE'!I21='18_WEIGHT_CONTROL'!$A$5,'18_WEIGHT_CONTROL'!$B$5,IF('90_CANON_CONF_SOURCE'!I21='18_WEIGHT_CONTROL'!$A$6,'18_WEIGHT_CONTROL'!$B$6,IF('90_CANON_CONF_SOURCE'!I21='18_WEIGHT_CONTROL'!$A$7,'18_WEIGHT_CONTROL'!$B$7,'18_WEIGHT_CONTROL'!$B$8)))</f>
        <v/>
      </c>
      <c r="J21">
        <f>IF('90_CANON_CONF_SOURCE'!J21='18_WEIGHT_CONTROL'!$A$5,'18_WEIGHT_CONTROL'!$B$5,IF('90_CANON_CONF_SOURCE'!J21='18_WEIGHT_CONTROL'!$A$6,'18_WEIGHT_CONTROL'!$B$6,IF('90_CANON_CONF_SOURCE'!J21='18_WEIGHT_CONTROL'!$A$7,'18_WEIGHT_CONTROL'!$B$7,'18_WEIGHT_CONTROL'!$B$8)))</f>
        <v/>
      </c>
      <c r="K21">
        <f>IF('90_CANON_CONF_SOURCE'!K21='18_WEIGHT_CONTROL'!$A$5,'18_WEIGHT_CONTROL'!$B$5,IF('90_CANON_CONF_SOURCE'!K21='18_WEIGHT_CONTROL'!$A$6,'18_WEIGHT_CONTROL'!$B$6,IF('90_CANON_CONF_SOURCE'!K21='18_WEIGHT_CONTROL'!$A$7,'18_WEIGHT_CONTROL'!$B$7,'18_WEIGHT_CONTROL'!$B$8)))</f>
        <v/>
      </c>
      <c r="L21">
        <f>IF('90_CANON_CONF_SOURCE'!L21='18_WEIGHT_CONTROL'!$A$5,'18_WEIGHT_CONTROL'!$B$5,IF('90_CANON_CONF_SOURCE'!L21='18_WEIGHT_CONTROL'!$A$6,'18_WEIGHT_CONTROL'!$B$6,IF('90_CANON_CONF_SOURCE'!L21='18_WEIGHT_CONTROL'!$A$7,'18_WEIGHT_CONTROL'!$B$7,'18_WEIGHT_CONTROL'!$B$8)))</f>
        <v/>
      </c>
      <c r="M21">
        <f>IF('90_CANON_CONF_SOURCE'!M21='18_WEIGHT_CONTROL'!$A$5,'18_WEIGHT_CONTROL'!$B$5,IF('90_CANON_CONF_SOURCE'!M21='18_WEIGHT_CONTROL'!$A$6,'18_WEIGHT_CONTROL'!$B$6,IF('90_CANON_CONF_SOURCE'!M21='18_WEIGHT_CONTROL'!$A$7,'18_WEIGHT_CONTROL'!$B$7,'18_WEIGHT_CONTROL'!$B$8)))</f>
        <v/>
      </c>
      <c r="N21">
        <f>IF('90_CANON_CONF_SOURCE'!N21='18_WEIGHT_CONTROL'!$A$5,'18_WEIGHT_CONTROL'!$B$5,IF('90_CANON_CONF_SOURCE'!N21='18_WEIGHT_CONTROL'!$A$6,'18_WEIGHT_CONTROL'!$B$6,IF('90_CANON_CONF_SOURCE'!N21='18_WEIGHT_CONTROL'!$A$7,'18_WEIGHT_CONTROL'!$B$7,'18_WEIGHT_CONTROL'!$B$8)))</f>
        <v/>
      </c>
      <c r="O21">
        <f>IF('90_CANON_CONF_SOURCE'!O21='18_WEIGHT_CONTROL'!$A$5,'18_WEIGHT_CONTROL'!$B$5,IF('90_CANON_CONF_SOURCE'!O21='18_WEIGHT_CONTROL'!$A$6,'18_WEIGHT_CONTROL'!$B$6,IF('90_CANON_CONF_SOURCE'!O21='18_WEIGHT_CONTROL'!$A$7,'18_WEIGHT_CONTROL'!$B$7,'18_WEIGHT_CONTROL'!$B$8)))</f>
        <v/>
      </c>
      <c r="P21">
        <f>IF('90_CANON_CONF_SOURCE'!P21='18_WEIGHT_CONTROL'!$A$5,'18_WEIGHT_CONTROL'!$B$5,IF('90_CANON_CONF_SOURCE'!P21='18_WEIGHT_CONTROL'!$A$6,'18_WEIGHT_CONTROL'!$B$6,IF('90_CANON_CONF_SOURCE'!P21='18_WEIGHT_CONTROL'!$A$7,'18_WEIGHT_CONTROL'!$B$7,'18_WEIGHT_CONTROL'!$B$8)))</f>
        <v/>
      </c>
      <c r="Q21">
        <f>IF('90_CANON_CONF_SOURCE'!Q21='18_WEIGHT_CONTROL'!$A$5,'18_WEIGHT_CONTROL'!$B$5,IF('90_CANON_CONF_SOURCE'!Q21='18_WEIGHT_CONTROL'!$A$6,'18_WEIGHT_CONTROL'!$B$6,IF('90_CANON_CONF_SOURCE'!Q21='18_WEIGHT_CONTROL'!$A$7,'18_WEIGHT_CONTROL'!$B$7,'18_WEIGHT_CONTROL'!$B$8)))</f>
        <v/>
      </c>
      <c r="R21">
        <f>IF('90_CANON_CONF_SOURCE'!R21='18_WEIGHT_CONTROL'!$A$5,'18_WEIGHT_CONTROL'!$B$5,IF('90_CANON_CONF_SOURCE'!R21='18_WEIGHT_CONTROL'!$A$6,'18_WEIGHT_CONTROL'!$B$6,IF('90_CANON_CONF_SOURCE'!R21='18_WEIGHT_CONTROL'!$A$7,'18_WEIGHT_CONTROL'!$B$7,'18_WEIGHT_CONTROL'!$B$8)))</f>
        <v/>
      </c>
      <c r="S21">
        <f>IF('90_CANON_CONF_SOURCE'!S21='18_WEIGHT_CONTROL'!$A$5,'18_WEIGHT_CONTROL'!$B$5,IF('90_CANON_CONF_SOURCE'!S21='18_WEIGHT_CONTROL'!$A$6,'18_WEIGHT_CONTROL'!$B$6,IF('90_CANON_CONF_SOURCE'!S21='18_WEIGHT_CONTROL'!$A$7,'18_WEIGHT_CONTROL'!$B$7,'18_WEIGHT_CONTROL'!$B$8)))</f>
        <v/>
      </c>
      <c r="T21">
        <f>IF('90_CANON_CONF_SOURCE'!T21='18_WEIGHT_CONTROL'!$A$5,'18_WEIGHT_CONTROL'!$B$5,IF('90_CANON_CONF_SOURCE'!T21='18_WEIGHT_CONTROL'!$A$6,'18_WEIGHT_CONTROL'!$B$6,IF('90_CANON_CONF_SOURCE'!T21='18_WEIGHT_CONTROL'!$A$7,'18_WEIGHT_CONTROL'!$B$7,'18_WEIGHT_CONTROL'!$B$8)))</f>
        <v/>
      </c>
      <c r="U21">
        <f>IF('90_CANON_CONF_SOURCE'!U21='18_WEIGHT_CONTROL'!$A$5,'18_WEIGHT_CONTROL'!$B$5,IF('90_CANON_CONF_SOURCE'!U21='18_WEIGHT_CONTROL'!$A$6,'18_WEIGHT_CONTROL'!$B$6,IF('90_CANON_CONF_SOURCE'!U21='18_WEIGHT_CONTROL'!$A$7,'18_WEIGHT_CONTROL'!$B$7,'18_WEIGHT_CONTROL'!$B$8)))</f>
        <v/>
      </c>
      <c r="V21">
        <f>IF('90_CANON_CONF_SOURCE'!V21='18_WEIGHT_CONTROL'!$A$5,'18_WEIGHT_CONTROL'!$B$5,IF('90_CANON_CONF_SOURCE'!V21='18_WEIGHT_CONTROL'!$A$6,'18_WEIGHT_CONTROL'!$B$6,IF('90_CANON_CONF_SOURCE'!V21='18_WEIGHT_CONTROL'!$A$7,'18_WEIGHT_CONTROL'!$B$7,'18_WEIGHT_CONTROL'!$B$8)))</f>
        <v/>
      </c>
      <c r="W21">
        <f>IF('90_CANON_CONF_SOURCE'!W21='18_WEIGHT_CONTROL'!$A$5,'18_WEIGHT_CONTROL'!$B$5,IF('90_CANON_CONF_SOURCE'!W21='18_WEIGHT_CONTROL'!$A$6,'18_WEIGHT_CONTROL'!$B$6,IF('90_CANON_CONF_SOURCE'!W21='18_WEIGHT_CONTROL'!$A$7,'18_WEIGHT_CONTROL'!$B$7,'18_WEIGHT_CONTROL'!$B$8)))</f>
        <v/>
      </c>
      <c r="X21">
        <f>IF('90_CANON_CONF_SOURCE'!X21='18_WEIGHT_CONTROL'!$A$5,'18_WEIGHT_CONTROL'!$B$5,IF('90_CANON_CONF_SOURCE'!X21='18_WEIGHT_CONTROL'!$A$6,'18_WEIGHT_CONTROL'!$B$6,IF('90_CANON_CONF_SOURCE'!X21='18_WEIGHT_CONTROL'!$A$7,'18_WEIGHT_CONTROL'!$B$7,'18_WEIGHT_CONTROL'!$B$8)))</f>
        <v/>
      </c>
      <c r="Y21">
        <f>IF('90_CANON_CONF_SOURCE'!Y21='18_WEIGHT_CONTROL'!$A$5,'18_WEIGHT_CONTROL'!$B$5,IF('90_CANON_CONF_SOURCE'!Y21='18_WEIGHT_CONTROL'!$A$6,'18_WEIGHT_CONTROL'!$B$6,IF('90_CANON_CONF_SOURCE'!Y21='18_WEIGHT_CONTROL'!$A$7,'18_WEIGHT_CONTROL'!$B$7,'18_WEIGHT_CONTROL'!$B$8)))</f>
        <v/>
      </c>
      <c r="Z21">
        <f>IF('91_MOTIF_CONF_SOURCE'!D21='18_WEIGHT_CONTROL'!$A$5,'18_WEIGHT_CONTROL'!$B$5,IF('91_MOTIF_CONF_SOURCE'!D21='18_WEIGHT_CONTROL'!$A$6,'18_WEIGHT_CONTROL'!$B$6,IF('91_MOTIF_CONF_SOURCE'!D21='18_WEIGHT_CONTROL'!$A$7,'18_WEIGHT_CONTROL'!$B$7,'18_WEIGHT_CONTROL'!$B$8)))</f>
        <v/>
      </c>
      <c r="AA21">
        <f>IF('91_MOTIF_CONF_SOURCE'!E21='18_WEIGHT_CONTROL'!$A$5,'18_WEIGHT_CONTROL'!$B$5,IF('91_MOTIF_CONF_SOURCE'!E21='18_WEIGHT_CONTROL'!$A$6,'18_WEIGHT_CONTROL'!$B$6,IF('91_MOTIF_CONF_SOURCE'!E21='18_WEIGHT_CONTROL'!$A$7,'18_WEIGHT_CONTROL'!$B$7,'18_WEIGHT_CONTROL'!$B$8)))</f>
        <v/>
      </c>
      <c r="AB21">
        <f>IF('91_MOTIF_CONF_SOURCE'!F21='18_WEIGHT_CONTROL'!$A$5,'18_WEIGHT_CONTROL'!$B$5,IF('91_MOTIF_CONF_SOURCE'!F21='18_WEIGHT_CONTROL'!$A$6,'18_WEIGHT_CONTROL'!$B$6,IF('91_MOTIF_CONF_SOURCE'!F21='18_WEIGHT_CONTROL'!$A$7,'18_WEIGHT_CONTROL'!$B$7,'18_WEIGHT_CONTROL'!$B$8)))</f>
        <v/>
      </c>
      <c r="AC21">
        <f>IF('91_MOTIF_CONF_SOURCE'!G21='18_WEIGHT_CONTROL'!$A$5,'18_WEIGHT_CONTROL'!$B$5,IF('91_MOTIF_CONF_SOURCE'!G21='18_WEIGHT_CONTROL'!$A$6,'18_WEIGHT_CONTROL'!$B$6,IF('91_MOTIF_CONF_SOURCE'!G21='18_WEIGHT_CONTROL'!$A$7,'18_WEIGHT_CONTROL'!$B$7,'18_WEIGHT_CONTROL'!$B$8)))</f>
        <v/>
      </c>
      <c r="AD21">
        <f>IF('91_MOTIF_CONF_SOURCE'!H21='18_WEIGHT_CONTROL'!$A$5,'18_WEIGHT_CONTROL'!$B$5,IF('91_MOTIF_CONF_SOURCE'!H21='18_WEIGHT_CONTROL'!$A$6,'18_WEIGHT_CONTROL'!$B$6,IF('91_MOTIF_CONF_SOURCE'!H21='18_WEIGHT_CONTROL'!$A$7,'18_WEIGHT_CONTROL'!$B$7,'18_WEIGHT_CONTROL'!$B$8)))</f>
        <v/>
      </c>
      <c r="AE21">
        <f>IF('91_MOTIF_CONF_SOURCE'!I21='18_WEIGHT_CONTROL'!$A$5,'18_WEIGHT_CONTROL'!$B$5,IF('91_MOTIF_CONF_SOURCE'!I21='18_WEIGHT_CONTROL'!$A$6,'18_WEIGHT_CONTROL'!$B$6,IF('91_MOTIF_CONF_SOURCE'!I21='18_WEIGHT_CONTROL'!$A$7,'18_WEIGHT_CONTROL'!$B$7,'18_WEIGHT_CONTROL'!$B$8)))</f>
        <v/>
      </c>
      <c r="AF21">
        <f>IF('91_MOTIF_CONF_SOURCE'!J21='18_WEIGHT_CONTROL'!$A$5,'18_WEIGHT_CONTROL'!$B$5,IF('91_MOTIF_CONF_SOURCE'!J21='18_WEIGHT_CONTROL'!$A$6,'18_WEIGHT_CONTROL'!$B$6,IF('91_MOTIF_CONF_SOURCE'!J21='18_WEIGHT_CONTROL'!$A$7,'18_WEIGHT_CONTROL'!$B$7,'18_WEIGHT_CONTROL'!$B$8)))</f>
        <v/>
      </c>
      <c r="AG21">
        <f>IF('91_MOTIF_CONF_SOURCE'!K21='18_WEIGHT_CONTROL'!$A$5,'18_WEIGHT_CONTROL'!$B$5,IF('91_MOTIF_CONF_SOURCE'!K21='18_WEIGHT_CONTROL'!$A$6,'18_WEIGHT_CONTROL'!$B$6,IF('91_MOTIF_CONF_SOURCE'!K21='18_WEIGHT_CONTROL'!$A$7,'18_WEIGHT_CONTROL'!$B$7,'18_WEIGHT_CONTROL'!$B$8)))</f>
        <v/>
      </c>
      <c r="AH21">
        <f>IF('91_MOTIF_CONF_SOURCE'!L21='18_WEIGHT_CONTROL'!$A$5,'18_WEIGHT_CONTROL'!$B$5,IF('91_MOTIF_CONF_SOURCE'!L21='18_WEIGHT_CONTROL'!$A$6,'18_WEIGHT_CONTROL'!$B$6,IF('91_MOTIF_CONF_SOURCE'!L21='18_WEIGHT_CONTROL'!$A$7,'18_WEIGHT_CONTROL'!$B$7,'18_WEIGHT_CONTROL'!$B$8)))</f>
        <v/>
      </c>
      <c r="AI21">
        <f>IF('91_MOTIF_CONF_SOURCE'!M21='18_WEIGHT_CONTROL'!$A$5,'18_WEIGHT_CONTROL'!$B$5,IF('91_MOTIF_CONF_SOURCE'!M21='18_WEIGHT_CONTROL'!$A$6,'18_WEIGHT_CONTROL'!$B$6,IF('91_MOTIF_CONF_SOURCE'!M21='18_WEIGHT_CONTROL'!$A$7,'18_WEIGHT_CONTROL'!$B$7,'18_WEIGHT_CONTROL'!$B$8)))</f>
        <v/>
      </c>
      <c r="AJ21">
        <f>IF('91_MOTIF_CONF_SOURCE'!N21='18_WEIGHT_CONTROL'!$A$5,'18_WEIGHT_CONTROL'!$B$5,IF('91_MOTIF_CONF_SOURCE'!N21='18_WEIGHT_CONTROL'!$A$6,'18_WEIGHT_CONTROL'!$B$6,IF('91_MOTIF_CONF_SOURCE'!N21='18_WEIGHT_CONTROL'!$A$7,'18_WEIGHT_CONTROL'!$B$7,'18_WEIGHT_CONTROL'!$B$8)))</f>
        <v/>
      </c>
      <c r="AK21">
        <f>IF('91_MOTIF_CONF_SOURCE'!O21='18_WEIGHT_CONTROL'!$A$5,'18_WEIGHT_CONTROL'!$B$5,IF('91_MOTIF_CONF_SOURCE'!O21='18_WEIGHT_CONTROL'!$A$6,'18_WEIGHT_CONTROL'!$B$6,IF('91_MOTIF_CONF_SOURCE'!O21='18_WEIGHT_CONTROL'!$A$7,'18_WEIGHT_CONTROL'!$B$7,'18_WEIGHT_CONTROL'!$B$8)))</f>
        <v/>
      </c>
      <c r="AL21">
        <f>IF('91_MOTIF_CONF_SOURCE'!P21='18_WEIGHT_CONTROL'!$A$5,'18_WEIGHT_CONTROL'!$B$5,IF('91_MOTIF_CONF_SOURCE'!P21='18_WEIGHT_CONTROL'!$A$6,'18_WEIGHT_CONTROL'!$B$6,IF('91_MOTIF_CONF_SOURCE'!P21='18_WEIGHT_CONTROL'!$A$7,'18_WEIGHT_CONTROL'!$B$7,'18_WEIGHT_CONTROL'!$B$8)))</f>
        <v/>
      </c>
      <c r="AM21">
        <f>IF('91_MOTIF_CONF_SOURCE'!Q21='18_WEIGHT_CONTROL'!$A$5,'18_WEIGHT_CONTROL'!$B$5,IF('91_MOTIF_CONF_SOURCE'!Q21='18_WEIGHT_CONTROL'!$A$6,'18_WEIGHT_CONTROL'!$B$6,IF('91_MOTIF_CONF_SOURCE'!Q21='18_WEIGHT_CONTROL'!$A$7,'18_WEIGHT_CONTROL'!$B$7,'18_WEIGHT_CONTROL'!$B$8)))</f>
        <v/>
      </c>
      <c r="AN21">
        <f>IF('91_MOTIF_CONF_SOURCE'!R21='18_WEIGHT_CONTROL'!$A$5,'18_WEIGHT_CONTROL'!$B$5,IF('91_MOTIF_CONF_SOURCE'!R21='18_WEIGHT_CONTROL'!$A$6,'18_WEIGHT_CONTROL'!$B$6,IF('91_MOTIF_CONF_SOURCE'!R21='18_WEIGHT_CONTROL'!$A$7,'18_WEIGHT_CONTROL'!$B$7,'18_WEIGHT_CONTROL'!$B$8)))</f>
        <v/>
      </c>
      <c r="AO21">
        <f>IF('91_MOTIF_CONF_SOURCE'!S21='18_WEIGHT_CONTROL'!$A$5,'18_WEIGHT_CONTROL'!$B$5,IF('91_MOTIF_CONF_SOURCE'!S21='18_WEIGHT_CONTROL'!$A$6,'18_WEIGHT_CONTROL'!$B$6,IF('91_MOTIF_CONF_SOURCE'!S21='18_WEIGHT_CONTROL'!$A$7,'18_WEIGHT_CONTROL'!$B$7,'18_WEIGHT_CONTROL'!$B$8)))</f>
        <v/>
      </c>
      <c r="AP21">
        <f>IF('91_MOTIF_CONF_SOURCE'!T21='18_WEIGHT_CONTROL'!$A$5,'18_WEIGHT_CONTROL'!$B$5,IF('91_MOTIF_CONF_SOURCE'!T21='18_WEIGHT_CONTROL'!$A$6,'18_WEIGHT_CONTROL'!$B$6,IF('91_MOTIF_CONF_SOURCE'!T21='18_WEIGHT_CONTROL'!$A$7,'18_WEIGHT_CONTROL'!$B$7,'18_WEIGHT_CONTROL'!$B$8)))</f>
        <v/>
      </c>
      <c r="AQ21">
        <f>IF('91_MOTIF_CONF_SOURCE'!U21='18_WEIGHT_CONTROL'!$A$5,'18_WEIGHT_CONTROL'!$B$5,IF('91_MOTIF_CONF_SOURCE'!U21='18_WEIGHT_CONTROL'!$A$6,'18_WEIGHT_CONTROL'!$B$6,IF('91_MOTIF_CONF_SOURCE'!U21='18_WEIGHT_CONTROL'!$A$7,'18_WEIGHT_CONTROL'!$B$7,'18_WEIGHT_CONTROL'!$B$8)))</f>
        <v/>
      </c>
      <c r="AR21">
        <f>IF('91_MOTIF_CONF_SOURCE'!V21='18_WEIGHT_CONTROL'!$A$5,'18_WEIGHT_CONTROL'!$B$5,IF('91_MOTIF_CONF_SOURCE'!V21='18_WEIGHT_CONTROL'!$A$6,'18_WEIGHT_CONTROL'!$B$6,IF('91_MOTIF_CONF_SOURCE'!V21='18_WEIGHT_CONTROL'!$A$7,'18_WEIGHT_CONTROL'!$B$7,'18_WEIGHT_CONTROL'!$B$8)))</f>
        <v/>
      </c>
    </row>
    <row r="22">
      <c r="A22" t="n">
        <v>18</v>
      </c>
      <c r="B22" t="inlineStr">
        <is>
          <t>爬蟲族</t>
        </is>
      </c>
      <c r="C22" t="inlineStr">
        <is>
          <t>Reptilian</t>
        </is>
      </c>
      <c r="D22">
        <f>IF('90_CANON_CONF_SOURCE'!D22='18_WEIGHT_CONTROL'!$A$5,'18_WEIGHT_CONTROL'!$B$5,IF('90_CANON_CONF_SOURCE'!D22='18_WEIGHT_CONTROL'!$A$6,'18_WEIGHT_CONTROL'!$B$6,IF('90_CANON_CONF_SOURCE'!D22='18_WEIGHT_CONTROL'!$A$7,'18_WEIGHT_CONTROL'!$B$7,'18_WEIGHT_CONTROL'!$B$8)))</f>
        <v/>
      </c>
      <c r="E22">
        <f>IF('90_CANON_CONF_SOURCE'!E22='18_WEIGHT_CONTROL'!$A$5,'18_WEIGHT_CONTROL'!$B$5,IF('90_CANON_CONF_SOURCE'!E22='18_WEIGHT_CONTROL'!$A$6,'18_WEIGHT_CONTROL'!$B$6,IF('90_CANON_CONF_SOURCE'!E22='18_WEIGHT_CONTROL'!$A$7,'18_WEIGHT_CONTROL'!$B$7,'18_WEIGHT_CONTROL'!$B$8)))</f>
        <v/>
      </c>
      <c r="F22">
        <f>IF('90_CANON_CONF_SOURCE'!F22='18_WEIGHT_CONTROL'!$A$5,'18_WEIGHT_CONTROL'!$B$5,IF('90_CANON_CONF_SOURCE'!F22='18_WEIGHT_CONTROL'!$A$6,'18_WEIGHT_CONTROL'!$B$6,IF('90_CANON_CONF_SOURCE'!F22='18_WEIGHT_CONTROL'!$A$7,'18_WEIGHT_CONTROL'!$B$7,'18_WEIGHT_CONTROL'!$B$8)))</f>
        <v/>
      </c>
      <c r="G22">
        <f>IF('90_CANON_CONF_SOURCE'!G22='18_WEIGHT_CONTROL'!$A$5,'18_WEIGHT_CONTROL'!$B$5,IF('90_CANON_CONF_SOURCE'!G22='18_WEIGHT_CONTROL'!$A$6,'18_WEIGHT_CONTROL'!$B$6,IF('90_CANON_CONF_SOURCE'!G22='18_WEIGHT_CONTROL'!$A$7,'18_WEIGHT_CONTROL'!$B$7,'18_WEIGHT_CONTROL'!$B$8)))</f>
        <v/>
      </c>
      <c r="H22">
        <f>IF('90_CANON_CONF_SOURCE'!H22='18_WEIGHT_CONTROL'!$A$5,'18_WEIGHT_CONTROL'!$B$5,IF('90_CANON_CONF_SOURCE'!H22='18_WEIGHT_CONTROL'!$A$6,'18_WEIGHT_CONTROL'!$B$6,IF('90_CANON_CONF_SOURCE'!H22='18_WEIGHT_CONTROL'!$A$7,'18_WEIGHT_CONTROL'!$B$7,'18_WEIGHT_CONTROL'!$B$8)))</f>
        <v/>
      </c>
      <c r="I22">
        <f>IF('90_CANON_CONF_SOURCE'!I22='18_WEIGHT_CONTROL'!$A$5,'18_WEIGHT_CONTROL'!$B$5,IF('90_CANON_CONF_SOURCE'!I22='18_WEIGHT_CONTROL'!$A$6,'18_WEIGHT_CONTROL'!$B$6,IF('90_CANON_CONF_SOURCE'!I22='18_WEIGHT_CONTROL'!$A$7,'18_WEIGHT_CONTROL'!$B$7,'18_WEIGHT_CONTROL'!$B$8)))</f>
        <v/>
      </c>
      <c r="J22">
        <f>IF('90_CANON_CONF_SOURCE'!J22='18_WEIGHT_CONTROL'!$A$5,'18_WEIGHT_CONTROL'!$B$5,IF('90_CANON_CONF_SOURCE'!J22='18_WEIGHT_CONTROL'!$A$6,'18_WEIGHT_CONTROL'!$B$6,IF('90_CANON_CONF_SOURCE'!J22='18_WEIGHT_CONTROL'!$A$7,'18_WEIGHT_CONTROL'!$B$7,'18_WEIGHT_CONTROL'!$B$8)))</f>
        <v/>
      </c>
      <c r="K22">
        <f>IF('90_CANON_CONF_SOURCE'!K22='18_WEIGHT_CONTROL'!$A$5,'18_WEIGHT_CONTROL'!$B$5,IF('90_CANON_CONF_SOURCE'!K22='18_WEIGHT_CONTROL'!$A$6,'18_WEIGHT_CONTROL'!$B$6,IF('90_CANON_CONF_SOURCE'!K22='18_WEIGHT_CONTROL'!$A$7,'18_WEIGHT_CONTROL'!$B$7,'18_WEIGHT_CONTROL'!$B$8)))</f>
        <v/>
      </c>
      <c r="L22">
        <f>IF('90_CANON_CONF_SOURCE'!L22='18_WEIGHT_CONTROL'!$A$5,'18_WEIGHT_CONTROL'!$B$5,IF('90_CANON_CONF_SOURCE'!L22='18_WEIGHT_CONTROL'!$A$6,'18_WEIGHT_CONTROL'!$B$6,IF('90_CANON_CONF_SOURCE'!L22='18_WEIGHT_CONTROL'!$A$7,'18_WEIGHT_CONTROL'!$B$7,'18_WEIGHT_CONTROL'!$B$8)))</f>
        <v/>
      </c>
      <c r="M22">
        <f>IF('90_CANON_CONF_SOURCE'!M22='18_WEIGHT_CONTROL'!$A$5,'18_WEIGHT_CONTROL'!$B$5,IF('90_CANON_CONF_SOURCE'!M22='18_WEIGHT_CONTROL'!$A$6,'18_WEIGHT_CONTROL'!$B$6,IF('90_CANON_CONF_SOURCE'!M22='18_WEIGHT_CONTROL'!$A$7,'18_WEIGHT_CONTROL'!$B$7,'18_WEIGHT_CONTROL'!$B$8)))</f>
        <v/>
      </c>
      <c r="N22">
        <f>IF('90_CANON_CONF_SOURCE'!N22='18_WEIGHT_CONTROL'!$A$5,'18_WEIGHT_CONTROL'!$B$5,IF('90_CANON_CONF_SOURCE'!N22='18_WEIGHT_CONTROL'!$A$6,'18_WEIGHT_CONTROL'!$B$6,IF('90_CANON_CONF_SOURCE'!N22='18_WEIGHT_CONTROL'!$A$7,'18_WEIGHT_CONTROL'!$B$7,'18_WEIGHT_CONTROL'!$B$8)))</f>
        <v/>
      </c>
      <c r="O22">
        <f>IF('90_CANON_CONF_SOURCE'!O22='18_WEIGHT_CONTROL'!$A$5,'18_WEIGHT_CONTROL'!$B$5,IF('90_CANON_CONF_SOURCE'!O22='18_WEIGHT_CONTROL'!$A$6,'18_WEIGHT_CONTROL'!$B$6,IF('90_CANON_CONF_SOURCE'!O22='18_WEIGHT_CONTROL'!$A$7,'18_WEIGHT_CONTROL'!$B$7,'18_WEIGHT_CONTROL'!$B$8)))</f>
        <v/>
      </c>
      <c r="P22">
        <f>IF('90_CANON_CONF_SOURCE'!P22='18_WEIGHT_CONTROL'!$A$5,'18_WEIGHT_CONTROL'!$B$5,IF('90_CANON_CONF_SOURCE'!P22='18_WEIGHT_CONTROL'!$A$6,'18_WEIGHT_CONTROL'!$B$6,IF('90_CANON_CONF_SOURCE'!P22='18_WEIGHT_CONTROL'!$A$7,'18_WEIGHT_CONTROL'!$B$7,'18_WEIGHT_CONTROL'!$B$8)))</f>
        <v/>
      </c>
      <c r="Q22">
        <f>IF('90_CANON_CONF_SOURCE'!Q22='18_WEIGHT_CONTROL'!$A$5,'18_WEIGHT_CONTROL'!$B$5,IF('90_CANON_CONF_SOURCE'!Q22='18_WEIGHT_CONTROL'!$A$6,'18_WEIGHT_CONTROL'!$B$6,IF('90_CANON_CONF_SOURCE'!Q22='18_WEIGHT_CONTROL'!$A$7,'18_WEIGHT_CONTROL'!$B$7,'18_WEIGHT_CONTROL'!$B$8)))</f>
        <v/>
      </c>
      <c r="R22">
        <f>IF('90_CANON_CONF_SOURCE'!R22='18_WEIGHT_CONTROL'!$A$5,'18_WEIGHT_CONTROL'!$B$5,IF('90_CANON_CONF_SOURCE'!R22='18_WEIGHT_CONTROL'!$A$6,'18_WEIGHT_CONTROL'!$B$6,IF('90_CANON_CONF_SOURCE'!R22='18_WEIGHT_CONTROL'!$A$7,'18_WEIGHT_CONTROL'!$B$7,'18_WEIGHT_CONTROL'!$B$8)))</f>
        <v/>
      </c>
      <c r="S22">
        <f>IF('90_CANON_CONF_SOURCE'!S22='18_WEIGHT_CONTROL'!$A$5,'18_WEIGHT_CONTROL'!$B$5,IF('90_CANON_CONF_SOURCE'!S22='18_WEIGHT_CONTROL'!$A$6,'18_WEIGHT_CONTROL'!$B$6,IF('90_CANON_CONF_SOURCE'!S22='18_WEIGHT_CONTROL'!$A$7,'18_WEIGHT_CONTROL'!$B$7,'18_WEIGHT_CONTROL'!$B$8)))</f>
        <v/>
      </c>
      <c r="T22">
        <f>IF('90_CANON_CONF_SOURCE'!T22='18_WEIGHT_CONTROL'!$A$5,'18_WEIGHT_CONTROL'!$B$5,IF('90_CANON_CONF_SOURCE'!T22='18_WEIGHT_CONTROL'!$A$6,'18_WEIGHT_CONTROL'!$B$6,IF('90_CANON_CONF_SOURCE'!T22='18_WEIGHT_CONTROL'!$A$7,'18_WEIGHT_CONTROL'!$B$7,'18_WEIGHT_CONTROL'!$B$8)))</f>
        <v/>
      </c>
      <c r="U22">
        <f>IF('90_CANON_CONF_SOURCE'!U22='18_WEIGHT_CONTROL'!$A$5,'18_WEIGHT_CONTROL'!$B$5,IF('90_CANON_CONF_SOURCE'!U22='18_WEIGHT_CONTROL'!$A$6,'18_WEIGHT_CONTROL'!$B$6,IF('90_CANON_CONF_SOURCE'!U22='18_WEIGHT_CONTROL'!$A$7,'18_WEIGHT_CONTROL'!$B$7,'18_WEIGHT_CONTROL'!$B$8)))</f>
        <v/>
      </c>
      <c r="V22">
        <f>IF('90_CANON_CONF_SOURCE'!V22='18_WEIGHT_CONTROL'!$A$5,'18_WEIGHT_CONTROL'!$B$5,IF('90_CANON_CONF_SOURCE'!V22='18_WEIGHT_CONTROL'!$A$6,'18_WEIGHT_CONTROL'!$B$6,IF('90_CANON_CONF_SOURCE'!V22='18_WEIGHT_CONTROL'!$A$7,'18_WEIGHT_CONTROL'!$B$7,'18_WEIGHT_CONTROL'!$B$8)))</f>
        <v/>
      </c>
      <c r="W22">
        <f>IF('90_CANON_CONF_SOURCE'!W22='18_WEIGHT_CONTROL'!$A$5,'18_WEIGHT_CONTROL'!$B$5,IF('90_CANON_CONF_SOURCE'!W22='18_WEIGHT_CONTROL'!$A$6,'18_WEIGHT_CONTROL'!$B$6,IF('90_CANON_CONF_SOURCE'!W22='18_WEIGHT_CONTROL'!$A$7,'18_WEIGHT_CONTROL'!$B$7,'18_WEIGHT_CONTROL'!$B$8)))</f>
        <v/>
      </c>
      <c r="X22">
        <f>IF('90_CANON_CONF_SOURCE'!X22='18_WEIGHT_CONTROL'!$A$5,'18_WEIGHT_CONTROL'!$B$5,IF('90_CANON_CONF_SOURCE'!X22='18_WEIGHT_CONTROL'!$A$6,'18_WEIGHT_CONTROL'!$B$6,IF('90_CANON_CONF_SOURCE'!X22='18_WEIGHT_CONTROL'!$A$7,'18_WEIGHT_CONTROL'!$B$7,'18_WEIGHT_CONTROL'!$B$8)))</f>
        <v/>
      </c>
      <c r="Y22">
        <f>IF('90_CANON_CONF_SOURCE'!Y22='18_WEIGHT_CONTROL'!$A$5,'18_WEIGHT_CONTROL'!$B$5,IF('90_CANON_CONF_SOURCE'!Y22='18_WEIGHT_CONTROL'!$A$6,'18_WEIGHT_CONTROL'!$B$6,IF('90_CANON_CONF_SOURCE'!Y22='18_WEIGHT_CONTROL'!$A$7,'18_WEIGHT_CONTROL'!$B$7,'18_WEIGHT_CONTROL'!$B$8)))</f>
        <v/>
      </c>
      <c r="Z22">
        <f>IF('91_MOTIF_CONF_SOURCE'!D22='18_WEIGHT_CONTROL'!$A$5,'18_WEIGHT_CONTROL'!$B$5,IF('91_MOTIF_CONF_SOURCE'!D22='18_WEIGHT_CONTROL'!$A$6,'18_WEIGHT_CONTROL'!$B$6,IF('91_MOTIF_CONF_SOURCE'!D22='18_WEIGHT_CONTROL'!$A$7,'18_WEIGHT_CONTROL'!$B$7,'18_WEIGHT_CONTROL'!$B$8)))</f>
        <v/>
      </c>
      <c r="AA22">
        <f>IF('91_MOTIF_CONF_SOURCE'!E22='18_WEIGHT_CONTROL'!$A$5,'18_WEIGHT_CONTROL'!$B$5,IF('91_MOTIF_CONF_SOURCE'!E22='18_WEIGHT_CONTROL'!$A$6,'18_WEIGHT_CONTROL'!$B$6,IF('91_MOTIF_CONF_SOURCE'!E22='18_WEIGHT_CONTROL'!$A$7,'18_WEIGHT_CONTROL'!$B$7,'18_WEIGHT_CONTROL'!$B$8)))</f>
        <v/>
      </c>
      <c r="AB22">
        <f>IF('91_MOTIF_CONF_SOURCE'!F22='18_WEIGHT_CONTROL'!$A$5,'18_WEIGHT_CONTROL'!$B$5,IF('91_MOTIF_CONF_SOURCE'!F22='18_WEIGHT_CONTROL'!$A$6,'18_WEIGHT_CONTROL'!$B$6,IF('91_MOTIF_CONF_SOURCE'!F22='18_WEIGHT_CONTROL'!$A$7,'18_WEIGHT_CONTROL'!$B$7,'18_WEIGHT_CONTROL'!$B$8)))</f>
        <v/>
      </c>
      <c r="AC22">
        <f>IF('91_MOTIF_CONF_SOURCE'!G22='18_WEIGHT_CONTROL'!$A$5,'18_WEIGHT_CONTROL'!$B$5,IF('91_MOTIF_CONF_SOURCE'!G22='18_WEIGHT_CONTROL'!$A$6,'18_WEIGHT_CONTROL'!$B$6,IF('91_MOTIF_CONF_SOURCE'!G22='18_WEIGHT_CONTROL'!$A$7,'18_WEIGHT_CONTROL'!$B$7,'18_WEIGHT_CONTROL'!$B$8)))</f>
        <v/>
      </c>
      <c r="AD22">
        <f>IF('91_MOTIF_CONF_SOURCE'!H22='18_WEIGHT_CONTROL'!$A$5,'18_WEIGHT_CONTROL'!$B$5,IF('91_MOTIF_CONF_SOURCE'!H22='18_WEIGHT_CONTROL'!$A$6,'18_WEIGHT_CONTROL'!$B$6,IF('91_MOTIF_CONF_SOURCE'!H22='18_WEIGHT_CONTROL'!$A$7,'18_WEIGHT_CONTROL'!$B$7,'18_WEIGHT_CONTROL'!$B$8)))</f>
        <v/>
      </c>
      <c r="AE22">
        <f>IF('91_MOTIF_CONF_SOURCE'!I22='18_WEIGHT_CONTROL'!$A$5,'18_WEIGHT_CONTROL'!$B$5,IF('91_MOTIF_CONF_SOURCE'!I22='18_WEIGHT_CONTROL'!$A$6,'18_WEIGHT_CONTROL'!$B$6,IF('91_MOTIF_CONF_SOURCE'!I22='18_WEIGHT_CONTROL'!$A$7,'18_WEIGHT_CONTROL'!$B$7,'18_WEIGHT_CONTROL'!$B$8)))</f>
        <v/>
      </c>
      <c r="AF22">
        <f>IF('91_MOTIF_CONF_SOURCE'!J22='18_WEIGHT_CONTROL'!$A$5,'18_WEIGHT_CONTROL'!$B$5,IF('91_MOTIF_CONF_SOURCE'!J22='18_WEIGHT_CONTROL'!$A$6,'18_WEIGHT_CONTROL'!$B$6,IF('91_MOTIF_CONF_SOURCE'!J22='18_WEIGHT_CONTROL'!$A$7,'18_WEIGHT_CONTROL'!$B$7,'18_WEIGHT_CONTROL'!$B$8)))</f>
        <v/>
      </c>
      <c r="AG22">
        <f>IF('91_MOTIF_CONF_SOURCE'!K22='18_WEIGHT_CONTROL'!$A$5,'18_WEIGHT_CONTROL'!$B$5,IF('91_MOTIF_CONF_SOURCE'!K22='18_WEIGHT_CONTROL'!$A$6,'18_WEIGHT_CONTROL'!$B$6,IF('91_MOTIF_CONF_SOURCE'!K22='18_WEIGHT_CONTROL'!$A$7,'18_WEIGHT_CONTROL'!$B$7,'18_WEIGHT_CONTROL'!$B$8)))</f>
        <v/>
      </c>
      <c r="AH22">
        <f>IF('91_MOTIF_CONF_SOURCE'!L22='18_WEIGHT_CONTROL'!$A$5,'18_WEIGHT_CONTROL'!$B$5,IF('91_MOTIF_CONF_SOURCE'!L22='18_WEIGHT_CONTROL'!$A$6,'18_WEIGHT_CONTROL'!$B$6,IF('91_MOTIF_CONF_SOURCE'!L22='18_WEIGHT_CONTROL'!$A$7,'18_WEIGHT_CONTROL'!$B$7,'18_WEIGHT_CONTROL'!$B$8)))</f>
        <v/>
      </c>
      <c r="AI22">
        <f>IF('91_MOTIF_CONF_SOURCE'!M22='18_WEIGHT_CONTROL'!$A$5,'18_WEIGHT_CONTROL'!$B$5,IF('91_MOTIF_CONF_SOURCE'!M22='18_WEIGHT_CONTROL'!$A$6,'18_WEIGHT_CONTROL'!$B$6,IF('91_MOTIF_CONF_SOURCE'!M22='18_WEIGHT_CONTROL'!$A$7,'18_WEIGHT_CONTROL'!$B$7,'18_WEIGHT_CONTROL'!$B$8)))</f>
        <v/>
      </c>
      <c r="AJ22">
        <f>IF('91_MOTIF_CONF_SOURCE'!N22='18_WEIGHT_CONTROL'!$A$5,'18_WEIGHT_CONTROL'!$B$5,IF('91_MOTIF_CONF_SOURCE'!N22='18_WEIGHT_CONTROL'!$A$6,'18_WEIGHT_CONTROL'!$B$6,IF('91_MOTIF_CONF_SOURCE'!N22='18_WEIGHT_CONTROL'!$A$7,'18_WEIGHT_CONTROL'!$B$7,'18_WEIGHT_CONTROL'!$B$8)))</f>
        <v/>
      </c>
      <c r="AK22">
        <f>IF('91_MOTIF_CONF_SOURCE'!O22='18_WEIGHT_CONTROL'!$A$5,'18_WEIGHT_CONTROL'!$B$5,IF('91_MOTIF_CONF_SOURCE'!O22='18_WEIGHT_CONTROL'!$A$6,'18_WEIGHT_CONTROL'!$B$6,IF('91_MOTIF_CONF_SOURCE'!O22='18_WEIGHT_CONTROL'!$A$7,'18_WEIGHT_CONTROL'!$B$7,'18_WEIGHT_CONTROL'!$B$8)))</f>
        <v/>
      </c>
      <c r="AL22">
        <f>IF('91_MOTIF_CONF_SOURCE'!P22='18_WEIGHT_CONTROL'!$A$5,'18_WEIGHT_CONTROL'!$B$5,IF('91_MOTIF_CONF_SOURCE'!P22='18_WEIGHT_CONTROL'!$A$6,'18_WEIGHT_CONTROL'!$B$6,IF('91_MOTIF_CONF_SOURCE'!P22='18_WEIGHT_CONTROL'!$A$7,'18_WEIGHT_CONTROL'!$B$7,'18_WEIGHT_CONTROL'!$B$8)))</f>
        <v/>
      </c>
      <c r="AM22">
        <f>IF('91_MOTIF_CONF_SOURCE'!Q22='18_WEIGHT_CONTROL'!$A$5,'18_WEIGHT_CONTROL'!$B$5,IF('91_MOTIF_CONF_SOURCE'!Q22='18_WEIGHT_CONTROL'!$A$6,'18_WEIGHT_CONTROL'!$B$6,IF('91_MOTIF_CONF_SOURCE'!Q22='18_WEIGHT_CONTROL'!$A$7,'18_WEIGHT_CONTROL'!$B$7,'18_WEIGHT_CONTROL'!$B$8)))</f>
        <v/>
      </c>
      <c r="AN22">
        <f>IF('91_MOTIF_CONF_SOURCE'!R22='18_WEIGHT_CONTROL'!$A$5,'18_WEIGHT_CONTROL'!$B$5,IF('91_MOTIF_CONF_SOURCE'!R22='18_WEIGHT_CONTROL'!$A$6,'18_WEIGHT_CONTROL'!$B$6,IF('91_MOTIF_CONF_SOURCE'!R22='18_WEIGHT_CONTROL'!$A$7,'18_WEIGHT_CONTROL'!$B$7,'18_WEIGHT_CONTROL'!$B$8)))</f>
        <v/>
      </c>
      <c r="AO22">
        <f>IF('91_MOTIF_CONF_SOURCE'!S22='18_WEIGHT_CONTROL'!$A$5,'18_WEIGHT_CONTROL'!$B$5,IF('91_MOTIF_CONF_SOURCE'!S22='18_WEIGHT_CONTROL'!$A$6,'18_WEIGHT_CONTROL'!$B$6,IF('91_MOTIF_CONF_SOURCE'!S22='18_WEIGHT_CONTROL'!$A$7,'18_WEIGHT_CONTROL'!$B$7,'18_WEIGHT_CONTROL'!$B$8)))</f>
        <v/>
      </c>
      <c r="AP22">
        <f>IF('91_MOTIF_CONF_SOURCE'!T22='18_WEIGHT_CONTROL'!$A$5,'18_WEIGHT_CONTROL'!$B$5,IF('91_MOTIF_CONF_SOURCE'!T22='18_WEIGHT_CONTROL'!$A$6,'18_WEIGHT_CONTROL'!$B$6,IF('91_MOTIF_CONF_SOURCE'!T22='18_WEIGHT_CONTROL'!$A$7,'18_WEIGHT_CONTROL'!$B$7,'18_WEIGHT_CONTROL'!$B$8)))</f>
        <v/>
      </c>
      <c r="AQ22">
        <f>IF('91_MOTIF_CONF_SOURCE'!U22='18_WEIGHT_CONTROL'!$A$5,'18_WEIGHT_CONTROL'!$B$5,IF('91_MOTIF_CONF_SOURCE'!U22='18_WEIGHT_CONTROL'!$A$6,'18_WEIGHT_CONTROL'!$B$6,IF('91_MOTIF_CONF_SOURCE'!U22='18_WEIGHT_CONTROL'!$A$7,'18_WEIGHT_CONTROL'!$B$7,'18_WEIGHT_CONTROL'!$B$8)))</f>
        <v/>
      </c>
      <c r="AR22">
        <f>IF('91_MOTIF_CONF_SOURCE'!V22='18_WEIGHT_CONTROL'!$A$5,'18_WEIGHT_CONTROL'!$B$5,IF('91_MOTIF_CONF_SOURCE'!V22='18_WEIGHT_CONTROL'!$A$6,'18_WEIGHT_CONTROL'!$B$6,IF('91_MOTIF_CONF_SOURCE'!V22='18_WEIGHT_CONTROL'!$A$7,'18_WEIGHT_CONTROL'!$B$7,'18_WEIGHT_CONTROL'!$B$8)))</f>
        <v/>
      </c>
    </row>
    <row r="23">
      <c r="A23" t="n">
        <v>19</v>
      </c>
      <c r="B23" t="inlineStr">
        <is>
          <t>灰人</t>
        </is>
      </c>
      <c r="C23" t="inlineStr">
        <is>
          <t>Zeta / Grey</t>
        </is>
      </c>
      <c r="D23">
        <f>IF('90_CANON_CONF_SOURCE'!D23='18_WEIGHT_CONTROL'!$A$5,'18_WEIGHT_CONTROL'!$B$5,IF('90_CANON_CONF_SOURCE'!D23='18_WEIGHT_CONTROL'!$A$6,'18_WEIGHT_CONTROL'!$B$6,IF('90_CANON_CONF_SOURCE'!D23='18_WEIGHT_CONTROL'!$A$7,'18_WEIGHT_CONTROL'!$B$7,'18_WEIGHT_CONTROL'!$B$8)))</f>
        <v/>
      </c>
      <c r="E23">
        <f>IF('90_CANON_CONF_SOURCE'!E23='18_WEIGHT_CONTROL'!$A$5,'18_WEIGHT_CONTROL'!$B$5,IF('90_CANON_CONF_SOURCE'!E23='18_WEIGHT_CONTROL'!$A$6,'18_WEIGHT_CONTROL'!$B$6,IF('90_CANON_CONF_SOURCE'!E23='18_WEIGHT_CONTROL'!$A$7,'18_WEIGHT_CONTROL'!$B$7,'18_WEIGHT_CONTROL'!$B$8)))</f>
        <v/>
      </c>
      <c r="F23">
        <f>IF('90_CANON_CONF_SOURCE'!F23='18_WEIGHT_CONTROL'!$A$5,'18_WEIGHT_CONTROL'!$B$5,IF('90_CANON_CONF_SOURCE'!F23='18_WEIGHT_CONTROL'!$A$6,'18_WEIGHT_CONTROL'!$B$6,IF('90_CANON_CONF_SOURCE'!F23='18_WEIGHT_CONTROL'!$A$7,'18_WEIGHT_CONTROL'!$B$7,'18_WEIGHT_CONTROL'!$B$8)))</f>
        <v/>
      </c>
      <c r="G23">
        <f>IF('90_CANON_CONF_SOURCE'!G23='18_WEIGHT_CONTROL'!$A$5,'18_WEIGHT_CONTROL'!$B$5,IF('90_CANON_CONF_SOURCE'!G23='18_WEIGHT_CONTROL'!$A$6,'18_WEIGHT_CONTROL'!$B$6,IF('90_CANON_CONF_SOURCE'!G23='18_WEIGHT_CONTROL'!$A$7,'18_WEIGHT_CONTROL'!$B$7,'18_WEIGHT_CONTROL'!$B$8)))</f>
        <v/>
      </c>
      <c r="H23">
        <f>IF('90_CANON_CONF_SOURCE'!H23='18_WEIGHT_CONTROL'!$A$5,'18_WEIGHT_CONTROL'!$B$5,IF('90_CANON_CONF_SOURCE'!H23='18_WEIGHT_CONTROL'!$A$6,'18_WEIGHT_CONTROL'!$B$6,IF('90_CANON_CONF_SOURCE'!H23='18_WEIGHT_CONTROL'!$A$7,'18_WEIGHT_CONTROL'!$B$7,'18_WEIGHT_CONTROL'!$B$8)))</f>
        <v/>
      </c>
      <c r="I23">
        <f>IF('90_CANON_CONF_SOURCE'!I23='18_WEIGHT_CONTROL'!$A$5,'18_WEIGHT_CONTROL'!$B$5,IF('90_CANON_CONF_SOURCE'!I23='18_WEIGHT_CONTROL'!$A$6,'18_WEIGHT_CONTROL'!$B$6,IF('90_CANON_CONF_SOURCE'!I23='18_WEIGHT_CONTROL'!$A$7,'18_WEIGHT_CONTROL'!$B$7,'18_WEIGHT_CONTROL'!$B$8)))</f>
        <v/>
      </c>
      <c r="J23">
        <f>IF('90_CANON_CONF_SOURCE'!J23='18_WEIGHT_CONTROL'!$A$5,'18_WEIGHT_CONTROL'!$B$5,IF('90_CANON_CONF_SOURCE'!J23='18_WEIGHT_CONTROL'!$A$6,'18_WEIGHT_CONTROL'!$B$6,IF('90_CANON_CONF_SOURCE'!J23='18_WEIGHT_CONTROL'!$A$7,'18_WEIGHT_CONTROL'!$B$7,'18_WEIGHT_CONTROL'!$B$8)))</f>
        <v/>
      </c>
      <c r="K23">
        <f>IF('90_CANON_CONF_SOURCE'!K23='18_WEIGHT_CONTROL'!$A$5,'18_WEIGHT_CONTROL'!$B$5,IF('90_CANON_CONF_SOURCE'!K23='18_WEIGHT_CONTROL'!$A$6,'18_WEIGHT_CONTROL'!$B$6,IF('90_CANON_CONF_SOURCE'!K23='18_WEIGHT_CONTROL'!$A$7,'18_WEIGHT_CONTROL'!$B$7,'18_WEIGHT_CONTROL'!$B$8)))</f>
        <v/>
      </c>
      <c r="L23">
        <f>IF('90_CANON_CONF_SOURCE'!L23='18_WEIGHT_CONTROL'!$A$5,'18_WEIGHT_CONTROL'!$B$5,IF('90_CANON_CONF_SOURCE'!L23='18_WEIGHT_CONTROL'!$A$6,'18_WEIGHT_CONTROL'!$B$6,IF('90_CANON_CONF_SOURCE'!L23='18_WEIGHT_CONTROL'!$A$7,'18_WEIGHT_CONTROL'!$B$7,'18_WEIGHT_CONTROL'!$B$8)))</f>
        <v/>
      </c>
      <c r="M23">
        <f>IF('90_CANON_CONF_SOURCE'!M23='18_WEIGHT_CONTROL'!$A$5,'18_WEIGHT_CONTROL'!$B$5,IF('90_CANON_CONF_SOURCE'!M23='18_WEIGHT_CONTROL'!$A$6,'18_WEIGHT_CONTROL'!$B$6,IF('90_CANON_CONF_SOURCE'!M23='18_WEIGHT_CONTROL'!$A$7,'18_WEIGHT_CONTROL'!$B$7,'18_WEIGHT_CONTROL'!$B$8)))</f>
        <v/>
      </c>
      <c r="N23">
        <f>IF('90_CANON_CONF_SOURCE'!N23='18_WEIGHT_CONTROL'!$A$5,'18_WEIGHT_CONTROL'!$B$5,IF('90_CANON_CONF_SOURCE'!N23='18_WEIGHT_CONTROL'!$A$6,'18_WEIGHT_CONTROL'!$B$6,IF('90_CANON_CONF_SOURCE'!N23='18_WEIGHT_CONTROL'!$A$7,'18_WEIGHT_CONTROL'!$B$7,'18_WEIGHT_CONTROL'!$B$8)))</f>
        <v/>
      </c>
      <c r="O23">
        <f>IF('90_CANON_CONF_SOURCE'!O23='18_WEIGHT_CONTROL'!$A$5,'18_WEIGHT_CONTROL'!$B$5,IF('90_CANON_CONF_SOURCE'!O23='18_WEIGHT_CONTROL'!$A$6,'18_WEIGHT_CONTROL'!$B$6,IF('90_CANON_CONF_SOURCE'!O23='18_WEIGHT_CONTROL'!$A$7,'18_WEIGHT_CONTROL'!$B$7,'18_WEIGHT_CONTROL'!$B$8)))</f>
        <v/>
      </c>
      <c r="P23">
        <f>IF('90_CANON_CONF_SOURCE'!P23='18_WEIGHT_CONTROL'!$A$5,'18_WEIGHT_CONTROL'!$B$5,IF('90_CANON_CONF_SOURCE'!P23='18_WEIGHT_CONTROL'!$A$6,'18_WEIGHT_CONTROL'!$B$6,IF('90_CANON_CONF_SOURCE'!P23='18_WEIGHT_CONTROL'!$A$7,'18_WEIGHT_CONTROL'!$B$7,'18_WEIGHT_CONTROL'!$B$8)))</f>
        <v/>
      </c>
      <c r="Q23">
        <f>IF('90_CANON_CONF_SOURCE'!Q23='18_WEIGHT_CONTROL'!$A$5,'18_WEIGHT_CONTROL'!$B$5,IF('90_CANON_CONF_SOURCE'!Q23='18_WEIGHT_CONTROL'!$A$6,'18_WEIGHT_CONTROL'!$B$6,IF('90_CANON_CONF_SOURCE'!Q23='18_WEIGHT_CONTROL'!$A$7,'18_WEIGHT_CONTROL'!$B$7,'18_WEIGHT_CONTROL'!$B$8)))</f>
        <v/>
      </c>
      <c r="R23">
        <f>IF('90_CANON_CONF_SOURCE'!R23='18_WEIGHT_CONTROL'!$A$5,'18_WEIGHT_CONTROL'!$B$5,IF('90_CANON_CONF_SOURCE'!R23='18_WEIGHT_CONTROL'!$A$6,'18_WEIGHT_CONTROL'!$B$6,IF('90_CANON_CONF_SOURCE'!R23='18_WEIGHT_CONTROL'!$A$7,'18_WEIGHT_CONTROL'!$B$7,'18_WEIGHT_CONTROL'!$B$8)))</f>
        <v/>
      </c>
      <c r="S23">
        <f>IF('90_CANON_CONF_SOURCE'!S23='18_WEIGHT_CONTROL'!$A$5,'18_WEIGHT_CONTROL'!$B$5,IF('90_CANON_CONF_SOURCE'!S23='18_WEIGHT_CONTROL'!$A$6,'18_WEIGHT_CONTROL'!$B$6,IF('90_CANON_CONF_SOURCE'!S23='18_WEIGHT_CONTROL'!$A$7,'18_WEIGHT_CONTROL'!$B$7,'18_WEIGHT_CONTROL'!$B$8)))</f>
        <v/>
      </c>
      <c r="T23">
        <f>IF('90_CANON_CONF_SOURCE'!T23='18_WEIGHT_CONTROL'!$A$5,'18_WEIGHT_CONTROL'!$B$5,IF('90_CANON_CONF_SOURCE'!T23='18_WEIGHT_CONTROL'!$A$6,'18_WEIGHT_CONTROL'!$B$6,IF('90_CANON_CONF_SOURCE'!T23='18_WEIGHT_CONTROL'!$A$7,'18_WEIGHT_CONTROL'!$B$7,'18_WEIGHT_CONTROL'!$B$8)))</f>
        <v/>
      </c>
      <c r="U23">
        <f>IF('90_CANON_CONF_SOURCE'!U23='18_WEIGHT_CONTROL'!$A$5,'18_WEIGHT_CONTROL'!$B$5,IF('90_CANON_CONF_SOURCE'!U23='18_WEIGHT_CONTROL'!$A$6,'18_WEIGHT_CONTROL'!$B$6,IF('90_CANON_CONF_SOURCE'!U23='18_WEIGHT_CONTROL'!$A$7,'18_WEIGHT_CONTROL'!$B$7,'18_WEIGHT_CONTROL'!$B$8)))</f>
        <v/>
      </c>
      <c r="V23">
        <f>IF('90_CANON_CONF_SOURCE'!V23='18_WEIGHT_CONTROL'!$A$5,'18_WEIGHT_CONTROL'!$B$5,IF('90_CANON_CONF_SOURCE'!V23='18_WEIGHT_CONTROL'!$A$6,'18_WEIGHT_CONTROL'!$B$6,IF('90_CANON_CONF_SOURCE'!V23='18_WEIGHT_CONTROL'!$A$7,'18_WEIGHT_CONTROL'!$B$7,'18_WEIGHT_CONTROL'!$B$8)))</f>
        <v/>
      </c>
      <c r="W23">
        <f>IF('90_CANON_CONF_SOURCE'!W23='18_WEIGHT_CONTROL'!$A$5,'18_WEIGHT_CONTROL'!$B$5,IF('90_CANON_CONF_SOURCE'!W23='18_WEIGHT_CONTROL'!$A$6,'18_WEIGHT_CONTROL'!$B$6,IF('90_CANON_CONF_SOURCE'!W23='18_WEIGHT_CONTROL'!$A$7,'18_WEIGHT_CONTROL'!$B$7,'18_WEIGHT_CONTROL'!$B$8)))</f>
        <v/>
      </c>
      <c r="X23">
        <f>IF('90_CANON_CONF_SOURCE'!X23='18_WEIGHT_CONTROL'!$A$5,'18_WEIGHT_CONTROL'!$B$5,IF('90_CANON_CONF_SOURCE'!X23='18_WEIGHT_CONTROL'!$A$6,'18_WEIGHT_CONTROL'!$B$6,IF('90_CANON_CONF_SOURCE'!X23='18_WEIGHT_CONTROL'!$A$7,'18_WEIGHT_CONTROL'!$B$7,'18_WEIGHT_CONTROL'!$B$8)))</f>
        <v/>
      </c>
      <c r="Y23">
        <f>IF('90_CANON_CONF_SOURCE'!Y23='18_WEIGHT_CONTROL'!$A$5,'18_WEIGHT_CONTROL'!$B$5,IF('90_CANON_CONF_SOURCE'!Y23='18_WEIGHT_CONTROL'!$A$6,'18_WEIGHT_CONTROL'!$B$6,IF('90_CANON_CONF_SOURCE'!Y23='18_WEIGHT_CONTROL'!$A$7,'18_WEIGHT_CONTROL'!$B$7,'18_WEIGHT_CONTROL'!$B$8)))</f>
        <v/>
      </c>
      <c r="Z23">
        <f>IF('91_MOTIF_CONF_SOURCE'!D23='18_WEIGHT_CONTROL'!$A$5,'18_WEIGHT_CONTROL'!$B$5,IF('91_MOTIF_CONF_SOURCE'!D23='18_WEIGHT_CONTROL'!$A$6,'18_WEIGHT_CONTROL'!$B$6,IF('91_MOTIF_CONF_SOURCE'!D23='18_WEIGHT_CONTROL'!$A$7,'18_WEIGHT_CONTROL'!$B$7,'18_WEIGHT_CONTROL'!$B$8)))</f>
        <v/>
      </c>
      <c r="AA23">
        <f>IF('91_MOTIF_CONF_SOURCE'!E23='18_WEIGHT_CONTROL'!$A$5,'18_WEIGHT_CONTROL'!$B$5,IF('91_MOTIF_CONF_SOURCE'!E23='18_WEIGHT_CONTROL'!$A$6,'18_WEIGHT_CONTROL'!$B$6,IF('91_MOTIF_CONF_SOURCE'!E23='18_WEIGHT_CONTROL'!$A$7,'18_WEIGHT_CONTROL'!$B$7,'18_WEIGHT_CONTROL'!$B$8)))</f>
        <v/>
      </c>
      <c r="AB23">
        <f>IF('91_MOTIF_CONF_SOURCE'!F23='18_WEIGHT_CONTROL'!$A$5,'18_WEIGHT_CONTROL'!$B$5,IF('91_MOTIF_CONF_SOURCE'!F23='18_WEIGHT_CONTROL'!$A$6,'18_WEIGHT_CONTROL'!$B$6,IF('91_MOTIF_CONF_SOURCE'!F23='18_WEIGHT_CONTROL'!$A$7,'18_WEIGHT_CONTROL'!$B$7,'18_WEIGHT_CONTROL'!$B$8)))</f>
        <v/>
      </c>
      <c r="AC23">
        <f>IF('91_MOTIF_CONF_SOURCE'!G23='18_WEIGHT_CONTROL'!$A$5,'18_WEIGHT_CONTROL'!$B$5,IF('91_MOTIF_CONF_SOURCE'!G23='18_WEIGHT_CONTROL'!$A$6,'18_WEIGHT_CONTROL'!$B$6,IF('91_MOTIF_CONF_SOURCE'!G23='18_WEIGHT_CONTROL'!$A$7,'18_WEIGHT_CONTROL'!$B$7,'18_WEIGHT_CONTROL'!$B$8)))</f>
        <v/>
      </c>
      <c r="AD23">
        <f>IF('91_MOTIF_CONF_SOURCE'!H23='18_WEIGHT_CONTROL'!$A$5,'18_WEIGHT_CONTROL'!$B$5,IF('91_MOTIF_CONF_SOURCE'!H23='18_WEIGHT_CONTROL'!$A$6,'18_WEIGHT_CONTROL'!$B$6,IF('91_MOTIF_CONF_SOURCE'!H23='18_WEIGHT_CONTROL'!$A$7,'18_WEIGHT_CONTROL'!$B$7,'18_WEIGHT_CONTROL'!$B$8)))</f>
        <v/>
      </c>
      <c r="AE23">
        <f>IF('91_MOTIF_CONF_SOURCE'!I23='18_WEIGHT_CONTROL'!$A$5,'18_WEIGHT_CONTROL'!$B$5,IF('91_MOTIF_CONF_SOURCE'!I23='18_WEIGHT_CONTROL'!$A$6,'18_WEIGHT_CONTROL'!$B$6,IF('91_MOTIF_CONF_SOURCE'!I23='18_WEIGHT_CONTROL'!$A$7,'18_WEIGHT_CONTROL'!$B$7,'18_WEIGHT_CONTROL'!$B$8)))</f>
        <v/>
      </c>
      <c r="AF23">
        <f>IF('91_MOTIF_CONF_SOURCE'!J23='18_WEIGHT_CONTROL'!$A$5,'18_WEIGHT_CONTROL'!$B$5,IF('91_MOTIF_CONF_SOURCE'!J23='18_WEIGHT_CONTROL'!$A$6,'18_WEIGHT_CONTROL'!$B$6,IF('91_MOTIF_CONF_SOURCE'!J23='18_WEIGHT_CONTROL'!$A$7,'18_WEIGHT_CONTROL'!$B$7,'18_WEIGHT_CONTROL'!$B$8)))</f>
        <v/>
      </c>
      <c r="AG23">
        <f>IF('91_MOTIF_CONF_SOURCE'!K23='18_WEIGHT_CONTROL'!$A$5,'18_WEIGHT_CONTROL'!$B$5,IF('91_MOTIF_CONF_SOURCE'!K23='18_WEIGHT_CONTROL'!$A$6,'18_WEIGHT_CONTROL'!$B$6,IF('91_MOTIF_CONF_SOURCE'!K23='18_WEIGHT_CONTROL'!$A$7,'18_WEIGHT_CONTROL'!$B$7,'18_WEIGHT_CONTROL'!$B$8)))</f>
        <v/>
      </c>
      <c r="AH23">
        <f>IF('91_MOTIF_CONF_SOURCE'!L23='18_WEIGHT_CONTROL'!$A$5,'18_WEIGHT_CONTROL'!$B$5,IF('91_MOTIF_CONF_SOURCE'!L23='18_WEIGHT_CONTROL'!$A$6,'18_WEIGHT_CONTROL'!$B$6,IF('91_MOTIF_CONF_SOURCE'!L23='18_WEIGHT_CONTROL'!$A$7,'18_WEIGHT_CONTROL'!$B$7,'18_WEIGHT_CONTROL'!$B$8)))</f>
        <v/>
      </c>
      <c r="AI23">
        <f>IF('91_MOTIF_CONF_SOURCE'!M23='18_WEIGHT_CONTROL'!$A$5,'18_WEIGHT_CONTROL'!$B$5,IF('91_MOTIF_CONF_SOURCE'!M23='18_WEIGHT_CONTROL'!$A$6,'18_WEIGHT_CONTROL'!$B$6,IF('91_MOTIF_CONF_SOURCE'!M23='18_WEIGHT_CONTROL'!$A$7,'18_WEIGHT_CONTROL'!$B$7,'18_WEIGHT_CONTROL'!$B$8)))</f>
        <v/>
      </c>
      <c r="AJ23">
        <f>IF('91_MOTIF_CONF_SOURCE'!N23='18_WEIGHT_CONTROL'!$A$5,'18_WEIGHT_CONTROL'!$B$5,IF('91_MOTIF_CONF_SOURCE'!N23='18_WEIGHT_CONTROL'!$A$6,'18_WEIGHT_CONTROL'!$B$6,IF('91_MOTIF_CONF_SOURCE'!N23='18_WEIGHT_CONTROL'!$A$7,'18_WEIGHT_CONTROL'!$B$7,'18_WEIGHT_CONTROL'!$B$8)))</f>
        <v/>
      </c>
      <c r="AK23">
        <f>IF('91_MOTIF_CONF_SOURCE'!O23='18_WEIGHT_CONTROL'!$A$5,'18_WEIGHT_CONTROL'!$B$5,IF('91_MOTIF_CONF_SOURCE'!O23='18_WEIGHT_CONTROL'!$A$6,'18_WEIGHT_CONTROL'!$B$6,IF('91_MOTIF_CONF_SOURCE'!O23='18_WEIGHT_CONTROL'!$A$7,'18_WEIGHT_CONTROL'!$B$7,'18_WEIGHT_CONTROL'!$B$8)))</f>
        <v/>
      </c>
      <c r="AL23">
        <f>IF('91_MOTIF_CONF_SOURCE'!P23='18_WEIGHT_CONTROL'!$A$5,'18_WEIGHT_CONTROL'!$B$5,IF('91_MOTIF_CONF_SOURCE'!P23='18_WEIGHT_CONTROL'!$A$6,'18_WEIGHT_CONTROL'!$B$6,IF('91_MOTIF_CONF_SOURCE'!P23='18_WEIGHT_CONTROL'!$A$7,'18_WEIGHT_CONTROL'!$B$7,'18_WEIGHT_CONTROL'!$B$8)))</f>
        <v/>
      </c>
      <c r="AM23">
        <f>IF('91_MOTIF_CONF_SOURCE'!Q23='18_WEIGHT_CONTROL'!$A$5,'18_WEIGHT_CONTROL'!$B$5,IF('91_MOTIF_CONF_SOURCE'!Q23='18_WEIGHT_CONTROL'!$A$6,'18_WEIGHT_CONTROL'!$B$6,IF('91_MOTIF_CONF_SOURCE'!Q23='18_WEIGHT_CONTROL'!$A$7,'18_WEIGHT_CONTROL'!$B$7,'18_WEIGHT_CONTROL'!$B$8)))</f>
        <v/>
      </c>
      <c r="AN23">
        <f>IF('91_MOTIF_CONF_SOURCE'!R23='18_WEIGHT_CONTROL'!$A$5,'18_WEIGHT_CONTROL'!$B$5,IF('91_MOTIF_CONF_SOURCE'!R23='18_WEIGHT_CONTROL'!$A$6,'18_WEIGHT_CONTROL'!$B$6,IF('91_MOTIF_CONF_SOURCE'!R23='18_WEIGHT_CONTROL'!$A$7,'18_WEIGHT_CONTROL'!$B$7,'18_WEIGHT_CONTROL'!$B$8)))</f>
        <v/>
      </c>
      <c r="AO23">
        <f>IF('91_MOTIF_CONF_SOURCE'!S23='18_WEIGHT_CONTROL'!$A$5,'18_WEIGHT_CONTROL'!$B$5,IF('91_MOTIF_CONF_SOURCE'!S23='18_WEIGHT_CONTROL'!$A$6,'18_WEIGHT_CONTROL'!$B$6,IF('91_MOTIF_CONF_SOURCE'!S23='18_WEIGHT_CONTROL'!$A$7,'18_WEIGHT_CONTROL'!$B$7,'18_WEIGHT_CONTROL'!$B$8)))</f>
        <v/>
      </c>
      <c r="AP23">
        <f>IF('91_MOTIF_CONF_SOURCE'!T23='18_WEIGHT_CONTROL'!$A$5,'18_WEIGHT_CONTROL'!$B$5,IF('91_MOTIF_CONF_SOURCE'!T23='18_WEIGHT_CONTROL'!$A$6,'18_WEIGHT_CONTROL'!$B$6,IF('91_MOTIF_CONF_SOURCE'!T23='18_WEIGHT_CONTROL'!$A$7,'18_WEIGHT_CONTROL'!$B$7,'18_WEIGHT_CONTROL'!$B$8)))</f>
        <v/>
      </c>
      <c r="AQ23">
        <f>IF('91_MOTIF_CONF_SOURCE'!U23='18_WEIGHT_CONTROL'!$A$5,'18_WEIGHT_CONTROL'!$B$5,IF('91_MOTIF_CONF_SOURCE'!U23='18_WEIGHT_CONTROL'!$A$6,'18_WEIGHT_CONTROL'!$B$6,IF('91_MOTIF_CONF_SOURCE'!U23='18_WEIGHT_CONTROL'!$A$7,'18_WEIGHT_CONTROL'!$B$7,'18_WEIGHT_CONTROL'!$B$8)))</f>
        <v/>
      </c>
      <c r="AR23">
        <f>IF('91_MOTIF_CONF_SOURCE'!V23='18_WEIGHT_CONTROL'!$A$5,'18_WEIGHT_CONTROL'!$B$5,IF('91_MOTIF_CONF_SOURCE'!V23='18_WEIGHT_CONTROL'!$A$6,'18_WEIGHT_CONTROL'!$B$6,IF('91_MOTIF_CONF_SOURCE'!V23='18_WEIGHT_CONTROL'!$A$7,'18_WEIGHT_CONTROL'!$B$7,'18_WEIGHT_CONTROL'!$B$8)))</f>
        <v/>
      </c>
    </row>
    <row r="24">
      <c r="A24" t="n">
        <v>20</v>
      </c>
      <c r="B24" t="inlineStr">
        <is>
          <t>阿努納奇</t>
        </is>
      </c>
      <c r="C24" t="inlineStr">
        <is>
          <t>Anunnaki / Nibiruan</t>
        </is>
      </c>
      <c r="D24">
        <f>IF('90_CANON_CONF_SOURCE'!D24='18_WEIGHT_CONTROL'!$A$5,'18_WEIGHT_CONTROL'!$B$5,IF('90_CANON_CONF_SOURCE'!D24='18_WEIGHT_CONTROL'!$A$6,'18_WEIGHT_CONTROL'!$B$6,IF('90_CANON_CONF_SOURCE'!D24='18_WEIGHT_CONTROL'!$A$7,'18_WEIGHT_CONTROL'!$B$7,'18_WEIGHT_CONTROL'!$B$8)))</f>
        <v/>
      </c>
      <c r="E24">
        <f>IF('90_CANON_CONF_SOURCE'!E24='18_WEIGHT_CONTROL'!$A$5,'18_WEIGHT_CONTROL'!$B$5,IF('90_CANON_CONF_SOURCE'!E24='18_WEIGHT_CONTROL'!$A$6,'18_WEIGHT_CONTROL'!$B$6,IF('90_CANON_CONF_SOURCE'!E24='18_WEIGHT_CONTROL'!$A$7,'18_WEIGHT_CONTROL'!$B$7,'18_WEIGHT_CONTROL'!$B$8)))</f>
        <v/>
      </c>
      <c r="F24">
        <f>IF('90_CANON_CONF_SOURCE'!F24='18_WEIGHT_CONTROL'!$A$5,'18_WEIGHT_CONTROL'!$B$5,IF('90_CANON_CONF_SOURCE'!F24='18_WEIGHT_CONTROL'!$A$6,'18_WEIGHT_CONTROL'!$B$6,IF('90_CANON_CONF_SOURCE'!F24='18_WEIGHT_CONTROL'!$A$7,'18_WEIGHT_CONTROL'!$B$7,'18_WEIGHT_CONTROL'!$B$8)))</f>
        <v/>
      </c>
      <c r="G24">
        <f>IF('90_CANON_CONF_SOURCE'!G24='18_WEIGHT_CONTROL'!$A$5,'18_WEIGHT_CONTROL'!$B$5,IF('90_CANON_CONF_SOURCE'!G24='18_WEIGHT_CONTROL'!$A$6,'18_WEIGHT_CONTROL'!$B$6,IF('90_CANON_CONF_SOURCE'!G24='18_WEIGHT_CONTROL'!$A$7,'18_WEIGHT_CONTROL'!$B$7,'18_WEIGHT_CONTROL'!$B$8)))</f>
        <v/>
      </c>
      <c r="H24">
        <f>IF('90_CANON_CONF_SOURCE'!H24='18_WEIGHT_CONTROL'!$A$5,'18_WEIGHT_CONTROL'!$B$5,IF('90_CANON_CONF_SOURCE'!H24='18_WEIGHT_CONTROL'!$A$6,'18_WEIGHT_CONTROL'!$B$6,IF('90_CANON_CONF_SOURCE'!H24='18_WEIGHT_CONTROL'!$A$7,'18_WEIGHT_CONTROL'!$B$7,'18_WEIGHT_CONTROL'!$B$8)))</f>
        <v/>
      </c>
      <c r="I24">
        <f>IF('90_CANON_CONF_SOURCE'!I24='18_WEIGHT_CONTROL'!$A$5,'18_WEIGHT_CONTROL'!$B$5,IF('90_CANON_CONF_SOURCE'!I24='18_WEIGHT_CONTROL'!$A$6,'18_WEIGHT_CONTROL'!$B$6,IF('90_CANON_CONF_SOURCE'!I24='18_WEIGHT_CONTROL'!$A$7,'18_WEIGHT_CONTROL'!$B$7,'18_WEIGHT_CONTROL'!$B$8)))</f>
        <v/>
      </c>
      <c r="J24">
        <f>IF('90_CANON_CONF_SOURCE'!J24='18_WEIGHT_CONTROL'!$A$5,'18_WEIGHT_CONTROL'!$B$5,IF('90_CANON_CONF_SOURCE'!J24='18_WEIGHT_CONTROL'!$A$6,'18_WEIGHT_CONTROL'!$B$6,IF('90_CANON_CONF_SOURCE'!J24='18_WEIGHT_CONTROL'!$A$7,'18_WEIGHT_CONTROL'!$B$7,'18_WEIGHT_CONTROL'!$B$8)))</f>
        <v/>
      </c>
      <c r="K24">
        <f>IF('90_CANON_CONF_SOURCE'!K24='18_WEIGHT_CONTROL'!$A$5,'18_WEIGHT_CONTROL'!$B$5,IF('90_CANON_CONF_SOURCE'!K24='18_WEIGHT_CONTROL'!$A$6,'18_WEIGHT_CONTROL'!$B$6,IF('90_CANON_CONF_SOURCE'!K24='18_WEIGHT_CONTROL'!$A$7,'18_WEIGHT_CONTROL'!$B$7,'18_WEIGHT_CONTROL'!$B$8)))</f>
        <v/>
      </c>
      <c r="L24">
        <f>IF('90_CANON_CONF_SOURCE'!L24='18_WEIGHT_CONTROL'!$A$5,'18_WEIGHT_CONTROL'!$B$5,IF('90_CANON_CONF_SOURCE'!L24='18_WEIGHT_CONTROL'!$A$6,'18_WEIGHT_CONTROL'!$B$6,IF('90_CANON_CONF_SOURCE'!L24='18_WEIGHT_CONTROL'!$A$7,'18_WEIGHT_CONTROL'!$B$7,'18_WEIGHT_CONTROL'!$B$8)))</f>
        <v/>
      </c>
      <c r="M24">
        <f>IF('90_CANON_CONF_SOURCE'!M24='18_WEIGHT_CONTROL'!$A$5,'18_WEIGHT_CONTROL'!$B$5,IF('90_CANON_CONF_SOURCE'!M24='18_WEIGHT_CONTROL'!$A$6,'18_WEIGHT_CONTROL'!$B$6,IF('90_CANON_CONF_SOURCE'!M24='18_WEIGHT_CONTROL'!$A$7,'18_WEIGHT_CONTROL'!$B$7,'18_WEIGHT_CONTROL'!$B$8)))</f>
        <v/>
      </c>
      <c r="N24">
        <f>IF('90_CANON_CONF_SOURCE'!N24='18_WEIGHT_CONTROL'!$A$5,'18_WEIGHT_CONTROL'!$B$5,IF('90_CANON_CONF_SOURCE'!N24='18_WEIGHT_CONTROL'!$A$6,'18_WEIGHT_CONTROL'!$B$6,IF('90_CANON_CONF_SOURCE'!N24='18_WEIGHT_CONTROL'!$A$7,'18_WEIGHT_CONTROL'!$B$7,'18_WEIGHT_CONTROL'!$B$8)))</f>
        <v/>
      </c>
      <c r="O24">
        <f>IF('90_CANON_CONF_SOURCE'!O24='18_WEIGHT_CONTROL'!$A$5,'18_WEIGHT_CONTROL'!$B$5,IF('90_CANON_CONF_SOURCE'!O24='18_WEIGHT_CONTROL'!$A$6,'18_WEIGHT_CONTROL'!$B$6,IF('90_CANON_CONF_SOURCE'!O24='18_WEIGHT_CONTROL'!$A$7,'18_WEIGHT_CONTROL'!$B$7,'18_WEIGHT_CONTROL'!$B$8)))</f>
        <v/>
      </c>
      <c r="P24">
        <f>IF('90_CANON_CONF_SOURCE'!P24='18_WEIGHT_CONTROL'!$A$5,'18_WEIGHT_CONTROL'!$B$5,IF('90_CANON_CONF_SOURCE'!P24='18_WEIGHT_CONTROL'!$A$6,'18_WEIGHT_CONTROL'!$B$6,IF('90_CANON_CONF_SOURCE'!P24='18_WEIGHT_CONTROL'!$A$7,'18_WEIGHT_CONTROL'!$B$7,'18_WEIGHT_CONTROL'!$B$8)))</f>
        <v/>
      </c>
      <c r="Q24">
        <f>IF('90_CANON_CONF_SOURCE'!Q24='18_WEIGHT_CONTROL'!$A$5,'18_WEIGHT_CONTROL'!$B$5,IF('90_CANON_CONF_SOURCE'!Q24='18_WEIGHT_CONTROL'!$A$6,'18_WEIGHT_CONTROL'!$B$6,IF('90_CANON_CONF_SOURCE'!Q24='18_WEIGHT_CONTROL'!$A$7,'18_WEIGHT_CONTROL'!$B$7,'18_WEIGHT_CONTROL'!$B$8)))</f>
        <v/>
      </c>
      <c r="R24">
        <f>IF('90_CANON_CONF_SOURCE'!R24='18_WEIGHT_CONTROL'!$A$5,'18_WEIGHT_CONTROL'!$B$5,IF('90_CANON_CONF_SOURCE'!R24='18_WEIGHT_CONTROL'!$A$6,'18_WEIGHT_CONTROL'!$B$6,IF('90_CANON_CONF_SOURCE'!R24='18_WEIGHT_CONTROL'!$A$7,'18_WEIGHT_CONTROL'!$B$7,'18_WEIGHT_CONTROL'!$B$8)))</f>
        <v/>
      </c>
      <c r="S24">
        <f>IF('90_CANON_CONF_SOURCE'!S24='18_WEIGHT_CONTROL'!$A$5,'18_WEIGHT_CONTROL'!$B$5,IF('90_CANON_CONF_SOURCE'!S24='18_WEIGHT_CONTROL'!$A$6,'18_WEIGHT_CONTROL'!$B$6,IF('90_CANON_CONF_SOURCE'!S24='18_WEIGHT_CONTROL'!$A$7,'18_WEIGHT_CONTROL'!$B$7,'18_WEIGHT_CONTROL'!$B$8)))</f>
        <v/>
      </c>
      <c r="T24">
        <f>IF('90_CANON_CONF_SOURCE'!T24='18_WEIGHT_CONTROL'!$A$5,'18_WEIGHT_CONTROL'!$B$5,IF('90_CANON_CONF_SOURCE'!T24='18_WEIGHT_CONTROL'!$A$6,'18_WEIGHT_CONTROL'!$B$6,IF('90_CANON_CONF_SOURCE'!T24='18_WEIGHT_CONTROL'!$A$7,'18_WEIGHT_CONTROL'!$B$7,'18_WEIGHT_CONTROL'!$B$8)))</f>
        <v/>
      </c>
      <c r="U24">
        <f>IF('90_CANON_CONF_SOURCE'!U24='18_WEIGHT_CONTROL'!$A$5,'18_WEIGHT_CONTROL'!$B$5,IF('90_CANON_CONF_SOURCE'!U24='18_WEIGHT_CONTROL'!$A$6,'18_WEIGHT_CONTROL'!$B$6,IF('90_CANON_CONF_SOURCE'!U24='18_WEIGHT_CONTROL'!$A$7,'18_WEIGHT_CONTROL'!$B$7,'18_WEIGHT_CONTROL'!$B$8)))</f>
        <v/>
      </c>
      <c r="V24">
        <f>IF('90_CANON_CONF_SOURCE'!V24='18_WEIGHT_CONTROL'!$A$5,'18_WEIGHT_CONTROL'!$B$5,IF('90_CANON_CONF_SOURCE'!V24='18_WEIGHT_CONTROL'!$A$6,'18_WEIGHT_CONTROL'!$B$6,IF('90_CANON_CONF_SOURCE'!V24='18_WEIGHT_CONTROL'!$A$7,'18_WEIGHT_CONTROL'!$B$7,'18_WEIGHT_CONTROL'!$B$8)))</f>
        <v/>
      </c>
      <c r="W24">
        <f>IF('90_CANON_CONF_SOURCE'!W24='18_WEIGHT_CONTROL'!$A$5,'18_WEIGHT_CONTROL'!$B$5,IF('90_CANON_CONF_SOURCE'!W24='18_WEIGHT_CONTROL'!$A$6,'18_WEIGHT_CONTROL'!$B$6,IF('90_CANON_CONF_SOURCE'!W24='18_WEIGHT_CONTROL'!$A$7,'18_WEIGHT_CONTROL'!$B$7,'18_WEIGHT_CONTROL'!$B$8)))</f>
        <v/>
      </c>
      <c r="X24">
        <f>IF('90_CANON_CONF_SOURCE'!X24='18_WEIGHT_CONTROL'!$A$5,'18_WEIGHT_CONTROL'!$B$5,IF('90_CANON_CONF_SOURCE'!X24='18_WEIGHT_CONTROL'!$A$6,'18_WEIGHT_CONTROL'!$B$6,IF('90_CANON_CONF_SOURCE'!X24='18_WEIGHT_CONTROL'!$A$7,'18_WEIGHT_CONTROL'!$B$7,'18_WEIGHT_CONTROL'!$B$8)))</f>
        <v/>
      </c>
      <c r="Y24">
        <f>IF('90_CANON_CONF_SOURCE'!Y24='18_WEIGHT_CONTROL'!$A$5,'18_WEIGHT_CONTROL'!$B$5,IF('90_CANON_CONF_SOURCE'!Y24='18_WEIGHT_CONTROL'!$A$6,'18_WEIGHT_CONTROL'!$B$6,IF('90_CANON_CONF_SOURCE'!Y24='18_WEIGHT_CONTROL'!$A$7,'18_WEIGHT_CONTROL'!$B$7,'18_WEIGHT_CONTROL'!$B$8)))</f>
        <v/>
      </c>
      <c r="Z24">
        <f>IF('91_MOTIF_CONF_SOURCE'!D24='18_WEIGHT_CONTROL'!$A$5,'18_WEIGHT_CONTROL'!$B$5,IF('91_MOTIF_CONF_SOURCE'!D24='18_WEIGHT_CONTROL'!$A$6,'18_WEIGHT_CONTROL'!$B$6,IF('91_MOTIF_CONF_SOURCE'!D24='18_WEIGHT_CONTROL'!$A$7,'18_WEIGHT_CONTROL'!$B$7,'18_WEIGHT_CONTROL'!$B$8)))</f>
        <v/>
      </c>
      <c r="AA24">
        <f>IF('91_MOTIF_CONF_SOURCE'!E24='18_WEIGHT_CONTROL'!$A$5,'18_WEIGHT_CONTROL'!$B$5,IF('91_MOTIF_CONF_SOURCE'!E24='18_WEIGHT_CONTROL'!$A$6,'18_WEIGHT_CONTROL'!$B$6,IF('91_MOTIF_CONF_SOURCE'!E24='18_WEIGHT_CONTROL'!$A$7,'18_WEIGHT_CONTROL'!$B$7,'18_WEIGHT_CONTROL'!$B$8)))</f>
        <v/>
      </c>
      <c r="AB24">
        <f>IF('91_MOTIF_CONF_SOURCE'!F24='18_WEIGHT_CONTROL'!$A$5,'18_WEIGHT_CONTROL'!$B$5,IF('91_MOTIF_CONF_SOURCE'!F24='18_WEIGHT_CONTROL'!$A$6,'18_WEIGHT_CONTROL'!$B$6,IF('91_MOTIF_CONF_SOURCE'!F24='18_WEIGHT_CONTROL'!$A$7,'18_WEIGHT_CONTROL'!$B$7,'18_WEIGHT_CONTROL'!$B$8)))</f>
        <v/>
      </c>
      <c r="AC24">
        <f>IF('91_MOTIF_CONF_SOURCE'!G24='18_WEIGHT_CONTROL'!$A$5,'18_WEIGHT_CONTROL'!$B$5,IF('91_MOTIF_CONF_SOURCE'!G24='18_WEIGHT_CONTROL'!$A$6,'18_WEIGHT_CONTROL'!$B$6,IF('91_MOTIF_CONF_SOURCE'!G24='18_WEIGHT_CONTROL'!$A$7,'18_WEIGHT_CONTROL'!$B$7,'18_WEIGHT_CONTROL'!$B$8)))</f>
        <v/>
      </c>
      <c r="AD24">
        <f>IF('91_MOTIF_CONF_SOURCE'!H24='18_WEIGHT_CONTROL'!$A$5,'18_WEIGHT_CONTROL'!$B$5,IF('91_MOTIF_CONF_SOURCE'!H24='18_WEIGHT_CONTROL'!$A$6,'18_WEIGHT_CONTROL'!$B$6,IF('91_MOTIF_CONF_SOURCE'!H24='18_WEIGHT_CONTROL'!$A$7,'18_WEIGHT_CONTROL'!$B$7,'18_WEIGHT_CONTROL'!$B$8)))</f>
        <v/>
      </c>
      <c r="AE24">
        <f>IF('91_MOTIF_CONF_SOURCE'!I24='18_WEIGHT_CONTROL'!$A$5,'18_WEIGHT_CONTROL'!$B$5,IF('91_MOTIF_CONF_SOURCE'!I24='18_WEIGHT_CONTROL'!$A$6,'18_WEIGHT_CONTROL'!$B$6,IF('91_MOTIF_CONF_SOURCE'!I24='18_WEIGHT_CONTROL'!$A$7,'18_WEIGHT_CONTROL'!$B$7,'18_WEIGHT_CONTROL'!$B$8)))</f>
        <v/>
      </c>
      <c r="AF24">
        <f>IF('91_MOTIF_CONF_SOURCE'!J24='18_WEIGHT_CONTROL'!$A$5,'18_WEIGHT_CONTROL'!$B$5,IF('91_MOTIF_CONF_SOURCE'!J24='18_WEIGHT_CONTROL'!$A$6,'18_WEIGHT_CONTROL'!$B$6,IF('91_MOTIF_CONF_SOURCE'!J24='18_WEIGHT_CONTROL'!$A$7,'18_WEIGHT_CONTROL'!$B$7,'18_WEIGHT_CONTROL'!$B$8)))</f>
        <v/>
      </c>
      <c r="AG24">
        <f>IF('91_MOTIF_CONF_SOURCE'!K24='18_WEIGHT_CONTROL'!$A$5,'18_WEIGHT_CONTROL'!$B$5,IF('91_MOTIF_CONF_SOURCE'!K24='18_WEIGHT_CONTROL'!$A$6,'18_WEIGHT_CONTROL'!$B$6,IF('91_MOTIF_CONF_SOURCE'!K24='18_WEIGHT_CONTROL'!$A$7,'18_WEIGHT_CONTROL'!$B$7,'18_WEIGHT_CONTROL'!$B$8)))</f>
        <v/>
      </c>
      <c r="AH24">
        <f>IF('91_MOTIF_CONF_SOURCE'!L24='18_WEIGHT_CONTROL'!$A$5,'18_WEIGHT_CONTROL'!$B$5,IF('91_MOTIF_CONF_SOURCE'!L24='18_WEIGHT_CONTROL'!$A$6,'18_WEIGHT_CONTROL'!$B$6,IF('91_MOTIF_CONF_SOURCE'!L24='18_WEIGHT_CONTROL'!$A$7,'18_WEIGHT_CONTROL'!$B$7,'18_WEIGHT_CONTROL'!$B$8)))</f>
        <v/>
      </c>
      <c r="AI24">
        <f>IF('91_MOTIF_CONF_SOURCE'!M24='18_WEIGHT_CONTROL'!$A$5,'18_WEIGHT_CONTROL'!$B$5,IF('91_MOTIF_CONF_SOURCE'!M24='18_WEIGHT_CONTROL'!$A$6,'18_WEIGHT_CONTROL'!$B$6,IF('91_MOTIF_CONF_SOURCE'!M24='18_WEIGHT_CONTROL'!$A$7,'18_WEIGHT_CONTROL'!$B$7,'18_WEIGHT_CONTROL'!$B$8)))</f>
        <v/>
      </c>
      <c r="AJ24">
        <f>IF('91_MOTIF_CONF_SOURCE'!N24='18_WEIGHT_CONTROL'!$A$5,'18_WEIGHT_CONTROL'!$B$5,IF('91_MOTIF_CONF_SOURCE'!N24='18_WEIGHT_CONTROL'!$A$6,'18_WEIGHT_CONTROL'!$B$6,IF('91_MOTIF_CONF_SOURCE'!N24='18_WEIGHT_CONTROL'!$A$7,'18_WEIGHT_CONTROL'!$B$7,'18_WEIGHT_CONTROL'!$B$8)))</f>
        <v/>
      </c>
      <c r="AK24">
        <f>IF('91_MOTIF_CONF_SOURCE'!O24='18_WEIGHT_CONTROL'!$A$5,'18_WEIGHT_CONTROL'!$B$5,IF('91_MOTIF_CONF_SOURCE'!O24='18_WEIGHT_CONTROL'!$A$6,'18_WEIGHT_CONTROL'!$B$6,IF('91_MOTIF_CONF_SOURCE'!O24='18_WEIGHT_CONTROL'!$A$7,'18_WEIGHT_CONTROL'!$B$7,'18_WEIGHT_CONTROL'!$B$8)))</f>
        <v/>
      </c>
      <c r="AL24">
        <f>IF('91_MOTIF_CONF_SOURCE'!P24='18_WEIGHT_CONTROL'!$A$5,'18_WEIGHT_CONTROL'!$B$5,IF('91_MOTIF_CONF_SOURCE'!P24='18_WEIGHT_CONTROL'!$A$6,'18_WEIGHT_CONTROL'!$B$6,IF('91_MOTIF_CONF_SOURCE'!P24='18_WEIGHT_CONTROL'!$A$7,'18_WEIGHT_CONTROL'!$B$7,'18_WEIGHT_CONTROL'!$B$8)))</f>
        <v/>
      </c>
      <c r="AM24">
        <f>IF('91_MOTIF_CONF_SOURCE'!Q24='18_WEIGHT_CONTROL'!$A$5,'18_WEIGHT_CONTROL'!$B$5,IF('91_MOTIF_CONF_SOURCE'!Q24='18_WEIGHT_CONTROL'!$A$6,'18_WEIGHT_CONTROL'!$B$6,IF('91_MOTIF_CONF_SOURCE'!Q24='18_WEIGHT_CONTROL'!$A$7,'18_WEIGHT_CONTROL'!$B$7,'18_WEIGHT_CONTROL'!$B$8)))</f>
        <v/>
      </c>
      <c r="AN24">
        <f>IF('91_MOTIF_CONF_SOURCE'!R24='18_WEIGHT_CONTROL'!$A$5,'18_WEIGHT_CONTROL'!$B$5,IF('91_MOTIF_CONF_SOURCE'!R24='18_WEIGHT_CONTROL'!$A$6,'18_WEIGHT_CONTROL'!$B$6,IF('91_MOTIF_CONF_SOURCE'!R24='18_WEIGHT_CONTROL'!$A$7,'18_WEIGHT_CONTROL'!$B$7,'18_WEIGHT_CONTROL'!$B$8)))</f>
        <v/>
      </c>
      <c r="AO24">
        <f>IF('91_MOTIF_CONF_SOURCE'!S24='18_WEIGHT_CONTROL'!$A$5,'18_WEIGHT_CONTROL'!$B$5,IF('91_MOTIF_CONF_SOURCE'!S24='18_WEIGHT_CONTROL'!$A$6,'18_WEIGHT_CONTROL'!$B$6,IF('91_MOTIF_CONF_SOURCE'!S24='18_WEIGHT_CONTROL'!$A$7,'18_WEIGHT_CONTROL'!$B$7,'18_WEIGHT_CONTROL'!$B$8)))</f>
        <v/>
      </c>
      <c r="AP24">
        <f>IF('91_MOTIF_CONF_SOURCE'!T24='18_WEIGHT_CONTROL'!$A$5,'18_WEIGHT_CONTROL'!$B$5,IF('91_MOTIF_CONF_SOURCE'!T24='18_WEIGHT_CONTROL'!$A$6,'18_WEIGHT_CONTROL'!$B$6,IF('91_MOTIF_CONF_SOURCE'!T24='18_WEIGHT_CONTROL'!$A$7,'18_WEIGHT_CONTROL'!$B$7,'18_WEIGHT_CONTROL'!$B$8)))</f>
        <v/>
      </c>
      <c r="AQ24">
        <f>IF('91_MOTIF_CONF_SOURCE'!U24='18_WEIGHT_CONTROL'!$A$5,'18_WEIGHT_CONTROL'!$B$5,IF('91_MOTIF_CONF_SOURCE'!U24='18_WEIGHT_CONTROL'!$A$6,'18_WEIGHT_CONTROL'!$B$6,IF('91_MOTIF_CONF_SOURCE'!U24='18_WEIGHT_CONTROL'!$A$7,'18_WEIGHT_CONTROL'!$B$7,'18_WEIGHT_CONTROL'!$B$8)))</f>
        <v/>
      </c>
      <c r="AR24">
        <f>IF('91_MOTIF_CONF_SOURCE'!V24='18_WEIGHT_CONTROL'!$A$5,'18_WEIGHT_CONTROL'!$B$5,IF('91_MOTIF_CONF_SOURCE'!V24='18_WEIGHT_CONTROL'!$A$6,'18_WEIGHT_CONTROL'!$B$6,IF('91_MOTIF_CONF_SOURCE'!V24='18_WEIGHT_CONTROL'!$A$7,'18_WEIGHT_CONTROL'!$B$7,'18_WEIGHT_CONTROL'!$B$8)))</f>
        <v/>
      </c>
    </row>
    <row r="25">
      <c r="A25" t="n">
        <v>21</v>
      </c>
      <c r="B25" t="inlineStr">
        <is>
          <t>鯨魚座τ星人</t>
        </is>
      </c>
      <c r="C25" t="inlineStr">
        <is>
          <t>Tau Cetian</t>
        </is>
      </c>
      <c r="D25">
        <f>IF('90_CANON_CONF_SOURCE'!D25='18_WEIGHT_CONTROL'!$A$5,'18_WEIGHT_CONTROL'!$B$5,IF('90_CANON_CONF_SOURCE'!D25='18_WEIGHT_CONTROL'!$A$6,'18_WEIGHT_CONTROL'!$B$6,IF('90_CANON_CONF_SOURCE'!D25='18_WEIGHT_CONTROL'!$A$7,'18_WEIGHT_CONTROL'!$B$7,'18_WEIGHT_CONTROL'!$B$8)))</f>
        <v/>
      </c>
      <c r="E25">
        <f>IF('90_CANON_CONF_SOURCE'!E25='18_WEIGHT_CONTROL'!$A$5,'18_WEIGHT_CONTROL'!$B$5,IF('90_CANON_CONF_SOURCE'!E25='18_WEIGHT_CONTROL'!$A$6,'18_WEIGHT_CONTROL'!$B$6,IF('90_CANON_CONF_SOURCE'!E25='18_WEIGHT_CONTROL'!$A$7,'18_WEIGHT_CONTROL'!$B$7,'18_WEIGHT_CONTROL'!$B$8)))</f>
        <v/>
      </c>
      <c r="F25">
        <f>IF('90_CANON_CONF_SOURCE'!F25='18_WEIGHT_CONTROL'!$A$5,'18_WEIGHT_CONTROL'!$B$5,IF('90_CANON_CONF_SOURCE'!F25='18_WEIGHT_CONTROL'!$A$6,'18_WEIGHT_CONTROL'!$B$6,IF('90_CANON_CONF_SOURCE'!F25='18_WEIGHT_CONTROL'!$A$7,'18_WEIGHT_CONTROL'!$B$7,'18_WEIGHT_CONTROL'!$B$8)))</f>
        <v/>
      </c>
      <c r="G25">
        <f>IF('90_CANON_CONF_SOURCE'!G25='18_WEIGHT_CONTROL'!$A$5,'18_WEIGHT_CONTROL'!$B$5,IF('90_CANON_CONF_SOURCE'!G25='18_WEIGHT_CONTROL'!$A$6,'18_WEIGHT_CONTROL'!$B$6,IF('90_CANON_CONF_SOURCE'!G25='18_WEIGHT_CONTROL'!$A$7,'18_WEIGHT_CONTROL'!$B$7,'18_WEIGHT_CONTROL'!$B$8)))</f>
        <v/>
      </c>
      <c r="H25">
        <f>IF('90_CANON_CONF_SOURCE'!H25='18_WEIGHT_CONTROL'!$A$5,'18_WEIGHT_CONTROL'!$B$5,IF('90_CANON_CONF_SOURCE'!H25='18_WEIGHT_CONTROL'!$A$6,'18_WEIGHT_CONTROL'!$B$6,IF('90_CANON_CONF_SOURCE'!H25='18_WEIGHT_CONTROL'!$A$7,'18_WEIGHT_CONTROL'!$B$7,'18_WEIGHT_CONTROL'!$B$8)))</f>
        <v/>
      </c>
      <c r="I25">
        <f>IF('90_CANON_CONF_SOURCE'!I25='18_WEIGHT_CONTROL'!$A$5,'18_WEIGHT_CONTROL'!$B$5,IF('90_CANON_CONF_SOURCE'!I25='18_WEIGHT_CONTROL'!$A$6,'18_WEIGHT_CONTROL'!$B$6,IF('90_CANON_CONF_SOURCE'!I25='18_WEIGHT_CONTROL'!$A$7,'18_WEIGHT_CONTROL'!$B$7,'18_WEIGHT_CONTROL'!$B$8)))</f>
        <v/>
      </c>
      <c r="J25">
        <f>IF('90_CANON_CONF_SOURCE'!J25='18_WEIGHT_CONTROL'!$A$5,'18_WEIGHT_CONTROL'!$B$5,IF('90_CANON_CONF_SOURCE'!J25='18_WEIGHT_CONTROL'!$A$6,'18_WEIGHT_CONTROL'!$B$6,IF('90_CANON_CONF_SOURCE'!J25='18_WEIGHT_CONTROL'!$A$7,'18_WEIGHT_CONTROL'!$B$7,'18_WEIGHT_CONTROL'!$B$8)))</f>
        <v/>
      </c>
      <c r="K25">
        <f>IF('90_CANON_CONF_SOURCE'!K25='18_WEIGHT_CONTROL'!$A$5,'18_WEIGHT_CONTROL'!$B$5,IF('90_CANON_CONF_SOURCE'!K25='18_WEIGHT_CONTROL'!$A$6,'18_WEIGHT_CONTROL'!$B$6,IF('90_CANON_CONF_SOURCE'!K25='18_WEIGHT_CONTROL'!$A$7,'18_WEIGHT_CONTROL'!$B$7,'18_WEIGHT_CONTROL'!$B$8)))</f>
        <v/>
      </c>
      <c r="L25">
        <f>IF('90_CANON_CONF_SOURCE'!L25='18_WEIGHT_CONTROL'!$A$5,'18_WEIGHT_CONTROL'!$B$5,IF('90_CANON_CONF_SOURCE'!L25='18_WEIGHT_CONTROL'!$A$6,'18_WEIGHT_CONTROL'!$B$6,IF('90_CANON_CONF_SOURCE'!L25='18_WEIGHT_CONTROL'!$A$7,'18_WEIGHT_CONTROL'!$B$7,'18_WEIGHT_CONTROL'!$B$8)))</f>
        <v/>
      </c>
      <c r="M25">
        <f>IF('90_CANON_CONF_SOURCE'!M25='18_WEIGHT_CONTROL'!$A$5,'18_WEIGHT_CONTROL'!$B$5,IF('90_CANON_CONF_SOURCE'!M25='18_WEIGHT_CONTROL'!$A$6,'18_WEIGHT_CONTROL'!$B$6,IF('90_CANON_CONF_SOURCE'!M25='18_WEIGHT_CONTROL'!$A$7,'18_WEIGHT_CONTROL'!$B$7,'18_WEIGHT_CONTROL'!$B$8)))</f>
        <v/>
      </c>
      <c r="N25">
        <f>IF('90_CANON_CONF_SOURCE'!N25='18_WEIGHT_CONTROL'!$A$5,'18_WEIGHT_CONTROL'!$B$5,IF('90_CANON_CONF_SOURCE'!N25='18_WEIGHT_CONTROL'!$A$6,'18_WEIGHT_CONTROL'!$B$6,IF('90_CANON_CONF_SOURCE'!N25='18_WEIGHT_CONTROL'!$A$7,'18_WEIGHT_CONTROL'!$B$7,'18_WEIGHT_CONTROL'!$B$8)))</f>
        <v/>
      </c>
      <c r="O25">
        <f>IF('90_CANON_CONF_SOURCE'!O25='18_WEIGHT_CONTROL'!$A$5,'18_WEIGHT_CONTROL'!$B$5,IF('90_CANON_CONF_SOURCE'!O25='18_WEIGHT_CONTROL'!$A$6,'18_WEIGHT_CONTROL'!$B$6,IF('90_CANON_CONF_SOURCE'!O25='18_WEIGHT_CONTROL'!$A$7,'18_WEIGHT_CONTROL'!$B$7,'18_WEIGHT_CONTROL'!$B$8)))</f>
        <v/>
      </c>
      <c r="P25">
        <f>IF('90_CANON_CONF_SOURCE'!P25='18_WEIGHT_CONTROL'!$A$5,'18_WEIGHT_CONTROL'!$B$5,IF('90_CANON_CONF_SOURCE'!P25='18_WEIGHT_CONTROL'!$A$6,'18_WEIGHT_CONTROL'!$B$6,IF('90_CANON_CONF_SOURCE'!P25='18_WEIGHT_CONTROL'!$A$7,'18_WEIGHT_CONTROL'!$B$7,'18_WEIGHT_CONTROL'!$B$8)))</f>
        <v/>
      </c>
      <c r="Q25">
        <f>IF('90_CANON_CONF_SOURCE'!Q25='18_WEIGHT_CONTROL'!$A$5,'18_WEIGHT_CONTROL'!$B$5,IF('90_CANON_CONF_SOURCE'!Q25='18_WEIGHT_CONTROL'!$A$6,'18_WEIGHT_CONTROL'!$B$6,IF('90_CANON_CONF_SOURCE'!Q25='18_WEIGHT_CONTROL'!$A$7,'18_WEIGHT_CONTROL'!$B$7,'18_WEIGHT_CONTROL'!$B$8)))</f>
        <v/>
      </c>
      <c r="R25">
        <f>IF('90_CANON_CONF_SOURCE'!R25='18_WEIGHT_CONTROL'!$A$5,'18_WEIGHT_CONTROL'!$B$5,IF('90_CANON_CONF_SOURCE'!R25='18_WEIGHT_CONTROL'!$A$6,'18_WEIGHT_CONTROL'!$B$6,IF('90_CANON_CONF_SOURCE'!R25='18_WEIGHT_CONTROL'!$A$7,'18_WEIGHT_CONTROL'!$B$7,'18_WEIGHT_CONTROL'!$B$8)))</f>
        <v/>
      </c>
      <c r="S25">
        <f>IF('90_CANON_CONF_SOURCE'!S25='18_WEIGHT_CONTROL'!$A$5,'18_WEIGHT_CONTROL'!$B$5,IF('90_CANON_CONF_SOURCE'!S25='18_WEIGHT_CONTROL'!$A$6,'18_WEIGHT_CONTROL'!$B$6,IF('90_CANON_CONF_SOURCE'!S25='18_WEIGHT_CONTROL'!$A$7,'18_WEIGHT_CONTROL'!$B$7,'18_WEIGHT_CONTROL'!$B$8)))</f>
        <v/>
      </c>
      <c r="T25">
        <f>IF('90_CANON_CONF_SOURCE'!T25='18_WEIGHT_CONTROL'!$A$5,'18_WEIGHT_CONTROL'!$B$5,IF('90_CANON_CONF_SOURCE'!T25='18_WEIGHT_CONTROL'!$A$6,'18_WEIGHT_CONTROL'!$B$6,IF('90_CANON_CONF_SOURCE'!T25='18_WEIGHT_CONTROL'!$A$7,'18_WEIGHT_CONTROL'!$B$7,'18_WEIGHT_CONTROL'!$B$8)))</f>
        <v/>
      </c>
      <c r="U25">
        <f>IF('90_CANON_CONF_SOURCE'!U25='18_WEIGHT_CONTROL'!$A$5,'18_WEIGHT_CONTROL'!$B$5,IF('90_CANON_CONF_SOURCE'!U25='18_WEIGHT_CONTROL'!$A$6,'18_WEIGHT_CONTROL'!$B$6,IF('90_CANON_CONF_SOURCE'!U25='18_WEIGHT_CONTROL'!$A$7,'18_WEIGHT_CONTROL'!$B$7,'18_WEIGHT_CONTROL'!$B$8)))</f>
        <v/>
      </c>
      <c r="V25">
        <f>IF('90_CANON_CONF_SOURCE'!V25='18_WEIGHT_CONTROL'!$A$5,'18_WEIGHT_CONTROL'!$B$5,IF('90_CANON_CONF_SOURCE'!V25='18_WEIGHT_CONTROL'!$A$6,'18_WEIGHT_CONTROL'!$B$6,IF('90_CANON_CONF_SOURCE'!V25='18_WEIGHT_CONTROL'!$A$7,'18_WEIGHT_CONTROL'!$B$7,'18_WEIGHT_CONTROL'!$B$8)))</f>
        <v/>
      </c>
      <c r="W25">
        <f>IF('90_CANON_CONF_SOURCE'!W25='18_WEIGHT_CONTROL'!$A$5,'18_WEIGHT_CONTROL'!$B$5,IF('90_CANON_CONF_SOURCE'!W25='18_WEIGHT_CONTROL'!$A$6,'18_WEIGHT_CONTROL'!$B$6,IF('90_CANON_CONF_SOURCE'!W25='18_WEIGHT_CONTROL'!$A$7,'18_WEIGHT_CONTROL'!$B$7,'18_WEIGHT_CONTROL'!$B$8)))</f>
        <v/>
      </c>
      <c r="X25">
        <f>IF('90_CANON_CONF_SOURCE'!X25='18_WEIGHT_CONTROL'!$A$5,'18_WEIGHT_CONTROL'!$B$5,IF('90_CANON_CONF_SOURCE'!X25='18_WEIGHT_CONTROL'!$A$6,'18_WEIGHT_CONTROL'!$B$6,IF('90_CANON_CONF_SOURCE'!X25='18_WEIGHT_CONTROL'!$A$7,'18_WEIGHT_CONTROL'!$B$7,'18_WEIGHT_CONTROL'!$B$8)))</f>
        <v/>
      </c>
      <c r="Y25">
        <f>IF('90_CANON_CONF_SOURCE'!Y25='18_WEIGHT_CONTROL'!$A$5,'18_WEIGHT_CONTROL'!$B$5,IF('90_CANON_CONF_SOURCE'!Y25='18_WEIGHT_CONTROL'!$A$6,'18_WEIGHT_CONTROL'!$B$6,IF('90_CANON_CONF_SOURCE'!Y25='18_WEIGHT_CONTROL'!$A$7,'18_WEIGHT_CONTROL'!$B$7,'18_WEIGHT_CONTROL'!$B$8)))</f>
        <v/>
      </c>
      <c r="Z25">
        <f>IF('91_MOTIF_CONF_SOURCE'!D25='18_WEIGHT_CONTROL'!$A$5,'18_WEIGHT_CONTROL'!$B$5,IF('91_MOTIF_CONF_SOURCE'!D25='18_WEIGHT_CONTROL'!$A$6,'18_WEIGHT_CONTROL'!$B$6,IF('91_MOTIF_CONF_SOURCE'!D25='18_WEIGHT_CONTROL'!$A$7,'18_WEIGHT_CONTROL'!$B$7,'18_WEIGHT_CONTROL'!$B$8)))</f>
        <v/>
      </c>
      <c r="AA25">
        <f>IF('91_MOTIF_CONF_SOURCE'!E25='18_WEIGHT_CONTROL'!$A$5,'18_WEIGHT_CONTROL'!$B$5,IF('91_MOTIF_CONF_SOURCE'!E25='18_WEIGHT_CONTROL'!$A$6,'18_WEIGHT_CONTROL'!$B$6,IF('91_MOTIF_CONF_SOURCE'!E25='18_WEIGHT_CONTROL'!$A$7,'18_WEIGHT_CONTROL'!$B$7,'18_WEIGHT_CONTROL'!$B$8)))</f>
        <v/>
      </c>
      <c r="AB25">
        <f>IF('91_MOTIF_CONF_SOURCE'!F25='18_WEIGHT_CONTROL'!$A$5,'18_WEIGHT_CONTROL'!$B$5,IF('91_MOTIF_CONF_SOURCE'!F25='18_WEIGHT_CONTROL'!$A$6,'18_WEIGHT_CONTROL'!$B$6,IF('91_MOTIF_CONF_SOURCE'!F25='18_WEIGHT_CONTROL'!$A$7,'18_WEIGHT_CONTROL'!$B$7,'18_WEIGHT_CONTROL'!$B$8)))</f>
        <v/>
      </c>
      <c r="AC25">
        <f>IF('91_MOTIF_CONF_SOURCE'!G25='18_WEIGHT_CONTROL'!$A$5,'18_WEIGHT_CONTROL'!$B$5,IF('91_MOTIF_CONF_SOURCE'!G25='18_WEIGHT_CONTROL'!$A$6,'18_WEIGHT_CONTROL'!$B$6,IF('91_MOTIF_CONF_SOURCE'!G25='18_WEIGHT_CONTROL'!$A$7,'18_WEIGHT_CONTROL'!$B$7,'18_WEIGHT_CONTROL'!$B$8)))</f>
        <v/>
      </c>
      <c r="AD25">
        <f>IF('91_MOTIF_CONF_SOURCE'!H25='18_WEIGHT_CONTROL'!$A$5,'18_WEIGHT_CONTROL'!$B$5,IF('91_MOTIF_CONF_SOURCE'!H25='18_WEIGHT_CONTROL'!$A$6,'18_WEIGHT_CONTROL'!$B$6,IF('91_MOTIF_CONF_SOURCE'!H25='18_WEIGHT_CONTROL'!$A$7,'18_WEIGHT_CONTROL'!$B$7,'18_WEIGHT_CONTROL'!$B$8)))</f>
        <v/>
      </c>
      <c r="AE25">
        <f>IF('91_MOTIF_CONF_SOURCE'!I25='18_WEIGHT_CONTROL'!$A$5,'18_WEIGHT_CONTROL'!$B$5,IF('91_MOTIF_CONF_SOURCE'!I25='18_WEIGHT_CONTROL'!$A$6,'18_WEIGHT_CONTROL'!$B$6,IF('91_MOTIF_CONF_SOURCE'!I25='18_WEIGHT_CONTROL'!$A$7,'18_WEIGHT_CONTROL'!$B$7,'18_WEIGHT_CONTROL'!$B$8)))</f>
        <v/>
      </c>
      <c r="AF25">
        <f>IF('91_MOTIF_CONF_SOURCE'!J25='18_WEIGHT_CONTROL'!$A$5,'18_WEIGHT_CONTROL'!$B$5,IF('91_MOTIF_CONF_SOURCE'!J25='18_WEIGHT_CONTROL'!$A$6,'18_WEIGHT_CONTROL'!$B$6,IF('91_MOTIF_CONF_SOURCE'!J25='18_WEIGHT_CONTROL'!$A$7,'18_WEIGHT_CONTROL'!$B$7,'18_WEIGHT_CONTROL'!$B$8)))</f>
        <v/>
      </c>
      <c r="AG25">
        <f>IF('91_MOTIF_CONF_SOURCE'!K25='18_WEIGHT_CONTROL'!$A$5,'18_WEIGHT_CONTROL'!$B$5,IF('91_MOTIF_CONF_SOURCE'!K25='18_WEIGHT_CONTROL'!$A$6,'18_WEIGHT_CONTROL'!$B$6,IF('91_MOTIF_CONF_SOURCE'!K25='18_WEIGHT_CONTROL'!$A$7,'18_WEIGHT_CONTROL'!$B$7,'18_WEIGHT_CONTROL'!$B$8)))</f>
        <v/>
      </c>
      <c r="AH25">
        <f>IF('91_MOTIF_CONF_SOURCE'!L25='18_WEIGHT_CONTROL'!$A$5,'18_WEIGHT_CONTROL'!$B$5,IF('91_MOTIF_CONF_SOURCE'!L25='18_WEIGHT_CONTROL'!$A$6,'18_WEIGHT_CONTROL'!$B$6,IF('91_MOTIF_CONF_SOURCE'!L25='18_WEIGHT_CONTROL'!$A$7,'18_WEIGHT_CONTROL'!$B$7,'18_WEIGHT_CONTROL'!$B$8)))</f>
        <v/>
      </c>
      <c r="AI25">
        <f>IF('91_MOTIF_CONF_SOURCE'!M25='18_WEIGHT_CONTROL'!$A$5,'18_WEIGHT_CONTROL'!$B$5,IF('91_MOTIF_CONF_SOURCE'!M25='18_WEIGHT_CONTROL'!$A$6,'18_WEIGHT_CONTROL'!$B$6,IF('91_MOTIF_CONF_SOURCE'!M25='18_WEIGHT_CONTROL'!$A$7,'18_WEIGHT_CONTROL'!$B$7,'18_WEIGHT_CONTROL'!$B$8)))</f>
        <v/>
      </c>
      <c r="AJ25">
        <f>IF('91_MOTIF_CONF_SOURCE'!N25='18_WEIGHT_CONTROL'!$A$5,'18_WEIGHT_CONTROL'!$B$5,IF('91_MOTIF_CONF_SOURCE'!N25='18_WEIGHT_CONTROL'!$A$6,'18_WEIGHT_CONTROL'!$B$6,IF('91_MOTIF_CONF_SOURCE'!N25='18_WEIGHT_CONTROL'!$A$7,'18_WEIGHT_CONTROL'!$B$7,'18_WEIGHT_CONTROL'!$B$8)))</f>
        <v/>
      </c>
      <c r="AK25">
        <f>IF('91_MOTIF_CONF_SOURCE'!O25='18_WEIGHT_CONTROL'!$A$5,'18_WEIGHT_CONTROL'!$B$5,IF('91_MOTIF_CONF_SOURCE'!O25='18_WEIGHT_CONTROL'!$A$6,'18_WEIGHT_CONTROL'!$B$6,IF('91_MOTIF_CONF_SOURCE'!O25='18_WEIGHT_CONTROL'!$A$7,'18_WEIGHT_CONTROL'!$B$7,'18_WEIGHT_CONTROL'!$B$8)))</f>
        <v/>
      </c>
      <c r="AL25">
        <f>IF('91_MOTIF_CONF_SOURCE'!P25='18_WEIGHT_CONTROL'!$A$5,'18_WEIGHT_CONTROL'!$B$5,IF('91_MOTIF_CONF_SOURCE'!P25='18_WEIGHT_CONTROL'!$A$6,'18_WEIGHT_CONTROL'!$B$6,IF('91_MOTIF_CONF_SOURCE'!P25='18_WEIGHT_CONTROL'!$A$7,'18_WEIGHT_CONTROL'!$B$7,'18_WEIGHT_CONTROL'!$B$8)))</f>
        <v/>
      </c>
      <c r="AM25">
        <f>IF('91_MOTIF_CONF_SOURCE'!Q25='18_WEIGHT_CONTROL'!$A$5,'18_WEIGHT_CONTROL'!$B$5,IF('91_MOTIF_CONF_SOURCE'!Q25='18_WEIGHT_CONTROL'!$A$6,'18_WEIGHT_CONTROL'!$B$6,IF('91_MOTIF_CONF_SOURCE'!Q25='18_WEIGHT_CONTROL'!$A$7,'18_WEIGHT_CONTROL'!$B$7,'18_WEIGHT_CONTROL'!$B$8)))</f>
        <v/>
      </c>
      <c r="AN25">
        <f>IF('91_MOTIF_CONF_SOURCE'!R25='18_WEIGHT_CONTROL'!$A$5,'18_WEIGHT_CONTROL'!$B$5,IF('91_MOTIF_CONF_SOURCE'!R25='18_WEIGHT_CONTROL'!$A$6,'18_WEIGHT_CONTROL'!$B$6,IF('91_MOTIF_CONF_SOURCE'!R25='18_WEIGHT_CONTROL'!$A$7,'18_WEIGHT_CONTROL'!$B$7,'18_WEIGHT_CONTROL'!$B$8)))</f>
        <v/>
      </c>
      <c r="AO25">
        <f>IF('91_MOTIF_CONF_SOURCE'!S25='18_WEIGHT_CONTROL'!$A$5,'18_WEIGHT_CONTROL'!$B$5,IF('91_MOTIF_CONF_SOURCE'!S25='18_WEIGHT_CONTROL'!$A$6,'18_WEIGHT_CONTROL'!$B$6,IF('91_MOTIF_CONF_SOURCE'!S25='18_WEIGHT_CONTROL'!$A$7,'18_WEIGHT_CONTROL'!$B$7,'18_WEIGHT_CONTROL'!$B$8)))</f>
        <v/>
      </c>
      <c r="AP25">
        <f>IF('91_MOTIF_CONF_SOURCE'!T25='18_WEIGHT_CONTROL'!$A$5,'18_WEIGHT_CONTROL'!$B$5,IF('91_MOTIF_CONF_SOURCE'!T25='18_WEIGHT_CONTROL'!$A$6,'18_WEIGHT_CONTROL'!$B$6,IF('91_MOTIF_CONF_SOURCE'!T25='18_WEIGHT_CONTROL'!$A$7,'18_WEIGHT_CONTROL'!$B$7,'18_WEIGHT_CONTROL'!$B$8)))</f>
        <v/>
      </c>
      <c r="AQ25">
        <f>IF('91_MOTIF_CONF_SOURCE'!U25='18_WEIGHT_CONTROL'!$A$5,'18_WEIGHT_CONTROL'!$B$5,IF('91_MOTIF_CONF_SOURCE'!U25='18_WEIGHT_CONTROL'!$A$6,'18_WEIGHT_CONTROL'!$B$6,IF('91_MOTIF_CONF_SOURCE'!U25='18_WEIGHT_CONTROL'!$A$7,'18_WEIGHT_CONTROL'!$B$7,'18_WEIGHT_CONTROL'!$B$8)))</f>
        <v/>
      </c>
      <c r="AR25">
        <f>IF('91_MOTIF_CONF_SOURCE'!V25='18_WEIGHT_CONTROL'!$A$5,'18_WEIGHT_CONTROL'!$B$5,IF('91_MOTIF_CONF_SOURCE'!V25='18_WEIGHT_CONTROL'!$A$6,'18_WEIGHT_CONTROL'!$B$6,IF('91_MOTIF_CONF_SOURCE'!V25='18_WEIGHT_CONTROL'!$A$7,'18_WEIGHT_CONTROL'!$B$7,'18_WEIGHT_CONTROL'!$B$8)))</f>
        <v/>
      </c>
    </row>
    <row r="26">
      <c r="A26" t="n">
        <v>22</v>
      </c>
      <c r="B26" t="inlineStr">
        <is>
          <t>安塔瑞斯星人</t>
        </is>
      </c>
      <c r="C26" t="inlineStr">
        <is>
          <t>Antarian</t>
        </is>
      </c>
      <c r="D26">
        <f>IF('90_CANON_CONF_SOURCE'!D26='18_WEIGHT_CONTROL'!$A$5,'18_WEIGHT_CONTROL'!$B$5,IF('90_CANON_CONF_SOURCE'!D26='18_WEIGHT_CONTROL'!$A$6,'18_WEIGHT_CONTROL'!$B$6,IF('90_CANON_CONF_SOURCE'!D26='18_WEIGHT_CONTROL'!$A$7,'18_WEIGHT_CONTROL'!$B$7,'18_WEIGHT_CONTROL'!$B$8)))</f>
        <v/>
      </c>
      <c r="E26">
        <f>IF('90_CANON_CONF_SOURCE'!E26='18_WEIGHT_CONTROL'!$A$5,'18_WEIGHT_CONTROL'!$B$5,IF('90_CANON_CONF_SOURCE'!E26='18_WEIGHT_CONTROL'!$A$6,'18_WEIGHT_CONTROL'!$B$6,IF('90_CANON_CONF_SOURCE'!E26='18_WEIGHT_CONTROL'!$A$7,'18_WEIGHT_CONTROL'!$B$7,'18_WEIGHT_CONTROL'!$B$8)))</f>
        <v/>
      </c>
      <c r="F26">
        <f>IF('90_CANON_CONF_SOURCE'!F26='18_WEIGHT_CONTROL'!$A$5,'18_WEIGHT_CONTROL'!$B$5,IF('90_CANON_CONF_SOURCE'!F26='18_WEIGHT_CONTROL'!$A$6,'18_WEIGHT_CONTROL'!$B$6,IF('90_CANON_CONF_SOURCE'!F26='18_WEIGHT_CONTROL'!$A$7,'18_WEIGHT_CONTROL'!$B$7,'18_WEIGHT_CONTROL'!$B$8)))</f>
        <v/>
      </c>
      <c r="G26">
        <f>IF('90_CANON_CONF_SOURCE'!G26='18_WEIGHT_CONTROL'!$A$5,'18_WEIGHT_CONTROL'!$B$5,IF('90_CANON_CONF_SOURCE'!G26='18_WEIGHT_CONTROL'!$A$6,'18_WEIGHT_CONTROL'!$B$6,IF('90_CANON_CONF_SOURCE'!G26='18_WEIGHT_CONTROL'!$A$7,'18_WEIGHT_CONTROL'!$B$7,'18_WEIGHT_CONTROL'!$B$8)))</f>
        <v/>
      </c>
      <c r="H26">
        <f>IF('90_CANON_CONF_SOURCE'!H26='18_WEIGHT_CONTROL'!$A$5,'18_WEIGHT_CONTROL'!$B$5,IF('90_CANON_CONF_SOURCE'!H26='18_WEIGHT_CONTROL'!$A$6,'18_WEIGHT_CONTROL'!$B$6,IF('90_CANON_CONF_SOURCE'!H26='18_WEIGHT_CONTROL'!$A$7,'18_WEIGHT_CONTROL'!$B$7,'18_WEIGHT_CONTROL'!$B$8)))</f>
        <v/>
      </c>
      <c r="I26">
        <f>IF('90_CANON_CONF_SOURCE'!I26='18_WEIGHT_CONTROL'!$A$5,'18_WEIGHT_CONTROL'!$B$5,IF('90_CANON_CONF_SOURCE'!I26='18_WEIGHT_CONTROL'!$A$6,'18_WEIGHT_CONTROL'!$B$6,IF('90_CANON_CONF_SOURCE'!I26='18_WEIGHT_CONTROL'!$A$7,'18_WEIGHT_CONTROL'!$B$7,'18_WEIGHT_CONTROL'!$B$8)))</f>
        <v/>
      </c>
      <c r="J26">
        <f>IF('90_CANON_CONF_SOURCE'!J26='18_WEIGHT_CONTROL'!$A$5,'18_WEIGHT_CONTROL'!$B$5,IF('90_CANON_CONF_SOURCE'!J26='18_WEIGHT_CONTROL'!$A$6,'18_WEIGHT_CONTROL'!$B$6,IF('90_CANON_CONF_SOURCE'!J26='18_WEIGHT_CONTROL'!$A$7,'18_WEIGHT_CONTROL'!$B$7,'18_WEIGHT_CONTROL'!$B$8)))</f>
        <v/>
      </c>
      <c r="K26">
        <f>IF('90_CANON_CONF_SOURCE'!K26='18_WEIGHT_CONTROL'!$A$5,'18_WEIGHT_CONTROL'!$B$5,IF('90_CANON_CONF_SOURCE'!K26='18_WEIGHT_CONTROL'!$A$6,'18_WEIGHT_CONTROL'!$B$6,IF('90_CANON_CONF_SOURCE'!K26='18_WEIGHT_CONTROL'!$A$7,'18_WEIGHT_CONTROL'!$B$7,'18_WEIGHT_CONTROL'!$B$8)))</f>
        <v/>
      </c>
      <c r="L26">
        <f>IF('90_CANON_CONF_SOURCE'!L26='18_WEIGHT_CONTROL'!$A$5,'18_WEIGHT_CONTROL'!$B$5,IF('90_CANON_CONF_SOURCE'!L26='18_WEIGHT_CONTROL'!$A$6,'18_WEIGHT_CONTROL'!$B$6,IF('90_CANON_CONF_SOURCE'!L26='18_WEIGHT_CONTROL'!$A$7,'18_WEIGHT_CONTROL'!$B$7,'18_WEIGHT_CONTROL'!$B$8)))</f>
        <v/>
      </c>
      <c r="M26">
        <f>IF('90_CANON_CONF_SOURCE'!M26='18_WEIGHT_CONTROL'!$A$5,'18_WEIGHT_CONTROL'!$B$5,IF('90_CANON_CONF_SOURCE'!M26='18_WEIGHT_CONTROL'!$A$6,'18_WEIGHT_CONTROL'!$B$6,IF('90_CANON_CONF_SOURCE'!M26='18_WEIGHT_CONTROL'!$A$7,'18_WEIGHT_CONTROL'!$B$7,'18_WEIGHT_CONTROL'!$B$8)))</f>
        <v/>
      </c>
      <c r="N26">
        <f>IF('90_CANON_CONF_SOURCE'!N26='18_WEIGHT_CONTROL'!$A$5,'18_WEIGHT_CONTROL'!$B$5,IF('90_CANON_CONF_SOURCE'!N26='18_WEIGHT_CONTROL'!$A$6,'18_WEIGHT_CONTROL'!$B$6,IF('90_CANON_CONF_SOURCE'!N26='18_WEIGHT_CONTROL'!$A$7,'18_WEIGHT_CONTROL'!$B$7,'18_WEIGHT_CONTROL'!$B$8)))</f>
        <v/>
      </c>
      <c r="O26">
        <f>IF('90_CANON_CONF_SOURCE'!O26='18_WEIGHT_CONTROL'!$A$5,'18_WEIGHT_CONTROL'!$B$5,IF('90_CANON_CONF_SOURCE'!O26='18_WEIGHT_CONTROL'!$A$6,'18_WEIGHT_CONTROL'!$B$6,IF('90_CANON_CONF_SOURCE'!O26='18_WEIGHT_CONTROL'!$A$7,'18_WEIGHT_CONTROL'!$B$7,'18_WEIGHT_CONTROL'!$B$8)))</f>
        <v/>
      </c>
      <c r="P26">
        <f>IF('90_CANON_CONF_SOURCE'!P26='18_WEIGHT_CONTROL'!$A$5,'18_WEIGHT_CONTROL'!$B$5,IF('90_CANON_CONF_SOURCE'!P26='18_WEIGHT_CONTROL'!$A$6,'18_WEIGHT_CONTROL'!$B$6,IF('90_CANON_CONF_SOURCE'!P26='18_WEIGHT_CONTROL'!$A$7,'18_WEIGHT_CONTROL'!$B$7,'18_WEIGHT_CONTROL'!$B$8)))</f>
        <v/>
      </c>
      <c r="Q26">
        <f>IF('90_CANON_CONF_SOURCE'!Q26='18_WEIGHT_CONTROL'!$A$5,'18_WEIGHT_CONTROL'!$B$5,IF('90_CANON_CONF_SOURCE'!Q26='18_WEIGHT_CONTROL'!$A$6,'18_WEIGHT_CONTROL'!$B$6,IF('90_CANON_CONF_SOURCE'!Q26='18_WEIGHT_CONTROL'!$A$7,'18_WEIGHT_CONTROL'!$B$7,'18_WEIGHT_CONTROL'!$B$8)))</f>
        <v/>
      </c>
      <c r="R26">
        <f>IF('90_CANON_CONF_SOURCE'!R26='18_WEIGHT_CONTROL'!$A$5,'18_WEIGHT_CONTROL'!$B$5,IF('90_CANON_CONF_SOURCE'!R26='18_WEIGHT_CONTROL'!$A$6,'18_WEIGHT_CONTROL'!$B$6,IF('90_CANON_CONF_SOURCE'!R26='18_WEIGHT_CONTROL'!$A$7,'18_WEIGHT_CONTROL'!$B$7,'18_WEIGHT_CONTROL'!$B$8)))</f>
        <v/>
      </c>
      <c r="S26">
        <f>IF('90_CANON_CONF_SOURCE'!S26='18_WEIGHT_CONTROL'!$A$5,'18_WEIGHT_CONTROL'!$B$5,IF('90_CANON_CONF_SOURCE'!S26='18_WEIGHT_CONTROL'!$A$6,'18_WEIGHT_CONTROL'!$B$6,IF('90_CANON_CONF_SOURCE'!S26='18_WEIGHT_CONTROL'!$A$7,'18_WEIGHT_CONTROL'!$B$7,'18_WEIGHT_CONTROL'!$B$8)))</f>
        <v/>
      </c>
      <c r="T26">
        <f>IF('90_CANON_CONF_SOURCE'!T26='18_WEIGHT_CONTROL'!$A$5,'18_WEIGHT_CONTROL'!$B$5,IF('90_CANON_CONF_SOURCE'!T26='18_WEIGHT_CONTROL'!$A$6,'18_WEIGHT_CONTROL'!$B$6,IF('90_CANON_CONF_SOURCE'!T26='18_WEIGHT_CONTROL'!$A$7,'18_WEIGHT_CONTROL'!$B$7,'18_WEIGHT_CONTROL'!$B$8)))</f>
        <v/>
      </c>
      <c r="U26">
        <f>IF('90_CANON_CONF_SOURCE'!U26='18_WEIGHT_CONTROL'!$A$5,'18_WEIGHT_CONTROL'!$B$5,IF('90_CANON_CONF_SOURCE'!U26='18_WEIGHT_CONTROL'!$A$6,'18_WEIGHT_CONTROL'!$B$6,IF('90_CANON_CONF_SOURCE'!U26='18_WEIGHT_CONTROL'!$A$7,'18_WEIGHT_CONTROL'!$B$7,'18_WEIGHT_CONTROL'!$B$8)))</f>
        <v/>
      </c>
      <c r="V26">
        <f>IF('90_CANON_CONF_SOURCE'!V26='18_WEIGHT_CONTROL'!$A$5,'18_WEIGHT_CONTROL'!$B$5,IF('90_CANON_CONF_SOURCE'!V26='18_WEIGHT_CONTROL'!$A$6,'18_WEIGHT_CONTROL'!$B$6,IF('90_CANON_CONF_SOURCE'!V26='18_WEIGHT_CONTROL'!$A$7,'18_WEIGHT_CONTROL'!$B$7,'18_WEIGHT_CONTROL'!$B$8)))</f>
        <v/>
      </c>
      <c r="W26">
        <f>IF('90_CANON_CONF_SOURCE'!W26='18_WEIGHT_CONTROL'!$A$5,'18_WEIGHT_CONTROL'!$B$5,IF('90_CANON_CONF_SOURCE'!W26='18_WEIGHT_CONTROL'!$A$6,'18_WEIGHT_CONTROL'!$B$6,IF('90_CANON_CONF_SOURCE'!W26='18_WEIGHT_CONTROL'!$A$7,'18_WEIGHT_CONTROL'!$B$7,'18_WEIGHT_CONTROL'!$B$8)))</f>
        <v/>
      </c>
      <c r="X26">
        <f>IF('90_CANON_CONF_SOURCE'!X26='18_WEIGHT_CONTROL'!$A$5,'18_WEIGHT_CONTROL'!$B$5,IF('90_CANON_CONF_SOURCE'!X26='18_WEIGHT_CONTROL'!$A$6,'18_WEIGHT_CONTROL'!$B$6,IF('90_CANON_CONF_SOURCE'!X26='18_WEIGHT_CONTROL'!$A$7,'18_WEIGHT_CONTROL'!$B$7,'18_WEIGHT_CONTROL'!$B$8)))</f>
        <v/>
      </c>
      <c r="Y26">
        <f>IF('90_CANON_CONF_SOURCE'!Y26='18_WEIGHT_CONTROL'!$A$5,'18_WEIGHT_CONTROL'!$B$5,IF('90_CANON_CONF_SOURCE'!Y26='18_WEIGHT_CONTROL'!$A$6,'18_WEIGHT_CONTROL'!$B$6,IF('90_CANON_CONF_SOURCE'!Y26='18_WEIGHT_CONTROL'!$A$7,'18_WEIGHT_CONTROL'!$B$7,'18_WEIGHT_CONTROL'!$B$8)))</f>
        <v/>
      </c>
      <c r="Z26">
        <f>IF('91_MOTIF_CONF_SOURCE'!D26='18_WEIGHT_CONTROL'!$A$5,'18_WEIGHT_CONTROL'!$B$5,IF('91_MOTIF_CONF_SOURCE'!D26='18_WEIGHT_CONTROL'!$A$6,'18_WEIGHT_CONTROL'!$B$6,IF('91_MOTIF_CONF_SOURCE'!D26='18_WEIGHT_CONTROL'!$A$7,'18_WEIGHT_CONTROL'!$B$7,'18_WEIGHT_CONTROL'!$B$8)))</f>
        <v/>
      </c>
      <c r="AA26">
        <f>IF('91_MOTIF_CONF_SOURCE'!E26='18_WEIGHT_CONTROL'!$A$5,'18_WEIGHT_CONTROL'!$B$5,IF('91_MOTIF_CONF_SOURCE'!E26='18_WEIGHT_CONTROL'!$A$6,'18_WEIGHT_CONTROL'!$B$6,IF('91_MOTIF_CONF_SOURCE'!E26='18_WEIGHT_CONTROL'!$A$7,'18_WEIGHT_CONTROL'!$B$7,'18_WEIGHT_CONTROL'!$B$8)))</f>
        <v/>
      </c>
      <c r="AB26">
        <f>IF('91_MOTIF_CONF_SOURCE'!F26='18_WEIGHT_CONTROL'!$A$5,'18_WEIGHT_CONTROL'!$B$5,IF('91_MOTIF_CONF_SOURCE'!F26='18_WEIGHT_CONTROL'!$A$6,'18_WEIGHT_CONTROL'!$B$6,IF('91_MOTIF_CONF_SOURCE'!F26='18_WEIGHT_CONTROL'!$A$7,'18_WEIGHT_CONTROL'!$B$7,'18_WEIGHT_CONTROL'!$B$8)))</f>
        <v/>
      </c>
      <c r="AC26">
        <f>IF('91_MOTIF_CONF_SOURCE'!G26='18_WEIGHT_CONTROL'!$A$5,'18_WEIGHT_CONTROL'!$B$5,IF('91_MOTIF_CONF_SOURCE'!G26='18_WEIGHT_CONTROL'!$A$6,'18_WEIGHT_CONTROL'!$B$6,IF('91_MOTIF_CONF_SOURCE'!G26='18_WEIGHT_CONTROL'!$A$7,'18_WEIGHT_CONTROL'!$B$7,'18_WEIGHT_CONTROL'!$B$8)))</f>
        <v/>
      </c>
      <c r="AD26">
        <f>IF('91_MOTIF_CONF_SOURCE'!H26='18_WEIGHT_CONTROL'!$A$5,'18_WEIGHT_CONTROL'!$B$5,IF('91_MOTIF_CONF_SOURCE'!H26='18_WEIGHT_CONTROL'!$A$6,'18_WEIGHT_CONTROL'!$B$6,IF('91_MOTIF_CONF_SOURCE'!H26='18_WEIGHT_CONTROL'!$A$7,'18_WEIGHT_CONTROL'!$B$7,'18_WEIGHT_CONTROL'!$B$8)))</f>
        <v/>
      </c>
      <c r="AE26">
        <f>IF('91_MOTIF_CONF_SOURCE'!I26='18_WEIGHT_CONTROL'!$A$5,'18_WEIGHT_CONTROL'!$B$5,IF('91_MOTIF_CONF_SOURCE'!I26='18_WEIGHT_CONTROL'!$A$6,'18_WEIGHT_CONTROL'!$B$6,IF('91_MOTIF_CONF_SOURCE'!I26='18_WEIGHT_CONTROL'!$A$7,'18_WEIGHT_CONTROL'!$B$7,'18_WEIGHT_CONTROL'!$B$8)))</f>
        <v/>
      </c>
      <c r="AF26">
        <f>IF('91_MOTIF_CONF_SOURCE'!J26='18_WEIGHT_CONTROL'!$A$5,'18_WEIGHT_CONTROL'!$B$5,IF('91_MOTIF_CONF_SOURCE'!J26='18_WEIGHT_CONTROL'!$A$6,'18_WEIGHT_CONTROL'!$B$6,IF('91_MOTIF_CONF_SOURCE'!J26='18_WEIGHT_CONTROL'!$A$7,'18_WEIGHT_CONTROL'!$B$7,'18_WEIGHT_CONTROL'!$B$8)))</f>
        <v/>
      </c>
      <c r="AG26">
        <f>IF('91_MOTIF_CONF_SOURCE'!K26='18_WEIGHT_CONTROL'!$A$5,'18_WEIGHT_CONTROL'!$B$5,IF('91_MOTIF_CONF_SOURCE'!K26='18_WEIGHT_CONTROL'!$A$6,'18_WEIGHT_CONTROL'!$B$6,IF('91_MOTIF_CONF_SOURCE'!K26='18_WEIGHT_CONTROL'!$A$7,'18_WEIGHT_CONTROL'!$B$7,'18_WEIGHT_CONTROL'!$B$8)))</f>
        <v/>
      </c>
      <c r="AH26">
        <f>IF('91_MOTIF_CONF_SOURCE'!L26='18_WEIGHT_CONTROL'!$A$5,'18_WEIGHT_CONTROL'!$B$5,IF('91_MOTIF_CONF_SOURCE'!L26='18_WEIGHT_CONTROL'!$A$6,'18_WEIGHT_CONTROL'!$B$6,IF('91_MOTIF_CONF_SOURCE'!L26='18_WEIGHT_CONTROL'!$A$7,'18_WEIGHT_CONTROL'!$B$7,'18_WEIGHT_CONTROL'!$B$8)))</f>
        <v/>
      </c>
      <c r="AI26">
        <f>IF('91_MOTIF_CONF_SOURCE'!M26='18_WEIGHT_CONTROL'!$A$5,'18_WEIGHT_CONTROL'!$B$5,IF('91_MOTIF_CONF_SOURCE'!M26='18_WEIGHT_CONTROL'!$A$6,'18_WEIGHT_CONTROL'!$B$6,IF('91_MOTIF_CONF_SOURCE'!M26='18_WEIGHT_CONTROL'!$A$7,'18_WEIGHT_CONTROL'!$B$7,'18_WEIGHT_CONTROL'!$B$8)))</f>
        <v/>
      </c>
      <c r="AJ26">
        <f>IF('91_MOTIF_CONF_SOURCE'!N26='18_WEIGHT_CONTROL'!$A$5,'18_WEIGHT_CONTROL'!$B$5,IF('91_MOTIF_CONF_SOURCE'!N26='18_WEIGHT_CONTROL'!$A$6,'18_WEIGHT_CONTROL'!$B$6,IF('91_MOTIF_CONF_SOURCE'!N26='18_WEIGHT_CONTROL'!$A$7,'18_WEIGHT_CONTROL'!$B$7,'18_WEIGHT_CONTROL'!$B$8)))</f>
        <v/>
      </c>
      <c r="AK26">
        <f>IF('91_MOTIF_CONF_SOURCE'!O26='18_WEIGHT_CONTROL'!$A$5,'18_WEIGHT_CONTROL'!$B$5,IF('91_MOTIF_CONF_SOURCE'!O26='18_WEIGHT_CONTROL'!$A$6,'18_WEIGHT_CONTROL'!$B$6,IF('91_MOTIF_CONF_SOURCE'!O26='18_WEIGHT_CONTROL'!$A$7,'18_WEIGHT_CONTROL'!$B$7,'18_WEIGHT_CONTROL'!$B$8)))</f>
        <v/>
      </c>
      <c r="AL26">
        <f>IF('91_MOTIF_CONF_SOURCE'!P26='18_WEIGHT_CONTROL'!$A$5,'18_WEIGHT_CONTROL'!$B$5,IF('91_MOTIF_CONF_SOURCE'!P26='18_WEIGHT_CONTROL'!$A$6,'18_WEIGHT_CONTROL'!$B$6,IF('91_MOTIF_CONF_SOURCE'!P26='18_WEIGHT_CONTROL'!$A$7,'18_WEIGHT_CONTROL'!$B$7,'18_WEIGHT_CONTROL'!$B$8)))</f>
        <v/>
      </c>
      <c r="AM26">
        <f>IF('91_MOTIF_CONF_SOURCE'!Q26='18_WEIGHT_CONTROL'!$A$5,'18_WEIGHT_CONTROL'!$B$5,IF('91_MOTIF_CONF_SOURCE'!Q26='18_WEIGHT_CONTROL'!$A$6,'18_WEIGHT_CONTROL'!$B$6,IF('91_MOTIF_CONF_SOURCE'!Q26='18_WEIGHT_CONTROL'!$A$7,'18_WEIGHT_CONTROL'!$B$7,'18_WEIGHT_CONTROL'!$B$8)))</f>
        <v/>
      </c>
      <c r="AN26">
        <f>IF('91_MOTIF_CONF_SOURCE'!R26='18_WEIGHT_CONTROL'!$A$5,'18_WEIGHT_CONTROL'!$B$5,IF('91_MOTIF_CONF_SOURCE'!R26='18_WEIGHT_CONTROL'!$A$6,'18_WEIGHT_CONTROL'!$B$6,IF('91_MOTIF_CONF_SOURCE'!R26='18_WEIGHT_CONTROL'!$A$7,'18_WEIGHT_CONTROL'!$B$7,'18_WEIGHT_CONTROL'!$B$8)))</f>
        <v/>
      </c>
      <c r="AO26">
        <f>IF('91_MOTIF_CONF_SOURCE'!S26='18_WEIGHT_CONTROL'!$A$5,'18_WEIGHT_CONTROL'!$B$5,IF('91_MOTIF_CONF_SOURCE'!S26='18_WEIGHT_CONTROL'!$A$6,'18_WEIGHT_CONTROL'!$B$6,IF('91_MOTIF_CONF_SOURCE'!S26='18_WEIGHT_CONTROL'!$A$7,'18_WEIGHT_CONTROL'!$B$7,'18_WEIGHT_CONTROL'!$B$8)))</f>
        <v/>
      </c>
      <c r="AP26">
        <f>IF('91_MOTIF_CONF_SOURCE'!T26='18_WEIGHT_CONTROL'!$A$5,'18_WEIGHT_CONTROL'!$B$5,IF('91_MOTIF_CONF_SOURCE'!T26='18_WEIGHT_CONTROL'!$A$6,'18_WEIGHT_CONTROL'!$B$6,IF('91_MOTIF_CONF_SOURCE'!T26='18_WEIGHT_CONTROL'!$A$7,'18_WEIGHT_CONTROL'!$B$7,'18_WEIGHT_CONTROL'!$B$8)))</f>
        <v/>
      </c>
      <c r="AQ26">
        <f>IF('91_MOTIF_CONF_SOURCE'!U26='18_WEIGHT_CONTROL'!$A$5,'18_WEIGHT_CONTROL'!$B$5,IF('91_MOTIF_CONF_SOURCE'!U26='18_WEIGHT_CONTROL'!$A$6,'18_WEIGHT_CONTROL'!$B$6,IF('91_MOTIF_CONF_SOURCE'!U26='18_WEIGHT_CONTROL'!$A$7,'18_WEIGHT_CONTROL'!$B$7,'18_WEIGHT_CONTROL'!$B$8)))</f>
        <v/>
      </c>
      <c r="AR26">
        <f>IF('91_MOTIF_CONF_SOURCE'!V26='18_WEIGHT_CONTROL'!$A$5,'18_WEIGHT_CONTROL'!$B$5,IF('91_MOTIF_CONF_SOURCE'!V26='18_WEIGHT_CONTROL'!$A$6,'18_WEIGHT_CONTROL'!$B$6,IF('91_MOTIF_CONF_SOURCE'!V26='18_WEIGHT_CONTROL'!$A$7,'18_WEIGHT_CONTROL'!$B$7,'18_WEIGHT_CONTROL'!$B$8)))</f>
        <v/>
      </c>
    </row>
    <row r="27">
      <c r="A27" t="n">
        <v>23</v>
      </c>
      <c r="B27" t="inlineStr">
        <is>
          <t>地球源靈魂</t>
        </is>
      </c>
      <c r="C27" t="inlineStr">
        <is>
          <t>Earth-Origin Soul</t>
        </is>
      </c>
      <c r="D27">
        <f>IF('90_CANON_CONF_SOURCE'!D27='18_WEIGHT_CONTROL'!$A$5,'18_WEIGHT_CONTROL'!$B$5,IF('90_CANON_CONF_SOURCE'!D27='18_WEIGHT_CONTROL'!$A$6,'18_WEIGHT_CONTROL'!$B$6,IF('90_CANON_CONF_SOURCE'!D27='18_WEIGHT_CONTROL'!$A$7,'18_WEIGHT_CONTROL'!$B$7,'18_WEIGHT_CONTROL'!$B$8)))</f>
        <v/>
      </c>
      <c r="E27">
        <f>IF('90_CANON_CONF_SOURCE'!E27='18_WEIGHT_CONTROL'!$A$5,'18_WEIGHT_CONTROL'!$B$5,IF('90_CANON_CONF_SOURCE'!E27='18_WEIGHT_CONTROL'!$A$6,'18_WEIGHT_CONTROL'!$B$6,IF('90_CANON_CONF_SOURCE'!E27='18_WEIGHT_CONTROL'!$A$7,'18_WEIGHT_CONTROL'!$B$7,'18_WEIGHT_CONTROL'!$B$8)))</f>
        <v/>
      </c>
      <c r="F27">
        <f>IF('90_CANON_CONF_SOURCE'!F27='18_WEIGHT_CONTROL'!$A$5,'18_WEIGHT_CONTROL'!$B$5,IF('90_CANON_CONF_SOURCE'!F27='18_WEIGHT_CONTROL'!$A$6,'18_WEIGHT_CONTROL'!$B$6,IF('90_CANON_CONF_SOURCE'!F27='18_WEIGHT_CONTROL'!$A$7,'18_WEIGHT_CONTROL'!$B$7,'18_WEIGHT_CONTROL'!$B$8)))</f>
        <v/>
      </c>
      <c r="G27">
        <f>IF('90_CANON_CONF_SOURCE'!G27='18_WEIGHT_CONTROL'!$A$5,'18_WEIGHT_CONTROL'!$B$5,IF('90_CANON_CONF_SOURCE'!G27='18_WEIGHT_CONTROL'!$A$6,'18_WEIGHT_CONTROL'!$B$6,IF('90_CANON_CONF_SOURCE'!G27='18_WEIGHT_CONTROL'!$A$7,'18_WEIGHT_CONTROL'!$B$7,'18_WEIGHT_CONTROL'!$B$8)))</f>
        <v/>
      </c>
      <c r="H27">
        <f>IF('90_CANON_CONF_SOURCE'!H27='18_WEIGHT_CONTROL'!$A$5,'18_WEIGHT_CONTROL'!$B$5,IF('90_CANON_CONF_SOURCE'!H27='18_WEIGHT_CONTROL'!$A$6,'18_WEIGHT_CONTROL'!$B$6,IF('90_CANON_CONF_SOURCE'!H27='18_WEIGHT_CONTROL'!$A$7,'18_WEIGHT_CONTROL'!$B$7,'18_WEIGHT_CONTROL'!$B$8)))</f>
        <v/>
      </c>
      <c r="I27">
        <f>IF('90_CANON_CONF_SOURCE'!I27='18_WEIGHT_CONTROL'!$A$5,'18_WEIGHT_CONTROL'!$B$5,IF('90_CANON_CONF_SOURCE'!I27='18_WEIGHT_CONTROL'!$A$6,'18_WEIGHT_CONTROL'!$B$6,IF('90_CANON_CONF_SOURCE'!I27='18_WEIGHT_CONTROL'!$A$7,'18_WEIGHT_CONTROL'!$B$7,'18_WEIGHT_CONTROL'!$B$8)))</f>
        <v/>
      </c>
      <c r="J27">
        <f>IF('90_CANON_CONF_SOURCE'!J27='18_WEIGHT_CONTROL'!$A$5,'18_WEIGHT_CONTROL'!$B$5,IF('90_CANON_CONF_SOURCE'!J27='18_WEIGHT_CONTROL'!$A$6,'18_WEIGHT_CONTROL'!$B$6,IF('90_CANON_CONF_SOURCE'!J27='18_WEIGHT_CONTROL'!$A$7,'18_WEIGHT_CONTROL'!$B$7,'18_WEIGHT_CONTROL'!$B$8)))</f>
        <v/>
      </c>
      <c r="K27">
        <f>IF('90_CANON_CONF_SOURCE'!K27='18_WEIGHT_CONTROL'!$A$5,'18_WEIGHT_CONTROL'!$B$5,IF('90_CANON_CONF_SOURCE'!K27='18_WEIGHT_CONTROL'!$A$6,'18_WEIGHT_CONTROL'!$B$6,IF('90_CANON_CONF_SOURCE'!K27='18_WEIGHT_CONTROL'!$A$7,'18_WEIGHT_CONTROL'!$B$7,'18_WEIGHT_CONTROL'!$B$8)))</f>
        <v/>
      </c>
      <c r="L27">
        <f>IF('90_CANON_CONF_SOURCE'!L27='18_WEIGHT_CONTROL'!$A$5,'18_WEIGHT_CONTROL'!$B$5,IF('90_CANON_CONF_SOURCE'!L27='18_WEIGHT_CONTROL'!$A$6,'18_WEIGHT_CONTROL'!$B$6,IF('90_CANON_CONF_SOURCE'!L27='18_WEIGHT_CONTROL'!$A$7,'18_WEIGHT_CONTROL'!$B$7,'18_WEIGHT_CONTROL'!$B$8)))</f>
        <v/>
      </c>
      <c r="M27">
        <f>IF('90_CANON_CONF_SOURCE'!M27='18_WEIGHT_CONTROL'!$A$5,'18_WEIGHT_CONTROL'!$B$5,IF('90_CANON_CONF_SOURCE'!M27='18_WEIGHT_CONTROL'!$A$6,'18_WEIGHT_CONTROL'!$B$6,IF('90_CANON_CONF_SOURCE'!M27='18_WEIGHT_CONTROL'!$A$7,'18_WEIGHT_CONTROL'!$B$7,'18_WEIGHT_CONTROL'!$B$8)))</f>
        <v/>
      </c>
      <c r="N27">
        <f>IF('90_CANON_CONF_SOURCE'!N27='18_WEIGHT_CONTROL'!$A$5,'18_WEIGHT_CONTROL'!$B$5,IF('90_CANON_CONF_SOURCE'!N27='18_WEIGHT_CONTROL'!$A$6,'18_WEIGHT_CONTROL'!$B$6,IF('90_CANON_CONF_SOURCE'!N27='18_WEIGHT_CONTROL'!$A$7,'18_WEIGHT_CONTROL'!$B$7,'18_WEIGHT_CONTROL'!$B$8)))</f>
        <v/>
      </c>
      <c r="O27">
        <f>IF('90_CANON_CONF_SOURCE'!O27='18_WEIGHT_CONTROL'!$A$5,'18_WEIGHT_CONTROL'!$B$5,IF('90_CANON_CONF_SOURCE'!O27='18_WEIGHT_CONTROL'!$A$6,'18_WEIGHT_CONTROL'!$B$6,IF('90_CANON_CONF_SOURCE'!O27='18_WEIGHT_CONTROL'!$A$7,'18_WEIGHT_CONTROL'!$B$7,'18_WEIGHT_CONTROL'!$B$8)))</f>
        <v/>
      </c>
      <c r="P27">
        <f>IF('90_CANON_CONF_SOURCE'!P27='18_WEIGHT_CONTROL'!$A$5,'18_WEIGHT_CONTROL'!$B$5,IF('90_CANON_CONF_SOURCE'!P27='18_WEIGHT_CONTROL'!$A$6,'18_WEIGHT_CONTROL'!$B$6,IF('90_CANON_CONF_SOURCE'!P27='18_WEIGHT_CONTROL'!$A$7,'18_WEIGHT_CONTROL'!$B$7,'18_WEIGHT_CONTROL'!$B$8)))</f>
        <v/>
      </c>
      <c r="Q27">
        <f>IF('90_CANON_CONF_SOURCE'!Q27='18_WEIGHT_CONTROL'!$A$5,'18_WEIGHT_CONTROL'!$B$5,IF('90_CANON_CONF_SOURCE'!Q27='18_WEIGHT_CONTROL'!$A$6,'18_WEIGHT_CONTROL'!$B$6,IF('90_CANON_CONF_SOURCE'!Q27='18_WEIGHT_CONTROL'!$A$7,'18_WEIGHT_CONTROL'!$B$7,'18_WEIGHT_CONTROL'!$B$8)))</f>
        <v/>
      </c>
      <c r="R27">
        <f>IF('90_CANON_CONF_SOURCE'!R27='18_WEIGHT_CONTROL'!$A$5,'18_WEIGHT_CONTROL'!$B$5,IF('90_CANON_CONF_SOURCE'!R27='18_WEIGHT_CONTROL'!$A$6,'18_WEIGHT_CONTROL'!$B$6,IF('90_CANON_CONF_SOURCE'!R27='18_WEIGHT_CONTROL'!$A$7,'18_WEIGHT_CONTROL'!$B$7,'18_WEIGHT_CONTROL'!$B$8)))</f>
        <v/>
      </c>
      <c r="S27">
        <f>IF('90_CANON_CONF_SOURCE'!S27='18_WEIGHT_CONTROL'!$A$5,'18_WEIGHT_CONTROL'!$B$5,IF('90_CANON_CONF_SOURCE'!S27='18_WEIGHT_CONTROL'!$A$6,'18_WEIGHT_CONTROL'!$B$6,IF('90_CANON_CONF_SOURCE'!S27='18_WEIGHT_CONTROL'!$A$7,'18_WEIGHT_CONTROL'!$B$7,'18_WEIGHT_CONTROL'!$B$8)))</f>
        <v/>
      </c>
      <c r="T27">
        <f>IF('90_CANON_CONF_SOURCE'!T27='18_WEIGHT_CONTROL'!$A$5,'18_WEIGHT_CONTROL'!$B$5,IF('90_CANON_CONF_SOURCE'!T27='18_WEIGHT_CONTROL'!$A$6,'18_WEIGHT_CONTROL'!$B$6,IF('90_CANON_CONF_SOURCE'!T27='18_WEIGHT_CONTROL'!$A$7,'18_WEIGHT_CONTROL'!$B$7,'18_WEIGHT_CONTROL'!$B$8)))</f>
        <v/>
      </c>
      <c r="U27">
        <f>IF('90_CANON_CONF_SOURCE'!U27='18_WEIGHT_CONTROL'!$A$5,'18_WEIGHT_CONTROL'!$B$5,IF('90_CANON_CONF_SOURCE'!U27='18_WEIGHT_CONTROL'!$A$6,'18_WEIGHT_CONTROL'!$B$6,IF('90_CANON_CONF_SOURCE'!U27='18_WEIGHT_CONTROL'!$A$7,'18_WEIGHT_CONTROL'!$B$7,'18_WEIGHT_CONTROL'!$B$8)))</f>
        <v/>
      </c>
      <c r="V27">
        <f>IF('90_CANON_CONF_SOURCE'!V27='18_WEIGHT_CONTROL'!$A$5,'18_WEIGHT_CONTROL'!$B$5,IF('90_CANON_CONF_SOURCE'!V27='18_WEIGHT_CONTROL'!$A$6,'18_WEIGHT_CONTROL'!$B$6,IF('90_CANON_CONF_SOURCE'!V27='18_WEIGHT_CONTROL'!$A$7,'18_WEIGHT_CONTROL'!$B$7,'18_WEIGHT_CONTROL'!$B$8)))</f>
        <v/>
      </c>
      <c r="W27">
        <f>IF('90_CANON_CONF_SOURCE'!W27='18_WEIGHT_CONTROL'!$A$5,'18_WEIGHT_CONTROL'!$B$5,IF('90_CANON_CONF_SOURCE'!W27='18_WEIGHT_CONTROL'!$A$6,'18_WEIGHT_CONTROL'!$B$6,IF('90_CANON_CONF_SOURCE'!W27='18_WEIGHT_CONTROL'!$A$7,'18_WEIGHT_CONTROL'!$B$7,'18_WEIGHT_CONTROL'!$B$8)))</f>
        <v/>
      </c>
      <c r="X27">
        <f>IF('90_CANON_CONF_SOURCE'!X27='18_WEIGHT_CONTROL'!$A$5,'18_WEIGHT_CONTROL'!$B$5,IF('90_CANON_CONF_SOURCE'!X27='18_WEIGHT_CONTROL'!$A$6,'18_WEIGHT_CONTROL'!$B$6,IF('90_CANON_CONF_SOURCE'!X27='18_WEIGHT_CONTROL'!$A$7,'18_WEIGHT_CONTROL'!$B$7,'18_WEIGHT_CONTROL'!$B$8)))</f>
        <v/>
      </c>
      <c r="Y27">
        <f>IF('90_CANON_CONF_SOURCE'!Y27='18_WEIGHT_CONTROL'!$A$5,'18_WEIGHT_CONTROL'!$B$5,IF('90_CANON_CONF_SOURCE'!Y27='18_WEIGHT_CONTROL'!$A$6,'18_WEIGHT_CONTROL'!$B$6,IF('90_CANON_CONF_SOURCE'!Y27='18_WEIGHT_CONTROL'!$A$7,'18_WEIGHT_CONTROL'!$B$7,'18_WEIGHT_CONTROL'!$B$8)))</f>
        <v/>
      </c>
      <c r="Z27">
        <f>IF('91_MOTIF_CONF_SOURCE'!D27='18_WEIGHT_CONTROL'!$A$5,'18_WEIGHT_CONTROL'!$B$5,IF('91_MOTIF_CONF_SOURCE'!D27='18_WEIGHT_CONTROL'!$A$6,'18_WEIGHT_CONTROL'!$B$6,IF('91_MOTIF_CONF_SOURCE'!D27='18_WEIGHT_CONTROL'!$A$7,'18_WEIGHT_CONTROL'!$B$7,'18_WEIGHT_CONTROL'!$B$8)))</f>
        <v/>
      </c>
      <c r="AA27">
        <f>IF('91_MOTIF_CONF_SOURCE'!E27='18_WEIGHT_CONTROL'!$A$5,'18_WEIGHT_CONTROL'!$B$5,IF('91_MOTIF_CONF_SOURCE'!E27='18_WEIGHT_CONTROL'!$A$6,'18_WEIGHT_CONTROL'!$B$6,IF('91_MOTIF_CONF_SOURCE'!E27='18_WEIGHT_CONTROL'!$A$7,'18_WEIGHT_CONTROL'!$B$7,'18_WEIGHT_CONTROL'!$B$8)))</f>
        <v/>
      </c>
      <c r="AB27">
        <f>IF('91_MOTIF_CONF_SOURCE'!F27='18_WEIGHT_CONTROL'!$A$5,'18_WEIGHT_CONTROL'!$B$5,IF('91_MOTIF_CONF_SOURCE'!F27='18_WEIGHT_CONTROL'!$A$6,'18_WEIGHT_CONTROL'!$B$6,IF('91_MOTIF_CONF_SOURCE'!F27='18_WEIGHT_CONTROL'!$A$7,'18_WEIGHT_CONTROL'!$B$7,'18_WEIGHT_CONTROL'!$B$8)))</f>
        <v/>
      </c>
      <c r="AC27">
        <f>IF('91_MOTIF_CONF_SOURCE'!G27='18_WEIGHT_CONTROL'!$A$5,'18_WEIGHT_CONTROL'!$B$5,IF('91_MOTIF_CONF_SOURCE'!G27='18_WEIGHT_CONTROL'!$A$6,'18_WEIGHT_CONTROL'!$B$6,IF('91_MOTIF_CONF_SOURCE'!G27='18_WEIGHT_CONTROL'!$A$7,'18_WEIGHT_CONTROL'!$B$7,'18_WEIGHT_CONTROL'!$B$8)))</f>
        <v/>
      </c>
      <c r="AD27">
        <f>IF('91_MOTIF_CONF_SOURCE'!H27='18_WEIGHT_CONTROL'!$A$5,'18_WEIGHT_CONTROL'!$B$5,IF('91_MOTIF_CONF_SOURCE'!H27='18_WEIGHT_CONTROL'!$A$6,'18_WEIGHT_CONTROL'!$B$6,IF('91_MOTIF_CONF_SOURCE'!H27='18_WEIGHT_CONTROL'!$A$7,'18_WEIGHT_CONTROL'!$B$7,'18_WEIGHT_CONTROL'!$B$8)))</f>
        <v/>
      </c>
      <c r="AE27">
        <f>IF('91_MOTIF_CONF_SOURCE'!I27='18_WEIGHT_CONTROL'!$A$5,'18_WEIGHT_CONTROL'!$B$5,IF('91_MOTIF_CONF_SOURCE'!I27='18_WEIGHT_CONTROL'!$A$6,'18_WEIGHT_CONTROL'!$B$6,IF('91_MOTIF_CONF_SOURCE'!I27='18_WEIGHT_CONTROL'!$A$7,'18_WEIGHT_CONTROL'!$B$7,'18_WEIGHT_CONTROL'!$B$8)))</f>
        <v/>
      </c>
      <c r="AF27">
        <f>IF('91_MOTIF_CONF_SOURCE'!J27='18_WEIGHT_CONTROL'!$A$5,'18_WEIGHT_CONTROL'!$B$5,IF('91_MOTIF_CONF_SOURCE'!J27='18_WEIGHT_CONTROL'!$A$6,'18_WEIGHT_CONTROL'!$B$6,IF('91_MOTIF_CONF_SOURCE'!J27='18_WEIGHT_CONTROL'!$A$7,'18_WEIGHT_CONTROL'!$B$7,'18_WEIGHT_CONTROL'!$B$8)))</f>
        <v/>
      </c>
      <c r="AG27">
        <f>IF('91_MOTIF_CONF_SOURCE'!K27='18_WEIGHT_CONTROL'!$A$5,'18_WEIGHT_CONTROL'!$B$5,IF('91_MOTIF_CONF_SOURCE'!K27='18_WEIGHT_CONTROL'!$A$6,'18_WEIGHT_CONTROL'!$B$6,IF('91_MOTIF_CONF_SOURCE'!K27='18_WEIGHT_CONTROL'!$A$7,'18_WEIGHT_CONTROL'!$B$7,'18_WEIGHT_CONTROL'!$B$8)))</f>
        <v/>
      </c>
      <c r="AH27">
        <f>IF('91_MOTIF_CONF_SOURCE'!L27='18_WEIGHT_CONTROL'!$A$5,'18_WEIGHT_CONTROL'!$B$5,IF('91_MOTIF_CONF_SOURCE'!L27='18_WEIGHT_CONTROL'!$A$6,'18_WEIGHT_CONTROL'!$B$6,IF('91_MOTIF_CONF_SOURCE'!L27='18_WEIGHT_CONTROL'!$A$7,'18_WEIGHT_CONTROL'!$B$7,'18_WEIGHT_CONTROL'!$B$8)))</f>
        <v/>
      </c>
      <c r="AI27">
        <f>IF('91_MOTIF_CONF_SOURCE'!M27='18_WEIGHT_CONTROL'!$A$5,'18_WEIGHT_CONTROL'!$B$5,IF('91_MOTIF_CONF_SOURCE'!M27='18_WEIGHT_CONTROL'!$A$6,'18_WEIGHT_CONTROL'!$B$6,IF('91_MOTIF_CONF_SOURCE'!M27='18_WEIGHT_CONTROL'!$A$7,'18_WEIGHT_CONTROL'!$B$7,'18_WEIGHT_CONTROL'!$B$8)))</f>
        <v/>
      </c>
      <c r="AJ27">
        <f>IF('91_MOTIF_CONF_SOURCE'!N27='18_WEIGHT_CONTROL'!$A$5,'18_WEIGHT_CONTROL'!$B$5,IF('91_MOTIF_CONF_SOURCE'!N27='18_WEIGHT_CONTROL'!$A$6,'18_WEIGHT_CONTROL'!$B$6,IF('91_MOTIF_CONF_SOURCE'!N27='18_WEIGHT_CONTROL'!$A$7,'18_WEIGHT_CONTROL'!$B$7,'18_WEIGHT_CONTROL'!$B$8)))</f>
        <v/>
      </c>
      <c r="AK27">
        <f>IF('91_MOTIF_CONF_SOURCE'!O27='18_WEIGHT_CONTROL'!$A$5,'18_WEIGHT_CONTROL'!$B$5,IF('91_MOTIF_CONF_SOURCE'!O27='18_WEIGHT_CONTROL'!$A$6,'18_WEIGHT_CONTROL'!$B$6,IF('91_MOTIF_CONF_SOURCE'!O27='18_WEIGHT_CONTROL'!$A$7,'18_WEIGHT_CONTROL'!$B$7,'18_WEIGHT_CONTROL'!$B$8)))</f>
        <v/>
      </c>
      <c r="AL27">
        <f>IF('91_MOTIF_CONF_SOURCE'!P27='18_WEIGHT_CONTROL'!$A$5,'18_WEIGHT_CONTROL'!$B$5,IF('91_MOTIF_CONF_SOURCE'!P27='18_WEIGHT_CONTROL'!$A$6,'18_WEIGHT_CONTROL'!$B$6,IF('91_MOTIF_CONF_SOURCE'!P27='18_WEIGHT_CONTROL'!$A$7,'18_WEIGHT_CONTROL'!$B$7,'18_WEIGHT_CONTROL'!$B$8)))</f>
        <v/>
      </c>
      <c r="AM27">
        <f>IF('91_MOTIF_CONF_SOURCE'!Q27='18_WEIGHT_CONTROL'!$A$5,'18_WEIGHT_CONTROL'!$B$5,IF('91_MOTIF_CONF_SOURCE'!Q27='18_WEIGHT_CONTROL'!$A$6,'18_WEIGHT_CONTROL'!$B$6,IF('91_MOTIF_CONF_SOURCE'!Q27='18_WEIGHT_CONTROL'!$A$7,'18_WEIGHT_CONTROL'!$B$7,'18_WEIGHT_CONTROL'!$B$8)))</f>
        <v/>
      </c>
      <c r="AN27">
        <f>IF('91_MOTIF_CONF_SOURCE'!R27='18_WEIGHT_CONTROL'!$A$5,'18_WEIGHT_CONTROL'!$B$5,IF('91_MOTIF_CONF_SOURCE'!R27='18_WEIGHT_CONTROL'!$A$6,'18_WEIGHT_CONTROL'!$B$6,IF('91_MOTIF_CONF_SOURCE'!R27='18_WEIGHT_CONTROL'!$A$7,'18_WEIGHT_CONTROL'!$B$7,'18_WEIGHT_CONTROL'!$B$8)))</f>
        <v/>
      </c>
      <c r="AO27">
        <f>IF('91_MOTIF_CONF_SOURCE'!S27='18_WEIGHT_CONTROL'!$A$5,'18_WEIGHT_CONTROL'!$B$5,IF('91_MOTIF_CONF_SOURCE'!S27='18_WEIGHT_CONTROL'!$A$6,'18_WEIGHT_CONTROL'!$B$6,IF('91_MOTIF_CONF_SOURCE'!S27='18_WEIGHT_CONTROL'!$A$7,'18_WEIGHT_CONTROL'!$B$7,'18_WEIGHT_CONTROL'!$B$8)))</f>
        <v/>
      </c>
      <c r="AP27">
        <f>IF('91_MOTIF_CONF_SOURCE'!T27='18_WEIGHT_CONTROL'!$A$5,'18_WEIGHT_CONTROL'!$B$5,IF('91_MOTIF_CONF_SOURCE'!T27='18_WEIGHT_CONTROL'!$A$6,'18_WEIGHT_CONTROL'!$B$6,IF('91_MOTIF_CONF_SOURCE'!T27='18_WEIGHT_CONTROL'!$A$7,'18_WEIGHT_CONTROL'!$B$7,'18_WEIGHT_CONTROL'!$B$8)))</f>
        <v/>
      </c>
      <c r="AQ27">
        <f>IF('91_MOTIF_CONF_SOURCE'!U27='18_WEIGHT_CONTROL'!$A$5,'18_WEIGHT_CONTROL'!$B$5,IF('91_MOTIF_CONF_SOURCE'!U27='18_WEIGHT_CONTROL'!$A$6,'18_WEIGHT_CONTROL'!$B$6,IF('91_MOTIF_CONF_SOURCE'!U27='18_WEIGHT_CONTROL'!$A$7,'18_WEIGHT_CONTROL'!$B$7,'18_WEIGHT_CONTROL'!$B$8)))</f>
        <v/>
      </c>
      <c r="AR27">
        <f>IF('91_MOTIF_CONF_SOURCE'!V27='18_WEIGHT_CONTROL'!$A$5,'18_WEIGHT_CONTROL'!$B$5,IF('91_MOTIF_CONF_SOURCE'!V27='18_WEIGHT_CONTROL'!$A$6,'18_WEIGHT_CONTROL'!$B$6,IF('91_MOTIF_CONF_SOURCE'!V27='18_WEIGHT_CONTROL'!$A$7,'18_WEIGHT_CONTROL'!$B$7,'18_WEIGHT_CONTROL'!$B$8)))</f>
        <v/>
      </c>
    </row>
  </sheetData>
  <mergeCells count="1">
    <mergeCell ref="A1:AR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2" customWidth="1" min="4" max="4"/>
    <col width="18" customWidth="1" min="5" max="5"/>
    <col width="32" customWidth="1" min="6" max="6"/>
    <col width="68" customWidth="1" min="7" max="7"/>
  </cols>
  <sheetData>
    <row r="1" ht="30" customHeight="1">
      <c r="A1" s="1" t="inlineStr">
        <is>
          <t>41-Feature Global Evidence Confidence</t>
        </is>
      </c>
    </row>
    <row r="2" ht="34" customHeight="1">
      <c r="A2" s="29" t="inlineStr">
        <is>
          <t>For absolute Global items only: confidence is averaged across nonzero lineage evidence. Neutral/zero cells do not lower a feature merely because “not defining” is uncertain.</t>
        </is>
      </c>
    </row>
    <row r="3"/>
    <row r="4" ht="32" customHeight="1">
      <c r="A4" s="30" t="inlineStr">
        <is>
          <t>Feature</t>
        </is>
      </c>
      <c r="B4" s="30" t="inlineStr">
        <is>
          <t>Layer</t>
        </is>
      </c>
      <c r="C4" s="30" t="inlineStr">
        <is>
          <t>Scale</t>
        </is>
      </c>
      <c r="D4" s="30" t="inlineStr">
        <is>
          <t>Global evidence confidence</t>
        </is>
      </c>
      <c r="E4" s="30" t="inlineStr">
        <is>
          <t>Nonzero lineage n</t>
        </is>
      </c>
      <c r="F4" s="30" t="inlineStr">
        <is>
          <t>Source</t>
        </is>
      </c>
      <c r="G4" s="30" t="inlineStr">
        <is>
          <t>Interpretation</t>
        </is>
      </c>
    </row>
    <row r="5" ht="36" customHeight="1">
      <c r="A5" s="33" t="inlineStr">
        <is>
          <t>D01</t>
        </is>
      </c>
      <c r="B5" s="33" t="inlineStr">
        <is>
          <t>Core Process</t>
        </is>
      </c>
      <c r="C5" s="33" t="inlineStr">
        <is>
          <t>-1..+1 standardized</t>
        </is>
      </c>
      <c r="D5" s="33">
        <f>IFERROR(SUMPRODUCT(ABS('05_FEATURE_MODEL'!D$5:D$27),'92_FEATURE_CONF_NUMERIC'!D$5:D$27)/SUMPRODUCT(ABS('05_FEATURE_MODEL'!D$5:D$27)),'18_WEIGHT_CONTROL'!$B$8)</f>
        <v/>
      </c>
      <c r="E5" s="33">
        <f>COUNTIF('05_FEATURE_MODEL'!D$5:D$27,"&lt;&gt;0")</f>
        <v/>
      </c>
      <c r="F5" s="33" t="inlineStr">
        <is>
          <t>Frozen v4 cell-confidence matrix</t>
        </is>
      </c>
      <c r="G5" s="33" t="inlineStr">
        <is>
          <t>Used only when an item has no named target edge.</t>
        </is>
      </c>
    </row>
    <row r="6" ht="36" customHeight="1">
      <c r="A6" s="33" t="inlineStr">
        <is>
          <t>D02</t>
        </is>
      </c>
      <c r="B6" s="33" t="inlineStr">
        <is>
          <t>Core Process</t>
        </is>
      </c>
      <c r="C6" s="33" t="inlineStr">
        <is>
          <t>-1..+1 standardized</t>
        </is>
      </c>
      <c r="D6" s="33">
        <f>IFERROR(SUMPRODUCT(ABS('05_FEATURE_MODEL'!E$5:E$27),'92_FEATURE_CONF_NUMERIC'!E$5:E$27)/SUMPRODUCT(ABS('05_FEATURE_MODEL'!E$5:E$27)),'18_WEIGHT_CONTROL'!$B$8)</f>
        <v/>
      </c>
      <c r="E6" s="33">
        <f>COUNTIF('05_FEATURE_MODEL'!E$5:E$27,"&lt;&gt;0")</f>
        <v/>
      </c>
      <c r="F6" s="33" t="inlineStr">
        <is>
          <t>Frozen v4 cell-confidence matrix</t>
        </is>
      </c>
      <c r="G6" s="33" t="inlineStr">
        <is>
          <t>Used only when an item has no named target edge.</t>
        </is>
      </c>
    </row>
    <row r="7" ht="36" customHeight="1">
      <c r="A7" s="33" t="inlineStr">
        <is>
          <t>D03</t>
        </is>
      </c>
      <c r="B7" s="33" t="inlineStr">
        <is>
          <t>Core Process</t>
        </is>
      </c>
      <c r="C7" s="33" t="inlineStr">
        <is>
          <t>-1..+1 standardized</t>
        </is>
      </c>
      <c r="D7" s="33">
        <f>IFERROR(SUMPRODUCT(ABS('05_FEATURE_MODEL'!F$5:F$27),'92_FEATURE_CONF_NUMERIC'!F$5:F$27)/SUMPRODUCT(ABS('05_FEATURE_MODEL'!F$5:F$27)),'18_WEIGHT_CONTROL'!$B$8)</f>
        <v/>
      </c>
      <c r="E7" s="33">
        <f>COUNTIF('05_FEATURE_MODEL'!F$5:F$27,"&lt;&gt;0")</f>
        <v/>
      </c>
      <c r="F7" s="33" t="inlineStr">
        <is>
          <t>Frozen v4 cell-confidence matrix</t>
        </is>
      </c>
      <c r="G7" s="33" t="inlineStr">
        <is>
          <t>Used only when an item has no named target edge.</t>
        </is>
      </c>
    </row>
    <row r="8" ht="36" customHeight="1">
      <c r="A8" s="33" t="inlineStr">
        <is>
          <t>D04</t>
        </is>
      </c>
      <c r="B8" s="33" t="inlineStr">
        <is>
          <t>Core Process</t>
        </is>
      </c>
      <c r="C8" s="33" t="inlineStr">
        <is>
          <t>-1..+1 standardized</t>
        </is>
      </c>
      <c r="D8" s="33">
        <f>IFERROR(SUMPRODUCT(ABS('05_FEATURE_MODEL'!G$5:G$27),'92_FEATURE_CONF_NUMERIC'!G$5:G$27)/SUMPRODUCT(ABS('05_FEATURE_MODEL'!G$5:G$27)),'18_WEIGHT_CONTROL'!$B$8)</f>
        <v/>
      </c>
      <c r="E8" s="33">
        <f>COUNTIF('05_FEATURE_MODEL'!G$5:G$27,"&lt;&gt;0")</f>
        <v/>
      </c>
      <c r="F8" s="33" t="inlineStr">
        <is>
          <t>Frozen v4 cell-confidence matrix</t>
        </is>
      </c>
      <c r="G8" s="33" t="inlineStr">
        <is>
          <t>Used only when an item has no named target edge.</t>
        </is>
      </c>
    </row>
    <row r="9" ht="36" customHeight="1">
      <c r="A9" s="33" t="inlineStr">
        <is>
          <t>D05</t>
        </is>
      </c>
      <c r="B9" s="33" t="inlineStr">
        <is>
          <t>Core Process</t>
        </is>
      </c>
      <c r="C9" s="33" t="inlineStr">
        <is>
          <t>-1..+1 standardized</t>
        </is>
      </c>
      <c r="D9" s="33">
        <f>IFERROR(SUMPRODUCT(ABS('05_FEATURE_MODEL'!H$5:H$27),'92_FEATURE_CONF_NUMERIC'!H$5:H$27)/SUMPRODUCT(ABS('05_FEATURE_MODEL'!H$5:H$27)),'18_WEIGHT_CONTROL'!$B$8)</f>
        <v/>
      </c>
      <c r="E9" s="33">
        <f>COUNTIF('05_FEATURE_MODEL'!H$5:H$27,"&lt;&gt;0")</f>
        <v/>
      </c>
      <c r="F9" s="33" t="inlineStr">
        <is>
          <t>Frozen v4 cell-confidence matrix</t>
        </is>
      </c>
      <c r="G9" s="33" t="inlineStr">
        <is>
          <t>Used only when an item has no named target edge.</t>
        </is>
      </c>
    </row>
    <row r="10" ht="36" customHeight="1">
      <c r="A10" s="33" t="inlineStr">
        <is>
          <t>D06</t>
        </is>
      </c>
      <c r="B10" s="33" t="inlineStr">
        <is>
          <t>Core Process</t>
        </is>
      </c>
      <c r="C10" s="33" t="inlineStr">
        <is>
          <t>-1..+1 standardized</t>
        </is>
      </c>
      <c r="D10" s="33">
        <f>IFERROR(SUMPRODUCT(ABS('05_FEATURE_MODEL'!I$5:I$27),'92_FEATURE_CONF_NUMERIC'!I$5:I$27)/SUMPRODUCT(ABS('05_FEATURE_MODEL'!I$5:I$27)),'18_WEIGHT_CONTROL'!$B$8)</f>
        <v/>
      </c>
      <c r="E10" s="33">
        <f>COUNTIF('05_FEATURE_MODEL'!I$5:I$27,"&lt;&gt;0")</f>
        <v/>
      </c>
      <c r="F10" s="33" t="inlineStr">
        <is>
          <t>Frozen v4 cell-confidence matrix</t>
        </is>
      </c>
      <c r="G10" s="33" t="inlineStr">
        <is>
          <t>Used only when an item has no named target edge.</t>
        </is>
      </c>
    </row>
    <row r="11" ht="36" customHeight="1">
      <c r="A11" s="33" t="inlineStr">
        <is>
          <t>D07</t>
        </is>
      </c>
      <c r="B11" s="33" t="inlineStr">
        <is>
          <t>Core Process</t>
        </is>
      </c>
      <c r="C11" s="33" t="inlineStr">
        <is>
          <t>-1..+1 standardized</t>
        </is>
      </c>
      <c r="D11" s="33">
        <f>IFERROR(SUMPRODUCT(ABS('05_FEATURE_MODEL'!J$5:J$27),'92_FEATURE_CONF_NUMERIC'!J$5:J$27)/SUMPRODUCT(ABS('05_FEATURE_MODEL'!J$5:J$27)),'18_WEIGHT_CONTROL'!$B$8)</f>
        <v/>
      </c>
      <c r="E11" s="33">
        <f>COUNTIF('05_FEATURE_MODEL'!J$5:J$27,"&lt;&gt;0")</f>
        <v/>
      </c>
      <c r="F11" s="33" t="inlineStr">
        <is>
          <t>Frozen v4 cell-confidence matrix</t>
        </is>
      </c>
      <c r="G11" s="33" t="inlineStr">
        <is>
          <t>Used only when an item has no named target edge.</t>
        </is>
      </c>
    </row>
    <row r="12" ht="36" customHeight="1">
      <c r="A12" s="33" t="inlineStr">
        <is>
          <t>D08</t>
        </is>
      </c>
      <c r="B12" s="33" t="inlineStr">
        <is>
          <t>Context/Role salience</t>
        </is>
      </c>
      <c r="C12" s="33" t="inlineStr">
        <is>
          <t>0..1 standardized</t>
        </is>
      </c>
      <c r="D12" s="33">
        <f>IFERROR(SUMPRODUCT(ABS('05_FEATURE_MODEL'!K$5:K$27),'92_FEATURE_CONF_NUMERIC'!K$5:K$27)/SUMPRODUCT(ABS('05_FEATURE_MODEL'!K$5:K$27)),'18_WEIGHT_CONTROL'!$B$8)</f>
        <v/>
      </c>
      <c r="E12" s="33">
        <f>COUNTIF('05_FEATURE_MODEL'!K$5:K$27,"&lt;&gt;0")</f>
        <v/>
      </c>
      <c r="F12" s="33" t="inlineStr">
        <is>
          <t>Frozen v4 cell-confidence matrix</t>
        </is>
      </c>
      <c r="G12" s="33" t="inlineStr">
        <is>
          <t>Used only when an item has no named target edge.</t>
        </is>
      </c>
    </row>
    <row r="13" ht="36" customHeight="1">
      <c r="A13" s="33" t="inlineStr">
        <is>
          <t>D09</t>
        </is>
      </c>
      <c r="B13" s="33" t="inlineStr">
        <is>
          <t>Core Process</t>
        </is>
      </c>
      <c r="C13" s="33" t="inlineStr">
        <is>
          <t>-1..+1 standardized</t>
        </is>
      </c>
      <c r="D13" s="33">
        <f>IFERROR(SUMPRODUCT(ABS('05_FEATURE_MODEL'!L$5:L$27),'92_FEATURE_CONF_NUMERIC'!L$5:L$27)/SUMPRODUCT(ABS('05_FEATURE_MODEL'!L$5:L$27)),'18_WEIGHT_CONTROL'!$B$8)</f>
        <v/>
      </c>
      <c r="E13" s="33">
        <f>COUNTIF('05_FEATURE_MODEL'!L$5:L$27,"&lt;&gt;0")</f>
        <v/>
      </c>
      <c r="F13" s="33" t="inlineStr">
        <is>
          <t>Frozen v4 cell-confidence matrix</t>
        </is>
      </c>
      <c r="G13" s="33" t="inlineStr">
        <is>
          <t>Used only when an item has no named target edge.</t>
        </is>
      </c>
    </row>
    <row r="14" ht="36" customHeight="1">
      <c r="A14" s="33" t="inlineStr">
        <is>
          <t>D10</t>
        </is>
      </c>
      <c r="B14" s="33" t="inlineStr">
        <is>
          <t>Core Process</t>
        </is>
      </c>
      <c r="C14" s="33" t="inlineStr">
        <is>
          <t>-1..+1 standardized</t>
        </is>
      </c>
      <c r="D14" s="33">
        <f>IFERROR(SUMPRODUCT(ABS('05_FEATURE_MODEL'!M$5:M$27),'92_FEATURE_CONF_NUMERIC'!M$5:M$27)/SUMPRODUCT(ABS('05_FEATURE_MODEL'!M$5:M$27)),'18_WEIGHT_CONTROL'!$B$8)</f>
        <v/>
      </c>
      <c r="E14" s="33">
        <f>COUNTIF('05_FEATURE_MODEL'!M$5:M$27,"&lt;&gt;0")</f>
        <v/>
      </c>
      <c r="F14" s="33" t="inlineStr">
        <is>
          <t>Frozen v4 cell-confidence matrix</t>
        </is>
      </c>
      <c r="G14" s="33" t="inlineStr">
        <is>
          <t>Used only when an item has no named target edge.</t>
        </is>
      </c>
    </row>
    <row r="15" ht="36" customHeight="1">
      <c r="A15" s="33" t="inlineStr">
        <is>
          <t>D11</t>
        </is>
      </c>
      <c r="B15" s="33" t="inlineStr">
        <is>
          <t>Core Process</t>
        </is>
      </c>
      <c r="C15" s="33" t="inlineStr">
        <is>
          <t>-1..+1 standardized</t>
        </is>
      </c>
      <c r="D15" s="33">
        <f>IFERROR(SUMPRODUCT(ABS('05_FEATURE_MODEL'!N$5:N$27),'92_FEATURE_CONF_NUMERIC'!N$5:N$27)/SUMPRODUCT(ABS('05_FEATURE_MODEL'!N$5:N$27)),'18_WEIGHT_CONTROL'!$B$8)</f>
        <v/>
      </c>
      <c r="E15" s="33">
        <f>COUNTIF('05_FEATURE_MODEL'!N$5:N$27,"&lt;&gt;0")</f>
        <v/>
      </c>
      <c r="F15" s="33" t="inlineStr">
        <is>
          <t>Frozen v4 cell-confidence matrix</t>
        </is>
      </c>
      <c r="G15" s="33" t="inlineStr">
        <is>
          <t>Used only when an item has no named target edge.</t>
        </is>
      </c>
    </row>
    <row r="16" ht="36" customHeight="1">
      <c r="A16" s="33" t="inlineStr">
        <is>
          <t>D12</t>
        </is>
      </c>
      <c r="B16" s="33" t="inlineStr">
        <is>
          <t>Core Process</t>
        </is>
      </c>
      <c r="C16" s="33" t="inlineStr">
        <is>
          <t>-1..+1 standardized</t>
        </is>
      </c>
      <c r="D16" s="33">
        <f>IFERROR(SUMPRODUCT(ABS('05_FEATURE_MODEL'!O$5:O$27),'92_FEATURE_CONF_NUMERIC'!O$5:O$27)/SUMPRODUCT(ABS('05_FEATURE_MODEL'!O$5:O$27)),'18_WEIGHT_CONTROL'!$B$8)</f>
        <v/>
      </c>
      <c r="E16" s="33">
        <f>COUNTIF('05_FEATURE_MODEL'!O$5:O$27,"&lt;&gt;0")</f>
        <v/>
      </c>
      <c r="F16" s="33" t="inlineStr">
        <is>
          <t>Frozen v4 cell-confidence matrix</t>
        </is>
      </c>
      <c r="G16" s="33" t="inlineStr">
        <is>
          <t>Used only when an item has no named target edge.</t>
        </is>
      </c>
    </row>
    <row r="17" ht="36" customHeight="1">
      <c r="A17" s="33" t="inlineStr">
        <is>
          <t>D13</t>
        </is>
      </c>
      <c r="B17" s="33" t="inlineStr">
        <is>
          <t>Core Process</t>
        </is>
      </c>
      <c r="C17" s="33" t="inlineStr">
        <is>
          <t>-1..+1 standardized</t>
        </is>
      </c>
      <c r="D17" s="33">
        <f>IFERROR(SUMPRODUCT(ABS('05_FEATURE_MODEL'!P$5:P$27),'92_FEATURE_CONF_NUMERIC'!P$5:P$27)/SUMPRODUCT(ABS('05_FEATURE_MODEL'!P$5:P$27)),'18_WEIGHT_CONTROL'!$B$8)</f>
        <v/>
      </c>
      <c r="E17" s="33">
        <f>COUNTIF('05_FEATURE_MODEL'!P$5:P$27,"&lt;&gt;0")</f>
        <v/>
      </c>
      <c r="F17" s="33" t="inlineStr">
        <is>
          <t>Frozen v4 cell-confidence matrix</t>
        </is>
      </c>
      <c r="G17" s="33" t="inlineStr">
        <is>
          <t>Used only when an item has no named target edge.</t>
        </is>
      </c>
    </row>
    <row r="18" ht="36" customHeight="1">
      <c r="A18" s="33" t="inlineStr">
        <is>
          <t>D14</t>
        </is>
      </c>
      <c r="B18" s="33" t="inlineStr">
        <is>
          <t>Core Process</t>
        </is>
      </c>
      <c r="C18" s="33" t="inlineStr">
        <is>
          <t>-1..+1 standardized</t>
        </is>
      </c>
      <c r="D18" s="33">
        <f>IFERROR(SUMPRODUCT(ABS('05_FEATURE_MODEL'!Q$5:Q$27),'92_FEATURE_CONF_NUMERIC'!Q$5:Q$27)/SUMPRODUCT(ABS('05_FEATURE_MODEL'!Q$5:Q$27)),'18_WEIGHT_CONTROL'!$B$8)</f>
        <v/>
      </c>
      <c r="E18" s="33">
        <f>COUNTIF('05_FEATURE_MODEL'!Q$5:Q$27,"&lt;&gt;0")</f>
        <v/>
      </c>
      <c r="F18" s="33" t="inlineStr">
        <is>
          <t>Frozen v4 cell-confidence matrix</t>
        </is>
      </c>
      <c r="G18" s="33" t="inlineStr">
        <is>
          <t>Used only when an item has no named target edge.</t>
        </is>
      </c>
    </row>
    <row r="19" ht="36" customHeight="1">
      <c r="A19" s="33" t="inlineStr">
        <is>
          <t>D15</t>
        </is>
      </c>
      <c r="B19" s="33" t="inlineStr">
        <is>
          <t>Core Process</t>
        </is>
      </c>
      <c r="C19" s="33" t="inlineStr">
        <is>
          <t>-1..+1 standardized</t>
        </is>
      </c>
      <c r="D19" s="33">
        <f>IFERROR(SUMPRODUCT(ABS('05_FEATURE_MODEL'!R$5:R$27),'92_FEATURE_CONF_NUMERIC'!R$5:R$27)/SUMPRODUCT(ABS('05_FEATURE_MODEL'!R$5:R$27)),'18_WEIGHT_CONTROL'!$B$8)</f>
        <v/>
      </c>
      <c r="E19" s="33">
        <f>COUNTIF('05_FEATURE_MODEL'!R$5:R$27,"&lt;&gt;0")</f>
        <v/>
      </c>
      <c r="F19" s="33" t="inlineStr">
        <is>
          <t>Frozen v4 cell-confidence matrix</t>
        </is>
      </c>
      <c r="G19" s="33" t="inlineStr">
        <is>
          <t>Used only when an item has no named target edge.</t>
        </is>
      </c>
    </row>
    <row r="20" ht="36" customHeight="1">
      <c r="A20" s="33" t="inlineStr">
        <is>
          <t>D16</t>
        </is>
      </c>
      <c r="B20" s="33" t="inlineStr">
        <is>
          <t>Context/Role salience</t>
        </is>
      </c>
      <c r="C20" s="33" t="inlineStr">
        <is>
          <t>0..1 standardized</t>
        </is>
      </c>
      <c r="D20" s="33">
        <f>IFERROR(SUMPRODUCT(ABS('05_FEATURE_MODEL'!S$5:S$27),'92_FEATURE_CONF_NUMERIC'!S$5:S$27)/SUMPRODUCT(ABS('05_FEATURE_MODEL'!S$5:S$27)),'18_WEIGHT_CONTROL'!$B$8)</f>
        <v/>
      </c>
      <c r="E20" s="33">
        <f>COUNTIF('05_FEATURE_MODEL'!S$5:S$27,"&lt;&gt;0")</f>
        <v/>
      </c>
      <c r="F20" s="33" t="inlineStr">
        <is>
          <t>Frozen v4 cell-confidence matrix</t>
        </is>
      </c>
      <c r="G20" s="33" t="inlineStr">
        <is>
          <t>Used only when an item has no named target edge.</t>
        </is>
      </c>
    </row>
    <row r="21" ht="36" customHeight="1">
      <c r="A21" s="33" t="inlineStr">
        <is>
          <t>D17</t>
        </is>
      </c>
      <c r="B21" s="33" t="inlineStr">
        <is>
          <t>Context/Role salience</t>
        </is>
      </c>
      <c r="C21" s="33" t="inlineStr">
        <is>
          <t>0..1 standardized</t>
        </is>
      </c>
      <c r="D21" s="33">
        <f>IFERROR(SUMPRODUCT(ABS('05_FEATURE_MODEL'!T$5:T$27),'92_FEATURE_CONF_NUMERIC'!T$5:T$27)/SUMPRODUCT(ABS('05_FEATURE_MODEL'!T$5:T$27)),'18_WEIGHT_CONTROL'!$B$8)</f>
        <v/>
      </c>
      <c r="E21" s="33">
        <f>COUNTIF('05_FEATURE_MODEL'!T$5:T$27,"&lt;&gt;0")</f>
        <v/>
      </c>
      <c r="F21" s="33" t="inlineStr">
        <is>
          <t>Frozen v4 cell-confidence matrix</t>
        </is>
      </c>
      <c r="G21" s="33" t="inlineStr">
        <is>
          <t>Used only when an item has no named target edge.</t>
        </is>
      </c>
    </row>
    <row r="22" ht="36" customHeight="1">
      <c r="A22" s="33" t="inlineStr">
        <is>
          <t>D18</t>
        </is>
      </c>
      <c r="B22" s="33" t="inlineStr">
        <is>
          <t>Context/Role salience</t>
        </is>
      </c>
      <c r="C22" s="33" t="inlineStr">
        <is>
          <t>0..1 standardized</t>
        </is>
      </c>
      <c r="D22" s="33">
        <f>IFERROR(SUMPRODUCT(ABS('05_FEATURE_MODEL'!U$5:U$27),'92_FEATURE_CONF_NUMERIC'!U$5:U$27)/SUMPRODUCT(ABS('05_FEATURE_MODEL'!U$5:U$27)),'18_WEIGHT_CONTROL'!$B$8)</f>
        <v/>
      </c>
      <c r="E22" s="33">
        <f>COUNTIF('05_FEATURE_MODEL'!U$5:U$27,"&lt;&gt;0")</f>
        <v/>
      </c>
      <c r="F22" s="33" t="inlineStr">
        <is>
          <t>Frozen v4 cell-confidence matrix</t>
        </is>
      </c>
      <c r="G22" s="33" t="inlineStr">
        <is>
          <t>Used only when an item has no named target edge.</t>
        </is>
      </c>
    </row>
    <row r="23" ht="36" customHeight="1">
      <c r="A23" s="33" t="inlineStr">
        <is>
          <t>D19</t>
        </is>
      </c>
      <c r="B23" s="33" t="inlineStr">
        <is>
          <t>Context/Role salience</t>
        </is>
      </c>
      <c r="C23" s="33" t="inlineStr">
        <is>
          <t>0..1 standardized</t>
        </is>
      </c>
      <c r="D23" s="33">
        <f>IFERROR(SUMPRODUCT(ABS('05_FEATURE_MODEL'!V$5:V$27),'92_FEATURE_CONF_NUMERIC'!V$5:V$27)/SUMPRODUCT(ABS('05_FEATURE_MODEL'!V$5:V$27)),'18_WEIGHT_CONTROL'!$B$8)</f>
        <v/>
      </c>
      <c r="E23" s="33">
        <f>COUNTIF('05_FEATURE_MODEL'!V$5:V$27,"&lt;&gt;0")</f>
        <v/>
      </c>
      <c r="F23" s="33" t="inlineStr">
        <is>
          <t>Frozen v4 cell-confidence matrix</t>
        </is>
      </c>
      <c r="G23" s="33" t="inlineStr">
        <is>
          <t>Used only when an item has no named target edge.</t>
        </is>
      </c>
    </row>
    <row r="24" ht="36" customHeight="1">
      <c r="A24" s="33" t="inlineStr">
        <is>
          <t>D20</t>
        </is>
      </c>
      <c r="B24" s="33" t="inlineStr">
        <is>
          <t>Core Process</t>
        </is>
      </c>
      <c r="C24" s="33" t="inlineStr">
        <is>
          <t>-1..+1 standardized</t>
        </is>
      </c>
      <c r="D24" s="33">
        <f>IFERROR(SUMPRODUCT(ABS('05_FEATURE_MODEL'!W$5:W$27),'92_FEATURE_CONF_NUMERIC'!W$5:W$27)/SUMPRODUCT(ABS('05_FEATURE_MODEL'!W$5:W$27)),'18_WEIGHT_CONTROL'!$B$8)</f>
        <v/>
      </c>
      <c r="E24" s="33">
        <f>COUNTIF('05_FEATURE_MODEL'!W$5:W$27,"&lt;&gt;0")</f>
        <v/>
      </c>
      <c r="F24" s="33" t="inlineStr">
        <is>
          <t>Frozen v4 cell-confidence matrix</t>
        </is>
      </c>
      <c r="G24" s="33" t="inlineStr">
        <is>
          <t>Used only when an item has no named target edge.</t>
        </is>
      </c>
    </row>
    <row r="25" ht="36" customHeight="1">
      <c r="A25" s="33" t="inlineStr">
        <is>
          <t>D21</t>
        </is>
      </c>
      <c r="B25" s="33" t="inlineStr">
        <is>
          <t>Core Process</t>
        </is>
      </c>
      <c r="C25" s="33" t="inlineStr">
        <is>
          <t>-1..+1 standardized</t>
        </is>
      </c>
      <c r="D25" s="33">
        <f>IFERROR(SUMPRODUCT(ABS('05_FEATURE_MODEL'!X$5:X$27),'92_FEATURE_CONF_NUMERIC'!X$5:X$27)/SUMPRODUCT(ABS('05_FEATURE_MODEL'!X$5:X$27)),'18_WEIGHT_CONTROL'!$B$8)</f>
        <v/>
      </c>
      <c r="E25" s="33">
        <f>COUNTIF('05_FEATURE_MODEL'!X$5:X$27,"&lt;&gt;0")</f>
        <v/>
      </c>
      <c r="F25" s="33" t="inlineStr">
        <is>
          <t>Frozen v4 cell-confidence matrix</t>
        </is>
      </c>
      <c r="G25" s="33" t="inlineStr">
        <is>
          <t>Used only when an item has no named target edge.</t>
        </is>
      </c>
    </row>
    <row r="26" ht="36" customHeight="1">
      <c r="A26" s="33" t="inlineStr">
        <is>
          <t>D22</t>
        </is>
      </c>
      <c r="B26" s="33" t="inlineStr">
        <is>
          <t>Origin/Belonging</t>
        </is>
      </c>
      <c r="C26" s="33" t="inlineStr">
        <is>
          <t>-1..+1 standardized</t>
        </is>
      </c>
      <c r="D26" s="33">
        <f>IFERROR(SUMPRODUCT(ABS('05_FEATURE_MODEL'!Y$5:Y$27),'92_FEATURE_CONF_NUMERIC'!Y$5:Y$27)/SUMPRODUCT(ABS('05_FEATURE_MODEL'!Y$5:Y$27)),'18_WEIGHT_CONTROL'!$B$8)</f>
        <v/>
      </c>
      <c r="E26" s="33">
        <f>COUNTIF('05_FEATURE_MODEL'!Y$5:Y$27,"&lt;&gt;0")</f>
        <v/>
      </c>
      <c r="F26" s="33" t="inlineStr">
        <is>
          <t>Frozen v4 cell-confidence matrix</t>
        </is>
      </c>
      <c r="G26" s="33" t="inlineStr">
        <is>
          <t>Used only when an item has no named target edge.</t>
        </is>
      </c>
    </row>
    <row r="27" ht="36" customHeight="1">
      <c r="A27" s="33" t="inlineStr">
        <is>
          <t>M01</t>
        </is>
      </c>
      <c r="B27" s="33" t="inlineStr">
        <is>
          <t>Motif</t>
        </is>
      </c>
      <c r="C27" s="33" t="inlineStr">
        <is>
          <t>0..1 standardized</t>
        </is>
      </c>
      <c r="D27" s="33">
        <f>IFERROR(SUMPRODUCT(ABS('05_FEATURE_MODEL'!Z$5:Z$27),'92_FEATURE_CONF_NUMERIC'!Z$5:Z$27)/SUMPRODUCT(ABS('05_FEATURE_MODEL'!Z$5:Z$27)),'18_WEIGHT_CONTROL'!$B$8)</f>
        <v/>
      </c>
      <c r="E27" s="33">
        <f>COUNTIF('05_FEATURE_MODEL'!Z$5:Z$27,"&lt;&gt;0")</f>
        <v/>
      </c>
      <c r="F27" s="33" t="inlineStr">
        <is>
          <t>Frozen v4 cell-confidence matrix</t>
        </is>
      </c>
      <c r="G27" s="33" t="inlineStr">
        <is>
          <t>Motif absence is not negative evidence; only nonzero motif evidence contributes.</t>
        </is>
      </c>
    </row>
    <row r="28" ht="36" customHeight="1">
      <c r="A28" s="33" t="inlineStr">
        <is>
          <t>M02</t>
        </is>
      </c>
      <c r="B28" s="33" t="inlineStr">
        <is>
          <t>Motif</t>
        </is>
      </c>
      <c r="C28" s="33" t="inlineStr">
        <is>
          <t>0..1 standardized</t>
        </is>
      </c>
      <c r="D28" s="33">
        <f>IFERROR(SUMPRODUCT(ABS('05_FEATURE_MODEL'!AA$5:AA$27),'92_FEATURE_CONF_NUMERIC'!AA$5:AA$27)/SUMPRODUCT(ABS('05_FEATURE_MODEL'!AA$5:AA$27)),'18_WEIGHT_CONTROL'!$B$8)</f>
        <v/>
      </c>
      <c r="E28" s="33">
        <f>COUNTIF('05_FEATURE_MODEL'!AA$5:AA$27,"&lt;&gt;0")</f>
        <v/>
      </c>
      <c r="F28" s="33" t="inlineStr">
        <is>
          <t>Frozen v4 cell-confidence matrix</t>
        </is>
      </c>
      <c r="G28" s="33" t="inlineStr">
        <is>
          <t>Motif absence is not negative evidence; only nonzero motif evidence contributes.</t>
        </is>
      </c>
    </row>
    <row r="29" ht="36" customHeight="1">
      <c r="A29" s="33" t="inlineStr">
        <is>
          <t>M03</t>
        </is>
      </c>
      <c r="B29" s="33" t="inlineStr">
        <is>
          <t>Motif</t>
        </is>
      </c>
      <c r="C29" s="33" t="inlineStr">
        <is>
          <t>0..1 standardized</t>
        </is>
      </c>
      <c r="D29" s="33">
        <f>IFERROR(SUMPRODUCT(ABS('05_FEATURE_MODEL'!AB$5:AB$27),'92_FEATURE_CONF_NUMERIC'!AB$5:AB$27)/SUMPRODUCT(ABS('05_FEATURE_MODEL'!AB$5:AB$27)),'18_WEIGHT_CONTROL'!$B$8)</f>
        <v/>
      </c>
      <c r="E29" s="33">
        <f>COUNTIF('05_FEATURE_MODEL'!AB$5:AB$27,"&lt;&gt;0")</f>
        <v/>
      </c>
      <c r="F29" s="33" t="inlineStr">
        <is>
          <t>Frozen v4 cell-confidence matrix</t>
        </is>
      </c>
      <c r="G29" s="33" t="inlineStr">
        <is>
          <t>Motif absence is not negative evidence; only nonzero motif evidence contributes.</t>
        </is>
      </c>
    </row>
    <row r="30" ht="36" customHeight="1">
      <c r="A30" s="33" t="inlineStr">
        <is>
          <t>M04</t>
        </is>
      </c>
      <c r="B30" s="33" t="inlineStr">
        <is>
          <t>Motif</t>
        </is>
      </c>
      <c r="C30" s="33" t="inlineStr">
        <is>
          <t>0..1 standardized</t>
        </is>
      </c>
      <c r="D30" s="33">
        <f>IFERROR(SUMPRODUCT(ABS('05_FEATURE_MODEL'!AC$5:AC$27),'92_FEATURE_CONF_NUMERIC'!AC$5:AC$27)/SUMPRODUCT(ABS('05_FEATURE_MODEL'!AC$5:AC$27)),'18_WEIGHT_CONTROL'!$B$8)</f>
        <v/>
      </c>
      <c r="E30" s="33">
        <f>COUNTIF('05_FEATURE_MODEL'!AC$5:AC$27,"&lt;&gt;0")</f>
        <v/>
      </c>
      <c r="F30" s="33" t="inlineStr">
        <is>
          <t>Frozen v4 cell-confidence matrix</t>
        </is>
      </c>
      <c r="G30" s="33" t="inlineStr">
        <is>
          <t>Motif absence is not negative evidence; only nonzero motif evidence contributes.</t>
        </is>
      </c>
    </row>
    <row r="31" ht="36" customHeight="1">
      <c r="A31" s="33" t="inlineStr">
        <is>
          <t>M05</t>
        </is>
      </c>
      <c r="B31" s="33" t="inlineStr">
        <is>
          <t>Motif</t>
        </is>
      </c>
      <c r="C31" s="33" t="inlineStr">
        <is>
          <t>0..1 standardized</t>
        </is>
      </c>
      <c r="D31" s="33">
        <f>IFERROR(SUMPRODUCT(ABS('05_FEATURE_MODEL'!AD$5:AD$27),'92_FEATURE_CONF_NUMERIC'!AD$5:AD$27)/SUMPRODUCT(ABS('05_FEATURE_MODEL'!AD$5:AD$27)),'18_WEIGHT_CONTROL'!$B$8)</f>
        <v/>
      </c>
      <c r="E31" s="33">
        <f>COUNTIF('05_FEATURE_MODEL'!AD$5:AD$27,"&lt;&gt;0")</f>
        <v/>
      </c>
      <c r="F31" s="33" t="inlineStr">
        <is>
          <t>Frozen v4 cell-confidence matrix</t>
        </is>
      </c>
      <c r="G31" s="33" t="inlineStr">
        <is>
          <t>Motif absence is not negative evidence; only nonzero motif evidence contributes.</t>
        </is>
      </c>
    </row>
    <row r="32" ht="36" customHeight="1">
      <c r="A32" s="33" t="inlineStr">
        <is>
          <t>M06</t>
        </is>
      </c>
      <c r="B32" s="33" t="inlineStr">
        <is>
          <t>Motif</t>
        </is>
      </c>
      <c r="C32" s="33" t="inlineStr">
        <is>
          <t>0..1 standardized</t>
        </is>
      </c>
      <c r="D32" s="33">
        <f>IFERROR(SUMPRODUCT(ABS('05_FEATURE_MODEL'!AE$5:AE$27),'92_FEATURE_CONF_NUMERIC'!AE$5:AE$27)/SUMPRODUCT(ABS('05_FEATURE_MODEL'!AE$5:AE$27)),'18_WEIGHT_CONTROL'!$B$8)</f>
        <v/>
      </c>
      <c r="E32" s="33">
        <f>COUNTIF('05_FEATURE_MODEL'!AE$5:AE$27,"&lt;&gt;0")</f>
        <v/>
      </c>
      <c r="F32" s="33" t="inlineStr">
        <is>
          <t>Frozen v4 cell-confidence matrix</t>
        </is>
      </c>
      <c r="G32" s="33" t="inlineStr">
        <is>
          <t>Motif absence is not negative evidence; only nonzero motif evidence contributes.</t>
        </is>
      </c>
    </row>
    <row r="33" ht="36" customHeight="1">
      <c r="A33" s="33" t="inlineStr">
        <is>
          <t>M07</t>
        </is>
      </c>
      <c r="B33" s="33" t="inlineStr">
        <is>
          <t>Motif</t>
        </is>
      </c>
      <c r="C33" s="33" t="inlineStr">
        <is>
          <t>0..1 standardized</t>
        </is>
      </c>
      <c r="D33" s="33">
        <f>IFERROR(SUMPRODUCT(ABS('05_FEATURE_MODEL'!AF$5:AF$27),'92_FEATURE_CONF_NUMERIC'!AF$5:AF$27)/SUMPRODUCT(ABS('05_FEATURE_MODEL'!AF$5:AF$27)),'18_WEIGHT_CONTROL'!$B$8)</f>
        <v/>
      </c>
      <c r="E33" s="33">
        <f>COUNTIF('05_FEATURE_MODEL'!AF$5:AF$27,"&lt;&gt;0")</f>
        <v/>
      </c>
      <c r="F33" s="33" t="inlineStr">
        <is>
          <t>Frozen v4 cell-confidence matrix</t>
        </is>
      </c>
      <c r="G33" s="33" t="inlineStr">
        <is>
          <t>Motif absence is not negative evidence; only nonzero motif evidence contributes.</t>
        </is>
      </c>
    </row>
    <row r="34" ht="36" customHeight="1">
      <c r="A34" s="33" t="inlineStr">
        <is>
          <t>M08</t>
        </is>
      </c>
      <c r="B34" s="33" t="inlineStr">
        <is>
          <t>Motif</t>
        </is>
      </c>
      <c r="C34" s="33" t="inlineStr">
        <is>
          <t>0..1 standardized</t>
        </is>
      </c>
      <c r="D34" s="33">
        <f>IFERROR(SUMPRODUCT(ABS('05_FEATURE_MODEL'!AG$5:AG$27),'92_FEATURE_CONF_NUMERIC'!AG$5:AG$27)/SUMPRODUCT(ABS('05_FEATURE_MODEL'!AG$5:AG$27)),'18_WEIGHT_CONTROL'!$B$8)</f>
        <v/>
      </c>
      <c r="E34" s="33">
        <f>COUNTIF('05_FEATURE_MODEL'!AG$5:AG$27,"&lt;&gt;0")</f>
        <v/>
      </c>
      <c r="F34" s="33" t="inlineStr">
        <is>
          <t>Frozen v4 cell-confidence matrix</t>
        </is>
      </c>
      <c r="G34" s="33" t="inlineStr">
        <is>
          <t>Motif absence is not negative evidence; only nonzero motif evidence contributes.</t>
        </is>
      </c>
    </row>
    <row r="35" ht="36" customHeight="1">
      <c r="A35" s="33" t="inlineStr">
        <is>
          <t>M09</t>
        </is>
      </c>
      <c r="B35" s="33" t="inlineStr">
        <is>
          <t>Motif</t>
        </is>
      </c>
      <c r="C35" s="33" t="inlineStr">
        <is>
          <t>0..1 standardized</t>
        </is>
      </c>
      <c r="D35" s="33">
        <f>IFERROR(SUMPRODUCT(ABS('05_FEATURE_MODEL'!AH$5:AH$27),'92_FEATURE_CONF_NUMERIC'!AH$5:AH$27)/SUMPRODUCT(ABS('05_FEATURE_MODEL'!AH$5:AH$27)),'18_WEIGHT_CONTROL'!$B$8)</f>
        <v/>
      </c>
      <c r="E35" s="33">
        <f>COUNTIF('05_FEATURE_MODEL'!AH$5:AH$27,"&lt;&gt;0")</f>
        <v/>
      </c>
      <c r="F35" s="33" t="inlineStr">
        <is>
          <t>Frozen v4 cell-confidence matrix</t>
        </is>
      </c>
      <c r="G35" s="33" t="inlineStr">
        <is>
          <t>Motif absence is not negative evidence; only nonzero motif evidence contributes.</t>
        </is>
      </c>
    </row>
    <row r="36" ht="36" customHeight="1">
      <c r="A36" s="33" t="inlineStr">
        <is>
          <t>M10</t>
        </is>
      </c>
      <c r="B36" s="33" t="inlineStr">
        <is>
          <t>Motif</t>
        </is>
      </c>
      <c r="C36" s="33" t="inlineStr">
        <is>
          <t>0..1 standardized</t>
        </is>
      </c>
      <c r="D36" s="33">
        <f>IFERROR(SUMPRODUCT(ABS('05_FEATURE_MODEL'!AI$5:AI$27),'92_FEATURE_CONF_NUMERIC'!AI$5:AI$27)/SUMPRODUCT(ABS('05_FEATURE_MODEL'!AI$5:AI$27)),'18_WEIGHT_CONTROL'!$B$8)</f>
        <v/>
      </c>
      <c r="E36" s="33">
        <f>COUNTIF('05_FEATURE_MODEL'!AI$5:AI$27,"&lt;&gt;0")</f>
        <v/>
      </c>
      <c r="F36" s="33" t="inlineStr">
        <is>
          <t>Frozen v4 cell-confidence matrix</t>
        </is>
      </c>
      <c r="G36" s="33" t="inlineStr">
        <is>
          <t>Motif absence is not negative evidence; only nonzero motif evidence contributes.</t>
        </is>
      </c>
    </row>
    <row r="37" ht="36" customHeight="1">
      <c r="A37" s="33" t="inlineStr">
        <is>
          <t>M11</t>
        </is>
      </c>
      <c r="B37" s="33" t="inlineStr">
        <is>
          <t>Motif</t>
        </is>
      </c>
      <c r="C37" s="33" t="inlineStr">
        <is>
          <t>0..1 standardized</t>
        </is>
      </c>
      <c r="D37" s="33">
        <f>IFERROR(SUMPRODUCT(ABS('05_FEATURE_MODEL'!AJ$5:AJ$27),'92_FEATURE_CONF_NUMERIC'!AJ$5:AJ$27)/SUMPRODUCT(ABS('05_FEATURE_MODEL'!AJ$5:AJ$27)),'18_WEIGHT_CONTROL'!$B$8)</f>
        <v/>
      </c>
      <c r="E37" s="33">
        <f>COUNTIF('05_FEATURE_MODEL'!AJ$5:AJ$27,"&lt;&gt;0")</f>
        <v/>
      </c>
      <c r="F37" s="33" t="inlineStr">
        <is>
          <t>Frozen v4 cell-confidence matrix</t>
        </is>
      </c>
      <c r="G37" s="33" t="inlineStr">
        <is>
          <t>Motif absence is not negative evidence; only nonzero motif evidence contributes.</t>
        </is>
      </c>
    </row>
    <row r="38" ht="36" customHeight="1">
      <c r="A38" s="33" t="inlineStr">
        <is>
          <t>M12</t>
        </is>
      </c>
      <c r="B38" s="33" t="inlineStr">
        <is>
          <t>Motif</t>
        </is>
      </c>
      <c r="C38" s="33" t="inlineStr">
        <is>
          <t>0..1 standardized</t>
        </is>
      </c>
      <c r="D38" s="33">
        <f>IFERROR(SUMPRODUCT(ABS('05_FEATURE_MODEL'!AK$5:AK$27),'92_FEATURE_CONF_NUMERIC'!AK$5:AK$27)/SUMPRODUCT(ABS('05_FEATURE_MODEL'!AK$5:AK$27)),'18_WEIGHT_CONTROL'!$B$8)</f>
        <v/>
      </c>
      <c r="E38" s="33">
        <f>COUNTIF('05_FEATURE_MODEL'!AK$5:AK$27,"&lt;&gt;0")</f>
        <v/>
      </c>
      <c r="F38" s="33" t="inlineStr">
        <is>
          <t>Frozen v4 cell-confidence matrix</t>
        </is>
      </c>
      <c r="G38" s="33" t="inlineStr">
        <is>
          <t>Motif absence is not negative evidence; only nonzero motif evidence contributes.</t>
        </is>
      </c>
    </row>
    <row r="39" ht="36" customHeight="1">
      <c r="A39" s="33" t="inlineStr">
        <is>
          <t>M13</t>
        </is>
      </c>
      <c r="B39" s="33" t="inlineStr">
        <is>
          <t>Motif</t>
        </is>
      </c>
      <c r="C39" s="33" t="inlineStr">
        <is>
          <t>0..1 standardized</t>
        </is>
      </c>
      <c r="D39" s="33">
        <f>IFERROR(SUMPRODUCT(ABS('05_FEATURE_MODEL'!AL$5:AL$27),'92_FEATURE_CONF_NUMERIC'!AL$5:AL$27)/SUMPRODUCT(ABS('05_FEATURE_MODEL'!AL$5:AL$27)),'18_WEIGHT_CONTROL'!$B$8)</f>
        <v/>
      </c>
      <c r="E39" s="33">
        <f>COUNTIF('05_FEATURE_MODEL'!AL$5:AL$27,"&lt;&gt;0")</f>
        <v/>
      </c>
      <c r="F39" s="33" t="inlineStr">
        <is>
          <t>Frozen v4 cell-confidence matrix</t>
        </is>
      </c>
      <c r="G39" s="33" t="inlineStr">
        <is>
          <t>Motif absence is not negative evidence; only nonzero motif evidence contributes.</t>
        </is>
      </c>
    </row>
    <row r="40" ht="36" customHeight="1">
      <c r="A40" s="33" t="inlineStr">
        <is>
          <t>M14</t>
        </is>
      </c>
      <c r="B40" s="33" t="inlineStr">
        <is>
          <t>Motif</t>
        </is>
      </c>
      <c r="C40" s="33" t="inlineStr">
        <is>
          <t>0..1 standardized</t>
        </is>
      </c>
      <c r="D40" s="33">
        <f>IFERROR(SUMPRODUCT(ABS('05_FEATURE_MODEL'!AM$5:AM$27),'92_FEATURE_CONF_NUMERIC'!AM$5:AM$27)/SUMPRODUCT(ABS('05_FEATURE_MODEL'!AM$5:AM$27)),'18_WEIGHT_CONTROL'!$B$8)</f>
        <v/>
      </c>
      <c r="E40" s="33">
        <f>COUNTIF('05_FEATURE_MODEL'!AM$5:AM$27,"&lt;&gt;0")</f>
        <v/>
      </c>
      <c r="F40" s="33" t="inlineStr">
        <is>
          <t>Frozen v4 cell-confidence matrix</t>
        </is>
      </c>
      <c r="G40" s="33" t="inlineStr">
        <is>
          <t>Motif absence is not negative evidence; only nonzero motif evidence contributes.</t>
        </is>
      </c>
    </row>
    <row r="41" ht="36" customHeight="1">
      <c r="A41" s="33" t="inlineStr">
        <is>
          <t>M15</t>
        </is>
      </c>
      <c r="B41" s="33" t="inlineStr">
        <is>
          <t>Motif</t>
        </is>
      </c>
      <c r="C41" s="33" t="inlineStr">
        <is>
          <t>0..1 standardized</t>
        </is>
      </c>
      <c r="D41" s="33">
        <f>IFERROR(SUMPRODUCT(ABS('05_FEATURE_MODEL'!AN$5:AN$27),'92_FEATURE_CONF_NUMERIC'!AN$5:AN$27)/SUMPRODUCT(ABS('05_FEATURE_MODEL'!AN$5:AN$27)),'18_WEIGHT_CONTROL'!$B$8)</f>
        <v/>
      </c>
      <c r="E41" s="33">
        <f>COUNTIF('05_FEATURE_MODEL'!AN$5:AN$27,"&lt;&gt;0")</f>
        <v/>
      </c>
      <c r="F41" s="33" t="inlineStr">
        <is>
          <t>Frozen v4 cell-confidence matrix</t>
        </is>
      </c>
      <c r="G41" s="33" t="inlineStr">
        <is>
          <t>Motif absence is not negative evidence; only nonzero motif evidence contributes.</t>
        </is>
      </c>
    </row>
    <row r="42" ht="36" customHeight="1">
      <c r="A42" s="33" t="inlineStr">
        <is>
          <t>M16</t>
        </is>
      </c>
      <c r="B42" s="33" t="inlineStr">
        <is>
          <t>Motif</t>
        </is>
      </c>
      <c r="C42" s="33" t="inlineStr">
        <is>
          <t>0..1 standardized</t>
        </is>
      </c>
      <c r="D42" s="33">
        <f>IFERROR(SUMPRODUCT(ABS('05_FEATURE_MODEL'!AO$5:AO$27),'92_FEATURE_CONF_NUMERIC'!AO$5:AO$27)/SUMPRODUCT(ABS('05_FEATURE_MODEL'!AO$5:AO$27)),'18_WEIGHT_CONTROL'!$B$8)</f>
        <v/>
      </c>
      <c r="E42" s="33">
        <f>COUNTIF('05_FEATURE_MODEL'!AO$5:AO$27,"&lt;&gt;0")</f>
        <v/>
      </c>
      <c r="F42" s="33" t="inlineStr">
        <is>
          <t>Frozen v4 cell-confidence matrix</t>
        </is>
      </c>
      <c r="G42" s="33" t="inlineStr">
        <is>
          <t>Motif absence is not negative evidence; only nonzero motif evidence contributes.</t>
        </is>
      </c>
    </row>
    <row r="43" ht="36" customHeight="1">
      <c r="A43" s="33" t="inlineStr">
        <is>
          <t>M17</t>
        </is>
      </c>
      <c r="B43" s="33" t="inlineStr">
        <is>
          <t>Motif</t>
        </is>
      </c>
      <c r="C43" s="33" t="inlineStr">
        <is>
          <t>0..1 standardized</t>
        </is>
      </c>
      <c r="D43" s="33">
        <f>IFERROR(SUMPRODUCT(ABS('05_FEATURE_MODEL'!AP$5:AP$27),'92_FEATURE_CONF_NUMERIC'!AP$5:AP$27)/SUMPRODUCT(ABS('05_FEATURE_MODEL'!AP$5:AP$27)),'18_WEIGHT_CONTROL'!$B$8)</f>
        <v/>
      </c>
      <c r="E43" s="33">
        <f>COUNTIF('05_FEATURE_MODEL'!AP$5:AP$27,"&lt;&gt;0")</f>
        <v/>
      </c>
      <c r="F43" s="33" t="inlineStr">
        <is>
          <t>Frozen v4 cell-confidence matrix</t>
        </is>
      </c>
      <c r="G43" s="33" t="inlineStr">
        <is>
          <t>Motif absence is not negative evidence; only nonzero motif evidence contributes.</t>
        </is>
      </c>
    </row>
    <row r="44" ht="36" customHeight="1">
      <c r="A44" s="33" t="inlineStr">
        <is>
          <t>M18</t>
        </is>
      </c>
      <c r="B44" s="33" t="inlineStr">
        <is>
          <t>Motif</t>
        </is>
      </c>
      <c r="C44" s="33" t="inlineStr">
        <is>
          <t>0..1 standardized</t>
        </is>
      </c>
      <c r="D44" s="33">
        <f>IFERROR(SUMPRODUCT(ABS('05_FEATURE_MODEL'!AQ$5:AQ$27),'92_FEATURE_CONF_NUMERIC'!AQ$5:AQ$27)/SUMPRODUCT(ABS('05_FEATURE_MODEL'!AQ$5:AQ$27)),'18_WEIGHT_CONTROL'!$B$8)</f>
        <v/>
      </c>
      <c r="E44" s="33">
        <f>COUNTIF('05_FEATURE_MODEL'!AQ$5:AQ$27,"&lt;&gt;0")</f>
        <v/>
      </c>
      <c r="F44" s="33" t="inlineStr">
        <is>
          <t>Frozen v4 cell-confidence matrix</t>
        </is>
      </c>
      <c r="G44" s="33" t="inlineStr">
        <is>
          <t>Motif absence is not negative evidence; only nonzero motif evidence contributes.</t>
        </is>
      </c>
    </row>
    <row r="45" ht="36" customHeight="1">
      <c r="A45" s="33" t="inlineStr">
        <is>
          <t>M19</t>
        </is>
      </c>
      <c r="B45" s="33" t="inlineStr">
        <is>
          <t>Motif</t>
        </is>
      </c>
      <c r="C45" s="33" t="inlineStr">
        <is>
          <t>0..1 standardized</t>
        </is>
      </c>
      <c r="D45" s="33">
        <f>IFERROR(SUMPRODUCT(ABS('05_FEATURE_MODEL'!AR$5:AR$27),'92_FEATURE_CONF_NUMERIC'!AR$5:AR$27)/SUMPRODUCT(ABS('05_FEATURE_MODEL'!AR$5:AR$27)),'18_WEIGHT_CONTROL'!$B$8)</f>
        <v/>
      </c>
      <c r="E45" s="33">
        <f>COUNTIF('05_FEATURE_MODEL'!AR$5:AR$27,"&lt;&gt;0")</f>
        <v/>
      </c>
      <c r="F45" s="33" t="inlineStr">
        <is>
          <t>Frozen v4 cell-confidence matrix</t>
        </is>
      </c>
      <c r="G45" s="33" t="inlineStr">
        <is>
          <t>Motif absence is not negative evidence; only nonzero motif evidence contributes.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C27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Target Membership Helper</t>
        </is>
      </c>
    </row>
    <row r="2"/>
    <row r="3"/>
    <row r="4">
      <c r="A4" t="inlineStr">
        <is>
          <t>Lineage</t>
        </is>
      </c>
      <c r="B4" t="inlineStr">
        <is>
          <t>G01</t>
        </is>
      </c>
      <c r="C4" t="inlineStr">
        <is>
          <t>G02</t>
        </is>
      </c>
      <c r="D4" t="inlineStr">
        <is>
          <t>G03</t>
        </is>
      </c>
      <c r="E4" t="inlineStr">
        <is>
          <t>G04</t>
        </is>
      </c>
      <c r="F4" t="inlineStr">
        <is>
          <t>G05</t>
        </is>
      </c>
      <c r="G4" t="inlineStr">
        <is>
          <t>G06</t>
        </is>
      </c>
      <c r="H4" t="inlineStr">
        <is>
          <t>G07</t>
        </is>
      </c>
      <c r="I4" t="inlineStr">
        <is>
          <t>G08</t>
        </is>
      </c>
      <c r="J4" t="inlineStr">
        <is>
          <t>G09</t>
        </is>
      </c>
      <c r="K4" t="inlineStr">
        <is>
          <t>G10</t>
        </is>
      </c>
      <c r="L4" t="inlineStr">
        <is>
          <t>G11</t>
        </is>
      </c>
      <c r="M4" t="inlineStr">
        <is>
          <t>G12</t>
        </is>
      </c>
      <c r="N4" t="inlineStr">
        <is>
          <t>G13</t>
        </is>
      </c>
      <c r="O4" t="inlineStr">
        <is>
          <t>G14</t>
        </is>
      </c>
      <c r="P4" t="inlineStr">
        <is>
          <t>G15</t>
        </is>
      </c>
      <c r="Q4" t="inlineStr">
        <is>
          <t>G16</t>
        </is>
      </c>
      <c r="R4" t="inlineStr">
        <is>
          <t>G17</t>
        </is>
      </c>
      <c r="S4" t="inlineStr">
        <is>
          <t>G18</t>
        </is>
      </c>
      <c r="T4" t="inlineStr">
        <is>
          <t>G19</t>
        </is>
      </c>
      <c r="U4" t="inlineStr">
        <is>
          <t>G20</t>
        </is>
      </c>
      <c r="V4" t="inlineStr">
        <is>
          <t>G21</t>
        </is>
      </c>
      <c r="W4" t="inlineStr">
        <is>
          <t>G22</t>
        </is>
      </c>
      <c r="X4" t="inlineStr">
        <is>
          <t>G23</t>
        </is>
      </c>
      <c r="Y4" t="inlineStr">
        <is>
          <t>G24</t>
        </is>
      </c>
      <c r="Z4" t="inlineStr">
        <is>
          <t>G25</t>
        </is>
      </c>
      <c r="AA4" t="inlineStr">
        <is>
          <t>G26</t>
        </is>
      </c>
      <c r="AB4" t="inlineStr">
        <is>
          <t>G27</t>
        </is>
      </c>
      <c r="AC4" t="inlineStr">
        <is>
          <t>G28</t>
        </is>
      </c>
      <c r="AD4" t="inlineStr">
        <is>
          <t>G29</t>
        </is>
      </c>
      <c r="AE4" t="inlineStr">
        <is>
          <t>G30</t>
        </is>
      </c>
      <c r="AF4" t="inlineStr">
        <is>
          <t>L01</t>
        </is>
      </c>
      <c r="AG4" t="inlineStr">
        <is>
          <t>L02</t>
        </is>
      </c>
      <c r="AH4" t="inlineStr">
        <is>
          <t>L03</t>
        </is>
      </c>
      <c r="AI4" t="inlineStr">
        <is>
          <t>L04</t>
        </is>
      </c>
      <c r="AJ4" t="inlineStr">
        <is>
          <t>L05</t>
        </is>
      </c>
      <c r="AK4" t="inlineStr">
        <is>
          <t>L06</t>
        </is>
      </c>
      <c r="AL4" t="inlineStr">
        <is>
          <t>L07</t>
        </is>
      </c>
      <c r="AM4" t="inlineStr">
        <is>
          <t>L08</t>
        </is>
      </c>
      <c r="AN4" t="inlineStr">
        <is>
          <t>L09</t>
        </is>
      </c>
      <c r="AO4" t="inlineStr">
        <is>
          <t>L10</t>
        </is>
      </c>
      <c r="AP4" t="inlineStr">
        <is>
          <t>L11</t>
        </is>
      </c>
      <c r="AQ4" t="inlineStr">
        <is>
          <t>L12</t>
        </is>
      </c>
      <c r="AR4" t="inlineStr">
        <is>
          <t>L13</t>
        </is>
      </c>
      <c r="AS4" t="inlineStr">
        <is>
          <t>L14</t>
        </is>
      </c>
      <c r="AT4" t="inlineStr">
        <is>
          <t>L15</t>
        </is>
      </c>
      <c r="AU4" t="inlineStr">
        <is>
          <t>L16</t>
        </is>
      </c>
      <c r="AV4" t="inlineStr">
        <is>
          <t>L17</t>
        </is>
      </c>
      <c r="AW4" t="inlineStr">
        <is>
          <t>L18</t>
        </is>
      </c>
      <c r="AX4" t="inlineStr">
        <is>
          <t>L19</t>
        </is>
      </c>
      <c r="AY4" t="inlineStr">
        <is>
          <t>L20</t>
        </is>
      </c>
      <c r="AZ4" t="inlineStr">
        <is>
          <t>L21</t>
        </is>
      </c>
      <c r="BA4" t="inlineStr">
        <is>
          <t>L22</t>
        </is>
      </c>
      <c r="BB4" t="inlineStr">
        <is>
          <t>L23</t>
        </is>
      </c>
      <c r="BC4" t="inlineStr">
        <is>
          <t>L24</t>
        </is>
      </c>
      <c r="BD4" t="inlineStr">
        <is>
          <t>L25</t>
        </is>
      </c>
      <c r="BE4" t="inlineStr">
        <is>
          <t>L26</t>
        </is>
      </c>
      <c r="BF4" t="inlineStr">
        <is>
          <t>L27</t>
        </is>
      </c>
      <c r="BG4" t="inlineStr">
        <is>
          <t>L28</t>
        </is>
      </c>
      <c r="BH4" t="inlineStr">
        <is>
          <t>L29</t>
        </is>
      </c>
      <c r="BI4" t="inlineStr">
        <is>
          <t>L30</t>
        </is>
      </c>
      <c r="BJ4" t="inlineStr">
        <is>
          <t>L31</t>
        </is>
      </c>
      <c r="BK4" t="inlineStr">
        <is>
          <t>L32</t>
        </is>
      </c>
      <c r="BL4" t="inlineStr">
        <is>
          <t>L33</t>
        </is>
      </c>
      <c r="BM4" t="inlineStr">
        <is>
          <t>L34</t>
        </is>
      </c>
      <c r="BN4" t="inlineStr">
        <is>
          <t>L35</t>
        </is>
      </c>
      <c r="BO4" t="inlineStr">
        <is>
          <t>L36</t>
        </is>
      </c>
      <c r="BP4" t="inlineStr">
        <is>
          <t>L37</t>
        </is>
      </c>
      <c r="BQ4" t="inlineStr">
        <is>
          <t>L38</t>
        </is>
      </c>
      <c r="BR4" t="inlineStr">
        <is>
          <t>A01</t>
        </is>
      </c>
      <c r="BS4" t="inlineStr">
        <is>
          <t>A02</t>
        </is>
      </c>
      <c r="BT4" t="inlineStr">
        <is>
          <t>A03</t>
        </is>
      </c>
      <c r="BU4" t="inlineStr">
        <is>
          <t>A04</t>
        </is>
      </c>
      <c r="BV4" t="inlineStr">
        <is>
          <t>A05</t>
        </is>
      </c>
      <c r="BW4" t="inlineStr">
        <is>
          <t>A06</t>
        </is>
      </c>
      <c r="BX4" t="inlineStr">
        <is>
          <t>A07</t>
        </is>
      </c>
      <c r="BY4" t="inlineStr">
        <is>
          <t>A08</t>
        </is>
      </c>
      <c r="BZ4" t="inlineStr">
        <is>
          <t>A09</t>
        </is>
      </c>
      <c r="CA4" t="inlineStr">
        <is>
          <t>A10</t>
        </is>
      </c>
      <c r="CB4" t="inlineStr">
        <is>
          <t>A11</t>
        </is>
      </c>
      <c r="CC4" t="inlineStr">
        <is>
          <t>A12</t>
        </is>
      </c>
    </row>
    <row r="5">
      <c r="A5" t="inlineStr">
        <is>
          <t>Pleiadian</t>
        </is>
      </c>
      <c r="B5">
        <f>IF('06_ITEM_POLE_MODEL'!$E$5="ABSOLUTE SEMANTIC",0,IF(ISNUMBER(SEARCH($A5,'06_ITEM_POLE_MODEL'!$F$5)),1,IF(ISNUMBER(SEARCH($A5,'06_ITEM_POLE_MODEL'!$G$5)),-1,0)))</f>
        <v/>
      </c>
      <c r="C5">
        <f>IF('06_ITEM_POLE_MODEL'!$E$6="ABSOLUTE SEMANTIC",0,IF(ISNUMBER(SEARCH($A5,'06_ITEM_POLE_MODEL'!$F$6)),1,IF(ISNUMBER(SEARCH($A5,'06_ITEM_POLE_MODEL'!$G$6)),-1,0)))</f>
        <v/>
      </c>
      <c r="D5">
        <f>IF('06_ITEM_POLE_MODEL'!$E$7="ABSOLUTE SEMANTIC",0,IF(ISNUMBER(SEARCH($A5,'06_ITEM_POLE_MODEL'!$F$7)),1,IF(ISNUMBER(SEARCH($A5,'06_ITEM_POLE_MODEL'!$G$7)),-1,0)))</f>
        <v/>
      </c>
      <c r="E5">
        <f>IF('06_ITEM_POLE_MODEL'!$E$8="ABSOLUTE SEMANTIC",0,IF(ISNUMBER(SEARCH($A5,'06_ITEM_POLE_MODEL'!$F$8)),1,IF(ISNUMBER(SEARCH($A5,'06_ITEM_POLE_MODEL'!$G$8)),-1,0)))</f>
        <v/>
      </c>
      <c r="F5">
        <f>IF('06_ITEM_POLE_MODEL'!$E$9="ABSOLUTE SEMANTIC",0,IF(ISNUMBER(SEARCH($A5,'06_ITEM_POLE_MODEL'!$F$9)),1,IF(ISNUMBER(SEARCH($A5,'06_ITEM_POLE_MODEL'!$G$9)),-1,0)))</f>
        <v/>
      </c>
      <c r="G5">
        <f>IF('06_ITEM_POLE_MODEL'!$E$10="ABSOLUTE SEMANTIC",0,IF(ISNUMBER(SEARCH($A5,'06_ITEM_POLE_MODEL'!$F$10)),1,IF(ISNUMBER(SEARCH($A5,'06_ITEM_POLE_MODEL'!$G$10)),-1,0)))</f>
        <v/>
      </c>
      <c r="H5">
        <f>IF('06_ITEM_POLE_MODEL'!$E$11="ABSOLUTE SEMANTIC",0,IF(ISNUMBER(SEARCH($A5,'06_ITEM_POLE_MODEL'!$F$11)),1,IF(ISNUMBER(SEARCH($A5,'06_ITEM_POLE_MODEL'!$G$11)),-1,0)))</f>
        <v/>
      </c>
      <c r="I5">
        <f>IF('06_ITEM_POLE_MODEL'!$E$12="ABSOLUTE SEMANTIC",0,IF(ISNUMBER(SEARCH($A5,'06_ITEM_POLE_MODEL'!$F$12)),1,IF(ISNUMBER(SEARCH($A5,'06_ITEM_POLE_MODEL'!$G$12)),-1,0)))</f>
        <v/>
      </c>
      <c r="J5">
        <f>IF('06_ITEM_POLE_MODEL'!$E$13="ABSOLUTE SEMANTIC",0,IF(ISNUMBER(SEARCH($A5,'06_ITEM_POLE_MODEL'!$F$13)),1,IF(ISNUMBER(SEARCH($A5,'06_ITEM_POLE_MODEL'!$G$13)),-1,0)))</f>
        <v/>
      </c>
      <c r="K5">
        <f>IF('06_ITEM_POLE_MODEL'!$E$14="ABSOLUTE SEMANTIC",0,IF(ISNUMBER(SEARCH($A5,'06_ITEM_POLE_MODEL'!$F$14)),1,IF(ISNUMBER(SEARCH($A5,'06_ITEM_POLE_MODEL'!$G$14)),-1,0)))</f>
        <v/>
      </c>
      <c r="L5">
        <f>IF('06_ITEM_POLE_MODEL'!$E$15="ABSOLUTE SEMANTIC",0,IF(ISNUMBER(SEARCH($A5,'06_ITEM_POLE_MODEL'!$F$15)),1,IF(ISNUMBER(SEARCH($A5,'06_ITEM_POLE_MODEL'!$G$15)),-1,0)))</f>
        <v/>
      </c>
      <c r="M5">
        <f>IF('06_ITEM_POLE_MODEL'!$E$16="ABSOLUTE SEMANTIC",0,IF(ISNUMBER(SEARCH($A5,'06_ITEM_POLE_MODEL'!$F$16)),1,IF(ISNUMBER(SEARCH($A5,'06_ITEM_POLE_MODEL'!$G$16)),-1,0)))</f>
        <v/>
      </c>
      <c r="N5">
        <f>IF('06_ITEM_POLE_MODEL'!$E$17="ABSOLUTE SEMANTIC",0,IF(ISNUMBER(SEARCH($A5,'06_ITEM_POLE_MODEL'!$F$17)),1,IF(ISNUMBER(SEARCH($A5,'06_ITEM_POLE_MODEL'!$G$17)),-1,0)))</f>
        <v/>
      </c>
      <c r="O5">
        <f>IF('06_ITEM_POLE_MODEL'!$E$18="ABSOLUTE SEMANTIC",0,IF(ISNUMBER(SEARCH($A5,'06_ITEM_POLE_MODEL'!$F$18)),1,IF(ISNUMBER(SEARCH($A5,'06_ITEM_POLE_MODEL'!$G$18)),-1,0)))</f>
        <v/>
      </c>
      <c r="P5">
        <f>IF('06_ITEM_POLE_MODEL'!$E$19="ABSOLUTE SEMANTIC",0,IF(ISNUMBER(SEARCH($A5,'06_ITEM_POLE_MODEL'!$F$19)),1,IF(ISNUMBER(SEARCH($A5,'06_ITEM_POLE_MODEL'!$G$19)),-1,0)))</f>
        <v/>
      </c>
      <c r="Q5">
        <f>IF('06_ITEM_POLE_MODEL'!$E$20="ABSOLUTE SEMANTIC",0,IF(ISNUMBER(SEARCH($A5,'06_ITEM_POLE_MODEL'!$F$20)),1,IF(ISNUMBER(SEARCH($A5,'06_ITEM_POLE_MODEL'!$G$20)),-1,0)))</f>
        <v/>
      </c>
      <c r="R5">
        <f>IF('06_ITEM_POLE_MODEL'!$E$21="ABSOLUTE SEMANTIC",0,IF(ISNUMBER(SEARCH($A5,'06_ITEM_POLE_MODEL'!$F$21)),1,IF(ISNUMBER(SEARCH($A5,'06_ITEM_POLE_MODEL'!$G$21)),-1,0)))</f>
        <v/>
      </c>
      <c r="S5">
        <f>IF('06_ITEM_POLE_MODEL'!$E$22="ABSOLUTE SEMANTIC",0,IF(ISNUMBER(SEARCH($A5,'06_ITEM_POLE_MODEL'!$F$22)),1,IF(ISNUMBER(SEARCH($A5,'06_ITEM_POLE_MODEL'!$G$22)),-1,0)))</f>
        <v/>
      </c>
      <c r="T5">
        <f>IF('06_ITEM_POLE_MODEL'!$E$23="ABSOLUTE SEMANTIC",0,IF(ISNUMBER(SEARCH($A5,'06_ITEM_POLE_MODEL'!$F$23)),1,IF(ISNUMBER(SEARCH($A5,'06_ITEM_POLE_MODEL'!$G$23)),-1,0)))</f>
        <v/>
      </c>
      <c r="U5">
        <f>IF('06_ITEM_POLE_MODEL'!$E$24="ABSOLUTE SEMANTIC",0,IF(ISNUMBER(SEARCH($A5,'06_ITEM_POLE_MODEL'!$F$24)),1,IF(ISNUMBER(SEARCH($A5,'06_ITEM_POLE_MODEL'!$G$24)),-1,0)))</f>
        <v/>
      </c>
      <c r="V5">
        <f>IF('06_ITEM_POLE_MODEL'!$E$25="ABSOLUTE SEMANTIC",0,IF(ISNUMBER(SEARCH($A5,'06_ITEM_POLE_MODEL'!$F$25)),1,IF(ISNUMBER(SEARCH($A5,'06_ITEM_POLE_MODEL'!$G$25)),-1,0)))</f>
        <v/>
      </c>
      <c r="W5">
        <f>IF('06_ITEM_POLE_MODEL'!$E$26="ABSOLUTE SEMANTIC",0,IF(ISNUMBER(SEARCH($A5,'06_ITEM_POLE_MODEL'!$F$26)),1,IF(ISNUMBER(SEARCH($A5,'06_ITEM_POLE_MODEL'!$G$26)),-1,0)))</f>
        <v/>
      </c>
      <c r="X5">
        <f>IF('06_ITEM_POLE_MODEL'!$E$27="ABSOLUTE SEMANTIC",0,IF(ISNUMBER(SEARCH($A5,'06_ITEM_POLE_MODEL'!$F$27)),1,IF(ISNUMBER(SEARCH($A5,'06_ITEM_POLE_MODEL'!$G$27)),-1,0)))</f>
        <v/>
      </c>
      <c r="Y5">
        <f>IF('06_ITEM_POLE_MODEL'!$E$28="ABSOLUTE SEMANTIC",0,IF(ISNUMBER(SEARCH($A5,'06_ITEM_POLE_MODEL'!$F$28)),1,IF(ISNUMBER(SEARCH($A5,'06_ITEM_POLE_MODEL'!$G$28)),-1,0)))</f>
        <v/>
      </c>
      <c r="Z5">
        <f>IF('06_ITEM_POLE_MODEL'!$E$29="ABSOLUTE SEMANTIC",0,IF(ISNUMBER(SEARCH($A5,'06_ITEM_POLE_MODEL'!$F$29)),1,IF(ISNUMBER(SEARCH($A5,'06_ITEM_POLE_MODEL'!$G$29)),-1,0)))</f>
        <v/>
      </c>
      <c r="AA5">
        <f>IF('06_ITEM_POLE_MODEL'!$E$30="ABSOLUTE SEMANTIC",0,IF(ISNUMBER(SEARCH($A5,'06_ITEM_POLE_MODEL'!$F$30)),1,IF(ISNUMBER(SEARCH($A5,'06_ITEM_POLE_MODEL'!$G$30)),-1,0)))</f>
        <v/>
      </c>
      <c r="AB5">
        <f>IF('06_ITEM_POLE_MODEL'!$E$31="ABSOLUTE SEMANTIC",0,IF(ISNUMBER(SEARCH($A5,'06_ITEM_POLE_MODEL'!$F$31)),1,IF(ISNUMBER(SEARCH($A5,'06_ITEM_POLE_MODEL'!$G$31)),-1,0)))</f>
        <v/>
      </c>
      <c r="AC5">
        <f>IF('06_ITEM_POLE_MODEL'!$E$32="ABSOLUTE SEMANTIC",0,IF(ISNUMBER(SEARCH($A5,'06_ITEM_POLE_MODEL'!$F$32)),1,IF(ISNUMBER(SEARCH($A5,'06_ITEM_POLE_MODEL'!$G$32)),-1,0)))</f>
        <v/>
      </c>
      <c r="AD5">
        <f>IF('06_ITEM_POLE_MODEL'!$E$33="ABSOLUTE SEMANTIC",0,IF(ISNUMBER(SEARCH($A5,'06_ITEM_POLE_MODEL'!$F$33)),1,IF(ISNUMBER(SEARCH($A5,'06_ITEM_POLE_MODEL'!$G$33)),-1,0)))</f>
        <v/>
      </c>
      <c r="AE5">
        <f>IF('06_ITEM_POLE_MODEL'!$E$34="ABSOLUTE SEMANTIC",0,IF(ISNUMBER(SEARCH($A5,'06_ITEM_POLE_MODEL'!$F$34)),1,IF(ISNUMBER(SEARCH($A5,'06_ITEM_POLE_MODEL'!$G$34)),-1,0)))</f>
        <v/>
      </c>
      <c r="AF5">
        <f>IF('06_ITEM_POLE_MODEL'!$E$35="ABSOLUTE SEMANTIC",0,IF(ISNUMBER(SEARCH($A5,'06_ITEM_POLE_MODEL'!$F$35)),1,IF(ISNUMBER(SEARCH($A5,'06_ITEM_POLE_MODEL'!$G$35)),-1,0)))</f>
        <v/>
      </c>
      <c r="AG5">
        <f>IF('06_ITEM_POLE_MODEL'!$E$36="ABSOLUTE SEMANTIC",0,IF(ISNUMBER(SEARCH($A5,'06_ITEM_POLE_MODEL'!$F$36)),1,IF(ISNUMBER(SEARCH($A5,'06_ITEM_POLE_MODEL'!$G$36)),-1,0)))</f>
        <v/>
      </c>
      <c r="AH5">
        <f>IF('06_ITEM_POLE_MODEL'!$E$37="ABSOLUTE SEMANTIC",0,IF(ISNUMBER(SEARCH($A5,'06_ITEM_POLE_MODEL'!$F$37)),1,IF(ISNUMBER(SEARCH($A5,'06_ITEM_POLE_MODEL'!$G$37)),-1,0)))</f>
        <v/>
      </c>
      <c r="AI5">
        <f>IF('06_ITEM_POLE_MODEL'!$E$38="ABSOLUTE SEMANTIC",0,IF(ISNUMBER(SEARCH($A5,'06_ITEM_POLE_MODEL'!$F$38)),1,IF(ISNUMBER(SEARCH($A5,'06_ITEM_POLE_MODEL'!$G$38)),-1,0)))</f>
        <v/>
      </c>
      <c r="AJ5">
        <f>IF('06_ITEM_POLE_MODEL'!$E$39="ABSOLUTE SEMANTIC",0,IF(ISNUMBER(SEARCH($A5,'06_ITEM_POLE_MODEL'!$F$39)),1,IF(ISNUMBER(SEARCH($A5,'06_ITEM_POLE_MODEL'!$G$39)),-1,0)))</f>
        <v/>
      </c>
      <c r="AK5">
        <f>IF('06_ITEM_POLE_MODEL'!$E$40="ABSOLUTE SEMANTIC",0,IF(ISNUMBER(SEARCH($A5,'06_ITEM_POLE_MODEL'!$F$40)),1,IF(ISNUMBER(SEARCH($A5,'06_ITEM_POLE_MODEL'!$G$40)),-1,0)))</f>
        <v/>
      </c>
      <c r="AL5">
        <f>IF('06_ITEM_POLE_MODEL'!$E$41="ABSOLUTE SEMANTIC",0,IF(ISNUMBER(SEARCH($A5,'06_ITEM_POLE_MODEL'!$F$41)),1,IF(ISNUMBER(SEARCH($A5,'06_ITEM_POLE_MODEL'!$G$41)),-1,0)))</f>
        <v/>
      </c>
      <c r="AM5">
        <f>IF('06_ITEM_POLE_MODEL'!$E$42="ABSOLUTE SEMANTIC",0,IF(ISNUMBER(SEARCH($A5,'06_ITEM_POLE_MODEL'!$F$42)),1,IF(ISNUMBER(SEARCH($A5,'06_ITEM_POLE_MODEL'!$G$42)),-1,0)))</f>
        <v/>
      </c>
      <c r="AN5">
        <f>IF('06_ITEM_POLE_MODEL'!$E$43="ABSOLUTE SEMANTIC",0,IF(ISNUMBER(SEARCH($A5,'06_ITEM_POLE_MODEL'!$F$43)),1,IF(ISNUMBER(SEARCH($A5,'06_ITEM_POLE_MODEL'!$G$43)),-1,0)))</f>
        <v/>
      </c>
      <c r="AO5">
        <f>IF('06_ITEM_POLE_MODEL'!$E$44="ABSOLUTE SEMANTIC",0,IF(ISNUMBER(SEARCH($A5,'06_ITEM_POLE_MODEL'!$F$44)),1,IF(ISNUMBER(SEARCH($A5,'06_ITEM_POLE_MODEL'!$G$44)),-1,0)))</f>
        <v/>
      </c>
      <c r="AP5">
        <f>IF('06_ITEM_POLE_MODEL'!$E$45="ABSOLUTE SEMANTIC",0,IF(ISNUMBER(SEARCH($A5,'06_ITEM_POLE_MODEL'!$F$45)),1,IF(ISNUMBER(SEARCH($A5,'06_ITEM_POLE_MODEL'!$G$45)),-1,0)))</f>
        <v/>
      </c>
      <c r="AQ5">
        <f>IF('06_ITEM_POLE_MODEL'!$E$46="ABSOLUTE SEMANTIC",0,IF(ISNUMBER(SEARCH($A5,'06_ITEM_POLE_MODEL'!$F$46)),1,IF(ISNUMBER(SEARCH($A5,'06_ITEM_POLE_MODEL'!$G$46)),-1,0)))</f>
        <v/>
      </c>
      <c r="AR5">
        <f>IF('06_ITEM_POLE_MODEL'!$E$47="ABSOLUTE SEMANTIC",0,IF(ISNUMBER(SEARCH($A5,'06_ITEM_POLE_MODEL'!$F$47)),1,IF(ISNUMBER(SEARCH($A5,'06_ITEM_POLE_MODEL'!$G$47)),-1,0)))</f>
        <v/>
      </c>
      <c r="AS5">
        <f>IF('06_ITEM_POLE_MODEL'!$E$48="ABSOLUTE SEMANTIC",0,IF(ISNUMBER(SEARCH($A5,'06_ITEM_POLE_MODEL'!$F$48)),1,IF(ISNUMBER(SEARCH($A5,'06_ITEM_POLE_MODEL'!$G$48)),-1,0)))</f>
        <v/>
      </c>
      <c r="AT5">
        <f>IF('06_ITEM_POLE_MODEL'!$E$49="ABSOLUTE SEMANTIC",0,IF(ISNUMBER(SEARCH($A5,'06_ITEM_POLE_MODEL'!$F$49)),1,IF(ISNUMBER(SEARCH($A5,'06_ITEM_POLE_MODEL'!$G$49)),-1,0)))</f>
        <v/>
      </c>
      <c r="AU5">
        <f>IF('06_ITEM_POLE_MODEL'!$E$50="ABSOLUTE SEMANTIC",0,IF(ISNUMBER(SEARCH($A5,'06_ITEM_POLE_MODEL'!$F$50)),1,IF(ISNUMBER(SEARCH($A5,'06_ITEM_POLE_MODEL'!$G$50)),-1,0)))</f>
        <v/>
      </c>
      <c r="AV5">
        <f>IF('06_ITEM_POLE_MODEL'!$E$51="ABSOLUTE SEMANTIC",0,IF(ISNUMBER(SEARCH($A5,'06_ITEM_POLE_MODEL'!$F$51)),1,IF(ISNUMBER(SEARCH($A5,'06_ITEM_POLE_MODEL'!$G$51)),-1,0)))</f>
        <v/>
      </c>
      <c r="AW5">
        <f>IF('06_ITEM_POLE_MODEL'!$E$52="ABSOLUTE SEMANTIC",0,IF(ISNUMBER(SEARCH($A5,'06_ITEM_POLE_MODEL'!$F$52)),1,IF(ISNUMBER(SEARCH($A5,'06_ITEM_POLE_MODEL'!$G$52)),-1,0)))</f>
        <v/>
      </c>
      <c r="AX5">
        <f>IF('06_ITEM_POLE_MODEL'!$E$53="ABSOLUTE SEMANTIC",0,IF(ISNUMBER(SEARCH($A5,'06_ITEM_POLE_MODEL'!$F$53)),1,IF(ISNUMBER(SEARCH($A5,'06_ITEM_POLE_MODEL'!$G$53)),-1,0)))</f>
        <v/>
      </c>
      <c r="AY5">
        <f>IF('06_ITEM_POLE_MODEL'!$E$54="ABSOLUTE SEMANTIC",0,IF(ISNUMBER(SEARCH($A5,'06_ITEM_POLE_MODEL'!$F$54)),1,IF(ISNUMBER(SEARCH($A5,'06_ITEM_POLE_MODEL'!$G$54)),-1,0)))</f>
        <v/>
      </c>
      <c r="AZ5">
        <f>IF('06_ITEM_POLE_MODEL'!$E$55="ABSOLUTE SEMANTIC",0,IF(ISNUMBER(SEARCH($A5,'06_ITEM_POLE_MODEL'!$F$55)),1,IF(ISNUMBER(SEARCH($A5,'06_ITEM_POLE_MODEL'!$G$55)),-1,0)))</f>
        <v/>
      </c>
      <c r="BA5">
        <f>IF('06_ITEM_POLE_MODEL'!$E$56="ABSOLUTE SEMANTIC",0,IF(ISNUMBER(SEARCH($A5,'06_ITEM_POLE_MODEL'!$F$56)),1,IF(ISNUMBER(SEARCH($A5,'06_ITEM_POLE_MODEL'!$G$56)),-1,0)))</f>
        <v/>
      </c>
      <c r="BB5">
        <f>IF('06_ITEM_POLE_MODEL'!$E$57="ABSOLUTE SEMANTIC",0,IF(ISNUMBER(SEARCH($A5,'06_ITEM_POLE_MODEL'!$F$57)),1,IF(ISNUMBER(SEARCH($A5,'06_ITEM_POLE_MODEL'!$G$57)),-1,0)))</f>
        <v/>
      </c>
      <c r="BC5">
        <f>IF('06_ITEM_POLE_MODEL'!$E$58="ABSOLUTE SEMANTIC",0,IF(ISNUMBER(SEARCH($A5,'06_ITEM_POLE_MODEL'!$F$58)),1,IF(ISNUMBER(SEARCH($A5,'06_ITEM_POLE_MODEL'!$G$58)),-1,0)))</f>
        <v/>
      </c>
      <c r="BD5">
        <f>IF('06_ITEM_POLE_MODEL'!$E$59="ABSOLUTE SEMANTIC",0,IF(ISNUMBER(SEARCH($A5,'06_ITEM_POLE_MODEL'!$F$59)),1,IF(ISNUMBER(SEARCH($A5,'06_ITEM_POLE_MODEL'!$G$59)),-1,0)))</f>
        <v/>
      </c>
      <c r="BE5">
        <f>IF('06_ITEM_POLE_MODEL'!$E$60="ABSOLUTE SEMANTIC",0,IF(ISNUMBER(SEARCH($A5,'06_ITEM_POLE_MODEL'!$F$60)),1,IF(ISNUMBER(SEARCH($A5,'06_ITEM_POLE_MODEL'!$G$60)),-1,0)))</f>
        <v/>
      </c>
      <c r="BF5">
        <f>IF('06_ITEM_POLE_MODEL'!$E$61="ABSOLUTE SEMANTIC",0,IF(ISNUMBER(SEARCH($A5,'06_ITEM_POLE_MODEL'!$F$61)),1,IF(ISNUMBER(SEARCH($A5,'06_ITEM_POLE_MODEL'!$G$61)),-1,0)))</f>
        <v/>
      </c>
      <c r="BG5">
        <f>IF('06_ITEM_POLE_MODEL'!$E$62="ABSOLUTE SEMANTIC",0,IF(ISNUMBER(SEARCH($A5,'06_ITEM_POLE_MODEL'!$F$62)),1,IF(ISNUMBER(SEARCH($A5,'06_ITEM_POLE_MODEL'!$G$62)),-1,0)))</f>
        <v/>
      </c>
      <c r="BH5">
        <f>IF('06_ITEM_POLE_MODEL'!$E$63="ABSOLUTE SEMANTIC",0,IF(ISNUMBER(SEARCH($A5,'06_ITEM_POLE_MODEL'!$F$63)),1,IF(ISNUMBER(SEARCH($A5,'06_ITEM_POLE_MODEL'!$G$63)),-1,0)))</f>
        <v/>
      </c>
      <c r="BI5">
        <f>IF('06_ITEM_POLE_MODEL'!$E$64="ABSOLUTE SEMANTIC",0,IF(ISNUMBER(SEARCH($A5,'06_ITEM_POLE_MODEL'!$F$64)),1,IF(ISNUMBER(SEARCH($A5,'06_ITEM_POLE_MODEL'!$G$64)),-1,0)))</f>
        <v/>
      </c>
      <c r="BJ5">
        <f>IF('06_ITEM_POLE_MODEL'!$E$65="ABSOLUTE SEMANTIC",0,IF(ISNUMBER(SEARCH($A5,'06_ITEM_POLE_MODEL'!$F$65)),1,IF(ISNUMBER(SEARCH($A5,'06_ITEM_POLE_MODEL'!$G$65)),-1,0)))</f>
        <v/>
      </c>
      <c r="BK5">
        <f>IF('06_ITEM_POLE_MODEL'!$E$66="ABSOLUTE SEMANTIC",0,IF(ISNUMBER(SEARCH($A5,'06_ITEM_POLE_MODEL'!$F$66)),1,IF(ISNUMBER(SEARCH($A5,'06_ITEM_POLE_MODEL'!$G$66)),-1,0)))</f>
        <v/>
      </c>
      <c r="BL5">
        <f>IF('06_ITEM_POLE_MODEL'!$E$67="ABSOLUTE SEMANTIC",0,IF(ISNUMBER(SEARCH($A5,'06_ITEM_POLE_MODEL'!$F$67)),1,IF(ISNUMBER(SEARCH($A5,'06_ITEM_POLE_MODEL'!$G$67)),-1,0)))</f>
        <v/>
      </c>
      <c r="BM5">
        <f>IF('06_ITEM_POLE_MODEL'!$E$68="ABSOLUTE SEMANTIC",0,IF(ISNUMBER(SEARCH($A5,'06_ITEM_POLE_MODEL'!$F$68)),1,IF(ISNUMBER(SEARCH($A5,'06_ITEM_POLE_MODEL'!$G$68)),-1,0)))</f>
        <v/>
      </c>
      <c r="BN5">
        <f>IF('06_ITEM_POLE_MODEL'!$E$69="ABSOLUTE SEMANTIC",0,IF(ISNUMBER(SEARCH($A5,'06_ITEM_POLE_MODEL'!$F$69)),1,IF(ISNUMBER(SEARCH($A5,'06_ITEM_POLE_MODEL'!$G$69)),-1,0)))</f>
        <v/>
      </c>
      <c r="BO5">
        <f>IF('06_ITEM_POLE_MODEL'!$E$70="ABSOLUTE SEMANTIC",0,IF(ISNUMBER(SEARCH($A5,'06_ITEM_POLE_MODEL'!$F$70)),1,IF(ISNUMBER(SEARCH($A5,'06_ITEM_POLE_MODEL'!$G$70)),-1,0)))</f>
        <v/>
      </c>
      <c r="BP5">
        <f>IF('06_ITEM_POLE_MODEL'!$E$71="ABSOLUTE SEMANTIC",0,IF(ISNUMBER(SEARCH($A5,'06_ITEM_POLE_MODEL'!$F$71)),1,IF(ISNUMBER(SEARCH($A5,'06_ITEM_POLE_MODEL'!$G$71)),-1,0)))</f>
        <v/>
      </c>
      <c r="BQ5">
        <f>IF('06_ITEM_POLE_MODEL'!$E$72="ABSOLUTE SEMANTIC",0,IF(ISNUMBER(SEARCH($A5,'06_ITEM_POLE_MODEL'!$F$72)),1,IF(ISNUMBER(SEARCH($A5,'06_ITEM_POLE_MODEL'!$G$72)),-1,0)))</f>
        <v/>
      </c>
      <c r="BR5">
        <f>IF('06_ITEM_POLE_MODEL'!$E$73="ABSOLUTE SEMANTIC",0,IF(ISNUMBER(SEARCH($A5,'06_ITEM_POLE_MODEL'!$F$73)),1,IF(ISNUMBER(SEARCH($A5,'06_ITEM_POLE_MODEL'!$G$73)),-1,0)))</f>
        <v/>
      </c>
      <c r="BS5">
        <f>IF('06_ITEM_POLE_MODEL'!$E$74="ABSOLUTE SEMANTIC",0,IF(ISNUMBER(SEARCH($A5,'06_ITEM_POLE_MODEL'!$F$74)),1,IF(ISNUMBER(SEARCH($A5,'06_ITEM_POLE_MODEL'!$G$74)),-1,0)))</f>
        <v/>
      </c>
      <c r="BT5">
        <f>IF('06_ITEM_POLE_MODEL'!$E$75="ABSOLUTE SEMANTIC",0,IF(ISNUMBER(SEARCH($A5,'06_ITEM_POLE_MODEL'!$F$75)),1,IF(ISNUMBER(SEARCH($A5,'06_ITEM_POLE_MODEL'!$G$75)),-1,0)))</f>
        <v/>
      </c>
      <c r="BU5">
        <f>IF('06_ITEM_POLE_MODEL'!$E$76="ABSOLUTE SEMANTIC",0,IF(ISNUMBER(SEARCH($A5,'06_ITEM_POLE_MODEL'!$F$76)),1,IF(ISNUMBER(SEARCH($A5,'06_ITEM_POLE_MODEL'!$G$76)),-1,0)))</f>
        <v/>
      </c>
      <c r="BV5">
        <f>IF('06_ITEM_POLE_MODEL'!$E$77="ABSOLUTE SEMANTIC",0,IF(ISNUMBER(SEARCH($A5,'06_ITEM_POLE_MODEL'!$F$77)),1,IF(ISNUMBER(SEARCH($A5,'06_ITEM_POLE_MODEL'!$G$77)),-1,0)))</f>
        <v/>
      </c>
      <c r="BW5">
        <f>IF('06_ITEM_POLE_MODEL'!$E$78="ABSOLUTE SEMANTIC",0,IF(ISNUMBER(SEARCH($A5,'06_ITEM_POLE_MODEL'!$F$78)),1,IF(ISNUMBER(SEARCH($A5,'06_ITEM_POLE_MODEL'!$G$78)),-1,0)))</f>
        <v/>
      </c>
      <c r="BX5">
        <f>IF('06_ITEM_POLE_MODEL'!$E$79="ABSOLUTE SEMANTIC",0,IF(ISNUMBER(SEARCH($A5,'06_ITEM_POLE_MODEL'!$F$79)),1,IF(ISNUMBER(SEARCH($A5,'06_ITEM_POLE_MODEL'!$G$79)),-1,0)))</f>
        <v/>
      </c>
      <c r="BY5">
        <f>IF('06_ITEM_POLE_MODEL'!$E$80="ABSOLUTE SEMANTIC",0,IF(ISNUMBER(SEARCH($A5,'06_ITEM_POLE_MODEL'!$F$80)),1,IF(ISNUMBER(SEARCH($A5,'06_ITEM_POLE_MODEL'!$G$80)),-1,0)))</f>
        <v/>
      </c>
      <c r="BZ5">
        <f>IF('06_ITEM_POLE_MODEL'!$E$81="ABSOLUTE SEMANTIC",0,IF(ISNUMBER(SEARCH($A5,'06_ITEM_POLE_MODEL'!$F$81)),1,IF(ISNUMBER(SEARCH($A5,'06_ITEM_POLE_MODEL'!$G$81)),-1,0)))</f>
        <v/>
      </c>
      <c r="CA5">
        <f>IF('06_ITEM_POLE_MODEL'!$E$82="ABSOLUTE SEMANTIC",0,IF(ISNUMBER(SEARCH($A5,'06_ITEM_POLE_MODEL'!$F$82)),1,IF(ISNUMBER(SEARCH($A5,'06_ITEM_POLE_MODEL'!$G$82)),-1,0)))</f>
        <v/>
      </c>
      <c r="CB5">
        <f>IF('06_ITEM_POLE_MODEL'!$E$83="ABSOLUTE SEMANTIC",0,IF(ISNUMBER(SEARCH($A5,'06_ITEM_POLE_MODEL'!$F$83)),1,IF(ISNUMBER(SEARCH($A5,'06_ITEM_POLE_MODEL'!$G$83)),-1,0)))</f>
        <v/>
      </c>
      <c r="CC5">
        <f>IF('06_ITEM_POLE_MODEL'!$E$84="ABSOLUTE SEMANTIC",0,IF(ISNUMBER(SEARCH($A5,'06_ITEM_POLE_MODEL'!$F$84)),1,IF(ISNUMBER(SEARCH($A5,'06_ITEM_POLE_MODEL'!$G$84)),-1,0)))</f>
        <v/>
      </c>
    </row>
    <row r="6">
      <c r="A6" t="inlineStr">
        <is>
          <t>Arcturian</t>
        </is>
      </c>
      <c r="B6">
        <f>IF('06_ITEM_POLE_MODEL'!$E$5="ABSOLUTE SEMANTIC",0,IF(ISNUMBER(SEARCH($A6,'06_ITEM_POLE_MODEL'!$F$5)),1,IF(ISNUMBER(SEARCH($A6,'06_ITEM_POLE_MODEL'!$G$5)),-1,0)))</f>
        <v/>
      </c>
      <c r="C6">
        <f>IF('06_ITEM_POLE_MODEL'!$E$6="ABSOLUTE SEMANTIC",0,IF(ISNUMBER(SEARCH($A6,'06_ITEM_POLE_MODEL'!$F$6)),1,IF(ISNUMBER(SEARCH($A6,'06_ITEM_POLE_MODEL'!$G$6)),-1,0)))</f>
        <v/>
      </c>
      <c r="D6">
        <f>IF('06_ITEM_POLE_MODEL'!$E$7="ABSOLUTE SEMANTIC",0,IF(ISNUMBER(SEARCH($A6,'06_ITEM_POLE_MODEL'!$F$7)),1,IF(ISNUMBER(SEARCH($A6,'06_ITEM_POLE_MODEL'!$G$7)),-1,0)))</f>
        <v/>
      </c>
      <c r="E6">
        <f>IF('06_ITEM_POLE_MODEL'!$E$8="ABSOLUTE SEMANTIC",0,IF(ISNUMBER(SEARCH($A6,'06_ITEM_POLE_MODEL'!$F$8)),1,IF(ISNUMBER(SEARCH($A6,'06_ITEM_POLE_MODEL'!$G$8)),-1,0)))</f>
        <v/>
      </c>
      <c r="F6">
        <f>IF('06_ITEM_POLE_MODEL'!$E$9="ABSOLUTE SEMANTIC",0,IF(ISNUMBER(SEARCH($A6,'06_ITEM_POLE_MODEL'!$F$9)),1,IF(ISNUMBER(SEARCH($A6,'06_ITEM_POLE_MODEL'!$G$9)),-1,0)))</f>
        <v/>
      </c>
      <c r="G6">
        <f>IF('06_ITEM_POLE_MODEL'!$E$10="ABSOLUTE SEMANTIC",0,IF(ISNUMBER(SEARCH($A6,'06_ITEM_POLE_MODEL'!$F$10)),1,IF(ISNUMBER(SEARCH($A6,'06_ITEM_POLE_MODEL'!$G$10)),-1,0)))</f>
        <v/>
      </c>
      <c r="H6">
        <f>IF('06_ITEM_POLE_MODEL'!$E$11="ABSOLUTE SEMANTIC",0,IF(ISNUMBER(SEARCH($A6,'06_ITEM_POLE_MODEL'!$F$11)),1,IF(ISNUMBER(SEARCH($A6,'06_ITEM_POLE_MODEL'!$G$11)),-1,0)))</f>
        <v/>
      </c>
      <c r="I6">
        <f>IF('06_ITEM_POLE_MODEL'!$E$12="ABSOLUTE SEMANTIC",0,IF(ISNUMBER(SEARCH($A6,'06_ITEM_POLE_MODEL'!$F$12)),1,IF(ISNUMBER(SEARCH($A6,'06_ITEM_POLE_MODEL'!$G$12)),-1,0)))</f>
        <v/>
      </c>
      <c r="J6">
        <f>IF('06_ITEM_POLE_MODEL'!$E$13="ABSOLUTE SEMANTIC",0,IF(ISNUMBER(SEARCH($A6,'06_ITEM_POLE_MODEL'!$F$13)),1,IF(ISNUMBER(SEARCH($A6,'06_ITEM_POLE_MODEL'!$G$13)),-1,0)))</f>
        <v/>
      </c>
      <c r="K6">
        <f>IF('06_ITEM_POLE_MODEL'!$E$14="ABSOLUTE SEMANTIC",0,IF(ISNUMBER(SEARCH($A6,'06_ITEM_POLE_MODEL'!$F$14)),1,IF(ISNUMBER(SEARCH($A6,'06_ITEM_POLE_MODEL'!$G$14)),-1,0)))</f>
        <v/>
      </c>
      <c r="L6">
        <f>IF('06_ITEM_POLE_MODEL'!$E$15="ABSOLUTE SEMANTIC",0,IF(ISNUMBER(SEARCH($A6,'06_ITEM_POLE_MODEL'!$F$15)),1,IF(ISNUMBER(SEARCH($A6,'06_ITEM_POLE_MODEL'!$G$15)),-1,0)))</f>
        <v/>
      </c>
      <c r="M6">
        <f>IF('06_ITEM_POLE_MODEL'!$E$16="ABSOLUTE SEMANTIC",0,IF(ISNUMBER(SEARCH($A6,'06_ITEM_POLE_MODEL'!$F$16)),1,IF(ISNUMBER(SEARCH($A6,'06_ITEM_POLE_MODEL'!$G$16)),-1,0)))</f>
        <v/>
      </c>
      <c r="N6">
        <f>IF('06_ITEM_POLE_MODEL'!$E$17="ABSOLUTE SEMANTIC",0,IF(ISNUMBER(SEARCH($A6,'06_ITEM_POLE_MODEL'!$F$17)),1,IF(ISNUMBER(SEARCH($A6,'06_ITEM_POLE_MODEL'!$G$17)),-1,0)))</f>
        <v/>
      </c>
      <c r="O6">
        <f>IF('06_ITEM_POLE_MODEL'!$E$18="ABSOLUTE SEMANTIC",0,IF(ISNUMBER(SEARCH($A6,'06_ITEM_POLE_MODEL'!$F$18)),1,IF(ISNUMBER(SEARCH($A6,'06_ITEM_POLE_MODEL'!$G$18)),-1,0)))</f>
        <v/>
      </c>
      <c r="P6">
        <f>IF('06_ITEM_POLE_MODEL'!$E$19="ABSOLUTE SEMANTIC",0,IF(ISNUMBER(SEARCH($A6,'06_ITEM_POLE_MODEL'!$F$19)),1,IF(ISNUMBER(SEARCH($A6,'06_ITEM_POLE_MODEL'!$G$19)),-1,0)))</f>
        <v/>
      </c>
      <c r="Q6">
        <f>IF('06_ITEM_POLE_MODEL'!$E$20="ABSOLUTE SEMANTIC",0,IF(ISNUMBER(SEARCH($A6,'06_ITEM_POLE_MODEL'!$F$20)),1,IF(ISNUMBER(SEARCH($A6,'06_ITEM_POLE_MODEL'!$G$20)),-1,0)))</f>
        <v/>
      </c>
      <c r="R6">
        <f>IF('06_ITEM_POLE_MODEL'!$E$21="ABSOLUTE SEMANTIC",0,IF(ISNUMBER(SEARCH($A6,'06_ITEM_POLE_MODEL'!$F$21)),1,IF(ISNUMBER(SEARCH($A6,'06_ITEM_POLE_MODEL'!$G$21)),-1,0)))</f>
        <v/>
      </c>
      <c r="S6">
        <f>IF('06_ITEM_POLE_MODEL'!$E$22="ABSOLUTE SEMANTIC",0,IF(ISNUMBER(SEARCH($A6,'06_ITEM_POLE_MODEL'!$F$22)),1,IF(ISNUMBER(SEARCH($A6,'06_ITEM_POLE_MODEL'!$G$22)),-1,0)))</f>
        <v/>
      </c>
      <c r="T6">
        <f>IF('06_ITEM_POLE_MODEL'!$E$23="ABSOLUTE SEMANTIC",0,IF(ISNUMBER(SEARCH($A6,'06_ITEM_POLE_MODEL'!$F$23)),1,IF(ISNUMBER(SEARCH($A6,'06_ITEM_POLE_MODEL'!$G$23)),-1,0)))</f>
        <v/>
      </c>
      <c r="U6">
        <f>IF('06_ITEM_POLE_MODEL'!$E$24="ABSOLUTE SEMANTIC",0,IF(ISNUMBER(SEARCH($A6,'06_ITEM_POLE_MODEL'!$F$24)),1,IF(ISNUMBER(SEARCH($A6,'06_ITEM_POLE_MODEL'!$G$24)),-1,0)))</f>
        <v/>
      </c>
      <c r="V6">
        <f>IF('06_ITEM_POLE_MODEL'!$E$25="ABSOLUTE SEMANTIC",0,IF(ISNUMBER(SEARCH($A6,'06_ITEM_POLE_MODEL'!$F$25)),1,IF(ISNUMBER(SEARCH($A6,'06_ITEM_POLE_MODEL'!$G$25)),-1,0)))</f>
        <v/>
      </c>
      <c r="W6">
        <f>IF('06_ITEM_POLE_MODEL'!$E$26="ABSOLUTE SEMANTIC",0,IF(ISNUMBER(SEARCH($A6,'06_ITEM_POLE_MODEL'!$F$26)),1,IF(ISNUMBER(SEARCH($A6,'06_ITEM_POLE_MODEL'!$G$26)),-1,0)))</f>
        <v/>
      </c>
      <c r="X6">
        <f>IF('06_ITEM_POLE_MODEL'!$E$27="ABSOLUTE SEMANTIC",0,IF(ISNUMBER(SEARCH($A6,'06_ITEM_POLE_MODEL'!$F$27)),1,IF(ISNUMBER(SEARCH($A6,'06_ITEM_POLE_MODEL'!$G$27)),-1,0)))</f>
        <v/>
      </c>
      <c r="Y6">
        <f>IF('06_ITEM_POLE_MODEL'!$E$28="ABSOLUTE SEMANTIC",0,IF(ISNUMBER(SEARCH($A6,'06_ITEM_POLE_MODEL'!$F$28)),1,IF(ISNUMBER(SEARCH($A6,'06_ITEM_POLE_MODEL'!$G$28)),-1,0)))</f>
        <v/>
      </c>
      <c r="Z6">
        <f>IF('06_ITEM_POLE_MODEL'!$E$29="ABSOLUTE SEMANTIC",0,IF(ISNUMBER(SEARCH($A6,'06_ITEM_POLE_MODEL'!$F$29)),1,IF(ISNUMBER(SEARCH($A6,'06_ITEM_POLE_MODEL'!$G$29)),-1,0)))</f>
        <v/>
      </c>
      <c r="AA6">
        <f>IF('06_ITEM_POLE_MODEL'!$E$30="ABSOLUTE SEMANTIC",0,IF(ISNUMBER(SEARCH($A6,'06_ITEM_POLE_MODEL'!$F$30)),1,IF(ISNUMBER(SEARCH($A6,'06_ITEM_POLE_MODEL'!$G$30)),-1,0)))</f>
        <v/>
      </c>
      <c r="AB6">
        <f>IF('06_ITEM_POLE_MODEL'!$E$31="ABSOLUTE SEMANTIC",0,IF(ISNUMBER(SEARCH($A6,'06_ITEM_POLE_MODEL'!$F$31)),1,IF(ISNUMBER(SEARCH($A6,'06_ITEM_POLE_MODEL'!$G$31)),-1,0)))</f>
        <v/>
      </c>
      <c r="AC6">
        <f>IF('06_ITEM_POLE_MODEL'!$E$32="ABSOLUTE SEMANTIC",0,IF(ISNUMBER(SEARCH($A6,'06_ITEM_POLE_MODEL'!$F$32)),1,IF(ISNUMBER(SEARCH($A6,'06_ITEM_POLE_MODEL'!$G$32)),-1,0)))</f>
        <v/>
      </c>
      <c r="AD6">
        <f>IF('06_ITEM_POLE_MODEL'!$E$33="ABSOLUTE SEMANTIC",0,IF(ISNUMBER(SEARCH($A6,'06_ITEM_POLE_MODEL'!$F$33)),1,IF(ISNUMBER(SEARCH($A6,'06_ITEM_POLE_MODEL'!$G$33)),-1,0)))</f>
        <v/>
      </c>
      <c r="AE6">
        <f>IF('06_ITEM_POLE_MODEL'!$E$34="ABSOLUTE SEMANTIC",0,IF(ISNUMBER(SEARCH($A6,'06_ITEM_POLE_MODEL'!$F$34)),1,IF(ISNUMBER(SEARCH($A6,'06_ITEM_POLE_MODEL'!$G$34)),-1,0)))</f>
        <v/>
      </c>
      <c r="AF6">
        <f>IF('06_ITEM_POLE_MODEL'!$E$35="ABSOLUTE SEMANTIC",0,IF(ISNUMBER(SEARCH($A6,'06_ITEM_POLE_MODEL'!$F$35)),1,IF(ISNUMBER(SEARCH($A6,'06_ITEM_POLE_MODEL'!$G$35)),-1,0)))</f>
        <v/>
      </c>
      <c r="AG6">
        <f>IF('06_ITEM_POLE_MODEL'!$E$36="ABSOLUTE SEMANTIC",0,IF(ISNUMBER(SEARCH($A6,'06_ITEM_POLE_MODEL'!$F$36)),1,IF(ISNUMBER(SEARCH($A6,'06_ITEM_POLE_MODEL'!$G$36)),-1,0)))</f>
        <v/>
      </c>
      <c r="AH6">
        <f>IF('06_ITEM_POLE_MODEL'!$E$37="ABSOLUTE SEMANTIC",0,IF(ISNUMBER(SEARCH($A6,'06_ITEM_POLE_MODEL'!$F$37)),1,IF(ISNUMBER(SEARCH($A6,'06_ITEM_POLE_MODEL'!$G$37)),-1,0)))</f>
        <v/>
      </c>
      <c r="AI6">
        <f>IF('06_ITEM_POLE_MODEL'!$E$38="ABSOLUTE SEMANTIC",0,IF(ISNUMBER(SEARCH($A6,'06_ITEM_POLE_MODEL'!$F$38)),1,IF(ISNUMBER(SEARCH($A6,'06_ITEM_POLE_MODEL'!$G$38)),-1,0)))</f>
        <v/>
      </c>
      <c r="AJ6">
        <f>IF('06_ITEM_POLE_MODEL'!$E$39="ABSOLUTE SEMANTIC",0,IF(ISNUMBER(SEARCH($A6,'06_ITEM_POLE_MODEL'!$F$39)),1,IF(ISNUMBER(SEARCH($A6,'06_ITEM_POLE_MODEL'!$G$39)),-1,0)))</f>
        <v/>
      </c>
      <c r="AK6">
        <f>IF('06_ITEM_POLE_MODEL'!$E$40="ABSOLUTE SEMANTIC",0,IF(ISNUMBER(SEARCH($A6,'06_ITEM_POLE_MODEL'!$F$40)),1,IF(ISNUMBER(SEARCH($A6,'06_ITEM_POLE_MODEL'!$G$40)),-1,0)))</f>
        <v/>
      </c>
      <c r="AL6">
        <f>IF('06_ITEM_POLE_MODEL'!$E$41="ABSOLUTE SEMANTIC",0,IF(ISNUMBER(SEARCH($A6,'06_ITEM_POLE_MODEL'!$F$41)),1,IF(ISNUMBER(SEARCH($A6,'06_ITEM_POLE_MODEL'!$G$41)),-1,0)))</f>
        <v/>
      </c>
      <c r="AM6">
        <f>IF('06_ITEM_POLE_MODEL'!$E$42="ABSOLUTE SEMANTIC",0,IF(ISNUMBER(SEARCH($A6,'06_ITEM_POLE_MODEL'!$F$42)),1,IF(ISNUMBER(SEARCH($A6,'06_ITEM_POLE_MODEL'!$G$42)),-1,0)))</f>
        <v/>
      </c>
      <c r="AN6">
        <f>IF('06_ITEM_POLE_MODEL'!$E$43="ABSOLUTE SEMANTIC",0,IF(ISNUMBER(SEARCH($A6,'06_ITEM_POLE_MODEL'!$F$43)),1,IF(ISNUMBER(SEARCH($A6,'06_ITEM_POLE_MODEL'!$G$43)),-1,0)))</f>
        <v/>
      </c>
      <c r="AO6">
        <f>IF('06_ITEM_POLE_MODEL'!$E$44="ABSOLUTE SEMANTIC",0,IF(ISNUMBER(SEARCH($A6,'06_ITEM_POLE_MODEL'!$F$44)),1,IF(ISNUMBER(SEARCH($A6,'06_ITEM_POLE_MODEL'!$G$44)),-1,0)))</f>
        <v/>
      </c>
      <c r="AP6">
        <f>IF('06_ITEM_POLE_MODEL'!$E$45="ABSOLUTE SEMANTIC",0,IF(ISNUMBER(SEARCH($A6,'06_ITEM_POLE_MODEL'!$F$45)),1,IF(ISNUMBER(SEARCH($A6,'06_ITEM_POLE_MODEL'!$G$45)),-1,0)))</f>
        <v/>
      </c>
      <c r="AQ6">
        <f>IF('06_ITEM_POLE_MODEL'!$E$46="ABSOLUTE SEMANTIC",0,IF(ISNUMBER(SEARCH($A6,'06_ITEM_POLE_MODEL'!$F$46)),1,IF(ISNUMBER(SEARCH($A6,'06_ITEM_POLE_MODEL'!$G$46)),-1,0)))</f>
        <v/>
      </c>
      <c r="AR6">
        <f>IF('06_ITEM_POLE_MODEL'!$E$47="ABSOLUTE SEMANTIC",0,IF(ISNUMBER(SEARCH($A6,'06_ITEM_POLE_MODEL'!$F$47)),1,IF(ISNUMBER(SEARCH($A6,'06_ITEM_POLE_MODEL'!$G$47)),-1,0)))</f>
        <v/>
      </c>
      <c r="AS6">
        <f>IF('06_ITEM_POLE_MODEL'!$E$48="ABSOLUTE SEMANTIC",0,IF(ISNUMBER(SEARCH($A6,'06_ITEM_POLE_MODEL'!$F$48)),1,IF(ISNUMBER(SEARCH($A6,'06_ITEM_POLE_MODEL'!$G$48)),-1,0)))</f>
        <v/>
      </c>
      <c r="AT6">
        <f>IF('06_ITEM_POLE_MODEL'!$E$49="ABSOLUTE SEMANTIC",0,IF(ISNUMBER(SEARCH($A6,'06_ITEM_POLE_MODEL'!$F$49)),1,IF(ISNUMBER(SEARCH($A6,'06_ITEM_POLE_MODEL'!$G$49)),-1,0)))</f>
        <v/>
      </c>
      <c r="AU6">
        <f>IF('06_ITEM_POLE_MODEL'!$E$50="ABSOLUTE SEMANTIC",0,IF(ISNUMBER(SEARCH($A6,'06_ITEM_POLE_MODEL'!$F$50)),1,IF(ISNUMBER(SEARCH($A6,'06_ITEM_POLE_MODEL'!$G$50)),-1,0)))</f>
        <v/>
      </c>
      <c r="AV6">
        <f>IF('06_ITEM_POLE_MODEL'!$E$51="ABSOLUTE SEMANTIC",0,IF(ISNUMBER(SEARCH($A6,'06_ITEM_POLE_MODEL'!$F$51)),1,IF(ISNUMBER(SEARCH($A6,'06_ITEM_POLE_MODEL'!$G$51)),-1,0)))</f>
        <v/>
      </c>
      <c r="AW6">
        <f>IF('06_ITEM_POLE_MODEL'!$E$52="ABSOLUTE SEMANTIC",0,IF(ISNUMBER(SEARCH($A6,'06_ITEM_POLE_MODEL'!$F$52)),1,IF(ISNUMBER(SEARCH($A6,'06_ITEM_POLE_MODEL'!$G$52)),-1,0)))</f>
        <v/>
      </c>
      <c r="AX6">
        <f>IF('06_ITEM_POLE_MODEL'!$E$53="ABSOLUTE SEMANTIC",0,IF(ISNUMBER(SEARCH($A6,'06_ITEM_POLE_MODEL'!$F$53)),1,IF(ISNUMBER(SEARCH($A6,'06_ITEM_POLE_MODEL'!$G$53)),-1,0)))</f>
        <v/>
      </c>
      <c r="AY6">
        <f>IF('06_ITEM_POLE_MODEL'!$E$54="ABSOLUTE SEMANTIC",0,IF(ISNUMBER(SEARCH($A6,'06_ITEM_POLE_MODEL'!$F$54)),1,IF(ISNUMBER(SEARCH($A6,'06_ITEM_POLE_MODEL'!$G$54)),-1,0)))</f>
        <v/>
      </c>
      <c r="AZ6">
        <f>IF('06_ITEM_POLE_MODEL'!$E$55="ABSOLUTE SEMANTIC",0,IF(ISNUMBER(SEARCH($A6,'06_ITEM_POLE_MODEL'!$F$55)),1,IF(ISNUMBER(SEARCH($A6,'06_ITEM_POLE_MODEL'!$G$55)),-1,0)))</f>
        <v/>
      </c>
      <c r="BA6">
        <f>IF('06_ITEM_POLE_MODEL'!$E$56="ABSOLUTE SEMANTIC",0,IF(ISNUMBER(SEARCH($A6,'06_ITEM_POLE_MODEL'!$F$56)),1,IF(ISNUMBER(SEARCH($A6,'06_ITEM_POLE_MODEL'!$G$56)),-1,0)))</f>
        <v/>
      </c>
      <c r="BB6">
        <f>IF('06_ITEM_POLE_MODEL'!$E$57="ABSOLUTE SEMANTIC",0,IF(ISNUMBER(SEARCH($A6,'06_ITEM_POLE_MODEL'!$F$57)),1,IF(ISNUMBER(SEARCH($A6,'06_ITEM_POLE_MODEL'!$G$57)),-1,0)))</f>
        <v/>
      </c>
      <c r="BC6">
        <f>IF('06_ITEM_POLE_MODEL'!$E$58="ABSOLUTE SEMANTIC",0,IF(ISNUMBER(SEARCH($A6,'06_ITEM_POLE_MODEL'!$F$58)),1,IF(ISNUMBER(SEARCH($A6,'06_ITEM_POLE_MODEL'!$G$58)),-1,0)))</f>
        <v/>
      </c>
      <c r="BD6">
        <f>IF('06_ITEM_POLE_MODEL'!$E$59="ABSOLUTE SEMANTIC",0,IF(ISNUMBER(SEARCH($A6,'06_ITEM_POLE_MODEL'!$F$59)),1,IF(ISNUMBER(SEARCH($A6,'06_ITEM_POLE_MODEL'!$G$59)),-1,0)))</f>
        <v/>
      </c>
      <c r="BE6">
        <f>IF('06_ITEM_POLE_MODEL'!$E$60="ABSOLUTE SEMANTIC",0,IF(ISNUMBER(SEARCH($A6,'06_ITEM_POLE_MODEL'!$F$60)),1,IF(ISNUMBER(SEARCH($A6,'06_ITEM_POLE_MODEL'!$G$60)),-1,0)))</f>
        <v/>
      </c>
      <c r="BF6">
        <f>IF('06_ITEM_POLE_MODEL'!$E$61="ABSOLUTE SEMANTIC",0,IF(ISNUMBER(SEARCH($A6,'06_ITEM_POLE_MODEL'!$F$61)),1,IF(ISNUMBER(SEARCH($A6,'06_ITEM_POLE_MODEL'!$G$61)),-1,0)))</f>
        <v/>
      </c>
      <c r="BG6">
        <f>IF('06_ITEM_POLE_MODEL'!$E$62="ABSOLUTE SEMANTIC",0,IF(ISNUMBER(SEARCH($A6,'06_ITEM_POLE_MODEL'!$F$62)),1,IF(ISNUMBER(SEARCH($A6,'06_ITEM_POLE_MODEL'!$G$62)),-1,0)))</f>
        <v/>
      </c>
      <c r="BH6">
        <f>IF('06_ITEM_POLE_MODEL'!$E$63="ABSOLUTE SEMANTIC",0,IF(ISNUMBER(SEARCH($A6,'06_ITEM_POLE_MODEL'!$F$63)),1,IF(ISNUMBER(SEARCH($A6,'06_ITEM_POLE_MODEL'!$G$63)),-1,0)))</f>
        <v/>
      </c>
      <c r="BI6">
        <f>IF('06_ITEM_POLE_MODEL'!$E$64="ABSOLUTE SEMANTIC",0,IF(ISNUMBER(SEARCH($A6,'06_ITEM_POLE_MODEL'!$F$64)),1,IF(ISNUMBER(SEARCH($A6,'06_ITEM_POLE_MODEL'!$G$64)),-1,0)))</f>
        <v/>
      </c>
      <c r="BJ6">
        <f>IF('06_ITEM_POLE_MODEL'!$E$65="ABSOLUTE SEMANTIC",0,IF(ISNUMBER(SEARCH($A6,'06_ITEM_POLE_MODEL'!$F$65)),1,IF(ISNUMBER(SEARCH($A6,'06_ITEM_POLE_MODEL'!$G$65)),-1,0)))</f>
        <v/>
      </c>
      <c r="BK6">
        <f>IF('06_ITEM_POLE_MODEL'!$E$66="ABSOLUTE SEMANTIC",0,IF(ISNUMBER(SEARCH($A6,'06_ITEM_POLE_MODEL'!$F$66)),1,IF(ISNUMBER(SEARCH($A6,'06_ITEM_POLE_MODEL'!$G$66)),-1,0)))</f>
        <v/>
      </c>
      <c r="BL6">
        <f>IF('06_ITEM_POLE_MODEL'!$E$67="ABSOLUTE SEMANTIC",0,IF(ISNUMBER(SEARCH($A6,'06_ITEM_POLE_MODEL'!$F$67)),1,IF(ISNUMBER(SEARCH($A6,'06_ITEM_POLE_MODEL'!$G$67)),-1,0)))</f>
        <v/>
      </c>
      <c r="BM6">
        <f>IF('06_ITEM_POLE_MODEL'!$E$68="ABSOLUTE SEMANTIC",0,IF(ISNUMBER(SEARCH($A6,'06_ITEM_POLE_MODEL'!$F$68)),1,IF(ISNUMBER(SEARCH($A6,'06_ITEM_POLE_MODEL'!$G$68)),-1,0)))</f>
        <v/>
      </c>
      <c r="BN6">
        <f>IF('06_ITEM_POLE_MODEL'!$E$69="ABSOLUTE SEMANTIC",0,IF(ISNUMBER(SEARCH($A6,'06_ITEM_POLE_MODEL'!$F$69)),1,IF(ISNUMBER(SEARCH($A6,'06_ITEM_POLE_MODEL'!$G$69)),-1,0)))</f>
        <v/>
      </c>
      <c r="BO6">
        <f>IF('06_ITEM_POLE_MODEL'!$E$70="ABSOLUTE SEMANTIC",0,IF(ISNUMBER(SEARCH($A6,'06_ITEM_POLE_MODEL'!$F$70)),1,IF(ISNUMBER(SEARCH($A6,'06_ITEM_POLE_MODEL'!$G$70)),-1,0)))</f>
        <v/>
      </c>
      <c r="BP6">
        <f>IF('06_ITEM_POLE_MODEL'!$E$71="ABSOLUTE SEMANTIC",0,IF(ISNUMBER(SEARCH($A6,'06_ITEM_POLE_MODEL'!$F$71)),1,IF(ISNUMBER(SEARCH($A6,'06_ITEM_POLE_MODEL'!$G$71)),-1,0)))</f>
        <v/>
      </c>
      <c r="BQ6">
        <f>IF('06_ITEM_POLE_MODEL'!$E$72="ABSOLUTE SEMANTIC",0,IF(ISNUMBER(SEARCH($A6,'06_ITEM_POLE_MODEL'!$F$72)),1,IF(ISNUMBER(SEARCH($A6,'06_ITEM_POLE_MODEL'!$G$72)),-1,0)))</f>
        <v/>
      </c>
      <c r="BR6">
        <f>IF('06_ITEM_POLE_MODEL'!$E$73="ABSOLUTE SEMANTIC",0,IF(ISNUMBER(SEARCH($A6,'06_ITEM_POLE_MODEL'!$F$73)),1,IF(ISNUMBER(SEARCH($A6,'06_ITEM_POLE_MODEL'!$G$73)),-1,0)))</f>
        <v/>
      </c>
      <c r="BS6">
        <f>IF('06_ITEM_POLE_MODEL'!$E$74="ABSOLUTE SEMANTIC",0,IF(ISNUMBER(SEARCH($A6,'06_ITEM_POLE_MODEL'!$F$74)),1,IF(ISNUMBER(SEARCH($A6,'06_ITEM_POLE_MODEL'!$G$74)),-1,0)))</f>
        <v/>
      </c>
      <c r="BT6">
        <f>IF('06_ITEM_POLE_MODEL'!$E$75="ABSOLUTE SEMANTIC",0,IF(ISNUMBER(SEARCH($A6,'06_ITEM_POLE_MODEL'!$F$75)),1,IF(ISNUMBER(SEARCH($A6,'06_ITEM_POLE_MODEL'!$G$75)),-1,0)))</f>
        <v/>
      </c>
      <c r="BU6">
        <f>IF('06_ITEM_POLE_MODEL'!$E$76="ABSOLUTE SEMANTIC",0,IF(ISNUMBER(SEARCH($A6,'06_ITEM_POLE_MODEL'!$F$76)),1,IF(ISNUMBER(SEARCH($A6,'06_ITEM_POLE_MODEL'!$G$76)),-1,0)))</f>
        <v/>
      </c>
      <c r="BV6">
        <f>IF('06_ITEM_POLE_MODEL'!$E$77="ABSOLUTE SEMANTIC",0,IF(ISNUMBER(SEARCH($A6,'06_ITEM_POLE_MODEL'!$F$77)),1,IF(ISNUMBER(SEARCH($A6,'06_ITEM_POLE_MODEL'!$G$77)),-1,0)))</f>
        <v/>
      </c>
      <c r="BW6">
        <f>IF('06_ITEM_POLE_MODEL'!$E$78="ABSOLUTE SEMANTIC",0,IF(ISNUMBER(SEARCH($A6,'06_ITEM_POLE_MODEL'!$F$78)),1,IF(ISNUMBER(SEARCH($A6,'06_ITEM_POLE_MODEL'!$G$78)),-1,0)))</f>
        <v/>
      </c>
      <c r="BX6">
        <f>IF('06_ITEM_POLE_MODEL'!$E$79="ABSOLUTE SEMANTIC",0,IF(ISNUMBER(SEARCH($A6,'06_ITEM_POLE_MODEL'!$F$79)),1,IF(ISNUMBER(SEARCH($A6,'06_ITEM_POLE_MODEL'!$G$79)),-1,0)))</f>
        <v/>
      </c>
      <c r="BY6">
        <f>IF('06_ITEM_POLE_MODEL'!$E$80="ABSOLUTE SEMANTIC",0,IF(ISNUMBER(SEARCH($A6,'06_ITEM_POLE_MODEL'!$F$80)),1,IF(ISNUMBER(SEARCH($A6,'06_ITEM_POLE_MODEL'!$G$80)),-1,0)))</f>
        <v/>
      </c>
      <c r="BZ6">
        <f>IF('06_ITEM_POLE_MODEL'!$E$81="ABSOLUTE SEMANTIC",0,IF(ISNUMBER(SEARCH($A6,'06_ITEM_POLE_MODEL'!$F$81)),1,IF(ISNUMBER(SEARCH($A6,'06_ITEM_POLE_MODEL'!$G$81)),-1,0)))</f>
        <v/>
      </c>
      <c r="CA6">
        <f>IF('06_ITEM_POLE_MODEL'!$E$82="ABSOLUTE SEMANTIC",0,IF(ISNUMBER(SEARCH($A6,'06_ITEM_POLE_MODEL'!$F$82)),1,IF(ISNUMBER(SEARCH($A6,'06_ITEM_POLE_MODEL'!$G$82)),-1,0)))</f>
        <v/>
      </c>
      <c r="CB6">
        <f>IF('06_ITEM_POLE_MODEL'!$E$83="ABSOLUTE SEMANTIC",0,IF(ISNUMBER(SEARCH($A6,'06_ITEM_POLE_MODEL'!$F$83)),1,IF(ISNUMBER(SEARCH($A6,'06_ITEM_POLE_MODEL'!$G$83)),-1,0)))</f>
        <v/>
      </c>
      <c r="CC6">
        <f>IF('06_ITEM_POLE_MODEL'!$E$84="ABSOLUTE SEMANTIC",0,IF(ISNUMBER(SEARCH($A6,'06_ITEM_POLE_MODEL'!$F$84)),1,IF(ISNUMBER(SEARCH($A6,'06_ITEM_POLE_MODEL'!$G$84)),-1,0)))</f>
        <v/>
      </c>
    </row>
    <row r="7">
      <c r="A7" t="inlineStr">
        <is>
          <t>Sirian</t>
        </is>
      </c>
      <c r="B7">
        <f>IF('06_ITEM_POLE_MODEL'!$E$5="ABSOLUTE SEMANTIC",0,IF(ISNUMBER(SEARCH($A7,'06_ITEM_POLE_MODEL'!$F$5)),1,IF(ISNUMBER(SEARCH($A7,'06_ITEM_POLE_MODEL'!$G$5)),-1,0)))</f>
        <v/>
      </c>
      <c r="C7">
        <f>IF('06_ITEM_POLE_MODEL'!$E$6="ABSOLUTE SEMANTIC",0,IF(ISNUMBER(SEARCH($A7,'06_ITEM_POLE_MODEL'!$F$6)),1,IF(ISNUMBER(SEARCH($A7,'06_ITEM_POLE_MODEL'!$G$6)),-1,0)))</f>
        <v/>
      </c>
      <c r="D7">
        <f>IF('06_ITEM_POLE_MODEL'!$E$7="ABSOLUTE SEMANTIC",0,IF(ISNUMBER(SEARCH($A7,'06_ITEM_POLE_MODEL'!$F$7)),1,IF(ISNUMBER(SEARCH($A7,'06_ITEM_POLE_MODEL'!$G$7)),-1,0)))</f>
        <v/>
      </c>
      <c r="E7">
        <f>IF('06_ITEM_POLE_MODEL'!$E$8="ABSOLUTE SEMANTIC",0,IF(ISNUMBER(SEARCH($A7,'06_ITEM_POLE_MODEL'!$F$8)),1,IF(ISNUMBER(SEARCH($A7,'06_ITEM_POLE_MODEL'!$G$8)),-1,0)))</f>
        <v/>
      </c>
      <c r="F7">
        <f>IF('06_ITEM_POLE_MODEL'!$E$9="ABSOLUTE SEMANTIC",0,IF(ISNUMBER(SEARCH($A7,'06_ITEM_POLE_MODEL'!$F$9)),1,IF(ISNUMBER(SEARCH($A7,'06_ITEM_POLE_MODEL'!$G$9)),-1,0)))</f>
        <v/>
      </c>
      <c r="G7">
        <f>IF('06_ITEM_POLE_MODEL'!$E$10="ABSOLUTE SEMANTIC",0,IF(ISNUMBER(SEARCH($A7,'06_ITEM_POLE_MODEL'!$F$10)),1,IF(ISNUMBER(SEARCH($A7,'06_ITEM_POLE_MODEL'!$G$10)),-1,0)))</f>
        <v/>
      </c>
      <c r="H7">
        <f>IF('06_ITEM_POLE_MODEL'!$E$11="ABSOLUTE SEMANTIC",0,IF(ISNUMBER(SEARCH($A7,'06_ITEM_POLE_MODEL'!$F$11)),1,IF(ISNUMBER(SEARCH($A7,'06_ITEM_POLE_MODEL'!$G$11)),-1,0)))</f>
        <v/>
      </c>
      <c r="I7">
        <f>IF('06_ITEM_POLE_MODEL'!$E$12="ABSOLUTE SEMANTIC",0,IF(ISNUMBER(SEARCH($A7,'06_ITEM_POLE_MODEL'!$F$12)),1,IF(ISNUMBER(SEARCH($A7,'06_ITEM_POLE_MODEL'!$G$12)),-1,0)))</f>
        <v/>
      </c>
      <c r="J7">
        <f>IF('06_ITEM_POLE_MODEL'!$E$13="ABSOLUTE SEMANTIC",0,IF(ISNUMBER(SEARCH($A7,'06_ITEM_POLE_MODEL'!$F$13)),1,IF(ISNUMBER(SEARCH($A7,'06_ITEM_POLE_MODEL'!$G$13)),-1,0)))</f>
        <v/>
      </c>
      <c r="K7">
        <f>IF('06_ITEM_POLE_MODEL'!$E$14="ABSOLUTE SEMANTIC",0,IF(ISNUMBER(SEARCH($A7,'06_ITEM_POLE_MODEL'!$F$14)),1,IF(ISNUMBER(SEARCH($A7,'06_ITEM_POLE_MODEL'!$G$14)),-1,0)))</f>
        <v/>
      </c>
      <c r="L7">
        <f>IF('06_ITEM_POLE_MODEL'!$E$15="ABSOLUTE SEMANTIC",0,IF(ISNUMBER(SEARCH($A7,'06_ITEM_POLE_MODEL'!$F$15)),1,IF(ISNUMBER(SEARCH($A7,'06_ITEM_POLE_MODEL'!$G$15)),-1,0)))</f>
        <v/>
      </c>
      <c r="M7">
        <f>IF('06_ITEM_POLE_MODEL'!$E$16="ABSOLUTE SEMANTIC",0,IF(ISNUMBER(SEARCH($A7,'06_ITEM_POLE_MODEL'!$F$16)),1,IF(ISNUMBER(SEARCH($A7,'06_ITEM_POLE_MODEL'!$G$16)),-1,0)))</f>
        <v/>
      </c>
      <c r="N7">
        <f>IF('06_ITEM_POLE_MODEL'!$E$17="ABSOLUTE SEMANTIC",0,IF(ISNUMBER(SEARCH($A7,'06_ITEM_POLE_MODEL'!$F$17)),1,IF(ISNUMBER(SEARCH($A7,'06_ITEM_POLE_MODEL'!$G$17)),-1,0)))</f>
        <v/>
      </c>
      <c r="O7">
        <f>IF('06_ITEM_POLE_MODEL'!$E$18="ABSOLUTE SEMANTIC",0,IF(ISNUMBER(SEARCH($A7,'06_ITEM_POLE_MODEL'!$F$18)),1,IF(ISNUMBER(SEARCH($A7,'06_ITEM_POLE_MODEL'!$G$18)),-1,0)))</f>
        <v/>
      </c>
      <c r="P7">
        <f>IF('06_ITEM_POLE_MODEL'!$E$19="ABSOLUTE SEMANTIC",0,IF(ISNUMBER(SEARCH($A7,'06_ITEM_POLE_MODEL'!$F$19)),1,IF(ISNUMBER(SEARCH($A7,'06_ITEM_POLE_MODEL'!$G$19)),-1,0)))</f>
        <v/>
      </c>
      <c r="Q7">
        <f>IF('06_ITEM_POLE_MODEL'!$E$20="ABSOLUTE SEMANTIC",0,IF(ISNUMBER(SEARCH($A7,'06_ITEM_POLE_MODEL'!$F$20)),1,IF(ISNUMBER(SEARCH($A7,'06_ITEM_POLE_MODEL'!$G$20)),-1,0)))</f>
        <v/>
      </c>
      <c r="R7">
        <f>IF('06_ITEM_POLE_MODEL'!$E$21="ABSOLUTE SEMANTIC",0,IF(ISNUMBER(SEARCH($A7,'06_ITEM_POLE_MODEL'!$F$21)),1,IF(ISNUMBER(SEARCH($A7,'06_ITEM_POLE_MODEL'!$G$21)),-1,0)))</f>
        <v/>
      </c>
      <c r="S7">
        <f>IF('06_ITEM_POLE_MODEL'!$E$22="ABSOLUTE SEMANTIC",0,IF(ISNUMBER(SEARCH($A7,'06_ITEM_POLE_MODEL'!$F$22)),1,IF(ISNUMBER(SEARCH($A7,'06_ITEM_POLE_MODEL'!$G$22)),-1,0)))</f>
        <v/>
      </c>
      <c r="T7">
        <f>IF('06_ITEM_POLE_MODEL'!$E$23="ABSOLUTE SEMANTIC",0,IF(ISNUMBER(SEARCH($A7,'06_ITEM_POLE_MODEL'!$F$23)),1,IF(ISNUMBER(SEARCH($A7,'06_ITEM_POLE_MODEL'!$G$23)),-1,0)))</f>
        <v/>
      </c>
      <c r="U7">
        <f>IF('06_ITEM_POLE_MODEL'!$E$24="ABSOLUTE SEMANTIC",0,IF(ISNUMBER(SEARCH($A7,'06_ITEM_POLE_MODEL'!$F$24)),1,IF(ISNUMBER(SEARCH($A7,'06_ITEM_POLE_MODEL'!$G$24)),-1,0)))</f>
        <v/>
      </c>
      <c r="V7">
        <f>IF('06_ITEM_POLE_MODEL'!$E$25="ABSOLUTE SEMANTIC",0,IF(ISNUMBER(SEARCH($A7,'06_ITEM_POLE_MODEL'!$F$25)),1,IF(ISNUMBER(SEARCH($A7,'06_ITEM_POLE_MODEL'!$G$25)),-1,0)))</f>
        <v/>
      </c>
      <c r="W7">
        <f>IF('06_ITEM_POLE_MODEL'!$E$26="ABSOLUTE SEMANTIC",0,IF(ISNUMBER(SEARCH($A7,'06_ITEM_POLE_MODEL'!$F$26)),1,IF(ISNUMBER(SEARCH($A7,'06_ITEM_POLE_MODEL'!$G$26)),-1,0)))</f>
        <v/>
      </c>
      <c r="X7">
        <f>IF('06_ITEM_POLE_MODEL'!$E$27="ABSOLUTE SEMANTIC",0,IF(ISNUMBER(SEARCH($A7,'06_ITEM_POLE_MODEL'!$F$27)),1,IF(ISNUMBER(SEARCH($A7,'06_ITEM_POLE_MODEL'!$G$27)),-1,0)))</f>
        <v/>
      </c>
      <c r="Y7">
        <f>IF('06_ITEM_POLE_MODEL'!$E$28="ABSOLUTE SEMANTIC",0,IF(ISNUMBER(SEARCH($A7,'06_ITEM_POLE_MODEL'!$F$28)),1,IF(ISNUMBER(SEARCH($A7,'06_ITEM_POLE_MODEL'!$G$28)),-1,0)))</f>
        <v/>
      </c>
      <c r="Z7">
        <f>IF('06_ITEM_POLE_MODEL'!$E$29="ABSOLUTE SEMANTIC",0,IF(ISNUMBER(SEARCH($A7,'06_ITEM_POLE_MODEL'!$F$29)),1,IF(ISNUMBER(SEARCH($A7,'06_ITEM_POLE_MODEL'!$G$29)),-1,0)))</f>
        <v/>
      </c>
      <c r="AA7">
        <f>IF('06_ITEM_POLE_MODEL'!$E$30="ABSOLUTE SEMANTIC",0,IF(ISNUMBER(SEARCH($A7,'06_ITEM_POLE_MODEL'!$F$30)),1,IF(ISNUMBER(SEARCH($A7,'06_ITEM_POLE_MODEL'!$G$30)),-1,0)))</f>
        <v/>
      </c>
      <c r="AB7">
        <f>IF('06_ITEM_POLE_MODEL'!$E$31="ABSOLUTE SEMANTIC",0,IF(ISNUMBER(SEARCH($A7,'06_ITEM_POLE_MODEL'!$F$31)),1,IF(ISNUMBER(SEARCH($A7,'06_ITEM_POLE_MODEL'!$G$31)),-1,0)))</f>
        <v/>
      </c>
      <c r="AC7">
        <f>IF('06_ITEM_POLE_MODEL'!$E$32="ABSOLUTE SEMANTIC",0,IF(ISNUMBER(SEARCH($A7,'06_ITEM_POLE_MODEL'!$F$32)),1,IF(ISNUMBER(SEARCH($A7,'06_ITEM_POLE_MODEL'!$G$32)),-1,0)))</f>
        <v/>
      </c>
      <c r="AD7">
        <f>IF('06_ITEM_POLE_MODEL'!$E$33="ABSOLUTE SEMANTIC",0,IF(ISNUMBER(SEARCH($A7,'06_ITEM_POLE_MODEL'!$F$33)),1,IF(ISNUMBER(SEARCH($A7,'06_ITEM_POLE_MODEL'!$G$33)),-1,0)))</f>
        <v/>
      </c>
      <c r="AE7">
        <f>IF('06_ITEM_POLE_MODEL'!$E$34="ABSOLUTE SEMANTIC",0,IF(ISNUMBER(SEARCH($A7,'06_ITEM_POLE_MODEL'!$F$34)),1,IF(ISNUMBER(SEARCH($A7,'06_ITEM_POLE_MODEL'!$G$34)),-1,0)))</f>
        <v/>
      </c>
      <c r="AF7">
        <f>IF('06_ITEM_POLE_MODEL'!$E$35="ABSOLUTE SEMANTIC",0,IF(ISNUMBER(SEARCH($A7,'06_ITEM_POLE_MODEL'!$F$35)),1,IF(ISNUMBER(SEARCH($A7,'06_ITEM_POLE_MODEL'!$G$35)),-1,0)))</f>
        <v/>
      </c>
      <c r="AG7">
        <f>IF('06_ITEM_POLE_MODEL'!$E$36="ABSOLUTE SEMANTIC",0,IF(ISNUMBER(SEARCH($A7,'06_ITEM_POLE_MODEL'!$F$36)),1,IF(ISNUMBER(SEARCH($A7,'06_ITEM_POLE_MODEL'!$G$36)),-1,0)))</f>
        <v/>
      </c>
      <c r="AH7">
        <f>IF('06_ITEM_POLE_MODEL'!$E$37="ABSOLUTE SEMANTIC",0,IF(ISNUMBER(SEARCH($A7,'06_ITEM_POLE_MODEL'!$F$37)),1,IF(ISNUMBER(SEARCH($A7,'06_ITEM_POLE_MODEL'!$G$37)),-1,0)))</f>
        <v/>
      </c>
      <c r="AI7">
        <f>IF('06_ITEM_POLE_MODEL'!$E$38="ABSOLUTE SEMANTIC",0,IF(ISNUMBER(SEARCH($A7,'06_ITEM_POLE_MODEL'!$F$38)),1,IF(ISNUMBER(SEARCH($A7,'06_ITEM_POLE_MODEL'!$G$38)),-1,0)))</f>
        <v/>
      </c>
      <c r="AJ7">
        <f>IF('06_ITEM_POLE_MODEL'!$E$39="ABSOLUTE SEMANTIC",0,IF(ISNUMBER(SEARCH($A7,'06_ITEM_POLE_MODEL'!$F$39)),1,IF(ISNUMBER(SEARCH($A7,'06_ITEM_POLE_MODEL'!$G$39)),-1,0)))</f>
        <v/>
      </c>
      <c r="AK7">
        <f>IF('06_ITEM_POLE_MODEL'!$E$40="ABSOLUTE SEMANTIC",0,IF(ISNUMBER(SEARCH($A7,'06_ITEM_POLE_MODEL'!$F$40)),1,IF(ISNUMBER(SEARCH($A7,'06_ITEM_POLE_MODEL'!$G$40)),-1,0)))</f>
        <v/>
      </c>
      <c r="AL7">
        <f>IF('06_ITEM_POLE_MODEL'!$E$41="ABSOLUTE SEMANTIC",0,IF(ISNUMBER(SEARCH($A7,'06_ITEM_POLE_MODEL'!$F$41)),1,IF(ISNUMBER(SEARCH($A7,'06_ITEM_POLE_MODEL'!$G$41)),-1,0)))</f>
        <v/>
      </c>
      <c r="AM7">
        <f>IF('06_ITEM_POLE_MODEL'!$E$42="ABSOLUTE SEMANTIC",0,IF(ISNUMBER(SEARCH($A7,'06_ITEM_POLE_MODEL'!$F$42)),1,IF(ISNUMBER(SEARCH($A7,'06_ITEM_POLE_MODEL'!$G$42)),-1,0)))</f>
        <v/>
      </c>
      <c r="AN7">
        <f>IF('06_ITEM_POLE_MODEL'!$E$43="ABSOLUTE SEMANTIC",0,IF(ISNUMBER(SEARCH($A7,'06_ITEM_POLE_MODEL'!$F$43)),1,IF(ISNUMBER(SEARCH($A7,'06_ITEM_POLE_MODEL'!$G$43)),-1,0)))</f>
        <v/>
      </c>
      <c r="AO7">
        <f>IF('06_ITEM_POLE_MODEL'!$E$44="ABSOLUTE SEMANTIC",0,IF(ISNUMBER(SEARCH($A7,'06_ITEM_POLE_MODEL'!$F$44)),1,IF(ISNUMBER(SEARCH($A7,'06_ITEM_POLE_MODEL'!$G$44)),-1,0)))</f>
        <v/>
      </c>
      <c r="AP7">
        <f>IF('06_ITEM_POLE_MODEL'!$E$45="ABSOLUTE SEMANTIC",0,IF(ISNUMBER(SEARCH($A7,'06_ITEM_POLE_MODEL'!$F$45)),1,IF(ISNUMBER(SEARCH($A7,'06_ITEM_POLE_MODEL'!$G$45)),-1,0)))</f>
        <v/>
      </c>
      <c r="AQ7">
        <f>IF('06_ITEM_POLE_MODEL'!$E$46="ABSOLUTE SEMANTIC",0,IF(ISNUMBER(SEARCH($A7,'06_ITEM_POLE_MODEL'!$F$46)),1,IF(ISNUMBER(SEARCH($A7,'06_ITEM_POLE_MODEL'!$G$46)),-1,0)))</f>
        <v/>
      </c>
      <c r="AR7">
        <f>IF('06_ITEM_POLE_MODEL'!$E$47="ABSOLUTE SEMANTIC",0,IF(ISNUMBER(SEARCH($A7,'06_ITEM_POLE_MODEL'!$F$47)),1,IF(ISNUMBER(SEARCH($A7,'06_ITEM_POLE_MODEL'!$G$47)),-1,0)))</f>
        <v/>
      </c>
      <c r="AS7">
        <f>IF('06_ITEM_POLE_MODEL'!$E$48="ABSOLUTE SEMANTIC",0,IF(ISNUMBER(SEARCH($A7,'06_ITEM_POLE_MODEL'!$F$48)),1,IF(ISNUMBER(SEARCH($A7,'06_ITEM_POLE_MODEL'!$G$48)),-1,0)))</f>
        <v/>
      </c>
      <c r="AT7">
        <f>IF('06_ITEM_POLE_MODEL'!$E$49="ABSOLUTE SEMANTIC",0,IF(ISNUMBER(SEARCH($A7,'06_ITEM_POLE_MODEL'!$F$49)),1,IF(ISNUMBER(SEARCH($A7,'06_ITEM_POLE_MODEL'!$G$49)),-1,0)))</f>
        <v/>
      </c>
      <c r="AU7">
        <f>IF('06_ITEM_POLE_MODEL'!$E$50="ABSOLUTE SEMANTIC",0,IF(ISNUMBER(SEARCH($A7,'06_ITEM_POLE_MODEL'!$F$50)),1,IF(ISNUMBER(SEARCH($A7,'06_ITEM_POLE_MODEL'!$G$50)),-1,0)))</f>
        <v/>
      </c>
      <c r="AV7">
        <f>IF('06_ITEM_POLE_MODEL'!$E$51="ABSOLUTE SEMANTIC",0,IF(ISNUMBER(SEARCH($A7,'06_ITEM_POLE_MODEL'!$F$51)),1,IF(ISNUMBER(SEARCH($A7,'06_ITEM_POLE_MODEL'!$G$51)),-1,0)))</f>
        <v/>
      </c>
      <c r="AW7">
        <f>IF('06_ITEM_POLE_MODEL'!$E$52="ABSOLUTE SEMANTIC",0,IF(ISNUMBER(SEARCH($A7,'06_ITEM_POLE_MODEL'!$F$52)),1,IF(ISNUMBER(SEARCH($A7,'06_ITEM_POLE_MODEL'!$G$52)),-1,0)))</f>
        <v/>
      </c>
      <c r="AX7">
        <f>IF('06_ITEM_POLE_MODEL'!$E$53="ABSOLUTE SEMANTIC",0,IF(ISNUMBER(SEARCH($A7,'06_ITEM_POLE_MODEL'!$F$53)),1,IF(ISNUMBER(SEARCH($A7,'06_ITEM_POLE_MODEL'!$G$53)),-1,0)))</f>
        <v/>
      </c>
      <c r="AY7">
        <f>IF('06_ITEM_POLE_MODEL'!$E$54="ABSOLUTE SEMANTIC",0,IF(ISNUMBER(SEARCH($A7,'06_ITEM_POLE_MODEL'!$F$54)),1,IF(ISNUMBER(SEARCH($A7,'06_ITEM_POLE_MODEL'!$G$54)),-1,0)))</f>
        <v/>
      </c>
      <c r="AZ7">
        <f>IF('06_ITEM_POLE_MODEL'!$E$55="ABSOLUTE SEMANTIC",0,IF(ISNUMBER(SEARCH($A7,'06_ITEM_POLE_MODEL'!$F$55)),1,IF(ISNUMBER(SEARCH($A7,'06_ITEM_POLE_MODEL'!$G$55)),-1,0)))</f>
        <v/>
      </c>
      <c r="BA7">
        <f>IF('06_ITEM_POLE_MODEL'!$E$56="ABSOLUTE SEMANTIC",0,IF(ISNUMBER(SEARCH($A7,'06_ITEM_POLE_MODEL'!$F$56)),1,IF(ISNUMBER(SEARCH($A7,'06_ITEM_POLE_MODEL'!$G$56)),-1,0)))</f>
        <v/>
      </c>
      <c r="BB7">
        <f>IF('06_ITEM_POLE_MODEL'!$E$57="ABSOLUTE SEMANTIC",0,IF(ISNUMBER(SEARCH($A7,'06_ITEM_POLE_MODEL'!$F$57)),1,IF(ISNUMBER(SEARCH($A7,'06_ITEM_POLE_MODEL'!$G$57)),-1,0)))</f>
        <v/>
      </c>
      <c r="BC7">
        <f>IF('06_ITEM_POLE_MODEL'!$E$58="ABSOLUTE SEMANTIC",0,IF(ISNUMBER(SEARCH($A7,'06_ITEM_POLE_MODEL'!$F$58)),1,IF(ISNUMBER(SEARCH($A7,'06_ITEM_POLE_MODEL'!$G$58)),-1,0)))</f>
        <v/>
      </c>
      <c r="BD7">
        <f>IF('06_ITEM_POLE_MODEL'!$E$59="ABSOLUTE SEMANTIC",0,IF(ISNUMBER(SEARCH($A7,'06_ITEM_POLE_MODEL'!$F$59)),1,IF(ISNUMBER(SEARCH($A7,'06_ITEM_POLE_MODEL'!$G$59)),-1,0)))</f>
        <v/>
      </c>
      <c r="BE7">
        <f>IF('06_ITEM_POLE_MODEL'!$E$60="ABSOLUTE SEMANTIC",0,IF(ISNUMBER(SEARCH($A7,'06_ITEM_POLE_MODEL'!$F$60)),1,IF(ISNUMBER(SEARCH($A7,'06_ITEM_POLE_MODEL'!$G$60)),-1,0)))</f>
        <v/>
      </c>
      <c r="BF7">
        <f>IF('06_ITEM_POLE_MODEL'!$E$61="ABSOLUTE SEMANTIC",0,IF(ISNUMBER(SEARCH($A7,'06_ITEM_POLE_MODEL'!$F$61)),1,IF(ISNUMBER(SEARCH($A7,'06_ITEM_POLE_MODEL'!$G$61)),-1,0)))</f>
        <v/>
      </c>
      <c r="BG7">
        <f>IF('06_ITEM_POLE_MODEL'!$E$62="ABSOLUTE SEMANTIC",0,IF(ISNUMBER(SEARCH($A7,'06_ITEM_POLE_MODEL'!$F$62)),1,IF(ISNUMBER(SEARCH($A7,'06_ITEM_POLE_MODEL'!$G$62)),-1,0)))</f>
        <v/>
      </c>
      <c r="BH7">
        <f>IF('06_ITEM_POLE_MODEL'!$E$63="ABSOLUTE SEMANTIC",0,IF(ISNUMBER(SEARCH($A7,'06_ITEM_POLE_MODEL'!$F$63)),1,IF(ISNUMBER(SEARCH($A7,'06_ITEM_POLE_MODEL'!$G$63)),-1,0)))</f>
        <v/>
      </c>
      <c r="BI7">
        <f>IF('06_ITEM_POLE_MODEL'!$E$64="ABSOLUTE SEMANTIC",0,IF(ISNUMBER(SEARCH($A7,'06_ITEM_POLE_MODEL'!$F$64)),1,IF(ISNUMBER(SEARCH($A7,'06_ITEM_POLE_MODEL'!$G$64)),-1,0)))</f>
        <v/>
      </c>
      <c r="BJ7">
        <f>IF('06_ITEM_POLE_MODEL'!$E$65="ABSOLUTE SEMANTIC",0,IF(ISNUMBER(SEARCH($A7,'06_ITEM_POLE_MODEL'!$F$65)),1,IF(ISNUMBER(SEARCH($A7,'06_ITEM_POLE_MODEL'!$G$65)),-1,0)))</f>
        <v/>
      </c>
      <c r="BK7">
        <f>IF('06_ITEM_POLE_MODEL'!$E$66="ABSOLUTE SEMANTIC",0,IF(ISNUMBER(SEARCH($A7,'06_ITEM_POLE_MODEL'!$F$66)),1,IF(ISNUMBER(SEARCH($A7,'06_ITEM_POLE_MODEL'!$G$66)),-1,0)))</f>
        <v/>
      </c>
      <c r="BL7">
        <f>IF('06_ITEM_POLE_MODEL'!$E$67="ABSOLUTE SEMANTIC",0,IF(ISNUMBER(SEARCH($A7,'06_ITEM_POLE_MODEL'!$F$67)),1,IF(ISNUMBER(SEARCH($A7,'06_ITEM_POLE_MODEL'!$G$67)),-1,0)))</f>
        <v/>
      </c>
      <c r="BM7">
        <f>IF('06_ITEM_POLE_MODEL'!$E$68="ABSOLUTE SEMANTIC",0,IF(ISNUMBER(SEARCH($A7,'06_ITEM_POLE_MODEL'!$F$68)),1,IF(ISNUMBER(SEARCH($A7,'06_ITEM_POLE_MODEL'!$G$68)),-1,0)))</f>
        <v/>
      </c>
      <c r="BN7">
        <f>IF('06_ITEM_POLE_MODEL'!$E$69="ABSOLUTE SEMANTIC",0,IF(ISNUMBER(SEARCH($A7,'06_ITEM_POLE_MODEL'!$F$69)),1,IF(ISNUMBER(SEARCH($A7,'06_ITEM_POLE_MODEL'!$G$69)),-1,0)))</f>
        <v/>
      </c>
      <c r="BO7">
        <f>IF('06_ITEM_POLE_MODEL'!$E$70="ABSOLUTE SEMANTIC",0,IF(ISNUMBER(SEARCH($A7,'06_ITEM_POLE_MODEL'!$F$70)),1,IF(ISNUMBER(SEARCH($A7,'06_ITEM_POLE_MODEL'!$G$70)),-1,0)))</f>
        <v/>
      </c>
      <c r="BP7">
        <f>IF('06_ITEM_POLE_MODEL'!$E$71="ABSOLUTE SEMANTIC",0,IF(ISNUMBER(SEARCH($A7,'06_ITEM_POLE_MODEL'!$F$71)),1,IF(ISNUMBER(SEARCH($A7,'06_ITEM_POLE_MODEL'!$G$71)),-1,0)))</f>
        <v/>
      </c>
      <c r="BQ7">
        <f>IF('06_ITEM_POLE_MODEL'!$E$72="ABSOLUTE SEMANTIC",0,IF(ISNUMBER(SEARCH($A7,'06_ITEM_POLE_MODEL'!$F$72)),1,IF(ISNUMBER(SEARCH($A7,'06_ITEM_POLE_MODEL'!$G$72)),-1,0)))</f>
        <v/>
      </c>
      <c r="BR7">
        <f>IF('06_ITEM_POLE_MODEL'!$E$73="ABSOLUTE SEMANTIC",0,IF(ISNUMBER(SEARCH($A7,'06_ITEM_POLE_MODEL'!$F$73)),1,IF(ISNUMBER(SEARCH($A7,'06_ITEM_POLE_MODEL'!$G$73)),-1,0)))</f>
        <v/>
      </c>
      <c r="BS7">
        <f>IF('06_ITEM_POLE_MODEL'!$E$74="ABSOLUTE SEMANTIC",0,IF(ISNUMBER(SEARCH($A7,'06_ITEM_POLE_MODEL'!$F$74)),1,IF(ISNUMBER(SEARCH($A7,'06_ITEM_POLE_MODEL'!$G$74)),-1,0)))</f>
        <v/>
      </c>
      <c r="BT7">
        <f>IF('06_ITEM_POLE_MODEL'!$E$75="ABSOLUTE SEMANTIC",0,IF(ISNUMBER(SEARCH($A7,'06_ITEM_POLE_MODEL'!$F$75)),1,IF(ISNUMBER(SEARCH($A7,'06_ITEM_POLE_MODEL'!$G$75)),-1,0)))</f>
        <v/>
      </c>
      <c r="BU7">
        <f>IF('06_ITEM_POLE_MODEL'!$E$76="ABSOLUTE SEMANTIC",0,IF(ISNUMBER(SEARCH($A7,'06_ITEM_POLE_MODEL'!$F$76)),1,IF(ISNUMBER(SEARCH($A7,'06_ITEM_POLE_MODEL'!$G$76)),-1,0)))</f>
        <v/>
      </c>
      <c r="BV7">
        <f>IF('06_ITEM_POLE_MODEL'!$E$77="ABSOLUTE SEMANTIC",0,IF(ISNUMBER(SEARCH($A7,'06_ITEM_POLE_MODEL'!$F$77)),1,IF(ISNUMBER(SEARCH($A7,'06_ITEM_POLE_MODEL'!$G$77)),-1,0)))</f>
        <v/>
      </c>
      <c r="BW7">
        <f>IF('06_ITEM_POLE_MODEL'!$E$78="ABSOLUTE SEMANTIC",0,IF(ISNUMBER(SEARCH($A7,'06_ITEM_POLE_MODEL'!$F$78)),1,IF(ISNUMBER(SEARCH($A7,'06_ITEM_POLE_MODEL'!$G$78)),-1,0)))</f>
        <v/>
      </c>
      <c r="BX7">
        <f>IF('06_ITEM_POLE_MODEL'!$E$79="ABSOLUTE SEMANTIC",0,IF(ISNUMBER(SEARCH($A7,'06_ITEM_POLE_MODEL'!$F$79)),1,IF(ISNUMBER(SEARCH($A7,'06_ITEM_POLE_MODEL'!$G$79)),-1,0)))</f>
        <v/>
      </c>
      <c r="BY7">
        <f>IF('06_ITEM_POLE_MODEL'!$E$80="ABSOLUTE SEMANTIC",0,IF(ISNUMBER(SEARCH($A7,'06_ITEM_POLE_MODEL'!$F$80)),1,IF(ISNUMBER(SEARCH($A7,'06_ITEM_POLE_MODEL'!$G$80)),-1,0)))</f>
        <v/>
      </c>
      <c r="BZ7">
        <f>IF('06_ITEM_POLE_MODEL'!$E$81="ABSOLUTE SEMANTIC",0,IF(ISNUMBER(SEARCH($A7,'06_ITEM_POLE_MODEL'!$F$81)),1,IF(ISNUMBER(SEARCH($A7,'06_ITEM_POLE_MODEL'!$G$81)),-1,0)))</f>
        <v/>
      </c>
      <c r="CA7">
        <f>IF('06_ITEM_POLE_MODEL'!$E$82="ABSOLUTE SEMANTIC",0,IF(ISNUMBER(SEARCH($A7,'06_ITEM_POLE_MODEL'!$F$82)),1,IF(ISNUMBER(SEARCH($A7,'06_ITEM_POLE_MODEL'!$G$82)),-1,0)))</f>
        <v/>
      </c>
      <c r="CB7">
        <f>IF('06_ITEM_POLE_MODEL'!$E$83="ABSOLUTE SEMANTIC",0,IF(ISNUMBER(SEARCH($A7,'06_ITEM_POLE_MODEL'!$F$83)),1,IF(ISNUMBER(SEARCH($A7,'06_ITEM_POLE_MODEL'!$G$83)),-1,0)))</f>
        <v/>
      </c>
      <c r="CC7">
        <f>IF('06_ITEM_POLE_MODEL'!$E$84="ABSOLUTE SEMANTIC",0,IF(ISNUMBER(SEARCH($A7,'06_ITEM_POLE_MODEL'!$F$84)),1,IF(ISNUMBER(SEARCH($A7,'06_ITEM_POLE_MODEL'!$G$84)),-1,0)))</f>
        <v/>
      </c>
    </row>
    <row r="8">
      <c r="A8" t="inlineStr">
        <is>
          <t>Andromedan</t>
        </is>
      </c>
      <c r="B8">
        <f>IF('06_ITEM_POLE_MODEL'!$E$5="ABSOLUTE SEMANTIC",0,IF(ISNUMBER(SEARCH($A8,'06_ITEM_POLE_MODEL'!$F$5)),1,IF(ISNUMBER(SEARCH($A8,'06_ITEM_POLE_MODEL'!$G$5)),-1,0)))</f>
        <v/>
      </c>
      <c r="C8">
        <f>IF('06_ITEM_POLE_MODEL'!$E$6="ABSOLUTE SEMANTIC",0,IF(ISNUMBER(SEARCH($A8,'06_ITEM_POLE_MODEL'!$F$6)),1,IF(ISNUMBER(SEARCH($A8,'06_ITEM_POLE_MODEL'!$G$6)),-1,0)))</f>
        <v/>
      </c>
      <c r="D8">
        <f>IF('06_ITEM_POLE_MODEL'!$E$7="ABSOLUTE SEMANTIC",0,IF(ISNUMBER(SEARCH($A8,'06_ITEM_POLE_MODEL'!$F$7)),1,IF(ISNUMBER(SEARCH($A8,'06_ITEM_POLE_MODEL'!$G$7)),-1,0)))</f>
        <v/>
      </c>
      <c r="E8">
        <f>IF('06_ITEM_POLE_MODEL'!$E$8="ABSOLUTE SEMANTIC",0,IF(ISNUMBER(SEARCH($A8,'06_ITEM_POLE_MODEL'!$F$8)),1,IF(ISNUMBER(SEARCH($A8,'06_ITEM_POLE_MODEL'!$G$8)),-1,0)))</f>
        <v/>
      </c>
      <c r="F8">
        <f>IF('06_ITEM_POLE_MODEL'!$E$9="ABSOLUTE SEMANTIC",0,IF(ISNUMBER(SEARCH($A8,'06_ITEM_POLE_MODEL'!$F$9)),1,IF(ISNUMBER(SEARCH($A8,'06_ITEM_POLE_MODEL'!$G$9)),-1,0)))</f>
        <v/>
      </c>
      <c r="G8">
        <f>IF('06_ITEM_POLE_MODEL'!$E$10="ABSOLUTE SEMANTIC",0,IF(ISNUMBER(SEARCH($A8,'06_ITEM_POLE_MODEL'!$F$10)),1,IF(ISNUMBER(SEARCH($A8,'06_ITEM_POLE_MODEL'!$G$10)),-1,0)))</f>
        <v/>
      </c>
      <c r="H8">
        <f>IF('06_ITEM_POLE_MODEL'!$E$11="ABSOLUTE SEMANTIC",0,IF(ISNUMBER(SEARCH($A8,'06_ITEM_POLE_MODEL'!$F$11)),1,IF(ISNUMBER(SEARCH($A8,'06_ITEM_POLE_MODEL'!$G$11)),-1,0)))</f>
        <v/>
      </c>
      <c r="I8">
        <f>IF('06_ITEM_POLE_MODEL'!$E$12="ABSOLUTE SEMANTIC",0,IF(ISNUMBER(SEARCH($A8,'06_ITEM_POLE_MODEL'!$F$12)),1,IF(ISNUMBER(SEARCH($A8,'06_ITEM_POLE_MODEL'!$G$12)),-1,0)))</f>
        <v/>
      </c>
      <c r="J8">
        <f>IF('06_ITEM_POLE_MODEL'!$E$13="ABSOLUTE SEMANTIC",0,IF(ISNUMBER(SEARCH($A8,'06_ITEM_POLE_MODEL'!$F$13)),1,IF(ISNUMBER(SEARCH($A8,'06_ITEM_POLE_MODEL'!$G$13)),-1,0)))</f>
        <v/>
      </c>
      <c r="K8">
        <f>IF('06_ITEM_POLE_MODEL'!$E$14="ABSOLUTE SEMANTIC",0,IF(ISNUMBER(SEARCH($A8,'06_ITEM_POLE_MODEL'!$F$14)),1,IF(ISNUMBER(SEARCH($A8,'06_ITEM_POLE_MODEL'!$G$14)),-1,0)))</f>
        <v/>
      </c>
      <c r="L8">
        <f>IF('06_ITEM_POLE_MODEL'!$E$15="ABSOLUTE SEMANTIC",0,IF(ISNUMBER(SEARCH($A8,'06_ITEM_POLE_MODEL'!$F$15)),1,IF(ISNUMBER(SEARCH($A8,'06_ITEM_POLE_MODEL'!$G$15)),-1,0)))</f>
        <v/>
      </c>
      <c r="M8">
        <f>IF('06_ITEM_POLE_MODEL'!$E$16="ABSOLUTE SEMANTIC",0,IF(ISNUMBER(SEARCH($A8,'06_ITEM_POLE_MODEL'!$F$16)),1,IF(ISNUMBER(SEARCH($A8,'06_ITEM_POLE_MODEL'!$G$16)),-1,0)))</f>
        <v/>
      </c>
      <c r="N8">
        <f>IF('06_ITEM_POLE_MODEL'!$E$17="ABSOLUTE SEMANTIC",0,IF(ISNUMBER(SEARCH($A8,'06_ITEM_POLE_MODEL'!$F$17)),1,IF(ISNUMBER(SEARCH($A8,'06_ITEM_POLE_MODEL'!$G$17)),-1,0)))</f>
        <v/>
      </c>
      <c r="O8">
        <f>IF('06_ITEM_POLE_MODEL'!$E$18="ABSOLUTE SEMANTIC",0,IF(ISNUMBER(SEARCH($A8,'06_ITEM_POLE_MODEL'!$F$18)),1,IF(ISNUMBER(SEARCH($A8,'06_ITEM_POLE_MODEL'!$G$18)),-1,0)))</f>
        <v/>
      </c>
      <c r="P8">
        <f>IF('06_ITEM_POLE_MODEL'!$E$19="ABSOLUTE SEMANTIC",0,IF(ISNUMBER(SEARCH($A8,'06_ITEM_POLE_MODEL'!$F$19)),1,IF(ISNUMBER(SEARCH($A8,'06_ITEM_POLE_MODEL'!$G$19)),-1,0)))</f>
        <v/>
      </c>
      <c r="Q8">
        <f>IF('06_ITEM_POLE_MODEL'!$E$20="ABSOLUTE SEMANTIC",0,IF(ISNUMBER(SEARCH($A8,'06_ITEM_POLE_MODEL'!$F$20)),1,IF(ISNUMBER(SEARCH($A8,'06_ITEM_POLE_MODEL'!$G$20)),-1,0)))</f>
        <v/>
      </c>
      <c r="R8">
        <f>IF('06_ITEM_POLE_MODEL'!$E$21="ABSOLUTE SEMANTIC",0,IF(ISNUMBER(SEARCH($A8,'06_ITEM_POLE_MODEL'!$F$21)),1,IF(ISNUMBER(SEARCH($A8,'06_ITEM_POLE_MODEL'!$G$21)),-1,0)))</f>
        <v/>
      </c>
      <c r="S8">
        <f>IF('06_ITEM_POLE_MODEL'!$E$22="ABSOLUTE SEMANTIC",0,IF(ISNUMBER(SEARCH($A8,'06_ITEM_POLE_MODEL'!$F$22)),1,IF(ISNUMBER(SEARCH($A8,'06_ITEM_POLE_MODEL'!$G$22)),-1,0)))</f>
        <v/>
      </c>
      <c r="T8">
        <f>IF('06_ITEM_POLE_MODEL'!$E$23="ABSOLUTE SEMANTIC",0,IF(ISNUMBER(SEARCH($A8,'06_ITEM_POLE_MODEL'!$F$23)),1,IF(ISNUMBER(SEARCH($A8,'06_ITEM_POLE_MODEL'!$G$23)),-1,0)))</f>
        <v/>
      </c>
      <c r="U8">
        <f>IF('06_ITEM_POLE_MODEL'!$E$24="ABSOLUTE SEMANTIC",0,IF(ISNUMBER(SEARCH($A8,'06_ITEM_POLE_MODEL'!$F$24)),1,IF(ISNUMBER(SEARCH($A8,'06_ITEM_POLE_MODEL'!$G$24)),-1,0)))</f>
        <v/>
      </c>
      <c r="V8">
        <f>IF('06_ITEM_POLE_MODEL'!$E$25="ABSOLUTE SEMANTIC",0,IF(ISNUMBER(SEARCH($A8,'06_ITEM_POLE_MODEL'!$F$25)),1,IF(ISNUMBER(SEARCH($A8,'06_ITEM_POLE_MODEL'!$G$25)),-1,0)))</f>
        <v/>
      </c>
      <c r="W8">
        <f>IF('06_ITEM_POLE_MODEL'!$E$26="ABSOLUTE SEMANTIC",0,IF(ISNUMBER(SEARCH($A8,'06_ITEM_POLE_MODEL'!$F$26)),1,IF(ISNUMBER(SEARCH($A8,'06_ITEM_POLE_MODEL'!$G$26)),-1,0)))</f>
        <v/>
      </c>
      <c r="X8">
        <f>IF('06_ITEM_POLE_MODEL'!$E$27="ABSOLUTE SEMANTIC",0,IF(ISNUMBER(SEARCH($A8,'06_ITEM_POLE_MODEL'!$F$27)),1,IF(ISNUMBER(SEARCH($A8,'06_ITEM_POLE_MODEL'!$G$27)),-1,0)))</f>
        <v/>
      </c>
      <c r="Y8">
        <f>IF('06_ITEM_POLE_MODEL'!$E$28="ABSOLUTE SEMANTIC",0,IF(ISNUMBER(SEARCH($A8,'06_ITEM_POLE_MODEL'!$F$28)),1,IF(ISNUMBER(SEARCH($A8,'06_ITEM_POLE_MODEL'!$G$28)),-1,0)))</f>
        <v/>
      </c>
      <c r="Z8">
        <f>IF('06_ITEM_POLE_MODEL'!$E$29="ABSOLUTE SEMANTIC",0,IF(ISNUMBER(SEARCH($A8,'06_ITEM_POLE_MODEL'!$F$29)),1,IF(ISNUMBER(SEARCH($A8,'06_ITEM_POLE_MODEL'!$G$29)),-1,0)))</f>
        <v/>
      </c>
      <c r="AA8">
        <f>IF('06_ITEM_POLE_MODEL'!$E$30="ABSOLUTE SEMANTIC",0,IF(ISNUMBER(SEARCH($A8,'06_ITEM_POLE_MODEL'!$F$30)),1,IF(ISNUMBER(SEARCH($A8,'06_ITEM_POLE_MODEL'!$G$30)),-1,0)))</f>
        <v/>
      </c>
      <c r="AB8">
        <f>IF('06_ITEM_POLE_MODEL'!$E$31="ABSOLUTE SEMANTIC",0,IF(ISNUMBER(SEARCH($A8,'06_ITEM_POLE_MODEL'!$F$31)),1,IF(ISNUMBER(SEARCH($A8,'06_ITEM_POLE_MODEL'!$G$31)),-1,0)))</f>
        <v/>
      </c>
      <c r="AC8">
        <f>IF('06_ITEM_POLE_MODEL'!$E$32="ABSOLUTE SEMANTIC",0,IF(ISNUMBER(SEARCH($A8,'06_ITEM_POLE_MODEL'!$F$32)),1,IF(ISNUMBER(SEARCH($A8,'06_ITEM_POLE_MODEL'!$G$32)),-1,0)))</f>
        <v/>
      </c>
      <c r="AD8">
        <f>IF('06_ITEM_POLE_MODEL'!$E$33="ABSOLUTE SEMANTIC",0,IF(ISNUMBER(SEARCH($A8,'06_ITEM_POLE_MODEL'!$F$33)),1,IF(ISNUMBER(SEARCH($A8,'06_ITEM_POLE_MODEL'!$G$33)),-1,0)))</f>
        <v/>
      </c>
      <c r="AE8">
        <f>IF('06_ITEM_POLE_MODEL'!$E$34="ABSOLUTE SEMANTIC",0,IF(ISNUMBER(SEARCH($A8,'06_ITEM_POLE_MODEL'!$F$34)),1,IF(ISNUMBER(SEARCH($A8,'06_ITEM_POLE_MODEL'!$G$34)),-1,0)))</f>
        <v/>
      </c>
      <c r="AF8">
        <f>IF('06_ITEM_POLE_MODEL'!$E$35="ABSOLUTE SEMANTIC",0,IF(ISNUMBER(SEARCH($A8,'06_ITEM_POLE_MODEL'!$F$35)),1,IF(ISNUMBER(SEARCH($A8,'06_ITEM_POLE_MODEL'!$G$35)),-1,0)))</f>
        <v/>
      </c>
      <c r="AG8">
        <f>IF('06_ITEM_POLE_MODEL'!$E$36="ABSOLUTE SEMANTIC",0,IF(ISNUMBER(SEARCH($A8,'06_ITEM_POLE_MODEL'!$F$36)),1,IF(ISNUMBER(SEARCH($A8,'06_ITEM_POLE_MODEL'!$G$36)),-1,0)))</f>
        <v/>
      </c>
      <c r="AH8">
        <f>IF('06_ITEM_POLE_MODEL'!$E$37="ABSOLUTE SEMANTIC",0,IF(ISNUMBER(SEARCH($A8,'06_ITEM_POLE_MODEL'!$F$37)),1,IF(ISNUMBER(SEARCH($A8,'06_ITEM_POLE_MODEL'!$G$37)),-1,0)))</f>
        <v/>
      </c>
      <c r="AI8">
        <f>IF('06_ITEM_POLE_MODEL'!$E$38="ABSOLUTE SEMANTIC",0,IF(ISNUMBER(SEARCH($A8,'06_ITEM_POLE_MODEL'!$F$38)),1,IF(ISNUMBER(SEARCH($A8,'06_ITEM_POLE_MODEL'!$G$38)),-1,0)))</f>
        <v/>
      </c>
      <c r="AJ8">
        <f>IF('06_ITEM_POLE_MODEL'!$E$39="ABSOLUTE SEMANTIC",0,IF(ISNUMBER(SEARCH($A8,'06_ITEM_POLE_MODEL'!$F$39)),1,IF(ISNUMBER(SEARCH($A8,'06_ITEM_POLE_MODEL'!$G$39)),-1,0)))</f>
        <v/>
      </c>
      <c r="AK8">
        <f>IF('06_ITEM_POLE_MODEL'!$E$40="ABSOLUTE SEMANTIC",0,IF(ISNUMBER(SEARCH($A8,'06_ITEM_POLE_MODEL'!$F$40)),1,IF(ISNUMBER(SEARCH($A8,'06_ITEM_POLE_MODEL'!$G$40)),-1,0)))</f>
        <v/>
      </c>
      <c r="AL8">
        <f>IF('06_ITEM_POLE_MODEL'!$E$41="ABSOLUTE SEMANTIC",0,IF(ISNUMBER(SEARCH($A8,'06_ITEM_POLE_MODEL'!$F$41)),1,IF(ISNUMBER(SEARCH($A8,'06_ITEM_POLE_MODEL'!$G$41)),-1,0)))</f>
        <v/>
      </c>
      <c r="AM8">
        <f>IF('06_ITEM_POLE_MODEL'!$E$42="ABSOLUTE SEMANTIC",0,IF(ISNUMBER(SEARCH($A8,'06_ITEM_POLE_MODEL'!$F$42)),1,IF(ISNUMBER(SEARCH($A8,'06_ITEM_POLE_MODEL'!$G$42)),-1,0)))</f>
        <v/>
      </c>
      <c r="AN8">
        <f>IF('06_ITEM_POLE_MODEL'!$E$43="ABSOLUTE SEMANTIC",0,IF(ISNUMBER(SEARCH($A8,'06_ITEM_POLE_MODEL'!$F$43)),1,IF(ISNUMBER(SEARCH($A8,'06_ITEM_POLE_MODEL'!$G$43)),-1,0)))</f>
        <v/>
      </c>
      <c r="AO8">
        <f>IF('06_ITEM_POLE_MODEL'!$E$44="ABSOLUTE SEMANTIC",0,IF(ISNUMBER(SEARCH($A8,'06_ITEM_POLE_MODEL'!$F$44)),1,IF(ISNUMBER(SEARCH($A8,'06_ITEM_POLE_MODEL'!$G$44)),-1,0)))</f>
        <v/>
      </c>
      <c r="AP8">
        <f>IF('06_ITEM_POLE_MODEL'!$E$45="ABSOLUTE SEMANTIC",0,IF(ISNUMBER(SEARCH($A8,'06_ITEM_POLE_MODEL'!$F$45)),1,IF(ISNUMBER(SEARCH($A8,'06_ITEM_POLE_MODEL'!$G$45)),-1,0)))</f>
        <v/>
      </c>
      <c r="AQ8">
        <f>IF('06_ITEM_POLE_MODEL'!$E$46="ABSOLUTE SEMANTIC",0,IF(ISNUMBER(SEARCH($A8,'06_ITEM_POLE_MODEL'!$F$46)),1,IF(ISNUMBER(SEARCH($A8,'06_ITEM_POLE_MODEL'!$G$46)),-1,0)))</f>
        <v/>
      </c>
      <c r="AR8">
        <f>IF('06_ITEM_POLE_MODEL'!$E$47="ABSOLUTE SEMANTIC",0,IF(ISNUMBER(SEARCH($A8,'06_ITEM_POLE_MODEL'!$F$47)),1,IF(ISNUMBER(SEARCH($A8,'06_ITEM_POLE_MODEL'!$G$47)),-1,0)))</f>
        <v/>
      </c>
      <c r="AS8">
        <f>IF('06_ITEM_POLE_MODEL'!$E$48="ABSOLUTE SEMANTIC",0,IF(ISNUMBER(SEARCH($A8,'06_ITEM_POLE_MODEL'!$F$48)),1,IF(ISNUMBER(SEARCH($A8,'06_ITEM_POLE_MODEL'!$G$48)),-1,0)))</f>
        <v/>
      </c>
      <c r="AT8">
        <f>IF('06_ITEM_POLE_MODEL'!$E$49="ABSOLUTE SEMANTIC",0,IF(ISNUMBER(SEARCH($A8,'06_ITEM_POLE_MODEL'!$F$49)),1,IF(ISNUMBER(SEARCH($A8,'06_ITEM_POLE_MODEL'!$G$49)),-1,0)))</f>
        <v/>
      </c>
      <c r="AU8">
        <f>IF('06_ITEM_POLE_MODEL'!$E$50="ABSOLUTE SEMANTIC",0,IF(ISNUMBER(SEARCH($A8,'06_ITEM_POLE_MODEL'!$F$50)),1,IF(ISNUMBER(SEARCH($A8,'06_ITEM_POLE_MODEL'!$G$50)),-1,0)))</f>
        <v/>
      </c>
      <c r="AV8">
        <f>IF('06_ITEM_POLE_MODEL'!$E$51="ABSOLUTE SEMANTIC",0,IF(ISNUMBER(SEARCH($A8,'06_ITEM_POLE_MODEL'!$F$51)),1,IF(ISNUMBER(SEARCH($A8,'06_ITEM_POLE_MODEL'!$G$51)),-1,0)))</f>
        <v/>
      </c>
      <c r="AW8">
        <f>IF('06_ITEM_POLE_MODEL'!$E$52="ABSOLUTE SEMANTIC",0,IF(ISNUMBER(SEARCH($A8,'06_ITEM_POLE_MODEL'!$F$52)),1,IF(ISNUMBER(SEARCH($A8,'06_ITEM_POLE_MODEL'!$G$52)),-1,0)))</f>
        <v/>
      </c>
      <c r="AX8">
        <f>IF('06_ITEM_POLE_MODEL'!$E$53="ABSOLUTE SEMANTIC",0,IF(ISNUMBER(SEARCH($A8,'06_ITEM_POLE_MODEL'!$F$53)),1,IF(ISNUMBER(SEARCH($A8,'06_ITEM_POLE_MODEL'!$G$53)),-1,0)))</f>
        <v/>
      </c>
      <c r="AY8">
        <f>IF('06_ITEM_POLE_MODEL'!$E$54="ABSOLUTE SEMANTIC",0,IF(ISNUMBER(SEARCH($A8,'06_ITEM_POLE_MODEL'!$F$54)),1,IF(ISNUMBER(SEARCH($A8,'06_ITEM_POLE_MODEL'!$G$54)),-1,0)))</f>
        <v/>
      </c>
      <c r="AZ8">
        <f>IF('06_ITEM_POLE_MODEL'!$E$55="ABSOLUTE SEMANTIC",0,IF(ISNUMBER(SEARCH($A8,'06_ITEM_POLE_MODEL'!$F$55)),1,IF(ISNUMBER(SEARCH($A8,'06_ITEM_POLE_MODEL'!$G$55)),-1,0)))</f>
        <v/>
      </c>
      <c r="BA8">
        <f>IF('06_ITEM_POLE_MODEL'!$E$56="ABSOLUTE SEMANTIC",0,IF(ISNUMBER(SEARCH($A8,'06_ITEM_POLE_MODEL'!$F$56)),1,IF(ISNUMBER(SEARCH($A8,'06_ITEM_POLE_MODEL'!$G$56)),-1,0)))</f>
        <v/>
      </c>
      <c r="BB8">
        <f>IF('06_ITEM_POLE_MODEL'!$E$57="ABSOLUTE SEMANTIC",0,IF(ISNUMBER(SEARCH($A8,'06_ITEM_POLE_MODEL'!$F$57)),1,IF(ISNUMBER(SEARCH($A8,'06_ITEM_POLE_MODEL'!$G$57)),-1,0)))</f>
        <v/>
      </c>
      <c r="BC8">
        <f>IF('06_ITEM_POLE_MODEL'!$E$58="ABSOLUTE SEMANTIC",0,IF(ISNUMBER(SEARCH($A8,'06_ITEM_POLE_MODEL'!$F$58)),1,IF(ISNUMBER(SEARCH($A8,'06_ITEM_POLE_MODEL'!$G$58)),-1,0)))</f>
        <v/>
      </c>
      <c r="BD8">
        <f>IF('06_ITEM_POLE_MODEL'!$E$59="ABSOLUTE SEMANTIC",0,IF(ISNUMBER(SEARCH($A8,'06_ITEM_POLE_MODEL'!$F$59)),1,IF(ISNUMBER(SEARCH($A8,'06_ITEM_POLE_MODEL'!$G$59)),-1,0)))</f>
        <v/>
      </c>
      <c r="BE8">
        <f>IF('06_ITEM_POLE_MODEL'!$E$60="ABSOLUTE SEMANTIC",0,IF(ISNUMBER(SEARCH($A8,'06_ITEM_POLE_MODEL'!$F$60)),1,IF(ISNUMBER(SEARCH($A8,'06_ITEM_POLE_MODEL'!$G$60)),-1,0)))</f>
        <v/>
      </c>
      <c r="BF8">
        <f>IF('06_ITEM_POLE_MODEL'!$E$61="ABSOLUTE SEMANTIC",0,IF(ISNUMBER(SEARCH($A8,'06_ITEM_POLE_MODEL'!$F$61)),1,IF(ISNUMBER(SEARCH($A8,'06_ITEM_POLE_MODEL'!$G$61)),-1,0)))</f>
        <v/>
      </c>
      <c r="BG8">
        <f>IF('06_ITEM_POLE_MODEL'!$E$62="ABSOLUTE SEMANTIC",0,IF(ISNUMBER(SEARCH($A8,'06_ITEM_POLE_MODEL'!$F$62)),1,IF(ISNUMBER(SEARCH($A8,'06_ITEM_POLE_MODEL'!$G$62)),-1,0)))</f>
        <v/>
      </c>
      <c r="BH8">
        <f>IF('06_ITEM_POLE_MODEL'!$E$63="ABSOLUTE SEMANTIC",0,IF(ISNUMBER(SEARCH($A8,'06_ITEM_POLE_MODEL'!$F$63)),1,IF(ISNUMBER(SEARCH($A8,'06_ITEM_POLE_MODEL'!$G$63)),-1,0)))</f>
        <v/>
      </c>
      <c r="BI8">
        <f>IF('06_ITEM_POLE_MODEL'!$E$64="ABSOLUTE SEMANTIC",0,IF(ISNUMBER(SEARCH($A8,'06_ITEM_POLE_MODEL'!$F$64)),1,IF(ISNUMBER(SEARCH($A8,'06_ITEM_POLE_MODEL'!$G$64)),-1,0)))</f>
        <v/>
      </c>
      <c r="BJ8">
        <f>IF('06_ITEM_POLE_MODEL'!$E$65="ABSOLUTE SEMANTIC",0,IF(ISNUMBER(SEARCH($A8,'06_ITEM_POLE_MODEL'!$F$65)),1,IF(ISNUMBER(SEARCH($A8,'06_ITEM_POLE_MODEL'!$G$65)),-1,0)))</f>
        <v/>
      </c>
      <c r="BK8">
        <f>IF('06_ITEM_POLE_MODEL'!$E$66="ABSOLUTE SEMANTIC",0,IF(ISNUMBER(SEARCH($A8,'06_ITEM_POLE_MODEL'!$F$66)),1,IF(ISNUMBER(SEARCH($A8,'06_ITEM_POLE_MODEL'!$G$66)),-1,0)))</f>
        <v/>
      </c>
      <c r="BL8">
        <f>IF('06_ITEM_POLE_MODEL'!$E$67="ABSOLUTE SEMANTIC",0,IF(ISNUMBER(SEARCH($A8,'06_ITEM_POLE_MODEL'!$F$67)),1,IF(ISNUMBER(SEARCH($A8,'06_ITEM_POLE_MODEL'!$G$67)),-1,0)))</f>
        <v/>
      </c>
      <c r="BM8">
        <f>IF('06_ITEM_POLE_MODEL'!$E$68="ABSOLUTE SEMANTIC",0,IF(ISNUMBER(SEARCH($A8,'06_ITEM_POLE_MODEL'!$F$68)),1,IF(ISNUMBER(SEARCH($A8,'06_ITEM_POLE_MODEL'!$G$68)),-1,0)))</f>
        <v/>
      </c>
      <c r="BN8">
        <f>IF('06_ITEM_POLE_MODEL'!$E$69="ABSOLUTE SEMANTIC",0,IF(ISNUMBER(SEARCH($A8,'06_ITEM_POLE_MODEL'!$F$69)),1,IF(ISNUMBER(SEARCH($A8,'06_ITEM_POLE_MODEL'!$G$69)),-1,0)))</f>
        <v/>
      </c>
      <c r="BO8">
        <f>IF('06_ITEM_POLE_MODEL'!$E$70="ABSOLUTE SEMANTIC",0,IF(ISNUMBER(SEARCH($A8,'06_ITEM_POLE_MODEL'!$F$70)),1,IF(ISNUMBER(SEARCH($A8,'06_ITEM_POLE_MODEL'!$G$70)),-1,0)))</f>
        <v/>
      </c>
      <c r="BP8">
        <f>IF('06_ITEM_POLE_MODEL'!$E$71="ABSOLUTE SEMANTIC",0,IF(ISNUMBER(SEARCH($A8,'06_ITEM_POLE_MODEL'!$F$71)),1,IF(ISNUMBER(SEARCH($A8,'06_ITEM_POLE_MODEL'!$G$71)),-1,0)))</f>
        <v/>
      </c>
      <c r="BQ8">
        <f>IF('06_ITEM_POLE_MODEL'!$E$72="ABSOLUTE SEMANTIC",0,IF(ISNUMBER(SEARCH($A8,'06_ITEM_POLE_MODEL'!$F$72)),1,IF(ISNUMBER(SEARCH($A8,'06_ITEM_POLE_MODEL'!$G$72)),-1,0)))</f>
        <v/>
      </c>
      <c r="BR8">
        <f>IF('06_ITEM_POLE_MODEL'!$E$73="ABSOLUTE SEMANTIC",0,IF(ISNUMBER(SEARCH($A8,'06_ITEM_POLE_MODEL'!$F$73)),1,IF(ISNUMBER(SEARCH($A8,'06_ITEM_POLE_MODEL'!$G$73)),-1,0)))</f>
        <v/>
      </c>
      <c r="BS8">
        <f>IF('06_ITEM_POLE_MODEL'!$E$74="ABSOLUTE SEMANTIC",0,IF(ISNUMBER(SEARCH($A8,'06_ITEM_POLE_MODEL'!$F$74)),1,IF(ISNUMBER(SEARCH($A8,'06_ITEM_POLE_MODEL'!$G$74)),-1,0)))</f>
        <v/>
      </c>
      <c r="BT8">
        <f>IF('06_ITEM_POLE_MODEL'!$E$75="ABSOLUTE SEMANTIC",0,IF(ISNUMBER(SEARCH($A8,'06_ITEM_POLE_MODEL'!$F$75)),1,IF(ISNUMBER(SEARCH($A8,'06_ITEM_POLE_MODEL'!$G$75)),-1,0)))</f>
        <v/>
      </c>
      <c r="BU8">
        <f>IF('06_ITEM_POLE_MODEL'!$E$76="ABSOLUTE SEMANTIC",0,IF(ISNUMBER(SEARCH($A8,'06_ITEM_POLE_MODEL'!$F$76)),1,IF(ISNUMBER(SEARCH($A8,'06_ITEM_POLE_MODEL'!$G$76)),-1,0)))</f>
        <v/>
      </c>
      <c r="BV8">
        <f>IF('06_ITEM_POLE_MODEL'!$E$77="ABSOLUTE SEMANTIC",0,IF(ISNUMBER(SEARCH($A8,'06_ITEM_POLE_MODEL'!$F$77)),1,IF(ISNUMBER(SEARCH($A8,'06_ITEM_POLE_MODEL'!$G$77)),-1,0)))</f>
        <v/>
      </c>
      <c r="BW8">
        <f>IF('06_ITEM_POLE_MODEL'!$E$78="ABSOLUTE SEMANTIC",0,IF(ISNUMBER(SEARCH($A8,'06_ITEM_POLE_MODEL'!$F$78)),1,IF(ISNUMBER(SEARCH($A8,'06_ITEM_POLE_MODEL'!$G$78)),-1,0)))</f>
        <v/>
      </c>
      <c r="BX8">
        <f>IF('06_ITEM_POLE_MODEL'!$E$79="ABSOLUTE SEMANTIC",0,IF(ISNUMBER(SEARCH($A8,'06_ITEM_POLE_MODEL'!$F$79)),1,IF(ISNUMBER(SEARCH($A8,'06_ITEM_POLE_MODEL'!$G$79)),-1,0)))</f>
        <v/>
      </c>
      <c r="BY8">
        <f>IF('06_ITEM_POLE_MODEL'!$E$80="ABSOLUTE SEMANTIC",0,IF(ISNUMBER(SEARCH($A8,'06_ITEM_POLE_MODEL'!$F$80)),1,IF(ISNUMBER(SEARCH($A8,'06_ITEM_POLE_MODEL'!$G$80)),-1,0)))</f>
        <v/>
      </c>
      <c r="BZ8">
        <f>IF('06_ITEM_POLE_MODEL'!$E$81="ABSOLUTE SEMANTIC",0,IF(ISNUMBER(SEARCH($A8,'06_ITEM_POLE_MODEL'!$F$81)),1,IF(ISNUMBER(SEARCH($A8,'06_ITEM_POLE_MODEL'!$G$81)),-1,0)))</f>
        <v/>
      </c>
      <c r="CA8">
        <f>IF('06_ITEM_POLE_MODEL'!$E$82="ABSOLUTE SEMANTIC",0,IF(ISNUMBER(SEARCH($A8,'06_ITEM_POLE_MODEL'!$F$82)),1,IF(ISNUMBER(SEARCH($A8,'06_ITEM_POLE_MODEL'!$G$82)),-1,0)))</f>
        <v/>
      </c>
      <c r="CB8">
        <f>IF('06_ITEM_POLE_MODEL'!$E$83="ABSOLUTE SEMANTIC",0,IF(ISNUMBER(SEARCH($A8,'06_ITEM_POLE_MODEL'!$F$83)),1,IF(ISNUMBER(SEARCH($A8,'06_ITEM_POLE_MODEL'!$G$83)),-1,0)))</f>
        <v/>
      </c>
      <c r="CC8">
        <f>IF('06_ITEM_POLE_MODEL'!$E$84="ABSOLUTE SEMANTIC",0,IF(ISNUMBER(SEARCH($A8,'06_ITEM_POLE_MODEL'!$F$84)),1,IF(ISNUMBER(SEARCH($A8,'06_ITEM_POLE_MODEL'!$G$84)),-1,0)))</f>
        <v/>
      </c>
    </row>
    <row r="9">
      <c r="A9" t="inlineStr">
        <is>
          <t>Lyran</t>
        </is>
      </c>
      <c r="B9">
        <f>IF('06_ITEM_POLE_MODEL'!$E$5="ABSOLUTE SEMANTIC",0,IF(ISNUMBER(SEARCH($A9,'06_ITEM_POLE_MODEL'!$F$5)),1,IF(ISNUMBER(SEARCH($A9,'06_ITEM_POLE_MODEL'!$G$5)),-1,0)))</f>
        <v/>
      </c>
      <c r="C9">
        <f>IF('06_ITEM_POLE_MODEL'!$E$6="ABSOLUTE SEMANTIC",0,IF(ISNUMBER(SEARCH($A9,'06_ITEM_POLE_MODEL'!$F$6)),1,IF(ISNUMBER(SEARCH($A9,'06_ITEM_POLE_MODEL'!$G$6)),-1,0)))</f>
        <v/>
      </c>
      <c r="D9">
        <f>IF('06_ITEM_POLE_MODEL'!$E$7="ABSOLUTE SEMANTIC",0,IF(ISNUMBER(SEARCH($A9,'06_ITEM_POLE_MODEL'!$F$7)),1,IF(ISNUMBER(SEARCH($A9,'06_ITEM_POLE_MODEL'!$G$7)),-1,0)))</f>
        <v/>
      </c>
      <c r="E9">
        <f>IF('06_ITEM_POLE_MODEL'!$E$8="ABSOLUTE SEMANTIC",0,IF(ISNUMBER(SEARCH($A9,'06_ITEM_POLE_MODEL'!$F$8)),1,IF(ISNUMBER(SEARCH($A9,'06_ITEM_POLE_MODEL'!$G$8)),-1,0)))</f>
        <v/>
      </c>
      <c r="F9">
        <f>IF('06_ITEM_POLE_MODEL'!$E$9="ABSOLUTE SEMANTIC",0,IF(ISNUMBER(SEARCH($A9,'06_ITEM_POLE_MODEL'!$F$9)),1,IF(ISNUMBER(SEARCH($A9,'06_ITEM_POLE_MODEL'!$G$9)),-1,0)))</f>
        <v/>
      </c>
      <c r="G9">
        <f>IF('06_ITEM_POLE_MODEL'!$E$10="ABSOLUTE SEMANTIC",0,IF(ISNUMBER(SEARCH($A9,'06_ITEM_POLE_MODEL'!$F$10)),1,IF(ISNUMBER(SEARCH($A9,'06_ITEM_POLE_MODEL'!$G$10)),-1,0)))</f>
        <v/>
      </c>
      <c r="H9">
        <f>IF('06_ITEM_POLE_MODEL'!$E$11="ABSOLUTE SEMANTIC",0,IF(ISNUMBER(SEARCH($A9,'06_ITEM_POLE_MODEL'!$F$11)),1,IF(ISNUMBER(SEARCH($A9,'06_ITEM_POLE_MODEL'!$G$11)),-1,0)))</f>
        <v/>
      </c>
      <c r="I9">
        <f>IF('06_ITEM_POLE_MODEL'!$E$12="ABSOLUTE SEMANTIC",0,IF(ISNUMBER(SEARCH($A9,'06_ITEM_POLE_MODEL'!$F$12)),1,IF(ISNUMBER(SEARCH($A9,'06_ITEM_POLE_MODEL'!$G$12)),-1,0)))</f>
        <v/>
      </c>
      <c r="J9">
        <f>IF('06_ITEM_POLE_MODEL'!$E$13="ABSOLUTE SEMANTIC",0,IF(ISNUMBER(SEARCH($A9,'06_ITEM_POLE_MODEL'!$F$13)),1,IF(ISNUMBER(SEARCH($A9,'06_ITEM_POLE_MODEL'!$G$13)),-1,0)))</f>
        <v/>
      </c>
      <c r="K9">
        <f>IF('06_ITEM_POLE_MODEL'!$E$14="ABSOLUTE SEMANTIC",0,IF(ISNUMBER(SEARCH($A9,'06_ITEM_POLE_MODEL'!$F$14)),1,IF(ISNUMBER(SEARCH($A9,'06_ITEM_POLE_MODEL'!$G$14)),-1,0)))</f>
        <v/>
      </c>
      <c r="L9">
        <f>IF('06_ITEM_POLE_MODEL'!$E$15="ABSOLUTE SEMANTIC",0,IF(ISNUMBER(SEARCH($A9,'06_ITEM_POLE_MODEL'!$F$15)),1,IF(ISNUMBER(SEARCH($A9,'06_ITEM_POLE_MODEL'!$G$15)),-1,0)))</f>
        <v/>
      </c>
      <c r="M9">
        <f>IF('06_ITEM_POLE_MODEL'!$E$16="ABSOLUTE SEMANTIC",0,IF(ISNUMBER(SEARCH($A9,'06_ITEM_POLE_MODEL'!$F$16)),1,IF(ISNUMBER(SEARCH($A9,'06_ITEM_POLE_MODEL'!$G$16)),-1,0)))</f>
        <v/>
      </c>
      <c r="N9">
        <f>IF('06_ITEM_POLE_MODEL'!$E$17="ABSOLUTE SEMANTIC",0,IF(ISNUMBER(SEARCH($A9,'06_ITEM_POLE_MODEL'!$F$17)),1,IF(ISNUMBER(SEARCH($A9,'06_ITEM_POLE_MODEL'!$G$17)),-1,0)))</f>
        <v/>
      </c>
      <c r="O9">
        <f>IF('06_ITEM_POLE_MODEL'!$E$18="ABSOLUTE SEMANTIC",0,IF(ISNUMBER(SEARCH($A9,'06_ITEM_POLE_MODEL'!$F$18)),1,IF(ISNUMBER(SEARCH($A9,'06_ITEM_POLE_MODEL'!$G$18)),-1,0)))</f>
        <v/>
      </c>
      <c r="P9">
        <f>IF('06_ITEM_POLE_MODEL'!$E$19="ABSOLUTE SEMANTIC",0,IF(ISNUMBER(SEARCH($A9,'06_ITEM_POLE_MODEL'!$F$19)),1,IF(ISNUMBER(SEARCH($A9,'06_ITEM_POLE_MODEL'!$G$19)),-1,0)))</f>
        <v/>
      </c>
      <c r="Q9">
        <f>IF('06_ITEM_POLE_MODEL'!$E$20="ABSOLUTE SEMANTIC",0,IF(ISNUMBER(SEARCH($A9,'06_ITEM_POLE_MODEL'!$F$20)),1,IF(ISNUMBER(SEARCH($A9,'06_ITEM_POLE_MODEL'!$G$20)),-1,0)))</f>
        <v/>
      </c>
      <c r="R9">
        <f>IF('06_ITEM_POLE_MODEL'!$E$21="ABSOLUTE SEMANTIC",0,IF(ISNUMBER(SEARCH($A9,'06_ITEM_POLE_MODEL'!$F$21)),1,IF(ISNUMBER(SEARCH($A9,'06_ITEM_POLE_MODEL'!$G$21)),-1,0)))</f>
        <v/>
      </c>
      <c r="S9">
        <f>IF('06_ITEM_POLE_MODEL'!$E$22="ABSOLUTE SEMANTIC",0,IF(ISNUMBER(SEARCH($A9,'06_ITEM_POLE_MODEL'!$F$22)),1,IF(ISNUMBER(SEARCH($A9,'06_ITEM_POLE_MODEL'!$G$22)),-1,0)))</f>
        <v/>
      </c>
      <c r="T9">
        <f>IF('06_ITEM_POLE_MODEL'!$E$23="ABSOLUTE SEMANTIC",0,IF(ISNUMBER(SEARCH($A9,'06_ITEM_POLE_MODEL'!$F$23)),1,IF(ISNUMBER(SEARCH($A9,'06_ITEM_POLE_MODEL'!$G$23)),-1,0)))</f>
        <v/>
      </c>
      <c r="U9">
        <f>IF('06_ITEM_POLE_MODEL'!$E$24="ABSOLUTE SEMANTIC",0,IF(ISNUMBER(SEARCH($A9,'06_ITEM_POLE_MODEL'!$F$24)),1,IF(ISNUMBER(SEARCH($A9,'06_ITEM_POLE_MODEL'!$G$24)),-1,0)))</f>
        <v/>
      </c>
      <c r="V9">
        <f>IF('06_ITEM_POLE_MODEL'!$E$25="ABSOLUTE SEMANTIC",0,IF(ISNUMBER(SEARCH($A9,'06_ITEM_POLE_MODEL'!$F$25)),1,IF(ISNUMBER(SEARCH($A9,'06_ITEM_POLE_MODEL'!$G$25)),-1,0)))</f>
        <v/>
      </c>
      <c r="W9">
        <f>IF('06_ITEM_POLE_MODEL'!$E$26="ABSOLUTE SEMANTIC",0,IF(ISNUMBER(SEARCH($A9,'06_ITEM_POLE_MODEL'!$F$26)),1,IF(ISNUMBER(SEARCH($A9,'06_ITEM_POLE_MODEL'!$G$26)),-1,0)))</f>
        <v/>
      </c>
      <c r="X9">
        <f>IF('06_ITEM_POLE_MODEL'!$E$27="ABSOLUTE SEMANTIC",0,IF(ISNUMBER(SEARCH($A9,'06_ITEM_POLE_MODEL'!$F$27)),1,IF(ISNUMBER(SEARCH($A9,'06_ITEM_POLE_MODEL'!$G$27)),-1,0)))</f>
        <v/>
      </c>
      <c r="Y9">
        <f>IF('06_ITEM_POLE_MODEL'!$E$28="ABSOLUTE SEMANTIC",0,IF(ISNUMBER(SEARCH($A9,'06_ITEM_POLE_MODEL'!$F$28)),1,IF(ISNUMBER(SEARCH($A9,'06_ITEM_POLE_MODEL'!$G$28)),-1,0)))</f>
        <v/>
      </c>
      <c r="Z9">
        <f>IF('06_ITEM_POLE_MODEL'!$E$29="ABSOLUTE SEMANTIC",0,IF(ISNUMBER(SEARCH($A9,'06_ITEM_POLE_MODEL'!$F$29)),1,IF(ISNUMBER(SEARCH($A9,'06_ITEM_POLE_MODEL'!$G$29)),-1,0)))</f>
        <v/>
      </c>
      <c r="AA9">
        <f>IF('06_ITEM_POLE_MODEL'!$E$30="ABSOLUTE SEMANTIC",0,IF(ISNUMBER(SEARCH($A9,'06_ITEM_POLE_MODEL'!$F$30)),1,IF(ISNUMBER(SEARCH($A9,'06_ITEM_POLE_MODEL'!$G$30)),-1,0)))</f>
        <v/>
      </c>
      <c r="AB9">
        <f>IF('06_ITEM_POLE_MODEL'!$E$31="ABSOLUTE SEMANTIC",0,IF(ISNUMBER(SEARCH($A9,'06_ITEM_POLE_MODEL'!$F$31)),1,IF(ISNUMBER(SEARCH($A9,'06_ITEM_POLE_MODEL'!$G$31)),-1,0)))</f>
        <v/>
      </c>
      <c r="AC9">
        <f>IF('06_ITEM_POLE_MODEL'!$E$32="ABSOLUTE SEMANTIC",0,IF(ISNUMBER(SEARCH($A9,'06_ITEM_POLE_MODEL'!$F$32)),1,IF(ISNUMBER(SEARCH($A9,'06_ITEM_POLE_MODEL'!$G$32)),-1,0)))</f>
        <v/>
      </c>
      <c r="AD9">
        <f>IF('06_ITEM_POLE_MODEL'!$E$33="ABSOLUTE SEMANTIC",0,IF(ISNUMBER(SEARCH($A9,'06_ITEM_POLE_MODEL'!$F$33)),1,IF(ISNUMBER(SEARCH($A9,'06_ITEM_POLE_MODEL'!$G$33)),-1,0)))</f>
        <v/>
      </c>
      <c r="AE9">
        <f>IF('06_ITEM_POLE_MODEL'!$E$34="ABSOLUTE SEMANTIC",0,IF(ISNUMBER(SEARCH($A9,'06_ITEM_POLE_MODEL'!$F$34)),1,IF(ISNUMBER(SEARCH($A9,'06_ITEM_POLE_MODEL'!$G$34)),-1,0)))</f>
        <v/>
      </c>
      <c r="AF9">
        <f>IF('06_ITEM_POLE_MODEL'!$E$35="ABSOLUTE SEMANTIC",0,IF(ISNUMBER(SEARCH($A9,'06_ITEM_POLE_MODEL'!$F$35)),1,IF(ISNUMBER(SEARCH($A9,'06_ITEM_POLE_MODEL'!$G$35)),-1,0)))</f>
        <v/>
      </c>
      <c r="AG9">
        <f>IF('06_ITEM_POLE_MODEL'!$E$36="ABSOLUTE SEMANTIC",0,IF(ISNUMBER(SEARCH($A9,'06_ITEM_POLE_MODEL'!$F$36)),1,IF(ISNUMBER(SEARCH($A9,'06_ITEM_POLE_MODEL'!$G$36)),-1,0)))</f>
        <v/>
      </c>
      <c r="AH9">
        <f>IF('06_ITEM_POLE_MODEL'!$E$37="ABSOLUTE SEMANTIC",0,IF(ISNUMBER(SEARCH($A9,'06_ITEM_POLE_MODEL'!$F$37)),1,IF(ISNUMBER(SEARCH($A9,'06_ITEM_POLE_MODEL'!$G$37)),-1,0)))</f>
        <v/>
      </c>
      <c r="AI9">
        <f>IF('06_ITEM_POLE_MODEL'!$E$38="ABSOLUTE SEMANTIC",0,IF(ISNUMBER(SEARCH($A9,'06_ITEM_POLE_MODEL'!$F$38)),1,IF(ISNUMBER(SEARCH($A9,'06_ITEM_POLE_MODEL'!$G$38)),-1,0)))</f>
        <v/>
      </c>
      <c r="AJ9">
        <f>IF('06_ITEM_POLE_MODEL'!$E$39="ABSOLUTE SEMANTIC",0,IF(ISNUMBER(SEARCH($A9,'06_ITEM_POLE_MODEL'!$F$39)),1,IF(ISNUMBER(SEARCH($A9,'06_ITEM_POLE_MODEL'!$G$39)),-1,0)))</f>
        <v/>
      </c>
      <c r="AK9">
        <f>IF('06_ITEM_POLE_MODEL'!$E$40="ABSOLUTE SEMANTIC",0,IF(ISNUMBER(SEARCH($A9,'06_ITEM_POLE_MODEL'!$F$40)),1,IF(ISNUMBER(SEARCH($A9,'06_ITEM_POLE_MODEL'!$G$40)),-1,0)))</f>
        <v/>
      </c>
      <c r="AL9">
        <f>IF('06_ITEM_POLE_MODEL'!$E$41="ABSOLUTE SEMANTIC",0,IF(ISNUMBER(SEARCH($A9,'06_ITEM_POLE_MODEL'!$F$41)),1,IF(ISNUMBER(SEARCH($A9,'06_ITEM_POLE_MODEL'!$G$41)),-1,0)))</f>
        <v/>
      </c>
      <c r="AM9">
        <f>IF('06_ITEM_POLE_MODEL'!$E$42="ABSOLUTE SEMANTIC",0,IF(ISNUMBER(SEARCH($A9,'06_ITEM_POLE_MODEL'!$F$42)),1,IF(ISNUMBER(SEARCH($A9,'06_ITEM_POLE_MODEL'!$G$42)),-1,0)))</f>
        <v/>
      </c>
      <c r="AN9">
        <f>IF('06_ITEM_POLE_MODEL'!$E$43="ABSOLUTE SEMANTIC",0,IF(ISNUMBER(SEARCH($A9,'06_ITEM_POLE_MODEL'!$F$43)),1,IF(ISNUMBER(SEARCH($A9,'06_ITEM_POLE_MODEL'!$G$43)),-1,0)))</f>
        <v/>
      </c>
      <c r="AO9">
        <f>IF('06_ITEM_POLE_MODEL'!$E$44="ABSOLUTE SEMANTIC",0,IF(ISNUMBER(SEARCH($A9,'06_ITEM_POLE_MODEL'!$F$44)),1,IF(ISNUMBER(SEARCH($A9,'06_ITEM_POLE_MODEL'!$G$44)),-1,0)))</f>
        <v/>
      </c>
      <c r="AP9">
        <f>IF('06_ITEM_POLE_MODEL'!$E$45="ABSOLUTE SEMANTIC",0,IF(ISNUMBER(SEARCH($A9,'06_ITEM_POLE_MODEL'!$F$45)),1,IF(ISNUMBER(SEARCH($A9,'06_ITEM_POLE_MODEL'!$G$45)),-1,0)))</f>
        <v/>
      </c>
      <c r="AQ9">
        <f>IF('06_ITEM_POLE_MODEL'!$E$46="ABSOLUTE SEMANTIC",0,IF(ISNUMBER(SEARCH($A9,'06_ITEM_POLE_MODEL'!$F$46)),1,IF(ISNUMBER(SEARCH($A9,'06_ITEM_POLE_MODEL'!$G$46)),-1,0)))</f>
        <v/>
      </c>
      <c r="AR9">
        <f>IF('06_ITEM_POLE_MODEL'!$E$47="ABSOLUTE SEMANTIC",0,IF(ISNUMBER(SEARCH($A9,'06_ITEM_POLE_MODEL'!$F$47)),1,IF(ISNUMBER(SEARCH($A9,'06_ITEM_POLE_MODEL'!$G$47)),-1,0)))</f>
        <v/>
      </c>
      <c r="AS9">
        <f>IF('06_ITEM_POLE_MODEL'!$E$48="ABSOLUTE SEMANTIC",0,IF(ISNUMBER(SEARCH($A9,'06_ITEM_POLE_MODEL'!$F$48)),1,IF(ISNUMBER(SEARCH($A9,'06_ITEM_POLE_MODEL'!$G$48)),-1,0)))</f>
        <v/>
      </c>
      <c r="AT9">
        <f>IF('06_ITEM_POLE_MODEL'!$E$49="ABSOLUTE SEMANTIC",0,IF(ISNUMBER(SEARCH($A9,'06_ITEM_POLE_MODEL'!$F$49)),1,IF(ISNUMBER(SEARCH($A9,'06_ITEM_POLE_MODEL'!$G$49)),-1,0)))</f>
        <v/>
      </c>
      <c r="AU9">
        <f>IF('06_ITEM_POLE_MODEL'!$E$50="ABSOLUTE SEMANTIC",0,IF(ISNUMBER(SEARCH($A9,'06_ITEM_POLE_MODEL'!$F$50)),1,IF(ISNUMBER(SEARCH($A9,'06_ITEM_POLE_MODEL'!$G$50)),-1,0)))</f>
        <v/>
      </c>
      <c r="AV9">
        <f>IF('06_ITEM_POLE_MODEL'!$E$51="ABSOLUTE SEMANTIC",0,IF(ISNUMBER(SEARCH($A9,'06_ITEM_POLE_MODEL'!$F$51)),1,IF(ISNUMBER(SEARCH($A9,'06_ITEM_POLE_MODEL'!$G$51)),-1,0)))</f>
        <v/>
      </c>
      <c r="AW9">
        <f>IF('06_ITEM_POLE_MODEL'!$E$52="ABSOLUTE SEMANTIC",0,IF(ISNUMBER(SEARCH($A9,'06_ITEM_POLE_MODEL'!$F$52)),1,IF(ISNUMBER(SEARCH($A9,'06_ITEM_POLE_MODEL'!$G$52)),-1,0)))</f>
        <v/>
      </c>
      <c r="AX9">
        <f>IF('06_ITEM_POLE_MODEL'!$E$53="ABSOLUTE SEMANTIC",0,IF(ISNUMBER(SEARCH($A9,'06_ITEM_POLE_MODEL'!$F$53)),1,IF(ISNUMBER(SEARCH($A9,'06_ITEM_POLE_MODEL'!$G$53)),-1,0)))</f>
        <v/>
      </c>
      <c r="AY9">
        <f>IF('06_ITEM_POLE_MODEL'!$E$54="ABSOLUTE SEMANTIC",0,IF(ISNUMBER(SEARCH($A9,'06_ITEM_POLE_MODEL'!$F$54)),1,IF(ISNUMBER(SEARCH($A9,'06_ITEM_POLE_MODEL'!$G$54)),-1,0)))</f>
        <v/>
      </c>
      <c r="AZ9">
        <f>IF('06_ITEM_POLE_MODEL'!$E$55="ABSOLUTE SEMANTIC",0,IF(ISNUMBER(SEARCH($A9,'06_ITEM_POLE_MODEL'!$F$55)),1,IF(ISNUMBER(SEARCH($A9,'06_ITEM_POLE_MODEL'!$G$55)),-1,0)))</f>
        <v/>
      </c>
      <c r="BA9">
        <f>IF('06_ITEM_POLE_MODEL'!$E$56="ABSOLUTE SEMANTIC",0,IF(ISNUMBER(SEARCH($A9,'06_ITEM_POLE_MODEL'!$F$56)),1,IF(ISNUMBER(SEARCH($A9,'06_ITEM_POLE_MODEL'!$G$56)),-1,0)))</f>
        <v/>
      </c>
      <c r="BB9">
        <f>IF('06_ITEM_POLE_MODEL'!$E$57="ABSOLUTE SEMANTIC",0,IF(ISNUMBER(SEARCH($A9,'06_ITEM_POLE_MODEL'!$F$57)),1,IF(ISNUMBER(SEARCH($A9,'06_ITEM_POLE_MODEL'!$G$57)),-1,0)))</f>
        <v/>
      </c>
      <c r="BC9">
        <f>IF('06_ITEM_POLE_MODEL'!$E$58="ABSOLUTE SEMANTIC",0,IF(ISNUMBER(SEARCH($A9,'06_ITEM_POLE_MODEL'!$F$58)),1,IF(ISNUMBER(SEARCH($A9,'06_ITEM_POLE_MODEL'!$G$58)),-1,0)))</f>
        <v/>
      </c>
      <c r="BD9">
        <f>IF('06_ITEM_POLE_MODEL'!$E$59="ABSOLUTE SEMANTIC",0,IF(ISNUMBER(SEARCH($A9,'06_ITEM_POLE_MODEL'!$F$59)),1,IF(ISNUMBER(SEARCH($A9,'06_ITEM_POLE_MODEL'!$G$59)),-1,0)))</f>
        <v/>
      </c>
      <c r="BE9">
        <f>IF('06_ITEM_POLE_MODEL'!$E$60="ABSOLUTE SEMANTIC",0,IF(ISNUMBER(SEARCH($A9,'06_ITEM_POLE_MODEL'!$F$60)),1,IF(ISNUMBER(SEARCH($A9,'06_ITEM_POLE_MODEL'!$G$60)),-1,0)))</f>
        <v/>
      </c>
      <c r="BF9">
        <f>IF('06_ITEM_POLE_MODEL'!$E$61="ABSOLUTE SEMANTIC",0,IF(ISNUMBER(SEARCH($A9,'06_ITEM_POLE_MODEL'!$F$61)),1,IF(ISNUMBER(SEARCH($A9,'06_ITEM_POLE_MODEL'!$G$61)),-1,0)))</f>
        <v/>
      </c>
      <c r="BG9">
        <f>IF('06_ITEM_POLE_MODEL'!$E$62="ABSOLUTE SEMANTIC",0,IF(ISNUMBER(SEARCH($A9,'06_ITEM_POLE_MODEL'!$F$62)),1,IF(ISNUMBER(SEARCH($A9,'06_ITEM_POLE_MODEL'!$G$62)),-1,0)))</f>
        <v/>
      </c>
      <c r="BH9">
        <f>IF('06_ITEM_POLE_MODEL'!$E$63="ABSOLUTE SEMANTIC",0,IF(ISNUMBER(SEARCH($A9,'06_ITEM_POLE_MODEL'!$F$63)),1,IF(ISNUMBER(SEARCH($A9,'06_ITEM_POLE_MODEL'!$G$63)),-1,0)))</f>
        <v/>
      </c>
      <c r="BI9">
        <f>IF('06_ITEM_POLE_MODEL'!$E$64="ABSOLUTE SEMANTIC",0,IF(ISNUMBER(SEARCH($A9,'06_ITEM_POLE_MODEL'!$F$64)),1,IF(ISNUMBER(SEARCH($A9,'06_ITEM_POLE_MODEL'!$G$64)),-1,0)))</f>
        <v/>
      </c>
      <c r="BJ9">
        <f>IF('06_ITEM_POLE_MODEL'!$E$65="ABSOLUTE SEMANTIC",0,IF(ISNUMBER(SEARCH($A9,'06_ITEM_POLE_MODEL'!$F$65)),1,IF(ISNUMBER(SEARCH($A9,'06_ITEM_POLE_MODEL'!$G$65)),-1,0)))</f>
        <v/>
      </c>
      <c r="BK9">
        <f>IF('06_ITEM_POLE_MODEL'!$E$66="ABSOLUTE SEMANTIC",0,IF(ISNUMBER(SEARCH($A9,'06_ITEM_POLE_MODEL'!$F$66)),1,IF(ISNUMBER(SEARCH($A9,'06_ITEM_POLE_MODEL'!$G$66)),-1,0)))</f>
        <v/>
      </c>
      <c r="BL9">
        <f>IF('06_ITEM_POLE_MODEL'!$E$67="ABSOLUTE SEMANTIC",0,IF(ISNUMBER(SEARCH($A9,'06_ITEM_POLE_MODEL'!$F$67)),1,IF(ISNUMBER(SEARCH($A9,'06_ITEM_POLE_MODEL'!$G$67)),-1,0)))</f>
        <v/>
      </c>
      <c r="BM9">
        <f>IF('06_ITEM_POLE_MODEL'!$E$68="ABSOLUTE SEMANTIC",0,IF(ISNUMBER(SEARCH($A9,'06_ITEM_POLE_MODEL'!$F$68)),1,IF(ISNUMBER(SEARCH($A9,'06_ITEM_POLE_MODEL'!$G$68)),-1,0)))</f>
        <v/>
      </c>
      <c r="BN9">
        <f>IF('06_ITEM_POLE_MODEL'!$E$69="ABSOLUTE SEMANTIC",0,IF(ISNUMBER(SEARCH($A9,'06_ITEM_POLE_MODEL'!$F$69)),1,IF(ISNUMBER(SEARCH($A9,'06_ITEM_POLE_MODEL'!$G$69)),-1,0)))</f>
        <v/>
      </c>
      <c r="BO9">
        <f>IF('06_ITEM_POLE_MODEL'!$E$70="ABSOLUTE SEMANTIC",0,IF(ISNUMBER(SEARCH($A9,'06_ITEM_POLE_MODEL'!$F$70)),1,IF(ISNUMBER(SEARCH($A9,'06_ITEM_POLE_MODEL'!$G$70)),-1,0)))</f>
        <v/>
      </c>
      <c r="BP9">
        <f>IF('06_ITEM_POLE_MODEL'!$E$71="ABSOLUTE SEMANTIC",0,IF(ISNUMBER(SEARCH($A9,'06_ITEM_POLE_MODEL'!$F$71)),1,IF(ISNUMBER(SEARCH($A9,'06_ITEM_POLE_MODEL'!$G$71)),-1,0)))</f>
        <v/>
      </c>
      <c r="BQ9">
        <f>IF('06_ITEM_POLE_MODEL'!$E$72="ABSOLUTE SEMANTIC",0,IF(ISNUMBER(SEARCH($A9,'06_ITEM_POLE_MODEL'!$F$72)),1,IF(ISNUMBER(SEARCH($A9,'06_ITEM_POLE_MODEL'!$G$72)),-1,0)))</f>
        <v/>
      </c>
      <c r="BR9">
        <f>IF('06_ITEM_POLE_MODEL'!$E$73="ABSOLUTE SEMANTIC",0,IF(ISNUMBER(SEARCH($A9,'06_ITEM_POLE_MODEL'!$F$73)),1,IF(ISNUMBER(SEARCH($A9,'06_ITEM_POLE_MODEL'!$G$73)),-1,0)))</f>
        <v/>
      </c>
      <c r="BS9">
        <f>IF('06_ITEM_POLE_MODEL'!$E$74="ABSOLUTE SEMANTIC",0,IF(ISNUMBER(SEARCH($A9,'06_ITEM_POLE_MODEL'!$F$74)),1,IF(ISNUMBER(SEARCH($A9,'06_ITEM_POLE_MODEL'!$G$74)),-1,0)))</f>
        <v/>
      </c>
      <c r="BT9">
        <f>IF('06_ITEM_POLE_MODEL'!$E$75="ABSOLUTE SEMANTIC",0,IF(ISNUMBER(SEARCH($A9,'06_ITEM_POLE_MODEL'!$F$75)),1,IF(ISNUMBER(SEARCH($A9,'06_ITEM_POLE_MODEL'!$G$75)),-1,0)))</f>
        <v/>
      </c>
      <c r="BU9">
        <f>IF('06_ITEM_POLE_MODEL'!$E$76="ABSOLUTE SEMANTIC",0,IF(ISNUMBER(SEARCH($A9,'06_ITEM_POLE_MODEL'!$F$76)),1,IF(ISNUMBER(SEARCH($A9,'06_ITEM_POLE_MODEL'!$G$76)),-1,0)))</f>
        <v/>
      </c>
      <c r="BV9">
        <f>IF('06_ITEM_POLE_MODEL'!$E$77="ABSOLUTE SEMANTIC",0,IF(ISNUMBER(SEARCH($A9,'06_ITEM_POLE_MODEL'!$F$77)),1,IF(ISNUMBER(SEARCH($A9,'06_ITEM_POLE_MODEL'!$G$77)),-1,0)))</f>
        <v/>
      </c>
      <c r="BW9">
        <f>IF('06_ITEM_POLE_MODEL'!$E$78="ABSOLUTE SEMANTIC",0,IF(ISNUMBER(SEARCH($A9,'06_ITEM_POLE_MODEL'!$F$78)),1,IF(ISNUMBER(SEARCH($A9,'06_ITEM_POLE_MODEL'!$G$78)),-1,0)))</f>
        <v/>
      </c>
      <c r="BX9">
        <f>IF('06_ITEM_POLE_MODEL'!$E$79="ABSOLUTE SEMANTIC",0,IF(ISNUMBER(SEARCH($A9,'06_ITEM_POLE_MODEL'!$F$79)),1,IF(ISNUMBER(SEARCH($A9,'06_ITEM_POLE_MODEL'!$G$79)),-1,0)))</f>
        <v/>
      </c>
      <c r="BY9">
        <f>IF('06_ITEM_POLE_MODEL'!$E$80="ABSOLUTE SEMANTIC",0,IF(ISNUMBER(SEARCH($A9,'06_ITEM_POLE_MODEL'!$F$80)),1,IF(ISNUMBER(SEARCH($A9,'06_ITEM_POLE_MODEL'!$G$80)),-1,0)))</f>
        <v/>
      </c>
      <c r="BZ9">
        <f>IF('06_ITEM_POLE_MODEL'!$E$81="ABSOLUTE SEMANTIC",0,IF(ISNUMBER(SEARCH($A9,'06_ITEM_POLE_MODEL'!$F$81)),1,IF(ISNUMBER(SEARCH($A9,'06_ITEM_POLE_MODEL'!$G$81)),-1,0)))</f>
        <v/>
      </c>
      <c r="CA9">
        <f>IF('06_ITEM_POLE_MODEL'!$E$82="ABSOLUTE SEMANTIC",0,IF(ISNUMBER(SEARCH($A9,'06_ITEM_POLE_MODEL'!$F$82)),1,IF(ISNUMBER(SEARCH($A9,'06_ITEM_POLE_MODEL'!$G$82)),-1,0)))</f>
        <v/>
      </c>
      <c r="CB9">
        <f>IF('06_ITEM_POLE_MODEL'!$E$83="ABSOLUTE SEMANTIC",0,IF(ISNUMBER(SEARCH($A9,'06_ITEM_POLE_MODEL'!$F$83)),1,IF(ISNUMBER(SEARCH($A9,'06_ITEM_POLE_MODEL'!$G$83)),-1,0)))</f>
        <v/>
      </c>
      <c r="CC9">
        <f>IF('06_ITEM_POLE_MODEL'!$E$84="ABSOLUTE SEMANTIC",0,IF(ISNUMBER(SEARCH($A9,'06_ITEM_POLE_MODEL'!$F$84)),1,IF(ISNUMBER(SEARCH($A9,'06_ITEM_POLE_MODEL'!$G$84)),-1,0)))</f>
        <v/>
      </c>
    </row>
    <row r="10">
      <c r="A10" t="inlineStr">
        <is>
          <t>Orion</t>
        </is>
      </c>
      <c r="B10">
        <f>IF('06_ITEM_POLE_MODEL'!$E$5="ABSOLUTE SEMANTIC",0,IF(ISNUMBER(SEARCH($A10,'06_ITEM_POLE_MODEL'!$F$5)),1,IF(ISNUMBER(SEARCH($A10,'06_ITEM_POLE_MODEL'!$G$5)),-1,0)))</f>
        <v/>
      </c>
      <c r="C10">
        <f>IF('06_ITEM_POLE_MODEL'!$E$6="ABSOLUTE SEMANTIC",0,IF(ISNUMBER(SEARCH($A10,'06_ITEM_POLE_MODEL'!$F$6)),1,IF(ISNUMBER(SEARCH($A10,'06_ITEM_POLE_MODEL'!$G$6)),-1,0)))</f>
        <v/>
      </c>
      <c r="D10">
        <f>IF('06_ITEM_POLE_MODEL'!$E$7="ABSOLUTE SEMANTIC",0,IF(ISNUMBER(SEARCH($A10,'06_ITEM_POLE_MODEL'!$F$7)),1,IF(ISNUMBER(SEARCH($A10,'06_ITEM_POLE_MODEL'!$G$7)),-1,0)))</f>
        <v/>
      </c>
      <c r="E10">
        <f>IF('06_ITEM_POLE_MODEL'!$E$8="ABSOLUTE SEMANTIC",0,IF(ISNUMBER(SEARCH($A10,'06_ITEM_POLE_MODEL'!$F$8)),1,IF(ISNUMBER(SEARCH($A10,'06_ITEM_POLE_MODEL'!$G$8)),-1,0)))</f>
        <v/>
      </c>
      <c r="F10">
        <f>IF('06_ITEM_POLE_MODEL'!$E$9="ABSOLUTE SEMANTIC",0,IF(ISNUMBER(SEARCH($A10,'06_ITEM_POLE_MODEL'!$F$9)),1,IF(ISNUMBER(SEARCH($A10,'06_ITEM_POLE_MODEL'!$G$9)),-1,0)))</f>
        <v/>
      </c>
      <c r="G10">
        <f>IF('06_ITEM_POLE_MODEL'!$E$10="ABSOLUTE SEMANTIC",0,IF(ISNUMBER(SEARCH($A10,'06_ITEM_POLE_MODEL'!$F$10)),1,IF(ISNUMBER(SEARCH($A10,'06_ITEM_POLE_MODEL'!$G$10)),-1,0)))</f>
        <v/>
      </c>
      <c r="H10">
        <f>IF('06_ITEM_POLE_MODEL'!$E$11="ABSOLUTE SEMANTIC",0,IF(ISNUMBER(SEARCH($A10,'06_ITEM_POLE_MODEL'!$F$11)),1,IF(ISNUMBER(SEARCH($A10,'06_ITEM_POLE_MODEL'!$G$11)),-1,0)))</f>
        <v/>
      </c>
      <c r="I10">
        <f>IF('06_ITEM_POLE_MODEL'!$E$12="ABSOLUTE SEMANTIC",0,IF(ISNUMBER(SEARCH($A10,'06_ITEM_POLE_MODEL'!$F$12)),1,IF(ISNUMBER(SEARCH($A10,'06_ITEM_POLE_MODEL'!$G$12)),-1,0)))</f>
        <v/>
      </c>
      <c r="J10">
        <f>IF('06_ITEM_POLE_MODEL'!$E$13="ABSOLUTE SEMANTIC",0,IF(ISNUMBER(SEARCH($A10,'06_ITEM_POLE_MODEL'!$F$13)),1,IF(ISNUMBER(SEARCH($A10,'06_ITEM_POLE_MODEL'!$G$13)),-1,0)))</f>
        <v/>
      </c>
      <c r="K10">
        <f>IF('06_ITEM_POLE_MODEL'!$E$14="ABSOLUTE SEMANTIC",0,IF(ISNUMBER(SEARCH($A10,'06_ITEM_POLE_MODEL'!$F$14)),1,IF(ISNUMBER(SEARCH($A10,'06_ITEM_POLE_MODEL'!$G$14)),-1,0)))</f>
        <v/>
      </c>
      <c r="L10">
        <f>IF('06_ITEM_POLE_MODEL'!$E$15="ABSOLUTE SEMANTIC",0,IF(ISNUMBER(SEARCH($A10,'06_ITEM_POLE_MODEL'!$F$15)),1,IF(ISNUMBER(SEARCH($A10,'06_ITEM_POLE_MODEL'!$G$15)),-1,0)))</f>
        <v/>
      </c>
      <c r="M10">
        <f>IF('06_ITEM_POLE_MODEL'!$E$16="ABSOLUTE SEMANTIC",0,IF(ISNUMBER(SEARCH($A10,'06_ITEM_POLE_MODEL'!$F$16)),1,IF(ISNUMBER(SEARCH($A10,'06_ITEM_POLE_MODEL'!$G$16)),-1,0)))</f>
        <v/>
      </c>
      <c r="N10">
        <f>IF('06_ITEM_POLE_MODEL'!$E$17="ABSOLUTE SEMANTIC",0,IF(ISNUMBER(SEARCH($A10,'06_ITEM_POLE_MODEL'!$F$17)),1,IF(ISNUMBER(SEARCH($A10,'06_ITEM_POLE_MODEL'!$G$17)),-1,0)))</f>
        <v/>
      </c>
      <c r="O10">
        <f>IF('06_ITEM_POLE_MODEL'!$E$18="ABSOLUTE SEMANTIC",0,IF(ISNUMBER(SEARCH($A10,'06_ITEM_POLE_MODEL'!$F$18)),1,IF(ISNUMBER(SEARCH($A10,'06_ITEM_POLE_MODEL'!$G$18)),-1,0)))</f>
        <v/>
      </c>
      <c r="P10">
        <f>IF('06_ITEM_POLE_MODEL'!$E$19="ABSOLUTE SEMANTIC",0,IF(ISNUMBER(SEARCH($A10,'06_ITEM_POLE_MODEL'!$F$19)),1,IF(ISNUMBER(SEARCH($A10,'06_ITEM_POLE_MODEL'!$G$19)),-1,0)))</f>
        <v/>
      </c>
      <c r="Q10">
        <f>IF('06_ITEM_POLE_MODEL'!$E$20="ABSOLUTE SEMANTIC",0,IF(ISNUMBER(SEARCH($A10,'06_ITEM_POLE_MODEL'!$F$20)),1,IF(ISNUMBER(SEARCH($A10,'06_ITEM_POLE_MODEL'!$G$20)),-1,0)))</f>
        <v/>
      </c>
      <c r="R10">
        <f>IF('06_ITEM_POLE_MODEL'!$E$21="ABSOLUTE SEMANTIC",0,IF(ISNUMBER(SEARCH($A10,'06_ITEM_POLE_MODEL'!$F$21)),1,IF(ISNUMBER(SEARCH($A10,'06_ITEM_POLE_MODEL'!$G$21)),-1,0)))</f>
        <v/>
      </c>
      <c r="S10">
        <f>IF('06_ITEM_POLE_MODEL'!$E$22="ABSOLUTE SEMANTIC",0,IF(ISNUMBER(SEARCH($A10,'06_ITEM_POLE_MODEL'!$F$22)),1,IF(ISNUMBER(SEARCH($A10,'06_ITEM_POLE_MODEL'!$G$22)),-1,0)))</f>
        <v/>
      </c>
      <c r="T10">
        <f>IF('06_ITEM_POLE_MODEL'!$E$23="ABSOLUTE SEMANTIC",0,IF(ISNUMBER(SEARCH($A10,'06_ITEM_POLE_MODEL'!$F$23)),1,IF(ISNUMBER(SEARCH($A10,'06_ITEM_POLE_MODEL'!$G$23)),-1,0)))</f>
        <v/>
      </c>
      <c r="U10">
        <f>IF('06_ITEM_POLE_MODEL'!$E$24="ABSOLUTE SEMANTIC",0,IF(ISNUMBER(SEARCH($A10,'06_ITEM_POLE_MODEL'!$F$24)),1,IF(ISNUMBER(SEARCH($A10,'06_ITEM_POLE_MODEL'!$G$24)),-1,0)))</f>
        <v/>
      </c>
      <c r="V10">
        <f>IF('06_ITEM_POLE_MODEL'!$E$25="ABSOLUTE SEMANTIC",0,IF(ISNUMBER(SEARCH($A10,'06_ITEM_POLE_MODEL'!$F$25)),1,IF(ISNUMBER(SEARCH($A10,'06_ITEM_POLE_MODEL'!$G$25)),-1,0)))</f>
        <v/>
      </c>
      <c r="W10">
        <f>IF('06_ITEM_POLE_MODEL'!$E$26="ABSOLUTE SEMANTIC",0,IF(ISNUMBER(SEARCH($A10,'06_ITEM_POLE_MODEL'!$F$26)),1,IF(ISNUMBER(SEARCH($A10,'06_ITEM_POLE_MODEL'!$G$26)),-1,0)))</f>
        <v/>
      </c>
      <c r="X10">
        <f>IF('06_ITEM_POLE_MODEL'!$E$27="ABSOLUTE SEMANTIC",0,IF(ISNUMBER(SEARCH($A10,'06_ITEM_POLE_MODEL'!$F$27)),1,IF(ISNUMBER(SEARCH($A10,'06_ITEM_POLE_MODEL'!$G$27)),-1,0)))</f>
        <v/>
      </c>
      <c r="Y10">
        <f>IF('06_ITEM_POLE_MODEL'!$E$28="ABSOLUTE SEMANTIC",0,IF(ISNUMBER(SEARCH($A10,'06_ITEM_POLE_MODEL'!$F$28)),1,IF(ISNUMBER(SEARCH($A10,'06_ITEM_POLE_MODEL'!$G$28)),-1,0)))</f>
        <v/>
      </c>
      <c r="Z10">
        <f>IF('06_ITEM_POLE_MODEL'!$E$29="ABSOLUTE SEMANTIC",0,IF(ISNUMBER(SEARCH($A10,'06_ITEM_POLE_MODEL'!$F$29)),1,IF(ISNUMBER(SEARCH($A10,'06_ITEM_POLE_MODEL'!$G$29)),-1,0)))</f>
        <v/>
      </c>
      <c r="AA10">
        <f>IF('06_ITEM_POLE_MODEL'!$E$30="ABSOLUTE SEMANTIC",0,IF(ISNUMBER(SEARCH($A10,'06_ITEM_POLE_MODEL'!$F$30)),1,IF(ISNUMBER(SEARCH($A10,'06_ITEM_POLE_MODEL'!$G$30)),-1,0)))</f>
        <v/>
      </c>
      <c r="AB10">
        <f>IF('06_ITEM_POLE_MODEL'!$E$31="ABSOLUTE SEMANTIC",0,IF(ISNUMBER(SEARCH($A10,'06_ITEM_POLE_MODEL'!$F$31)),1,IF(ISNUMBER(SEARCH($A10,'06_ITEM_POLE_MODEL'!$G$31)),-1,0)))</f>
        <v/>
      </c>
      <c r="AC10">
        <f>IF('06_ITEM_POLE_MODEL'!$E$32="ABSOLUTE SEMANTIC",0,IF(ISNUMBER(SEARCH($A10,'06_ITEM_POLE_MODEL'!$F$32)),1,IF(ISNUMBER(SEARCH($A10,'06_ITEM_POLE_MODEL'!$G$32)),-1,0)))</f>
        <v/>
      </c>
      <c r="AD10">
        <f>IF('06_ITEM_POLE_MODEL'!$E$33="ABSOLUTE SEMANTIC",0,IF(ISNUMBER(SEARCH($A10,'06_ITEM_POLE_MODEL'!$F$33)),1,IF(ISNUMBER(SEARCH($A10,'06_ITEM_POLE_MODEL'!$G$33)),-1,0)))</f>
        <v/>
      </c>
      <c r="AE10">
        <f>IF('06_ITEM_POLE_MODEL'!$E$34="ABSOLUTE SEMANTIC",0,IF(ISNUMBER(SEARCH($A10,'06_ITEM_POLE_MODEL'!$F$34)),1,IF(ISNUMBER(SEARCH($A10,'06_ITEM_POLE_MODEL'!$G$34)),-1,0)))</f>
        <v/>
      </c>
      <c r="AF10">
        <f>IF('06_ITEM_POLE_MODEL'!$E$35="ABSOLUTE SEMANTIC",0,IF(ISNUMBER(SEARCH($A10,'06_ITEM_POLE_MODEL'!$F$35)),1,IF(ISNUMBER(SEARCH($A10,'06_ITEM_POLE_MODEL'!$G$35)),-1,0)))</f>
        <v/>
      </c>
      <c r="AG10">
        <f>IF('06_ITEM_POLE_MODEL'!$E$36="ABSOLUTE SEMANTIC",0,IF(ISNUMBER(SEARCH($A10,'06_ITEM_POLE_MODEL'!$F$36)),1,IF(ISNUMBER(SEARCH($A10,'06_ITEM_POLE_MODEL'!$G$36)),-1,0)))</f>
        <v/>
      </c>
      <c r="AH10">
        <f>IF('06_ITEM_POLE_MODEL'!$E$37="ABSOLUTE SEMANTIC",0,IF(ISNUMBER(SEARCH($A10,'06_ITEM_POLE_MODEL'!$F$37)),1,IF(ISNUMBER(SEARCH($A10,'06_ITEM_POLE_MODEL'!$G$37)),-1,0)))</f>
        <v/>
      </c>
      <c r="AI10">
        <f>IF('06_ITEM_POLE_MODEL'!$E$38="ABSOLUTE SEMANTIC",0,IF(ISNUMBER(SEARCH($A10,'06_ITEM_POLE_MODEL'!$F$38)),1,IF(ISNUMBER(SEARCH($A10,'06_ITEM_POLE_MODEL'!$G$38)),-1,0)))</f>
        <v/>
      </c>
      <c r="AJ10">
        <f>IF('06_ITEM_POLE_MODEL'!$E$39="ABSOLUTE SEMANTIC",0,IF(ISNUMBER(SEARCH($A10,'06_ITEM_POLE_MODEL'!$F$39)),1,IF(ISNUMBER(SEARCH($A10,'06_ITEM_POLE_MODEL'!$G$39)),-1,0)))</f>
        <v/>
      </c>
      <c r="AK10">
        <f>IF('06_ITEM_POLE_MODEL'!$E$40="ABSOLUTE SEMANTIC",0,IF(ISNUMBER(SEARCH($A10,'06_ITEM_POLE_MODEL'!$F$40)),1,IF(ISNUMBER(SEARCH($A10,'06_ITEM_POLE_MODEL'!$G$40)),-1,0)))</f>
        <v/>
      </c>
      <c r="AL10">
        <f>IF('06_ITEM_POLE_MODEL'!$E$41="ABSOLUTE SEMANTIC",0,IF(ISNUMBER(SEARCH($A10,'06_ITEM_POLE_MODEL'!$F$41)),1,IF(ISNUMBER(SEARCH($A10,'06_ITEM_POLE_MODEL'!$G$41)),-1,0)))</f>
        <v/>
      </c>
      <c r="AM10">
        <f>IF('06_ITEM_POLE_MODEL'!$E$42="ABSOLUTE SEMANTIC",0,IF(ISNUMBER(SEARCH($A10,'06_ITEM_POLE_MODEL'!$F$42)),1,IF(ISNUMBER(SEARCH($A10,'06_ITEM_POLE_MODEL'!$G$42)),-1,0)))</f>
        <v/>
      </c>
      <c r="AN10">
        <f>IF('06_ITEM_POLE_MODEL'!$E$43="ABSOLUTE SEMANTIC",0,IF(ISNUMBER(SEARCH($A10,'06_ITEM_POLE_MODEL'!$F$43)),1,IF(ISNUMBER(SEARCH($A10,'06_ITEM_POLE_MODEL'!$G$43)),-1,0)))</f>
        <v/>
      </c>
      <c r="AO10">
        <f>IF('06_ITEM_POLE_MODEL'!$E$44="ABSOLUTE SEMANTIC",0,IF(ISNUMBER(SEARCH($A10,'06_ITEM_POLE_MODEL'!$F$44)),1,IF(ISNUMBER(SEARCH($A10,'06_ITEM_POLE_MODEL'!$G$44)),-1,0)))</f>
        <v/>
      </c>
      <c r="AP10">
        <f>IF('06_ITEM_POLE_MODEL'!$E$45="ABSOLUTE SEMANTIC",0,IF(ISNUMBER(SEARCH($A10,'06_ITEM_POLE_MODEL'!$F$45)),1,IF(ISNUMBER(SEARCH($A10,'06_ITEM_POLE_MODEL'!$G$45)),-1,0)))</f>
        <v/>
      </c>
      <c r="AQ10">
        <f>IF('06_ITEM_POLE_MODEL'!$E$46="ABSOLUTE SEMANTIC",0,IF(ISNUMBER(SEARCH($A10,'06_ITEM_POLE_MODEL'!$F$46)),1,IF(ISNUMBER(SEARCH($A10,'06_ITEM_POLE_MODEL'!$G$46)),-1,0)))</f>
        <v/>
      </c>
      <c r="AR10">
        <f>IF('06_ITEM_POLE_MODEL'!$E$47="ABSOLUTE SEMANTIC",0,IF(ISNUMBER(SEARCH($A10,'06_ITEM_POLE_MODEL'!$F$47)),1,IF(ISNUMBER(SEARCH($A10,'06_ITEM_POLE_MODEL'!$G$47)),-1,0)))</f>
        <v/>
      </c>
      <c r="AS10">
        <f>IF('06_ITEM_POLE_MODEL'!$E$48="ABSOLUTE SEMANTIC",0,IF(ISNUMBER(SEARCH($A10,'06_ITEM_POLE_MODEL'!$F$48)),1,IF(ISNUMBER(SEARCH($A10,'06_ITEM_POLE_MODEL'!$G$48)),-1,0)))</f>
        <v/>
      </c>
      <c r="AT10">
        <f>IF('06_ITEM_POLE_MODEL'!$E$49="ABSOLUTE SEMANTIC",0,IF(ISNUMBER(SEARCH($A10,'06_ITEM_POLE_MODEL'!$F$49)),1,IF(ISNUMBER(SEARCH($A10,'06_ITEM_POLE_MODEL'!$G$49)),-1,0)))</f>
        <v/>
      </c>
      <c r="AU10">
        <f>IF('06_ITEM_POLE_MODEL'!$E$50="ABSOLUTE SEMANTIC",0,IF(ISNUMBER(SEARCH($A10,'06_ITEM_POLE_MODEL'!$F$50)),1,IF(ISNUMBER(SEARCH($A10,'06_ITEM_POLE_MODEL'!$G$50)),-1,0)))</f>
        <v/>
      </c>
      <c r="AV10">
        <f>IF('06_ITEM_POLE_MODEL'!$E$51="ABSOLUTE SEMANTIC",0,IF(ISNUMBER(SEARCH($A10,'06_ITEM_POLE_MODEL'!$F$51)),1,IF(ISNUMBER(SEARCH($A10,'06_ITEM_POLE_MODEL'!$G$51)),-1,0)))</f>
        <v/>
      </c>
      <c r="AW10">
        <f>IF('06_ITEM_POLE_MODEL'!$E$52="ABSOLUTE SEMANTIC",0,IF(ISNUMBER(SEARCH($A10,'06_ITEM_POLE_MODEL'!$F$52)),1,IF(ISNUMBER(SEARCH($A10,'06_ITEM_POLE_MODEL'!$G$52)),-1,0)))</f>
        <v/>
      </c>
      <c r="AX10">
        <f>IF('06_ITEM_POLE_MODEL'!$E$53="ABSOLUTE SEMANTIC",0,IF(ISNUMBER(SEARCH($A10,'06_ITEM_POLE_MODEL'!$F$53)),1,IF(ISNUMBER(SEARCH($A10,'06_ITEM_POLE_MODEL'!$G$53)),-1,0)))</f>
        <v/>
      </c>
      <c r="AY10">
        <f>IF('06_ITEM_POLE_MODEL'!$E$54="ABSOLUTE SEMANTIC",0,IF(ISNUMBER(SEARCH($A10,'06_ITEM_POLE_MODEL'!$F$54)),1,IF(ISNUMBER(SEARCH($A10,'06_ITEM_POLE_MODEL'!$G$54)),-1,0)))</f>
        <v/>
      </c>
      <c r="AZ10">
        <f>IF('06_ITEM_POLE_MODEL'!$E$55="ABSOLUTE SEMANTIC",0,IF(ISNUMBER(SEARCH($A10,'06_ITEM_POLE_MODEL'!$F$55)),1,IF(ISNUMBER(SEARCH($A10,'06_ITEM_POLE_MODEL'!$G$55)),-1,0)))</f>
        <v/>
      </c>
      <c r="BA10">
        <f>IF('06_ITEM_POLE_MODEL'!$E$56="ABSOLUTE SEMANTIC",0,IF(ISNUMBER(SEARCH($A10,'06_ITEM_POLE_MODEL'!$F$56)),1,IF(ISNUMBER(SEARCH($A10,'06_ITEM_POLE_MODEL'!$G$56)),-1,0)))</f>
        <v/>
      </c>
      <c r="BB10">
        <f>IF('06_ITEM_POLE_MODEL'!$E$57="ABSOLUTE SEMANTIC",0,IF(ISNUMBER(SEARCH($A10,'06_ITEM_POLE_MODEL'!$F$57)),1,IF(ISNUMBER(SEARCH($A10,'06_ITEM_POLE_MODEL'!$G$57)),-1,0)))</f>
        <v/>
      </c>
      <c r="BC10">
        <f>IF('06_ITEM_POLE_MODEL'!$E$58="ABSOLUTE SEMANTIC",0,IF(ISNUMBER(SEARCH($A10,'06_ITEM_POLE_MODEL'!$F$58)),1,IF(ISNUMBER(SEARCH($A10,'06_ITEM_POLE_MODEL'!$G$58)),-1,0)))</f>
        <v/>
      </c>
      <c r="BD10">
        <f>IF('06_ITEM_POLE_MODEL'!$E$59="ABSOLUTE SEMANTIC",0,IF(ISNUMBER(SEARCH($A10,'06_ITEM_POLE_MODEL'!$F$59)),1,IF(ISNUMBER(SEARCH($A10,'06_ITEM_POLE_MODEL'!$G$59)),-1,0)))</f>
        <v/>
      </c>
      <c r="BE10">
        <f>IF('06_ITEM_POLE_MODEL'!$E$60="ABSOLUTE SEMANTIC",0,IF(ISNUMBER(SEARCH($A10,'06_ITEM_POLE_MODEL'!$F$60)),1,IF(ISNUMBER(SEARCH($A10,'06_ITEM_POLE_MODEL'!$G$60)),-1,0)))</f>
        <v/>
      </c>
      <c r="BF10">
        <f>IF('06_ITEM_POLE_MODEL'!$E$61="ABSOLUTE SEMANTIC",0,IF(ISNUMBER(SEARCH($A10,'06_ITEM_POLE_MODEL'!$F$61)),1,IF(ISNUMBER(SEARCH($A10,'06_ITEM_POLE_MODEL'!$G$61)),-1,0)))</f>
        <v/>
      </c>
      <c r="BG10">
        <f>IF('06_ITEM_POLE_MODEL'!$E$62="ABSOLUTE SEMANTIC",0,IF(ISNUMBER(SEARCH($A10,'06_ITEM_POLE_MODEL'!$F$62)),1,IF(ISNUMBER(SEARCH($A10,'06_ITEM_POLE_MODEL'!$G$62)),-1,0)))</f>
        <v/>
      </c>
      <c r="BH10">
        <f>IF('06_ITEM_POLE_MODEL'!$E$63="ABSOLUTE SEMANTIC",0,IF(ISNUMBER(SEARCH($A10,'06_ITEM_POLE_MODEL'!$F$63)),1,IF(ISNUMBER(SEARCH($A10,'06_ITEM_POLE_MODEL'!$G$63)),-1,0)))</f>
        <v/>
      </c>
      <c r="BI10">
        <f>IF('06_ITEM_POLE_MODEL'!$E$64="ABSOLUTE SEMANTIC",0,IF(ISNUMBER(SEARCH($A10,'06_ITEM_POLE_MODEL'!$F$64)),1,IF(ISNUMBER(SEARCH($A10,'06_ITEM_POLE_MODEL'!$G$64)),-1,0)))</f>
        <v/>
      </c>
      <c r="BJ10">
        <f>IF('06_ITEM_POLE_MODEL'!$E$65="ABSOLUTE SEMANTIC",0,IF(ISNUMBER(SEARCH($A10,'06_ITEM_POLE_MODEL'!$F$65)),1,IF(ISNUMBER(SEARCH($A10,'06_ITEM_POLE_MODEL'!$G$65)),-1,0)))</f>
        <v/>
      </c>
      <c r="BK10">
        <f>IF('06_ITEM_POLE_MODEL'!$E$66="ABSOLUTE SEMANTIC",0,IF(ISNUMBER(SEARCH($A10,'06_ITEM_POLE_MODEL'!$F$66)),1,IF(ISNUMBER(SEARCH($A10,'06_ITEM_POLE_MODEL'!$G$66)),-1,0)))</f>
        <v/>
      </c>
      <c r="BL10">
        <f>IF('06_ITEM_POLE_MODEL'!$E$67="ABSOLUTE SEMANTIC",0,IF(ISNUMBER(SEARCH($A10,'06_ITEM_POLE_MODEL'!$F$67)),1,IF(ISNUMBER(SEARCH($A10,'06_ITEM_POLE_MODEL'!$G$67)),-1,0)))</f>
        <v/>
      </c>
      <c r="BM10">
        <f>IF('06_ITEM_POLE_MODEL'!$E$68="ABSOLUTE SEMANTIC",0,IF(ISNUMBER(SEARCH($A10,'06_ITEM_POLE_MODEL'!$F$68)),1,IF(ISNUMBER(SEARCH($A10,'06_ITEM_POLE_MODEL'!$G$68)),-1,0)))</f>
        <v/>
      </c>
      <c r="BN10">
        <f>IF('06_ITEM_POLE_MODEL'!$E$69="ABSOLUTE SEMANTIC",0,IF(ISNUMBER(SEARCH($A10,'06_ITEM_POLE_MODEL'!$F$69)),1,IF(ISNUMBER(SEARCH($A10,'06_ITEM_POLE_MODEL'!$G$69)),-1,0)))</f>
        <v/>
      </c>
      <c r="BO10">
        <f>IF('06_ITEM_POLE_MODEL'!$E$70="ABSOLUTE SEMANTIC",0,IF(ISNUMBER(SEARCH($A10,'06_ITEM_POLE_MODEL'!$F$70)),1,IF(ISNUMBER(SEARCH($A10,'06_ITEM_POLE_MODEL'!$G$70)),-1,0)))</f>
        <v/>
      </c>
      <c r="BP10">
        <f>IF('06_ITEM_POLE_MODEL'!$E$71="ABSOLUTE SEMANTIC",0,IF(ISNUMBER(SEARCH($A10,'06_ITEM_POLE_MODEL'!$F$71)),1,IF(ISNUMBER(SEARCH($A10,'06_ITEM_POLE_MODEL'!$G$71)),-1,0)))</f>
        <v/>
      </c>
      <c r="BQ10">
        <f>IF('06_ITEM_POLE_MODEL'!$E$72="ABSOLUTE SEMANTIC",0,IF(ISNUMBER(SEARCH($A10,'06_ITEM_POLE_MODEL'!$F$72)),1,IF(ISNUMBER(SEARCH($A10,'06_ITEM_POLE_MODEL'!$G$72)),-1,0)))</f>
        <v/>
      </c>
      <c r="BR10">
        <f>IF('06_ITEM_POLE_MODEL'!$E$73="ABSOLUTE SEMANTIC",0,IF(ISNUMBER(SEARCH($A10,'06_ITEM_POLE_MODEL'!$F$73)),1,IF(ISNUMBER(SEARCH($A10,'06_ITEM_POLE_MODEL'!$G$73)),-1,0)))</f>
        <v/>
      </c>
      <c r="BS10">
        <f>IF('06_ITEM_POLE_MODEL'!$E$74="ABSOLUTE SEMANTIC",0,IF(ISNUMBER(SEARCH($A10,'06_ITEM_POLE_MODEL'!$F$74)),1,IF(ISNUMBER(SEARCH($A10,'06_ITEM_POLE_MODEL'!$G$74)),-1,0)))</f>
        <v/>
      </c>
      <c r="BT10">
        <f>IF('06_ITEM_POLE_MODEL'!$E$75="ABSOLUTE SEMANTIC",0,IF(ISNUMBER(SEARCH($A10,'06_ITEM_POLE_MODEL'!$F$75)),1,IF(ISNUMBER(SEARCH($A10,'06_ITEM_POLE_MODEL'!$G$75)),-1,0)))</f>
        <v/>
      </c>
      <c r="BU10">
        <f>IF('06_ITEM_POLE_MODEL'!$E$76="ABSOLUTE SEMANTIC",0,IF(ISNUMBER(SEARCH($A10,'06_ITEM_POLE_MODEL'!$F$76)),1,IF(ISNUMBER(SEARCH($A10,'06_ITEM_POLE_MODEL'!$G$76)),-1,0)))</f>
        <v/>
      </c>
      <c r="BV10">
        <f>IF('06_ITEM_POLE_MODEL'!$E$77="ABSOLUTE SEMANTIC",0,IF(ISNUMBER(SEARCH($A10,'06_ITEM_POLE_MODEL'!$F$77)),1,IF(ISNUMBER(SEARCH($A10,'06_ITEM_POLE_MODEL'!$G$77)),-1,0)))</f>
        <v/>
      </c>
      <c r="BW10">
        <f>IF('06_ITEM_POLE_MODEL'!$E$78="ABSOLUTE SEMANTIC",0,IF(ISNUMBER(SEARCH($A10,'06_ITEM_POLE_MODEL'!$F$78)),1,IF(ISNUMBER(SEARCH($A10,'06_ITEM_POLE_MODEL'!$G$78)),-1,0)))</f>
        <v/>
      </c>
      <c r="BX10">
        <f>IF('06_ITEM_POLE_MODEL'!$E$79="ABSOLUTE SEMANTIC",0,IF(ISNUMBER(SEARCH($A10,'06_ITEM_POLE_MODEL'!$F$79)),1,IF(ISNUMBER(SEARCH($A10,'06_ITEM_POLE_MODEL'!$G$79)),-1,0)))</f>
        <v/>
      </c>
      <c r="BY10">
        <f>IF('06_ITEM_POLE_MODEL'!$E$80="ABSOLUTE SEMANTIC",0,IF(ISNUMBER(SEARCH($A10,'06_ITEM_POLE_MODEL'!$F$80)),1,IF(ISNUMBER(SEARCH($A10,'06_ITEM_POLE_MODEL'!$G$80)),-1,0)))</f>
        <v/>
      </c>
      <c r="BZ10">
        <f>IF('06_ITEM_POLE_MODEL'!$E$81="ABSOLUTE SEMANTIC",0,IF(ISNUMBER(SEARCH($A10,'06_ITEM_POLE_MODEL'!$F$81)),1,IF(ISNUMBER(SEARCH($A10,'06_ITEM_POLE_MODEL'!$G$81)),-1,0)))</f>
        <v/>
      </c>
      <c r="CA10">
        <f>IF('06_ITEM_POLE_MODEL'!$E$82="ABSOLUTE SEMANTIC",0,IF(ISNUMBER(SEARCH($A10,'06_ITEM_POLE_MODEL'!$F$82)),1,IF(ISNUMBER(SEARCH($A10,'06_ITEM_POLE_MODEL'!$G$82)),-1,0)))</f>
        <v/>
      </c>
      <c r="CB10">
        <f>IF('06_ITEM_POLE_MODEL'!$E$83="ABSOLUTE SEMANTIC",0,IF(ISNUMBER(SEARCH($A10,'06_ITEM_POLE_MODEL'!$F$83)),1,IF(ISNUMBER(SEARCH($A10,'06_ITEM_POLE_MODEL'!$G$83)),-1,0)))</f>
        <v/>
      </c>
      <c r="CC10">
        <f>IF('06_ITEM_POLE_MODEL'!$E$84="ABSOLUTE SEMANTIC",0,IF(ISNUMBER(SEARCH($A10,'06_ITEM_POLE_MODEL'!$F$84)),1,IF(ISNUMBER(SEARCH($A10,'06_ITEM_POLE_MODEL'!$G$84)),-1,0)))</f>
        <v/>
      </c>
    </row>
    <row r="11">
      <c r="A11" t="inlineStr">
        <is>
          <t>Mintakan</t>
        </is>
      </c>
      <c r="B11">
        <f>IF('06_ITEM_POLE_MODEL'!$E$5="ABSOLUTE SEMANTIC",0,IF(ISNUMBER(SEARCH($A11,'06_ITEM_POLE_MODEL'!$F$5)),1,IF(ISNUMBER(SEARCH($A11,'06_ITEM_POLE_MODEL'!$G$5)),-1,0)))</f>
        <v/>
      </c>
      <c r="C11">
        <f>IF('06_ITEM_POLE_MODEL'!$E$6="ABSOLUTE SEMANTIC",0,IF(ISNUMBER(SEARCH($A11,'06_ITEM_POLE_MODEL'!$F$6)),1,IF(ISNUMBER(SEARCH($A11,'06_ITEM_POLE_MODEL'!$G$6)),-1,0)))</f>
        <v/>
      </c>
      <c r="D11">
        <f>IF('06_ITEM_POLE_MODEL'!$E$7="ABSOLUTE SEMANTIC",0,IF(ISNUMBER(SEARCH($A11,'06_ITEM_POLE_MODEL'!$F$7)),1,IF(ISNUMBER(SEARCH($A11,'06_ITEM_POLE_MODEL'!$G$7)),-1,0)))</f>
        <v/>
      </c>
      <c r="E11">
        <f>IF('06_ITEM_POLE_MODEL'!$E$8="ABSOLUTE SEMANTIC",0,IF(ISNUMBER(SEARCH($A11,'06_ITEM_POLE_MODEL'!$F$8)),1,IF(ISNUMBER(SEARCH($A11,'06_ITEM_POLE_MODEL'!$G$8)),-1,0)))</f>
        <v/>
      </c>
      <c r="F11">
        <f>IF('06_ITEM_POLE_MODEL'!$E$9="ABSOLUTE SEMANTIC",0,IF(ISNUMBER(SEARCH($A11,'06_ITEM_POLE_MODEL'!$F$9)),1,IF(ISNUMBER(SEARCH($A11,'06_ITEM_POLE_MODEL'!$G$9)),-1,0)))</f>
        <v/>
      </c>
      <c r="G11">
        <f>IF('06_ITEM_POLE_MODEL'!$E$10="ABSOLUTE SEMANTIC",0,IF(ISNUMBER(SEARCH($A11,'06_ITEM_POLE_MODEL'!$F$10)),1,IF(ISNUMBER(SEARCH($A11,'06_ITEM_POLE_MODEL'!$G$10)),-1,0)))</f>
        <v/>
      </c>
      <c r="H11">
        <f>IF('06_ITEM_POLE_MODEL'!$E$11="ABSOLUTE SEMANTIC",0,IF(ISNUMBER(SEARCH($A11,'06_ITEM_POLE_MODEL'!$F$11)),1,IF(ISNUMBER(SEARCH($A11,'06_ITEM_POLE_MODEL'!$G$11)),-1,0)))</f>
        <v/>
      </c>
      <c r="I11">
        <f>IF('06_ITEM_POLE_MODEL'!$E$12="ABSOLUTE SEMANTIC",0,IF(ISNUMBER(SEARCH($A11,'06_ITEM_POLE_MODEL'!$F$12)),1,IF(ISNUMBER(SEARCH($A11,'06_ITEM_POLE_MODEL'!$G$12)),-1,0)))</f>
        <v/>
      </c>
      <c r="J11">
        <f>IF('06_ITEM_POLE_MODEL'!$E$13="ABSOLUTE SEMANTIC",0,IF(ISNUMBER(SEARCH($A11,'06_ITEM_POLE_MODEL'!$F$13)),1,IF(ISNUMBER(SEARCH($A11,'06_ITEM_POLE_MODEL'!$G$13)),-1,0)))</f>
        <v/>
      </c>
      <c r="K11">
        <f>IF('06_ITEM_POLE_MODEL'!$E$14="ABSOLUTE SEMANTIC",0,IF(ISNUMBER(SEARCH($A11,'06_ITEM_POLE_MODEL'!$F$14)),1,IF(ISNUMBER(SEARCH($A11,'06_ITEM_POLE_MODEL'!$G$14)),-1,0)))</f>
        <v/>
      </c>
      <c r="L11">
        <f>IF('06_ITEM_POLE_MODEL'!$E$15="ABSOLUTE SEMANTIC",0,IF(ISNUMBER(SEARCH($A11,'06_ITEM_POLE_MODEL'!$F$15)),1,IF(ISNUMBER(SEARCH($A11,'06_ITEM_POLE_MODEL'!$G$15)),-1,0)))</f>
        <v/>
      </c>
      <c r="M11">
        <f>IF('06_ITEM_POLE_MODEL'!$E$16="ABSOLUTE SEMANTIC",0,IF(ISNUMBER(SEARCH($A11,'06_ITEM_POLE_MODEL'!$F$16)),1,IF(ISNUMBER(SEARCH($A11,'06_ITEM_POLE_MODEL'!$G$16)),-1,0)))</f>
        <v/>
      </c>
      <c r="N11">
        <f>IF('06_ITEM_POLE_MODEL'!$E$17="ABSOLUTE SEMANTIC",0,IF(ISNUMBER(SEARCH($A11,'06_ITEM_POLE_MODEL'!$F$17)),1,IF(ISNUMBER(SEARCH($A11,'06_ITEM_POLE_MODEL'!$G$17)),-1,0)))</f>
        <v/>
      </c>
      <c r="O11">
        <f>IF('06_ITEM_POLE_MODEL'!$E$18="ABSOLUTE SEMANTIC",0,IF(ISNUMBER(SEARCH($A11,'06_ITEM_POLE_MODEL'!$F$18)),1,IF(ISNUMBER(SEARCH($A11,'06_ITEM_POLE_MODEL'!$G$18)),-1,0)))</f>
        <v/>
      </c>
      <c r="P11">
        <f>IF('06_ITEM_POLE_MODEL'!$E$19="ABSOLUTE SEMANTIC",0,IF(ISNUMBER(SEARCH($A11,'06_ITEM_POLE_MODEL'!$F$19)),1,IF(ISNUMBER(SEARCH($A11,'06_ITEM_POLE_MODEL'!$G$19)),-1,0)))</f>
        <v/>
      </c>
      <c r="Q11">
        <f>IF('06_ITEM_POLE_MODEL'!$E$20="ABSOLUTE SEMANTIC",0,IF(ISNUMBER(SEARCH($A11,'06_ITEM_POLE_MODEL'!$F$20)),1,IF(ISNUMBER(SEARCH($A11,'06_ITEM_POLE_MODEL'!$G$20)),-1,0)))</f>
        <v/>
      </c>
      <c r="R11">
        <f>IF('06_ITEM_POLE_MODEL'!$E$21="ABSOLUTE SEMANTIC",0,IF(ISNUMBER(SEARCH($A11,'06_ITEM_POLE_MODEL'!$F$21)),1,IF(ISNUMBER(SEARCH($A11,'06_ITEM_POLE_MODEL'!$G$21)),-1,0)))</f>
        <v/>
      </c>
      <c r="S11">
        <f>IF('06_ITEM_POLE_MODEL'!$E$22="ABSOLUTE SEMANTIC",0,IF(ISNUMBER(SEARCH($A11,'06_ITEM_POLE_MODEL'!$F$22)),1,IF(ISNUMBER(SEARCH($A11,'06_ITEM_POLE_MODEL'!$G$22)),-1,0)))</f>
        <v/>
      </c>
      <c r="T11">
        <f>IF('06_ITEM_POLE_MODEL'!$E$23="ABSOLUTE SEMANTIC",0,IF(ISNUMBER(SEARCH($A11,'06_ITEM_POLE_MODEL'!$F$23)),1,IF(ISNUMBER(SEARCH($A11,'06_ITEM_POLE_MODEL'!$G$23)),-1,0)))</f>
        <v/>
      </c>
      <c r="U11">
        <f>IF('06_ITEM_POLE_MODEL'!$E$24="ABSOLUTE SEMANTIC",0,IF(ISNUMBER(SEARCH($A11,'06_ITEM_POLE_MODEL'!$F$24)),1,IF(ISNUMBER(SEARCH($A11,'06_ITEM_POLE_MODEL'!$G$24)),-1,0)))</f>
        <v/>
      </c>
      <c r="V11">
        <f>IF('06_ITEM_POLE_MODEL'!$E$25="ABSOLUTE SEMANTIC",0,IF(ISNUMBER(SEARCH($A11,'06_ITEM_POLE_MODEL'!$F$25)),1,IF(ISNUMBER(SEARCH($A11,'06_ITEM_POLE_MODEL'!$G$25)),-1,0)))</f>
        <v/>
      </c>
      <c r="W11">
        <f>IF('06_ITEM_POLE_MODEL'!$E$26="ABSOLUTE SEMANTIC",0,IF(ISNUMBER(SEARCH($A11,'06_ITEM_POLE_MODEL'!$F$26)),1,IF(ISNUMBER(SEARCH($A11,'06_ITEM_POLE_MODEL'!$G$26)),-1,0)))</f>
        <v/>
      </c>
      <c r="X11">
        <f>IF('06_ITEM_POLE_MODEL'!$E$27="ABSOLUTE SEMANTIC",0,IF(ISNUMBER(SEARCH($A11,'06_ITEM_POLE_MODEL'!$F$27)),1,IF(ISNUMBER(SEARCH($A11,'06_ITEM_POLE_MODEL'!$G$27)),-1,0)))</f>
        <v/>
      </c>
      <c r="Y11">
        <f>IF('06_ITEM_POLE_MODEL'!$E$28="ABSOLUTE SEMANTIC",0,IF(ISNUMBER(SEARCH($A11,'06_ITEM_POLE_MODEL'!$F$28)),1,IF(ISNUMBER(SEARCH($A11,'06_ITEM_POLE_MODEL'!$G$28)),-1,0)))</f>
        <v/>
      </c>
      <c r="Z11">
        <f>IF('06_ITEM_POLE_MODEL'!$E$29="ABSOLUTE SEMANTIC",0,IF(ISNUMBER(SEARCH($A11,'06_ITEM_POLE_MODEL'!$F$29)),1,IF(ISNUMBER(SEARCH($A11,'06_ITEM_POLE_MODEL'!$G$29)),-1,0)))</f>
        <v/>
      </c>
      <c r="AA11">
        <f>IF('06_ITEM_POLE_MODEL'!$E$30="ABSOLUTE SEMANTIC",0,IF(ISNUMBER(SEARCH($A11,'06_ITEM_POLE_MODEL'!$F$30)),1,IF(ISNUMBER(SEARCH($A11,'06_ITEM_POLE_MODEL'!$G$30)),-1,0)))</f>
        <v/>
      </c>
      <c r="AB11">
        <f>IF('06_ITEM_POLE_MODEL'!$E$31="ABSOLUTE SEMANTIC",0,IF(ISNUMBER(SEARCH($A11,'06_ITEM_POLE_MODEL'!$F$31)),1,IF(ISNUMBER(SEARCH($A11,'06_ITEM_POLE_MODEL'!$G$31)),-1,0)))</f>
        <v/>
      </c>
      <c r="AC11">
        <f>IF('06_ITEM_POLE_MODEL'!$E$32="ABSOLUTE SEMANTIC",0,IF(ISNUMBER(SEARCH($A11,'06_ITEM_POLE_MODEL'!$F$32)),1,IF(ISNUMBER(SEARCH($A11,'06_ITEM_POLE_MODEL'!$G$32)),-1,0)))</f>
        <v/>
      </c>
      <c r="AD11">
        <f>IF('06_ITEM_POLE_MODEL'!$E$33="ABSOLUTE SEMANTIC",0,IF(ISNUMBER(SEARCH($A11,'06_ITEM_POLE_MODEL'!$F$33)),1,IF(ISNUMBER(SEARCH($A11,'06_ITEM_POLE_MODEL'!$G$33)),-1,0)))</f>
        <v/>
      </c>
      <c r="AE11">
        <f>IF('06_ITEM_POLE_MODEL'!$E$34="ABSOLUTE SEMANTIC",0,IF(ISNUMBER(SEARCH($A11,'06_ITEM_POLE_MODEL'!$F$34)),1,IF(ISNUMBER(SEARCH($A11,'06_ITEM_POLE_MODEL'!$G$34)),-1,0)))</f>
        <v/>
      </c>
      <c r="AF11">
        <f>IF('06_ITEM_POLE_MODEL'!$E$35="ABSOLUTE SEMANTIC",0,IF(ISNUMBER(SEARCH($A11,'06_ITEM_POLE_MODEL'!$F$35)),1,IF(ISNUMBER(SEARCH($A11,'06_ITEM_POLE_MODEL'!$G$35)),-1,0)))</f>
        <v/>
      </c>
      <c r="AG11">
        <f>IF('06_ITEM_POLE_MODEL'!$E$36="ABSOLUTE SEMANTIC",0,IF(ISNUMBER(SEARCH($A11,'06_ITEM_POLE_MODEL'!$F$36)),1,IF(ISNUMBER(SEARCH($A11,'06_ITEM_POLE_MODEL'!$G$36)),-1,0)))</f>
        <v/>
      </c>
      <c r="AH11">
        <f>IF('06_ITEM_POLE_MODEL'!$E$37="ABSOLUTE SEMANTIC",0,IF(ISNUMBER(SEARCH($A11,'06_ITEM_POLE_MODEL'!$F$37)),1,IF(ISNUMBER(SEARCH($A11,'06_ITEM_POLE_MODEL'!$G$37)),-1,0)))</f>
        <v/>
      </c>
      <c r="AI11">
        <f>IF('06_ITEM_POLE_MODEL'!$E$38="ABSOLUTE SEMANTIC",0,IF(ISNUMBER(SEARCH($A11,'06_ITEM_POLE_MODEL'!$F$38)),1,IF(ISNUMBER(SEARCH($A11,'06_ITEM_POLE_MODEL'!$G$38)),-1,0)))</f>
        <v/>
      </c>
      <c r="AJ11">
        <f>IF('06_ITEM_POLE_MODEL'!$E$39="ABSOLUTE SEMANTIC",0,IF(ISNUMBER(SEARCH($A11,'06_ITEM_POLE_MODEL'!$F$39)),1,IF(ISNUMBER(SEARCH($A11,'06_ITEM_POLE_MODEL'!$G$39)),-1,0)))</f>
        <v/>
      </c>
      <c r="AK11">
        <f>IF('06_ITEM_POLE_MODEL'!$E$40="ABSOLUTE SEMANTIC",0,IF(ISNUMBER(SEARCH($A11,'06_ITEM_POLE_MODEL'!$F$40)),1,IF(ISNUMBER(SEARCH($A11,'06_ITEM_POLE_MODEL'!$G$40)),-1,0)))</f>
        <v/>
      </c>
      <c r="AL11">
        <f>IF('06_ITEM_POLE_MODEL'!$E$41="ABSOLUTE SEMANTIC",0,IF(ISNUMBER(SEARCH($A11,'06_ITEM_POLE_MODEL'!$F$41)),1,IF(ISNUMBER(SEARCH($A11,'06_ITEM_POLE_MODEL'!$G$41)),-1,0)))</f>
        <v/>
      </c>
      <c r="AM11">
        <f>IF('06_ITEM_POLE_MODEL'!$E$42="ABSOLUTE SEMANTIC",0,IF(ISNUMBER(SEARCH($A11,'06_ITEM_POLE_MODEL'!$F$42)),1,IF(ISNUMBER(SEARCH($A11,'06_ITEM_POLE_MODEL'!$G$42)),-1,0)))</f>
        <v/>
      </c>
      <c r="AN11">
        <f>IF('06_ITEM_POLE_MODEL'!$E$43="ABSOLUTE SEMANTIC",0,IF(ISNUMBER(SEARCH($A11,'06_ITEM_POLE_MODEL'!$F$43)),1,IF(ISNUMBER(SEARCH($A11,'06_ITEM_POLE_MODEL'!$G$43)),-1,0)))</f>
        <v/>
      </c>
      <c r="AO11">
        <f>IF('06_ITEM_POLE_MODEL'!$E$44="ABSOLUTE SEMANTIC",0,IF(ISNUMBER(SEARCH($A11,'06_ITEM_POLE_MODEL'!$F$44)),1,IF(ISNUMBER(SEARCH($A11,'06_ITEM_POLE_MODEL'!$G$44)),-1,0)))</f>
        <v/>
      </c>
      <c r="AP11">
        <f>IF('06_ITEM_POLE_MODEL'!$E$45="ABSOLUTE SEMANTIC",0,IF(ISNUMBER(SEARCH($A11,'06_ITEM_POLE_MODEL'!$F$45)),1,IF(ISNUMBER(SEARCH($A11,'06_ITEM_POLE_MODEL'!$G$45)),-1,0)))</f>
        <v/>
      </c>
      <c r="AQ11">
        <f>IF('06_ITEM_POLE_MODEL'!$E$46="ABSOLUTE SEMANTIC",0,IF(ISNUMBER(SEARCH($A11,'06_ITEM_POLE_MODEL'!$F$46)),1,IF(ISNUMBER(SEARCH($A11,'06_ITEM_POLE_MODEL'!$G$46)),-1,0)))</f>
        <v/>
      </c>
      <c r="AR11">
        <f>IF('06_ITEM_POLE_MODEL'!$E$47="ABSOLUTE SEMANTIC",0,IF(ISNUMBER(SEARCH($A11,'06_ITEM_POLE_MODEL'!$F$47)),1,IF(ISNUMBER(SEARCH($A11,'06_ITEM_POLE_MODEL'!$G$47)),-1,0)))</f>
        <v/>
      </c>
      <c r="AS11">
        <f>IF('06_ITEM_POLE_MODEL'!$E$48="ABSOLUTE SEMANTIC",0,IF(ISNUMBER(SEARCH($A11,'06_ITEM_POLE_MODEL'!$F$48)),1,IF(ISNUMBER(SEARCH($A11,'06_ITEM_POLE_MODEL'!$G$48)),-1,0)))</f>
        <v/>
      </c>
      <c r="AT11">
        <f>IF('06_ITEM_POLE_MODEL'!$E$49="ABSOLUTE SEMANTIC",0,IF(ISNUMBER(SEARCH($A11,'06_ITEM_POLE_MODEL'!$F$49)),1,IF(ISNUMBER(SEARCH($A11,'06_ITEM_POLE_MODEL'!$G$49)),-1,0)))</f>
        <v/>
      </c>
      <c r="AU11">
        <f>IF('06_ITEM_POLE_MODEL'!$E$50="ABSOLUTE SEMANTIC",0,IF(ISNUMBER(SEARCH($A11,'06_ITEM_POLE_MODEL'!$F$50)),1,IF(ISNUMBER(SEARCH($A11,'06_ITEM_POLE_MODEL'!$G$50)),-1,0)))</f>
        <v/>
      </c>
      <c r="AV11">
        <f>IF('06_ITEM_POLE_MODEL'!$E$51="ABSOLUTE SEMANTIC",0,IF(ISNUMBER(SEARCH($A11,'06_ITEM_POLE_MODEL'!$F$51)),1,IF(ISNUMBER(SEARCH($A11,'06_ITEM_POLE_MODEL'!$G$51)),-1,0)))</f>
        <v/>
      </c>
      <c r="AW11">
        <f>IF('06_ITEM_POLE_MODEL'!$E$52="ABSOLUTE SEMANTIC",0,IF(ISNUMBER(SEARCH($A11,'06_ITEM_POLE_MODEL'!$F$52)),1,IF(ISNUMBER(SEARCH($A11,'06_ITEM_POLE_MODEL'!$G$52)),-1,0)))</f>
        <v/>
      </c>
      <c r="AX11">
        <f>IF('06_ITEM_POLE_MODEL'!$E$53="ABSOLUTE SEMANTIC",0,IF(ISNUMBER(SEARCH($A11,'06_ITEM_POLE_MODEL'!$F$53)),1,IF(ISNUMBER(SEARCH($A11,'06_ITEM_POLE_MODEL'!$G$53)),-1,0)))</f>
        <v/>
      </c>
      <c r="AY11">
        <f>IF('06_ITEM_POLE_MODEL'!$E$54="ABSOLUTE SEMANTIC",0,IF(ISNUMBER(SEARCH($A11,'06_ITEM_POLE_MODEL'!$F$54)),1,IF(ISNUMBER(SEARCH($A11,'06_ITEM_POLE_MODEL'!$G$54)),-1,0)))</f>
        <v/>
      </c>
      <c r="AZ11">
        <f>IF('06_ITEM_POLE_MODEL'!$E$55="ABSOLUTE SEMANTIC",0,IF(ISNUMBER(SEARCH($A11,'06_ITEM_POLE_MODEL'!$F$55)),1,IF(ISNUMBER(SEARCH($A11,'06_ITEM_POLE_MODEL'!$G$55)),-1,0)))</f>
        <v/>
      </c>
      <c r="BA11">
        <f>IF('06_ITEM_POLE_MODEL'!$E$56="ABSOLUTE SEMANTIC",0,IF(ISNUMBER(SEARCH($A11,'06_ITEM_POLE_MODEL'!$F$56)),1,IF(ISNUMBER(SEARCH($A11,'06_ITEM_POLE_MODEL'!$G$56)),-1,0)))</f>
        <v/>
      </c>
      <c r="BB11">
        <f>IF('06_ITEM_POLE_MODEL'!$E$57="ABSOLUTE SEMANTIC",0,IF(ISNUMBER(SEARCH($A11,'06_ITEM_POLE_MODEL'!$F$57)),1,IF(ISNUMBER(SEARCH($A11,'06_ITEM_POLE_MODEL'!$G$57)),-1,0)))</f>
        <v/>
      </c>
      <c r="BC11">
        <f>IF('06_ITEM_POLE_MODEL'!$E$58="ABSOLUTE SEMANTIC",0,IF(ISNUMBER(SEARCH($A11,'06_ITEM_POLE_MODEL'!$F$58)),1,IF(ISNUMBER(SEARCH($A11,'06_ITEM_POLE_MODEL'!$G$58)),-1,0)))</f>
        <v/>
      </c>
      <c r="BD11">
        <f>IF('06_ITEM_POLE_MODEL'!$E$59="ABSOLUTE SEMANTIC",0,IF(ISNUMBER(SEARCH($A11,'06_ITEM_POLE_MODEL'!$F$59)),1,IF(ISNUMBER(SEARCH($A11,'06_ITEM_POLE_MODEL'!$G$59)),-1,0)))</f>
        <v/>
      </c>
      <c r="BE11">
        <f>IF('06_ITEM_POLE_MODEL'!$E$60="ABSOLUTE SEMANTIC",0,IF(ISNUMBER(SEARCH($A11,'06_ITEM_POLE_MODEL'!$F$60)),1,IF(ISNUMBER(SEARCH($A11,'06_ITEM_POLE_MODEL'!$G$60)),-1,0)))</f>
        <v/>
      </c>
      <c r="BF11">
        <f>IF('06_ITEM_POLE_MODEL'!$E$61="ABSOLUTE SEMANTIC",0,IF(ISNUMBER(SEARCH($A11,'06_ITEM_POLE_MODEL'!$F$61)),1,IF(ISNUMBER(SEARCH($A11,'06_ITEM_POLE_MODEL'!$G$61)),-1,0)))</f>
        <v/>
      </c>
      <c r="BG11">
        <f>IF('06_ITEM_POLE_MODEL'!$E$62="ABSOLUTE SEMANTIC",0,IF(ISNUMBER(SEARCH($A11,'06_ITEM_POLE_MODEL'!$F$62)),1,IF(ISNUMBER(SEARCH($A11,'06_ITEM_POLE_MODEL'!$G$62)),-1,0)))</f>
        <v/>
      </c>
      <c r="BH11">
        <f>IF('06_ITEM_POLE_MODEL'!$E$63="ABSOLUTE SEMANTIC",0,IF(ISNUMBER(SEARCH($A11,'06_ITEM_POLE_MODEL'!$F$63)),1,IF(ISNUMBER(SEARCH($A11,'06_ITEM_POLE_MODEL'!$G$63)),-1,0)))</f>
        <v/>
      </c>
      <c r="BI11">
        <f>IF('06_ITEM_POLE_MODEL'!$E$64="ABSOLUTE SEMANTIC",0,IF(ISNUMBER(SEARCH($A11,'06_ITEM_POLE_MODEL'!$F$64)),1,IF(ISNUMBER(SEARCH($A11,'06_ITEM_POLE_MODEL'!$G$64)),-1,0)))</f>
        <v/>
      </c>
      <c r="BJ11">
        <f>IF('06_ITEM_POLE_MODEL'!$E$65="ABSOLUTE SEMANTIC",0,IF(ISNUMBER(SEARCH($A11,'06_ITEM_POLE_MODEL'!$F$65)),1,IF(ISNUMBER(SEARCH($A11,'06_ITEM_POLE_MODEL'!$G$65)),-1,0)))</f>
        <v/>
      </c>
      <c r="BK11">
        <f>IF('06_ITEM_POLE_MODEL'!$E$66="ABSOLUTE SEMANTIC",0,IF(ISNUMBER(SEARCH($A11,'06_ITEM_POLE_MODEL'!$F$66)),1,IF(ISNUMBER(SEARCH($A11,'06_ITEM_POLE_MODEL'!$G$66)),-1,0)))</f>
        <v/>
      </c>
      <c r="BL11">
        <f>IF('06_ITEM_POLE_MODEL'!$E$67="ABSOLUTE SEMANTIC",0,IF(ISNUMBER(SEARCH($A11,'06_ITEM_POLE_MODEL'!$F$67)),1,IF(ISNUMBER(SEARCH($A11,'06_ITEM_POLE_MODEL'!$G$67)),-1,0)))</f>
        <v/>
      </c>
      <c r="BM11">
        <f>IF('06_ITEM_POLE_MODEL'!$E$68="ABSOLUTE SEMANTIC",0,IF(ISNUMBER(SEARCH($A11,'06_ITEM_POLE_MODEL'!$F$68)),1,IF(ISNUMBER(SEARCH($A11,'06_ITEM_POLE_MODEL'!$G$68)),-1,0)))</f>
        <v/>
      </c>
      <c r="BN11">
        <f>IF('06_ITEM_POLE_MODEL'!$E$69="ABSOLUTE SEMANTIC",0,IF(ISNUMBER(SEARCH($A11,'06_ITEM_POLE_MODEL'!$F$69)),1,IF(ISNUMBER(SEARCH($A11,'06_ITEM_POLE_MODEL'!$G$69)),-1,0)))</f>
        <v/>
      </c>
      <c r="BO11">
        <f>IF('06_ITEM_POLE_MODEL'!$E$70="ABSOLUTE SEMANTIC",0,IF(ISNUMBER(SEARCH($A11,'06_ITEM_POLE_MODEL'!$F$70)),1,IF(ISNUMBER(SEARCH($A11,'06_ITEM_POLE_MODEL'!$G$70)),-1,0)))</f>
        <v/>
      </c>
      <c r="BP11">
        <f>IF('06_ITEM_POLE_MODEL'!$E$71="ABSOLUTE SEMANTIC",0,IF(ISNUMBER(SEARCH($A11,'06_ITEM_POLE_MODEL'!$F$71)),1,IF(ISNUMBER(SEARCH($A11,'06_ITEM_POLE_MODEL'!$G$71)),-1,0)))</f>
        <v/>
      </c>
      <c r="BQ11">
        <f>IF('06_ITEM_POLE_MODEL'!$E$72="ABSOLUTE SEMANTIC",0,IF(ISNUMBER(SEARCH($A11,'06_ITEM_POLE_MODEL'!$F$72)),1,IF(ISNUMBER(SEARCH($A11,'06_ITEM_POLE_MODEL'!$G$72)),-1,0)))</f>
        <v/>
      </c>
      <c r="BR11">
        <f>IF('06_ITEM_POLE_MODEL'!$E$73="ABSOLUTE SEMANTIC",0,IF(ISNUMBER(SEARCH($A11,'06_ITEM_POLE_MODEL'!$F$73)),1,IF(ISNUMBER(SEARCH($A11,'06_ITEM_POLE_MODEL'!$G$73)),-1,0)))</f>
        <v/>
      </c>
      <c r="BS11">
        <f>IF('06_ITEM_POLE_MODEL'!$E$74="ABSOLUTE SEMANTIC",0,IF(ISNUMBER(SEARCH($A11,'06_ITEM_POLE_MODEL'!$F$74)),1,IF(ISNUMBER(SEARCH($A11,'06_ITEM_POLE_MODEL'!$G$74)),-1,0)))</f>
        <v/>
      </c>
      <c r="BT11">
        <f>IF('06_ITEM_POLE_MODEL'!$E$75="ABSOLUTE SEMANTIC",0,IF(ISNUMBER(SEARCH($A11,'06_ITEM_POLE_MODEL'!$F$75)),1,IF(ISNUMBER(SEARCH($A11,'06_ITEM_POLE_MODEL'!$G$75)),-1,0)))</f>
        <v/>
      </c>
      <c r="BU11">
        <f>IF('06_ITEM_POLE_MODEL'!$E$76="ABSOLUTE SEMANTIC",0,IF(ISNUMBER(SEARCH($A11,'06_ITEM_POLE_MODEL'!$F$76)),1,IF(ISNUMBER(SEARCH($A11,'06_ITEM_POLE_MODEL'!$G$76)),-1,0)))</f>
        <v/>
      </c>
      <c r="BV11">
        <f>IF('06_ITEM_POLE_MODEL'!$E$77="ABSOLUTE SEMANTIC",0,IF(ISNUMBER(SEARCH($A11,'06_ITEM_POLE_MODEL'!$F$77)),1,IF(ISNUMBER(SEARCH($A11,'06_ITEM_POLE_MODEL'!$G$77)),-1,0)))</f>
        <v/>
      </c>
      <c r="BW11">
        <f>IF('06_ITEM_POLE_MODEL'!$E$78="ABSOLUTE SEMANTIC",0,IF(ISNUMBER(SEARCH($A11,'06_ITEM_POLE_MODEL'!$F$78)),1,IF(ISNUMBER(SEARCH($A11,'06_ITEM_POLE_MODEL'!$G$78)),-1,0)))</f>
        <v/>
      </c>
      <c r="BX11">
        <f>IF('06_ITEM_POLE_MODEL'!$E$79="ABSOLUTE SEMANTIC",0,IF(ISNUMBER(SEARCH($A11,'06_ITEM_POLE_MODEL'!$F$79)),1,IF(ISNUMBER(SEARCH($A11,'06_ITEM_POLE_MODEL'!$G$79)),-1,0)))</f>
        <v/>
      </c>
      <c r="BY11">
        <f>IF('06_ITEM_POLE_MODEL'!$E$80="ABSOLUTE SEMANTIC",0,IF(ISNUMBER(SEARCH($A11,'06_ITEM_POLE_MODEL'!$F$80)),1,IF(ISNUMBER(SEARCH($A11,'06_ITEM_POLE_MODEL'!$G$80)),-1,0)))</f>
        <v/>
      </c>
      <c r="BZ11">
        <f>IF('06_ITEM_POLE_MODEL'!$E$81="ABSOLUTE SEMANTIC",0,IF(ISNUMBER(SEARCH($A11,'06_ITEM_POLE_MODEL'!$F$81)),1,IF(ISNUMBER(SEARCH($A11,'06_ITEM_POLE_MODEL'!$G$81)),-1,0)))</f>
        <v/>
      </c>
      <c r="CA11">
        <f>IF('06_ITEM_POLE_MODEL'!$E$82="ABSOLUTE SEMANTIC",0,IF(ISNUMBER(SEARCH($A11,'06_ITEM_POLE_MODEL'!$F$82)),1,IF(ISNUMBER(SEARCH($A11,'06_ITEM_POLE_MODEL'!$G$82)),-1,0)))</f>
        <v/>
      </c>
      <c r="CB11">
        <f>IF('06_ITEM_POLE_MODEL'!$E$83="ABSOLUTE SEMANTIC",0,IF(ISNUMBER(SEARCH($A11,'06_ITEM_POLE_MODEL'!$F$83)),1,IF(ISNUMBER(SEARCH($A11,'06_ITEM_POLE_MODEL'!$G$83)),-1,0)))</f>
        <v/>
      </c>
      <c r="CC11">
        <f>IF('06_ITEM_POLE_MODEL'!$E$84="ABSOLUTE SEMANTIC",0,IF(ISNUMBER(SEARCH($A11,'06_ITEM_POLE_MODEL'!$F$84)),1,IF(ISNUMBER(SEARCH($A11,'06_ITEM_POLE_MODEL'!$G$84)),-1,0)))</f>
        <v/>
      </c>
    </row>
    <row r="12">
      <c r="A12" t="inlineStr">
        <is>
          <t>Venusian</t>
        </is>
      </c>
      <c r="B12">
        <f>IF('06_ITEM_POLE_MODEL'!$E$5="ABSOLUTE SEMANTIC",0,IF(ISNUMBER(SEARCH($A12,'06_ITEM_POLE_MODEL'!$F$5)),1,IF(ISNUMBER(SEARCH($A12,'06_ITEM_POLE_MODEL'!$G$5)),-1,0)))</f>
        <v/>
      </c>
      <c r="C12">
        <f>IF('06_ITEM_POLE_MODEL'!$E$6="ABSOLUTE SEMANTIC",0,IF(ISNUMBER(SEARCH($A12,'06_ITEM_POLE_MODEL'!$F$6)),1,IF(ISNUMBER(SEARCH($A12,'06_ITEM_POLE_MODEL'!$G$6)),-1,0)))</f>
        <v/>
      </c>
      <c r="D12">
        <f>IF('06_ITEM_POLE_MODEL'!$E$7="ABSOLUTE SEMANTIC",0,IF(ISNUMBER(SEARCH($A12,'06_ITEM_POLE_MODEL'!$F$7)),1,IF(ISNUMBER(SEARCH($A12,'06_ITEM_POLE_MODEL'!$G$7)),-1,0)))</f>
        <v/>
      </c>
      <c r="E12">
        <f>IF('06_ITEM_POLE_MODEL'!$E$8="ABSOLUTE SEMANTIC",0,IF(ISNUMBER(SEARCH($A12,'06_ITEM_POLE_MODEL'!$F$8)),1,IF(ISNUMBER(SEARCH($A12,'06_ITEM_POLE_MODEL'!$G$8)),-1,0)))</f>
        <v/>
      </c>
      <c r="F12">
        <f>IF('06_ITEM_POLE_MODEL'!$E$9="ABSOLUTE SEMANTIC",0,IF(ISNUMBER(SEARCH($A12,'06_ITEM_POLE_MODEL'!$F$9)),1,IF(ISNUMBER(SEARCH($A12,'06_ITEM_POLE_MODEL'!$G$9)),-1,0)))</f>
        <v/>
      </c>
      <c r="G12">
        <f>IF('06_ITEM_POLE_MODEL'!$E$10="ABSOLUTE SEMANTIC",0,IF(ISNUMBER(SEARCH($A12,'06_ITEM_POLE_MODEL'!$F$10)),1,IF(ISNUMBER(SEARCH($A12,'06_ITEM_POLE_MODEL'!$G$10)),-1,0)))</f>
        <v/>
      </c>
      <c r="H12">
        <f>IF('06_ITEM_POLE_MODEL'!$E$11="ABSOLUTE SEMANTIC",0,IF(ISNUMBER(SEARCH($A12,'06_ITEM_POLE_MODEL'!$F$11)),1,IF(ISNUMBER(SEARCH($A12,'06_ITEM_POLE_MODEL'!$G$11)),-1,0)))</f>
        <v/>
      </c>
      <c r="I12">
        <f>IF('06_ITEM_POLE_MODEL'!$E$12="ABSOLUTE SEMANTIC",0,IF(ISNUMBER(SEARCH($A12,'06_ITEM_POLE_MODEL'!$F$12)),1,IF(ISNUMBER(SEARCH($A12,'06_ITEM_POLE_MODEL'!$G$12)),-1,0)))</f>
        <v/>
      </c>
      <c r="J12">
        <f>IF('06_ITEM_POLE_MODEL'!$E$13="ABSOLUTE SEMANTIC",0,IF(ISNUMBER(SEARCH($A12,'06_ITEM_POLE_MODEL'!$F$13)),1,IF(ISNUMBER(SEARCH($A12,'06_ITEM_POLE_MODEL'!$G$13)),-1,0)))</f>
        <v/>
      </c>
      <c r="K12">
        <f>IF('06_ITEM_POLE_MODEL'!$E$14="ABSOLUTE SEMANTIC",0,IF(ISNUMBER(SEARCH($A12,'06_ITEM_POLE_MODEL'!$F$14)),1,IF(ISNUMBER(SEARCH($A12,'06_ITEM_POLE_MODEL'!$G$14)),-1,0)))</f>
        <v/>
      </c>
      <c r="L12">
        <f>IF('06_ITEM_POLE_MODEL'!$E$15="ABSOLUTE SEMANTIC",0,IF(ISNUMBER(SEARCH($A12,'06_ITEM_POLE_MODEL'!$F$15)),1,IF(ISNUMBER(SEARCH($A12,'06_ITEM_POLE_MODEL'!$G$15)),-1,0)))</f>
        <v/>
      </c>
      <c r="M12">
        <f>IF('06_ITEM_POLE_MODEL'!$E$16="ABSOLUTE SEMANTIC",0,IF(ISNUMBER(SEARCH($A12,'06_ITEM_POLE_MODEL'!$F$16)),1,IF(ISNUMBER(SEARCH($A12,'06_ITEM_POLE_MODEL'!$G$16)),-1,0)))</f>
        <v/>
      </c>
      <c r="N12">
        <f>IF('06_ITEM_POLE_MODEL'!$E$17="ABSOLUTE SEMANTIC",0,IF(ISNUMBER(SEARCH($A12,'06_ITEM_POLE_MODEL'!$F$17)),1,IF(ISNUMBER(SEARCH($A12,'06_ITEM_POLE_MODEL'!$G$17)),-1,0)))</f>
        <v/>
      </c>
      <c r="O12">
        <f>IF('06_ITEM_POLE_MODEL'!$E$18="ABSOLUTE SEMANTIC",0,IF(ISNUMBER(SEARCH($A12,'06_ITEM_POLE_MODEL'!$F$18)),1,IF(ISNUMBER(SEARCH($A12,'06_ITEM_POLE_MODEL'!$G$18)),-1,0)))</f>
        <v/>
      </c>
      <c r="P12">
        <f>IF('06_ITEM_POLE_MODEL'!$E$19="ABSOLUTE SEMANTIC",0,IF(ISNUMBER(SEARCH($A12,'06_ITEM_POLE_MODEL'!$F$19)),1,IF(ISNUMBER(SEARCH($A12,'06_ITEM_POLE_MODEL'!$G$19)),-1,0)))</f>
        <v/>
      </c>
      <c r="Q12">
        <f>IF('06_ITEM_POLE_MODEL'!$E$20="ABSOLUTE SEMANTIC",0,IF(ISNUMBER(SEARCH($A12,'06_ITEM_POLE_MODEL'!$F$20)),1,IF(ISNUMBER(SEARCH($A12,'06_ITEM_POLE_MODEL'!$G$20)),-1,0)))</f>
        <v/>
      </c>
      <c r="R12">
        <f>IF('06_ITEM_POLE_MODEL'!$E$21="ABSOLUTE SEMANTIC",0,IF(ISNUMBER(SEARCH($A12,'06_ITEM_POLE_MODEL'!$F$21)),1,IF(ISNUMBER(SEARCH($A12,'06_ITEM_POLE_MODEL'!$G$21)),-1,0)))</f>
        <v/>
      </c>
      <c r="S12">
        <f>IF('06_ITEM_POLE_MODEL'!$E$22="ABSOLUTE SEMANTIC",0,IF(ISNUMBER(SEARCH($A12,'06_ITEM_POLE_MODEL'!$F$22)),1,IF(ISNUMBER(SEARCH($A12,'06_ITEM_POLE_MODEL'!$G$22)),-1,0)))</f>
        <v/>
      </c>
      <c r="T12">
        <f>IF('06_ITEM_POLE_MODEL'!$E$23="ABSOLUTE SEMANTIC",0,IF(ISNUMBER(SEARCH($A12,'06_ITEM_POLE_MODEL'!$F$23)),1,IF(ISNUMBER(SEARCH($A12,'06_ITEM_POLE_MODEL'!$G$23)),-1,0)))</f>
        <v/>
      </c>
      <c r="U12">
        <f>IF('06_ITEM_POLE_MODEL'!$E$24="ABSOLUTE SEMANTIC",0,IF(ISNUMBER(SEARCH($A12,'06_ITEM_POLE_MODEL'!$F$24)),1,IF(ISNUMBER(SEARCH($A12,'06_ITEM_POLE_MODEL'!$G$24)),-1,0)))</f>
        <v/>
      </c>
      <c r="V12">
        <f>IF('06_ITEM_POLE_MODEL'!$E$25="ABSOLUTE SEMANTIC",0,IF(ISNUMBER(SEARCH($A12,'06_ITEM_POLE_MODEL'!$F$25)),1,IF(ISNUMBER(SEARCH($A12,'06_ITEM_POLE_MODEL'!$G$25)),-1,0)))</f>
        <v/>
      </c>
      <c r="W12">
        <f>IF('06_ITEM_POLE_MODEL'!$E$26="ABSOLUTE SEMANTIC",0,IF(ISNUMBER(SEARCH($A12,'06_ITEM_POLE_MODEL'!$F$26)),1,IF(ISNUMBER(SEARCH($A12,'06_ITEM_POLE_MODEL'!$G$26)),-1,0)))</f>
        <v/>
      </c>
      <c r="X12">
        <f>IF('06_ITEM_POLE_MODEL'!$E$27="ABSOLUTE SEMANTIC",0,IF(ISNUMBER(SEARCH($A12,'06_ITEM_POLE_MODEL'!$F$27)),1,IF(ISNUMBER(SEARCH($A12,'06_ITEM_POLE_MODEL'!$G$27)),-1,0)))</f>
        <v/>
      </c>
      <c r="Y12">
        <f>IF('06_ITEM_POLE_MODEL'!$E$28="ABSOLUTE SEMANTIC",0,IF(ISNUMBER(SEARCH($A12,'06_ITEM_POLE_MODEL'!$F$28)),1,IF(ISNUMBER(SEARCH($A12,'06_ITEM_POLE_MODEL'!$G$28)),-1,0)))</f>
        <v/>
      </c>
      <c r="Z12">
        <f>IF('06_ITEM_POLE_MODEL'!$E$29="ABSOLUTE SEMANTIC",0,IF(ISNUMBER(SEARCH($A12,'06_ITEM_POLE_MODEL'!$F$29)),1,IF(ISNUMBER(SEARCH($A12,'06_ITEM_POLE_MODEL'!$G$29)),-1,0)))</f>
        <v/>
      </c>
      <c r="AA12">
        <f>IF('06_ITEM_POLE_MODEL'!$E$30="ABSOLUTE SEMANTIC",0,IF(ISNUMBER(SEARCH($A12,'06_ITEM_POLE_MODEL'!$F$30)),1,IF(ISNUMBER(SEARCH($A12,'06_ITEM_POLE_MODEL'!$G$30)),-1,0)))</f>
        <v/>
      </c>
      <c r="AB12">
        <f>IF('06_ITEM_POLE_MODEL'!$E$31="ABSOLUTE SEMANTIC",0,IF(ISNUMBER(SEARCH($A12,'06_ITEM_POLE_MODEL'!$F$31)),1,IF(ISNUMBER(SEARCH($A12,'06_ITEM_POLE_MODEL'!$G$31)),-1,0)))</f>
        <v/>
      </c>
      <c r="AC12">
        <f>IF('06_ITEM_POLE_MODEL'!$E$32="ABSOLUTE SEMANTIC",0,IF(ISNUMBER(SEARCH($A12,'06_ITEM_POLE_MODEL'!$F$32)),1,IF(ISNUMBER(SEARCH($A12,'06_ITEM_POLE_MODEL'!$G$32)),-1,0)))</f>
        <v/>
      </c>
      <c r="AD12">
        <f>IF('06_ITEM_POLE_MODEL'!$E$33="ABSOLUTE SEMANTIC",0,IF(ISNUMBER(SEARCH($A12,'06_ITEM_POLE_MODEL'!$F$33)),1,IF(ISNUMBER(SEARCH($A12,'06_ITEM_POLE_MODEL'!$G$33)),-1,0)))</f>
        <v/>
      </c>
      <c r="AE12">
        <f>IF('06_ITEM_POLE_MODEL'!$E$34="ABSOLUTE SEMANTIC",0,IF(ISNUMBER(SEARCH($A12,'06_ITEM_POLE_MODEL'!$F$34)),1,IF(ISNUMBER(SEARCH($A12,'06_ITEM_POLE_MODEL'!$G$34)),-1,0)))</f>
        <v/>
      </c>
      <c r="AF12">
        <f>IF('06_ITEM_POLE_MODEL'!$E$35="ABSOLUTE SEMANTIC",0,IF(ISNUMBER(SEARCH($A12,'06_ITEM_POLE_MODEL'!$F$35)),1,IF(ISNUMBER(SEARCH($A12,'06_ITEM_POLE_MODEL'!$G$35)),-1,0)))</f>
        <v/>
      </c>
      <c r="AG12">
        <f>IF('06_ITEM_POLE_MODEL'!$E$36="ABSOLUTE SEMANTIC",0,IF(ISNUMBER(SEARCH($A12,'06_ITEM_POLE_MODEL'!$F$36)),1,IF(ISNUMBER(SEARCH($A12,'06_ITEM_POLE_MODEL'!$G$36)),-1,0)))</f>
        <v/>
      </c>
      <c r="AH12">
        <f>IF('06_ITEM_POLE_MODEL'!$E$37="ABSOLUTE SEMANTIC",0,IF(ISNUMBER(SEARCH($A12,'06_ITEM_POLE_MODEL'!$F$37)),1,IF(ISNUMBER(SEARCH($A12,'06_ITEM_POLE_MODEL'!$G$37)),-1,0)))</f>
        <v/>
      </c>
      <c r="AI12">
        <f>IF('06_ITEM_POLE_MODEL'!$E$38="ABSOLUTE SEMANTIC",0,IF(ISNUMBER(SEARCH($A12,'06_ITEM_POLE_MODEL'!$F$38)),1,IF(ISNUMBER(SEARCH($A12,'06_ITEM_POLE_MODEL'!$G$38)),-1,0)))</f>
        <v/>
      </c>
      <c r="AJ12">
        <f>IF('06_ITEM_POLE_MODEL'!$E$39="ABSOLUTE SEMANTIC",0,IF(ISNUMBER(SEARCH($A12,'06_ITEM_POLE_MODEL'!$F$39)),1,IF(ISNUMBER(SEARCH($A12,'06_ITEM_POLE_MODEL'!$G$39)),-1,0)))</f>
        <v/>
      </c>
      <c r="AK12">
        <f>IF('06_ITEM_POLE_MODEL'!$E$40="ABSOLUTE SEMANTIC",0,IF(ISNUMBER(SEARCH($A12,'06_ITEM_POLE_MODEL'!$F$40)),1,IF(ISNUMBER(SEARCH($A12,'06_ITEM_POLE_MODEL'!$G$40)),-1,0)))</f>
        <v/>
      </c>
      <c r="AL12">
        <f>IF('06_ITEM_POLE_MODEL'!$E$41="ABSOLUTE SEMANTIC",0,IF(ISNUMBER(SEARCH($A12,'06_ITEM_POLE_MODEL'!$F$41)),1,IF(ISNUMBER(SEARCH($A12,'06_ITEM_POLE_MODEL'!$G$41)),-1,0)))</f>
        <v/>
      </c>
      <c r="AM12">
        <f>IF('06_ITEM_POLE_MODEL'!$E$42="ABSOLUTE SEMANTIC",0,IF(ISNUMBER(SEARCH($A12,'06_ITEM_POLE_MODEL'!$F$42)),1,IF(ISNUMBER(SEARCH($A12,'06_ITEM_POLE_MODEL'!$G$42)),-1,0)))</f>
        <v/>
      </c>
      <c r="AN12">
        <f>IF('06_ITEM_POLE_MODEL'!$E$43="ABSOLUTE SEMANTIC",0,IF(ISNUMBER(SEARCH($A12,'06_ITEM_POLE_MODEL'!$F$43)),1,IF(ISNUMBER(SEARCH($A12,'06_ITEM_POLE_MODEL'!$G$43)),-1,0)))</f>
        <v/>
      </c>
      <c r="AO12">
        <f>IF('06_ITEM_POLE_MODEL'!$E$44="ABSOLUTE SEMANTIC",0,IF(ISNUMBER(SEARCH($A12,'06_ITEM_POLE_MODEL'!$F$44)),1,IF(ISNUMBER(SEARCH($A12,'06_ITEM_POLE_MODEL'!$G$44)),-1,0)))</f>
        <v/>
      </c>
      <c r="AP12">
        <f>IF('06_ITEM_POLE_MODEL'!$E$45="ABSOLUTE SEMANTIC",0,IF(ISNUMBER(SEARCH($A12,'06_ITEM_POLE_MODEL'!$F$45)),1,IF(ISNUMBER(SEARCH($A12,'06_ITEM_POLE_MODEL'!$G$45)),-1,0)))</f>
        <v/>
      </c>
      <c r="AQ12">
        <f>IF('06_ITEM_POLE_MODEL'!$E$46="ABSOLUTE SEMANTIC",0,IF(ISNUMBER(SEARCH($A12,'06_ITEM_POLE_MODEL'!$F$46)),1,IF(ISNUMBER(SEARCH($A12,'06_ITEM_POLE_MODEL'!$G$46)),-1,0)))</f>
        <v/>
      </c>
      <c r="AR12">
        <f>IF('06_ITEM_POLE_MODEL'!$E$47="ABSOLUTE SEMANTIC",0,IF(ISNUMBER(SEARCH($A12,'06_ITEM_POLE_MODEL'!$F$47)),1,IF(ISNUMBER(SEARCH($A12,'06_ITEM_POLE_MODEL'!$G$47)),-1,0)))</f>
        <v/>
      </c>
      <c r="AS12">
        <f>IF('06_ITEM_POLE_MODEL'!$E$48="ABSOLUTE SEMANTIC",0,IF(ISNUMBER(SEARCH($A12,'06_ITEM_POLE_MODEL'!$F$48)),1,IF(ISNUMBER(SEARCH($A12,'06_ITEM_POLE_MODEL'!$G$48)),-1,0)))</f>
        <v/>
      </c>
      <c r="AT12">
        <f>IF('06_ITEM_POLE_MODEL'!$E$49="ABSOLUTE SEMANTIC",0,IF(ISNUMBER(SEARCH($A12,'06_ITEM_POLE_MODEL'!$F$49)),1,IF(ISNUMBER(SEARCH($A12,'06_ITEM_POLE_MODEL'!$G$49)),-1,0)))</f>
        <v/>
      </c>
      <c r="AU12">
        <f>IF('06_ITEM_POLE_MODEL'!$E$50="ABSOLUTE SEMANTIC",0,IF(ISNUMBER(SEARCH($A12,'06_ITEM_POLE_MODEL'!$F$50)),1,IF(ISNUMBER(SEARCH($A12,'06_ITEM_POLE_MODEL'!$G$50)),-1,0)))</f>
        <v/>
      </c>
      <c r="AV12">
        <f>IF('06_ITEM_POLE_MODEL'!$E$51="ABSOLUTE SEMANTIC",0,IF(ISNUMBER(SEARCH($A12,'06_ITEM_POLE_MODEL'!$F$51)),1,IF(ISNUMBER(SEARCH($A12,'06_ITEM_POLE_MODEL'!$G$51)),-1,0)))</f>
        <v/>
      </c>
      <c r="AW12">
        <f>IF('06_ITEM_POLE_MODEL'!$E$52="ABSOLUTE SEMANTIC",0,IF(ISNUMBER(SEARCH($A12,'06_ITEM_POLE_MODEL'!$F$52)),1,IF(ISNUMBER(SEARCH($A12,'06_ITEM_POLE_MODEL'!$G$52)),-1,0)))</f>
        <v/>
      </c>
      <c r="AX12">
        <f>IF('06_ITEM_POLE_MODEL'!$E$53="ABSOLUTE SEMANTIC",0,IF(ISNUMBER(SEARCH($A12,'06_ITEM_POLE_MODEL'!$F$53)),1,IF(ISNUMBER(SEARCH($A12,'06_ITEM_POLE_MODEL'!$G$53)),-1,0)))</f>
        <v/>
      </c>
      <c r="AY12">
        <f>IF('06_ITEM_POLE_MODEL'!$E$54="ABSOLUTE SEMANTIC",0,IF(ISNUMBER(SEARCH($A12,'06_ITEM_POLE_MODEL'!$F$54)),1,IF(ISNUMBER(SEARCH($A12,'06_ITEM_POLE_MODEL'!$G$54)),-1,0)))</f>
        <v/>
      </c>
      <c r="AZ12">
        <f>IF('06_ITEM_POLE_MODEL'!$E$55="ABSOLUTE SEMANTIC",0,IF(ISNUMBER(SEARCH($A12,'06_ITEM_POLE_MODEL'!$F$55)),1,IF(ISNUMBER(SEARCH($A12,'06_ITEM_POLE_MODEL'!$G$55)),-1,0)))</f>
        <v/>
      </c>
      <c r="BA12">
        <f>IF('06_ITEM_POLE_MODEL'!$E$56="ABSOLUTE SEMANTIC",0,IF(ISNUMBER(SEARCH($A12,'06_ITEM_POLE_MODEL'!$F$56)),1,IF(ISNUMBER(SEARCH($A12,'06_ITEM_POLE_MODEL'!$G$56)),-1,0)))</f>
        <v/>
      </c>
      <c r="BB12">
        <f>IF('06_ITEM_POLE_MODEL'!$E$57="ABSOLUTE SEMANTIC",0,IF(ISNUMBER(SEARCH($A12,'06_ITEM_POLE_MODEL'!$F$57)),1,IF(ISNUMBER(SEARCH($A12,'06_ITEM_POLE_MODEL'!$G$57)),-1,0)))</f>
        <v/>
      </c>
      <c r="BC12">
        <f>IF('06_ITEM_POLE_MODEL'!$E$58="ABSOLUTE SEMANTIC",0,IF(ISNUMBER(SEARCH($A12,'06_ITEM_POLE_MODEL'!$F$58)),1,IF(ISNUMBER(SEARCH($A12,'06_ITEM_POLE_MODEL'!$G$58)),-1,0)))</f>
        <v/>
      </c>
      <c r="BD12">
        <f>IF('06_ITEM_POLE_MODEL'!$E$59="ABSOLUTE SEMANTIC",0,IF(ISNUMBER(SEARCH($A12,'06_ITEM_POLE_MODEL'!$F$59)),1,IF(ISNUMBER(SEARCH($A12,'06_ITEM_POLE_MODEL'!$G$59)),-1,0)))</f>
        <v/>
      </c>
      <c r="BE12">
        <f>IF('06_ITEM_POLE_MODEL'!$E$60="ABSOLUTE SEMANTIC",0,IF(ISNUMBER(SEARCH($A12,'06_ITEM_POLE_MODEL'!$F$60)),1,IF(ISNUMBER(SEARCH($A12,'06_ITEM_POLE_MODEL'!$G$60)),-1,0)))</f>
        <v/>
      </c>
      <c r="BF12">
        <f>IF('06_ITEM_POLE_MODEL'!$E$61="ABSOLUTE SEMANTIC",0,IF(ISNUMBER(SEARCH($A12,'06_ITEM_POLE_MODEL'!$F$61)),1,IF(ISNUMBER(SEARCH($A12,'06_ITEM_POLE_MODEL'!$G$61)),-1,0)))</f>
        <v/>
      </c>
      <c r="BG12">
        <f>IF('06_ITEM_POLE_MODEL'!$E$62="ABSOLUTE SEMANTIC",0,IF(ISNUMBER(SEARCH($A12,'06_ITEM_POLE_MODEL'!$F$62)),1,IF(ISNUMBER(SEARCH($A12,'06_ITEM_POLE_MODEL'!$G$62)),-1,0)))</f>
        <v/>
      </c>
      <c r="BH12">
        <f>IF('06_ITEM_POLE_MODEL'!$E$63="ABSOLUTE SEMANTIC",0,IF(ISNUMBER(SEARCH($A12,'06_ITEM_POLE_MODEL'!$F$63)),1,IF(ISNUMBER(SEARCH($A12,'06_ITEM_POLE_MODEL'!$G$63)),-1,0)))</f>
        <v/>
      </c>
      <c r="BI12">
        <f>IF('06_ITEM_POLE_MODEL'!$E$64="ABSOLUTE SEMANTIC",0,IF(ISNUMBER(SEARCH($A12,'06_ITEM_POLE_MODEL'!$F$64)),1,IF(ISNUMBER(SEARCH($A12,'06_ITEM_POLE_MODEL'!$G$64)),-1,0)))</f>
        <v/>
      </c>
      <c r="BJ12">
        <f>IF('06_ITEM_POLE_MODEL'!$E$65="ABSOLUTE SEMANTIC",0,IF(ISNUMBER(SEARCH($A12,'06_ITEM_POLE_MODEL'!$F$65)),1,IF(ISNUMBER(SEARCH($A12,'06_ITEM_POLE_MODEL'!$G$65)),-1,0)))</f>
        <v/>
      </c>
      <c r="BK12">
        <f>IF('06_ITEM_POLE_MODEL'!$E$66="ABSOLUTE SEMANTIC",0,IF(ISNUMBER(SEARCH($A12,'06_ITEM_POLE_MODEL'!$F$66)),1,IF(ISNUMBER(SEARCH($A12,'06_ITEM_POLE_MODEL'!$G$66)),-1,0)))</f>
        <v/>
      </c>
      <c r="BL12">
        <f>IF('06_ITEM_POLE_MODEL'!$E$67="ABSOLUTE SEMANTIC",0,IF(ISNUMBER(SEARCH($A12,'06_ITEM_POLE_MODEL'!$F$67)),1,IF(ISNUMBER(SEARCH($A12,'06_ITEM_POLE_MODEL'!$G$67)),-1,0)))</f>
        <v/>
      </c>
      <c r="BM12">
        <f>IF('06_ITEM_POLE_MODEL'!$E$68="ABSOLUTE SEMANTIC",0,IF(ISNUMBER(SEARCH($A12,'06_ITEM_POLE_MODEL'!$F$68)),1,IF(ISNUMBER(SEARCH($A12,'06_ITEM_POLE_MODEL'!$G$68)),-1,0)))</f>
        <v/>
      </c>
      <c r="BN12">
        <f>IF('06_ITEM_POLE_MODEL'!$E$69="ABSOLUTE SEMANTIC",0,IF(ISNUMBER(SEARCH($A12,'06_ITEM_POLE_MODEL'!$F$69)),1,IF(ISNUMBER(SEARCH($A12,'06_ITEM_POLE_MODEL'!$G$69)),-1,0)))</f>
        <v/>
      </c>
      <c r="BO12">
        <f>IF('06_ITEM_POLE_MODEL'!$E$70="ABSOLUTE SEMANTIC",0,IF(ISNUMBER(SEARCH($A12,'06_ITEM_POLE_MODEL'!$F$70)),1,IF(ISNUMBER(SEARCH($A12,'06_ITEM_POLE_MODEL'!$G$70)),-1,0)))</f>
        <v/>
      </c>
      <c r="BP12">
        <f>IF('06_ITEM_POLE_MODEL'!$E$71="ABSOLUTE SEMANTIC",0,IF(ISNUMBER(SEARCH($A12,'06_ITEM_POLE_MODEL'!$F$71)),1,IF(ISNUMBER(SEARCH($A12,'06_ITEM_POLE_MODEL'!$G$71)),-1,0)))</f>
        <v/>
      </c>
      <c r="BQ12">
        <f>IF('06_ITEM_POLE_MODEL'!$E$72="ABSOLUTE SEMANTIC",0,IF(ISNUMBER(SEARCH($A12,'06_ITEM_POLE_MODEL'!$F$72)),1,IF(ISNUMBER(SEARCH($A12,'06_ITEM_POLE_MODEL'!$G$72)),-1,0)))</f>
        <v/>
      </c>
      <c r="BR12">
        <f>IF('06_ITEM_POLE_MODEL'!$E$73="ABSOLUTE SEMANTIC",0,IF(ISNUMBER(SEARCH($A12,'06_ITEM_POLE_MODEL'!$F$73)),1,IF(ISNUMBER(SEARCH($A12,'06_ITEM_POLE_MODEL'!$G$73)),-1,0)))</f>
        <v/>
      </c>
      <c r="BS12">
        <f>IF('06_ITEM_POLE_MODEL'!$E$74="ABSOLUTE SEMANTIC",0,IF(ISNUMBER(SEARCH($A12,'06_ITEM_POLE_MODEL'!$F$74)),1,IF(ISNUMBER(SEARCH($A12,'06_ITEM_POLE_MODEL'!$G$74)),-1,0)))</f>
        <v/>
      </c>
      <c r="BT12">
        <f>IF('06_ITEM_POLE_MODEL'!$E$75="ABSOLUTE SEMANTIC",0,IF(ISNUMBER(SEARCH($A12,'06_ITEM_POLE_MODEL'!$F$75)),1,IF(ISNUMBER(SEARCH($A12,'06_ITEM_POLE_MODEL'!$G$75)),-1,0)))</f>
        <v/>
      </c>
      <c r="BU12">
        <f>IF('06_ITEM_POLE_MODEL'!$E$76="ABSOLUTE SEMANTIC",0,IF(ISNUMBER(SEARCH($A12,'06_ITEM_POLE_MODEL'!$F$76)),1,IF(ISNUMBER(SEARCH($A12,'06_ITEM_POLE_MODEL'!$G$76)),-1,0)))</f>
        <v/>
      </c>
      <c r="BV12">
        <f>IF('06_ITEM_POLE_MODEL'!$E$77="ABSOLUTE SEMANTIC",0,IF(ISNUMBER(SEARCH($A12,'06_ITEM_POLE_MODEL'!$F$77)),1,IF(ISNUMBER(SEARCH($A12,'06_ITEM_POLE_MODEL'!$G$77)),-1,0)))</f>
        <v/>
      </c>
      <c r="BW12">
        <f>IF('06_ITEM_POLE_MODEL'!$E$78="ABSOLUTE SEMANTIC",0,IF(ISNUMBER(SEARCH($A12,'06_ITEM_POLE_MODEL'!$F$78)),1,IF(ISNUMBER(SEARCH($A12,'06_ITEM_POLE_MODEL'!$G$78)),-1,0)))</f>
        <v/>
      </c>
      <c r="BX12">
        <f>IF('06_ITEM_POLE_MODEL'!$E$79="ABSOLUTE SEMANTIC",0,IF(ISNUMBER(SEARCH($A12,'06_ITEM_POLE_MODEL'!$F$79)),1,IF(ISNUMBER(SEARCH($A12,'06_ITEM_POLE_MODEL'!$G$79)),-1,0)))</f>
        <v/>
      </c>
      <c r="BY12">
        <f>IF('06_ITEM_POLE_MODEL'!$E$80="ABSOLUTE SEMANTIC",0,IF(ISNUMBER(SEARCH($A12,'06_ITEM_POLE_MODEL'!$F$80)),1,IF(ISNUMBER(SEARCH($A12,'06_ITEM_POLE_MODEL'!$G$80)),-1,0)))</f>
        <v/>
      </c>
      <c r="BZ12">
        <f>IF('06_ITEM_POLE_MODEL'!$E$81="ABSOLUTE SEMANTIC",0,IF(ISNUMBER(SEARCH($A12,'06_ITEM_POLE_MODEL'!$F$81)),1,IF(ISNUMBER(SEARCH($A12,'06_ITEM_POLE_MODEL'!$G$81)),-1,0)))</f>
        <v/>
      </c>
      <c r="CA12">
        <f>IF('06_ITEM_POLE_MODEL'!$E$82="ABSOLUTE SEMANTIC",0,IF(ISNUMBER(SEARCH($A12,'06_ITEM_POLE_MODEL'!$F$82)),1,IF(ISNUMBER(SEARCH($A12,'06_ITEM_POLE_MODEL'!$G$82)),-1,0)))</f>
        <v/>
      </c>
      <c r="CB12">
        <f>IF('06_ITEM_POLE_MODEL'!$E$83="ABSOLUTE SEMANTIC",0,IF(ISNUMBER(SEARCH($A12,'06_ITEM_POLE_MODEL'!$F$83)),1,IF(ISNUMBER(SEARCH($A12,'06_ITEM_POLE_MODEL'!$G$83)),-1,0)))</f>
        <v/>
      </c>
      <c r="CC12">
        <f>IF('06_ITEM_POLE_MODEL'!$E$84="ABSOLUTE SEMANTIC",0,IF(ISNUMBER(SEARCH($A12,'06_ITEM_POLE_MODEL'!$F$84)),1,IF(ISNUMBER(SEARCH($A12,'06_ITEM_POLE_MODEL'!$G$84)),-1,0)))</f>
        <v/>
      </c>
    </row>
    <row r="13">
      <c r="A13" t="inlineStr">
        <is>
          <t>Hadarian</t>
        </is>
      </c>
      <c r="B13">
        <f>IF('06_ITEM_POLE_MODEL'!$E$5="ABSOLUTE SEMANTIC",0,IF(ISNUMBER(SEARCH($A13,'06_ITEM_POLE_MODEL'!$F$5)),1,IF(ISNUMBER(SEARCH($A13,'06_ITEM_POLE_MODEL'!$G$5)),-1,0)))</f>
        <v/>
      </c>
      <c r="C13">
        <f>IF('06_ITEM_POLE_MODEL'!$E$6="ABSOLUTE SEMANTIC",0,IF(ISNUMBER(SEARCH($A13,'06_ITEM_POLE_MODEL'!$F$6)),1,IF(ISNUMBER(SEARCH($A13,'06_ITEM_POLE_MODEL'!$G$6)),-1,0)))</f>
        <v/>
      </c>
      <c r="D13">
        <f>IF('06_ITEM_POLE_MODEL'!$E$7="ABSOLUTE SEMANTIC",0,IF(ISNUMBER(SEARCH($A13,'06_ITEM_POLE_MODEL'!$F$7)),1,IF(ISNUMBER(SEARCH($A13,'06_ITEM_POLE_MODEL'!$G$7)),-1,0)))</f>
        <v/>
      </c>
      <c r="E13">
        <f>IF('06_ITEM_POLE_MODEL'!$E$8="ABSOLUTE SEMANTIC",0,IF(ISNUMBER(SEARCH($A13,'06_ITEM_POLE_MODEL'!$F$8)),1,IF(ISNUMBER(SEARCH($A13,'06_ITEM_POLE_MODEL'!$G$8)),-1,0)))</f>
        <v/>
      </c>
      <c r="F13">
        <f>IF('06_ITEM_POLE_MODEL'!$E$9="ABSOLUTE SEMANTIC",0,IF(ISNUMBER(SEARCH($A13,'06_ITEM_POLE_MODEL'!$F$9)),1,IF(ISNUMBER(SEARCH($A13,'06_ITEM_POLE_MODEL'!$G$9)),-1,0)))</f>
        <v/>
      </c>
      <c r="G13">
        <f>IF('06_ITEM_POLE_MODEL'!$E$10="ABSOLUTE SEMANTIC",0,IF(ISNUMBER(SEARCH($A13,'06_ITEM_POLE_MODEL'!$F$10)),1,IF(ISNUMBER(SEARCH($A13,'06_ITEM_POLE_MODEL'!$G$10)),-1,0)))</f>
        <v/>
      </c>
      <c r="H13">
        <f>IF('06_ITEM_POLE_MODEL'!$E$11="ABSOLUTE SEMANTIC",0,IF(ISNUMBER(SEARCH($A13,'06_ITEM_POLE_MODEL'!$F$11)),1,IF(ISNUMBER(SEARCH($A13,'06_ITEM_POLE_MODEL'!$G$11)),-1,0)))</f>
        <v/>
      </c>
      <c r="I13">
        <f>IF('06_ITEM_POLE_MODEL'!$E$12="ABSOLUTE SEMANTIC",0,IF(ISNUMBER(SEARCH($A13,'06_ITEM_POLE_MODEL'!$F$12)),1,IF(ISNUMBER(SEARCH($A13,'06_ITEM_POLE_MODEL'!$G$12)),-1,0)))</f>
        <v/>
      </c>
      <c r="J13">
        <f>IF('06_ITEM_POLE_MODEL'!$E$13="ABSOLUTE SEMANTIC",0,IF(ISNUMBER(SEARCH($A13,'06_ITEM_POLE_MODEL'!$F$13)),1,IF(ISNUMBER(SEARCH($A13,'06_ITEM_POLE_MODEL'!$G$13)),-1,0)))</f>
        <v/>
      </c>
      <c r="K13">
        <f>IF('06_ITEM_POLE_MODEL'!$E$14="ABSOLUTE SEMANTIC",0,IF(ISNUMBER(SEARCH($A13,'06_ITEM_POLE_MODEL'!$F$14)),1,IF(ISNUMBER(SEARCH($A13,'06_ITEM_POLE_MODEL'!$G$14)),-1,0)))</f>
        <v/>
      </c>
      <c r="L13">
        <f>IF('06_ITEM_POLE_MODEL'!$E$15="ABSOLUTE SEMANTIC",0,IF(ISNUMBER(SEARCH($A13,'06_ITEM_POLE_MODEL'!$F$15)),1,IF(ISNUMBER(SEARCH($A13,'06_ITEM_POLE_MODEL'!$G$15)),-1,0)))</f>
        <v/>
      </c>
      <c r="M13">
        <f>IF('06_ITEM_POLE_MODEL'!$E$16="ABSOLUTE SEMANTIC",0,IF(ISNUMBER(SEARCH($A13,'06_ITEM_POLE_MODEL'!$F$16)),1,IF(ISNUMBER(SEARCH($A13,'06_ITEM_POLE_MODEL'!$G$16)),-1,0)))</f>
        <v/>
      </c>
      <c r="N13">
        <f>IF('06_ITEM_POLE_MODEL'!$E$17="ABSOLUTE SEMANTIC",0,IF(ISNUMBER(SEARCH($A13,'06_ITEM_POLE_MODEL'!$F$17)),1,IF(ISNUMBER(SEARCH($A13,'06_ITEM_POLE_MODEL'!$G$17)),-1,0)))</f>
        <v/>
      </c>
      <c r="O13">
        <f>IF('06_ITEM_POLE_MODEL'!$E$18="ABSOLUTE SEMANTIC",0,IF(ISNUMBER(SEARCH($A13,'06_ITEM_POLE_MODEL'!$F$18)),1,IF(ISNUMBER(SEARCH($A13,'06_ITEM_POLE_MODEL'!$G$18)),-1,0)))</f>
        <v/>
      </c>
      <c r="P13">
        <f>IF('06_ITEM_POLE_MODEL'!$E$19="ABSOLUTE SEMANTIC",0,IF(ISNUMBER(SEARCH($A13,'06_ITEM_POLE_MODEL'!$F$19)),1,IF(ISNUMBER(SEARCH($A13,'06_ITEM_POLE_MODEL'!$G$19)),-1,0)))</f>
        <v/>
      </c>
      <c r="Q13">
        <f>IF('06_ITEM_POLE_MODEL'!$E$20="ABSOLUTE SEMANTIC",0,IF(ISNUMBER(SEARCH($A13,'06_ITEM_POLE_MODEL'!$F$20)),1,IF(ISNUMBER(SEARCH($A13,'06_ITEM_POLE_MODEL'!$G$20)),-1,0)))</f>
        <v/>
      </c>
      <c r="R13">
        <f>IF('06_ITEM_POLE_MODEL'!$E$21="ABSOLUTE SEMANTIC",0,IF(ISNUMBER(SEARCH($A13,'06_ITEM_POLE_MODEL'!$F$21)),1,IF(ISNUMBER(SEARCH($A13,'06_ITEM_POLE_MODEL'!$G$21)),-1,0)))</f>
        <v/>
      </c>
      <c r="S13">
        <f>IF('06_ITEM_POLE_MODEL'!$E$22="ABSOLUTE SEMANTIC",0,IF(ISNUMBER(SEARCH($A13,'06_ITEM_POLE_MODEL'!$F$22)),1,IF(ISNUMBER(SEARCH($A13,'06_ITEM_POLE_MODEL'!$G$22)),-1,0)))</f>
        <v/>
      </c>
      <c r="T13">
        <f>IF('06_ITEM_POLE_MODEL'!$E$23="ABSOLUTE SEMANTIC",0,IF(ISNUMBER(SEARCH($A13,'06_ITEM_POLE_MODEL'!$F$23)),1,IF(ISNUMBER(SEARCH($A13,'06_ITEM_POLE_MODEL'!$G$23)),-1,0)))</f>
        <v/>
      </c>
      <c r="U13">
        <f>IF('06_ITEM_POLE_MODEL'!$E$24="ABSOLUTE SEMANTIC",0,IF(ISNUMBER(SEARCH($A13,'06_ITEM_POLE_MODEL'!$F$24)),1,IF(ISNUMBER(SEARCH($A13,'06_ITEM_POLE_MODEL'!$G$24)),-1,0)))</f>
        <v/>
      </c>
      <c r="V13">
        <f>IF('06_ITEM_POLE_MODEL'!$E$25="ABSOLUTE SEMANTIC",0,IF(ISNUMBER(SEARCH($A13,'06_ITEM_POLE_MODEL'!$F$25)),1,IF(ISNUMBER(SEARCH($A13,'06_ITEM_POLE_MODEL'!$G$25)),-1,0)))</f>
        <v/>
      </c>
      <c r="W13">
        <f>IF('06_ITEM_POLE_MODEL'!$E$26="ABSOLUTE SEMANTIC",0,IF(ISNUMBER(SEARCH($A13,'06_ITEM_POLE_MODEL'!$F$26)),1,IF(ISNUMBER(SEARCH($A13,'06_ITEM_POLE_MODEL'!$G$26)),-1,0)))</f>
        <v/>
      </c>
      <c r="X13">
        <f>IF('06_ITEM_POLE_MODEL'!$E$27="ABSOLUTE SEMANTIC",0,IF(ISNUMBER(SEARCH($A13,'06_ITEM_POLE_MODEL'!$F$27)),1,IF(ISNUMBER(SEARCH($A13,'06_ITEM_POLE_MODEL'!$G$27)),-1,0)))</f>
        <v/>
      </c>
      <c r="Y13">
        <f>IF('06_ITEM_POLE_MODEL'!$E$28="ABSOLUTE SEMANTIC",0,IF(ISNUMBER(SEARCH($A13,'06_ITEM_POLE_MODEL'!$F$28)),1,IF(ISNUMBER(SEARCH($A13,'06_ITEM_POLE_MODEL'!$G$28)),-1,0)))</f>
        <v/>
      </c>
      <c r="Z13">
        <f>IF('06_ITEM_POLE_MODEL'!$E$29="ABSOLUTE SEMANTIC",0,IF(ISNUMBER(SEARCH($A13,'06_ITEM_POLE_MODEL'!$F$29)),1,IF(ISNUMBER(SEARCH($A13,'06_ITEM_POLE_MODEL'!$G$29)),-1,0)))</f>
        <v/>
      </c>
      <c r="AA13">
        <f>IF('06_ITEM_POLE_MODEL'!$E$30="ABSOLUTE SEMANTIC",0,IF(ISNUMBER(SEARCH($A13,'06_ITEM_POLE_MODEL'!$F$30)),1,IF(ISNUMBER(SEARCH($A13,'06_ITEM_POLE_MODEL'!$G$30)),-1,0)))</f>
        <v/>
      </c>
      <c r="AB13">
        <f>IF('06_ITEM_POLE_MODEL'!$E$31="ABSOLUTE SEMANTIC",0,IF(ISNUMBER(SEARCH($A13,'06_ITEM_POLE_MODEL'!$F$31)),1,IF(ISNUMBER(SEARCH($A13,'06_ITEM_POLE_MODEL'!$G$31)),-1,0)))</f>
        <v/>
      </c>
      <c r="AC13">
        <f>IF('06_ITEM_POLE_MODEL'!$E$32="ABSOLUTE SEMANTIC",0,IF(ISNUMBER(SEARCH($A13,'06_ITEM_POLE_MODEL'!$F$32)),1,IF(ISNUMBER(SEARCH($A13,'06_ITEM_POLE_MODEL'!$G$32)),-1,0)))</f>
        <v/>
      </c>
      <c r="AD13">
        <f>IF('06_ITEM_POLE_MODEL'!$E$33="ABSOLUTE SEMANTIC",0,IF(ISNUMBER(SEARCH($A13,'06_ITEM_POLE_MODEL'!$F$33)),1,IF(ISNUMBER(SEARCH($A13,'06_ITEM_POLE_MODEL'!$G$33)),-1,0)))</f>
        <v/>
      </c>
      <c r="AE13">
        <f>IF('06_ITEM_POLE_MODEL'!$E$34="ABSOLUTE SEMANTIC",0,IF(ISNUMBER(SEARCH($A13,'06_ITEM_POLE_MODEL'!$F$34)),1,IF(ISNUMBER(SEARCH($A13,'06_ITEM_POLE_MODEL'!$G$34)),-1,0)))</f>
        <v/>
      </c>
      <c r="AF13">
        <f>IF('06_ITEM_POLE_MODEL'!$E$35="ABSOLUTE SEMANTIC",0,IF(ISNUMBER(SEARCH($A13,'06_ITEM_POLE_MODEL'!$F$35)),1,IF(ISNUMBER(SEARCH($A13,'06_ITEM_POLE_MODEL'!$G$35)),-1,0)))</f>
        <v/>
      </c>
      <c r="AG13">
        <f>IF('06_ITEM_POLE_MODEL'!$E$36="ABSOLUTE SEMANTIC",0,IF(ISNUMBER(SEARCH($A13,'06_ITEM_POLE_MODEL'!$F$36)),1,IF(ISNUMBER(SEARCH($A13,'06_ITEM_POLE_MODEL'!$G$36)),-1,0)))</f>
        <v/>
      </c>
      <c r="AH13">
        <f>IF('06_ITEM_POLE_MODEL'!$E$37="ABSOLUTE SEMANTIC",0,IF(ISNUMBER(SEARCH($A13,'06_ITEM_POLE_MODEL'!$F$37)),1,IF(ISNUMBER(SEARCH($A13,'06_ITEM_POLE_MODEL'!$G$37)),-1,0)))</f>
        <v/>
      </c>
      <c r="AI13">
        <f>IF('06_ITEM_POLE_MODEL'!$E$38="ABSOLUTE SEMANTIC",0,IF(ISNUMBER(SEARCH($A13,'06_ITEM_POLE_MODEL'!$F$38)),1,IF(ISNUMBER(SEARCH($A13,'06_ITEM_POLE_MODEL'!$G$38)),-1,0)))</f>
        <v/>
      </c>
      <c r="AJ13">
        <f>IF('06_ITEM_POLE_MODEL'!$E$39="ABSOLUTE SEMANTIC",0,IF(ISNUMBER(SEARCH($A13,'06_ITEM_POLE_MODEL'!$F$39)),1,IF(ISNUMBER(SEARCH($A13,'06_ITEM_POLE_MODEL'!$G$39)),-1,0)))</f>
        <v/>
      </c>
      <c r="AK13">
        <f>IF('06_ITEM_POLE_MODEL'!$E$40="ABSOLUTE SEMANTIC",0,IF(ISNUMBER(SEARCH($A13,'06_ITEM_POLE_MODEL'!$F$40)),1,IF(ISNUMBER(SEARCH($A13,'06_ITEM_POLE_MODEL'!$G$40)),-1,0)))</f>
        <v/>
      </c>
      <c r="AL13">
        <f>IF('06_ITEM_POLE_MODEL'!$E$41="ABSOLUTE SEMANTIC",0,IF(ISNUMBER(SEARCH($A13,'06_ITEM_POLE_MODEL'!$F$41)),1,IF(ISNUMBER(SEARCH($A13,'06_ITEM_POLE_MODEL'!$G$41)),-1,0)))</f>
        <v/>
      </c>
      <c r="AM13">
        <f>IF('06_ITEM_POLE_MODEL'!$E$42="ABSOLUTE SEMANTIC",0,IF(ISNUMBER(SEARCH($A13,'06_ITEM_POLE_MODEL'!$F$42)),1,IF(ISNUMBER(SEARCH($A13,'06_ITEM_POLE_MODEL'!$G$42)),-1,0)))</f>
        <v/>
      </c>
      <c r="AN13">
        <f>IF('06_ITEM_POLE_MODEL'!$E$43="ABSOLUTE SEMANTIC",0,IF(ISNUMBER(SEARCH($A13,'06_ITEM_POLE_MODEL'!$F$43)),1,IF(ISNUMBER(SEARCH($A13,'06_ITEM_POLE_MODEL'!$G$43)),-1,0)))</f>
        <v/>
      </c>
      <c r="AO13">
        <f>IF('06_ITEM_POLE_MODEL'!$E$44="ABSOLUTE SEMANTIC",0,IF(ISNUMBER(SEARCH($A13,'06_ITEM_POLE_MODEL'!$F$44)),1,IF(ISNUMBER(SEARCH($A13,'06_ITEM_POLE_MODEL'!$G$44)),-1,0)))</f>
        <v/>
      </c>
      <c r="AP13">
        <f>IF('06_ITEM_POLE_MODEL'!$E$45="ABSOLUTE SEMANTIC",0,IF(ISNUMBER(SEARCH($A13,'06_ITEM_POLE_MODEL'!$F$45)),1,IF(ISNUMBER(SEARCH($A13,'06_ITEM_POLE_MODEL'!$G$45)),-1,0)))</f>
        <v/>
      </c>
      <c r="AQ13">
        <f>IF('06_ITEM_POLE_MODEL'!$E$46="ABSOLUTE SEMANTIC",0,IF(ISNUMBER(SEARCH($A13,'06_ITEM_POLE_MODEL'!$F$46)),1,IF(ISNUMBER(SEARCH($A13,'06_ITEM_POLE_MODEL'!$G$46)),-1,0)))</f>
        <v/>
      </c>
      <c r="AR13">
        <f>IF('06_ITEM_POLE_MODEL'!$E$47="ABSOLUTE SEMANTIC",0,IF(ISNUMBER(SEARCH($A13,'06_ITEM_POLE_MODEL'!$F$47)),1,IF(ISNUMBER(SEARCH($A13,'06_ITEM_POLE_MODEL'!$G$47)),-1,0)))</f>
        <v/>
      </c>
      <c r="AS13">
        <f>IF('06_ITEM_POLE_MODEL'!$E$48="ABSOLUTE SEMANTIC",0,IF(ISNUMBER(SEARCH($A13,'06_ITEM_POLE_MODEL'!$F$48)),1,IF(ISNUMBER(SEARCH($A13,'06_ITEM_POLE_MODEL'!$G$48)),-1,0)))</f>
        <v/>
      </c>
      <c r="AT13">
        <f>IF('06_ITEM_POLE_MODEL'!$E$49="ABSOLUTE SEMANTIC",0,IF(ISNUMBER(SEARCH($A13,'06_ITEM_POLE_MODEL'!$F$49)),1,IF(ISNUMBER(SEARCH($A13,'06_ITEM_POLE_MODEL'!$G$49)),-1,0)))</f>
        <v/>
      </c>
      <c r="AU13">
        <f>IF('06_ITEM_POLE_MODEL'!$E$50="ABSOLUTE SEMANTIC",0,IF(ISNUMBER(SEARCH($A13,'06_ITEM_POLE_MODEL'!$F$50)),1,IF(ISNUMBER(SEARCH($A13,'06_ITEM_POLE_MODEL'!$G$50)),-1,0)))</f>
        <v/>
      </c>
      <c r="AV13">
        <f>IF('06_ITEM_POLE_MODEL'!$E$51="ABSOLUTE SEMANTIC",0,IF(ISNUMBER(SEARCH($A13,'06_ITEM_POLE_MODEL'!$F$51)),1,IF(ISNUMBER(SEARCH($A13,'06_ITEM_POLE_MODEL'!$G$51)),-1,0)))</f>
        <v/>
      </c>
      <c r="AW13">
        <f>IF('06_ITEM_POLE_MODEL'!$E$52="ABSOLUTE SEMANTIC",0,IF(ISNUMBER(SEARCH($A13,'06_ITEM_POLE_MODEL'!$F$52)),1,IF(ISNUMBER(SEARCH($A13,'06_ITEM_POLE_MODEL'!$G$52)),-1,0)))</f>
        <v/>
      </c>
      <c r="AX13">
        <f>IF('06_ITEM_POLE_MODEL'!$E$53="ABSOLUTE SEMANTIC",0,IF(ISNUMBER(SEARCH($A13,'06_ITEM_POLE_MODEL'!$F$53)),1,IF(ISNUMBER(SEARCH($A13,'06_ITEM_POLE_MODEL'!$G$53)),-1,0)))</f>
        <v/>
      </c>
      <c r="AY13">
        <f>IF('06_ITEM_POLE_MODEL'!$E$54="ABSOLUTE SEMANTIC",0,IF(ISNUMBER(SEARCH($A13,'06_ITEM_POLE_MODEL'!$F$54)),1,IF(ISNUMBER(SEARCH($A13,'06_ITEM_POLE_MODEL'!$G$54)),-1,0)))</f>
        <v/>
      </c>
      <c r="AZ13">
        <f>IF('06_ITEM_POLE_MODEL'!$E$55="ABSOLUTE SEMANTIC",0,IF(ISNUMBER(SEARCH($A13,'06_ITEM_POLE_MODEL'!$F$55)),1,IF(ISNUMBER(SEARCH($A13,'06_ITEM_POLE_MODEL'!$G$55)),-1,0)))</f>
        <v/>
      </c>
      <c r="BA13">
        <f>IF('06_ITEM_POLE_MODEL'!$E$56="ABSOLUTE SEMANTIC",0,IF(ISNUMBER(SEARCH($A13,'06_ITEM_POLE_MODEL'!$F$56)),1,IF(ISNUMBER(SEARCH($A13,'06_ITEM_POLE_MODEL'!$G$56)),-1,0)))</f>
        <v/>
      </c>
      <c r="BB13">
        <f>IF('06_ITEM_POLE_MODEL'!$E$57="ABSOLUTE SEMANTIC",0,IF(ISNUMBER(SEARCH($A13,'06_ITEM_POLE_MODEL'!$F$57)),1,IF(ISNUMBER(SEARCH($A13,'06_ITEM_POLE_MODEL'!$G$57)),-1,0)))</f>
        <v/>
      </c>
      <c r="BC13">
        <f>IF('06_ITEM_POLE_MODEL'!$E$58="ABSOLUTE SEMANTIC",0,IF(ISNUMBER(SEARCH($A13,'06_ITEM_POLE_MODEL'!$F$58)),1,IF(ISNUMBER(SEARCH($A13,'06_ITEM_POLE_MODEL'!$G$58)),-1,0)))</f>
        <v/>
      </c>
      <c r="BD13">
        <f>IF('06_ITEM_POLE_MODEL'!$E$59="ABSOLUTE SEMANTIC",0,IF(ISNUMBER(SEARCH($A13,'06_ITEM_POLE_MODEL'!$F$59)),1,IF(ISNUMBER(SEARCH($A13,'06_ITEM_POLE_MODEL'!$G$59)),-1,0)))</f>
        <v/>
      </c>
      <c r="BE13">
        <f>IF('06_ITEM_POLE_MODEL'!$E$60="ABSOLUTE SEMANTIC",0,IF(ISNUMBER(SEARCH($A13,'06_ITEM_POLE_MODEL'!$F$60)),1,IF(ISNUMBER(SEARCH($A13,'06_ITEM_POLE_MODEL'!$G$60)),-1,0)))</f>
        <v/>
      </c>
      <c r="BF13">
        <f>IF('06_ITEM_POLE_MODEL'!$E$61="ABSOLUTE SEMANTIC",0,IF(ISNUMBER(SEARCH($A13,'06_ITEM_POLE_MODEL'!$F$61)),1,IF(ISNUMBER(SEARCH($A13,'06_ITEM_POLE_MODEL'!$G$61)),-1,0)))</f>
        <v/>
      </c>
      <c r="BG13">
        <f>IF('06_ITEM_POLE_MODEL'!$E$62="ABSOLUTE SEMANTIC",0,IF(ISNUMBER(SEARCH($A13,'06_ITEM_POLE_MODEL'!$F$62)),1,IF(ISNUMBER(SEARCH($A13,'06_ITEM_POLE_MODEL'!$G$62)),-1,0)))</f>
        <v/>
      </c>
      <c r="BH13">
        <f>IF('06_ITEM_POLE_MODEL'!$E$63="ABSOLUTE SEMANTIC",0,IF(ISNUMBER(SEARCH($A13,'06_ITEM_POLE_MODEL'!$F$63)),1,IF(ISNUMBER(SEARCH($A13,'06_ITEM_POLE_MODEL'!$G$63)),-1,0)))</f>
        <v/>
      </c>
      <c r="BI13">
        <f>IF('06_ITEM_POLE_MODEL'!$E$64="ABSOLUTE SEMANTIC",0,IF(ISNUMBER(SEARCH($A13,'06_ITEM_POLE_MODEL'!$F$64)),1,IF(ISNUMBER(SEARCH($A13,'06_ITEM_POLE_MODEL'!$G$64)),-1,0)))</f>
        <v/>
      </c>
      <c r="BJ13">
        <f>IF('06_ITEM_POLE_MODEL'!$E$65="ABSOLUTE SEMANTIC",0,IF(ISNUMBER(SEARCH($A13,'06_ITEM_POLE_MODEL'!$F$65)),1,IF(ISNUMBER(SEARCH($A13,'06_ITEM_POLE_MODEL'!$G$65)),-1,0)))</f>
        <v/>
      </c>
      <c r="BK13">
        <f>IF('06_ITEM_POLE_MODEL'!$E$66="ABSOLUTE SEMANTIC",0,IF(ISNUMBER(SEARCH($A13,'06_ITEM_POLE_MODEL'!$F$66)),1,IF(ISNUMBER(SEARCH($A13,'06_ITEM_POLE_MODEL'!$G$66)),-1,0)))</f>
        <v/>
      </c>
      <c r="BL13">
        <f>IF('06_ITEM_POLE_MODEL'!$E$67="ABSOLUTE SEMANTIC",0,IF(ISNUMBER(SEARCH($A13,'06_ITEM_POLE_MODEL'!$F$67)),1,IF(ISNUMBER(SEARCH($A13,'06_ITEM_POLE_MODEL'!$G$67)),-1,0)))</f>
        <v/>
      </c>
      <c r="BM13">
        <f>IF('06_ITEM_POLE_MODEL'!$E$68="ABSOLUTE SEMANTIC",0,IF(ISNUMBER(SEARCH($A13,'06_ITEM_POLE_MODEL'!$F$68)),1,IF(ISNUMBER(SEARCH($A13,'06_ITEM_POLE_MODEL'!$G$68)),-1,0)))</f>
        <v/>
      </c>
      <c r="BN13">
        <f>IF('06_ITEM_POLE_MODEL'!$E$69="ABSOLUTE SEMANTIC",0,IF(ISNUMBER(SEARCH($A13,'06_ITEM_POLE_MODEL'!$F$69)),1,IF(ISNUMBER(SEARCH($A13,'06_ITEM_POLE_MODEL'!$G$69)),-1,0)))</f>
        <v/>
      </c>
      <c r="BO13">
        <f>IF('06_ITEM_POLE_MODEL'!$E$70="ABSOLUTE SEMANTIC",0,IF(ISNUMBER(SEARCH($A13,'06_ITEM_POLE_MODEL'!$F$70)),1,IF(ISNUMBER(SEARCH($A13,'06_ITEM_POLE_MODEL'!$G$70)),-1,0)))</f>
        <v/>
      </c>
      <c r="BP13">
        <f>IF('06_ITEM_POLE_MODEL'!$E$71="ABSOLUTE SEMANTIC",0,IF(ISNUMBER(SEARCH($A13,'06_ITEM_POLE_MODEL'!$F$71)),1,IF(ISNUMBER(SEARCH($A13,'06_ITEM_POLE_MODEL'!$G$71)),-1,0)))</f>
        <v/>
      </c>
      <c r="BQ13">
        <f>IF('06_ITEM_POLE_MODEL'!$E$72="ABSOLUTE SEMANTIC",0,IF(ISNUMBER(SEARCH($A13,'06_ITEM_POLE_MODEL'!$F$72)),1,IF(ISNUMBER(SEARCH($A13,'06_ITEM_POLE_MODEL'!$G$72)),-1,0)))</f>
        <v/>
      </c>
      <c r="BR13">
        <f>IF('06_ITEM_POLE_MODEL'!$E$73="ABSOLUTE SEMANTIC",0,IF(ISNUMBER(SEARCH($A13,'06_ITEM_POLE_MODEL'!$F$73)),1,IF(ISNUMBER(SEARCH($A13,'06_ITEM_POLE_MODEL'!$G$73)),-1,0)))</f>
        <v/>
      </c>
      <c r="BS13">
        <f>IF('06_ITEM_POLE_MODEL'!$E$74="ABSOLUTE SEMANTIC",0,IF(ISNUMBER(SEARCH($A13,'06_ITEM_POLE_MODEL'!$F$74)),1,IF(ISNUMBER(SEARCH($A13,'06_ITEM_POLE_MODEL'!$G$74)),-1,0)))</f>
        <v/>
      </c>
      <c r="BT13">
        <f>IF('06_ITEM_POLE_MODEL'!$E$75="ABSOLUTE SEMANTIC",0,IF(ISNUMBER(SEARCH($A13,'06_ITEM_POLE_MODEL'!$F$75)),1,IF(ISNUMBER(SEARCH($A13,'06_ITEM_POLE_MODEL'!$G$75)),-1,0)))</f>
        <v/>
      </c>
      <c r="BU13">
        <f>IF('06_ITEM_POLE_MODEL'!$E$76="ABSOLUTE SEMANTIC",0,IF(ISNUMBER(SEARCH($A13,'06_ITEM_POLE_MODEL'!$F$76)),1,IF(ISNUMBER(SEARCH($A13,'06_ITEM_POLE_MODEL'!$G$76)),-1,0)))</f>
        <v/>
      </c>
      <c r="BV13">
        <f>IF('06_ITEM_POLE_MODEL'!$E$77="ABSOLUTE SEMANTIC",0,IF(ISNUMBER(SEARCH($A13,'06_ITEM_POLE_MODEL'!$F$77)),1,IF(ISNUMBER(SEARCH($A13,'06_ITEM_POLE_MODEL'!$G$77)),-1,0)))</f>
        <v/>
      </c>
      <c r="BW13">
        <f>IF('06_ITEM_POLE_MODEL'!$E$78="ABSOLUTE SEMANTIC",0,IF(ISNUMBER(SEARCH($A13,'06_ITEM_POLE_MODEL'!$F$78)),1,IF(ISNUMBER(SEARCH($A13,'06_ITEM_POLE_MODEL'!$G$78)),-1,0)))</f>
        <v/>
      </c>
      <c r="BX13">
        <f>IF('06_ITEM_POLE_MODEL'!$E$79="ABSOLUTE SEMANTIC",0,IF(ISNUMBER(SEARCH($A13,'06_ITEM_POLE_MODEL'!$F$79)),1,IF(ISNUMBER(SEARCH($A13,'06_ITEM_POLE_MODEL'!$G$79)),-1,0)))</f>
        <v/>
      </c>
      <c r="BY13">
        <f>IF('06_ITEM_POLE_MODEL'!$E$80="ABSOLUTE SEMANTIC",0,IF(ISNUMBER(SEARCH($A13,'06_ITEM_POLE_MODEL'!$F$80)),1,IF(ISNUMBER(SEARCH($A13,'06_ITEM_POLE_MODEL'!$G$80)),-1,0)))</f>
        <v/>
      </c>
      <c r="BZ13">
        <f>IF('06_ITEM_POLE_MODEL'!$E$81="ABSOLUTE SEMANTIC",0,IF(ISNUMBER(SEARCH($A13,'06_ITEM_POLE_MODEL'!$F$81)),1,IF(ISNUMBER(SEARCH($A13,'06_ITEM_POLE_MODEL'!$G$81)),-1,0)))</f>
        <v/>
      </c>
      <c r="CA13">
        <f>IF('06_ITEM_POLE_MODEL'!$E$82="ABSOLUTE SEMANTIC",0,IF(ISNUMBER(SEARCH($A13,'06_ITEM_POLE_MODEL'!$F$82)),1,IF(ISNUMBER(SEARCH($A13,'06_ITEM_POLE_MODEL'!$G$82)),-1,0)))</f>
        <v/>
      </c>
      <c r="CB13">
        <f>IF('06_ITEM_POLE_MODEL'!$E$83="ABSOLUTE SEMANTIC",0,IF(ISNUMBER(SEARCH($A13,'06_ITEM_POLE_MODEL'!$F$83)),1,IF(ISNUMBER(SEARCH($A13,'06_ITEM_POLE_MODEL'!$G$83)),-1,0)))</f>
        <v/>
      </c>
      <c r="CC13">
        <f>IF('06_ITEM_POLE_MODEL'!$E$84="ABSOLUTE SEMANTIC",0,IF(ISNUMBER(SEARCH($A13,'06_ITEM_POLE_MODEL'!$F$84)),1,IF(ISNUMBER(SEARCH($A13,'06_ITEM_POLE_MODEL'!$G$84)),-1,0)))</f>
        <v/>
      </c>
    </row>
    <row r="14">
      <c r="A14" t="inlineStr">
        <is>
          <t>Polarian</t>
        </is>
      </c>
      <c r="B14">
        <f>IF('06_ITEM_POLE_MODEL'!$E$5="ABSOLUTE SEMANTIC",0,IF(ISNUMBER(SEARCH($A14,'06_ITEM_POLE_MODEL'!$F$5)),1,IF(ISNUMBER(SEARCH($A14,'06_ITEM_POLE_MODEL'!$G$5)),-1,0)))</f>
        <v/>
      </c>
      <c r="C14">
        <f>IF('06_ITEM_POLE_MODEL'!$E$6="ABSOLUTE SEMANTIC",0,IF(ISNUMBER(SEARCH($A14,'06_ITEM_POLE_MODEL'!$F$6)),1,IF(ISNUMBER(SEARCH($A14,'06_ITEM_POLE_MODEL'!$G$6)),-1,0)))</f>
        <v/>
      </c>
      <c r="D14">
        <f>IF('06_ITEM_POLE_MODEL'!$E$7="ABSOLUTE SEMANTIC",0,IF(ISNUMBER(SEARCH($A14,'06_ITEM_POLE_MODEL'!$F$7)),1,IF(ISNUMBER(SEARCH($A14,'06_ITEM_POLE_MODEL'!$G$7)),-1,0)))</f>
        <v/>
      </c>
      <c r="E14">
        <f>IF('06_ITEM_POLE_MODEL'!$E$8="ABSOLUTE SEMANTIC",0,IF(ISNUMBER(SEARCH($A14,'06_ITEM_POLE_MODEL'!$F$8)),1,IF(ISNUMBER(SEARCH($A14,'06_ITEM_POLE_MODEL'!$G$8)),-1,0)))</f>
        <v/>
      </c>
      <c r="F14">
        <f>IF('06_ITEM_POLE_MODEL'!$E$9="ABSOLUTE SEMANTIC",0,IF(ISNUMBER(SEARCH($A14,'06_ITEM_POLE_MODEL'!$F$9)),1,IF(ISNUMBER(SEARCH($A14,'06_ITEM_POLE_MODEL'!$G$9)),-1,0)))</f>
        <v/>
      </c>
      <c r="G14">
        <f>IF('06_ITEM_POLE_MODEL'!$E$10="ABSOLUTE SEMANTIC",0,IF(ISNUMBER(SEARCH($A14,'06_ITEM_POLE_MODEL'!$F$10)),1,IF(ISNUMBER(SEARCH($A14,'06_ITEM_POLE_MODEL'!$G$10)),-1,0)))</f>
        <v/>
      </c>
      <c r="H14">
        <f>IF('06_ITEM_POLE_MODEL'!$E$11="ABSOLUTE SEMANTIC",0,IF(ISNUMBER(SEARCH($A14,'06_ITEM_POLE_MODEL'!$F$11)),1,IF(ISNUMBER(SEARCH($A14,'06_ITEM_POLE_MODEL'!$G$11)),-1,0)))</f>
        <v/>
      </c>
      <c r="I14">
        <f>IF('06_ITEM_POLE_MODEL'!$E$12="ABSOLUTE SEMANTIC",0,IF(ISNUMBER(SEARCH($A14,'06_ITEM_POLE_MODEL'!$F$12)),1,IF(ISNUMBER(SEARCH($A14,'06_ITEM_POLE_MODEL'!$G$12)),-1,0)))</f>
        <v/>
      </c>
      <c r="J14">
        <f>IF('06_ITEM_POLE_MODEL'!$E$13="ABSOLUTE SEMANTIC",0,IF(ISNUMBER(SEARCH($A14,'06_ITEM_POLE_MODEL'!$F$13)),1,IF(ISNUMBER(SEARCH($A14,'06_ITEM_POLE_MODEL'!$G$13)),-1,0)))</f>
        <v/>
      </c>
      <c r="K14">
        <f>IF('06_ITEM_POLE_MODEL'!$E$14="ABSOLUTE SEMANTIC",0,IF(ISNUMBER(SEARCH($A14,'06_ITEM_POLE_MODEL'!$F$14)),1,IF(ISNUMBER(SEARCH($A14,'06_ITEM_POLE_MODEL'!$G$14)),-1,0)))</f>
        <v/>
      </c>
      <c r="L14">
        <f>IF('06_ITEM_POLE_MODEL'!$E$15="ABSOLUTE SEMANTIC",0,IF(ISNUMBER(SEARCH($A14,'06_ITEM_POLE_MODEL'!$F$15)),1,IF(ISNUMBER(SEARCH($A14,'06_ITEM_POLE_MODEL'!$G$15)),-1,0)))</f>
        <v/>
      </c>
      <c r="M14">
        <f>IF('06_ITEM_POLE_MODEL'!$E$16="ABSOLUTE SEMANTIC",0,IF(ISNUMBER(SEARCH($A14,'06_ITEM_POLE_MODEL'!$F$16)),1,IF(ISNUMBER(SEARCH($A14,'06_ITEM_POLE_MODEL'!$G$16)),-1,0)))</f>
        <v/>
      </c>
      <c r="N14">
        <f>IF('06_ITEM_POLE_MODEL'!$E$17="ABSOLUTE SEMANTIC",0,IF(ISNUMBER(SEARCH($A14,'06_ITEM_POLE_MODEL'!$F$17)),1,IF(ISNUMBER(SEARCH($A14,'06_ITEM_POLE_MODEL'!$G$17)),-1,0)))</f>
        <v/>
      </c>
      <c r="O14">
        <f>IF('06_ITEM_POLE_MODEL'!$E$18="ABSOLUTE SEMANTIC",0,IF(ISNUMBER(SEARCH($A14,'06_ITEM_POLE_MODEL'!$F$18)),1,IF(ISNUMBER(SEARCH($A14,'06_ITEM_POLE_MODEL'!$G$18)),-1,0)))</f>
        <v/>
      </c>
      <c r="P14">
        <f>IF('06_ITEM_POLE_MODEL'!$E$19="ABSOLUTE SEMANTIC",0,IF(ISNUMBER(SEARCH($A14,'06_ITEM_POLE_MODEL'!$F$19)),1,IF(ISNUMBER(SEARCH($A14,'06_ITEM_POLE_MODEL'!$G$19)),-1,0)))</f>
        <v/>
      </c>
      <c r="Q14">
        <f>IF('06_ITEM_POLE_MODEL'!$E$20="ABSOLUTE SEMANTIC",0,IF(ISNUMBER(SEARCH($A14,'06_ITEM_POLE_MODEL'!$F$20)),1,IF(ISNUMBER(SEARCH($A14,'06_ITEM_POLE_MODEL'!$G$20)),-1,0)))</f>
        <v/>
      </c>
      <c r="R14">
        <f>IF('06_ITEM_POLE_MODEL'!$E$21="ABSOLUTE SEMANTIC",0,IF(ISNUMBER(SEARCH($A14,'06_ITEM_POLE_MODEL'!$F$21)),1,IF(ISNUMBER(SEARCH($A14,'06_ITEM_POLE_MODEL'!$G$21)),-1,0)))</f>
        <v/>
      </c>
      <c r="S14">
        <f>IF('06_ITEM_POLE_MODEL'!$E$22="ABSOLUTE SEMANTIC",0,IF(ISNUMBER(SEARCH($A14,'06_ITEM_POLE_MODEL'!$F$22)),1,IF(ISNUMBER(SEARCH($A14,'06_ITEM_POLE_MODEL'!$G$22)),-1,0)))</f>
        <v/>
      </c>
      <c r="T14">
        <f>IF('06_ITEM_POLE_MODEL'!$E$23="ABSOLUTE SEMANTIC",0,IF(ISNUMBER(SEARCH($A14,'06_ITEM_POLE_MODEL'!$F$23)),1,IF(ISNUMBER(SEARCH($A14,'06_ITEM_POLE_MODEL'!$G$23)),-1,0)))</f>
        <v/>
      </c>
      <c r="U14">
        <f>IF('06_ITEM_POLE_MODEL'!$E$24="ABSOLUTE SEMANTIC",0,IF(ISNUMBER(SEARCH($A14,'06_ITEM_POLE_MODEL'!$F$24)),1,IF(ISNUMBER(SEARCH($A14,'06_ITEM_POLE_MODEL'!$G$24)),-1,0)))</f>
        <v/>
      </c>
      <c r="V14">
        <f>IF('06_ITEM_POLE_MODEL'!$E$25="ABSOLUTE SEMANTIC",0,IF(ISNUMBER(SEARCH($A14,'06_ITEM_POLE_MODEL'!$F$25)),1,IF(ISNUMBER(SEARCH($A14,'06_ITEM_POLE_MODEL'!$G$25)),-1,0)))</f>
        <v/>
      </c>
      <c r="W14">
        <f>IF('06_ITEM_POLE_MODEL'!$E$26="ABSOLUTE SEMANTIC",0,IF(ISNUMBER(SEARCH($A14,'06_ITEM_POLE_MODEL'!$F$26)),1,IF(ISNUMBER(SEARCH($A14,'06_ITEM_POLE_MODEL'!$G$26)),-1,0)))</f>
        <v/>
      </c>
      <c r="X14">
        <f>IF('06_ITEM_POLE_MODEL'!$E$27="ABSOLUTE SEMANTIC",0,IF(ISNUMBER(SEARCH($A14,'06_ITEM_POLE_MODEL'!$F$27)),1,IF(ISNUMBER(SEARCH($A14,'06_ITEM_POLE_MODEL'!$G$27)),-1,0)))</f>
        <v/>
      </c>
      <c r="Y14">
        <f>IF('06_ITEM_POLE_MODEL'!$E$28="ABSOLUTE SEMANTIC",0,IF(ISNUMBER(SEARCH($A14,'06_ITEM_POLE_MODEL'!$F$28)),1,IF(ISNUMBER(SEARCH($A14,'06_ITEM_POLE_MODEL'!$G$28)),-1,0)))</f>
        <v/>
      </c>
      <c r="Z14">
        <f>IF('06_ITEM_POLE_MODEL'!$E$29="ABSOLUTE SEMANTIC",0,IF(ISNUMBER(SEARCH($A14,'06_ITEM_POLE_MODEL'!$F$29)),1,IF(ISNUMBER(SEARCH($A14,'06_ITEM_POLE_MODEL'!$G$29)),-1,0)))</f>
        <v/>
      </c>
      <c r="AA14">
        <f>IF('06_ITEM_POLE_MODEL'!$E$30="ABSOLUTE SEMANTIC",0,IF(ISNUMBER(SEARCH($A14,'06_ITEM_POLE_MODEL'!$F$30)),1,IF(ISNUMBER(SEARCH($A14,'06_ITEM_POLE_MODEL'!$G$30)),-1,0)))</f>
        <v/>
      </c>
      <c r="AB14">
        <f>IF('06_ITEM_POLE_MODEL'!$E$31="ABSOLUTE SEMANTIC",0,IF(ISNUMBER(SEARCH($A14,'06_ITEM_POLE_MODEL'!$F$31)),1,IF(ISNUMBER(SEARCH($A14,'06_ITEM_POLE_MODEL'!$G$31)),-1,0)))</f>
        <v/>
      </c>
      <c r="AC14">
        <f>IF('06_ITEM_POLE_MODEL'!$E$32="ABSOLUTE SEMANTIC",0,IF(ISNUMBER(SEARCH($A14,'06_ITEM_POLE_MODEL'!$F$32)),1,IF(ISNUMBER(SEARCH($A14,'06_ITEM_POLE_MODEL'!$G$32)),-1,0)))</f>
        <v/>
      </c>
      <c r="AD14">
        <f>IF('06_ITEM_POLE_MODEL'!$E$33="ABSOLUTE SEMANTIC",0,IF(ISNUMBER(SEARCH($A14,'06_ITEM_POLE_MODEL'!$F$33)),1,IF(ISNUMBER(SEARCH($A14,'06_ITEM_POLE_MODEL'!$G$33)),-1,0)))</f>
        <v/>
      </c>
      <c r="AE14">
        <f>IF('06_ITEM_POLE_MODEL'!$E$34="ABSOLUTE SEMANTIC",0,IF(ISNUMBER(SEARCH($A14,'06_ITEM_POLE_MODEL'!$F$34)),1,IF(ISNUMBER(SEARCH($A14,'06_ITEM_POLE_MODEL'!$G$34)),-1,0)))</f>
        <v/>
      </c>
      <c r="AF14">
        <f>IF('06_ITEM_POLE_MODEL'!$E$35="ABSOLUTE SEMANTIC",0,IF(ISNUMBER(SEARCH($A14,'06_ITEM_POLE_MODEL'!$F$35)),1,IF(ISNUMBER(SEARCH($A14,'06_ITEM_POLE_MODEL'!$G$35)),-1,0)))</f>
        <v/>
      </c>
      <c r="AG14">
        <f>IF('06_ITEM_POLE_MODEL'!$E$36="ABSOLUTE SEMANTIC",0,IF(ISNUMBER(SEARCH($A14,'06_ITEM_POLE_MODEL'!$F$36)),1,IF(ISNUMBER(SEARCH($A14,'06_ITEM_POLE_MODEL'!$G$36)),-1,0)))</f>
        <v/>
      </c>
      <c r="AH14">
        <f>IF('06_ITEM_POLE_MODEL'!$E$37="ABSOLUTE SEMANTIC",0,IF(ISNUMBER(SEARCH($A14,'06_ITEM_POLE_MODEL'!$F$37)),1,IF(ISNUMBER(SEARCH($A14,'06_ITEM_POLE_MODEL'!$G$37)),-1,0)))</f>
        <v/>
      </c>
      <c r="AI14">
        <f>IF('06_ITEM_POLE_MODEL'!$E$38="ABSOLUTE SEMANTIC",0,IF(ISNUMBER(SEARCH($A14,'06_ITEM_POLE_MODEL'!$F$38)),1,IF(ISNUMBER(SEARCH($A14,'06_ITEM_POLE_MODEL'!$G$38)),-1,0)))</f>
        <v/>
      </c>
      <c r="AJ14">
        <f>IF('06_ITEM_POLE_MODEL'!$E$39="ABSOLUTE SEMANTIC",0,IF(ISNUMBER(SEARCH($A14,'06_ITEM_POLE_MODEL'!$F$39)),1,IF(ISNUMBER(SEARCH($A14,'06_ITEM_POLE_MODEL'!$G$39)),-1,0)))</f>
        <v/>
      </c>
      <c r="AK14">
        <f>IF('06_ITEM_POLE_MODEL'!$E$40="ABSOLUTE SEMANTIC",0,IF(ISNUMBER(SEARCH($A14,'06_ITEM_POLE_MODEL'!$F$40)),1,IF(ISNUMBER(SEARCH($A14,'06_ITEM_POLE_MODEL'!$G$40)),-1,0)))</f>
        <v/>
      </c>
      <c r="AL14">
        <f>IF('06_ITEM_POLE_MODEL'!$E$41="ABSOLUTE SEMANTIC",0,IF(ISNUMBER(SEARCH($A14,'06_ITEM_POLE_MODEL'!$F$41)),1,IF(ISNUMBER(SEARCH($A14,'06_ITEM_POLE_MODEL'!$G$41)),-1,0)))</f>
        <v/>
      </c>
      <c r="AM14">
        <f>IF('06_ITEM_POLE_MODEL'!$E$42="ABSOLUTE SEMANTIC",0,IF(ISNUMBER(SEARCH($A14,'06_ITEM_POLE_MODEL'!$F$42)),1,IF(ISNUMBER(SEARCH($A14,'06_ITEM_POLE_MODEL'!$G$42)),-1,0)))</f>
        <v/>
      </c>
      <c r="AN14">
        <f>IF('06_ITEM_POLE_MODEL'!$E$43="ABSOLUTE SEMANTIC",0,IF(ISNUMBER(SEARCH($A14,'06_ITEM_POLE_MODEL'!$F$43)),1,IF(ISNUMBER(SEARCH($A14,'06_ITEM_POLE_MODEL'!$G$43)),-1,0)))</f>
        <v/>
      </c>
      <c r="AO14">
        <f>IF('06_ITEM_POLE_MODEL'!$E$44="ABSOLUTE SEMANTIC",0,IF(ISNUMBER(SEARCH($A14,'06_ITEM_POLE_MODEL'!$F$44)),1,IF(ISNUMBER(SEARCH($A14,'06_ITEM_POLE_MODEL'!$G$44)),-1,0)))</f>
        <v/>
      </c>
      <c r="AP14">
        <f>IF('06_ITEM_POLE_MODEL'!$E$45="ABSOLUTE SEMANTIC",0,IF(ISNUMBER(SEARCH($A14,'06_ITEM_POLE_MODEL'!$F$45)),1,IF(ISNUMBER(SEARCH($A14,'06_ITEM_POLE_MODEL'!$G$45)),-1,0)))</f>
        <v/>
      </c>
      <c r="AQ14">
        <f>IF('06_ITEM_POLE_MODEL'!$E$46="ABSOLUTE SEMANTIC",0,IF(ISNUMBER(SEARCH($A14,'06_ITEM_POLE_MODEL'!$F$46)),1,IF(ISNUMBER(SEARCH($A14,'06_ITEM_POLE_MODEL'!$G$46)),-1,0)))</f>
        <v/>
      </c>
      <c r="AR14">
        <f>IF('06_ITEM_POLE_MODEL'!$E$47="ABSOLUTE SEMANTIC",0,IF(ISNUMBER(SEARCH($A14,'06_ITEM_POLE_MODEL'!$F$47)),1,IF(ISNUMBER(SEARCH($A14,'06_ITEM_POLE_MODEL'!$G$47)),-1,0)))</f>
        <v/>
      </c>
      <c r="AS14">
        <f>IF('06_ITEM_POLE_MODEL'!$E$48="ABSOLUTE SEMANTIC",0,IF(ISNUMBER(SEARCH($A14,'06_ITEM_POLE_MODEL'!$F$48)),1,IF(ISNUMBER(SEARCH($A14,'06_ITEM_POLE_MODEL'!$G$48)),-1,0)))</f>
        <v/>
      </c>
      <c r="AT14">
        <f>IF('06_ITEM_POLE_MODEL'!$E$49="ABSOLUTE SEMANTIC",0,IF(ISNUMBER(SEARCH($A14,'06_ITEM_POLE_MODEL'!$F$49)),1,IF(ISNUMBER(SEARCH($A14,'06_ITEM_POLE_MODEL'!$G$49)),-1,0)))</f>
        <v/>
      </c>
      <c r="AU14">
        <f>IF('06_ITEM_POLE_MODEL'!$E$50="ABSOLUTE SEMANTIC",0,IF(ISNUMBER(SEARCH($A14,'06_ITEM_POLE_MODEL'!$F$50)),1,IF(ISNUMBER(SEARCH($A14,'06_ITEM_POLE_MODEL'!$G$50)),-1,0)))</f>
        <v/>
      </c>
      <c r="AV14">
        <f>IF('06_ITEM_POLE_MODEL'!$E$51="ABSOLUTE SEMANTIC",0,IF(ISNUMBER(SEARCH($A14,'06_ITEM_POLE_MODEL'!$F$51)),1,IF(ISNUMBER(SEARCH($A14,'06_ITEM_POLE_MODEL'!$G$51)),-1,0)))</f>
        <v/>
      </c>
      <c r="AW14">
        <f>IF('06_ITEM_POLE_MODEL'!$E$52="ABSOLUTE SEMANTIC",0,IF(ISNUMBER(SEARCH($A14,'06_ITEM_POLE_MODEL'!$F$52)),1,IF(ISNUMBER(SEARCH($A14,'06_ITEM_POLE_MODEL'!$G$52)),-1,0)))</f>
        <v/>
      </c>
      <c r="AX14">
        <f>IF('06_ITEM_POLE_MODEL'!$E$53="ABSOLUTE SEMANTIC",0,IF(ISNUMBER(SEARCH($A14,'06_ITEM_POLE_MODEL'!$F$53)),1,IF(ISNUMBER(SEARCH($A14,'06_ITEM_POLE_MODEL'!$G$53)),-1,0)))</f>
        <v/>
      </c>
      <c r="AY14">
        <f>IF('06_ITEM_POLE_MODEL'!$E$54="ABSOLUTE SEMANTIC",0,IF(ISNUMBER(SEARCH($A14,'06_ITEM_POLE_MODEL'!$F$54)),1,IF(ISNUMBER(SEARCH($A14,'06_ITEM_POLE_MODEL'!$G$54)),-1,0)))</f>
        <v/>
      </c>
      <c r="AZ14">
        <f>IF('06_ITEM_POLE_MODEL'!$E$55="ABSOLUTE SEMANTIC",0,IF(ISNUMBER(SEARCH($A14,'06_ITEM_POLE_MODEL'!$F$55)),1,IF(ISNUMBER(SEARCH($A14,'06_ITEM_POLE_MODEL'!$G$55)),-1,0)))</f>
        <v/>
      </c>
      <c r="BA14">
        <f>IF('06_ITEM_POLE_MODEL'!$E$56="ABSOLUTE SEMANTIC",0,IF(ISNUMBER(SEARCH($A14,'06_ITEM_POLE_MODEL'!$F$56)),1,IF(ISNUMBER(SEARCH($A14,'06_ITEM_POLE_MODEL'!$G$56)),-1,0)))</f>
        <v/>
      </c>
      <c r="BB14">
        <f>IF('06_ITEM_POLE_MODEL'!$E$57="ABSOLUTE SEMANTIC",0,IF(ISNUMBER(SEARCH($A14,'06_ITEM_POLE_MODEL'!$F$57)),1,IF(ISNUMBER(SEARCH($A14,'06_ITEM_POLE_MODEL'!$G$57)),-1,0)))</f>
        <v/>
      </c>
      <c r="BC14">
        <f>IF('06_ITEM_POLE_MODEL'!$E$58="ABSOLUTE SEMANTIC",0,IF(ISNUMBER(SEARCH($A14,'06_ITEM_POLE_MODEL'!$F$58)),1,IF(ISNUMBER(SEARCH($A14,'06_ITEM_POLE_MODEL'!$G$58)),-1,0)))</f>
        <v/>
      </c>
      <c r="BD14">
        <f>IF('06_ITEM_POLE_MODEL'!$E$59="ABSOLUTE SEMANTIC",0,IF(ISNUMBER(SEARCH($A14,'06_ITEM_POLE_MODEL'!$F$59)),1,IF(ISNUMBER(SEARCH($A14,'06_ITEM_POLE_MODEL'!$G$59)),-1,0)))</f>
        <v/>
      </c>
      <c r="BE14">
        <f>IF('06_ITEM_POLE_MODEL'!$E$60="ABSOLUTE SEMANTIC",0,IF(ISNUMBER(SEARCH($A14,'06_ITEM_POLE_MODEL'!$F$60)),1,IF(ISNUMBER(SEARCH($A14,'06_ITEM_POLE_MODEL'!$G$60)),-1,0)))</f>
        <v/>
      </c>
      <c r="BF14">
        <f>IF('06_ITEM_POLE_MODEL'!$E$61="ABSOLUTE SEMANTIC",0,IF(ISNUMBER(SEARCH($A14,'06_ITEM_POLE_MODEL'!$F$61)),1,IF(ISNUMBER(SEARCH($A14,'06_ITEM_POLE_MODEL'!$G$61)),-1,0)))</f>
        <v/>
      </c>
      <c r="BG14">
        <f>IF('06_ITEM_POLE_MODEL'!$E$62="ABSOLUTE SEMANTIC",0,IF(ISNUMBER(SEARCH($A14,'06_ITEM_POLE_MODEL'!$F$62)),1,IF(ISNUMBER(SEARCH($A14,'06_ITEM_POLE_MODEL'!$G$62)),-1,0)))</f>
        <v/>
      </c>
      <c r="BH14">
        <f>IF('06_ITEM_POLE_MODEL'!$E$63="ABSOLUTE SEMANTIC",0,IF(ISNUMBER(SEARCH($A14,'06_ITEM_POLE_MODEL'!$F$63)),1,IF(ISNUMBER(SEARCH($A14,'06_ITEM_POLE_MODEL'!$G$63)),-1,0)))</f>
        <v/>
      </c>
      <c r="BI14">
        <f>IF('06_ITEM_POLE_MODEL'!$E$64="ABSOLUTE SEMANTIC",0,IF(ISNUMBER(SEARCH($A14,'06_ITEM_POLE_MODEL'!$F$64)),1,IF(ISNUMBER(SEARCH($A14,'06_ITEM_POLE_MODEL'!$G$64)),-1,0)))</f>
        <v/>
      </c>
      <c r="BJ14">
        <f>IF('06_ITEM_POLE_MODEL'!$E$65="ABSOLUTE SEMANTIC",0,IF(ISNUMBER(SEARCH($A14,'06_ITEM_POLE_MODEL'!$F$65)),1,IF(ISNUMBER(SEARCH($A14,'06_ITEM_POLE_MODEL'!$G$65)),-1,0)))</f>
        <v/>
      </c>
      <c r="BK14">
        <f>IF('06_ITEM_POLE_MODEL'!$E$66="ABSOLUTE SEMANTIC",0,IF(ISNUMBER(SEARCH($A14,'06_ITEM_POLE_MODEL'!$F$66)),1,IF(ISNUMBER(SEARCH($A14,'06_ITEM_POLE_MODEL'!$G$66)),-1,0)))</f>
        <v/>
      </c>
      <c r="BL14">
        <f>IF('06_ITEM_POLE_MODEL'!$E$67="ABSOLUTE SEMANTIC",0,IF(ISNUMBER(SEARCH($A14,'06_ITEM_POLE_MODEL'!$F$67)),1,IF(ISNUMBER(SEARCH($A14,'06_ITEM_POLE_MODEL'!$G$67)),-1,0)))</f>
        <v/>
      </c>
      <c r="BM14">
        <f>IF('06_ITEM_POLE_MODEL'!$E$68="ABSOLUTE SEMANTIC",0,IF(ISNUMBER(SEARCH($A14,'06_ITEM_POLE_MODEL'!$F$68)),1,IF(ISNUMBER(SEARCH($A14,'06_ITEM_POLE_MODEL'!$G$68)),-1,0)))</f>
        <v/>
      </c>
      <c r="BN14">
        <f>IF('06_ITEM_POLE_MODEL'!$E$69="ABSOLUTE SEMANTIC",0,IF(ISNUMBER(SEARCH($A14,'06_ITEM_POLE_MODEL'!$F$69)),1,IF(ISNUMBER(SEARCH($A14,'06_ITEM_POLE_MODEL'!$G$69)),-1,0)))</f>
        <v/>
      </c>
      <c r="BO14">
        <f>IF('06_ITEM_POLE_MODEL'!$E$70="ABSOLUTE SEMANTIC",0,IF(ISNUMBER(SEARCH($A14,'06_ITEM_POLE_MODEL'!$F$70)),1,IF(ISNUMBER(SEARCH($A14,'06_ITEM_POLE_MODEL'!$G$70)),-1,0)))</f>
        <v/>
      </c>
      <c r="BP14">
        <f>IF('06_ITEM_POLE_MODEL'!$E$71="ABSOLUTE SEMANTIC",0,IF(ISNUMBER(SEARCH($A14,'06_ITEM_POLE_MODEL'!$F$71)),1,IF(ISNUMBER(SEARCH($A14,'06_ITEM_POLE_MODEL'!$G$71)),-1,0)))</f>
        <v/>
      </c>
      <c r="BQ14">
        <f>IF('06_ITEM_POLE_MODEL'!$E$72="ABSOLUTE SEMANTIC",0,IF(ISNUMBER(SEARCH($A14,'06_ITEM_POLE_MODEL'!$F$72)),1,IF(ISNUMBER(SEARCH($A14,'06_ITEM_POLE_MODEL'!$G$72)),-1,0)))</f>
        <v/>
      </c>
      <c r="BR14">
        <f>IF('06_ITEM_POLE_MODEL'!$E$73="ABSOLUTE SEMANTIC",0,IF(ISNUMBER(SEARCH($A14,'06_ITEM_POLE_MODEL'!$F$73)),1,IF(ISNUMBER(SEARCH($A14,'06_ITEM_POLE_MODEL'!$G$73)),-1,0)))</f>
        <v/>
      </c>
      <c r="BS14">
        <f>IF('06_ITEM_POLE_MODEL'!$E$74="ABSOLUTE SEMANTIC",0,IF(ISNUMBER(SEARCH($A14,'06_ITEM_POLE_MODEL'!$F$74)),1,IF(ISNUMBER(SEARCH($A14,'06_ITEM_POLE_MODEL'!$G$74)),-1,0)))</f>
        <v/>
      </c>
      <c r="BT14">
        <f>IF('06_ITEM_POLE_MODEL'!$E$75="ABSOLUTE SEMANTIC",0,IF(ISNUMBER(SEARCH($A14,'06_ITEM_POLE_MODEL'!$F$75)),1,IF(ISNUMBER(SEARCH($A14,'06_ITEM_POLE_MODEL'!$G$75)),-1,0)))</f>
        <v/>
      </c>
      <c r="BU14">
        <f>IF('06_ITEM_POLE_MODEL'!$E$76="ABSOLUTE SEMANTIC",0,IF(ISNUMBER(SEARCH($A14,'06_ITEM_POLE_MODEL'!$F$76)),1,IF(ISNUMBER(SEARCH($A14,'06_ITEM_POLE_MODEL'!$G$76)),-1,0)))</f>
        <v/>
      </c>
      <c r="BV14">
        <f>IF('06_ITEM_POLE_MODEL'!$E$77="ABSOLUTE SEMANTIC",0,IF(ISNUMBER(SEARCH($A14,'06_ITEM_POLE_MODEL'!$F$77)),1,IF(ISNUMBER(SEARCH($A14,'06_ITEM_POLE_MODEL'!$G$77)),-1,0)))</f>
        <v/>
      </c>
      <c r="BW14">
        <f>IF('06_ITEM_POLE_MODEL'!$E$78="ABSOLUTE SEMANTIC",0,IF(ISNUMBER(SEARCH($A14,'06_ITEM_POLE_MODEL'!$F$78)),1,IF(ISNUMBER(SEARCH($A14,'06_ITEM_POLE_MODEL'!$G$78)),-1,0)))</f>
        <v/>
      </c>
      <c r="BX14">
        <f>IF('06_ITEM_POLE_MODEL'!$E$79="ABSOLUTE SEMANTIC",0,IF(ISNUMBER(SEARCH($A14,'06_ITEM_POLE_MODEL'!$F$79)),1,IF(ISNUMBER(SEARCH($A14,'06_ITEM_POLE_MODEL'!$G$79)),-1,0)))</f>
        <v/>
      </c>
      <c r="BY14">
        <f>IF('06_ITEM_POLE_MODEL'!$E$80="ABSOLUTE SEMANTIC",0,IF(ISNUMBER(SEARCH($A14,'06_ITEM_POLE_MODEL'!$F$80)),1,IF(ISNUMBER(SEARCH($A14,'06_ITEM_POLE_MODEL'!$G$80)),-1,0)))</f>
        <v/>
      </c>
      <c r="BZ14">
        <f>IF('06_ITEM_POLE_MODEL'!$E$81="ABSOLUTE SEMANTIC",0,IF(ISNUMBER(SEARCH($A14,'06_ITEM_POLE_MODEL'!$F$81)),1,IF(ISNUMBER(SEARCH($A14,'06_ITEM_POLE_MODEL'!$G$81)),-1,0)))</f>
        <v/>
      </c>
      <c r="CA14">
        <f>IF('06_ITEM_POLE_MODEL'!$E$82="ABSOLUTE SEMANTIC",0,IF(ISNUMBER(SEARCH($A14,'06_ITEM_POLE_MODEL'!$F$82)),1,IF(ISNUMBER(SEARCH($A14,'06_ITEM_POLE_MODEL'!$G$82)),-1,0)))</f>
        <v/>
      </c>
      <c r="CB14">
        <f>IF('06_ITEM_POLE_MODEL'!$E$83="ABSOLUTE SEMANTIC",0,IF(ISNUMBER(SEARCH($A14,'06_ITEM_POLE_MODEL'!$F$83)),1,IF(ISNUMBER(SEARCH($A14,'06_ITEM_POLE_MODEL'!$G$83)),-1,0)))</f>
        <v/>
      </c>
      <c r="CC14">
        <f>IF('06_ITEM_POLE_MODEL'!$E$84="ABSOLUTE SEMANTIC",0,IF(ISNUMBER(SEARCH($A14,'06_ITEM_POLE_MODEL'!$F$84)),1,IF(ISNUMBER(SEARCH($A14,'06_ITEM_POLE_MODEL'!$G$84)),-1,0)))</f>
        <v/>
      </c>
    </row>
    <row r="15">
      <c r="A15" t="inlineStr">
        <is>
          <t>Alpha Centaurian</t>
        </is>
      </c>
      <c r="B15">
        <f>IF('06_ITEM_POLE_MODEL'!$E$5="ABSOLUTE SEMANTIC",0,IF(ISNUMBER(SEARCH($A15,'06_ITEM_POLE_MODEL'!$F$5)),1,IF(ISNUMBER(SEARCH($A15,'06_ITEM_POLE_MODEL'!$G$5)),-1,0)))</f>
        <v/>
      </c>
      <c r="C15">
        <f>IF('06_ITEM_POLE_MODEL'!$E$6="ABSOLUTE SEMANTIC",0,IF(ISNUMBER(SEARCH($A15,'06_ITEM_POLE_MODEL'!$F$6)),1,IF(ISNUMBER(SEARCH($A15,'06_ITEM_POLE_MODEL'!$G$6)),-1,0)))</f>
        <v/>
      </c>
      <c r="D15">
        <f>IF('06_ITEM_POLE_MODEL'!$E$7="ABSOLUTE SEMANTIC",0,IF(ISNUMBER(SEARCH($A15,'06_ITEM_POLE_MODEL'!$F$7)),1,IF(ISNUMBER(SEARCH($A15,'06_ITEM_POLE_MODEL'!$G$7)),-1,0)))</f>
        <v/>
      </c>
      <c r="E15">
        <f>IF('06_ITEM_POLE_MODEL'!$E$8="ABSOLUTE SEMANTIC",0,IF(ISNUMBER(SEARCH($A15,'06_ITEM_POLE_MODEL'!$F$8)),1,IF(ISNUMBER(SEARCH($A15,'06_ITEM_POLE_MODEL'!$G$8)),-1,0)))</f>
        <v/>
      </c>
      <c r="F15">
        <f>IF('06_ITEM_POLE_MODEL'!$E$9="ABSOLUTE SEMANTIC",0,IF(ISNUMBER(SEARCH($A15,'06_ITEM_POLE_MODEL'!$F$9)),1,IF(ISNUMBER(SEARCH($A15,'06_ITEM_POLE_MODEL'!$G$9)),-1,0)))</f>
        <v/>
      </c>
      <c r="G15">
        <f>IF('06_ITEM_POLE_MODEL'!$E$10="ABSOLUTE SEMANTIC",0,IF(ISNUMBER(SEARCH($A15,'06_ITEM_POLE_MODEL'!$F$10)),1,IF(ISNUMBER(SEARCH($A15,'06_ITEM_POLE_MODEL'!$G$10)),-1,0)))</f>
        <v/>
      </c>
      <c r="H15">
        <f>IF('06_ITEM_POLE_MODEL'!$E$11="ABSOLUTE SEMANTIC",0,IF(ISNUMBER(SEARCH($A15,'06_ITEM_POLE_MODEL'!$F$11)),1,IF(ISNUMBER(SEARCH($A15,'06_ITEM_POLE_MODEL'!$G$11)),-1,0)))</f>
        <v/>
      </c>
      <c r="I15">
        <f>IF('06_ITEM_POLE_MODEL'!$E$12="ABSOLUTE SEMANTIC",0,IF(ISNUMBER(SEARCH($A15,'06_ITEM_POLE_MODEL'!$F$12)),1,IF(ISNUMBER(SEARCH($A15,'06_ITEM_POLE_MODEL'!$G$12)),-1,0)))</f>
        <v/>
      </c>
      <c r="J15">
        <f>IF('06_ITEM_POLE_MODEL'!$E$13="ABSOLUTE SEMANTIC",0,IF(ISNUMBER(SEARCH($A15,'06_ITEM_POLE_MODEL'!$F$13)),1,IF(ISNUMBER(SEARCH($A15,'06_ITEM_POLE_MODEL'!$G$13)),-1,0)))</f>
        <v/>
      </c>
      <c r="K15">
        <f>IF('06_ITEM_POLE_MODEL'!$E$14="ABSOLUTE SEMANTIC",0,IF(ISNUMBER(SEARCH($A15,'06_ITEM_POLE_MODEL'!$F$14)),1,IF(ISNUMBER(SEARCH($A15,'06_ITEM_POLE_MODEL'!$G$14)),-1,0)))</f>
        <v/>
      </c>
      <c r="L15">
        <f>IF('06_ITEM_POLE_MODEL'!$E$15="ABSOLUTE SEMANTIC",0,IF(ISNUMBER(SEARCH($A15,'06_ITEM_POLE_MODEL'!$F$15)),1,IF(ISNUMBER(SEARCH($A15,'06_ITEM_POLE_MODEL'!$G$15)),-1,0)))</f>
        <v/>
      </c>
      <c r="M15">
        <f>IF('06_ITEM_POLE_MODEL'!$E$16="ABSOLUTE SEMANTIC",0,IF(ISNUMBER(SEARCH($A15,'06_ITEM_POLE_MODEL'!$F$16)),1,IF(ISNUMBER(SEARCH($A15,'06_ITEM_POLE_MODEL'!$G$16)),-1,0)))</f>
        <v/>
      </c>
      <c r="N15">
        <f>IF('06_ITEM_POLE_MODEL'!$E$17="ABSOLUTE SEMANTIC",0,IF(ISNUMBER(SEARCH($A15,'06_ITEM_POLE_MODEL'!$F$17)),1,IF(ISNUMBER(SEARCH($A15,'06_ITEM_POLE_MODEL'!$G$17)),-1,0)))</f>
        <v/>
      </c>
      <c r="O15">
        <f>IF('06_ITEM_POLE_MODEL'!$E$18="ABSOLUTE SEMANTIC",0,IF(ISNUMBER(SEARCH($A15,'06_ITEM_POLE_MODEL'!$F$18)),1,IF(ISNUMBER(SEARCH($A15,'06_ITEM_POLE_MODEL'!$G$18)),-1,0)))</f>
        <v/>
      </c>
      <c r="P15">
        <f>IF('06_ITEM_POLE_MODEL'!$E$19="ABSOLUTE SEMANTIC",0,IF(ISNUMBER(SEARCH($A15,'06_ITEM_POLE_MODEL'!$F$19)),1,IF(ISNUMBER(SEARCH($A15,'06_ITEM_POLE_MODEL'!$G$19)),-1,0)))</f>
        <v/>
      </c>
      <c r="Q15">
        <f>IF('06_ITEM_POLE_MODEL'!$E$20="ABSOLUTE SEMANTIC",0,IF(ISNUMBER(SEARCH($A15,'06_ITEM_POLE_MODEL'!$F$20)),1,IF(ISNUMBER(SEARCH($A15,'06_ITEM_POLE_MODEL'!$G$20)),-1,0)))</f>
        <v/>
      </c>
      <c r="R15">
        <f>IF('06_ITEM_POLE_MODEL'!$E$21="ABSOLUTE SEMANTIC",0,IF(ISNUMBER(SEARCH($A15,'06_ITEM_POLE_MODEL'!$F$21)),1,IF(ISNUMBER(SEARCH($A15,'06_ITEM_POLE_MODEL'!$G$21)),-1,0)))</f>
        <v/>
      </c>
      <c r="S15">
        <f>IF('06_ITEM_POLE_MODEL'!$E$22="ABSOLUTE SEMANTIC",0,IF(ISNUMBER(SEARCH($A15,'06_ITEM_POLE_MODEL'!$F$22)),1,IF(ISNUMBER(SEARCH($A15,'06_ITEM_POLE_MODEL'!$G$22)),-1,0)))</f>
        <v/>
      </c>
      <c r="T15">
        <f>IF('06_ITEM_POLE_MODEL'!$E$23="ABSOLUTE SEMANTIC",0,IF(ISNUMBER(SEARCH($A15,'06_ITEM_POLE_MODEL'!$F$23)),1,IF(ISNUMBER(SEARCH($A15,'06_ITEM_POLE_MODEL'!$G$23)),-1,0)))</f>
        <v/>
      </c>
      <c r="U15">
        <f>IF('06_ITEM_POLE_MODEL'!$E$24="ABSOLUTE SEMANTIC",0,IF(ISNUMBER(SEARCH($A15,'06_ITEM_POLE_MODEL'!$F$24)),1,IF(ISNUMBER(SEARCH($A15,'06_ITEM_POLE_MODEL'!$G$24)),-1,0)))</f>
        <v/>
      </c>
      <c r="V15">
        <f>IF('06_ITEM_POLE_MODEL'!$E$25="ABSOLUTE SEMANTIC",0,IF(ISNUMBER(SEARCH($A15,'06_ITEM_POLE_MODEL'!$F$25)),1,IF(ISNUMBER(SEARCH($A15,'06_ITEM_POLE_MODEL'!$G$25)),-1,0)))</f>
        <v/>
      </c>
      <c r="W15">
        <f>IF('06_ITEM_POLE_MODEL'!$E$26="ABSOLUTE SEMANTIC",0,IF(ISNUMBER(SEARCH($A15,'06_ITEM_POLE_MODEL'!$F$26)),1,IF(ISNUMBER(SEARCH($A15,'06_ITEM_POLE_MODEL'!$G$26)),-1,0)))</f>
        <v/>
      </c>
      <c r="X15">
        <f>IF('06_ITEM_POLE_MODEL'!$E$27="ABSOLUTE SEMANTIC",0,IF(ISNUMBER(SEARCH($A15,'06_ITEM_POLE_MODEL'!$F$27)),1,IF(ISNUMBER(SEARCH($A15,'06_ITEM_POLE_MODEL'!$G$27)),-1,0)))</f>
        <v/>
      </c>
      <c r="Y15">
        <f>IF('06_ITEM_POLE_MODEL'!$E$28="ABSOLUTE SEMANTIC",0,IF(ISNUMBER(SEARCH($A15,'06_ITEM_POLE_MODEL'!$F$28)),1,IF(ISNUMBER(SEARCH($A15,'06_ITEM_POLE_MODEL'!$G$28)),-1,0)))</f>
        <v/>
      </c>
      <c r="Z15">
        <f>IF('06_ITEM_POLE_MODEL'!$E$29="ABSOLUTE SEMANTIC",0,IF(ISNUMBER(SEARCH($A15,'06_ITEM_POLE_MODEL'!$F$29)),1,IF(ISNUMBER(SEARCH($A15,'06_ITEM_POLE_MODEL'!$G$29)),-1,0)))</f>
        <v/>
      </c>
      <c r="AA15">
        <f>IF('06_ITEM_POLE_MODEL'!$E$30="ABSOLUTE SEMANTIC",0,IF(ISNUMBER(SEARCH($A15,'06_ITEM_POLE_MODEL'!$F$30)),1,IF(ISNUMBER(SEARCH($A15,'06_ITEM_POLE_MODEL'!$G$30)),-1,0)))</f>
        <v/>
      </c>
      <c r="AB15">
        <f>IF('06_ITEM_POLE_MODEL'!$E$31="ABSOLUTE SEMANTIC",0,IF(ISNUMBER(SEARCH($A15,'06_ITEM_POLE_MODEL'!$F$31)),1,IF(ISNUMBER(SEARCH($A15,'06_ITEM_POLE_MODEL'!$G$31)),-1,0)))</f>
        <v/>
      </c>
      <c r="AC15">
        <f>IF('06_ITEM_POLE_MODEL'!$E$32="ABSOLUTE SEMANTIC",0,IF(ISNUMBER(SEARCH($A15,'06_ITEM_POLE_MODEL'!$F$32)),1,IF(ISNUMBER(SEARCH($A15,'06_ITEM_POLE_MODEL'!$G$32)),-1,0)))</f>
        <v/>
      </c>
      <c r="AD15">
        <f>IF('06_ITEM_POLE_MODEL'!$E$33="ABSOLUTE SEMANTIC",0,IF(ISNUMBER(SEARCH($A15,'06_ITEM_POLE_MODEL'!$F$33)),1,IF(ISNUMBER(SEARCH($A15,'06_ITEM_POLE_MODEL'!$G$33)),-1,0)))</f>
        <v/>
      </c>
      <c r="AE15">
        <f>IF('06_ITEM_POLE_MODEL'!$E$34="ABSOLUTE SEMANTIC",0,IF(ISNUMBER(SEARCH($A15,'06_ITEM_POLE_MODEL'!$F$34)),1,IF(ISNUMBER(SEARCH($A15,'06_ITEM_POLE_MODEL'!$G$34)),-1,0)))</f>
        <v/>
      </c>
      <c r="AF15">
        <f>IF('06_ITEM_POLE_MODEL'!$E$35="ABSOLUTE SEMANTIC",0,IF(ISNUMBER(SEARCH($A15,'06_ITEM_POLE_MODEL'!$F$35)),1,IF(ISNUMBER(SEARCH($A15,'06_ITEM_POLE_MODEL'!$G$35)),-1,0)))</f>
        <v/>
      </c>
      <c r="AG15">
        <f>IF('06_ITEM_POLE_MODEL'!$E$36="ABSOLUTE SEMANTIC",0,IF(ISNUMBER(SEARCH($A15,'06_ITEM_POLE_MODEL'!$F$36)),1,IF(ISNUMBER(SEARCH($A15,'06_ITEM_POLE_MODEL'!$G$36)),-1,0)))</f>
        <v/>
      </c>
      <c r="AH15">
        <f>IF('06_ITEM_POLE_MODEL'!$E$37="ABSOLUTE SEMANTIC",0,IF(ISNUMBER(SEARCH($A15,'06_ITEM_POLE_MODEL'!$F$37)),1,IF(ISNUMBER(SEARCH($A15,'06_ITEM_POLE_MODEL'!$G$37)),-1,0)))</f>
        <v/>
      </c>
      <c r="AI15">
        <f>IF('06_ITEM_POLE_MODEL'!$E$38="ABSOLUTE SEMANTIC",0,IF(ISNUMBER(SEARCH($A15,'06_ITEM_POLE_MODEL'!$F$38)),1,IF(ISNUMBER(SEARCH($A15,'06_ITEM_POLE_MODEL'!$G$38)),-1,0)))</f>
        <v/>
      </c>
      <c r="AJ15">
        <f>IF('06_ITEM_POLE_MODEL'!$E$39="ABSOLUTE SEMANTIC",0,IF(ISNUMBER(SEARCH($A15,'06_ITEM_POLE_MODEL'!$F$39)),1,IF(ISNUMBER(SEARCH($A15,'06_ITEM_POLE_MODEL'!$G$39)),-1,0)))</f>
        <v/>
      </c>
      <c r="AK15">
        <f>IF('06_ITEM_POLE_MODEL'!$E$40="ABSOLUTE SEMANTIC",0,IF(ISNUMBER(SEARCH($A15,'06_ITEM_POLE_MODEL'!$F$40)),1,IF(ISNUMBER(SEARCH($A15,'06_ITEM_POLE_MODEL'!$G$40)),-1,0)))</f>
        <v/>
      </c>
      <c r="AL15">
        <f>IF('06_ITEM_POLE_MODEL'!$E$41="ABSOLUTE SEMANTIC",0,IF(ISNUMBER(SEARCH($A15,'06_ITEM_POLE_MODEL'!$F$41)),1,IF(ISNUMBER(SEARCH($A15,'06_ITEM_POLE_MODEL'!$G$41)),-1,0)))</f>
        <v/>
      </c>
      <c r="AM15">
        <f>IF('06_ITEM_POLE_MODEL'!$E$42="ABSOLUTE SEMANTIC",0,IF(ISNUMBER(SEARCH($A15,'06_ITEM_POLE_MODEL'!$F$42)),1,IF(ISNUMBER(SEARCH($A15,'06_ITEM_POLE_MODEL'!$G$42)),-1,0)))</f>
        <v/>
      </c>
      <c r="AN15">
        <f>IF('06_ITEM_POLE_MODEL'!$E$43="ABSOLUTE SEMANTIC",0,IF(ISNUMBER(SEARCH($A15,'06_ITEM_POLE_MODEL'!$F$43)),1,IF(ISNUMBER(SEARCH($A15,'06_ITEM_POLE_MODEL'!$G$43)),-1,0)))</f>
        <v/>
      </c>
      <c r="AO15">
        <f>IF('06_ITEM_POLE_MODEL'!$E$44="ABSOLUTE SEMANTIC",0,IF(ISNUMBER(SEARCH($A15,'06_ITEM_POLE_MODEL'!$F$44)),1,IF(ISNUMBER(SEARCH($A15,'06_ITEM_POLE_MODEL'!$G$44)),-1,0)))</f>
        <v/>
      </c>
      <c r="AP15">
        <f>IF('06_ITEM_POLE_MODEL'!$E$45="ABSOLUTE SEMANTIC",0,IF(ISNUMBER(SEARCH($A15,'06_ITEM_POLE_MODEL'!$F$45)),1,IF(ISNUMBER(SEARCH($A15,'06_ITEM_POLE_MODEL'!$G$45)),-1,0)))</f>
        <v/>
      </c>
      <c r="AQ15">
        <f>IF('06_ITEM_POLE_MODEL'!$E$46="ABSOLUTE SEMANTIC",0,IF(ISNUMBER(SEARCH($A15,'06_ITEM_POLE_MODEL'!$F$46)),1,IF(ISNUMBER(SEARCH($A15,'06_ITEM_POLE_MODEL'!$G$46)),-1,0)))</f>
        <v/>
      </c>
      <c r="AR15">
        <f>IF('06_ITEM_POLE_MODEL'!$E$47="ABSOLUTE SEMANTIC",0,IF(ISNUMBER(SEARCH($A15,'06_ITEM_POLE_MODEL'!$F$47)),1,IF(ISNUMBER(SEARCH($A15,'06_ITEM_POLE_MODEL'!$G$47)),-1,0)))</f>
        <v/>
      </c>
      <c r="AS15">
        <f>IF('06_ITEM_POLE_MODEL'!$E$48="ABSOLUTE SEMANTIC",0,IF(ISNUMBER(SEARCH($A15,'06_ITEM_POLE_MODEL'!$F$48)),1,IF(ISNUMBER(SEARCH($A15,'06_ITEM_POLE_MODEL'!$G$48)),-1,0)))</f>
        <v/>
      </c>
      <c r="AT15">
        <f>IF('06_ITEM_POLE_MODEL'!$E$49="ABSOLUTE SEMANTIC",0,IF(ISNUMBER(SEARCH($A15,'06_ITEM_POLE_MODEL'!$F$49)),1,IF(ISNUMBER(SEARCH($A15,'06_ITEM_POLE_MODEL'!$G$49)),-1,0)))</f>
        <v/>
      </c>
      <c r="AU15">
        <f>IF('06_ITEM_POLE_MODEL'!$E$50="ABSOLUTE SEMANTIC",0,IF(ISNUMBER(SEARCH($A15,'06_ITEM_POLE_MODEL'!$F$50)),1,IF(ISNUMBER(SEARCH($A15,'06_ITEM_POLE_MODEL'!$G$50)),-1,0)))</f>
        <v/>
      </c>
      <c r="AV15">
        <f>IF('06_ITEM_POLE_MODEL'!$E$51="ABSOLUTE SEMANTIC",0,IF(ISNUMBER(SEARCH($A15,'06_ITEM_POLE_MODEL'!$F$51)),1,IF(ISNUMBER(SEARCH($A15,'06_ITEM_POLE_MODEL'!$G$51)),-1,0)))</f>
        <v/>
      </c>
      <c r="AW15">
        <f>IF('06_ITEM_POLE_MODEL'!$E$52="ABSOLUTE SEMANTIC",0,IF(ISNUMBER(SEARCH($A15,'06_ITEM_POLE_MODEL'!$F$52)),1,IF(ISNUMBER(SEARCH($A15,'06_ITEM_POLE_MODEL'!$G$52)),-1,0)))</f>
        <v/>
      </c>
      <c r="AX15">
        <f>IF('06_ITEM_POLE_MODEL'!$E$53="ABSOLUTE SEMANTIC",0,IF(ISNUMBER(SEARCH($A15,'06_ITEM_POLE_MODEL'!$F$53)),1,IF(ISNUMBER(SEARCH($A15,'06_ITEM_POLE_MODEL'!$G$53)),-1,0)))</f>
        <v/>
      </c>
      <c r="AY15">
        <f>IF('06_ITEM_POLE_MODEL'!$E$54="ABSOLUTE SEMANTIC",0,IF(ISNUMBER(SEARCH($A15,'06_ITEM_POLE_MODEL'!$F$54)),1,IF(ISNUMBER(SEARCH($A15,'06_ITEM_POLE_MODEL'!$G$54)),-1,0)))</f>
        <v/>
      </c>
      <c r="AZ15">
        <f>IF('06_ITEM_POLE_MODEL'!$E$55="ABSOLUTE SEMANTIC",0,IF(ISNUMBER(SEARCH($A15,'06_ITEM_POLE_MODEL'!$F$55)),1,IF(ISNUMBER(SEARCH($A15,'06_ITEM_POLE_MODEL'!$G$55)),-1,0)))</f>
        <v/>
      </c>
      <c r="BA15">
        <f>IF('06_ITEM_POLE_MODEL'!$E$56="ABSOLUTE SEMANTIC",0,IF(ISNUMBER(SEARCH($A15,'06_ITEM_POLE_MODEL'!$F$56)),1,IF(ISNUMBER(SEARCH($A15,'06_ITEM_POLE_MODEL'!$G$56)),-1,0)))</f>
        <v/>
      </c>
      <c r="BB15">
        <f>IF('06_ITEM_POLE_MODEL'!$E$57="ABSOLUTE SEMANTIC",0,IF(ISNUMBER(SEARCH($A15,'06_ITEM_POLE_MODEL'!$F$57)),1,IF(ISNUMBER(SEARCH($A15,'06_ITEM_POLE_MODEL'!$G$57)),-1,0)))</f>
        <v/>
      </c>
      <c r="BC15">
        <f>IF('06_ITEM_POLE_MODEL'!$E$58="ABSOLUTE SEMANTIC",0,IF(ISNUMBER(SEARCH($A15,'06_ITEM_POLE_MODEL'!$F$58)),1,IF(ISNUMBER(SEARCH($A15,'06_ITEM_POLE_MODEL'!$G$58)),-1,0)))</f>
        <v/>
      </c>
      <c r="BD15">
        <f>IF('06_ITEM_POLE_MODEL'!$E$59="ABSOLUTE SEMANTIC",0,IF(ISNUMBER(SEARCH($A15,'06_ITEM_POLE_MODEL'!$F$59)),1,IF(ISNUMBER(SEARCH($A15,'06_ITEM_POLE_MODEL'!$G$59)),-1,0)))</f>
        <v/>
      </c>
      <c r="BE15">
        <f>IF('06_ITEM_POLE_MODEL'!$E$60="ABSOLUTE SEMANTIC",0,IF(ISNUMBER(SEARCH($A15,'06_ITEM_POLE_MODEL'!$F$60)),1,IF(ISNUMBER(SEARCH($A15,'06_ITEM_POLE_MODEL'!$G$60)),-1,0)))</f>
        <v/>
      </c>
      <c r="BF15">
        <f>IF('06_ITEM_POLE_MODEL'!$E$61="ABSOLUTE SEMANTIC",0,IF(ISNUMBER(SEARCH($A15,'06_ITEM_POLE_MODEL'!$F$61)),1,IF(ISNUMBER(SEARCH($A15,'06_ITEM_POLE_MODEL'!$G$61)),-1,0)))</f>
        <v/>
      </c>
      <c r="BG15">
        <f>IF('06_ITEM_POLE_MODEL'!$E$62="ABSOLUTE SEMANTIC",0,IF(ISNUMBER(SEARCH($A15,'06_ITEM_POLE_MODEL'!$F$62)),1,IF(ISNUMBER(SEARCH($A15,'06_ITEM_POLE_MODEL'!$G$62)),-1,0)))</f>
        <v/>
      </c>
      <c r="BH15">
        <f>IF('06_ITEM_POLE_MODEL'!$E$63="ABSOLUTE SEMANTIC",0,IF(ISNUMBER(SEARCH($A15,'06_ITEM_POLE_MODEL'!$F$63)),1,IF(ISNUMBER(SEARCH($A15,'06_ITEM_POLE_MODEL'!$G$63)),-1,0)))</f>
        <v/>
      </c>
      <c r="BI15">
        <f>IF('06_ITEM_POLE_MODEL'!$E$64="ABSOLUTE SEMANTIC",0,IF(ISNUMBER(SEARCH($A15,'06_ITEM_POLE_MODEL'!$F$64)),1,IF(ISNUMBER(SEARCH($A15,'06_ITEM_POLE_MODEL'!$G$64)),-1,0)))</f>
        <v/>
      </c>
      <c r="BJ15">
        <f>IF('06_ITEM_POLE_MODEL'!$E$65="ABSOLUTE SEMANTIC",0,IF(ISNUMBER(SEARCH($A15,'06_ITEM_POLE_MODEL'!$F$65)),1,IF(ISNUMBER(SEARCH($A15,'06_ITEM_POLE_MODEL'!$G$65)),-1,0)))</f>
        <v/>
      </c>
      <c r="BK15">
        <f>IF('06_ITEM_POLE_MODEL'!$E$66="ABSOLUTE SEMANTIC",0,IF(ISNUMBER(SEARCH($A15,'06_ITEM_POLE_MODEL'!$F$66)),1,IF(ISNUMBER(SEARCH($A15,'06_ITEM_POLE_MODEL'!$G$66)),-1,0)))</f>
        <v/>
      </c>
      <c r="BL15">
        <f>IF('06_ITEM_POLE_MODEL'!$E$67="ABSOLUTE SEMANTIC",0,IF(ISNUMBER(SEARCH($A15,'06_ITEM_POLE_MODEL'!$F$67)),1,IF(ISNUMBER(SEARCH($A15,'06_ITEM_POLE_MODEL'!$G$67)),-1,0)))</f>
        <v/>
      </c>
      <c r="BM15">
        <f>IF('06_ITEM_POLE_MODEL'!$E$68="ABSOLUTE SEMANTIC",0,IF(ISNUMBER(SEARCH($A15,'06_ITEM_POLE_MODEL'!$F$68)),1,IF(ISNUMBER(SEARCH($A15,'06_ITEM_POLE_MODEL'!$G$68)),-1,0)))</f>
        <v/>
      </c>
      <c r="BN15">
        <f>IF('06_ITEM_POLE_MODEL'!$E$69="ABSOLUTE SEMANTIC",0,IF(ISNUMBER(SEARCH($A15,'06_ITEM_POLE_MODEL'!$F$69)),1,IF(ISNUMBER(SEARCH($A15,'06_ITEM_POLE_MODEL'!$G$69)),-1,0)))</f>
        <v/>
      </c>
      <c r="BO15">
        <f>IF('06_ITEM_POLE_MODEL'!$E$70="ABSOLUTE SEMANTIC",0,IF(ISNUMBER(SEARCH($A15,'06_ITEM_POLE_MODEL'!$F$70)),1,IF(ISNUMBER(SEARCH($A15,'06_ITEM_POLE_MODEL'!$G$70)),-1,0)))</f>
        <v/>
      </c>
      <c r="BP15">
        <f>IF('06_ITEM_POLE_MODEL'!$E$71="ABSOLUTE SEMANTIC",0,IF(ISNUMBER(SEARCH($A15,'06_ITEM_POLE_MODEL'!$F$71)),1,IF(ISNUMBER(SEARCH($A15,'06_ITEM_POLE_MODEL'!$G$71)),-1,0)))</f>
        <v/>
      </c>
      <c r="BQ15">
        <f>IF('06_ITEM_POLE_MODEL'!$E$72="ABSOLUTE SEMANTIC",0,IF(ISNUMBER(SEARCH($A15,'06_ITEM_POLE_MODEL'!$F$72)),1,IF(ISNUMBER(SEARCH($A15,'06_ITEM_POLE_MODEL'!$G$72)),-1,0)))</f>
        <v/>
      </c>
      <c r="BR15">
        <f>IF('06_ITEM_POLE_MODEL'!$E$73="ABSOLUTE SEMANTIC",0,IF(ISNUMBER(SEARCH($A15,'06_ITEM_POLE_MODEL'!$F$73)),1,IF(ISNUMBER(SEARCH($A15,'06_ITEM_POLE_MODEL'!$G$73)),-1,0)))</f>
        <v/>
      </c>
      <c r="BS15">
        <f>IF('06_ITEM_POLE_MODEL'!$E$74="ABSOLUTE SEMANTIC",0,IF(ISNUMBER(SEARCH($A15,'06_ITEM_POLE_MODEL'!$F$74)),1,IF(ISNUMBER(SEARCH($A15,'06_ITEM_POLE_MODEL'!$G$74)),-1,0)))</f>
        <v/>
      </c>
      <c r="BT15">
        <f>IF('06_ITEM_POLE_MODEL'!$E$75="ABSOLUTE SEMANTIC",0,IF(ISNUMBER(SEARCH($A15,'06_ITEM_POLE_MODEL'!$F$75)),1,IF(ISNUMBER(SEARCH($A15,'06_ITEM_POLE_MODEL'!$G$75)),-1,0)))</f>
        <v/>
      </c>
      <c r="BU15">
        <f>IF('06_ITEM_POLE_MODEL'!$E$76="ABSOLUTE SEMANTIC",0,IF(ISNUMBER(SEARCH($A15,'06_ITEM_POLE_MODEL'!$F$76)),1,IF(ISNUMBER(SEARCH($A15,'06_ITEM_POLE_MODEL'!$G$76)),-1,0)))</f>
        <v/>
      </c>
      <c r="BV15">
        <f>IF('06_ITEM_POLE_MODEL'!$E$77="ABSOLUTE SEMANTIC",0,IF(ISNUMBER(SEARCH($A15,'06_ITEM_POLE_MODEL'!$F$77)),1,IF(ISNUMBER(SEARCH($A15,'06_ITEM_POLE_MODEL'!$G$77)),-1,0)))</f>
        <v/>
      </c>
      <c r="BW15">
        <f>IF('06_ITEM_POLE_MODEL'!$E$78="ABSOLUTE SEMANTIC",0,IF(ISNUMBER(SEARCH($A15,'06_ITEM_POLE_MODEL'!$F$78)),1,IF(ISNUMBER(SEARCH($A15,'06_ITEM_POLE_MODEL'!$G$78)),-1,0)))</f>
        <v/>
      </c>
      <c r="BX15">
        <f>IF('06_ITEM_POLE_MODEL'!$E$79="ABSOLUTE SEMANTIC",0,IF(ISNUMBER(SEARCH($A15,'06_ITEM_POLE_MODEL'!$F$79)),1,IF(ISNUMBER(SEARCH($A15,'06_ITEM_POLE_MODEL'!$G$79)),-1,0)))</f>
        <v/>
      </c>
      <c r="BY15">
        <f>IF('06_ITEM_POLE_MODEL'!$E$80="ABSOLUTE SEMANTIC",0,IF(ISNUMBER(SEARCH($A15,'06_ITEM_POLE_MODEL'!$F$80)),1,IF(ISNUMBER(SEARCH($A15,'06_ITEM_POLE_MODEL'!$G$80)),-1,0)))</f>
        <v/>
      </c>
      <c r="BZ15">
        <f>IF('06_ITEM_POLE_MODEL'!$E$81="ABSOLUTE SEMANTIC",0,IF(ISNUMBER(SEARCH($A15,'06_ITEM_POLE_MODEL'!$F$81)),1,IF(ISNUMBER(SEARCH($A15,'06_ITEM_POLE_MODEL'!$G$81)),-1,0)))</f>
        <v/>
      </c>
      <c r="CA15">
        <f>IF('06_ITEM_POLE_MODEL'!$E$82="ABSOLUTE SEMANTIC",0,IF(ISNUMBER(SEARCH($A15,'06_ITEM_POLE_MODEL'!$F$82)),1,IF(ISNUMBER(SEARCH($A15,'06_ITEM_POLE_MODEL'!$G$82)),-1,0)))</f>
        <v/>
      </c>
      <c r="CB15">
        <f>IF('06_ITEM_POLE_MODEL'!$E$83="ABSOLUTE SEMANTIC",0,IF(ISNUMBER(SEARCH($A15,'06_ITEM_POLE_MODEL'!$F$83)),1,IF(ISNUMBER(SEARCH($A15,'06_ITEM_POLE_MODEL'!$G$83)),-1,0)))</f>
        <v/>
      </c>
      <c r="CC15">
        <f>IF('06_ITEM_POLE_MODEL'!$E$84="ABSOLUTE SEMANTIC",0,IF(ISNUMBER(SEARCH($A15,'06_ITEM_POLE_MODEL'!$F$84)),1,IF(ISNUMBER(SEARCH($A15,'06_ITEM_POLE_MODEL'!$G$84)),-1,0)))</f>
        <v/>
      </c>
    </row>
    <row r="16">
      <c r="A16" t="inlineStr">
        <is>
          <t>Vegan</t>
        </is>
      </c>
      <c r="B16">
        <f>IF('06_ITEM_POLE_MODEL'!$E$5="ABSOLUTE SEMANTIC",0,IF(ISNUMBER(SEARCH($A16,'06_ITEM_POLE_MODEL'!$F$5)),1,IF(ISNUMBER(SEARCH($A16,'06_ITEM_POLE_MODEL'!$G$5)),-1,0)))</f>
        <v/>
      </c>
      <c r="C16">
        <f>IF('06_ITEM_POLE_MODEL'!$E$6="ABSOLUTE SEMANTIC",0,IF(ISNUMBER(SEARCH($A16,'06_ITEM_POLE_MODEL'!$F$6)),1,IF(ISNUMBER(SEARCH($A16,'06_ITEM_POLE_MODEL'!$G$6)),-1,0)))</f>
        <v/>
      </c>
      <c r="D16">
        <f>IF('06_ITEM_POLE_MODEL'!$E$7="ABSOLUTE SEMANTIC",0,IF(ISNUMBER(SEARCH($A16,'06_ITEM_POLE_MODEL'!$F$7)),1,IF(ISNUMBER(SEARCH($A16,'06_ITEM_POLE_MODEL'!$G$7)),-1,0)))</f>
        <v/>
      </c>
      <c r="E16">
        <f>IF('06_ITEM_POLE_MODEL'!$E$8="ABSOLUTE SEMANTIC",0,IF(ISNUMBER(SEARCH($A16,'06_ITEM_POLE_MODEL'!$F$8)),1,IF(ISNUMBER(SEARCH($A16,'06_ITEM_POLE_MODEL'!$G$8)),-1,0)))</f>
        <v/>
      </c>
      <c r="F16">
        <f>IF('06_ITEM_POLE_MODEL'!$E$9="ABSOLUTE SEMANTIC",0,IF(ISNUMBER(SEARCH($A16,'06_ITEM_POLE_MODEL'!$F$9)),1,IF(ISNUMBER(SEARCH($A16,'06_ITEM_POLE_MODEL'!$G$9)),-1,0)))</f>
        <v/>
      </c>
      <c r="G16">
        <f>IF('06_ITEM_POLE_MODEL'!$E$10="ABSOLUTE SEMANTIC",0,IF(ISNUMBER(SEARCH($A16,'06_ITEM_POLE_MODEL'!$F$10)),1,IF(ISNUMBER(SEARCH($A16,'06_ITEM_POLE_MODEL'!$G$10)),-1,0)))</f>
        <v/>
      </c>
      <c r="H16">
        <f>IF('06_ITEM_POLE_MODEL'!$E$11="ABSOLUTE SEMANTIC",0,IF(ISNUMBER(SEARCH($A16,'06_ITEM_POLE_MODEL'!$F$11)),1,IF(ISNUMBER(SEARCH($A16,'06_ITEM_POLE_MODEL'!$G$11)),-1,0)))</f>
        <v/>
      </c>
      <c r="I16">
        <f>IF('06_ITEM_POLE_MODEL'!$E$12="ABSOLUTE SEMANTIC",0,IF(ISNUMBER(SEARCH($A16,'06_ITEM_POLE_MODEL'!$F$12)),1,IF(ISNUMBER(SEARCH($A16,'06_ITEM_POLE_MODEL'!$G$12)),-1,0)))</f>
        <v/>
      </c>
      <c r="J16">
        <f>IF('06_ITEM_POLE_MODEL'!$E$13="ABSOLUTE SEMANTIC",0,IF(ISNUMBER(SEARCH($A16,'06_ITEM_POLE_MODEL'!$F$13)),1,IF(ISNUMBER(SEARCH($A16,'06_ITEM_POLE_MODEL'!$G$13)),-1,0)))</f>
        <v/>
      </c>
      <c r="K16">
        <f>IF('06_ITEM_POLE_MODEL'!$E$14="ABSOLUTE SEMANTIC",0,IF(ISNUMBER(SEARCH($A16,'06_ITEM_POLE_MODEL'!$F$14)),1,IF(ISNUMBER(SEARCH($A16,'06_ITEM_POLE_MODEL'!$G$14)),-1,0)))</f>
        <v/>
      </c>
      <c r="L16">
        <f>IF('06_ITEM_POLE_MODEL'!$E$15="ABSOLUTE SEMANTIC",0,IF(ISNUMBER(SEARCH($A16,'06_ITEM_POLE_MODEL'!$F$15)),1,IF(ISNUMBER(SEARCH($A16,'06_ITEM_POLE_MODEL'!$G$15)),-1,0)))</f>
        <v/>
      </c>
      <c r="M16">
        <f>IF('06_ITEM_POLE_MODEL'!$E$16="ABSOLUTE SEMANTIC",0,IF(ISNUMBER(SEARCH($A16,'06_ITEM_POLE_MODEL'!$F$16)),1,IF(ISNUMBER(SEARCH($A16,'06_ITEM_POLE_MODEL'!$G$16)),-1,0)))</f>
        <v/>
      </c>
      <c r="N16">
        <f>IF('06_ITEM_POLE_MODEL'!$E$17="ABSOLUTE SEMANTIC",0,IF(ISNUMBER(SEARCH($A16,'06_ITEM_POLE_MODEL'!$F$17)),1,IF(ISNUMBER(SEARCH($A16,'06_ITEM_POLE_MODEL'!$G$17)),-1,0)))</f>
        <v/>
      </c>
      <c r="O16">
        <f>IF('06_ITEM_POLE_MODEL'!$E$18="ABSOLUTE SEMANTIC",0,IF(ISNUMBER(SEARCH($A16,'06_ITEM_POLE_MODEL'!$F$18)),1,IF(ISNUMBER(SEARCH($A16,'06_ITEM_POLE_MODEL'!$G$18)),-1,0)))</f>
        <v/>
      </c>
      <c r="P16">
        <f>IF('06_ITEM_POLE_MODEL'!$E$19="ABSOLUTE SEMANTIC",0,IF(ISNUMBER(SEARCH($A16,'06_ITEM_POLE_MODEL'!$F$19)),1,IF(ISNUMBER(SEARCH($A16,'06_ITEM_POLE_MODEL'!$G$19)),-1,0)))</f>
        <v/>
      </c>
      <c r="Q16">
        <f>IF('06_ITEM_POLE_MODEL'!$E$20="ABSOLUTE SEMANTIC",0,IF(ISNUMBER(SEARCH($A16,'06_ITEM_POLE_MODEL'!$F$20)),1,IF(ISNUMBER(SEARCH($A16,'06_ITEM_POLE_MODEL'!$G$20)),-1,0)))</f>
        <v/>
      </c>
      <c r="R16">
        <f>IF('06_ITEM_POLE_MODEL'!$E$21="ABSOLUTE SEMANTIC",0,IF(ISNUMBER(SEARCH($A16,'06_ITEM_POLE_MODEL'!$F$21)),1,IF(ISNUMBER(SEARCH($A16,'06_ITEM_POLE_MODEL'!$G$21)),-1,0)))</f>
        <v/>
      </c>
      <c r="S16">
        <f>IF('06_ITEM_POLE_MODEL'!$E$22="ABSOLUTE SEMANTIC",0,IF(ISNUMBER(SEARCH($A16,'06_ITEM_POLE_MODEL'!$F$22)),1,IF(ISNUMBER(SEARCH($A16,'06_ITEM_POLE_MODEL'!$G$22)),-1,0)))</f>
        <v/>
      </c>
      <c r="T16">
        <f>IF('06_ITEM_POLE_MODEL'!$E$23="ABSOLUTE SEMANTIC",0,IF(ISNUMBER(SEARCH($A16,'06_ITEM_POLE_MODEL'!$F$23)),1,IF(ISNUMBER(SEARCH($A16,'06_ITEM_POLE_MODEL'!$G$23)),-1,0)))</f>
        <v/>
      </c>
      <c r="U16">
        <f>IF('06_ITEM_POLE_MODEL'!$E$24="ABSOLUTE SEMANTIC",0,IF(ISNUMBER(SEARCH($A16,'06_ITEM_POLE_MODEL'!$F$24)),1,IF(ISNUMBER(SEARCH($A16,'06_ITEM_POLE_MODEL'!$G$24)),-1,0)))</f>
        <v/>
      </c>
      <c r="V16">
        <f>IF('06_ITEM_POLE_MODEL'!$E$25="ABSOLUTE SEMANTIC",0,IF(ISNUMBER(SEARCH($A16,'06_ITEM_POLE_MODEL'!$F$25)),1,IF(ISNUMBER(SEARCH($A16,'06_ITEM_POLE_MODEL'!$G$25)),-1,0)))</f>
        <v/>
      </c>
      <c r="W16">
        <f>IF('06_ITEM_POLE_MODEL'!$E$26="ABSOLUTE SEMANTIC",0,IF(ISNUMBER(SEARCH($A16,'06_ITEM_POLE_MODEL'!$F$26)),1,IF(ISNUMBER(SEARCH($A16,'06_ITEM_POLE_MODEL'!$G$26)),-1,0)))</f>
        <v/>
      </c>
      <c r="X16">
        <f>IF('06_ITEM_POLE_MODEL'!$E$27="ABSOLUTE SEMANTIC",0,IF(ISNUMBER(SEARCH($A16,'06_ITEM_POLE_MODEL'!$F$27)),1,IF(ISNUMBER(SEARCH($A16,'06_ITEM_POLE_MODEL'!$G$27)),-1,0)))</f>
        <v/>
      </c>
      <c r="Y16">
        <f>IF('06_ITEM_POLE_MODEL'!$E$28="ABSOLUTE SEMANTIC",0,IF(ISNUMBER(SEARCH($A16,'06_ITEM_POLE_MODEL'!$F$28)),1,IF(ISNUMBER(SEARCH($A16,'06_ITEM_POLE_MODEL'!$G$28)),-1,0)))</f>
        <v/>
      </c>
      <c r="Z16">
        <f>IF('06_ITEM_POLE_MODEL'!$E$29="ABSOLUTE SEMANTIC",0,IF(ISNUMBER(SEARCH($A16,'06_ITEM_POLE_MODEL'!$F$29)),1,IF(ISNUMBER(SEARCH($A16,'06_ITEM_POLE_MODEL'!$G$29)),-1,0)))</f>
        <v/>
      </c>
      <c r="AA16">
        <f>IF('06_ITEM_POLE_MODEL'!$E$30="ABSOLUTE SEMANTIC",0,IF(ISNUMBER(SEARCH($A16,'06_ITEM_POLE_MODEL'!$F$30)),1,IF(ISNUMBER(SEARCH($A16,'06_ITEM_POLE_MODEL'!$G$30)),-1,0)))</f>
        <v/>
      </c>
      <c r="AB16">
        <f>IF('06_ITEM_POLE_MODEL'!$E$31="ABSOLUTE SEMANTIC",0,IF(ISNUMBER(SEARCH($A16,'06_ITEM_POLE_MODEL'!$F$31)),1,IF(ISNUMBER(SEARCH($A16,'06_ITEM_POLE_MODEL'!$G$31)),-1,0)))</f>
        <v/>
      </c>
      <c r="AC16">
        <f>IF('06_ITEM_POLE_MODEL'!$E$32="ABSOLUTE SEMANTIC",0,IF(ISNUMBER(SEARCH($A16,'06_ITEM_POLE_MODEL'!$F$32)),1,IF(ISNUMBER(SEARCH($A16,'06_ITEM_POLE_MODEL'!$G$32)),-1,0)))</f>
        <v/>
      </c>
      <c r="AD16">
        <f>IF('06_ITEM_POLE_MODEL'!$E$33="ABSOLUTE SEMANTIC",0,IF(ISNUMBER(SEARCH($A16,'06_ITEM_POLE_MODEL'!$F$33)),1,IF(ISNUMBER(SEARCH($A16,'06_ITEM_POLE_MODEL'!$G$33)),-1,0)))</f>
        <v/>
      </c>
      <c r="AE16">
        <f>IF('06_ITEM_POLE_MODEL'!$E$34="ABSOLUTE SEMANTIC",0,IF(ISNUMBER(SEARCH($A16,'06_ITEM_POLE_MODEL'!$F$34)),1,IF(ISNUMBER(SEARCH($A16,'06_ITEM_POLE_MODEL'!$G$34)),-1,0)))</f>
        <v/>
      </c>
      <c r="AF16">
        <f>IF('06_ITEM_POLE_MODEL'!$E$35="ABSOLUTE SEMANTIC",0,IF(ISNUMBER(SEARCH($A16,'06_ITEM_POLE_MODEL'!$F$35)),1,IF(ISNUMBER(SEARCH($A16,'06_ITEM_POLE_MODEL'!$G$35)),-1,0)))</f>
        <v/>
      </c>
      <c r="AG16">
        <f>IF('06_ITEM_POLE_MODEL'!$E$36="ABSOLUTE SEMANTIC",0,IF(ISNUMBER(SEARCH($A16,'06_ITEM_POLE_MODEL'!$F$36)),1,IF(ISNUMBER(SEARCH($A16,'06_ITEM_POLE_MODEL'!$G$36)),-1,0)))</f>
        <v/>
      </c>
      <c r="AH16">
        <f>IF('06_ITEM_POLE_MODEL'!$E$37="ABSOLUTE SEMANTIC",0,IF(ISNUMBER(SEARCH($A16,'06_ITEM_POLE_MODEL'!$F$37)),1,IF(ISNUMBER(SEARCH($A16,'06_ITEM_POLE_MODEL'!$G$37)),-1,0)))</f>
        <v/>
      </c>
      <c r="AI16">
        <f>IF('06_ITEM_POLE_MODEL'!$E$38="ABSOLUTE SEMANTIC",0,IF(ISNUMBER(SEARCH($A16,'06_ITEM_POLE_MODEL'!$F$38)),1,IF(ISNUMBER(SEARCH($A16,'06_ITEM_POLE_MODEL'!$G$38)),-1,0)))</f>
        <v/>
      </c>
      <c r="AJ16">
        <f>IF('06_ITEM_POLE_MODEL'!$E$39="ABSOLUTE SEMANTIC",0,IF(ISNUMBER(SEARCH($A16,'06_ITEM_POLE_MODEL'!$F$39)),1,IF(ISNUMBER(SEARCH($A16,'06_ITEM_POLE_MODEL'!$G$39)),-1,0)))</f>
        <v/>
      </c>
      <c r="AK16">
        <f>IF('06_ITEM_POLE_MODEL'!$E$40="ABSOLUTE SEMANTIC",0,IF(ISNUMBER(SEARCH($A16,'06_ITEM_POLE_MODEL'!$F$40)),1,IF(ISNUMBER(SEARCH($A16,'06_ITEM_POLE_MODEL'!$G$40)),-1,0)))</f>
        <v/>
      </c>
      <c r="AL16">
        <f>IF('06_ITEM_POLE_MODEL'!$E$41="ABSOLUTE SEMANTIC",0,IF(ISNUMBER(SEARCH($A16,'06_ITEM_POLE_MODEL'!$F$41)),1,IF(ISNUMBER(SEARCH($A16,'06_ITEM_POLE_MODEL'!$G$41)),-1,0)))</f>
        <v/>
      </c>
      <c r="AM16">
        <f>IF('06_ITEM_POLE_MODEL'!$E$42="ABSOLUTE SEMANTIC",0,IF(ISNUMBER(SEARCH($A16,'06_ITEM_POLE_MODEL'!$F$42)),1,IF(ISNUMBER(SEARCH($A16,'06_ITEM_POLE_MODEL'!$G$42)),-1,0)))</f>
        <v/>
      </c>
      <c r="AN16">
        <f>IF('06_ITEM_POLE_MODEL'!$E$43="ABSOLUTE SEMANTIC",0,IF(ISNUMBER(SEARCH($A16,'06_ITEM_POLE_MODEL'!$F$43)),1,IF(ISNUMBER(SEARCH($A16,'06_ITEM_POLE_MODEL'!$G$43)),-1,0)))</f>
        <v/>
      </c>
      <c r="AO16">
        <f>IF('06_ITEM_POLE_MODEL'!$E$44="ABSOLUTE SEMANTIC",0,IF(ISNUMBER(SEARCH($A16,'06_ITEM_POLE_MODEL'!$F$44)),1,IF(ISNUMBER(SEARCH($A16,'06_ITEM_POLE_MODEL'!$G$44)),-1,0)))</f>
        <v/>
      </c>
      <c r="AP16">
        <f>IF('06_ITEM_POLE_MODEL'!$E$45="ABSOLUTE SEMANTIC",0,IF(ISNUMBER(SEARCH($A16,'06_ITEM_POLE_MODEL'!$F$45)),1,IF(ISNUMBER(SEARCH($A16,'06_ITEM_POLE_MODEL'!$G$45)),-1,0)))</f>
        <v/>
      </c>
      <c r="AQ16">
        <f>IF('06_ITEM_POLE_MODEL'!$E$46="ABSOLUTE SEMANTIC",0,IF(ISNUMBER(SEARCH($A16,'06_ITEM_POLE_MODEL'!$F$46)),1,IF(ISNUMBER(SEARCH($A16,'06_ITEM_POLE_MODEL'!$G$46)),-1,0)))</f>
        <v/>
      </c>
      <c r="AR16">
        <f>IF('06_ITEM_POLE_MODEL'!$E$47="ABSOLUTE SEMANTIC",0,IF(ISNUMBER(SEARCH($A16,'06_ITEM_POLE_MODEL'!$F$47)),1,IF(ISNUMBER(SEARCH($A16,'06_ITEM_POLE_MODEL'!$G$47)),-1,0)))</f>
        <v/>
      </c>
      <c r="AS16">
        <f>IF('06_ITEM_POLE_MODEL'!$E$48="ABSOLUTE SEMANTIC",0,IF(ISNUMBER(SEARCH($A16,'06_ITEM_POLE_MODEL'!$F$48)),1,IF(ISNUMBER(SEARCH($A16,'06_ITEM_POLE_MODEL'!$G$48)),-1,0)))</f>
        <v/>
      </c>
      <c r="AT16">
        <f>IF('06_ITEM_POLE_MODEL'!$E$49="ABSOLUTE SEMANTIC",0,IF(ISNUMBER(SEARCH($A16,'06_ITEM_POLE_MODEL'!$F$49)),1,IF(ISNUMBER(SEARCH($A16,'06_ITEM_POLE_MODEL'!$G$49)),-1,0)))</f>
        <v/>
      </c>
      <c r="AU16">
        <f>IF('06_ITEM_POLE_MODEL'!$E$50="ABSOLUTE SEMANTIC",0,IF(ISNUMBER(SEARCH($A16,'06_ITEM_POLE_MODEL'!$F$50)),1,IF(ISNUMBER(SEARCH($A16,'06_ITEM_POLE_MODEL'!$G$50)),-1,0)))</f>
        <v/>
      </c>
      <c r="AV16">
        <f>IF('06_ITEM_POLE_MODEL'!$E$51="ABSOLUTE SEMANTIC",0,IF(ISNUMBER(SEARCH($A16,'06_ITEM_POLE_MODEL'!$F$51)),1,IF(ISNUMBER(SEARCH($A16,'06_ITEM_POLE_MODEL'!$G$51)),-1,0)))</f>
        <v/>
      </c>
      <c r="AW16">
        <f>IF('06_ITEM_POLE_MODEL'!$E$52="ABSOLUTE SEMANTIC",0,IF(ISNUMBER(SEARCH($A16,'06_ITEM_POLE_MODEL'!$F$52)),1,IF(ISNUMBER(SEARCH($A16,'06_ITEM_POLE_MODEL'!$G$52)),-1,0)))</f>
        <v/>
      </c>
      <c r="AX16">
        <f>IF('06_ITEM_POLE_MODEL'!$E$53="ABSOLUTE SEMANTIC",0,IF(ISNUMBER(SEARCH($A16,'06_ITEM_POLE_MODEL'!$F$53)),1,IF(ISNUMBER(SEARCH($A16,'06_ITEM_POLE_MODEL'!$G$53)),-1,0)))</f>
        <v/>
      </c>
      <c r="AY16">
        <f>IF('06_ITEM_POLE_MODEL'!$E$54="ABSOLUTE SEMANTIC",0,IF(ISNUMBER(SEARCH($A16,'06_ITEM_POLE_MODEL'!$F$54)),1,IF(ISNUMBER(SEARCH($A16,'06_ITEM_POLE_MODEL'!$G$54)),-1,0)))</f>
        <v/>
      </c>
      <c r="AZ16">
        <f>IF('06_ITEM_POLE_MODEL'!$E$55="ABSOLUTE SEMANTIC",0,IF(ISNUMBER(SEARCH($A16,'06_ITEM_POLE_MODEL'!$F$55)),1,IF(ISNUMBER(SEARCH($A16,'06_ITEM_POLE_MODEL'!$G$55)),-1,0)))</f>
        <v/>
      </c>
      <c r="BA16">
        <f>IF('06_ITEM_POLE_MODEL'!$E$56="ABSOLUTE SEMANTIC",0,IF(ISNUMBER(SEARCH($A16,'06_ITEM_POLE_MODEL'!$F$56)),1,IF(ISNUMBER(SEARCH($A16,'06_ITEM_POLE_MODEL'!$G$56)),-1,0)))</f>
        <v/>
      </c>
      <c r="BB16">
        <f>IF('06_ITEM_POLE_MODEL'!$E$57="ABSOLUTE SEMANTIC",0,IF(ISNUMBER(SEARCH($A16,'06_ITEM_POLE_MODEL'!$F$57)),1,IF(ISNUMBER(SEARCH($A16,'06_ITEM_POLE_MODEL'!$G$57)),-1,0)))</f>
        <v/>
      </c>
      <c r="BC16">
        <f>IF('06_ITEM_POLE_MODEL'!$E$58="ABSOLUTE SEMANTIC",0,IF(ISNUMBER(SEARCH($A16,'06_ITEM_POLE_MODEL'!$F$58)),1,IF(ISNUMBER(SEARCH($A16,'06_ITEM_POLE_MODEL'!$G$58)),-1,0)))</f>
        <v/>
      </c>
      <c r="BD16">
        <f>IF('06_ITEM_POLE_MODEL'!$E$59="ABSOLUTE SEMANTIC",0,IF(ISNUMBER(SEARCH($A16,'06_ITEM_POLE_MODEL'!$F$59)),1,IF(ISNUMBER(SEARCH($A16,'06_ITEM_POLE_MODEL'!$G$59)),-1,0)))</f>
        <v/>
      </c>
      <c r="BE16">
        <f>IF('06_ITEM_POLE_MODEL'!$E$60="ABSOLUTE SEMANTIC",0,IF(ISNUMBER(SEARCH($A16,'06_ITEM_POLE_MODEL'!$F$60)),1,IF(ISNUMBER(SEARCH($A16,'06_ITEM_POLE_MODEL'!$G$60)),-1,0)))</f>
        <v/>
      </c>
      <c r="BF16">
        <f>IF('06_ITEM_POLE_MODEL'!$E$61="ABSOLUTE SEMANTIC",0,IF(ISNUMBER(SEARCH($A16,'06_ITEM_POLE_MODEL'!$F$61)),1,IF(ISNUMBER(SEARCH($A16,'06_ITEM_POLE_MODEL'!$G$61)),-1,0)))</f>
        <v/>
      </c>
      <c r="BG16">
        <f>IF('06_ITEM_POLE_MODEL'!$E$62="ABSOLUTE SEMANTIC",0,IF(ISNUMBER(SEARCH($A16,'06_ITEM_POLE_MODEL'!$F$62)),1,IF(ISNUMBER(SEARCH($A16,'06_ITEM_POLE_MODEL'!$G$62)),-1,0)))</f>
        <v/>
      </c>
      <c r="BH16">
        <f>IF('06_ITEM_POLE_MODEL'!$E$63="ABSOLUTE SEMANTIC",0,IF(ISNUMBER(SEARCH($A16,'06_ITEM_POLE_MODEL'!$F$63)),1,IF(ISNUMBER(SEARCH($A16,'06_ITEM_POLE_MODEL'!$G$63)),-1,0)))</f>
        <v/>
      </c>
      <c r="BI16">
        <f>IF('06_ITEM_POLE_MODEL'!$E$64="ABSOLUTE SEMANTIC",0,IF(ISNUMBER(SEARCH($A16,'06_ITEM_POLE_MODEL'!$F$64)),1,IF(ISNUMBER(SEARCH($A16,'06_ITEM_POLE_MODEL'!$G$64)),-1,0)))</f>
        <v/>
      </c>
      <c r="BJ16">
        <f>IF('06_ITEM_POLE_MODEL'!$E$65="ABSOLUTE SEMANTIC",0,IF(ISNUMBER(SEARCH($A16,'06_ITEM_POLE_MODEL'!$F$65)),1,IF(ISNUMBER(SEARCH($A16,'06_ITEM_POLE_MODEL'!$G$65)),-1,0)))</f>
        <v/>
      </c>
      <c r="BK16">
        <f>IF('06_ITEM_POLE_MODEL'!$E$66="ABSOLUTE SEMANTIC",0,IF(ISNUMBER(SEARCH($A16,'06_ITEM_POLE_MODEL'!$F$66)),1,IF(ISNUMBER(SEARCH($A16,'06_ITEM_POLE_MODEL'!$G$66)),-1,0)))</f>
        <v/>
      </c>
      <c r="BL16">
        <f>IF('06_ITEM_POLE_MODEL'!$E$67="ABSOLUTE SEMANTIC",0,IF(ISNUMBER(SEARCH($A16,'06_ITEM_POLE_MODEL'!$F$67)),1,IF(ISNUMBER(SEARCH($A16,'06_ITEM_POLE_MODEL'!$G$67)),-1,0)))</f>
        <v/>
      </c>
      <c r="BM16">
        <f>IF('06_ITEM_POLE_MODEL'!$E$68="ABSOLUTE SEMANTIC",0,IF(ISNUMBER(SEARCH($A16,'06_ITEM_POLE_MODEL'!$F$68)),1,IF(ISNUMBER(SEARCH($A16,'06_ITEM_POLE_MODEL'!$G$68)),-1,0)))</f>
        <v/>
      </c>
      <c r="BN16">
        <f>IF('06_ITEM_POLE_MODEL'!$E$69="ABSOLUTE SEMANTIC",0,IF(ISNUMBER(SEARCH($A16,'06_ITEM_POLE_MODEL'!$F$69)),1,IF(ISNUMBER(SEARCH($A16,'06_ITEM_POLE_MODEL'!$G$69)),-1,0)))</f>
        <v/>
      </c>
      <c r="BO16">
        <f>IF('06_ITEM_POLE_MODEL'!$E$70="ABSOLUTE SEMANTIC",0,IF(ISNUMBER(SEARCH($A16,'06_ITEM_POLE_MODEL'!$F$70)),1,IF(ISNUMBER(SEARCH($A16,'06_ITEM_POLE_MODEL'!$G$70)),-1,0)))</f>
        <v/>
      </c>
      <c r="BP16">
        <f>IF('06_ITEM_POLE_MODEL'!$E$71="ABSOLUTE SEMANTIC",0,IF(ISNUMBER(SEARCH($A16,'06_ITEM_POLE_MODEL'!$F$71)),1,IF(ISNUMBER(SEARCH($A16,'06_ITEM_POLE_MODEL'!$G$71)),-1,0)))</f>
        <v/>
      </c>
      <c r="BQ16">
        <f>IF('06_ITEM_POLE_MODEL'!$E$72="ABSOLUTE SEMANTIC",0,IF(ISNUMBER(SEARCH($A16,'06_ITEM_POLE_MODEL'!$F$72)),1,IF(ISNUMBER(SEARCH($A16,'06_ITEM_POLE_MODEL'!$G$72)),-1,0)))</f>
        <v/>
      </c>
      <c r="BR16">
        <f>IF('06_ITEM_POLE_MODEL'!$E$73="ABSOLUTE SEMANTIC",0,IF(ISNUMBER(SEARCH($A16,'06_ITEM_POLE_MODEL'!$F$73)),1,IF(ISNUMBER(SEARCH($A16,'06_ITEM_POLE_MODEL'!$G$73)),-1,0)))</f>
        <v/>
      </c>
      <c r="BS16">
        <f>IF('06_ITEM_POLE_MODEL'!$E$74="ABSOLUTE SEMANTIC",0,IF(ISNUMBER(SEARCH($A16,'06_ITEM_POLE_MODEL'!$F$74)),1,IF(ISNUMBER(SEARCH($A16,'06_ITEM_POLE_MODEL'!$G$74)),-1,0)))</f>
        <v/>
      </c>
      <c r="BT16">
        <f>IF('06_ITEM_POLE_MODEL'!$E$75="ABSOLUTE SEMANTIC",0,IF(ISNUMBER(SEARCH($A16,'06_ITEM_POLE_MODEL'!$F$75)),1,IF(ISNUMBER(SEARCH($A16,'06_ITEM_POLE_MODEL'!$G$75)),-1,0)))</f>
        <v/>
      </c>
      <c r="BU16">
        <f>IF('06_ITEM_POLE_MODEL'!$E$76="ABSOLUTE SEMANTIC",0,IF(ISNUMBER(SEARCH($A16,'06_ITEM_POLE_MODEL'!$F$76)),1,IF(ISNUMBER(SEARCH($A16,'06_ITEM_POLE_MODEL'!$G$76)),-1,0)))</f>
        <v/>
      </c>
      <c r="BV16">
        <f>IF('06_ITEM_POLE_MODEL'!$E$77="ABSOLUTE SEMANTIC",0,IF(ISNUMBER(SEARCH($A16,'06_ITEM_POLE_MODEL'!$F$77)),1,IF(ISNUMBER(SEARCH($A16,'06_ITEM_POLE_MODEL'!$G$77)),-1,0)))</f>
        <v/>
      </c>
      <c r="BW16">
        <f>IF('06_ITEM_POLE_MODEL'!$E$78="ABSOLUTE SEMANTIC",0,IF(ISNUMBER(SEARCH($A16,'06_ITEM_POLE_MODEL'!$F$78)),1,IF(ISNUMBER(SEARCH($A16,'06_ITEM_POLE_MODEL'!$G$78)),-1,0)))</f>
        <v/>
      </c>
      <c r="BX16">
        <f>IF('06_ITEM_POLE_MODEL'!$E$79="ABSOLUTE SEMANTIC",0,IF(ISNUMBER(SEARCH($A16,'06_ITEM_POLE_MODEL'!$F$79)),1,IF(ISNUMBER(SEARCH($A16,'06_ITEM_POLE_MODEL'!$G$79)),-1,0)))</f>
        <v/>
      </c>
      <c r="BY16">
        <f>IF('06_ITEM_POLE_MODEL'!$E$80="ABSOLUTE SEMANTIC",0,IF(ISNUMBER(SEARCH($A16,'06_ITEM_POLE_MODEL'!$F$80)),1,IF(ISNUMBER(SEARCH($A16,'06_ITEM_POLE_MODEL'!$G$80)),-1,0)))</f>
        <v/>
      </c>
      <c r="BZ16">
        <f>IF('06_ITEM_POLE_MODEL'!$E$81="ABSOLUTE SEMANTIC",0,IF(ISNUMBER(SEARCH($A16,'06_ITEM_POLE_MODEL'!$F$81)),1,IF(ISNUMBER(SEARCH($A16,'06_ITEM_POLE_MODEL'!$G$81)),-1,0)))</f>
        <v/>
      </c>
      <c r="CA16">
        <f>IF('06_ITEM_POLE_MODEL'!$E$82="ABSOLUTE SEMANTIC",0,IF(ISNUMBER(SEARCH($A16,'06_ITEM_POLE_MODEL'!$F$82)),1,IF(ISNUMBER(SEARCH($A16,'06_ITEM_POLE_MODEL'!$G$82)),-1,0)))</f>
        <v/>
      </c>
      <c r="CB16">
        <f>IF('06_ITEM_POLE_MODEL'!$E$83="ABSOLUTE SEMANTIC",0,IF(ISNUMBER(SEARCH($A16,'06_ITEM_POLE_MODEL'!$F$83)),1,IF(ISNUMBER(SEARCH($A16,'06_ITEM_POLE_MODEL'!$G$83)),-1,0)))</f>
        <v/>
      </c>
      <c r="CC16">
        <f>IF('06_ITEM_POLE_MODEL'!$E$84="ABSOLUTE SEMANTIC",0,IF(ISNUMBER(SEARCH($A16,'06_ITEM_POLE_MODEL'!$F$84)),1,IF(ISNUMBER(SEARCH($A16,'06_ITEM_POLE_MODEL'!$G$84)),-1,0)))</f>
        <v/>
      </c>
    </row>
    <row r="17">
      <c r="A17" t="inlineStr">
        <is>
          <t>Feline / Urmah</t>
        </is>
      </c>
      <c r="B17">
        <f>IF('06_ITEM_POLE_MODEL'!$E$5="ABSOLUTE SEMANTIC",0,IF(ISNUMBER(SEARCH($A17,'06_ITEM_POLE_MODEL'!$F$5)),1,IF(ISNUMBER(SEARCH($A17,'06_ITEM_POLE_MODEL'!$G$5)),-1,0)))</f>
        <v/>
      </c>
      <c r="C17">
        <f>IF('06_ITEM_POLE_MODEL'!$E$6="ABSOLUTE SEMANTIC",0,IF(ISNUMBER(SEARCH($A17,'06_ITEM_POLE_MODEL'!$F$6)),1,IF(ISNUMBER(SEARCH($A17,'06_ITEM_POLE_MODEL'!$G$6)),-1,0)))</f>
        <v/>
      </c>
      <c r="D17">
        <f>IF('06_ITEM_POLE_MODEL'!$E$7="ABSOLUTE SEMANTIC",0,IF(ISNUMBER(SEARCH($A17,'06_ITEM_POLE_MODEL'!$F$7)),1,IF(ISNUMBER(SEARCH($A17,'06_ITEM_POLE_MODEL'!$G$7)),-1,0)))</f>
        <v/>
      </c>
      <c r="E17">
        <f>IF('06_ITEM_POLE_MODEL'!$E$8="ABSOLUTE SEMANTIC",0,IF(ISNUMBER(SEARCH($A17,'06_ITEM_POLE_MODEL'!$F$8)),1,IF(ISNUMBER(SEARCH($A17,'06_ITEM_POLE_MODEL'!$G$8)),-1,0)))</f>
        <v/>
      </c>
      <c r="F17">
        <f>IF('06_ITEM_POLE_MODEL'!$E$9="ABSOLUTE SEMANTIC",0,IF(ISNUMBER(SEARCH($A17,'06_ITEM_POLE_MODEL'!$F$9)),1,IF(ISNUMBER(SEARCH($A17,'06_ITEM_POLE_MODEL'!$G$9)),-1,0)))</f>
        <v/>
      </c>
      <c r="G17">
        <f>IF('06_ITEM_POLE_MODEL'!$E$10="ABSOLUTE SEMANTIC",0,IF(ISNUMBER(SEARCH($A17,'06_ITEM_POLE_MODEL'!$F$10)),1,IF(ISNUMBER(SEARCH($A17,'06_ITEM_POLE_MODEL'!$G$10)),-1,0)))</f>
        <v/>
      </c>
      <c r="H17">
        <f>IF('06_ITEM_POLE_MODEL'!$E$11="ABSOLUTE SEMANTIC",0,IF(ISNUMBER(SEARCH($A17,'06_ITEM_POLE_MODEL'!$F$11)),1,IF(ISNUMBER(SEARCH($A17,'06_ITEM_POLE_MODEL'!$G$11)),-1,0)))</f>
        <v/>
      </c>
      <c r="I17">
        <f>IF('06_ITEM_POLE_MODEL'!$E$12="ABSOLUTE SEMANTIC",0,IF(ISNUMBER(SEARCH($A17,'06_ITEM_POLE_MODEL'!$F$12)),1,IF(ISNUMBER(SEARCH($A17,'06_ITEM_POLE_MODEL'!$G$12)),-1,0)))</f>
        <v/>
      </c>
      <c r="J17">
        <f>IF('06_ITEM_POLE_MODEL'!$E$13="ABSOLUTE SEMANTIC",0,IF(ISNUMBER(SEARCH($A17,'06_ITEM_POLE_MODEL'!$F$13)),1,IF(ISNUMBER(SEARCH($A17,'06_ITEM_POLE_MODEL'!$G$13)),-1,0)))</f>
        <v/>
      </c>
      <c r="K17">
        <f>IF('06_ITEM_POLE_MODEL'!$E$14="ABSOLUTE SEMANTIC",0,IF(ISNUMBER(SEARCH($A17,'06_ITEM_POLE_MODEL'!$F$14)),1,IF(ISNUMBER(SEARCH($A17,'06_ITEM_POLE_MODEL'!$G$14)),-1,0)))</f>
        <v/>
      </c>
      <c r="L17">
        <f>IF('06_ITEM_POLE_MODEL'!$E$15="ABSOLUTE SEMANTIC",0,IF(ISNUMBER(SEARCH($A17,'06_ITEM_POLE_MODEL'!$F$15)),1,IF(ISNUMBER(SEARCH($A17,'06_ITEM_POLE_MODEL'!$G$15)),-1,0)))</f>
        <v/>
      </c>
      <c r="M17">
        <f>IF('06_ITEM_POLE_MODEL'!$E$16="ABSOLUTE SEMANTIC",0,IF(ISNUMBER(SEARCH($A17,'06_ITEM_POLE_MODEL'!$F$16)),1,IF(ISNUMBER(SEARCH($A17,'06_ITEM_POLE_MODEL'!$G$16)),-1,0)))</f>
        <v/>
      </c>
      <c r="N17">
        <f>IF('06_ITEM_POLE_MODEL'!$E$17="ABSOLUTE SEMANTIC",0,IF(ISNUMBER(SEARCH($A17,'06_ITEM_POLE_MODEL'!$F$17)),1,IF(ISNUMBER(SEARCH($A17,'06_ITEM_POLE_MODEL'!$G$17)),-1,0)))</f>
        <v/>
      </c>
      <c r="O17">
        <f>IF('06_ITEM_POLE_MODEL'!$E$18="ABSOLUTE SEMANTIC",0,IF(ISNUMBER(SEARCH($A17,'06_ITEM_POLE_MODEL'!$F$18)),1,IF(ISNUMBER(SEARCH($A17,'06_ITEM_POLE_MODEL'!$G$18)),-1,0)))</f>
        <v/>
      </c>
      <c r="P17">
        <f>IF('06_ITEM_POLE_MODEL'!$E$19="ABSOLUTE SEMANTIC",0,IF(ISNUMBER(SEARCH($A17,'06_ITEM_POLE_MODEL'!$F$19)),1,IF(ISNUMBER(SEARCH($A17,'06_ITEM_POLE_MODEL'!$G$19)),-1,0)))</f>
        <v/>
      </c>
      <c r="Q17">
        <f>IF('06_ITEM_POLE_MODEL'!$E$20="ABSOLUTE SEMANTIC",0,IF(ISNUMBER(SEARCH($A17,'06_ITEM_POLE_MODEL'!$F$20)),1,IF(ISNUMBER(SEARCH($A17,'06_ITEM_POLE_MODEL'!$G$20)),-1,0)))</f>
        <v/>
      </c>
      <c r="R17">
        <f>IF('06_ITEM_POLE_MODEL'!$E$21="ABSOLUTE SEMANTIC",0,IF(ISNUMBER(SEARCH($A17,'06_ITEM_POLE_MODEL'!$F$21)),1,IF(ISNUMBER(SEARCH($A17,'06_ITEM_POLE_MODEL'!$G$21)),-1,0)))</f>
        <v/>
      </c>
      <c r="S17">
        <f>IF('06_ITEM_POLE_MODEL'!$E$22="ABSOLUTE SEMANTIC",0,IF(ISNUMBER(SEARCH($A17,'06_ITEM_POLE_MODEL'!$F$22)),1,IF(ISNUMBER(SEARCH($A17,'06_ITEM_POLE_MODEL'!$G$22)),-1,0)))</f>
        <v/>
      </c>
      <c r="T17">
        <f>IF('06_ITEM_POLE_MODEL'!$E$23="ABSOLUTE SEMANTIC",0,IF(ISNUMBER(SEARCH($A17,'06_ITEM_POLE_MODEL'!$F$23)),1,IF(ISNUMBER(SEARCH($A17,'06_ITEM_POLE_MODEL'!$G$23)),-1,0)))</f>
        <v/>
      </c>
      <c r="U17">
        <f>IF('06_ITEM_POLE_MODEL'!$E$24="ABSOLUTE SEMANTIC",0,IF(ISNUMBER(SEARCH($A17,'06_ITEM_POLE_MODEL'!$F$24)),1,IF(ISNUMBER(SEARCH($A17,'06_ITEM_POLE_MODEL'!$G$24)),-1,0)))</f>
        <v/>
      </c>
      <c r="V17">
        <f>IF('06_ITEM_POLE_MODEL'!$E$25="ABSOLUTE SEMANTIC",0,IF(ISNUMBER(SEARCH($A17,'06_ITEM_POLE_MODEL'!$F$25)),1,IF(ISNUMBER(SEARCH($A17,'06_ITEM_POLE_MODEL'!$G$25)),-1,0)))</f>
        <v/>
      </c>
      <c r="W17">
        <f>IF('06_ITEM_POLE_MODEL'!$E$26="ABSOLUTE SEMANTIC",0,IF(ISNUMBER(SEARCH($A17,'06_ITEM_POLE_MODEL'!$F$26)),1,IF(ISNUMBER(SEARCH($A17,'06_ITEM_POLE_MODEL'!$G$26)),-1,0)))</f>
        <v/>
      </c>
      <c r="X17">
        <f>IF('06_ITEM_POLE_MODEL'!$E$27="ABSOLUTE SEMANTIC",0,IF(ISNUMBER(SEARCH($A17,'06_ITEM_POLE_MODEL'!$F$27)),1,IF(ISNUMBER(SEARCH($A17,'06_ITEM_POLE_MODEL'!$G$27)),-1,0)))</f>
        <v/>
      </c>
      <c r="Y17">
        <f>IF('06_ITEM_POLE_MODEL'!$E$28="ABSOLUTE SEMANTIC",0,IF(ISNUMBER(SEARCH($A17,'06_ITEM_POLE_MODEL'!$F$28)),1,IF(ISNUMBER(SEARCH($A17,'06_ITEM_POLE_MODEL'!$G$28)),-1,0)))</f>
        <v/>
      </c>
      <c r="Z17">
        <f>IF('06_ITEM_POLE_MODEL'!$E$29="ABSOLUTE SEMANTIC",0,IF(ISNUMBER(SEARCH($A17,'06_ITEM_POLE_MODEL'!$F$29)),1,IF(ISNUMBER(SEARCH($A17,'06_ITEM_POLE_MODEL'!$G$29)),-1,0)))</f>
        <v/>
      </c>
      <c r="AA17">
        <f>IF('06_ITEM_POLE_MODEL'!$E$30="ABSOLUTE SEMANTIC",0,IF(ISNUMBER(SEARCH($A17,'06_ITEM_POLE_MODEL'!$F$30)),1,IF(ISNUMBER(SEARCH($A17,'06_ITEM_POLE_MODEL'!$G$30)),-1,0)))</f>
        <v/>
      </c>
      <c r="AB17">
        <f>IF('06_ITEM_POLE_MODEL'!$E$31="ABSOLUTE SEMANTIC",0,IF(ISNUMBER(SEARCH($A17,'06_ITEM_POLE_MODEL'!$F$31)),1,IF(ISNUMBER(SEARCH($A17,'06_ITEM_POLE_MODEL'!$G$31)),-1,0)))</f>
        <v/>
      </c>
      <c r="AC17">
        <f>IF('06_ITEM_POLE_MODEL'!$E$32="ABSOLUTE SEMANTIC",0,IF(ISNUMBER(SEARCH($A17,'06_ITEM_POLE_MODEL'!$F$32)),1,IF(ISNUMBER(SEARCH($A17,'06_ITEM_POLE_MODEL'!$G$32)),-1,0)))</f>
        <v/>
      </c>
      <c r="AD17">
        <f>IF('06_ITEM_POLE_MODEL'!$E$33="ABSOLUTE SEMANTIC",0,IF(ISNUMBER(SEARCH($A17,'06_ITEM_POLE_MODEL'!$F$33)),1,IF(ISNUMBER(SEARCH($A17,'06_ITEM_POLE_MODEL'!$G$33)),-1,0)))</f>
        <v/>
      </c>
      <c r="AE17">
        <f>IF('06_ITEM_POLE_MODEL'!$E$34="ABSOLUTE SEMANTIC",0,IF(ISNUMBER(SEARCH($A17,'06_ITEM_POLE_MODEL'!$F$34)),1,IF(ISNUMBER(SEARCH($A17,'06_ITEM_POLE_MODEL'!$G$34)),-1,0)))</f>
        <v/>
      </c>
      <c r="AF17">
        <f>IF('06_ITEM_POLE_MODEL'!$E$35="ABSOLUTE SEMANTIC",0,IF(ISNUMBER(SEARCH($A17,'06_ITEM_POLE_MODEL'!$F$35)),1,IF(ISNUMBER(SEARCH($A17,'06_ITEM_POLE_MODEL'!$G$35)),-1,0)))</f>
        <v/>
      </c>
      <c r="AG17">
        <f>IF('06_ITEM_POLE_MODEL'!$E$36="ABSOLUTE SEMANTIC",0,IF(ISNUMBER(SEARCH($A17,'06_ITEM_POLE_MODEL'!$F$36)),1,IF(ISNUMBER(SEARCH($A17,'06_ITEM_POLE_MODEL'!$G$36)),-1,0)))</f>
        <v/>
      </c>
      <c r="AH17">
        <f>IF('06_ITEM_POLE_MODEL'!$E$37="ABSOLUTE SEMANTIC",0,IF(ISNUMBER(SEARCH($A17,'06_ITEM_POLE_MODEL'!$F$37)),1,IF(ISNUMBER(SEARCH($A17,'06_ITEM_POLE_MODEL'!$G$37)),-1,0)))</f>
        <v/>
      </c>
      <c r="AI17">
        <f>IF('06_ITEM_POLE_MODEL'!$E$38="ABSOLUTE SEMANTIC",0,IF(ISNUMBER(SEARCH($A17,'06_ITEM_POLE_MODEL'!$F$38)),1,IF(ISNUMBER(SEARCH($A17,'06_ITEM_POLE_MODEL'!$G$38)),-1,0)))</f>
        <v/>
      </c>
      <c r="AJ17">
        <f>IF('06_ITEM_POLE_MODEL'!$E$39="ABSOLUTE SEMANTIC",0,IF(ISNUMBER(SEARCH($A17,'06_ITEM_POLE_MODEL'!$F$39)),1,IF(ISNUMBER(SEARCH($A17,'06_ITEM_POLE_MODEL'!$G$39)),-1,0)))</f>
        <v/>
      </c>
      <c r="AK17">
        <f>IF('06_ITEM_POLE_MODEL'!$E$40="ABSOLUTE SEMANTIC",0,IF(ISNUMBER(SEARCH($A17,'06_ITEM_POLE_MODEL'!$F$40)),1,IF(ISNUMBER(SEARCH($A17,'06_ITEM_POLE_MODEL'!$G$40)),-1,0)))</f>
        <v/>
      </c>
      <c r="AL17">
        <f>IF('06_ITEM_POLE_MODEL'!$E$41="ABSOLUTE SEMANTIC",0,IF(ISNUMBER(SEARCH($A17,'06_ITEM_POLE_MODEL'!$F$41)),1,IF(ISNUMBER(SEARCH($A17,'06_ITEM_POLE_MODEL'!$G$41)),-1,0)))</f>
        <v/>
      </c>
      <c r="AM17">
        <f>IF('06_ITEM_POLE_MODEL'!$E$42="ABSOLUTE SEMANTIC",0,IF(ISNUMBER(SEARCH($A17,'06_ITEM_POLE_MODEL'!$F$42)),1,IF(ISNUMBER(SEARCH($A17,'06_ITEM_POLE_MODEL'!$G$42)),-1,0)))</f>
        <v/>
      </c>
      <c r="AN17">
        <f>IF('06_ITEM_POLE_MODEL'!$E$43="ABSOLUTE SEMANTIC",0,IF(ISNUMBER(SEARCH($A17,'06_ITEM_POLE_MODEL'!$F$43)),1,IF(ISNUMBER(SEARCH($A17,'06_ITEM_POLE_MODEL'!$G$43)),-1,0)))</f>
        <v/>
      </c>
      <c r="AO17">
        <f>IF('06_ITEM_POLE_MODEL'!$E$44="ABSOLUTE SEMANTIC",0,IF(ISNUMBER(SEARCH($A17,'06_ITEM_POLE_MODEL'!$F$44)),1,IF(ISNUMBER(SEARCH($A17,'06_ITEM_POLE_MODEL'!$G$44)),-1,0)))</f>
        <v/>
      </c>
      <c r="AP17">
        <f>IF('06_ITEM_POLE_MODEL'!$E$45="ABSOLUTE SEMANTIC",0,IF(ISNUMBER(SEARCH($A17,'06_ITEM_POLE_MODEL'!$F$45)),1,IF(ISNUMBER(SEARCH($A17,'06_ITEM_POLE_MODEL'!$G$45)),-1,0)))</f>
        <v/>
      </c>
      <c r="AQ17">
        <f>IF('06_ITEM_POLE_MODEL'!$E$46="ABSOLUTE SEMANTIC",0,IF(ISNUMBER(SEARCH($A17,'06_ITEM_POLE_MODEL'!$F$46)),1,IF(ISNUMBER(SEARCH($A17,'06_ITEM_POLE_MODEL'!$G$46)),-1,0)))</f>
        <v/>
      </c>
      <c r="AR17">
        <f>IF('06_ITEM_POLE_MODEL'!$E$47="ABSOLUTE SEMANTIC",0,IF(ISNUMBER(SEARCH($A17,'06_ITEM_POLE_MODEL'!$F$47)),1,IF(ISNUMBER(SEARCH($A17,'06_ITEM_POLE_MODEL'!$G$47)),-1,0)))</f>
        <v/>
      </c>
      <c r="AS17">
        <f>IF('06_ITEM_POLE_MODEL'!$E$48="ABSOLUTE SEMANTIC",0,IF(ISNUMBER(SEARCH($A17,'06_ITEM_POLE_MODEL'!$F$48)),1,IF(ISNUMBER(SEARCH($A17,'06_ITEM_POLE_MODEL'!$G$48)),-1,0)))</f>
        <v/>
      </c>
      <c r="AT17">
        <f>IF('06_ITEM_POLE_MODEL'!$E$49="ABSOLUTE SEMANTIC",0,IF(ISNUMBER(SEARCH($A17,'06_ITEM_POLE_MODEL'!$F$49)),1,IF(ISNUMBER(SEARCH($A17,'06_ITEM_POLE_MODEL'!$G$49)),-1,0)))</f>
        <v/>
      </c>
      <c r="AU17">
        <f>IF('06_ITEM_POLE_MODEL'!$E$50="ABSOLUTE SEMANTIC",0,IF(ISNUMBER(SEARCH($A17,'06_ITEM_POLE_MODEL'!$F$50)),1,IF(ISNUMBER(SEARCH($A17,'06_ITEM_POLE_MODEL'!$G$50)),-1,0)))</f>
        <v/>
      </c>
      <c r="AV17">
        <f>IF('06_ITEM_POLE_MODEL'!$E$51="ABSOLUTE SEMANTIC",0,IF(ISNUMBER(SEARCH($A17,'06_ITEM_POLE_MODEL'!$F$51)),1,IF(ISNUMBER(SEARCH($A17,'06_ITEM_POLE_MODEL'!$G$51)),-1,0)))</f>
        <v/>
      </c>
      <c r="AW17">
        <f>IF('06_ITEM_POLE_MODEL'!$E$52="ABSOLUTE SEMANTIC",0,IF(ISNUMBER(SEARCH($A17,'06_ITEM_POLE_MODEL'!$F$52)),1,IF(ISNUMBER(SEARCH($A17,'06_ITEM_POLE_MODEL'!$G$52)),-1,0)))</f>
        <v/>
      </c>
      <c r="AX17">
        <f>IF('06_ITEM_POLE_MODEL'!$E$53="ABSOLUTE SEMANTIC",0,IF(ISNUMBER(SEARCH($A17,'06_ITEM_POLE_MODEL'!$F$53)),1,IF(ISNUMBER(SEARCH($A17,'06_ITEM_POLE_MODEL'!$G$53)),-1,0)))</f>
        <v/>
      </c>
      <c r="AY17">
        <f>IF('06_ITEM_POLE_MODEL'!$E$54="ABSOLUTE SEMANTIC",0,IF(ISNUMBER(SEARCH($A17,'06_ITEM_POLE_MODEL'!$F$54)),1,IF(ISNUMBER(SEARCH($A17,'06_ITEM_POLE_MODEL'!$G$54)),-1,0)))</f>
        <v/>
      </c>
      <c r="AZ17">
        <f>IF('06_ITEM_POLE_MODEL'!$E$55="ABSOLUTE SEMANTIC",0,IF(ISNUMBER(SEARCH($A17,'06_ITEM_POLE_MODEL'!$F$55)),1,IF(ISNUMBER(SEARCH($A17,'06_ITEM_POLE_MODEL'!$G$55)),-1,0)))</f>
        <v/>
      </c>
      <c r="BA17">
        <f>IF('06_ITEM_POLE_MODEL'!$E$56="ABSOLUTE SEMANTIC",0,IF(ISNUMBER(SEARCH($A17,'06_ITEM_POLE_MODEL'!$F$56)),1,IF(ISNUMBER(SEARCH($A17,'06_ITEM_POLE_MODEL'!$G$56)),-1,0)))</f>
        <v/>
      </c>
      <c r="BB17">
        <f>IF('06_ITEM_POLE_MODEL'!$E$57="ABSOLUTE SEMANTIC",0,IF(ISNUMBER(SEARCH($A17,'06_ITEM_POLE_MODEL'!$F$57)),1,IF(ISNUMBER(SEARCH($A17,'06_ITEM_POLE_MODEL'!$G$57)),-1,0)))</f>
        <v/>
      </c>
      <c r="BC17">
        <f>IF('06_ITEM_POLE_MODEL'!$E$58="ABSOLUTE SEMANTIC",0,IF(ISNUMBER(SEARCH($A17,'06_ITEM_POLE_MODEL'!$F$58)),1,IF(ISNUMBER(SEARCH($A17,'06_ITEM_POLE_MODEL'!$G$58)),-1,0)))</f>
        <v/>
      </c>
      <c r="BD17">
        <f>IF('06_ITEM_POLE_MODEL'!$E$59="ABSOLUTE SEMANTIC",0,IF(ISNUMBER(SEARCH($A17,'06_ITEM_POLE_MODEL'!$F$59)),1,IF(ISNUMBER(SEARCH($A17,'06_ITEM_POLE_MODEL'!$G$59)),-1,0)))</f>
        <v/>
      </c>
      <c r="BE17">
        <f>IF('06_ITEM_POLE_MODEL'!$E$60="ABSOLUTE SEMANTIC",0,IF(ISNUMBER(SEARCH($A17,'06_ITEM_POLE_MODEL'!$F$60)),1,IF(ISNUMBER(SEARCH($A17,'06_ITEM_POLE_MODEL'!$G$60)),-1,0)))</f>
        <v/>
      </c>
      <c r="BF17">
        <f>IF('06_ITEM_POLE_MODEL'!$E$61="ABSOLUTE SEMANTIC",0,IF(ISNUMBER(SEARCH($A17,'06_ITEM_POLE_MODEL'!$F$61)),1,IF(ISNUMBER(SEARCH($A17,'06_ITEM_POLE_MODEL'!$G$61)),-1,0)))</f>
        <v/>
      </c>
      <c r="BG17">
        <f>IF('06_ITEM_POLE_MODEL'!$E$62="ABSOLUTE SEMANTIC",0,IF(ISNUMBER(SEARCH($A17,'06_ITEM_POLE_MODEL'!$F$62)),1,IF(ISNUMBER(SEARCH($A17,'06_ITEM_POLE_MODEL'!$G$62)),-1,0)))</f>
        <v/>
      </c>
      <c r="BH17">
        <f>IF('06_ITEM_POLE_MODEL'!$E$63="ABSOLUTE SEMANTIC",0,IF(ISNUMBER(SEARCH($A17,'06_ITEM_POLE_MODEL'!$F$63)),1,IF(ISNUMBER(SEARCH($A17,'06_ITEM_POLE_MODEL'!$G$63)),-1,0)))</f>
        <v/>
      </c>
      <c r="BI17">
        <f>IF('06_ITEM_POLE_MODEL'!$E$64="ABSOLUTE SEMANTIC",0,IF(ISNUMBER(SEARCH($A17,'06_ITEM_POLE_MODEL'!$F$64)),1,IF(ISNUMBER(SEARCH($A17,'06_ITEM_POLE_MODEL'!$G$64)),-1,0)))</f>
        <v/>
      </c>
      <c r="BJ17">
        <f>IF('06_ITEM_POLE_MODEL'!$E$65="ABSOLUTE SEMANTIC",0,IF(ISNUMBER(SEARCH($A17,'06_ITEM_POLE_MODEL'!$F$65)),1,IF(ISNUMBER(SEARCH($A17,'06_ITEM_POLE_MODEL'!$G$65)),-1,0)))</f>
        <v/>
      </c>
      <c r="BK17">
        <f>IF('06_ITEM_POLE_MODEL'!$E$66="ABSOLUTE SEMANTIC",0,IF(ISNUMBER(SEARCH($A17,'06_ITEM_POLE_MODEL'!$F$66)),1,IF(ISNUMBER(SEARCH($A17,'06_ITEM_POLE_MODEL'!$G$66)),-1,0)))</f>
        <v/>
      </c>
      <c r="BL17">
        <f>IF('06_ITEM_POLE_MODEL'!$E$67="ABSOLUTE SEMANTIC",0,IF(ISNUMBER(SEARCH($A17,'06_ITEM_POLE_MODEL'!$F$67)),1,IF(ISNUMBER(SEARCH($A17,'06_ITEM_POLE_MODEL'!$G$67)),-1,0)))</f>
        <v/>
      </c>
      <c r="BM17">
        <f>IF('06_ITEM_POLE_MODEL'!$E$68="ABSOLUTE SEMANTIC",0,IF(ISNUMBER(SEARCH($A17,'06_ITEM_POLE_MODEL'!$F$68)),1,IF(ISNUMBER(SEARCH($A17,'06_ITEM_POLE_MODEL'!$G$68)),-1,0)))</f>
        <v/>
      </c>
      <c r="BN17">
        <f>IF('06_ITEM_POLE_MODEL'!$E$69="ABSOLUTE SEMANTIC",0,IF(ISNUMBER(SEARCH($A17,'06_ITEM_POLE_MODEL'!$F$69)),1,IF(ISNUMBER(SEARCH($A17,'06_ITEM_POLE_MODEL'!$G$69)),-1,0)))</f>
        <v/>
      </c>
      <c r="BO17">
        <f>IF('06_ITEM_POLE_MODEL'!$E$70="ABSOLUTE SEMANTIC",0,IF(ISNUMBER(SEARCH($A17,'06_ITEM_POLE_MODEL'!$F$70)),1,IF(ISNUMBER(SEARCH($A17,'06_ITEM_POLE_MODEL'!$G$70)),-1,0)))</f>
        <v/>
      </c>
      <c r="BP17">
        <f>IF('06_ITEM_POLE_MODEL'!$E$71="ABSOLUTE SEMANTIC",0,IF(ISNUMBER(SEARCH($A17,'06_ITEM_POLE_MODEL'!$F$71)),1,IF(ISNUMBER(SEARCH($A17,'06_ITEM_POLE_MODEL'!$G$71)),-1,0)))</f>
        <v/>
      </c>
      <c r="BQ17">
        <f>IF('06_ITEM_POLE_MODEL'!$E$72="ABSOLUTE SEMANTIC",0,IF(ISNUMBER(SEARCH($A17,'06_ITEM_POLE_MODEL'!$F$72)),1,IF(ISNUMBER(SEARCH($A17,'06_ITEM_POLE_MODEL'!$G$72)),-1,0)))</f>
        <v/>
      </c>
      <c r="BR17">
        <f>IF('06_ITEM_POLE_MODEL'!$E$73="ABSOLUTE SEMANTIC",0,IF(ISNUMBER(SEARCH($A17,'06_ITEM_POLE_MODEL'!$F$73)),1,IF(ISNUMBER(SEARCH($A17,'06_ITEM_POLE_MODEL'!$G$73)),-1,0)))</f>
        <v/>
      </c>
      <c r="BS17">
        <f>IF('06_ITEM_POLE_MODEL'!$E$74="ABSOLUTE SEMANTIC",0,IF(ISNUMBER(SEARCH($A17,'06_ITEM_POLE_MODEL'!$F$74)),1,IF(ISNUMBER(SEARCH($A17,'06_ITEM_POLE_MODEL'!$G$74)),-1,0)))</f>
        <v/>
      </c>
      <c r="BT17">
        <f>IF('06_ITEM_POLE_MODEL'!$E$75="ABSOLUTE SEMANTIC",0,IF(ISNUMBER(SEARCH($A17,'06_ITEM_POLE_MODEL'!$F$75)),1,IF(ISNUMBER(SEARCH($A17,'06_ITEM_POLE_MODEL'!$G$75)),-1,0)))</f>
        <v/>
      </c>
      <c r="BU17">
        <f>IF('06_ITEM_POLE_MODEL'!$E$76="ABSOLUTE SEMANTIC",0,IF(ISNUMBER(SEARCH($A17,'06_ITEM_POLE_MODEL'!$F$76)),1,IF(ISNUMBER(SEARCH($A17,'06_ITEM_POLE_MODEL'!$G$76)),-1,0)))</f>
        <v/>
      </c>
      <c r="BV17">
        <f>IF('06_ITEM_POLE_MODEL'!$E$77="ABSOLUTE SEMANTIC",0,IF(ISNUMBER(SEARCH($A17,'06_ITEM_POLE_MODEL'!$F$77)),1,IF(ISNUMBER(SEARCH($A17,'06_ITEM_POLE_MODEL'!$G$77)),-1,0)))</f>
        <v/>
      </c>
      <c r="BW17">
        <f>IF('06_ITEM_POLE_MODEL'!$E$78="ABSOLUTE SEMANTIC",0,IF(ISNUMBER(SEARCH($A17,'06_ITEM_POLE_MODEL'!$F$78)),1,IF(ISNUMBER(SEARCH($A17,'06_ITEM_POLE_MODEL'!$G$78)),-1,0)))</f>
        <v/>
      </c>
      <c r="BX17">
        <f>IF('06_ITEM_POLE_MODEL'!$E$79="ABSOLUTE SEMANTIC",0,IF(ISNUMBER(SEARCH($A17,'06_ITEM_POLE_MODEL'!$F$79)),1,IF(ISNUMBER(SEARCH($A17,'06_ITEM_POLE_MODEL'!$G$79)),-1,0)))</f>
        <v/>
      </c>
      <c r="BY17">
        <f>IF('06_ITEM_POLE_MODEL'!$E$80="ABSOLUTE SEMANTIC",0,IF(ISNUMBER(SEARCH($A17,'06_ITEM_POLE_MODEL'!$F$80)),1,IF(ISNUMBER(SEARCH($A17,'06_ITEM_POLE_MODEL'!$G$80)),-1,0)))</f>
        <v/>
      </c>
      <c r="BZ17">
        <f>IF('06_ITEM_POLE_MODEL'!$E$81="ABSOLUTE SEMANTIC",0,IF(ISNUMBER(SEARCH($A17,'06_ITEM_POLE_MODEL'!$F$81)),1,IF(ISNUMBER(SEARCH($A17,'06_ITEM_POLE_MODEL'!$G$81)),-1,0)))</f>
        <v/>
      </c>
      <c r="CA17">
        <f>IF('06_ITEM_POLE_MODEL'!$E$82="ABSOLUTE SEMANTIC",0,IF(ISNUMBER(SEARCH($A17,'06_ITEM_POLE_MODEL'!$F$82)),1,IF(ISNUMBER(SEARCH($A17,'06_ITEM_POLE_MODEL'!$G$82)),-1,0)))</f>
        <v/>
      </c>
      <c r="CB17">
        <f>IF('06_ITEM_POLE_MODEL'!$E$83="ABSOLUTE SEMANTIC",0,IF(ISNUMBER(SEARCH($A17,'06_ITEM_POLE_MODEL'!$F$83)),1,IF(ISNUMBER(SEARCH($A17,'06_ITEM_POLE_MODEL'!$G$83)),-1,0)))</f>
        <v/>
      </c>
      <c r="CC17">
        <f>IF('06_ITEM_POLE_MODEL'!$E$84="ABSOLUTE SEMANTIC",0,IF(ISNUMBER(SEARCH($A17,'06_ITEM_POLE_MODEL'!$F$84)),1,IF(ISNUMBER(SEARCH($A17,'06_ITEM_POLE_MODEL'!$G$84)),-1,0)))</f>
        <v/>
      </c>
    </row>
    <row r="18">
      <c r="A18" t="inlineStr">
        <is>
          <t>Avian / Blue Avian</t>
        </is>
      </c>
      <c r="B18">
        <f>IF('06_ITEM_POLE_MODEL'!$E$5="ABSOLUTE SEMANTIC",0,IF(ISNUMBER(SEARCH($A18,'06_ITEM_POLE_MODEL'!$F$5)),1,IF(ISNUMBER(SEARCH($A18,'06_ITEM_POLE_MODEL'!$G$5)),-1,0)))</f>
        <v/>
      </c>
      <c r="C18">
        <f>IF('06_ITEM_POLE_MODEL'!$E$6="ABSOLUTE SEMANTIC",0,IF(ISNUMBER(SEARCH($A18,'06_ITEM_POLE_MODEL'!$F$6)),1,IF(ISNUMBER(SEARCH($A18,'06_ITEM_POLE_MODEL'!$G$6)),-1,0)))</f>
        <v/>
      </c>
      <c r="D18">
        <f>IF('06_ITEM_POLE_MODEL'!$E$7="ABSOLUTE SEMANTIC",0,IF(ISNUMBER(SEARCH($A18,'06_ITEM_POLE_MODEL'!$F$7)),1,IF(ISNUMBER(SEARCH($A18,'06_ITEM_POLE_MODEL'!$G$7)),-1,0)))</f>
        <v/>
      </c>
      <c r="E18">
        <f>IF('06_ITEM_POLE_MODEL'!$E$8="ABSOLUTE SEMANTIC",0,IF(ISNUMBER(SEARCH($A18,'06_ITEM_POLE_MODEL'!$F$8)),1,IF(ISNUMBER(SEARCH($A18,'06_ITEM_POLE_MODEL'!$G$8)),-1,0)))</f>
        <v/>
      </c>
      <c r="F18">
        <f>IF('06_ITEM_POLE_MODEL'!$E$9="ABSOLUTE SEMANTIC",0,IF(ISNUMBER(SEARCH($A18,'06_ITEM_POLE_MODEL'!$F$9)),1,IF(ISNUMBER(SEARCH($A18,'06_ITEM_POLE_MODEL'!$G$9)),-1,0)))</f>
        <v/>
      </c>
      <c r="G18">
        <f>IF('06_ITEM_POLE_MODEL'!$E$10="ABSOLUTE SEMANTIC",0,IF(ISNUMBER(SEARCH($A18,'06_ITEM_POLE_MODEL'!$F$10)),1,IF(ISNUMBER(SEARCH($A18,'06_ITEM_POLE_MODEL'!$G$10)),-1,0)))</f>
        <v/>
      </c>
      <c r="H18">
        <f>IF('06_ITEM_POLE_MODEL'!$E$11="ABSOLUTE SEMANTIC",0,IF(ISNUMBER(SEARCH($A18,'06_ITEM_POLE_MODEL'!$F$11)),1,IF(ISNUMBER(SEARCH($A18,'06_ITEM_POLE_MODEL'!$G$11)),-1,0)))</f>
        <v/>
      </c>
      <c r="I18">
        <f>IF('06_ITEM_POLE_MODEL'!$E$12="ABSOLUTE SEMANTIC",0,IF(ISNUMBER(SEARCH($A18,'06_ITEM_POLE_MODEL'!$F$12)),1,IF(ISNUMBER(SEARCH($A18,'06_ITEM_POLE_MODEL'!$G$12)),-1,0)))</f>
        <v/>
      </c>
      <c r="J18">
        <f>IF('06_ITEM_POLE_MODEL'!$E$13="ABSOLUTE SEMANTIC",0,IF(ISNUMBER(SEARCH($A18,'06_ITEM_POLE_MODEL'!$F$13)),1,IF(ISNUMBER(SEARCH($A18,'06_ITEM_POLE_MODEL'!$G$13)),-1,0)))</f>
        <v/>
      </c>
      <c r="K18">
        <f>IF('06_ITEM_POLE_MODEL'!$E$14="ABSOLUTE SEMANTIC",0,IF(ISNUMBER(SEARCH($A18,'06_ITEM_POLE_MODEL'!$F$14)),1,IF(ISNUMBER(SEARCH($A18,'06_ITEM_POLE_MODEL'!$G$14)),-1,0)))</f>
        <v/>
      </c>
      <c r="L18">
        <f>IF('06_ITEM_POLE_MODEL'!$E$15="ABSOLUTE SEMANTIC",0,IF(ISNUMBER(SEARCH($A18,'06_ITEM_POLE_MODEL'!$F$15)),1,IF(ISNUMBER(SEARCH($A18,'06_ITEM_POLE_MODEL'!$G$15)),-1,0)))</f>
        <v/>
      </c>
      <c r="M18">
        <f>IF('06_ITEM_POLE_MODEL'!$E$16="ABSOLUTE SEMANTIC",0,IF(ISNUMBER(SEARCH($A18,'06_ITEM_POLE_MODEL'!$F$16)),1,IF(ISNUMBER(SEARCH($A18,'06_ITEM_POLE_MODEL'!$G$16)),-1,0)))</f>
        <v/>
      </c>
      <c r="N18">
        <f>IF('06_ITEM_POLE_MODEL'!$E$17="ABSOLUTE SEMANTIC",0,IF(ISNUMBER(SEARCH($A18,'06_ITEM_POLE_MODEL'!$F$17)),1,IF(ISNUMBER(SEARCH($A18,'06_ITEM_POLE_MODEL'!$G$17)),-1,0)))</f>
        <v/>
      </c>
      <c r="O18">
        <f>IF('06_ITEM_POLE_MODEL'!$E$18="ABSOLUTE SEMANTIC",0,IF(ISNUMBER(SEARCH($A18,'06_ITEM_POLE_MODEL'!$F$18)),1,IF(ISNUMBER(SEARCH($A18,'06_ITEM_POLE_MODEL'!$G$18)),-1,0)))</f>
        <v/>
      </c>
      <c r="P18">
        <f>IF('06_ITEM_POLE_MODEL'!$E$19="ABSOLUTE SEMANTIC",0,IF(ISNUMBER(SEARCH($A18,'06_ITEM_POLE_MODEL'!$F$19)),1,IF(ISNUMBER(SEARCH($A18,'06_ITEM_POLE_MODEL'!$G$19)),-1,0)))</f>
        <v/>
      </c>
      <c r="Q18">
        <f>IF('06_ITEM_POLE_MODEL'!$E$20="ABSOLUTE SEMANTIC",0,IF(ISNUMBER(SEARCH($A18,'06_ITEM_POLE_MODEL'!$F$20)),1,IF(ISNUMBER(SEARCH($A18,'06_ITEM_POLE_MODEL'!$G$20)),-1,0)))</f>
        <v/>
      </c>
      <c r="R18">
        <f>IF('06_ITEM_POLE_MODEL'!$E$21="ABSOLUTE SEMANTIC",0,IF(ISNUMBER(SEARCH($A18,'06_ITEM_POLE_MODEL'!$F$21)),1,IF(ISNUMBER(SEARCH($A18,'06_ITEM_POLE_MODEL'!$G$21)),-1,0)))</f>
        <v/>
      </c>
      <c r="S18">
        <f>IF('06_ITEM_POLE_MODEL'!$E$22="ABSOLUTE SEMANTIC",0,IF(ISNUMBER(SEARCH($A18,'06_ITEM_POLE_MODEL'!$F$22)),1,IF(ISNUMBER(SEARCH($A18,'06_ITEM_POLE_MODEL'!$G$22)),-1,0)))</f>
        <v/>
      </c>
      <c r="T18">
        <f>IF('06_ITEM_POLE_MODEL'!$E$23="ABSOLUTE SEMANTIC",0,IF(ISNUMBER(SEARCH($A18,'06_ITEM_POLE_MODEL'!$F$23)),1,IF(ISNUMBER(SEARCH($A18,'06_ITEM_POLE_MODEL'!$G$23)),-1,0)))</f>
        <v/>
      </c>
      <c r="U18">
        <f>IF('06_ITEM_POLE_MODEL'!$E$24="ABSOLUTE SEMANTIC",0,IF(ISNUMBER(SEARCH($A18,'06_ITEM_POLE_MODEL'!$F$24)),1,IF(ISNUMBER(SEARCH($A18,'06_ITEM_POLE_MODEL'!$G$24)),-1,0)))</f>
        <v/>
      </c>
      <c r="V18">
        <f>IF('06_ITEM_POLE_MODEL'!$E$25="ABSOLUTE SEMANTIC",0,IF(ISNUMBER(SEARCH($A18,'06_ITEM_POLE_MODEL'!$F$25)),1,IF(ISNUMBER(SEARCH($A18,'06_ITEM_POLE_MODEL'!$G$25)),-1,0)))</f>
        <v/>
      </c>
      <c r="W18">
        <f>IF('06_ITEM_POLE_MODEL'!$E$26="ABSOLUTE SEMANTIC",0,IF(ISNUMBER(SEARCH($A18,'06_ITEM_POLE_MODEL'!$F$26)),1,IF(ISNUMBER(SEARCH($A18,'06_ITEM_POLE_MODEL'!$G$26)),-1,0)))</f>
        <v/>
      </c>
      <c r="X18">
        <f>IF('06_ITEM_POLE_MODEL'!$E$27="ABSOLUTE SEMANTIC",0,IF(ISNUMBER(SEARCH($A18,'06_ITEM_POLE_MODEL'!$F$27)),1,IF(ISNUMBER(SEARCH($A18,'06_ITEM_POLE_MODEL'!$G$27)),-1,0)))</f>
        <v/>
      </c>
      <c r="Y18">
        <f>IF('06_ITEM_POLE_MODEL'!$E$28="ABSOLUTE SEMANTIC",0,IF(ISNUMBER(SEARCH($A18,'06_ITEM_POLE_MODEL'!$F$28)),1,IF(ISNUMBER(SEARCH($A18,'06_ITEM_POLE_MODEL'!$G$28)),-1,0)))</f>
        <v/>
      </c>
      <c r="Z18">
        <f>IF('06_ITEM_POLE_MODEL'!$E$29="ABSOLUTE SEMANTIC",0,IF(ISNUMBER(SEARCH($A18,'06_ITEM_POLE_MODEL'!$F$29)),1,IF(ISNUMBER(SEARCH($A18,'06_ITEM_POLE_MODEL'!$G$29)),-1,0)))</f>
        <v/>
      </c>
      <c r="AA18">
        <f>IF('06_ITEM_POLE_MODEL'!$E$30="ABSOLUTE SEMANTIC",0,IF(ISNUMBER(SEARCH($A18,'06_ITEM_POLE_MODEL'!$F$30)),1,IF(ISNUMBER(SEARCH($A18,'06_ITEM_POLE_MODEL'!$G$30)),-1,0)))</f>
        <v/>
      </c>
      <c r="AB18">
        <f>IF('06_ITEM_POLE_MODEL'!$E$31="ABSOLUTE SEMANTIC",0,IF(ISNUMBER(SEARCH($A18,'06_ITEM_POLE_MODEL'!$F$31)),1,IF(ISNUMBER(SEARCH($A18,'06_ITEM_POLE_MODEL'!$G$31)),-1,0)))</f>
        <v/>
      </c>
      <c r="AC18">
        <f>IF('06_ITEM_POLE_MODEL'!$E$32="ABSOLUTE SEMANTIC",0,IF(ISNUMBER(SEARCH($A18,'06_ITEM_POLE_MODEL'!$F$32)),1,IF(ISNUMBER(SEARCH($A18,'06_ITEM_POLE_MODEL'!$G$32)),-1,0)))</f>
        <v/>
      </c>
      <c r="AD18">
        <f>IF('06_ITEM_POLE_MODEL'!$E$33="ABSOLUTE SEMANTIC",0,IF(ISNUMBER(SEARCH($A18,'06_ITEM_POLE_MODEL'!$F$33)),1,IF(ISNUMBER(SEARCH($A18,'06_ITEM_POLE_MODEL'!$G$33)),-1,0)))</f>
        <v/>
      </c>
      <c r="AE18">
        <f>IF('06_ITEM_POLE_MODEL'!$E$34="ABSOLUTE SEMANTIC",0,IF(ISNUMBER(SEARCH($A18,'06_ITEM_POLE_MODEL'!$F$34)),1,IF(ISNUMBER(SEARCH($A18,'06_ITEM_POLE_MODEL'!$G$34)),-1,0)))</f>
        <v/>
      </c>
      <c r="AF18">
        <f>IF('06_ITEM_POLE_MODEL'!$E$35="ABSOLUTE SEMANTIC",0,IF(ISNUMBER(SEARCH($A18,'06_ITEM_POLE_MODEL'!$F$35)),1,IF(ISNUMBER(SEARCH($A18,'06_ITEM_POLE_MODEL'!$G$35)),-1,0)))</f>
        <v/>
      </c>
      <c r="AG18">
        <f>IF('06_ITEM_POLE_MODEL'!$E$36="ABSOLUTE SEMANTIC",0,IF(ISNUMBER(SEARCH($A18,'06_ITEM_POLE_MODEL'!$F$36)),1,IF(ISNUMBER(SEARCH($A18,'06_ITEM_POLE_MODEL'!$G$36)),-1,0)))</f>
        <v/>
      </c>
      <c r="AH18">
        <f>IF('06_ITEM_POLE_MODEL'!$E$37="ABSOLUTE SEMANTIC",0,IF(ISNUMBER(SEARCH($A18,'06_ITEM_POLE_MODEL'!$F$37)),1,IF(ISNUMBER(SEARCH($A18,'06_ITEM_POLE_MODEL'!$G$37)),-1,0)))</f>
        <v/>
      </c>
      <c r="AI18">
        <f>IF('06_ITEM_POLE_MODEL'!$E$38="ABSOLUTE SEMANTIC",0,IF(ISNUMBER(SEARCH($A18,'06_ITEM_POLE_MODEL'!$F$38)),1,IF(ISNUMBER(SEARCH($A18,'06_ITEM_POLE_MODEL'!$G$38)),-1,0)))</f>
        <v/>
      </c>
      <c r="AJ18">
        <f>IF('06_ITEM_POLE_MODEL'!$E$39="ABSOLUTE SEMANTIC",0,IF(ISNUMBER(SEARCH($A18,'06_ITEM_POLE_MODEL'!$F$39)),1,IF(ISNUMBER(SEARCH($A18,'06_ITEM_POLE_MODEL'!$G$39)),-1,0)))</f>
        <v/>
      </c>
      <c r="AK18">
        <f>IF('06_ITEM_POLE_MODEL'!$E$40="ABSOLUTE SEMANTIC",0,IF(ISNUMBER(SEARCH($A18,'06_ITEM_POLE_MODEL'!$F$40)),1,IF(ISNUMBER(SEARCH($A18,'06_ITEM_POLE_MODEL'!$G$40)),-1,0)))</f>
        <v/>
      </c>
      <c r="AL18">
        <f>IF('06_ITEM_POLE_MODEL'!$E$41="ABSOLUTE SEMANTIC",0,IF(ISNUMBER(SEARCH($A18,'06_ITEM_POLE_MODEL'!$F$41)),1,IF(ISNUMBER(SEARCH($A18,'06_ITEM_POLE_MODEL'!$G$41)),-1,0)))</f>
        <v/>
      </c>
      <c r="AM18">
        <f>IF('06_ITEM_POLE_MODEL'!$E$42="ABSOLUTE SEMANTIC",0,IF(ISNUMBER(SEARCH($A18,'06_ITEM_POLE_MODEL'!$F$42)),1,IF(ISNUMBER(SEARCH($A18,'06_ITEM_POLE_MODEL'!$G$42)),-1,0)))</f>
        <v/>
      </c>
      <c r="AN18">
        <f>IF('06_ITEM_POLE_MODEL'!$E$43="ABSOLUTE SEMANTIC",0,IF(ISNUMBER(SEARCH($A18,'06_ITEM_POLE_MODEL'!$F$43)),1,IF(ISNUMBER(SEARCH($A18,'06_ITEM_POLE_MODEL'!$G$43)),-1,0)))</f>
        <v/>
      </c>
      <c r="AO18">
        <f>IF('06_ITEM_POLE_MODEL'!$E$44="ABSOLUTE SEMANTIC",0,IF(ISNUMBER(SEARCH($A18,'06_ITEM_POLE_MODEL'!$F$44)),1,IF(ISNUMBER(SEARCH($A18,'06_ITEM_POLE_MODEL'!$G$44)),-1,0)))</f>
        <v/>
      </c>
      <c r="AP18">
        <f>IF('06_ITEM_POLE_MODEL'!$E$45="ABSOLUTE SEMANTIC",0,IF(ISNUMBER(SEARCH($A18,'06_ITEM_POLE_MODEL'!$F$45)),1,IF(ISNUMBER(SEARCH($A18,'06_ITEM_POLE_MODEL'!$G$45)),-1,0)))</f>
        <v/>
      </c>
      <c r="AQ18">
        <f>IF('06_ITEM_POLE_MODEL'!$E$46="ABSOLUTE SEMANTIC",0,IF(ISNUMBER(SEARCH($A18,'06_ITEM_POLE_MODEL'!$F$46)),1,IF(ISNUMBER(SEARCH($A18,'06_ITEM_POLE_MODEL'!$G$46)),-1,0)))</f>
        <v/>
      </c>
      <c r="AR18">
        <f>IF('06_ITEM_POLE_MODEL'!$E$47="ABSOLUTE SEMANTIC",0,IF(ISNUMBER(SEARCH($A18,'06_ITEM_POLE_MODEL'!$F$47)),1,IF(ISNUMBER(SEARCH($A18,'06_ITEM_POLE_MODEL'!$G$47)),-1,0)))</f>
        <v/>
      </c>
      <c r="AS18">
        <f>IF('06_ITEM_POLE_MODEL'!$E$48="ABSOLUTE SEMANTIC",0,IF(ISNUMBER(SEARCH($A18,'06_ITEM_POLE_MODEL'!$F$48)),1,IF(ISNUMBER(SEARCH($A18,'06_ITEM_POLE_MODEL'!$G$48)),-1,0)))</f>
        <v/>
      </c>
      <c r="AT18">
        <f>IF('06_ITEM_POLE_MODEL'!$E$49="ABSOLUTE SEMANTIC",0,IF(ISNUMBER(SEARCH($A18,'06_ITEM_POLE_MODEL'!$F$49)),1,IF(ISNUMBER(SEARCH($A18,'06_ITEM_POLE_MODEL'!$G$49)),-1,0)))</f>
        <v/>
      </c>
      <c r="AU18">
        <f>IF('06_ITEM_POLE_MODEL'!$E$50="ABSOLUTE SEMANTIC",0,IF(ISNUMBER(SEARCH($A18,'06_ITEM_POLE_MODEL'!$F$50)),1,IF(ISNUMBER(SEARCH($A18,'06_ITEM_POLE_MODEL'!$G$50)),-1,0)))</f>
        <v/>
      </c>
      <c r="AV18">
        <f>IF('06_ITEM_POLE_MODEL'!$E$51="ABSOLUTE SEMANTIC",0,IF(ISNUMBER(SEARCH($A18,'06_ITEM_POLE_MODEL'!$F$51)),1,IF(ISNUMBER(SEARCH($A18,'06_ITEM_POLE_MODEL'!$G$51)),-1,0)))</f>
        <v/>
      </c>
      <c r="AW18">
        <f>IF('06_ITEM_POLE_MODEL'!$E$52="ABSOLUTE SEMANTIC",0,IF(ISNUMBER(SEARCH($A18,'06_ITEM_POLE_MODEL'!$F$52)),1,IF(ISNUMBER(SEARCH($A18,'06_ITEM_POLE_MODEL'!$G$52)),-1,0)))</f>
        <v/>
      </c>
      <c r="AX18">
        <f>IF('06_ITEM_POLE_MODEL'!$E$53="ABSOLUTE SEMANTIC",0,IF(ISNUMBER(SEARCH($A18,'06_ITEM_POLE_MODEL'!$F$53)),1,IF(ISNUMBER(SEARCH($A18,'06_ITEM_POLE_MODEL'!$G$53)),-1,0)))</f>
        <v/>
      </c>
      <c r="AY18">
        <f>IF('06_ITEM_POLE_MODEL'!$E$54="ABSOLUTE SEMANTIC",0,IF(ISNUMBER(SEARCH($A18,'06_ITEM_POLE_MODEL'!$F$54)),1,IF(ISNUMBER(SEARCH($A18,'06_ITEM_POLE_MODEL'!$G$54)),-1,0)))</f>
        <v/>
      </c>
      <c r="AZ18">
        <f>IF('06_ITEM_POLE_MODEL'!$E$55="ABSOLUTE SEMANTIC",0,IF(ISNUMBER(SEARCH($A18,'06_ITEM_POLE_MODEL'!$F$55)),1,IF(ISNUMBER(SEARCH($A18,'06_ITEM_POLE_MODEL'!$G$55)),-1,0)))</f>
        <v/>
      </c>
      <c r="BA18">
        <f>IF('06_ITEM_POLE_MODEL'!$E$56="ABSOLUTE SEMANTIC",0,IF(ISNUMBER(SEARCH($A18,'06_ITEM_POLE_MODEL'!$F$56)),1,IF(ISNUMBER(SEARCH($A18,'06_ITEM_POLE_MODEL'!$G$56)),-1,0)))</f>
        <v/>
      </c>
      <c r="BB18">
        <f>IF('06_ITEM_POLE_MODEL'!$E$57="ABSOLUTE SEMANTIC",0,IF(ISNUMBER(SEARCH($A18,'06_ITEM_POLE_MODEL'!$F$57)),1,IF(ISNUMBER(SEARCH($A18,'06_ITEM_POLE_MODEL'!$G$57)),-1,0)))</f>
        <v/>
      </c>
      <c r="BC18">
        <f>IF('06_ITEM_POLE_MODEL'!$E$58="ABSOLUTE SEMANTIC",0,IF(ISNUMBER(SEARCH($A18,'06_ITEM_POLE_MODEL'!$F$58)),1,IF(ISNUMBER(SEARCH($A18,'06_ITEM_POLE_MODEL'!$G$58)),-1,0)))</f>
        <v/>
      </c>
      <c r="BD18">
        <f>IF('06_ITEM_POLE_MODEL'!$E$59="ABSOLUTE SEMANTIC",0,IF(ISNUMBER(SEARCH($A18,'06_ITEM_POLE_MODEL'!$F$59)),1,IF(ISNUMBER(SEARCH($A18,'06_ITEM_POLE_MODEL'!$G$59)),-1,0)))</f>
        <v/>
      </c>
      <c r="BE18">
        <f>IF('06_ITEM_POLE_MODEL'!$E$60="ABSOLUTE SEMANTIC",0,IF(ISNUMBER(SEARCH($A18,'06_ITEM_POLE_MODEL'!$F$60)),1,IF(ISNUMBER(SEARCH($A18,'06_ITEM_POLE_MODEL'!$G$60)),-1,0)))</f>
        <v/>
      </c>
      <c r="BF18">
        <f>IF('06_ITEM_POLE_MODEL'!$E$61="ABSOLUTE SEMANTIC",0,IF(ISNUMBER(SEARCH($A18,'06_ITEM_POLE_MODEL'!$F$61)),1,IF(ISNUMBER(SEARCH($A18,'06_ITEM_POLE_MODEL'!$G$61)),-1,0)))</f>
        <v/>
      </c>
      <c r="BG18">
        <f>IF('06_ITEM_POLE_MODEL'!$E$62="ABSOLUTE SEMANTIC",0,IF(ISNUMBER(SEARCH($A18,'06_ITEM_POLE_MODEL'!$F$62)),1,IF(ISNUMBER(SEARCH($A18,'06_ITEM_POLE_MODEL'!$G$62)),-1,0)))</f>
        <v/>
      </c>
      <c r="BH18">
        <f>IF('06_ITEM_POLE_MODEL'!$E$63="ABSOLUTE SEMANTIC",0,IF(ISNUMBER(SEARCH($A18,'06_ITEM_POLE_MODEL'!$F$63)),1,IF(ISNUMBER(SEARCH($A18,'06_ITEM_POLE_MODEL'!$G$63)),-1,0)))</f>
        <v/>
      </c>
      <c r="BI18">
        <f>IF('06_ITEM_POLE_MODEL'!$E$64="ABSOLUTE SEMANTIC",0,IF(ISNUMBER(SEARCH($A18,'06_ITEM_POLE_MODEL'!$F$64)),1,IF(ISNUMBER(SEARCH($A18,'06_ITEM_POLE_MODEL'!$G$64)),-1,0)))</f>
        <v/>
      </c>
      <c r="BJ18">
        <f>IF('06_ITEM_POLE_MODEL'!$E$65="ABSOLUTE SEMANTIC",0,IF(ISNUMBER(SEARCH($A18,'06_ITEM_POLE_MODEL'!$F$65)),1,IF(ISNUMBER(SEARCH($A18,'06_ITEM_POLE_MODEL'!$G$65)),-1,0)))</f>
        <v/>
      </c>
      <c r="BK18">
        <f>IF('06_ITEM_POLE_MODEL'!$E$66="ABSOLUTE SEMANTIC",0,IF(ISNUMBER(SEARCH($A18,'06_ITEM_POLE_MODEL'!$F$66)),1,IF(ISNUMBER(SEARCH($A18,'06_ITEM_POLE_MODEL'!$G$66)),-1,0)))</f>
        <v/>
      </c>
      <c r="BL18">
        <f>IF('06_ITEM_POLE_MODEL'!$E$67="ABSOLUTE SEMANTIC",0,IF(ISNUMBER(SEARCH($A18,'06_ITEM_POLE_MODEL'!$F$67)),1,IF(ISNUMBER(SEARCH($A18,'06_ITEM_POLE_MODEL'!$G$67)),-1,0)))</f>
        <v/>
      </c>
      <c r="BM18">
        <f>IF('06_ITEM_POLE_MODEL'!$E$68="ABSOLUTE SEMANTIC",0,IF(ISNUMBER(SEARCH($A18,'06_ITEM_POLE_MODEL'!$F$68)),1,IF(ISNUMBER(SEARCH($A18,'06_ITEM_POLE_MODEL'!$G$68)),-1,0)))</f>
        <v/>
      </c>
      <c r="BN18">
        <f>IF('06_ITEM_POLE_MODEL'!$E$69="ABSOLUTE SEMANTIC",0,IF(ISNUMBER(SEARCH($A18,'06_ITEM_POLE_MODEL'!$F$69)),1,IF(ISNUMBER(SEARCH($A18,'06_ITEM_POLE_MODEL'!$G$69)),-1,0)))</f>
        <v/>
      </c>
      <c r="BO18">
        <f>IF('06_ITEM_POLE_MODEL'!$E$70="ABSOLUTE SEMANTIC",0,IF(ISNUMBER(SEARCH($A18,'06_ITEM_POLE_MODEL'!$F$70)),1,IF(ISNUMBER(SEARCH($A18,'06_ITEM_POLE_MODEL'!$G$70)),-1,0)))</f>
        <v/>
      </c>
      <c r="BP18">
        <f>IF('06_ITEM_POLE_MODEL'!$E$71="ABSOLUTE SEMANTIC",0,IF(ISNUMBER(SEARCH($A18,'06_ITEM_POLE_MODEL'!$F$71)),1,IF(ISNUMBER(SEARCH($A18,'06_ITEM_POLE_MODEL'!$G$71)),-1,0)))</f>
        <v/>
      </c>
      <c r="BQ18">
        <f>IF('06_ITEM_POLE_MODEL'!$E$72="ABSOLUTE SEMANTIC",0,IF(ISNUMBER(SEARCH($A18,'06_ITEM_POLE_MODEL'!$F$72)),1,IF(ISNUMBER(SEARCH($A18,'06_ITEM_POLE_MODEL'!$G$72)),-1,0)))</f>
        <v/>
      </c>
      <c r="BR18">
        <f>IF('06_ITEM_POLE_MODEL'!$E$73="ABSOLUTE SEMANTIC",0,IF(ISNUMBER(SEARCH($A18,'06_ITEM_POLE_MODEL'!$F$73)),1,IF(ISNUMBER(SEARCH($A18,'06_ITEM_POLE_MODEL'!$G$73)),-1,0)))</f>
        <v/>
      </c>
      <c r="BS18">
        <f>IF('06_ITEM_POLE_MODEL'!$E$74="ABSOLUTE SEMANTIC",0,IF(ISNUMBER(SEARCH($A18,'06_ITEM_POLE_MODEL'!$F$74)),1,IF(ISNUMBER(SEARCH($A18,'06_ITEM_POLE_MODEL'!$G$74)),-1,0)))</f>
        <v/>
      </c>
      <c r="BT18">
        <f>IF('06_ITEM_POLE_MODEL'!$E$75="ABSOLUTE SEMANTIC",0,IF(ISNUMBER(SEARCH($A18,'06_ITEM_POLE_MODEL'!$F$75)),1,IF(ISNUMBER(SEARCH($A18,'06_ITEM_POLE_MODEL'!$G$75)),-1,0)))</f>
        <v/>
      </c>
      <c r="BU18">
        <f>IF('06_ITEM_POLE_MODEL'!$E$76="ABSOLUTE SEMANTIC",0,IF(ISNUMBER(SEARCH($A18,'06_ITEM_POLE_MODEL'!$F$76)),1,IF(ISNUMBER(SEARCH($A18,'06_ITEM_POLE_MODEL'!$G$76)),-1,0)))</f>
        <v/>
      </c>
      <c r="BV18">
        <f>IF('06_ITEM_POLE_MODEL'!$E$77="ABSOLUTE SEMANTIC",0,IF(ISNUMBER(SEARCH($A18,'06_ITEM_POLE_MODEL'!$F$77)),1,IF(ISNUMBER(SEARCH($A18,'06_ITEM_POLE_MODEL'!$G$77)),-1,0)))</f>
        <v/>
      </c>
      <c r="BW18">
        <f>IF('06_ITEM_POLE_MODEL'!$E$78="ABSOLUTE SEMANTIC",0,IF(ISNUMBER(SEARCH($A18,'06_ITEM_POLE_MODEL'!$F$78)),1,IF(ISNUMBER(SEARCH($A18,'06_ITEM_POLE_MODEL'!$G$78)),-1,0)))</f>
        <v/>
      </c>
      <c r="BX18">
        <f>IF('06_ITEM_POLE_MODEL'!$E$79="ABSOLUTE SEMANTIC",0,IF(ISNUMBER(SEARCH($A18,'06_ITEM_POLE_MODEL'!$F$79)),1,IF(ISNUMBER(SEARCH($A18,'06_ITEM_POLE_MODEL'!$G$79)),-1,0)))</f>
        <v/>
      </c>
      <c r="BY18">
        <f>IF('06_ITEM_POLE_MODEL'!$E$80="ABSOLUTE SEMANTIC",0,IF(ISNUMBER(SEARCH($A18,'06_ITEM_POLE_MODEL'!$F$80)),1,IF(ISNUMBER(SEARCH($A18,'06_ITEM_POLE_MODEL'!$G$80)),-1,0)))</f>
        <v/>
      </c>
      <c r="BZ18">
        <f>IF('06_ITEM_POLE_MODEL'!$E$81="ABSOLUTE SEMANTIC",0,IF(ISNUMBER(SEARCH($A18,'06_ITEM_POLE_MODEL'!$F$81)),1,IF(ISNUMBER(SEARCH($A18,'06_ITEM_POLE_MODEL'!$G$81)),-1,0)))</f>
        <v/>
      </c>
      <c r="CA18">
        <f>IF('06_ITEM_POLE_MODEL'!$E$82="ABSOLUTE SEMANTIC",0,IF(ISNUMBER(SEARCH($A18,'06_ITEM_POLE_MODEL'!$F$82)),1,IF(ISNUMBER(SEARCH($A18,'06_ITEM_POLE_MODEL'!$G$82)),-1,0)))</f>
        <v/>
      </c>
      <c r="CB18">
        <f>IF('06_ITEM_POLE_MODEL'!$E$83="ABSOLUTE SEMANTIC",0,IF(ISNUMBER(SEARCH($A18,'06_ITEM_POLE_MODEL'!$F$83)),1,IF(ISNUMBER(SEARCH($A18,'06_ITEM_POLE_MODEL'!$G$83)),-1,0)))</f>
        <v/>
      </c>
      <c r="CC18">
        <f>IF('06_ITEM_POLE_MODEL'!$E$84="ABSOLUTE SEMANTIC",0,IF(ISNUMBER(SEARCH($A18,'06_ITEM_POLE_MODEL'!$F$84)),1,IF(ISNUMBER(SEARCH($A18,'06_ITEM_POLE_MODEL'!$G$84)),-1,0)))</f>
        <v/>
      </c>
    </row>
    <row r="19">
      <c r="A19" t="inlineStr">
        <is>
          <t>Martian</t>
        </is>
      </c>
      <c r="B19">
        <f>IF('06_ITEM_POLE_MODEL'!$E$5="ABSOLUTE SEMANTIC",0,IF(ISNUMBER(SEARCH($A19,'06_ITEM_POLE_MODEL'!$F$5)),1,IF(ISNUMBER(SEARCH($A19,'06_ITEM_POLE_MODEL'!$G$5)),-1,0)))</f>
        <v/>
      </c>
      <c r="C19">
        <f>IF('06_ITEM_POLE_MODEL'!$E$6="ABSOLUTE SEMANTIC",0,IF(ISNUMBER(SEARCH($A19,'06_ITEM_POLE_MODEL'!$F$6)),1,IF(ISNUMBER(SEARCH($A19,'06_ITEM_POLE_MODEL'!$G$6)),-1,0)))</f>
        <v/>
      </c>
      <c r="D19">
        <f>IF('06_ITEM_POLE_MODEL'!$E$7="ABSOLUTE SEMANTIC",0,IF(ISNUMBER(SEARCH($A19,'06_ITEM_POLE_MODEL'!$F$7)),1,IF(ISNUMBER(SEARCH($A19,'06_ITEM_POLE_MODEL'!$G$7)),-1,0)))</f>
        <v/>
      </c>
      <c r="E19">
        <f>IF('06_ITEM_POLE_MODEL'!$E$8="ABSOLUTE SEMANTIC",0,IF(ISNUMBER(SEARCH($A19,'06_ITEM_POLE_MODEL'!$F$8)),1,IF(ISNUMBER(SEARCH($A19,'06_ITEM_POLE_MODEL'!$G$8)),-1,0)))</f>
        <v/>
      </c>
      <c r="F19">
        <f>IF('06_ITEM_POLE_MODEL'!$E$9="ABSOLUTE SEMANTIC",0,IF(ISNUMBER(SEARCH($A19,'06_ITEM_POLE_MODEL'!$F$9)),1,IF(ISNUMBER(SEARCH($A19,'06_ITEM_POLE_MODEL'!$G$9)),-1,0)))</f>
        <v/>
      </c>
      <c r="G19">
        <f>IF('06_ITEM_POLE_MODEL'!$E$10="ABSOLUTE SEMANTIC",0,IF(ISNUMBER(SEARCH($A19,'06_ITEM_POLE_MODEL'!$F$10)),1,IF(ISNUMBER(SEARCH($A19,'06_ITEM_POLE_MODEL'!$G$10)),-1,0)))</f>
        <v/>
      </c>
      <c r="H19">
        <f>IF('06_ITEM_POLE_MODEL'!$E$11="ABSOLUTE SEMANTIC",0,IF(ISNUMBER(SEARCH($A19,'06_ITEM_POLE_MODEL'!$F$11)),1,IF(ISNUMBER(SEARCH($A19,'06_ITEM_POLE_MODEL'!$G$11)),-1,0)))</f>
        <v/>
      </c>
      <c r="I19">
        <f>IF('06_ITEM_POLE_MODEL'!$E$12="ABSOLUTE SEMANTIC",0,IF(ISNUMBER(SEARCH($A19,'06_ITEM_POLE_MODEL'!$F$12)),1,IF(ISNUMBER(SEARCH($A19,'06_ITEM_POLE_MODEL'!$G$12)),-1,0)))</f>
        <v/>
      </c>
      <c r="J19">
        <f>IF('06_ITEM_POLE_MODEL'!$E$13="ABSOLUTE SEMANTIC",0,IF(ISNUMBER(SEARCH($A19,'06_ITEM_POLE_MODEL'!$F$13)),1,IF(ISNUMBER(SEARCH($A19,'06_ITEM_POLE_MODEL'!$G$13)),-1,0)))</f>
        <v/>
      </c>
      <c r="K19">
        <f>IF('06_ITEM_POLE_MODEL'!$E$14="ABSOLUTE SEMANTIC",0,IF(ISNUMBER(SEARCH($A19,'06_ITEM_POLE_MODEL'!$F$14)),1,IF(ISNUMBER(SEARCH($A19,'06_ITEM_POLE_MODEL'!$G$14)),-1,0)))</f>
        <v/>
      </c>
      <c r="L19">
        <f>IF('06_ITEM_POLE_MODEL'!$E$15="ABSOLUTE SEMANTIC",0,IF(ISNUMBER(SEARCH($A19,'06_ITEM_POLE_MODEL'!$F$15)),1,IF(ISNUMBER(SEARCH($A19,'06_ITEM_POLE_MODEL'!$G$15)),-1,0)))</f>
        <v/>
      </c>
      <c r="M19">
        <f>IF('06_ITEM_POLE_MODEL'!$E$16="ABSOLUTE SEMANTIC",0,IF(ISNUMBER(SEARCH($A19,'06_ITEM_POLE_MODEL'!$F$16)),1,IF(ISNUMBER(SEARCH($A19,'06_ITEM_POLE_MODEL'!$G$16)),-1,0)))</f>
        <v/>
      </c>
      <c r="N19">
        <f>IF('06_ITEM_POLE_MODEL'!$E$17="ABSOLUTE SEMANTIC",0,IF(ISNUMBER(SEARCH($A19,'06_ITEM_POLE_MODEL'!$F$17)),1,IF(ISNUMBER(SEARCH($A19,'06_ITEM_POLE_MODEL'!$G$17)),-1,0)))</f>
        <v/>
      </c>
      <c r="O19">
        <f>IF('06_ITEM_POLE_MODEL'!$E$18="ABSOLUTE SEMANTIC",0,IF(ISNUMBER(SEARCH($A19,'06_ITEM_POLE_MODEL'!$F$18)),1,IF(ISNUMBER(SEARCH($A19,'06_ITEM_POLE_MODEL'!$G$18)),-1,0)))</f>
        <v/>
      </c>
      <c r="P19">
        <f>IF('06_ITEM_POLE_MODEL'!$E$19="ABSOLUTE SEMANTIC",0,IF(ISNUMBER(SEARCH($A19,'06_ITEM_POLE_MODEL'!$F$19)),1,IF(ISNUMBER(SEARCH($A19,'06_ITEM_POLE_MODEL'!$G$19)),-1,0)))</f>
        <v/>
      </c>
      <c r="Q19">
        <f>IF('06_ITEM_POLE_MODEL'!$E$20="ABSOLUTE SEMANTIC",0,IF(ISNUMBER(SEARCH($A19,'06_ITEM_POLE_MODEL'!$F$20)),1,IF(ISNUMBER(SEARCH($A19,'06_ITEM_POLE_MODEL'!$G$20)),-1,0)))</f>
        <v/>
      </c>
      <c r="R19">
        <f>IF('06_ITEM_POLE_MODEL'!$E$21="ABSOLUTE SEMANTIC",0,IF(ISNUMBER(SEARCH($A19,'06_ITEM_POLE_MODEL'!$F$21)),1,IF(ISNUMBER(SEARCH($A19,'06_ITEM_POLE_MODEL'!$G$21)),-1,0)))</f>
        <v/>
      </c>
      <c r="S19">
        <f>IF('06_ITEM_POLE_MODEL'!$E$22="ABSOLUTE SEMANTIC",0,IF(ISNUMBER(SEARCH($A19,'06_ITEM_POLE_MODEL'!$F$22)),1,IF(ISNUMBER(SEARCH($A19,'06_ITEM_POLE_MODEL'!$G$22)),-1,0)))</f>
        <v/>
      </c>
      <c r="T19">
        <f>IF('06_ITEM_POLE_MODEL'!$E$23="ABSOLUTE SEMANTIC",0,IF(ISNUMBER(SEARCH($A19,'06_ITEM_POLE_MODEL'!$F$23)),1,IF(ISNUMBER(SEARCH($A19,'06_ITEM_POLE_MODEL'!$G$23)),-1,0)))</f>
        <v/>
      </c>
      <c r="U19">
        <f>IF('06_ITEM_POLE_MODEL'!$E$24="ABSOLUTE SEMANTIC",0,IF(ISNUMBER(SEARCH($A19,'06_ITEM_POLE_MODEL'!$F$24)),1,IF(ISNUMBER(SEARCH($A19,'06_ITEM_POLE_MODEL'!$G$24)),-1,0)))</f>
        <v/>
      </c>
      <c r="V19">
        <f>IF('06_ITEM_POLE_MODEL'!$E$25="ABSOLUTE SEMANTIC",0,IF(ISNUMBER(SEARCH($A19,'06_ITEM_POLE_MODEL'!$F$25)),1,IF(ISNUMBER(SEARCH($A19,'06_ITEM_POLE_MODEL'!$G$25)),-1,0)))</f>
        <v/>
      </c>
      <c r="W19">
        <f>IF('06_ITEM_POLE_MODEL'!$E$26="ABSOLUTE SEMANTIC",0,IF(ISNUMBER(SEARCH($A19,'06_ITEM_POLE_MODEL'!$F$26)),1,IF(ISNUMBER(SEARCH($A19,'06_ITEM_POLE_MODEL'!$G$26)),-1,0)))</f>
        <v/>
      </c>
      <c r="X19">
        <f>IF('06_ITEM_POLE_MODEL'!$E$27="ABSOLUTE SEMANTIC",0,IF(ISNUMBER(SEARCH($A19,'06_ITEM_POLE_MODEL'!$F$27)),1,IF(ISNUMBER(SEARCH($A19,'06_ITEM_POLE_MODEL'!$G$27)),-1,0)))</f>
        <v/>
      </c>
      <c r="Y19">
        <f>IF('06_ITEM_POLE_MODEL'!$E$28="ABSOLUTE SEMANTIC",0,IF(ISNUMBER(SEARCH($A19,'06_ITEM_POLE_MODEL'!$F$28)),1,IF(ISNUMBER(SEARCH($A19,'06_ITEM_POLE_MODEL'!$G$28)),-1,0)))</f>
        <v/>
      </c>
      <c r="Z19">
        <f>IF('06_ITEM_POLE_MODEL'!$E$29="ABSOLUTE SEMANTIC",0,IF(ISNUMBER(SEARCH($A19,'06_ITEM_POLE_MODEL'!$F$29)),1,IF(ISNUMBER(SEARCH($A19,'06_ITEM_POLE_MODEL'!$G$29)),-1,0)))</f>
        <v/>
      </c>
      <c r="AA19">
        <f>IF('06_ITEM_POLE_MODEL'!$E$30="ABSOLUTE SEMANTIC",0,IF(ISNUMBER(SEARCH($A19,'06_ITEM_POLE_MODEL'!$F$30)),1,IF(ISNUMBER(SEARCH($A19,'06_ITEM_POLE_MODEL'!$G$30)),-1,0)))</f>
        <v/>
      </c>
      <c r="AB19">
        <f>IF('06_ITEM_POLE_MODEL'!$E$31="ABSOLUTE SEMANTIC",0,IF(ISNUMBER(SEARCH($A19,'06_ITEM_POLE_MODEL'!$F$31)),1,IF(ISNUMBER(SEARCH($A19,'06_ITEM_POLE_MODEL'!$G$31)),-1,0)))</f>
        <v/>
      </c>
      <c r="AC19">
        <f>IF('06_ITEM_POLE_MODEL'!$E$32="ABSOLUTE SEMANTIC",0,IF(ISNUMBER(SEARCH($A19,'06_ITEM_POLE_MODEL'!$F$32)),1,IF(ISNUMBER(SEARCH($A19,'06_ITEM_POLE_MODEL'!$G$32)),-1,0)))</f>
        <v/>
      </c>
      <c r="AD19">
        <f>IF('06_ITEM_POLE_MODEL'!$E$33="ABSOLUTE SEMANTIC",0,IF(ISNUMBER(SEARCH($A19,'06_ITEM_POLE_MODEL'!$F$33)),1,IF(ISNUMBER(SEARCH($A19,'06_ITEM_POLE_MODEL'!$G$33)),-1,0)))</f>
        <v/>
      </c>
      <c r="AE19">
        <f>IF('06_ITEM_POLE_MODEL'!$E$34="ABSOLUTE SEMANTIC",0,IF(ISNUMBER(SEARCH($A19,'06_ITEM_POLE_MODEL'!$F$34)),1,IF(ISNUMBER(SEARCH($A19,'06_ITEM_POLE_MODEL'!$G$34)),-1,0)))</f>
        <v/>
      </c>
      <c r="AF19">
        <f>IF('06_ITEM_POLE_MODEL'!$E$35="ABSOLUTE SEMANTIC",0,IF(ISNUMBER(SEARCH($A19,'06_ITEM_POLE_MODEL'!$F$35)),1,IF(ISNUMBER(SEARCH($A19,'06_ITEM_POLE_MODEL'!$G$35)),-1,0)))</f>
        <v/>
      </c>
      <c r="AG19">
        <f>IF('06_ITEM_POLE_MODEL'!$E$36="ABSOLUTE SEMANTIC",0,IF(ISNUMBER(SEARCH($A19,'06_ITEM_POLE_MODEL'!$F$36)),1,IF(ISNUMBER(SEARCH($A19,'06_ITEM_POLE_MODEL'!$G$36)),-1,0)))</f>
        <v/>
      </c>
      <c r="AH19">
        <f>IF('06_ITEM_POLE_MODEL'!$E$37="ABSOLUTE SEMANTIC",0,IF(ISNUMBER(SEARCH($A19,'06_ITEM_POLE_MODEL'!$F$37)),1,IF(ISNUMBER(SEARCH($A19,'06_ITEM_POLE_MODEL'!$G$37)),-1,0)))</f>
        <v/>
      </c>
      <c r="AI19">
        <f>IF('06_ITEM_POLE_MODEL'!$E$38="ABSOLUTE SEMANTIC",0,IF(ISNUMBER(SEARCH($A19,'06_ITEM_POLE_MODEL'!$F$38)),1,IF(ISNUMBER(SEARCH($A19,'06_ITEM_POLE_MODEL'!$G$38)),-1,0)))</f>
        <v/>
      </c>
      <c r="AJ19">
        <f>IF('06_ITEM_POLE_MODEL'!$E$39="ABSOLUTE SEMANTIC",0,IF(ISNUMBER(SEARCH($A19,'06_ITEM_POLE_MODEL'!$F$39)),1,IF(ISNUMBER(SEARCH($A19,'06_ITEM_POLE_MODEL'!$G$39)),-1,0)))</f>
        <v/>
      </c>
      <c r="AK19">
        <f>IF('06_ITEM_POLE_MODEL'!$E$40="ABSOLUTE SEMANTIC",0,IF(ISNUMBER(SEARCH($A19,'06_ITEM_POLE_MODEL'!$F$40)),1,IF(ISNUMBER(SEARCH($A19,'06_ITEM_POLE_MODEL'!$G$40)),-1,0)))</f>
        <v/>
      </c>
      <c r="AL19">
        <f>IF('06_ITEM_POLE_MODEL'!$E$41="ABSOLUTE SEMANTIC",0,IF(ISNUMBER(SEARCH($A19,'06_ITEM_POLE_MODEL'!$F$41)),1,IF(ISNUMBER(SEARCH($A19,'06_ITEM_POLE_MODEL'!$G$41)),-1,0)))</f>
        <v/>
      </c>
      <c r="AM19">
        <f>IF('06_ITEM_POLE_MODEL'!$E$42="ABSOLUTE SEMANTIC",0,IF(ISNUMBER(SEARCH($A19,'06_ITEM_POLE_MODEL'!$F$42)),1,IF(ISNUMBER(SEARCH($A19,'06_ITEM_POLE_MODEL'!$G$42)),-1,0)))</f>
        <v/>
      </c>
      <c r="AN19">
        <f>IF('06_ITEM_POLE_MODEL'!$E$43="ABSOLUTE SEMANTIC",0,IF(ISNUMBER(SEARCH($A19,'06_ITEM_POLE_MODEL'!$F$43)),1,IF(ISNUMBER(SEARCH($A19,'06_ITEM_POLE_MODEL'!$G$43)),-1,0)))</f>
        <v/>
      </c>
      <c r="AO19">
        <f>IF('06_ITEM_POLE_MODEL'!$E$44="ABSOLUTE SEMANTIC",0,IF(ISNUMBER(SEARCH($A19,'06_ITEM_POLE_MODEL'!$F$44)),1,IF(ISNUMBER(SEARCH($A19,'06_ITEM_POLE_MODEL'!$G$44)),-1,0)))</f>
        <v/>
      </c>
      <c r="AP19">
        <f>IF('06_ITEM_POLE_MODEL'!$E$45="ABSOLUTE SEMANTIC",0,IF(ISNUMBER(SEARCH($A19,'06_ITEM_POLE_MODEL'!$F$45)),1,IF(ISNUMBER(SEARCH($A19,'06_ITEM_POLE_MODEL'!$G$45)),-1,0)))</f>
        <v/>
      </c>
      <c r="AQ19">
        <f>IF('06_ITEM_POLE_MODEL'!$E$46="ABSOLUTE SEMANTIC",0,IF(ISNUMBER(SEARCH($A19,'06_ITEM_POLE_MODEL'!$F$46)),1,IF(ISNUMBER(SEARCH($A19,'06_ITEM_POLE_MODEL'!$G$46)),-1,0)))</f>
        <v/>
      </c>
      <c r="AR19">
        <f>IF('06_ITEM_POLE_MODEL'!$E$47="ABSOLUTE SEMANTIC",0,IF(ISNUMBER(SEARCH($A19,'06_ITEM_POLE_MODEL'!$F$47)),1,IF(ISNUMBER(SEARCH($A19,'06_ITEM_POLE_MODEL'!$G$47)),-1,0)))</f>
        <v/>
      </c>
      <c r="AS19">
        <f>IF('06_ITEM_POLE_MODEL'!$E$48="ABSOLUTE SEMANTIC",0,IF(ISNUMBER(SEARCH($A19,'06_ITEM_POLE_MODEL'!$F$48)),1,IF(ISNUMBER(SEARCH($A19,'06_ITEM_POLE_MODEL'!$G$48)),-1,0)))</f>
        <v/>
      </c>
      <c r="AT19">
        <f>IF('06_ITEM_POLE_MODEL'!$E$49="ABSOLUTE SEMANTIC",0,IF(ISNUMBER(SEARCH($A19,'06_ITEM_POLE_MODEL'!$F$49)),1,IF(ISNUMBER(SEARCH($A19,'06_ITEM_POLE_MODEL'!$G$49)),-1,0)))</f>
        <v/>
      </c>
      <c r="AU19">
        <f>IF('06_ITEM_POLE_MODEL'!$E$50="ABSOLUTE SEMANTIC",0,IF(ISNUMBER(SEARCH($A19,'06_ITEM_POLE_MODEL'!$F$50)),1,IF(ISNUMBER(SEARCH($A19,'06_ITEM_POLE_MODEL'!$G$50)),-1,0)))</f>
        <v/>
      </c>
      <c r="AV19">
        <f>IF('06_ITEM_POLE_MODEL'!$E$51="ABSOLUTE SEMANTIC",0,IF(ISNUMBER(SEARCH($A19,'06_ITEM_POLE_MODEL'!$F$51)),1,IF(ISNUMBER(SEARCH($A19,'06_ITEM_POLE_MODEL'!$G$51)),-1,0)))</f>
        <v/>
      </c>
      <c r="AW19">
        <f>IF('06_ITEM_POLE_MODEL'!$E$52="ABSOLUTE SEMANTIC",0,IF(ISNUMBER(SEARCH($A19,'06_ITEM_POLE_MODEL'!$F$52)),1,IF(ISNUMBER(SEARCH($A19,'06_ITEM_POLE_MODEL'!$G$52)),-1,0)))</f>
        <v/>
      </c>
      <c r="AX19">
        <f>IF('06_ITEM_POLE_MODEL'!$E$53="ABSOLUTE SEMANTIC",0,IF(ISNUMBER(SEARCH($A19,'06_ITEM_POLE_MODEL'!$F$53)),1,IF(ISNUMBER(SEARCH($A19,'06_ITEM_POLE_MODEL'!$G$53)),-1,0)))</f>
        <v/>
      </c>
      <c r="AY19">
        <f>IF('06_ITEM_POLE_MODEL'!$E$54="ABSOLUTE SEMANTIC",0,IF(ISNUMBER(SEARCH($A19,'06_ITEM_POLE_MODEL'!$F$54)),1,IF(ISNUMBER(SEARCH($A19,'06_ITEM_POLE_MODEL'!$G$54)),-1,0)))</f>
        <v/>
      </c>
      <c r="AZ19">
        <f>IF('06_ITEM_POLE_MODEL'!$E$55="ABSOLUTE SEMANTIC",0,IF(ISNUMBER(SEARCH($A19,'06_ITEM_POLE_MODEL'!$F$55)),1,IF(ISNUMBER(SEARCH($A19,'06_ITEM_POLE_MODEL'!$G$55)),-1,0)))</f>
        <v/>
      </c>
      <c r="BA19">
        <f>IF('06_ITEM_POLE_MODEL'!$E$56="ABSOLUTE SEMANTIC",0,IF(ISNUMBER(SEARCH($A19,'06_ITEM_POLE_MODEL'!$F$56)),1,IF(ISNUMBER(SEARCH($A19,'06_ITEM_POLE_MODEL'!$G$56)),-1,0)))</f>
        <v/>
      </c>
      <c r="BB19">
        <f>IF('06_ITEM_POLE_MODEL'!$E$57="ABSOLUTE SEMANTIC",0,IF(ISNUMBER(SEARCH($A19,'06_ITEM_POLE_MODEL'!$F$57)),1,IF(ISNUMBER(SEARCH($A19,'06_ITEM_POLE_MODEL'!$G$57)),-1,0)))</f>
        <v/>
      </c>
      <c r="BC19">
        <f>IF('06_ITEM_POLE_MODEL'!$E$58="ABSOLUTE SEMANTIC",0,IF(ISNUMBER(SEARCH($A19,'06_ITEM_POLE_MODEL'!$F$58)),1,IF(ISNUMBER(SEARCH($A19,'06_ITEM_POLE_MODEL'!$G$58)),-1,0)))</f>
        <v/>
      </c>
      <c r="BD19">
        <f>IF('06_ITEM_POLE_MODEL'!$E$59="ABSOLUTE SEMANTIC",0,IF(ISNUMBER(SEARCH($A19,'06_ITEM_POLE_MODEL'!$F$59)),1,IF(ISNUMBER(SEARCH($A19,'06_ITEM_POLE_MODEL'!$G$59)),-1,0)))</f>
        <v/>
      </c>
      <c r="BE19">
        <f>IF('06_ITEM_POLE_MODEL'!$E$60="ABSOLUTE SEMANTIC",0,IF(ISNUMBER(SEARCH($A19,'06_ITEM_POLE_MODEL'!$F$60)),1,IF(ISNUMBER(SEARCH($A19,'06_ITEM_POLE_MODEL'!$G$60)),-1,0)))</f>
        <v/>
      </c>
      <c r="BF19">
        <f>IF('06_ITEM_POLE_MODEL'!$E$61="ABSOLUTE SEMANTIC",0,IF(ISNUMBER(SEARCH($A19,'06_ITEM_POLE_MODEL'!$F$61)),1,IF(ISNUMBER(SEARCH($A19,'06_ITEM_POLE_MODEL'!$G$61)),-1,0)))</f>
        <v/>
      </c>
      <c r="BG19">
        <f>IF('06_ITEM_POLE_MODEL'!$E$62="ABSOLUTE SEMANTIC",0,IF(ISNUMBER(SEARCH($A19,'06_ITEM_POLE_MODEL'!$F$62)),1,IF(ISNUMBER(SEARCH($A19,'06_ITEM_POLE_MODEL'!$G$62)),-1,0)))</f>
        <v/>
      </c>
      <c r="BH19">
        <f>IF('06_ITEM_POLE_MODEL'!$E$63="ABSOLUTE SEMANTIC",0,IF(ISNUMBER(SEARCH($A19,'06_ITEM_POLE_MODEL'!$F$63)),1,IF(ISNUMBER(SEARCH($A19,'06_ITEM_POLE_MODEL'!$G$63)),-1,0)))</f>
        <v/>
      </c>
      <c r="BI19">
        <f>IF('06_ITEM_POLE_MODEL'!$E$64="ABSOLUTE SEMANTIC",0,IF(ISNUMBER(SEARCH($A19,'06_ITEM_POLE_MODEL'!$F$64)),1,IF(ISNUMBER(SEARCH($A19,'06_ITEM_POLE_MODEL'!$G$64)),-1,0)))</f>
        <v/>
      </c>
      <c r="BJ19">
        <f>IF('06_ITEM_POLE_MODEL'!$E$65="ABSOLUTE SEMANTIC",0,IF(ISNUMBER(SEARCH($A19,'06_ITEM_POLE_MODEL'!$F$65)),1,IF(ISNUMBER(SEARCH($A19,'06_ITEM_POLE_MODEL'!$G$65)),-1,0)))</f>
        <v/>
      </c>
      <c r="BK19">
        <f>IF('06_ITEM_POLE_MODEL'!$E$66="ABSOLUTE SEMANTIC",0,IF(ISNUMBER(SEARCH($A19,'06_ITEM_POLE_MODEL'!$F$66)),1,IF(ISNUMBER(SEARCH($A19,'06_ITEM_POLE_MODEL'!$G$66)),-1,0)))</f>
        <v/>
      </c>
      <c r="BL19">
        <f>IF('06_ITEM_POLE_MODEL'!$E$67="ABSOLUTE SEMANTIC",0,IF(ISNUMBER(SEARCH($A19,'06_ITEM_POLE_MODEL'!$F$67)),1,IF(ISNUMBER(SEARCH($A19,'06_ITEM_POLE_MODEL'!$G$67)),-1,0)))</f>
        <v/>
      </c>
      <c r="BM19">
        <f>IF('06_ITEM_POLE_MODEL'!$E$68="ABSOLUTE SEMANTIC",0,IF(ISNUMBER(SEARCH($A19,'06_ITEM_POLE_MODEL'!$F$68)),1,IF(ISNUMBER(SEARCH($A19,'06_ITEM_POLE_MODEL'!$G$68)),-1,0)))</f>
        <v/>
      </c>
      <c r="BN19">
        <f>IF('06_ITEM_POLE_MODEL'!$E$69="ABSOLUTE SEMANTIC",0,IF(ISNUMBER(SEARCH($A19,'06_ITEM_POLE_MODEL'!$F$69)),1,IF(ISNUMBER(SEARCH($A19,'06_ITEM_POLE_MODEL'!$G$69)),-1,0)))</f>
        <v/>
      </c>
      <c r="BO19">
        <f>IF('06_ITEM_POLE_MODEL'!$E$70="ABSOLUTE SEMANTIC",0,IF(ISNUMBER(SEARCH($A19,'06_ITEM_POLE_MODEL'!$F$70)),1,IF(ISNUMBER(SEARCH($A19,'06_ITEM_POLE_MODEL'!$G$70)),-1,0)))</f>
        <v/>
      </c>
      <c r="BP19">
        <f>IF('06_ITEM_POLE_MODEL'!$E$71="ABSOLUTE SEMANTIC",0,IF(ISNUMBER(SEARCH($A19,'06_ITEM_POLE_MODEL'!$F$71)),1,IF(ISNUMBER(SEARCH($A19,'06_ITEM_POLE_MODEL'!$G$71)),-1,0)))</f>
        <v/>
      </c>
      <c r="BQ19">
        <f>IF('06_ITEM_POLE_MODEL'!$E$72="ABSOLUTE SEMANTIC",0,IF(ISNUMBER(SEARCH($A19,'06_ITEM_POLE_MODEL'!$F$72)),1,IF(ISNUMBER(SEARCH($A19,'06_ITEM_POLE_MODEL'!$G$72)),-1,0)))</f>
        <v/>
      </c>
      <c r="BR19">
        <f>IF('06_ITEM_POLE_MODEL'!$E$73="ABSOLUTE SEMANTIC",0,IF(ISNUMBER(SEARCH($A19,'06_ITEM_POLE_MODEL'!$F$73)),1,IF(ISNUMBER(SEARCH($A19,'06_ITEM_POLE_MODEL'!$G$73)),-1,0)))</f>
        <v/>
      </c>
      <c r="BS19">
        <f>IF('06_ITEM_POLE_MODEL'!$E$74="ABSOLUTE SEMANTIC",0,IF(ISNUMBER(SEARCH($A19,'06_ITEM_POLE_MODEL'!$F$74)),1,IF(ISNUMBER(SEARCH($A19,'06_ITEM_POLE_MODEL'!$G$74)),-1,0)))</f>
        <v/>
      </c>
      <c r="BT19">
        <f>IF('06_ITEM_POLE_MODEL'!$E$75="ABSOLUTE SEMANTIC",0,IF(ISNUMBER(SEARCH($A19,'06_ITEM_POLE_MODEL'!$F$75)),1,IF(ISNUMBER(SEARCH($A19,'06_ITEM_POLE_MODEL'!$G$75)),-1,0)))</f>
        <v/>
      </c>
      <c r="BU19">
        <f>IF('06_ITEM_POLE_MODEL'!$E$76="ABSOLUTE SEMANTIC",0,IF(ISNUMBER(SEARCH($A19,'06_ITEM_POLE_MODEL'!$F$76)),1,IF(ISNUMBER(SEARCH($A19,'06_ITEM_POLE_MODEL'!$G$76)),-1,0)))</f>
        <v/>
      </c>
      <c r="BV19">
        <f>IF('06_ITEM_POLE_MODEL'!$E$77="ABSOLUTE SEMANTIC",0,IF(ISNUMBER(SEARCH($A19,'06_ITEM_POLE_MODEL'!$F$77)),1,IF(ISNUMBER(SEARCH($A19,'06_ITEM_POLE_MODEL'!$G$77)),-1,0)))</f>
        <v/>
      </c>
      <c r="BW19">
        <f>IF('06_ITEM_POLE_MODEL'!$E$78="ABSOLUTE SEMANTIC",0,IF(ISNUMBER(SEARCH($A19,'06_ITEM_POLE_MODEL'!$F$78)),1,IF(ISNUMBER(SEARCH($A19,'06_ITEM_POLE_MODEL'!$G$78)),-1,0)))</f>
        <v/>
      </c>
      <c r="BX19">
        <f>IF('06_ITEM_POLE_MODEL'!$E$79="ABSOLUTE SEMANTIC",0,IF(ISNUMBER(SEARCH($A19,'06_ITEM_POLE_MODEL'!$F$79)),1,IF(ISNUMBER(SEARCH($A19,'06_ITEM_POLE_MODEL'!$G$79)),-1,0)))</f>
        <v/>
      </c>
      <c r="BY19">
        <f>IF('06_ITEM_POLE_MODEL'!$E$80="ABSOLUTE SEMANTIC",0,IF(ISNUMBER(SEARCH($A19,'06_ITEM_POLE_MODEL'!$F$80)),1,IF(ISNUMBER(SEARCH($A19,'06_ITEM_POLE_MODEL'!$G$80)),-1,0)))</f>
        <v/>
      </c>
      <c r="BZ19">
        <f>IF('06_ITEM_POLE_MODEL'!$E$81="ABSOLUTE SEMANTIC",0,IF(ISNUMBER(SEARCH($A19,'06_ITEM_POLE_MODEL'!$F$81)),1,IF(ISNUMBER(SEARCH($A19,'06_ITEM_POLE_MODEL'!$G$81)),-1,0)))</f>
        <v/>
      </c>
      <c r="CA19">
        <f>IF('06_ITEM_POLE_MODEL'!$E$82="ABSOLUTE SEMANTIC",0,IF(ISNUMBER(SEARCH($A19,'06_ITEM_POLE_MODEL'!$F$82)),1,IF(ISNUMBER(SEARCH($A19,'06_ITEM_POLE_MODEL'!$G$82)),-1,0)))</f>
        <v/>
      </c>
      <c r="CB19">
        <f>IF('06_ITEM_POLE_MODEL'!$E$83="ABSOLUTE SEMANTIC",0,IF(ISNUMBER(SEARCH($A19,'06_ITEM_POLE_MODEL'!$F$83)),1,IF(ISNUMBER(SEARCH($A19,'06_ITEM_POLE_MODEL'!$G$83)),-1,0)))</f>
        <v/>
      </c>
      <c r="CC19">
        <f>IF('06_ITEM_POLE_MODEL'!$E$84="ABSOLUTE SEMANTIC",0,IF(ISNUMBER(SEARCH($A19,'06_ITEM_POLE_MODEL'!$F$84)),1,IF(ISNUMBER(SEARCH($A19,'06_ITEM_POLE_MODEL'!$G$84)),-1,0)))</f>
        <v/>
      </c>
    </row>
    <row r="20">
      <c r="A20" t="inlineStr">
        <is>
          <t>Maldekian</t>
        </is>
      </c>
      <c r="B20">
        <f>IF('06_ITEM_POLE_MODEL'!$E$5="ABSOLUTE SEMANTIC",0,IF(ISNUMBER(SEARCH($A20,'06_ITEM_POLE_MODEL'!$F$5)),1,IF(ISNUMBER(SEARCH($A20,'06_ITEM_POLE_MODEL'!$G$5)),-1,0)))</f>
        <v/>
      </c>
      <c r="C20">
        <f>IF('06_ITEM_POLE_MODEL'!$E$6="ABSOLUTE SEMANTIC",0,IF(ISNUMBER(SEARCH($A20,'06_ITEM_POLE_MODEL'!$F$6)),1,IF(ISNUMBER(SEARCH($A20,'06_ITEM_POLE_MODEL'!$G$6)),-1,0)))</f>
        <v/>
      </c>
      <c r="D20">
        <f>IF('06_ITEM_POLE_MODEL'!$E$7="ABSOLUTE SEMANTIC",0,IF(ISNUMBER(SEARCH($A20,'06_ITEM_POLE_MODEL'!$F$7)),1,IF(ISNUMBER(SEARCH($A20,'06_ITEM_POLE_MODEL'!$G$7)),-1,0)))</f>
        <v/>
      </c>
      <c r="E20">
        <f>IF('06_ITEM_POLE_MODEL'!$E$8="ABSOLUTE SEMANTIC",0,IF(ISNUMBER(SEARCH($A20,'06_ITEM_POLE_MODEL'!$F$8)),1,IF(ISNUMBER(SEARCH($A20,'06_ITEM_POLE_MODEL'!$G$8)),-1,0)))</f>
        <v/>
      </c>
      <c r="F20">
        <f>IF('06_ITEM_POLE_MODEL'!$E$9="ABSOLUTE SEMANTIC",0,IF(ISNUMBER(SEARCH($A20,'06_ITEM_POLE_MODEL'!$F$9)),1,IF(ISNUMBER(SEARCH($A20,'06_ITEM_POLE_MODEL'!$G$9)),-1,0)))</f>
        <v/>
      </c>
      <c r="G20">
        <f>IF('06_ITEM_POLE_MODEL'!$E$10="ABSOLUTE SEMANTIC",0,IF(ISNUMBER(SEARCH($A20,'06_ITEM_POLE_MODEL'!$F$10)),1,IF(ISNUMBER(SEARCH($A20,'06_ITEM_POLE_MODEL'!$G$10)),-1,0)))</f>
        <v/>
      </c>
      <c r="H20">
        <f>IF('06_ITEM_POLE_MODEL'!$E$11="ABSOLUTE SEMANTIC",0,IF(ISNUMBER(SEARCH($A20,'06_ITEM_POLE_MODEL'!$F$11)),1,IF(ISNUMBER(SEARCH($A20,'06_ITEM_POLE_MODEL'!$G$11)),-1,0)))</f>
        <v/>
      </c>
      <c r="I20">
        <f>IF('06_ITEM_POLE_MODEL'!$E$12="ABSOLUTE SEMANTIC",0,IF(ISNUMBER(SEARCH($A20,'06_ITEM_POLE_MODEL'!$F$12)),1,IF(ISNUMBER(SEARCH($A20,'06_ITEM_POLE_MODEL'!$G$12)),-1,0)))</f>
        <v/>
      </c>
      <c r="J20">
        <f>IF('06_ITEM_POLE_MODEL'!$E$13="ABSOLUTE SEMANTIC",0,IF(ISNUMBER(SEARCH($A20,'06_ITEM_POLE_MODEL'!$F$13)),1,IF(ISNUMBER(SEARCH($A20,'06_ITEM_POLE_MODEL'!$G$13)),-1,0)))</f>
        <v/>
      </c>
      <c r="K20">
        <f>IF('06_ITEM_POLE_MODEL'!$E$14="ABSOLUTE SEMANTIC",0,IF(ISNUMBER(SEARCH($A20,'06_ITEM_POLE_MODEL'!$F$14)),1,IF(ISNUMBER(SEARCH($A20,'06_ITEM_POLE_MODEL'!$G$14)),-1,0)))</f>
        <v/>
      </c>
      <c r="L20">
        <f>IF('06_ITEM_POLE_MODEL'!$E$15="ABSOLUTE SEMANTIC",0,IF(ISNUMBER(SEARCH($A20,'06_ITEM_POLE_MODEL'!$F$15)),1,IF(ISNUMBER(SEARCH($A20,'06_ITEM_POLE_MODEL'!$G$15)),-1,0)))</f>
        <v/>
      </c>
      <c r="M20">
        <f>IF('06_ITEM_POLE_MODEL'!$E$16="ABSOLUTE SEMANTIC",0,IF(ISNUMBER(SEARCH($A20,'06_ITEM_POLE_MODEL'!$F$16)),1,IF(ISNUMBER(SEARCH($A20,'06_ITEM_POLE_MODEL'!$G$16)),-1,0)))</f>
        <v/>
      </c>
      <c r="N20">
        <f>IF('06_ITEM_POLE_MODEL'!$E$17="ABSOLUTE SEMANTIC",0,IF(ISNUMBER(SEARCH($A20,'06_ITEM_POLE_MODEL'!$F$17)),1,IF(ISNUMBER(SEARCH($A20,'06_ITEM_POLE_MODEL'!$G$17)),-1,0)))</f>
        <v/>
      </c>
      <c r="O20">
        <f>IF('06_ITEM_POLE_MODEL'!$E$18="ABSOLUTE SEMANTIC",0,IF(ISNUMBER(SEARCH($A20,'06_ITEM_POLE_MODEL'!$F$18)),1,IF(ISNUMBER(SEARCH($A20,'06_ITEM_POLE_MODEL'!$G$18)),-1,0)))</f>
        <v/>
      </c>
      <c r="P20">
        <f>IF('06_ITEM_POLE_MODEL'!$E$19="ABSOLUTE SEMANTIC",0,IF(ISNUMBER(SEARCH($A20,'06_ITEM_POLE_MODEL'!$F$19)),1,IF(ISNUMBER(SEARCH($A20,'06_ITEM_POLE_MODEL'!$G$19)),-1,0)))</f>
        <v/>
      </c>
      <c r="Q20">
        <f>IF('06_ITEM_POLE_MODEL'!$E$20="ABSOLUTE SEMANTIC",0,IF(ISNUMBER(SEARCH($A20,'06_ITEM_POLE_MODEL'!$F$20)),1,IF(ISNUMBER(SEARCH($A20,'06_ITEM_POLE_MODEL'!$G$20)),-1,0)))</f>
        <v/>
      </c>
      <c r="R20">
        <f>IF('06_ITEM_POLE_MODEL'!$E$21="ABSOLUTE SEMANTIC",0,IF(ISNUMBER(SEARCH($A20,'06_ITEM_POLE_MODEL'!$F$21)),1,IF(ISNUMBER(SEARCH($A20,'06_ITEM_POLE_MODEL'!$G$21)),-1,0)))</f>
        <v/>
      </c>
      <c r="S20">
        <f>IF('06_ITEM_POLE_MODEL'!$E$22="ABSOLUTE SEMANTIC",0,IF(ISNUMBER(SEARCH($A20,'06_ITEM_POLE_MODEL'!$F$22)),1,IF(ISNUMBER(SEARCH($A20,'06_ITEM_POLE_MODEL'!$G$22)),-1,0)))</f>
        <v/>
      </c>
      <c r="T20">
        <f>IF('06_ITEM_POLE_MODEL'!$E$23="ABSOLUTE SEMANTIC",0,IF(ISNUMBER(SEARCH($A20,'06_ITEM_POLE_MODEL'!$F$23)),1,IF(ISNUMBER(SEARCH($A20,'06_ITEM_POLE_MODEL'!$G$23)),-1,0)))</f>
        <v/>
      </c>
      <c r="U20">
        <f>IF('06_ITEM_POLE_MODEL'!$E$24="ABSOLUTE SEMANTIC",0,IF(ISNUMBER(SEARCH($A20,'06_ITEM_POLE_MODEL'!$F$24)),1,IF(ISNUMBER(SEARCH($A20,'06_ITEM_POLE_MODEL'!$G$24)),-1,0)))</f>
        <v/>
      </c>
      <c r="V20">
        <f>IF('06_ITEM_POLE_MODEL'!$E$25="ABSOLUTE SEMANTIC",0,IF(ISNUMBER(SEARCH($A20,'06_ITEM_POLE_MODEL'!$F$25)),1,IF(ISNUMBER(SEARCH($A20,'06_ITEM_POLE_MODEL'!$G$25)),-1,0)))</f>
        <v/>
      </c>
      <c r="W20">
        <f>IF('06_ITEM_POLE_MODEL'!$E$26="ABSOLUTE SEMANTIC",0,IF(ISNUMBER(SEARCH($A20,'06_ITEM_POLE_MODEL'!$F$26)),1,IF(ISNUMBER(SEARCH($A20,'06_ITEM_POLE_MODEL'!$G$26)),-1,0)))</f>
        <v/>
      </c>
      <c r="X20">
        <f>IF('06_ITEM_POLE_MODEL'!$E$27="ABSOLUTE SEMANTIC",0,IF(ISNUMBER(SEARCH($A20,'06_ITEM_POLE_MODEL'!$F$27)),1,IF(ISNUMBER(SEARCH($A20,'06_ITEM_POLE_MODEL'!$G$27)),-1,0)))</f>
        <v/>
      </c>
      <c r="Y20">
        <f>IF('06_ITEM_POLE_MODEL'!$E$28="ABSOLUTE SEMANTIC",0,IF(ISNUMBER(SEARCH($A20,'06_ITEM_POLE_MODEL'!$F$28)),1,IF(ISNUMBER(SEARCH($A20,'06_ITEM_POLE_MODEL'!$G$28)),-1,0)))</f>
        <v/>
      </c>
      <c r="Z20">
        <f>IF('06_ITEM_POLE_MODEL'!$E$29="ABSOLUTE SEMANTIC",0,IF(ISNUMBER(SEARCH($A20,'06_ITEM_POLE_MODEL'!$F$29)),1,IF(ISNUMBER(SEARCH($A20,'06_ITEM_POLE_MODEL'!$G$29)),-1,0)))</f>
        <v/>
      </c>
      <c r="AA20">
        <f>IF('06_ITEM_POLE_MODEL'!$E$30="ABSOLUTE SEMANTIC",0,IF(ISNUMBER(SEARCH($A20,'06_ITEM_POLE_MODEL'!$F$30)),1,IF(ISNUMBER(SEARCH($A20,'06_ITEM_POLE_MODEL'!$G$30)),-1,0)))</f>
        <v/>
      </c>
      <c r="AB20">
        <f>IF('06_ITEM_POLE_MODEL'!$E$31="ABSOLUTE SEMANTIC",0,IF(ISNUMBER(SEARCH($A20,'06_ITEM_POLE_MODEL'!$F$31)),1,IF(ISNUMBER(SEARCH($A20,'06_ITEM_POLE_MODEL'!$G$31)),-1,0)))</f>
        <v/>
      </c>
      <c r="AC20">
        <f>IF('06_ITEM_POLE_MODEL'!$E$32="ABSOLUTE SEMANTIC",0,IF(ISNUMBER(SEARCH($A20,'06_ITEM_POLE_MODEL'!$F$32)),1,IF(ISNUMBER(SEARCH($A20,'06_ITEM_POLE_MODEL'!$G$32)),-1,0)))</f>
        <v/>
      </c>
      <c r="AD20">
        <f>IF('06_ITEM_POLE_MODEL'!$E$33="ABSOLUTE SEMANTIC",0,IF(ISNUMBER(SEARCH($A20,'06_ITEM_POLE_MODEL'!$F$33)),1,IF(ISNUMBER(SEARCH($A20,'06_ITEM_POLE_MODEL'!$G$33)),-1,0)))</f>
        <v/>
      </c>
      <c r="AE20">
        <f>IF('06_ITEM_POLE_MODEL'!$E$34="ABSOLUTE SEMANTIC",0,IF(ISNUMBER(SEARCH($A20,'06_ITEM_POLE_MODEL'!$F$34)),1,IF(ISNUMBER(SEARCH($A20,'06_ITEM_POLE_MODEL'!$G$34)),-1,0)))</f>
        <v/>
      </c>
      <c r="AF20">
        <f>IF('06_ITEM_POLE_MODEL'!$E$35="ABSOLUTE SEMANTIC",0,IF(ISNUMBER(SEARCH($A20,'06_ITEM_POLE_MODEL'!$F$35)),1,IF(ISNUMBER(SEARCH($A20,'06_ITEM_POLE_MODEL'!$G$35)),-1,0)))</f>
        <v/>
      </c>
      <c r="AG20">
        <f>IF('06_ITEM_POLE_MODEL'!$E$36="ABSOLUTE SEMANTIC",0,IF(ISNUMBER(SEARCH($A20,'06_ITEM_POLE_MODEL'!$F$36)),1,IF(ISNUMBER(SEARCH($A20,'06_ITEM_POLE_MODEL'!$G$36)),-1,0)))</f>
        <v/>
      </c>
      <c r="AH20">
        <f>IF('06_ITEM_POLE_MODEL'!$E$37="ABSOLUTE SEMANTIC",0,IF(ISNUMBER(SEARCH($A20,'06_ITEM_POLE_MODEL'!$F$37)),1,IF(ISNUMBER(SEARCH($A20,'06_ITEM_POLE_MODEL'!$G$37)),-1,0)))</f>
        <v/>
      </c>
      <c r="AI20">
        <f>IF('06_ITEM_POLE_MODEL'!$E$38="ABSOLUTE SEMANTIC",0,IF(ISNUMBER(SEARCH($A20,'06_ITEM_POLE_MODEL'!$F$38)),1,IF(ISNUMBER(SEARCH($A20,'06_ITEM_POLE_MODEL'!$G$38)),-1,0)))</f>
        <v/>
      </c>
      <c r="AJ20">
        <f>IF('06_ITEM_POLE_MODEL'!$E$39="ABSOLUTE SEMANTIC",0,IF(ISNUMBER(SEARCH($A20,'06_ITEM_POLE_MODEL'!$F$39)),1,IF(ISNUMBER(SEARCH($A20,'06_ITEM_POLE_MODEL'!$G$39)),-1,0)))</f>
        <v/>
      </c>
      <c r="AK20">
        <f>IF('06_ITEM_POLE_MODEL'!$E$40="ABSOLUTE SEMANTIC",0,IF(ISNUMBER(SEARCH($A20,'06_ITEM_POLE_MODEL'!$F$40)),1,IF(ISNUMBER(SEARCH($A20,'06_ITEM_POLE_MODEL'!$G$40)),-1,0)))</f>
        <v/>
      </c>
      <c r="AL20">
        <f>IF('06_ITEM_POLE_MODEL'!$E$41="ABSOLUTE SEMANTIC",0,IF(ISNUMBER(SEARCH($A20,'06_ITEM_POLE_MODEL'!$F$41)),1,IF(ISNUMBER(SEARCH($A20,'06_ITEM_POLE_MODEL'!$G$41)),-1,0)))</f>
        <v/>
      </c>
      <c r="AM20">
        <f>IF('06_ITEM_POLE_MODEL'!$E$42="ABSOLUTE SEMANTIC",0,IF(ISNUMBER(SEARCH($A20,'06_ITEM_POLE_MODEL'!$F$42)),1,IF(ISNUMBER(SEARCH($A20,'06_ITEM_POLE_MODEL'!$G$42)),-1,0)))</f>
        <v/>
      </c>
      <c r="AN20">
        <f>IF('06_ITEM_POLE_MODEL'!$E$43="ABSOLUTE SEMANTIC",0,IF(ISNUMBER(SEARCH($A20,'06_ITEM_POLE_MODEL'!$F$43)),1,IF(ISNUMBER(SEARCH($A20,'06_ITEM_POLE_MODEL'!$G$43)),-1,0)))</f>
        <v/>
      </c>
      <c r="AO20">
        <f>IF('06_ITEM_POLE_MODEL'!$E$44="ABSOLUTE SEMANTIC",0,IF(ISNUMBER(SEARCH($A20,'06_ITEM_POLE_MODEL'!$F$44)),1,IF(ISNUMBER(SEARCH($A20,'06_ITEM_POLE_MODEL'!$G$44)),-1,0)))</f>
        <v/>
      </c>
      <c r="AP20">
        <f>IF('06_ITEM_POLE_MODEL'!$E$45="ABSOLUTE SEMANTIC",0,IF(ISNUMBER(SEARCH($A20,'06_ITEM_POLE_MODEL'!$F$45)),1,IF(ISNUMBER(SEARCH($A20,'06_ITEM_POLE_MODEL'!$G$45)),-1,0)))</f>
        <v/>
      </c>
      <c r="AQ20">
        <f>IF('06_ITEM_POLE_MODEL'!$E$46="ABSOLUTE SEMANTIC",0,IF(ISNUMBER(SEARCH($A20,'06_ITEM_POLE_MODEL'!$F$46)),1,IF(ISNUMBER(SEARCH($A20,'06_ITEM_POLE_MODEL'!$G$46)),-1,0)))</f>
        <v/>
      </c>
      <c r="AR20">
        <f>IF('06_ITEM_POLE_MODEL'!$E$47="ABSOLUTE SEMANTIC",0,IF(ISNUMBER(SEARCH($A20,'06_ITEM_POLE_MODEL'!$F$47)),1,IF(ISNUMBER(SEARCH($A20,'06_ITEM_POLE_MODEL'!$G$47)),-1,0)))</f>
        <v/>
      </c>
      <c r="AS20">
        <f>IF('06_ITEM_POLE_MODEL'!$E$48="ABSOLUTE SEMANTIC",0,IF(ISNUMBER(SEARCH($A20,'06_ITEM_POLE_MODEL'!$F$48)),1,IF(ISNUMBER(SEARCH($A20,'06_ITEM_POLE_MODEL'!$G$48)),-1,0)))</f>
        <v/>
      </c>
      <c r="AT20">
        <f>IF('06_ITEM_POLE_MODEL'!$E$49="ABSOLUTE SEMANTIC",0,IF(ISNUMBER(SEARCH($A20,'06_ITEM_POLE_MODEL'!$F$49)),1,IF(ISNUMBER(SEARCH($A20,'06_ITEM_POLE_MODEL'!$G$49)),-1,0)))</f>
        <v/>
      </c>
      <c r="AU20">
        <f>IF('06_ITEM_POLE_MODEL'!$E$50="ABSOLUTE SEMANTIC",0,IF(ISNUMBER(SEARCH($A20,'06_ITEM_POLE_MODEL'!$F$50)),1,IF(ISNUMBER(SEARCH($A20,'06_ITEM_POLE_MODEL'!$G$50)),-1,0)))</f>
        <v/>
      </c>
      <c r="AV20">
        <f>IF('06_ITEM_POLE_MODEL'!$E$51="ABSOLUTE SEMANTIC",0,IF(ISNUMBER(SEARCH($A20,'06_ITEM_POLE_MODEL'!$F$51)),1,IF(ISNUMBER(SEARCH($A20,'06_ITEM_POLE_MODEL'!$G$51)),-1,0)))</f>
        <v/>
      </c>
      <c r="AW20">
        <f>IF('06_ITEM_POLE_MODEL'!$E$52="ABSOLUTE SEMANTIC",0,IF(ISNUMBER(SEARCH($A20,'06_ITEM_POLE_MODEL'!$F$52)),1,IF(ISNUMBER(SEARCH($A20,'06_ITEM_POLE_MODEL'!$G$52)),-1,0)))</f>
        <v/>
      </c>
      <c r="AX20">
        <f>IF('06_ITEM_POLE_MODEL'!$E$53="ABSOLUTE SEMANTIC",0,IF(ISNUMBER(SEARCH($A20,'06_ITEM_POLE_MODEL'!$F$53)),1,IF(ISNUMBER(SEARCH($A20,'06_ITEM_POLE_MODEL'!$G$53)),-1,0)))</f>
        <v/>
      </c>
      <c r="AY20">
        <f>IF('06_ITEM_POLE_MODEL'!$E$54="ABSOLUTE SEMANTIC",0,IF(ISNUMBER(SEARCH($A20,'06_ITEM_POLE_MODEL'!$F$54)),1,IF(ISNUMBER(SEARCH($A20,'06_ITEM_POLE_MODEL'!$G$54)),-1,0)))</f>
        <v/>
      </c>
      <c r="AZ20">
        <f>IF('06_ITEM_POLE_MODEL'!$E$55="ABSOLUTE SEMANTIC",0,IF(ISNUMBER(SEARCH($A20,'06_ITEM_POLE_MODEL'!$F$55)),1,IF(ISNUMBER(SEARCH($A20,'06_ITEM_POLE_MODEL'!$G$55)),-1,0)))</f>
        <v/>
      </c>
      <c r="BA20">
        <f>IF('06_ITEM_POLE_MODEL'!$E$56="ABSOLUTE SEMANTIC",0,IF(ISNUMBER(SEARCH($A20,'06_ITEM_POLE_MODEL'!$F$56)),1,IF(ISNUMBER(SEARCH($A20,'06_ITEM_POLE_MODEL'!$G$56)),-1,0)))</f>
        <v/>
      </c>
      <c r="BB20">
        <f>IF('06_ITEM_POLE_MODEL'!$E$57="ABSOLUTE SEMANTIC",0,IF(ISNUMBER(SEARCH($A20,'06_ITEM_POLE_MODEL'!$F$57)),1,IF(ISNUMBER(SEARCH($A20,'06_ITEM_POLE_MODEL'!$G$57)),-1,0)))</f>
        <v/>
      </c>
      <c r="BC20">
        <f>IF('06_ITEM_POLE_MODEL'!$E$58="ABSOLUTE SEMANTIC",0,IF(ISNUMBER(SEARCH($A20,'06_ITEM_POLE_MODEL'!$F$58)),1,IF(ISNUMBER(SEARCH($A20,'06_ITEM_POLE_MODEL'!$G$58)),-1,0)))</f>
        <v/>
      </c>
      <c r="BD20">
        <f>IF('06_ITEM_POLE_MODEL'!$E$59="ABSOLUTE SEMANTIC",0,IF(ISNUMBER(SEARCH($A20,'06_ITEM_POLE_MODEL'!$F$59)),1,IF(ISNUMBER(SEARCH($A20,'06_ITEM_POLE_MODEL'!$G$59)),-1,0)))</f>
        <v/>
      </c>
      <c r="BE20">
        <f>IF('06_ITEM_POLE_MODEL'!$E$60="ABSOLUTE SEMANTIC",0,IF(ISNUMBER(SEARCH($A20,'06_ITEM_POLE_MODEL'!$F$60)),1,IF(ISNUMBER(SEARCH($A20,'06_ITEM_POLE_MODEL'!$G$60)),-1,0)))</f>
        <v/>
      </c>
      <c r="BF20">
        <f>IF('06_ITEM_POLE_MODEL'!$E$61="ABSOLUTE SEMANTIC",0,IF(ISNUMBER(SEARCH($A20,'06_ITEM_POLE_MODEL'!$F$61)),1,IF(ISNUMBER(SEARCH($A20,'06_ITEM_POLE_MODEL'!$G$61)),-1,0)))</f>
        <v/>
      </c>
      <c r="BG20">
        <f>IF('06_ITEM_POLE_MODEL'!$E$62="ABSOLUTE SEMANTIC",0,IF(ISNUMBER(SEARCH($A20,'06_ITEM_POLE_MODEL'!$F$62)),1,IF(ISNUMBER(SEARCH($A20,'06_ITEM_POLE_MODEL'!$G$62)),-1,0)))</f>
        <v/>
      </c>
      <c r="BH20">
        <f>IF('06_ITEM_POLE_MODEL'!$E$63="ABSOLUTE SEMANTIC",0,IF(ISNUMBER(SEARCH($A20,'06_ITEM_POLE_MODEL'!$F$63)),1,IF(ISNUMBER(SEARCH($A20,'06_ITEM_POLE_MODEL'!$G$63)),-1,0)))</f>
        <v/>
      </c>
      <c r="BI20">
        <f>IF('06_ITEM_POLE_MODEL'!$E$64="ABSOLUTE SEMANTIC",0,IF(ISNUMBER(SEARCH($A20,'06_ITEM_POLE_MODEL'!$F$64)),1,IF(ISNUMBER(SEARCH($A20,'06_ITEM_POLE_MODEL'!$G$64)),-1,0)))</f>
        <v/>
      </c>
      <c r="BJ20">
        <f>IF('06_ITEM_POLE_MODEL'!$E$65="ABSOLUTE SEMANTIC",0,IF(ISNUMBER(SEARCH($A20,'06_ITEM_POLE_MODEL'!$F$65)),1,IF(ISNUMBER(SEARCH($A20,'06_ITEM_POLE_MODEL'!$G$65)),-1,0)))</f>
        <v/>
      </c>
      <c r="BK20">
        <f>IF('06_ITEM_POLE_MODEL'!$E$66="ABSOLUTE SEMANTIC",0,IF(ISNUMBER(SEARCH($A20,'06_ITEM_POLE_MODEL'!$F$66)),1,IF(ISNUMBER(SEARCH($A20,'06_ITEM_POLE_MODEL'!$G$66)),-1,0)))</f>
        <v/>
      </c>
      <c r="BL20">
        <f>IF('06_ITEM_POLE_MODEL'!$E$67="ABSOLUTE SEMANTIC",0,IF(ISNUMBER(SEARCH($A20,'06_ITEM_POLE_MODEL'!$F$67)),1,IF(ISNUMBER(SEARCH($A20,'06_ITEM_POLE_MODEL'!$G$67)),-1,0)))</f>
        <v/>
      </c>
      <c r="BM20">
        <f>IF('06_ITEM_POLE_MODEL'!$E$68="ABSOLUTE SEMANTIC",0,IF(ISNUMBER(SEARCH($A20,'06_ITEM_POLE_MODEL'!$F$68)),1,IF(ISNUMBER(SEARCH($A20,'06_ITEM_POLE_MODEL'!$G$68)),-1,0)))</f>
        <v/>
      </c>
      <c r="BN20">
        <f>IF('06_ITEM_POLE_MODEL'!$E$69="ABSOLUTE SEMANTIC",0,IF(ISNUMBER(SEARCH($A20,'06_ITEM_POLE_MODEL'!$F$69)),1,IF(ISNUMBER(SEARCH($A20,'06_ITEM_POLE_MODEL'!$G$69)),-1,0)))</f>
        <v/>
      </c>
      <c r="BO20">
        <f>IF('06_ITEM_POLE_MODEL'!$E$70="ABSOLUTE SEMANTIC",0,IF(ISNUMBER(SEARCH($A20,'06_ITEM_POLE_MODEL'!$F$70)),1,IF(ISNUMBER(SEARCH($A20,'06_ITEM_POLE_MODEL'!$G$70)),-1,0)))</f>
        <v/>
      </c>
      <c r="BP20">
        <f>IF('06_ITEM_POLE_MODEL'!$E$71="ABSOLUTE SEMANTIC",0,IF(ISNUMBER(SEARCH($A20,'06_ITEM_POLE_MODEL'!$F$71)),1,IF(ISNUMBER(SEARCH($A20,'06_ITEM_POLE_MODEL'!$G$71)),-1,0)))</f>
        <v/>
      </c>
      <c r="BQ20">
        <f>IF('06_ITEM_POLE_MODEL'!$E$72="ABSOLUTE SEMANTIC",0,IF(ISNUMBER(SEARCH($A20,'06_ITEM_POLE_MODEL'!$F$72)),1,IF(ISNUMBER(SEARCH($A20,'06_ITEM_POLE_MODEL'!$G$72)),-1,0)))</f>
        <v/>
      </c>
      <c r="BR20">
        <f>IF('06_ITEM_POLE_MODEL'!$E$73="ABSOLUTE SEMANTIC",0,IF(ISNUMBER(SEARCH($A20,'06_ITEM_POLE_MODEL'!$F$73)),1,IF(ISNUMBER(SEARCH($A20,'06_ITEM_POLE_MODEL'!$G$73)),-1,0)))</f>
        <v/>
      </c>
      <c r="BS20">
        <f>IF('06_ITEM_POLE_MODEL'!$E$74="ABSOLUTE SEMANTIC",0,IF(ISNUMBER(SEARCH($A20,'06_ITEM_POLE_MODEL'!$F$74)),1,IF(ISNUMBER(SEARCH($A20,'06_ITEM_POLE_MODEL'!$G$74)),-1,0)))</f>
        <v/>
      </c>
      <c r="BT20">
        <f>IF('06_ITEM_POLE_MODEL'!$E$75="ABSOLUTE SEMANTIC",0,IF(ISNUMBER(SEARCH($A20,'06_ITEM_POLE_MODEL'!$F$75)),1,IF(ISNUMBER(SEARCH($A20,'06_ITEM_POLE_MODEL'!$G$75)),-1,0)))</f>
        <v/>
      </c>
      <c r="BU20">
        <f>IF('06_ITEM_POLE_MODEL'!$E$76="ABSOLUTE SEMANTIC",0,IF(ISNUMBER(SEARCH($A20,'06_ITEM_POLE_MODEL'!$F$76)),1,IF(ISNUMBER(SEARCH($A20,'06_ITEM_POLE_MODEL'!$G$76)),-1,0)))</f>
        <v/>
      </c>
      <c r="BV20">
        <f>IF('06_ITEM_POLE_MODEL'!$E$77="ABSOLUTE SEMANTIC",0,IF(ISNUMBER(SEARCH($A20,'06_ITEM_POLE_MODEL'!$F$77)),1,IF(ISNUMBER(SEARCH($A20,'06_ITEM_POLE_MODEL'!$G$77)),-1,0)))</f>
        <v/>
      </c>
      <c r="BW20">
        <f>IF('06_ITEM_POLE_MODEL'!$E$78="ABSOLUTE SEMANTIC",0,IF(ISNUMBER(SEARCH($A20,'06_ITEM_POLE_MODEL'!$F$78)),1,IF(ISNUMBER(SEARCH($A20,'06_ITEM_POLE_MODEL'!$G$78)),-1,0)))</f>
        <v/>
      </c>
      <c r="BX20">
        <f>IF('06_ITEM_POLE_MODEL'!$E$79="ABSOLUTE SEMANTIC",0,IF(ISNUMBER(SEARCH($A20,'06_ITEM_POLE_MODEL'!$F$79)),1,IF(ISNUMBER(SEARCH($A20,'06_ITEM_POLE_MODEL'!$G$79)),-1,0)))</f>
        <v/>
      </c>
      <c r="BY20">
        <f>IF('06_ITEM_POLE_MODEL'!$E$80="ABSOLUTE SEMANTIC",0,IF(ISNUMBER(SEARCH($A20,'06_ITEM_POLE_MODEL'!$F$80)),1,IF(ISNUMBER(SEARCH($A20,'06_ITEM_POLE_MODEL'!$G$80)),-1,0)))</f>
        <v/>
      </c>
      <c r="BZ20">
        <f>IF('06_ITEM_POLE_MODEL'!$E$81="ABSOLUTE SEMANTIC",0,IF(ISNUMBER(SEARCH($A20,'06_ITEM_POLE_MODEL'!$F$81)),1,IF(ISNUMBER(SEARCH($A20,'06_ITEM_POLE_MODEL'!$G$81)),-1,0)))</f>
        <v/>
      </c>
      <c r="CA20">
        <f>IF('06_ITEM_POLE_MODEL'!$E$82="ABSOLUTE SEMANTIC",0,IF(ISNUMBER(SEARCH($A20,'06_ITEM_POLE_MODEL'!$F$82)),1,IF(ISNUMBER(SEARCH($A20,'06_ITEM_POLE_MODEL'!$G$82)),-1,0)))</f>
        <v/>
      </c>
      <c r="CB20">
        <f>IF('06_ITEM_POLE_MODEL'!$E$83="ABSOLUTE SEMANTIC",0,IF(ISNUMBER(SEARCH($A20,'06_ITEM_POLE_MODEL'!$F$83)),1,IF(ISNUMBER(SEARCH($A20,'06_ITEM_POLE_MODEL'!$G$83)),-1,0)))</f>
        <v/>
      </c>
      <c r="CC20">
        <f>IF('06_ITEM_POLE_MODEL'!$E$84="ABSOLUTE SEMANTIC",0,IF(ISNUMBER(SEARCH($A20,'06_ITEM_POLE_MODEL'!$F$84)),1,IF(ISNUMBER(SEARCH($A20,'06_ITEM_POLE_MODEL'!$G$84)),-1,0)))</f>
        <v/>
      </c>
    </row>
    <row r="21">
      <c r="A21" t="inlineStr">
        <is>
          <t>Draconian</t>
        </is>
      </c>
      <c r="B21">
        <f>IF('06_ITEM_POLE_MODEL'!$E$5="ABSOLUTE SEMANTIC",0,IF(ISNUMBER(SEARCH($A21,'06_ITEM_POLE_MODEL'!$F$5)),1,IF(ISNUMBER(SEARCH($A21,'06_ITEM_POLE_MODEL'!$G$5)),-1,0)))</f>
        <v/>
      </c>
      <c r="C21">
        <f>IF('06_ITEM_POLE_MODEL'!$E$6="ABSOLUTE SEMANTIC",0,IF(ISNUMBER(SEARCH($A21,'06_ITEM_POLE_MODEL'!$F$6)),1,IF(ISNUMBER(SEARCH($A21,'06_ITEM_POLE_MODEL'!$G$6)),-1,0)))</f>
        <v/>
      </c>
      <c r="D21">
        <f>IF('06_ITEM_POLE_MODEL'!$E$7="ABSOLUTE SEMANTIC",0,IF(ISNUMBER(SEARCH($A21,'06_ITEM_POLE_MODEL'!$F$7)),1,IF(ISNUMBER(SEARCH($A21,'06_ITEM_POLE_MODEL'!$G$7)),-1,0)))</f>
        <v/>
      </c>
      <c r="E21">
        <f>IF('06_ITEM_POLE_MODEL'!$E$8="ABSOLUTE SEMANTIC",0,IF(ISNUMBER(SEARCH($A21,'06_ITEM_POLE_MODEL'!$F$8)),1,IF(ISNUMBER(SEARCH($A21,'06_ITEM_POLE_MODEL'!$G$8)),-1,0)))</f>
        <v/>
      </c>
      <c r="F21">
        <f>IF('06_ITEM_POLE_MODEL'!$E$9="ABSOLUTE SEMANTIC",0,IF(ISNUMBER(SEARCH($A21,'06_ITEM_POLE_MODEL'!$F$9)),1,IF(ISNUMBER(SEARCH($A21,'06_ITEM_POLE_MODEL'!$G$9)),-1,0)))</f>
        <v/>
      </c>
      <c r="G21">
        <f>IF('06_ITEM_POLE_MODEL'!$E$10="ABSOLUTE SEMANTIC",0,IF(ISNUMBER(SEARCH($A21,'06_ITEM_POLE_MODEL'!$F$10)),1,IF(ISNUMBER(SEARCH($A21,'06_ITEM_POLE_MODEL'!$G$10)),-1,0)))</f>
        <v/>
      </c>
      <c r="H21">
        <f>IF('06_ITEM_POLE_MODEL'!$E$11="ABSOLUTE SEMANTIC",0,IF(ISNUMBER(SEARCH($A21,'06_ITEM_POLE_MODEL'!$F$11)),1,IF(ISNUMBER(SEARCH($A21,'06_ITEM_POLE_MODEL'!$G$11)),-1,0)))</f>
        <v/>
      </c>
      <c r="I21">
        <f>IF('06_ITEM_POLE_MODEL'!$E$12="ABSOLUTE SEMANTIC",0,IF(ISNUMBER(SEARCH($A21,'06_ITEM_POLE_MODEL'!$F$12)),1,IF(ISNUMBER(SEARCH($A21,'06_ITEM_POLE_MODEL'!$G$12)),-1,0)))</f>
        <v/>
      </c>
      <c r="J21">
        <f>IF('06_ITEM_POLE_MODEL'!$E$13="ABSOLUTE SEMANTIC",0,IF(ISNUMBER(SEARCH($A21,'06_ITEM_POLE_MODEL'!$F$13)),1,IF(ISNUMBER(SEARCH($A21,'06_ITEM_POLE_MODEL'!$G$13)),-1,0)))</f>
        <v/>
      </c>
      <c r="K21">
        <f>IF('06_ITEM_POLE_MODEL'!$E$14="ABSOLUTE SEMANTIC",0,IF(ISNUMBER(SEARCH($A21,'06_ITEM_POLE_MODEL'!$F$14)),1,IF(ISNUMBER(SEARCH($A21,'06_ITEM_POLE_MODEL'!$G$14)),-1,0)))</f>
        <v/>
      </c>
      <c r="L21">
        <f>IF('06_ITEM_POLE_MODEL'!$E$15="ABSOLUTE SEMANTIC",0,IF(ISNUMBER(SEARCH($A21,'06_ITEM_POLE_MODEL'!$F$15)),1,IF(ISNUMBER(SEARCH($A21,'06_ITEM_POLE_MODEL'!$G$15)),-1,0)))</f>
        <v/>
      </c>
      <c r="M21">
        <f>IF('06_ITEM_POLE_MODEL'!$E$16="ABSOLUTE SEMANTIC",0,IF(ISNUMBER(SEARCH($A21,'06_ITEM_POLE_MODEL'!$F$16)),1,IF(ISNUMBER(SEARCH($A21,'06_ITEM_POLE_MODEL'!$G$16)),-1,0)))</f>
        <v/>
      </c>
      <c r="N21">
        <f>IF('06_ITEM_POLE_MODEL'!$E$17="ABSOLUTE SEMANTIC",0,IF(ISNUMBER(SEARCH($A21,'06_ITEM_POLE_MODEL'!$F$17)),1,IF(ISNUMBER(SEARCH($A21,'06_ITEM_POLE_MODEL'!$G$17)),-1,0)))</f>
        <v/>
      </c>
      <c r="O21">
        <f>IF('06_ITEM_POLE_MODEL'!$E$18="ABSOLUTE SEMANTIC",0,IF(ISNUMBER(SEARCH($A21,'06_ITEM_POLE_MODEL'!$F$18)),1,IF(ISNUMBER(SEARCH($A21,'06_ITEM_POLE_MODEL'!$G$18)),-1,0)))</f>
        <v/>
      </c>
      <c r="P21">
        <f>IF('06_ITEM_POLE_MODEL'!$E$19="ABSOLUTE SEMANTIC",0,IF(ISNUMBER(SEARCH($A21,'06_ITEM_POLE_MODEL'!$F$19)),1,IF(ISNUMBER(SEARCH($A21,'06_ITEM_POLE_MODEL'!$G$19)),-1,0)))</f>
        <v/>
      </c>
      <c r="Q21">
        <f>IF('06_ITEM_POLE_MODEL'!$E$20="ABSOLUTE SEMANTIC",0,IF(ISNUMBER(SEARCH($A21,'06_ITEM_POLE_MODEL'!$F$20)),1,IF(ISNUMBER(SEARCH($A21,'06_ITEM_POLE_MODEL'!$G$20)),-1,0)))</f>
        <v/>
      </c>
      <c r="R21">
        <f>IF('06_ITEM_POLE_MODEL'!$E$21="ABSOLUTE SEMANTIC",0,IF(ISNUMBER(SEARCH($A21,'06_ITEM_POLE_MODEL'!$F$21)),1,IF(ISNUMBER(SEARCH($A21,'06_ITEM_POLE_MODEL'!$G$21)),-1,0)))</f>
        <v/>
      </c>
      <c r="S21">
        <f>IF('06_ITEM_POLE_MODEL'!$E$22="ABSOLUTE SEMANTIC",0,IF(ISNUMBER(SEARCH($A21,'06_ITEM_POLE_MODEL'!$F$22)),1,IF(ISNUMBER(SEARCH($A21,'06_ITEM_POLE_MODEL'!$G$22)),-1,0)))</f>
        <v/>
      </c>
      <c r="T21">
        <f>IF('06_ITEM_POLE_MODEL'!$E$23="ABSOLUTE SEMANTIC",0,IF(ISNUMBER(SEARCH($A21,'06_ITEM_POLE_MODEL'!$F$23)),1,IF(ISNUMBER(SEARCH($A21,'06_ITEM_POLE_MODEL'!$G$23)),-1,0)))</f>
        <v/>
      </c>
      <c r="U21">
        <f>IF('06_ITEM_POLE_MODEL'!$E$24="ABSOLUTE SEMANTIC",0,IF(ISNUMBER(SEARCH($A21,'06_ITEM_POLE_MODEL'!$F$24)),1,IF(ISNUMBER(SEARCH($A21,'06_ITEM_POLE_MODEL'!$G$24)),-1,0)))</f>
        <v/>
      </c>
      <c r="V21">
        <f>IF('06_ITEM_POLE_MODEL'!$E$25="ABSOLUTE SEMANTIC",0,IF(ISNUMBER(SEARCH($A21,'06_ITEM_POLE_MODEL'!$F$25)),1,IF(ISNUMBER(SEARCH($A21,'06_ITEM_POLE_MODEL'!$G$25)),-1,0)))</f>
        <v/>
      </c>
      <c r="W21">
        <f>IF('06_ITEM_POLE_MODEL'!$E$26="ABSOLUTE SEMANTIC",0,IF(ISNUMBER(SEARCH($A21,'06_ITEM_POLE_MODEL'!$F$26)),1,IF(ISNUMBER(SEARCH($A21,'06_ITEM_POLE_MODEL'!$G$26)),-1,0)))</f>
        <v/>
      </c>
      <c r="X21">
        <f>IF('06_ITEM_POLE_MODEL'!$E$27="ABSOLUTE SEMANTIC",0,IF(ISNUMBER(SEARCH($A21,'06_ITEM_POLE_MODEL'!$F$27)),1,IF(ISNUMBER(SEARCH($A21,'06_ITEM_POLE_MODEL'!$G$27)),-1,0)))</f>
        <v/>
      </c>
      <c r="Y21">
        <f>IF('06_ITEM_POLE_MODEL'!$E$28="ABSOLUTE SEMANTIC",0,IF(ISNUMBER(SEARCH($A21,'06_ITEM_POLE_MODEL'!$F$28)),1,IF(ISNUMBER(SEARCH($A21,'06_ITEM_POLE_MODEL'!$G$28)),-1,0)))</f>
        <v/>
      </c>
      <c r="Z21">
        <f>IF('06_ITEM_POLE_MODEL'!$E$29="ABSOLUTE SEMANTIC",0,IF(ISNUMBER(SEARCH($A21,'06_ITEM_POLE_MODEL'!$F$29)),1,IF(ISNUMBER(SEARCH($A21,'06_ITEM_POLE_MODEL'!$G$29)),-1,0)))</f>
        <v/>
      </c>
      <c r="AA21">
        <f>IF('06_ITEM_POLE_MODEL'!$E$30="ABSOLUTE SEMANTIC",0,IF(ISNUMBER(SEARCH($A21,'06_ITEM_POLE_MODEL'!$F$30)),1,IF(ISNUMBER(SEARCH($A21,'06_ITEM_POLE_MODEL'!$G$30)),-1,0)))</f>
        <v/>
      </c>
      <c r="AB21">
        <f>IF('06_ITEM_POLE_MODEL'!$E$31="ABSOLUTE SEMANTIC",0,IF(ISNUMBER(SEARCH($A21,'06_ITEM_POLE_MODEL'!$F$31)),1,IF(ISNUMBER(SEARCH($A21,'06_ITEM_POLE_MODEL'!$G$31)),-1,0)))</f>
        <v/>
      </c>
      <c r="AC21">
        <f>IF('06_ITEM_POLE_MODEL'!$E$32="ABSOLUTE SEMANTIC",0,IF(ISNUMBER(SEARCH($A21,'06_ITEM_POLE_MODEL'!$F$32)),1,IF(ISNUMBER(SEARCH($A21,'06_ITEM_POLE_MODEL'!$G$32)),-1,0)))</f>
        <v/>
      </c>
      <c r="AD21">
        <f>IF('06_ITEM_POLE_MODEL'!$E$33="ABSOLUTE SEMANTIC",0,IF(ISNUMBER(SEARCH($A21,'06_ITEM_POLE_MODEL'!$F$33)),1,IF(ISNUMBER(SEARCH($A21,'06_ITEM_POLE_MODEL'!$G$33)),-1,0)))</f>
        <v/>
      </c>
      <c r="AE21">
        <f>IF('06_ITEM_POLE_MODEL'!$E$34="ABSOLUTE SEMANTIC",0,IF(ISNUMBER(SEARCH($A21,'06_ITEM_POLE_MODEL'!$F$34)),1,IF(ISNUMBER(SEARCH($A21,'06_ITEM_POLE_MODEL'!$G$34)),-1,0)))</f>
        <v/>
      </c>
      <c r="AF21">
        <f>IF('06_ITEM_POLE_MODEL'!$E$35="ABSOLUTE SEMANTIC",0,IF(ISNUMBER(SEARCH($A21,'06_ITEM_POLE_MODEL'!$F$35)),1,IF(ISNUMBER(SEARCH($A21,'06_ITEM_POLE_MODEL'!$G$35)),-1,0)))</f>
        <v/>
      </c>
      <c r="AG21">
        <f>IF('06_ITEM_POLE_MODEL'!$E$36="ABSOLUTE SEMANTIC",0,IF(ISNUMBER(SEARCH($A21,'06_ITEM_POLE_MODEL'!$F$36)),1,IF(ISNUMBER(SEARCH($A21,'06_ITEM_POLE_MODEL'!$G$36)),-1,0)))</f>
        <v/>
      </c>
      <c r="AH21">
        <f>IF('06_ITEM_POLE_MODEL'!$E$37="ABSOLUTE SEMANTIC",0,IF(ISNUMBER(SEARCH($A21,'06_ITEM_POLE_MODEL'!$F$37)),1,IF(ISNUMBER(SEARCH($A21,'06_ITEM_POLE_MODEL'!$G$37)),-1,0)))</f>
        <v/>
      </c>
      <c r="AI21">
        <f>IF('06_ITEM_POLE_MODEL'!$E$38="ABSOLUTE SEMANTIC",0,IF(ISNUMBER(SEARCH($A21,'06_ITEM_POLE_MODEL'!$F$38)),1,IF(ISNUMBER(SEARCH($A21,'06_ITEM_POLE_MODEL'!$G$38)),-1,0)))</f>
        <v/>
      </c>
      <c r="AJ21">
        <f>IF('06_ITEM_POLE_MODEL'!$E$39="ABSOLUTE SEMANTIC",0,IF(ISNUMBER(SEARCH($A21,'06_ITEM_POLE_MODEL'!$F$39)),1,IF(ISNUMBER(SEARCH($A21,'06_ITEM_POLE_MODEL'!$G$39)),-1,0)))</f>
        <v/>
      </c>
      <c r="AK21">
        <f>IF('06_ITEM_POLE_MODEL'!$E$40="ABSOLUTE SEMANTIC",0,IF(ISNUMBER(SEARCH($A21,'06_ITEM_POLE_MODEL'!$F$40)),1,IF(ISNUMBER(SEARCH($A21,'06_ITEM_POLE_MODEL'!$G$40)),-1,0)))</f>
        <v/>
      </c>
      <c r="AL21">
        <f>IF('06_ITEM_POLE_MODEL'!$E$41="ABSOLUTE SEMANTIC",0,IF(ISNUMBER(SEARCH($A21,'06_ITEM_POLE_MODEL'!$F$41)),1,IF(ISNUMBER(SEARCH($A21,'06_ITEM_POLE_MODEL'!$G$41)),-1,0)))</f>
        <v/>
      </c>
      <c r="AM21">
        <f>IF('06_ITEM_POLE_MODEL'!$E$42="ABSOLUTE SEMANTIC",0,IF(ISNUMBER(SEARCH($A21,'06_ITEM_POLE_MODEL'!$F$42)),1,IF(ISNUMBER(SEARCH($A21,'06_ITEM_POLE_MODEL'!$G$42)),-1,0)))</f>
        <v/>
      </c>
      <c r="AN21">
        <f>IF('06_ITEM_POLE_MODEL'!$E$43="ABSOLUTE SEMANTIC",0,IF(ISNUMBER(SEARCH($A21,'06_ITEM_POLE_MODEL'!$F$43)),1,IF(ISNUMBER(SEARCH($A21,'06_ITEM_POLE_MODEL'!$G$43)),-1,0)))</f>
        <v/>
      </c>
      <c r="AO21">
        <f>IF('06_ITEM_POLE_MODEL'!$E$44="ABSOLUTE SEMANTIC",0,IF(ISNUMBER(SEARCH($A21,'06_ITEM_POLE_MODEL'!$F$44)),1,IF(ISNUMBER(SEARCH($A21,'06_ITEM_POLE_MODEL'!$G$44)),-1,0)))</f>
        <v/>
      </c>
      <c r="AP21">
        <f>IF('06_ITEM_POLE_MODEL'!$E$45="ABSOLUTE SEMANTIC",0,IF(ISNUMBER(SEARCH($A21,'06_ITEM_POLE_MODEL'!$F$45)),1,IF(ISNUMBER(SEARCH($A21,'06_ITEM_POLE_MODEL'!$G$45)),-1,0)))</f>
        <v/>
      </c>
      <c r="AQ21">
        <f>IF('06_ITEM_POLE_MODEL'!$E$46="ABSOLUTE SEMANTIC",0,IF(ISNUMBER(SEARCH($A21,'06_ITEM_POLE_MODEL'!$F$46)),1,IF(ISNUMBER(SEARCH($A21,'06_ITEM_POLE_MODEL'!$G$46)),-1,0)))</f>
        <v/>
      </c>
      <c r="AR21">
        <f>IF('06_ITEM_POLE_MODEL'!$E$47="ABSOLUTE SEMANTIC",0,IF(ISNUMBER(SEARCH($A21,'06_ITEM_POLE_MODEL'!$F$47)),1,IF(ISNUMBER(SEARCH($A21,'06_ITEM_POLE_MODEL'!$G$47)),-1,0)))</f>
        <v/>
      </c>
      <c r="AS21">
        <f>IF('06_ITEM_POLE_MODEL'!$E$48="ABSOLUTE SEMANTIC",0,IF(ISNUMBER(SEARCH($A21,'06_ITEM_POLE_MODEL'!$F$48)),1,IF(ISNUMBER(SEARCH($A21,'06_ITEM_POLE_MODEL'!$G$48)),-1,0)))</f>
        <v/>
      </c>
      <c r="AT21">
        <f>IF('06_ITEM_POLE_MODEL'!$E$49="ABSOLUTE SEMANTIC",0,IF(ISNUMBER(SEARCH($A21,'06_ITEM_POLE_MODEL'!$F$49)),1,IF(ISNUMBER(SEARCH($A21,'06_ITEM_POLE_MODEL'!$G$49)),-1,0)))</f>
        <v/>
      </c>
      <c r="AU21">
        <f>IF('06_ITEM_POLE_MODEL'!$E$50="ABSOLUTE SEMANTIC",0,IF(ISNUMBER(SEARCH($A21,'06_ITEM_POLE_MODEL'!$F$50)),1,IF(ISNUMBER(SEARCH($A21,'06_ITEM_POLE_MODEL'!$G$50)),-1,0)))</f>
        <v/>
      </c>
      <c r="AV21">
        <f>IF('06_ITEM_POLE_MODEL'!$E$51="ABSOLUTE SEMANTIC",0,IF(ISNUMBER(SEARCH($A21,'06_ITEM_POLE_MODEL'!$F$51)),1,IF(ISNUMBER(SEARCH($A21,'06_ITEM_POLE_MODEL'!$G$51)),-1,0)))</f>
        <v/>
      </c>
      <c r="AW21">
        <f>IF('06_ITEM_POLE_MODEL'!$E$52="ABSOLUTE SEMANTIC",0,IF(ISNUMBER(SEARCH($A21,'06_ITEM_POLE_MODEL'!$F$52)),1,IF(ISNUMBER(SEARCH($A21,'06_ITEM_POLE_MODEL'!$G$52)),-1,0)))</f>
        <v/>
      </c>
      <c r="AX21">
        <f>IF('06_ITEM_POLE_MODEL'!$E$53="ABSOLUTE SEMANTIC",0,IF(ISNUMBER(SEARCH($A21,'06_ITEM_POLE_MODEL'!$F$53)),1,IF(ISNUMBER(SEARCH($A21,'06_ITEM_POLE_MODEL'!$G$53)),-1,0)))</f>
        <v/>
      </c>
      <c r="AY21">
        <f>IF('06_ITEM_POLE_MODEL'!$E$54="ABSOLUTE SEMANTIC",0,IF(ISNUMBER(SEARCH($A21,'06_ITEM_POLE_MODEL'!$F$54)),1,IF(ISNUMBER(SEARCH($A21,'06_ITEM_POLE_MODEL'!$G$54)),-1,0)))</f>
        <v/>
      </c>
      <c r="AZ21">
        <f>IF('06_ITEM_POLE_MODEL'!$E$55="ABSOLUTE SEMANTIC",0,IF(ISNUMBER(SEARCH($A21,'06_ITEM_POLE_MODEL'!$F$55)),1,IF(ISNUMBER(SEARCH($A21,'06_ITEM_POLE_MODEL'!$G$55)),-1,0)))</f>
        <v/>
      </c>
      <c r="BA21">
        <f>IF('06_ITEM_POLE_MODEL'!$E$56="ABSOLUTE SEMANTIC",0,IF(ISNUMBER(SEARCH($A21,'06_ITEM_POLE_MODEL'!$F$56)),1,IF(ISNUMBER(SEARCH($A21,'06_ITEM_POLE_MODEL'!$G$56)),-1,0)))</f>
        <v/>
      </c>
      <c r="BB21">
        <f>IF('06_ITEM_POLE_MODEL'!$E$57="ABSOLUTE SEMANTIC",0,IF(ISNUMBER(SEARCH($A21,'06_ITEM_POLE_MODEL'!$F$57)),1,IF(ISNUMBER(SEARCH($A21,'06_ITEM_POLE_MODEL'!$G$57)),-1,0)))</f>
        <v/>
      </c>
      <c r="BC21">
        <f>IF('06_ITEM_POLE_MODEL'!$E$58="ABSOLUTE SEMANTIC",0,IF(ISNUMBER(SEARCH($A21,'06_ITEM_POLE_MODEL'!$F$58)),1,IF(ISNUMBER(SEARCH($A21,'06_ITEM_POLE_MODEL'!$G$58)),-1,0)))</f>
        <v/>
      </c>
      <c r="BD21">
        <f>IF('06_ITEM_POLE_MODEL'!$E$59="ABSOLUTE SEMANTIC",0,IF(ISNUMBER(SEARCH($A21,'06_ITEM_POLE_MODEL'!$F$59)),1,IF(ISNUMBER(SEARCH($A21,'06_ITEM_POLE_MODEL'!$G$59)),-1,0)))</f>
        <v/>
      </c>
      <c r="BE21">
        <f>IF('06_ITEM_POLE_MODEL'!$E$60="ABSOLUTE SEMANTIC",0,IF(ISNUMBER(SEARCH($A21,'06_ITEM_POLE_MODEL'!$F$60)),1,IF(ISNUMBER(SEARCH($A21,'06_ITEM_POLE_MODEL'!$G$60)),-1,0)))</f>
        <v/>
      </c>
      <c r="BF21">
        <f>IF('06_ITEM_POLE_MODEL'!$E$61="ABSOLUTE SEMANTIC",0,IF(ISNUMBER(SEARCH($A21,'06_ITEM_POLE_MODEL'!$F$61)),1,IF(ISNUMBER(SEARCH($A21,'06_ITEM_POLE_MODEL'!$G$61)),-1,0)))</f>
        <v/>
      </c>
      <c r="BG21">
        <f>IF('06_ITEM_POLE_MODEL'!$E$62="ABSOLUTE SEMANTIC",0,IF(ISNUMBER(SEARCH($A21,'06_ITEM_POLE_MODEL'!$F$62)),1,IF(ISNUMBER(SEARCH($A21,'06_ITEM_POLE_MODEL'!$G$62)),-1,0)))</f>
        <v/>
      </c>
      <c r="BH21">
        <f>IF('06_ITEM_POLE_MODEL'!$E$63="ABSOLUTE SEMANTIC",0,IF(ISNUMBER(SEARCH($A21,'06_ITEM_POLE_MODEL'!$F$63)),1,IF(ISNUMBER(SEARCH($A21,'06_ITEM_POLE_MODEL'!$G$63)),-1,0)))</f>
        <v/>
      </c>
      <c r="BI21">
        <f>IF('06_ITEM_POLE_MODEL'!$E$64="ABSOLUTE SEMANTIC",0,IF(ISNUMBER(SEARCH($A21,'06_ITEM_POLE_MODEL'!$F$64)),1,IF(ISNUMBER(SEARCH($A21,'06_ITEM_POLE_MODEL'!$G$64)),-1,0)))</f>
        <v/>
      </c>
      <c r="BJ21">
        <f>IF('06_ITEM_POLE_MODEL'!$E$65="ABSOLUTE SEMANTIC",0,IF(ISNUMBER(SEARCH($A21,'06_ITEM_POLE_MODEL'!$F$65)),1,IF(ISNUMBER(SEARCH($A21,'06_ITEM_POLE_MODEL'!$G$65)),-1,0)))</f>
        <v/>
      </c>
      <c r="BK21">
        <f>IF('06_ITEM_POLE_MODEL'!$E$66="ABSOLUTE SEMANTIC",0,IF(ISNUMBER(SEARCH($A21,'06_ITEM_POLE_MODEL'!$F$66)),1,IF(ISNUMBER(SEARCH($A21,'06_ITEM_POLE_MODEL'!$G$66)),-1,0)))</f>
        <v/>
      </c>
      <c r="BL21">
        <f>IF('06_ITEM_POLE_MODEL'!$E$67="ABSOLUTE SEMANTIC",0,IF(ISNUMBER(SEARCH($A21,'06_ITEM_POLE_MODEL'!$F$67)),1,IF(ISNUMBER(SEARCH($A21,'06_ITEM_POLE_MODEL'!$G$67)),-1,0)))</f>
        <v/>
      </c>
      <c r="BM21">
        <f>IF('06_ITEM_POLE_MODEL'!$E$68="ABSOLUTE SEMANTIC",0,IF(ISNUMBER(SEARCH($A21,'06_ITEM_POLE_MODEL'!$F$68)),1,IF(ISNUMBER(SEARCH($A21,'06_ITEM_POLE_MODEL'!$G$68)),-1,0)))</f>
        <v/>
      </c>
      <c r="BN21">
        <f>IF('06_ITEM_POLE_MODEL'!$E$69="ABSOLUTE SEMANTIC",0,IF(ISNUMBER(SEARCH($A21,'06_ITEM_POLE_MODEL'!$F$69)),1,IF(ISNUMBER(SEARCH($A21,'06_ITEM_POLE_MODEL'!$G$69)),-1,0)))</f>
        <v/>
      </c>
      <c r="BO21">
        <f>IF('06_ITEM_POLE_MODEL'!$E$70="ABSOLUTE SEMANTIC",0,IF(ISNUMBER(SEARCH($A21,'06_ITEM_POLE_MODEL'!$F$70)),1,IF(ISNUMBER(SEARCH($A21,'06_ITEM_POLE_MODEL'!$G$70)),-1,0)))</f>
        <v/>
      </c>
      <c r="BP21">
        <f>IF('06_ITEM_POLE_MODEL'!$E$71="ABSOLUTE SEMANTIC",0,IF(ISNUMBER(SEARCH($A21,'06_ITEM_POLE_MODEL'!$F$71)),1,IF(ISNUMBER(SEARCH($A21,'06_ITEM_POLE_MODEL'!$G$71)),-1,0)))</f>
        <v/>
      </c>
      <c r="BQ21">
        <f>IF('06_ITEM_POLE_MODEL'!$E$72="ABSOLUTE SEMANTIC",0,IF(ISNUMBER(SEARCH($A21,'06_ITEM_POLE_MODEL'!$F$72)),1,IF(ISNUMBER(SEARCH($A21,'06_ITEM_POLE_MODEL'!$G$72)),-1,0)))</f>
        <v/>
      </c>
      <c r="BR21">
        <f>IF('06_ITEM_POLE_MODEL'!$E$73="ABSOLUTE SEMANTIC",0,IF(ISNUMBER(SEARCH($A21,'06_ITEM_POLE_MODEL'!$F$73)),1,IF(ISNUMBER(SEARCH($A21,'06_ITEM_POLE_MODEL'!$G$73)),-1,0)))</f>
        <v/>
      </c>
      <c r="BS21">
        <f>IF('06_ITEM_POLE_MODEL'!$E$74="ABSOLUTE SEMANTIC",0,IF(ISNUMBER(SEARCH($A21,'06_ITEM_POLE_MODEL'!$F$74)),1,IF(ISNUMBER(SEARCH($A21,'06_ITEM_POLE_MODEL'!$G$74)),-1,0)))</f>
        <v/>
      </c>
      <c r="BT21">
        <f>IF('06_ITEM_POLE_MODEL'!$E$75="ABSOLUTE SEMANTIC",0,IF(ISNUMBER(SEARCH($A21,'06_ITEM_POLE_MODEL'!$F$75)),1,IF(ISNUMBER(SEARCH($A21,'06_ITEM_POLE_MODEL'!$G$75)),-1,0)))</f>
        <v/>
      </c>
      <c r="BU21">
        <f>IF('06_ITEM_POLE_MODEL'!$E$76="ABSOLUTE SEMANTIC",0,IF(ISNUMBER(SEARCH($A21,'06_ITEM_POLE_MODEL'!$F$76)),1,IF(ISNUMBER(SEARCH($A21,'06_ITEM_POLE_MODEL'!$G$76)),-1,0)))</f>
        <v/>
      </c>
      <c r="BV21">
        <f>IF('06_ITEM_POLE_MODEL'!$E$77="ABSOLUTE SEMANTIC",0,IF(ISNUMBER(SEARCH($A21,'06_ITEM_POLE_MODEL'!$F$77)),1,IF(ISNUMBER(SEARCH($A21,'06_ITEM_POLE_MODEL'!$G$77)),-1,0)))</f>
        <v/>
      </c>
      <c r="BW21">
        <f>IF('06_ITEM_POLE_MODEL'!$E$78="ABSOLUTE SEMANTIC",0,IF(ISNUMBER(SEARCH($A21,'06_ITEM_POLE_MODEL'!$F$78)),1,IF(ISNUMBER(SEARCH($A21,'06_ITEM_POLE_MODEL'!$G$78)),-1,0)))</f>
        <v/>
      </c>
      <c r="BX21">
        <f>IF('06_ITEM_POLE_MODEL'!$E$79="ABSOLUTE SEMANTIC",0,IF(ISNUMBER(SEARCH($A21,'06_ITEM_POLE_MODEL'!$F$79)),1,IF(ISNUMBER(SEARCH($A21,'06_ITEM_POLE_MODEL'!$G$79)),-1,0)))</f>
        <v/>
      </c>
      <c r="BY21">
        <f>IF('06_ITEM_POLE_MODEL'!$E$80="ABSOLUTE SEMANTIC",0,IF(ISNUMBER(SEARCH($A21,'06_ITEM_POLE_MODEL'!$F$80)),1,IF(ISNUMBER(SEARCH($A21,'06_ITEM_POLE_MODEL'!$G$80)),-1,0)))</f>
        <v/>
      </c>
      <c r="BZ21">
        <f>IF('06_ITEM_POLE_MODEL'!$E$81="ABSOLUTE SEMANTIC",0,IF(ISNUMBER(SEARCH($A21,'06_ITEM_POLE_MODEL'!$F$81)),1,IF(ISNUMBER(SEARCH($A21,'06_ITEM_POLE_MODEL'!$G$81)),-1,0)))</f>
        <v/>
      </c>
      <c r="CA21">
        <f>IF('06_ITEM_POLE_MODEL'!$E$82="ABSOLUTE SEMANTIC",0,IF(ISNUMBER(SEARCH($A21,'06_ITEM_POLE_MODEL'!$F$82)),1,IF(ISNUMBER(SEARCH($A21,'06_ITEM_POLE_MODEL'!$G$82)),-1,0)))</f>
        <v/>
      </c>
      <c r="CB21">
        <f>IF('06_ITEM_POLE_MODEL'!$E$83="ABSOLUTE SEMANTIC",0,IF(ISNUMBER(SEARCH($A21,'06_ITEM_POLE_MODEL'!$F$83)),1,IF(ISNUMBER(SEARCH($A21,'06_ITEM_POLE_MODEL'!$G$83)),-1,0)))</f>
        <v/>
      </c>
      <c r="CC21">
        <f>IF('06_ITEM_POLE_MODEL'!$E$84="ABSOLUTE SEMANTIC",0,IF(ISNUMBER(SEARCH($A21,'06_ITEM_POLE_MODEL'!$F$84)),1,IF(ISNUMBER(SEARCH($A21,'06_ITEM_POLE_MODEL'!$G$84)),-1,0)))</f>
        <v/>
      </c>
    </row>
    <row r="22">
      <c r="A22" t="inlineStr">
        <is>
          <t>Reptilian</t>
        </is>
      </c>
      <c r="B22">
        <f>IF('06_ITEM_POLE_MODEL'!$E$5="ABSOLUTE SEMANTIC",0,IF(ISNUMBER(SEARCH($A22,'06_ITEM_POLE_MODEL'!$F$5)),1,IF(ISNUMBER(SEARCH($A22,'06_ITEM_POLE_MODEL'!$G$5)),-1,0)))</f>
        <v/>
      </c>
      <c r="C22">
        <f>IF('06_ITEM_POLE_MODEL'!$E$6="ABSOLUTE SEMANTIC",0,IF(ISNUMBER(SEARCH($A22,'06_ITEM_POLE_MODEL'!$F$6)),1,IF(ISNUMBER(SEARCH($A22,'06_ITEM_POLE_MODEL'!$G$6)),-1,0)))</f>
        <v/>
      </c>
      <c r="D22">
        <f>IF('06_ITEM_POLE_MODEL'!$E$7="ABSOLUTE SEMANTIC",0,IF(ISNUMBER(SEARCH($A22,'06_ITEM_POLE_MODEL'!$F$7)),1,IF(ISNUMBER(SEARCH($A22,'06_ITEM_POLE_MODEL'!$G$7)),-1,0)))</f>
        <v/>
      </c>
      <c r="E22">
        <f>IF('06_ITEM_POLE_MODEL'!$E$8="ABSOLUTE SEMANTIC",0,IF(ISNUMBER(SEARCH($A22,'06_ITEM_POLE_MODEL'!$F$8)),1,IF(ISNUMBER(SEARCH($A22,'06_ITEM_POLE_MODEL'!$G$8)),-1,0)))</f>
        <v/>
      </c>
      <c r="F22">
        <f>IF('06_ITEM_POLE_MODEL'!$E$9="ABSOLUTE SEMANTIC",0,IF(ISNUMBER(SEARCH($A22,'06_ITEM_POLE_MODEL'!$F$9)),1,IF(ISNUMBER(SEARCH($A22,'06_ITEM_POLE_MODEL'!$G$9)),-1,0)))</f>
        <v/>
      </c>
      <c r="G22">
        <f>IF('06_ITEM_POLE_MODEL'!$E$10="ABSOLUTE SEMANTIC",0,IF(ISNUMBER(SEARCH($A22,'06_ITEM_POLE_MODEL'!$F$10)),1,IF(ISNUMBER(SEARCH($A22,'06_ITEM_POLE_MODEL'!$G$10)),-1,0)))</f>
        <v/>
      </c>
      <c r="H22">
        <f>IF('06_ITEM_POLE_MODEL'!$E$11="ABSOLUTE SEMANTIC",0,IF(ISNUMBER(SEARCH($A22,'06_ITEM_POLE_MODEL'!$F$11)),1,IF(ISNUMBER(SEARCH($A22,'06_ITEM_POLE_MODEL'!$G$11)),-1,0)))</f>
        <v/>
      </c>
      <c r="I22">
        <f>IF('06_ITEM_POLE_MODEL'!$E$12="ABSOLUTE SEMANTIC",0,IF(ISNUMBER(SEARCH($A22,'06_ITEM_POLE_MODEL'!$F$12)),1,IF(ISNUMBER(SEARCH($A22,'06_ITEM_POLE_MODEL'!$G$12)),-1,0)))</f>
        <v/>
      </c>
      <c r="J22">
        <f>IF('06_ITEM_POLE_MODEL'!$E$13="ABSOLUTE SEMANTIC",0,IF(ISNUMBER(SEARCH($A22,'06_ITEM_POLE_MODEL'!$F$13)),1,IF(ISNUMBER(SEARCH($A22,'06_ITEM_POLE_MODEL'!$G$13)),-1,0)))</f>
        <v/>
      </c>
      <c r="K22">
        <f>IF('06_ITEM_POLE_MODEL'!$E$14="ABSOLUTE SEMANTIC",0,IF(ISNUMBER(SEARCH($A22,'06_ITEM_POLE_MODEL'!$F$14)),1,IF(ISNUMBER(SEARCH($A22,'06_ITEM_POLE_MODEL'!$G$14)),-1,0)))</f>
        <v/>
      </c>
      <c r="L22">
        <f>IF('06_ITEM_POLE_MODEL'!$E$15="ABSOLUTE SEMANTIC",0,IF(ISNUMBER(SEARCH($A22,'06_ITEM_POLE_MODEL'!$F$15)),1,IF(ISNUMBER(SEARCH($A22,'06_ITEM_POLE_MODEL'!$G$15)),-1,0)))</f>
        <v/>
      </c>
      <c r="M22">
        <f>IF('06_ITEM_POLE_MODEL'!$E$16="ABSOLUTE SEMANTIC",0,IF(ISNUMBER(SEARCH($A22,'06_ITEM_POLE_MODEL'!$F$16)),1,IF(ISNUMBER(SEARCH($A22,'06_ITEM_POLE_MODEL'!$G$16)),-1,0)))</f>
        <v/>
      </c>
      <c r="N22">
        <f>IF('06_ITEM_POLE_MODEL'!$E$17="ABSOLUTE SEMANTIC",0,IF(ISNUMBER(SEARCH($A22,'06_ITEM_POLE_MODEL'!$F$17)),1,IF(ISNUMBER(SEARCH($A22,'06_ITEM_POLE_MODEL'!$G$17)),-1,0)))</f>
        <v/>
      </c>
      <c r="O22">
        <f>IF('06_ITEM_POLE_MODEL'!$E$18="ABSOLUTE SEMANTIC",0,IF(ISNUMBER(SEARCH($A22,'06_ITEM_POLE_MODEL'!$F$18)),1,IF(ISNUMBER(SEARCH($A22,'06_ITEM_POLE_MODEL'!$G$18)),-1,0)))</f>
        <v/>
      </c>
      <c r="P22">
        <f>IF('06_ITEM_POLE_MODEL'!$E$19="ABSOLUTE SEMANTIC",0,IF(ISNUMBER(SEARCH($A22,'06_ITEM_POLE_MODEL'!$F$19)),1,IF(ISNUMBER(SEARCH($A22,'06_ITEM_POLE_MODEL'!$G$19)),-1,0)))</f>
        <v/>
      </c>
      <c r="Q22">
        <f>IF('06_ITEM_POLE_MODEL'!$E$20="ABSOLUTE SEMANTIC",0,IF(ISNUMBER(SEARCH($A22,'06_ITEM_POLE_MODEL'!$F$20)),1,IF(ISNUMBER(SEARCH($A22,'06_ITEM_POLE_MODEL'!$G$20)),-1,0)))</f>
        <v/>
      </c>
      <c r="R22">
        <f>IF('06_ITEM_POLE_MODEL'!$E$21="ABSOLUTE SEMANTIC",0,IF(ISNUMBER(SEARCH($A22,'06_ITEM_POLE_MODEL'!$F$21)),1,IF(ISNUMBER(SEARCH($A22,'06_ITEM_POLE_MODEL'!$G$21)),-1,0)))</f>
        <v/>
      </c>
      <c r="S22">
        <f>IF('06_ITEM_POLE_MODEL'!$E$22="ABSOLUTE SEMANTIC",0,IF(ISNUMBER(SEARCH($A22,'06_ITEM_POLE_MODEL'!$F$22)),1,IF(ISNUMBER(SEARCH($A22,'06_ITEM_POLE_MODEL'!$G$22)),-1,0)))</f>
        <v/>
      </c>
      <c r="T22">
        <f>IF('06_ITEM_POLE_MODEL'!$E$23="ABSOLUTE SEMANTIC",0,IF(ISNUMBER(SEARCH($A22,'06_ITEM_POLE_MODEL'!$F$23)),1,IF(ISNUMBER(SEARCH($A22,'06_ITEM_POLE_MODEL'!$G$23)),-1,0)))</f>
        <v/>
      </c>
      <c r="U22">
        <f>IF('06_ITEM_POLE_MODEL'!$E$24="ABSOLUTE SEMANTIC",0,IF(ISNUMBER(SEARCH($A22,'06_ITEM_POLE_MODEL'!$F$24)),1,IF(ISNUMBER(SEARCH($A22,'06_ITEM_POLE_MODEL'!$G$24)),-1,0)))</f>
        <v/>
      </c>
      <c r="V22">
        <f>IF('06_ITEM_POLE_MODEL'!$E$25="ABSOLUTE SEMANTIC",0,IF(ISNUMBER(SEARCH($A22,'06_ITEM_POLE_MODEL'!$F$25)),1,IF(ISNUMBER(SEARCH($A22,'06_ITEM_POLE_MODEL'!$G$25)),-1,0)))</f>
        <v/>
      </c>
      <c r="W22">
        <f>IF('06_ITEM_POLE_MODEL'!$E$26="ABSOLUTE SEMANTIC",0,IF(ISNUMBER(SEARCH($A22,'06_ITEM_POLE_MODEL'!$F$26)),1,IF(ISNUMBER(SEARCH($A22,'06_ITEM_POLE_MODEL'!$G$26)),-1,0)))</f>
        <v/>
      </c>
      <c r="X22">
        <f>IF('06_ITEM_POLE_MODEL'!$E$27="ABSOLUTE SEMANTIC",0,IF(ISNUMBER(SEARCH($A22,'06_ITEM_POLE_MODEL'!$F$27)),1,IF(ISNUMBER(SEARCH($A22,'06_ITEM_POLE_MODEL'!$G$27)),-1,0)))</f>
        <v/>
      </c>
      <c r="Y22">
        <f>IF('06_ITEM_POLE_MODEL'!$E$28="ABSOLUTE SEMANTIC",0,IF(ISNUMBER(SEARCH($A22,'06_ITEM_POLE_MODEL'!$F$28)),1,IF(ISNUMBER(SEARCH($A22,'06_ITEM_POLE_MODEL'!$G$28)),-1,0)))</f>
        <v/>
      </c>
      <c r="Z22">
        <f>IF('06_ITEM_POLE_MODEL'!$E$29="ABSOLUTE SEMANTIC",0,IF(ISNUMBER(SEARCH($A22,'06_ITEM_POLE_MODEL'!$F$29)),1,IF(ISNUMBER(SEARCH($A22,'06_ITEM_POLE_MODEL'!$G$29)),-1,0)))</f>
        <v/>
      </c>
      <c r="AA22">
        <f>IF('06_ITEM_POLE_MODEL'!$E$30="ABSOLUTE SEMANTIC",0,IF(ISNUMBER(SEARCH($A22,'06_ITEM_POLE_MODEL'!$F$30)),1,IF(ISNUMBER(SEARCH($A22,'06_ITEM_POLE_MODEL'!$G$30)),-1,0)))</f>
        <v/>
      </c>
      <c r="AB22">
        <f>IF('06_ITEM_POLE_MODEL'!$E$31="ABSOLUTE SEMANTIC",0,IF(ISNUMBER(SEARCH($A22,'06_ITEM_POLE_MODEL'!$F$31)),1,IF(ISNUMBER(SEARCH($A22,'06_ITEM_POLE_MODEL'!$G$31)),-1,0)))</f>
        <v/>
      </c>
      <c r="AC22">
        <f>IF('06_ITEM_POLE_MODEL'!$E$32="ABSOLUTE SEMANTIC",0,IF(ISNUMBER(SEARCH($A22,'06_ITEM_POLE_MODEL'!$F$32)),1,IF(ISNUMBER(SEARCH($A22,'06_ITEM_POLE_MODEL'!$G$32)),-1,0)))</f>
        <v/>
      </c>
      <c r="AD22">
        <f>IF('06_ITEM_POLE_MODEL'!$E$33="ABSOLUTE SEMANTIC",0,IF(ISNUMBER(SEARCH($A22,'06_ITEM_POLE_MODEL'!$F$33)),1,IF(ISNUMBER(SEARCH($A22,'06_ITEM_POLE_MODEL'!$G$33)),-1,0)))</f>
        <v/>
      </c>
      <c r="AE22">
        <f>IF('06_ITEM_POLE_MODEL'!$E$34="ABSOLUTE SEMANTIC",0,IF(ISNUMBER(SEARCH($A22,'06_ITEM_POLE_MODEL'!$F$34)),1,IF(ISNUMBER(SEARCH($A22,'06_ITEM_POLE_MODEL'!$G$34)),-1,0)))</f>
        <v/>
      </c>
      <c r="AF22">
        <f>IF('06_ITEM_POLE_MODEL'!$E$35="ABSOLUTE SEMANTIC",0,IF(ISNUMBER(SEARCH($A22,'06_ITEM_POLE_MODEL'!$F$35)),1,IF(ISNUMBER(SEARCH($A22,'06_ITEM_POLE_MODEL'!$G$35)),-1,0)))</f>
        <v/>
      </c>
      <c r="AG22">
        <f>IF('06_ITEM_POLE_MODEL'!$E$36="ABSOLUTE SEMANTIC",0,IF(ISNUMBER(SEARCH($A22,'06_ITEM_POLE_MODEL'!$F$36)),1,IF(ISNUMBER(SEARCH($A22,'06_ITEM_POLE_MODEL'!$G$36)),-1,0)))</f>
        <v/>
      </c>
      <c r="AH22">
        <f>IF('06_ITEM_POLE_MODEL'!$E$37="ABSOLUTE SEMANTIC",0,IF(ISNUMBER(SEARCH($A22,'06_ITEM_POLE_MODEL'!$F$37)),1,IF(ISNUMBER(SEARCH($A22,'06_ITEM_POLE_MODEL'!$G$37)),-1,0)))</f>
        <v/>
      </c>
      <c r="AI22">
        <f>IF('06_ITEM_POLE_MODEL'!$E$38="ABSOLUTE SEMANTIC",0,IF(ISNUMBER(SEARCH($A22,'06_ITEM_POLE_MODEL'!$F$38)),1,IF(ISNUMBER(SEARCH($A22,'06_ITEM_POLE_MODEL'!$G$38)),-1,0)))</f>
        <v/>
      </c>
      <c r="AJ22">
        <f>IF('06_ITEM_POLE_MODEL'!$E$39="ABSOLUTE SEMANTIC",0,IF(ISNUMBER(SEARCH($A22,'06_ITEM_POLE_MODEL'!$F$39)),1,IF(ISNUMBER(SEARCH($A22,'06_ITEM_POLE_MODEL'!$G$39)),-1,0)))</f>
        <v/>
      </c>
      <c r="AK22">
        <f>IF('06_ITEM_POLE_MODEL'!$E$40="ABSOLUTE SEMANTIC",0,IF(ISNUMBER(SEARCH($A22,'06_ITEM_POLE_MODEL'!$F$40)),1,IF(ISNUMBER(SEARCH($A22,'06_ITEM_POLE_MODEL'!$G$40)),-1,0)))</f>
        <v/>
      </c>
      <c r="AL22">
        <f>IF('06_ITEM_POLE_MODEL'!$E$41="ABSOLUTE SEMANTIC",0,IF(ISNUMBER(SEARCH($A22,'06_ITEM_POLE_MODEL'!$F$41)),1,IF(ISNUMBER(SEARCH($A22,'06_ITEM_POLE_MODEL'!$G$41)),-1,0)))</f>
        <v/>
      </c>
      <c r="AM22">
        <f>IF('06_ITEM_POLE_MODEL'!$E$42="ABSOLUTE SEMANTIC",0,IF(ISNUMBER(SEARCH($A22,'06_ITEM_POLE_MODEL'!$F$42)),1,IF(ISNUMBER(SEARCH($A22,'06_ITEM_POLE_MODEL'!$G$42)),-1,0)))</f>
        <v/>
      </c>
      <c r="AN22">
        <f>IF('06_ITEM_POLE_MODEL'!$E$43="ABSOLUTE SEMANTIC",0,IF(ISNUMBER(SEARCH($A22,'06_ITEM_POLE_MODEL'!$F$43)),1,IF(ISNUMBER(SEARCH($A22,'06_ITEM_POLE_MODEL'!$G$43)),-1,0)))</f>
        <v/>
      </c>
      <c r="AO22">
        <f>IF('06_ITEM_POLE_MODEL'!$E$44="ABSOLUTE SEMANTIC",0,IF(ISNUMBER(SEARCH($A22,'06_ITEM_POLE_MODEL'!$F$44)),1,IF(ISNUMBER(SEARCH($A22,'06_ITEM_POLE_MODEL'!$G$44)),-1,0)))</f>
        <v/>
      </c>
      <c r="AP22">
        <f>IF('06_ITEM_POLE_MODEL'!$E$45="ABSOLUTE SEMANTIC",0,IF(ISNUMBER(SEARCH($A22,'06_ITEM_POLE_MODEL'!$F$45)),1,IF(ISNUMBER(SEARCH($A22,'06_ITEM_POLE_MODEL'!$G$45)),-1,0)))</f>
        <v/>
      </c>
      <c r="AQ22">
        <f>IF('06_ITEM_POLE_MODEL'!$E$46="ABSOLUTE SEMANTIC",0,IF(ISNUMBER(SEARCH($A22,'06_ITEM_POLE_MODEL'!$F$46)),1,IF(ISNUMBER(SEARCH($A22,'06_ITEM_POLE_MODEL'!$G$46)),-1,0)))</f>
        <v/>
      </c>
      <c r="AR22">
        <f>IF('06_ITEM_POLE_MODEL'!$E$47="ABSOLUTE SEMANTIC",0,IF(ISNUMBER(SEARCH($A22,'06_ITEM_POLE_MODEL'!$F$47)),1,IF(ISNUMBER(SEARCH($A22,'06_ITEM_POLE_MODEL'!$G$47)),-1,0)))</f>
        <v/>
      </c>
      <c r="AS22">
        <f>IF('06_ITEM_POLE_MODEL'!$E$48="ABSOLUTE SEMANTIC",0,IF(ISNUMBER(SEARCH($A22,'06_ITEM_POLE_MODEL'!$F$48)),1,IF(ISNUMBER(SEARCH($A22,'06_ITEM_POLE_MODEL'!$G$48)),-1,0)))</f>
        <v/>
      </c>
      <c r="AT22">
        <f>IF('06_ITEM_POLE_MODEL'!$E$49="ABSOLUTE SEMANTIC",0,IF(ISNUMBER(SEARCH($A22,'06_ITEM_POLE_MODEL'!$F$49)),1,IF(ISNUMBER(SEARCH($A22,'06_ITEM_POLE_MODEL'!$G$49)),-1,0)))</f>
        <v/>
      </c>
      <c r="AU22">
        <f>IF('06_ITEM_POLE_MODEL'!$E$50="ABSOLUTE SEMANTIC",0,IF(ISNUMBER(SEARCH($A22,'06_ITEM_POLE_MODEL'!$F$50)),1,IF(ISNUMBER(SEARCH($A22,'06_ITEM_POLE_MODEL'!$G$50)),-1,0)))</f>
        <v/>
      </c>
      <c r="AV22">
        <f>IF('06_ITEM_POLE_MODEL'!$E$51="ABSOLUTE SEMANTIC",0,IF(ISNUMBER(SEARCH($A22,'06_ITEM_POLE_MODEL'!$F$51)),1,IF(ISNUMBER(SEARCH($A22,'06_ITEM_POLE_MODEL'!$G$51)),-1,0)))</f>
        <v/>
      </c>
      <c r="AW22">
        <f>IF('06_ITEM_POLE_MODEL'!$E$52="ABSOLUTE SEMANTIC",0,IF(ISNUMBER(SEARCH($A22,'06_ITEM_POLE_MODEL'!$F$52)),1,IF(ISNUMBER(SEARCH($A22,'06_ITEM_POLE_MODEL'!$G$52)),-1,0)))</f>
        <v/>
      </c>
      <c r="AX22">
        <f>IF('06_ITEM_POLE_MODEL'!$E$53="ABSOLUTE SEMANTIC",0,IF(ISNUMBER(SEARCH($A22,'06_ITEM_POLE_MODEL'!$F$53)),1,IF(ISNUMBER(SEARCH($A22,'06_ITEM_POLE_MODEL'!$G$53)),-1,0)))</f>
        <v/>
      </c>
      <c r="AY22">
        <f>IF('06_ITEM_POLE_MODEL'!$E$54="ABSOLUTE SEMANTIC",0,IF(ISNUMBER(SEARCH($A22,'06_ITEM_POLE_MODEL'!$F$54)),1,IF(ISNUMBER(SEARCH($A22,'06_ITEM_POLE_MODEL'!$G$54)),-1,0)))</f>
        <v/>
      </c>
      <c r="AZ22">
        <f>IF('06_ITEM_POLE_MODEL'!$E$55="ABSOLUTE SEMANTIC",0,IF(ISNUMBER(SEARCH($A22,'06_ITEM_POLE_MODEL'!$F$55)),1,IF(ISNUMBER(SEARCH($A22,'06_ITEM_POLE_MODEL'!$G$55)),-1,0)))</f>
        <v/>
      </c>
      <c r="BA22">
        <f>IF('06_ITEM_POLE_MODEL'!$E$56="ABSOLUTE SEMANTIC",0,IF(ISNUMBER(SEARCH($A22,'06_ITEM_POLE_MODEL'!$F$56)),1,IF(ISNUMBER(SEARCH($A22,'06_ITEM_POLE_MODEL'!$G$56)),-1,0)))</f>
        <v/>
      </c>
      <c r="BB22">
        <f>IF('06_ITEM_POLE_MODEL'!$E$57="ABSOLUTE SEMANTIC",0,IF(ISNUMBER(SEARCH($A22,'06_ITEM_POLE_MODEL'!$F$57)),1,IF(ISNUMBER(SEARCH($A22,'06_ITEM_POLE_MODEL'!$G$57)),-1,0)))</f>
        <v/>
      </c>
      <c r="BC22">
        <f>IF('06_ITEM_POLE_MODEL'!$E$58="ABSOLUTE SEMANTIC",0,IF(ISNUMBER(SEARCH($A22,'06_ITEM_POLE_MODEL'!$F$58)),1,IF(ISNUMBER(SEARCH($A22,'06_ITEM_POLE_MODEL'!$G$58)),-1,0)))</f>
        <v/>
      </c>
      <c r="BD22">
        <f>IF('06_ITEM_POLE_MODEL'!$E$59="ABSOLUTE SEMANTIC",0,IF(ISNUMBER(SEARCH($A22,'06_ITEM_POLE_MODEL'!$F$59)),1,IF(ISNUMBER(SEARCH($A22,'06_ITEM_POLE_MODEL'!$G$59)),-1,0)))</f>
        <v/>
      </c>
      <c r="BE22">
        <f>IF('06_ITEM_POLE_MODEL'!$E$60="ABSOLUTE SEMANTIC",0,IF(ISNUMBER(SEARCH($A22,'06_ITEM_POLE_MODEL'!$F$60)),1,IF(ISNUMBER(SEARCH($A22,'06_ITEM_POLE_MODEL'!$G$60)),-1,0)))</f>
        <v/>
      </c>
      <c r="BF22">
        <f>IF('06_ITEM_POLE_MODEL'!$E$61="ABSOLUTE SEMANTIC",0,IF(ISNUMBER(SEARCH($A22,'06_ITEM_POLE_MODEL'!$F$61)),1,IF(ISNUMBER(SEARCH($A22,'06_ITEM_POLE_MODEL'!$G$61)),-1,0)))</f>
        <v/>
      </c>
      <c r="BG22">
        <f>IF('06_ITEM_POLE_MODEL'!$E$62="ABSOLUTE SEMANTIC",0,IF(ISNUMBER(SEARCH($A22,'06_ITEM_POLE_MODEL'!$F$62)),1,IF(ISNUMBER(SEARCH($A22,'06_ITEM_POLE_MODEL'!$G$62)),-1,0)))</f>
        <v/>
      </c>
      <c r="BH22">
        <f>IF('06_ITEM_POLE_MODEL'!$E$63="ABSOLUTE SEMANTIC",0,IF(ISNUMBER(SEARCH($A22,'06_ITEM_POLE_MODEL'!$F$63)),1,IF(ISNUMBER(SEARCH($A22,'06_ITEM_POLE_MODEL'!$G$63)),-1,0)))</f>
        <v/>
      </c>
      <c r="BI22">
        <f>IF('06_ITEM_POLE_MODEL'!$E$64="ABSOLUTE SEMANTIC",0,IF(ISNUMBER(SEARCH($A22,'06_ITEM_POLE_MODEL'!$F$64)),1,IF(ISNUMBER(SEARCH($A22,'06_ITEM_POLE_MODEL'!$G$64)),-1,0)))</f>
        <v/>
      </c>
      <c r="BJ22">
        <f>IF('06_ITEM_POLE_MODEL'!$E$65="ABSOLUTE SEMANTIC",0,IF(ISNUMBER(SEARCH($A22,'06_ITEM_POLE_MODEL'!$F$65)),1,IF(ISNUMBER(SEARCH($A22,'06_ITEM_POLE_MODEL'!$G$65)),-1,0)))</f>
        <v/>
      </c>
      <c r="BK22">
        <f>IF('06_ITEM_POLE_MODEL'!$E$66="ABSOLUTE SEMANTIC",0,IF(ISNUMBER(SEARCH($A22,'06_ITEM_POLE_MODEL'!$F$66)),1,IF(ISNUMBER(SEARCH($A22,'06_ITEM_POLE_MODEL'!$G$66)),-1,0)))</f>
        <v/>
      </c>
      <c r="BL22">
        <f>IF('06_ITEM_POLE_MODEL'!$E$67="ABSOLUTE SEMANTIC",0,IF(ISNUMBER(SEARCH($A22,'06_ITEM_POLE_MODEL'!$F$67)),1,IF(ISNUMBER(SEARCH($A22,'06_ITEM_POLE_MODEL'!$G$67)),-1,0)))</f>
        <v/>
      </c>
      <c r="BM22">
        <f>IF('06_ITEM_POLE_MODEL'!$E$68="ABSOLUTE SEMANTIC",0,IF(ISNUMBER(SEARCH($A22,'06_ITEM_POLE_MODEL'!$F$68)),1,IF(ISNUMBER(SEARCH($A22,'06_ITEM_POLE_MODEL'!$G$68)),-1,0)))</f>
        <v/>
      </c>
      <c r="BN22">
        <f>IF('06_ITEM_POLE_MODEL'!$E$69="ABSOLUTE SEMANTIC",0,IF(ISNUMBER(SEARCH($A22,'06_ITEM_POLE_MODEL'!$F$69)),1,IF(ISNUMBER(SEARCH($A22,'06_ITEM_POLE_MODEL'!$G$69)),-1,0)))</f>
        <v/>
      </c>
      <c r="BO22">
        <f>IF('06_ITEM_POLE_MODEL'!$E$70="ABSOLUTE SEMANTIC",0,IF(ISNUMBER(SEARCH($A22,'06_ITEM_POLE_MODEL'!$F$70)),1,IF(ISNUMBER(SEARCH($A22,'06_ITEM_POLE_MODEL'!$G$70)),-1,0)))</f>
        <v/>
      </c>
      <c r="BP22">
        <f>IF('06_ITEM_POLE_MODEL'!$E$71="ABSOLUTE SEMANTIC",0,IF(ISNUMBER(SEARCH($A22,'06_ITEM_POLE_MODEL'!$F$71)),1,IF(ISNUMBER(SEARCH($A22,'06_ITEM_POLE_MODEL'!$G$71)),-1,0)))</f>
        <v/>
      </c>
      <c r="BQ22">
        <f>IF('06_ITEM_POLE_MODEL'!$E$72="ABSOLUTE SEMANTIC",0,IF(ISNUMBER(SEARCH($A22,'06_ITEM_POLE_MODEL'!$F$72)),1,IF(ISNUMBER(SEARCH($A22,'06_ITEM_POLE_MODEL'!$G$72)),-1,0)))</f>
        <v/>
      </c>
      <c r="BR22">
        <f>IF('06_ITEM_POLE_MODEL'!$E$73="ABSOLUTE SEMANTIC",0,IF(ISNUMBER(SEARCH($A22,'06_ITEM_POLE_MODEL'!$F$73)),1,IF(ISNUMBER(SEARCH($A22,'06_ITEM_POLE_MODEL'!$G$73)),-1,0)))</f>
        <v/>
      </c>
      <c r="BS22">
        <f>IF('06_ITEM_POLE_MODEL'!$E$74="ABSOLUTE SEMANTIC",0,IF(ISNUMBER(SEARCH($A22,'06_ITEM_POLE_MODEL'!$F$74)),1,IF(ISNUMBER(SEARCH($A22,'06_ITEM_POLE_MODEL'!$G$74)),-1,0)))</f>
        <v/>
      </c>
      <c r="BT22">
        <f>IF('06_ITEM_POLE_MODEL'!$E$75="ABSOLUTE SEMANTIC",0,IF(ISNUMBER(SEARCH($A22,'06_ITEM_POLE_MODEL'!$F$75)),1,IF(ISNUMBER(SEARCH($A22,'06_ITEM_POLE_MODEL'!$G$75)),-1,0)))</f>
        <v/>
      </c>
      <c r="BU22">
        <f>IF('06_ITEM_POLE_MODEL'!$E$76="ABSOLUTE SEMANTIC",0,IF(ISNUMBER(SEARCH($A22,'06_ITEM_POLE_MODEL'!$F$76)),1,IF(ISNUMBER(SEARCH($A22,'06_ITEM_POLE_MODEL'!$G$76)),-1,0)))</f>
        <v/>
      </c>
      <c r="BV22">
        <f>IF('06_ITEM_POLE_MODEL'!$E$77="ABSOLUTE SEMANTIC",0,IF(ISNUMBER(SEARCH($A22,'06_ITEM_POLE_MODEL'!$F$77)),1,IF(ISNUMBER(SEARCH($A22,'06_ITEM_POLE_MODEL'!$G$77)),-1,0)))</f>
        <v/>
      </c>
      <c r="BW22">
        <f>IF('06_ITEM_POLE_MODEL'!$E$78="ABSOLUTE SEMANTIC",0,IF(ISNUMBER(SEARCH($A22,'06_ITEM_POLE_MODEL'!$F$78)),1,IF(ISNUMBER(SEARCH($A22,'06_ITEM_POLE_MODEL'!$G$78)),-1,0)))</f>
        <v/>
      </c>
      <c r="BX22">
        <f>IF('06_ITEM_POLE_MODEL'!$E$79="ABSOLUTE SEMANTIC",0,IF(ISNUMBER(SEARCH($A22,'06_ITEM_POLE_MODEL'!$F$79)),1,IF(ISNUMBER(SEARCH($A22,'06_ITEM_POLE_MODEL'!$G$79)),-1,0)))</f>
        <v/>
      </c>
      <c r="BY22">
        <f>IF('06_ITEM_POLE_MODEL'!$E$80="ABSOLUTE SEMANTIC",0,IF(ISNUMBER(SEARCH($A22,'06_ITEM_POLE_MODEL'!$F$80)),1,IF(ISNUMBER(SEARCH($A22,'06_ITEM_POLE_MODEL'!$G$80)),-1,0)))</f>
        <v/>
      </c>
      <c r="BZ22">
        <f>IF('06_ITEM_POLE_MODEL'!$E$81="ABSOLUTE SEMANTIC",0,IF(ISNUMBER(SEARCH($A22,'06_ITEM_POLE_MODEL'!$F$81)),1,IF(ISNUMBER(SEARCH($A22,'06_ITEM_POLE_MODEL'!$G$81)),-1,0)))</f>
        <v/>
      </c>
      <c r="CA22">
        <f>IF('06_ITEM_POLE_MODEL'!$E$82="ABSOLUTE SEMANTIC",0,IF(ISNUMBER(SEARCH($A22,'06_ITEM_POLE_MODEL'!$F$82)),1,IF(ISNUMBER(SEARCH($A22,'06_ITEM_POLE_MODEL'!$G$82)),-1,0)))</f>
        <v/>
      </c>
      <c r="CB22">
        <f>IF('06_ITEM_POLE_MODEL'!$E$83="ABSOLUTE SEMANTIC",0,IF(ISNUMBER(SEARCH($A22,'06_ITEM_POLE_MODEL'!$F$83)),1,IF(ISNUMBER(SEARCH($A22,'06_ITEM_POLE_MODEL'!$G$83)),-1,0)))</f>
        <v/>
      </c>
      <c r="CC22">
        <f>IF('06_ITEM_POLE_MODEL'!$E$84="ABSOLUTE SEMANTIC",0,IF(ISNUMBER(SEARCH($A22,'06_ITEM_POLE_MODEL'!$F$84)),1,IF(ISNUMBER(SEARCH($A22,'06_ITEM_POLE_MODEL'!$G$84)),-1,0)))</f>
        <v/>
      </c>
    </row>
    <row r="23">
      <c r="A23" t="inlineStr">
        <is>
          <t>Zeta / Grey</t>
        </is>
      </c>
      <c r="B23">
        <f>IF('06_ITEM_POLE_MODEL'!$E$5="ABSOLUTE SEMANTIC",0,IF(ISNUMBER(SEARCH($A23,'06_ITEM_POLE_MODEL'!$F$5)),1,IF(ISNUMBER(SEARCH($A23,'06_ITEM_POLE_MODEL'!$G$5)),-1,0)))</f>
        <v/>
      </c>
      <c r="C23">
        <f>IF('06_ITEM_POLE_MODEL'!$E$6="ABSOLUTE SEMANTIC",0,IF(ISNUMBER(SEARCH($A23,'06_ITEM_POLE_MODEL'!$F$6)),1,IF(ISNUMBER(SEARCH($A23,'06_ITEM_POLE_MODEL'!$G$6)),-1,0)))</f>
        <v/>
      </c>
      <c r="D23">
        <f>IF('06_ITEM_POLE_MODEL'!$E$7="ABSOLUTE SEMANTIC",0,IF(ISNUMBER(SEARCH($A23,'06_ITEM_POLE_MODEL'!$F$7)),1,IF(ISNUMBER(SEARCH($A23,'06_ITEM_POLE_MODEL'!$G$7)),-1,0)))</f>
        <v/>
      </c>
      <c r="E23">
        <f>IF('06_ITEM_POLE_MODEL'!$E$8="ABSOLUTE SEMANTIC",0,IF(ISNUMBER(SEARCH($A23,'06_ITEM_POLE_MODEL'!$F$8)),1,IF(ISNUMBER(SEARCH($A23,'06_ITEM_POLE_MODEL'!$G$8)),-1,0)))</f>
        <v/>
      </c>
      <c r="F23">
        <f>IF('06_ITEM_POLE_MODEL'!$E$9="ABSOLUTE SEMANTIC",0,IF(ISNUMBER(SEARCH($A23,'06_ITEM_POLE_MODEL'!$F$9)),1,IF(ISNUMBER(SEARCH($A23,'06_ITEM_POLE_MODEL'!$G$9)),-1,0)))</f>
        <v/>
      </c>
      <c r="G23">
        <f>IF('06_ITEM_POLE_MODEL'!$E$10="ABSOLUTE SEMANTIC",0,IF(ISNUMBER(SEARCH($A23,'06_ITEM_POLE_MODEL'!$F$10)),1,IF(ISNUMBER(SEARCH($A23,'06_ITEM_POLE_MODEL'!$G$10)),-1,0)))</f>
        <v/>
      </c>
      <c r="H23">
        <f>IF('06_ITEM_POLE_MODEL'!$E$11="ABSOLUTE SEMANTIC",0,IF(ISNUMBER(SEARCH($A23,'06_ITEM_POLE_MODEL'!$F$11)),1,IF(ISNUMBER(SEARCH($A23,'06_ITEM_POLE_MODEL'!$G$11)),-1,0)))</f>
        <v/>
      </c>
      <c r="I23">
        <f>IF('06_ITEM_POLE_MODEL'!$E$12="ABSOLUTE SEMANTIC",0,IF(ISNUMBER(SEARCH($A23,'06_ITEM_POLE_MODEL'!$F$12)),1,IF(ISNUMBER(SEARCH($A23,'06_ITEM_POLE_MODEL'!$G$12)),-1,0)))</f>
        <v/>
      </c>
      <c r="J23">
        <f>IF('06_ITEM_POLE_MODEL'!$E$13="ABSOLUTE SEMANTIC",0,IF(ISNUMBER(SEARCH($A23,'06_ITEM_POLE_MODEL'!$F$13)),1,IF(ISNUMBER(SEARCH($A23,'06_ITEM_POLE_MODEL'!$G$13)),-1,0)))</f>
        <v/>
      </c>
      <c r="K23">
        <f>IF('06_ITEM_POLE_MODEL'!$E$14="ABSOLUTE SEMANTIC",0,IF(ISNUMBER(SEARCH($A23,'06_ITEM_POLE_MODEL'!$F$14)),1,IF(ISNUMBER(SEARCH($A23,'06_ITEM_POLE_MODEL'!$G$14)),-1,0)))</f>
        <v/>
      </c>
      <c r="L23">
        <f>IF('06_ITEM_POLE_MODEL'!$E$15="ABSOLUTE SEMANTIC",0,IF(ISNUMBER(SEARCH($A23,'06_ITEM_POLE_MODEL'!$F$15)),1,IF(ISNUMBER(SEARCH($A23,'06_ITEM_POLE_MODEL'!$G$15)),-1,0)))</f>
        <v/>
      </c>
      <c r="M23">
        <f>IF('06_ITEM_POLE_MODEL'!$E$16="ABSOLUTE SEMANTIC",0,IF(ISNUMBER(SEARCH($A23,'06_ITEM_POLE_MODEL'!$F$16)),1,IF(ISNUMBER(SEARCH($A23,'06_ITEM_POLE_MODEL'!$G$16)),-1,0)))</f>
        <v/>
      </c>
      <c r="N23">
        <f>IF('06_ITEM_POLE_MODEL'!$E$17="ABSOLUTE SEMANTIC",0,IF(ISNUMBER(SEARCH($A23,'06_ITEM_POLE_MODEL'!$F$17)),1,IF(ISNUMBER(SEARCH($A23,'06_ITEM_POLE_MODEL'!$G$17)),-1,0)))</f>
        <v/>
      </c>
      <c r="O23">
        <f>IF('06_ITEM_POLE_MODEL'!$E$18="ABSOLUTE SEMANTIC",0,IF(ISNUMBER(SEARCH($A23,'06_ITEM_POLE_MODEL'!$F$18)),1,IF(ISNUMBER(SEARCH($A23,'06_ITEM_POLE_MODEL'!$G$18)),-1,0)))</f>
        <v/>
      </c>
      <c r="P23">
        <f>IF('06_ITEM_POLE_MODEL'!$E$19="ABSOLUTE SEMANTIC",0,IF(ISNUMBER(SEARCH($A23,'06_ITEM_POLE_MODEL'!$F$19)),1,IF(ISNUMBER(SEARCH($A23,'06_ITEM_POLE_MODEL'!$G$19)),-1,0)))</f>
        <v/>
      </c>
      <c r="Q23">
        <f>IF('06_ITEM_POLE_MODEL'!$E$20="ABSOLUTE SEMANTIC",0,IF(ISNUMBER(SEARCH($A23,'06_ITEM_POLE_MODEL'!$F$20)),1,IF(ISNUMBER(SEARCH($A23,'06_ITEM_POLE_MODEL'!$G$20)),-1,0)))</f>
        <v/>
      </c>
      <c r="R23">
        <f>IF('06_ITEM_POLE_MODEL'!$E$21="ABSOLUTE SEMANTIC",0,IF(ISNUMBER(SEARCH($A23,'06_ITEM_POLE_MODEL'!$F$21)),1,IF(ISNUMBER(SEARCH($A23,'06_ITEM_POLE_MODEL'!$G$21)),-1,0)))</f>
        <v/>
      </c>
      <c r="S23">
        <f>IF('06_ITEM_POLE_MODEL'!$E$22="ABSOLUTE SEMANTIC",0,IF(ISNUMBER(SEARCH($A23,'06_ITEM_POLE_MODEL'!$F$22)),1,IF(ISNUMBER(SEARCH($A23,'06_ITEM_POLE_MODEL'!$G$22)),-1,0)))</f>
        <v/>
      </c>
      <c r="T23">
        <f>IF('06_ITEM_POLE_MODEL'!$E$23="ABSOLUTE SEMANTIC",0,IF(ISNUMBER(SEARCH($A23,'06_ITEM_POLE_MODEL'!$F$23)),1,IF(ISNUMBER(SEARCH($A23,'06_ITEM_POLE_MODEL'!$G$23)),-1,0)))</f>
        <v/>
      </c>
      <c r="U23">
        <f>IF('06_ITEM_POLE_MODEL'!$E$24="ABSOLUTE SEMANTIC",0,IF(ISNUMBER(SEARCH($A23,'06_ITEM_POLE_MODEL'!$F$24)),1,IF(ISNUMBER(SEARCH($A23,'06_ITEM_POLE_MODEL'!$G$24)),-1,0)))</f>
        <v/>
      </c>
      <c r="V23">
        <f>IF('06_ITEM_POLE_MODEL'!$E$25="ABSOLUTE SEMANTIC",0,IF(ISNUMBER(SEARCH($A23,'06_ITEM_POLE_MODEL'!$F$25)),1,IF(ISNUMBER(SEARCH($A23,'06_ITEM_POLE_MODEL'!$G$25)),-1,0)))</f>
        <v/>
      </c>
      <c r="W23">
        <f>IF('06_ITEM_POLE_MODEL'!$E$26="ABSOLUTE SEMANTIC",0,IF(ISNUMBER(SEARCH($A23,'06_ITEM_POLE_MODEL'!$F$26)),1,IF(ISNUMBER(SEARCH($A23,'06_ITEM_POLE_MODEL'!$G$26)),-1,0)))</f>
        <v/>
      </c>
      <c r="X23">
        <f>IF('06_ITEM_POLE_MODEL'!$E$27="ABSOLUTE SEMANTIC",0,IF(ISNUMBER(SEARCH($A23,'06_ITEM_POLE_MODEL'!$F$27)),1,IF(ISNUMBER(SEARCH($A23,'06_ITEM_POLE_MODEL'!$G$27)),-1,0)))</f>
        <v/>
      </c>
      <c r="Y23">
        <f>IF('06_ITEM_POLE_MODEL'!$E$28="ABSOLUTE SEMANTIC",0,IF(ISNUMBER(SEARCH($A23,'06_ITEM_POLE_MODEL'!$F$28)),1,IF(ISNUMBER(SEARCH($A23,'06_ITEM_POLE_MODEL'!$G$28)),-1,0)))</f>
        <v/>
      </c>
      <c r="Z23">
        <f>IF('06_ITEM_POLE_MODEL'!$E$29="ABSOLUTE SEMANTIC",0,IF(ISNUMBER(SEARCH($A23,'06_ITEM_POLE_MODEL'!$F$29)),1,IF(ISNUMBER(SEARCH($A23,'06_ITEM_POLE_MODEL'!$G$29)),-1,0)))</f>
        <v/>
      </c>
      <c r="AA23">
        <f>IF('06_ITEM_POLE_MODEL'!$E$30="ABSOLUTE SEMANTIC",0,IF(ISNUMBER(SEARCH($A23,'06_ITEM_POLE_MODEL'!$F$30)),1,IF(ISNUMBER(SEARCH($A23,'06_ITEM_POLE_MODEL'!$G$30)),-1,0)))</f>
        <v/>
      </c>
      <c r="AB23">
        <f>IF('06_ITEM_POLE_MODEL'!$E$31="ABSOLUTE SEMANTIC",0,IF(ISNUMBER(SEARCH($A23,'06_ITEM_POLE_MODEL'!$F$31)),1,IF(ISNUMBER(SEARCH($A23,'06_ITEM_POLE_MODEL'!$G$31)),-1,0)))</f>
        <v/>
      </c>
      <c r="AC23">
        <f>IF('06_ITEM_POLE_MODEL'!$E$32="ABSOLUTE SEMANTIC",0,IF(ISNUMBER(SEARCH($A23,'06_ITEM_POLE_MODEL'!$F$32)),1,IF(ISNUMBER(SEARCH($A23,'06_ITEM_POLE_MODEL'!$G$32)),-1,0)))</f>
        <v/>
      </c>
      <c r="AD23">
        <f>IF('06_ITEM_POLE_MODEL'!$E$33="ABSOLUTE SEMANTIC",0,IF(ISNUMBER(SEARCH($A23,'06_ITEM_POLE_MODEL'!$F$33)),1,IF(ISNUMBER(SEARCH($A23,'06_ITEM_POLE_MODEL'!$G$33)),-1,0)))</f>
        <v/>
      </c>
      <c r="AE23">
        <f>IF('06_ITEM_POLE_MODEL'!$E$34="ABSOLUTE SEMANTIC",0,IF(ISNUMBER(SEARCH($A23,'06_ITEM_POLE_MODEL'!$F$34)),1,IF(ISNUMBER(SEARCH($A23,'06_ITEM_POLE_MODEL'!$G$34)),-1,0)))</f>
        <v/>
      </c>
      <c r="AF23">
        <f>IF('06_ITEM_POLE_MODEL'!$E$35="ABSOLUTE SEMANTIC",0,IF(ISNUMBER(SEARCH($A23,'06_ITEM_POLE_MODEL'!$F$35)),1,IF(ISNUMBER(SEARCH($A23,'06_ITEM_POLE_MODEL'!$G$35)),-1,0)))</f>
        <v/>
      </c>
      <c r="AG23">
        <f>IF('06_ITEM_POLE_MODEL'!$E$36="ABSOLUTE SEMANTIC",0,IF(ISNUMBER(SEARCH($A23,'06_ITEM_POLE_MODEL'!$F$36)),1,IF(ISNUMBER(SEARCH($A23,'06_ITEM_POLE_MODEL'!$G$36)),-1,0)))</f>
        <v/>
      </c>
      <c r="AH23">
        <f>IF('06_ITEM_POLE_MODEL'!$E$37="ABSOLUTE SEMANTIC",0,IF(ISNUMBER(SEARCH($A23,'06_ITEM_POLE_MODEL'!$F$37)),1,IF(ISNUMBER(SEARCH($A23,'06_ITEM_POLE_MODEL'!$G$37)),-1,0)))</f>
        <v/>
      </c>
      <c r="AI23">
        <f>IF('06_ITEM_POLE_MODEL'!$E$38="ABSOLUTE SEMANTIC",0,IF(ISNUMBER(SEARCH($A23,'06_ITEM_POLE_MODEL'!$F$38)),1,IF(ISNUMBER(SEARCH($A23,'06_ITEM_POLE_MODEL'!$G$38)),-1,0)))</f>
        <v/>
      </c>
      <c r="AJ23">
        <f>IF('06_ITEM_POLE_MODEL'!$E$39="ABSOLUTE SEMANTIC",0,IF(ISNUMBER(SEARCH($A23,'06_ITEM_POLE_MODEL'!$F$39)),1,IF(ISNUMBER(SEARCH($A23,'06_ITEM_POLE_MODEL'!$G$39)),-1,0)))</f>
        <v/>
      </c>
      <c r="AK23">
        <f>IF('06_ITEM_POLE_MODEL'!$E$40="ABSOLUTE SEMANTIC",0,IF(ISNUMBER(SEARCH($A23,'06_ITEM_POLE_MODEL'!$F$40)),1,IF(ISNUMBER(SEARCH($A23,'06_ITEM_POLE_MODEL'!$G$40)),-1,0)))</f>
        <v/>
      </c>
      <c r="AL23">
        <f>IF('06_ITEM_POLE_MODEL'!$E$41="ABSOLUTE SEMANTIC",0,IF(ISNUMBER(SEARCH($A23,'06_ITEM_POLE_MODEL'!$F$41)),1,IF(ISNUMBER(SEARCH($A23,'06_ITEM_POLE_MODEL'!$G$41)),-1,0)))</f>
        <v/>
      </c>
      <c r="AM23">
        <f>IF('06_ITEM_POLE_MODEL'!$E$42="ABSOLUTE SEMANTIC",0,IF(ISNUMBER(SEARCH($A23,'06_ITEM_POLE_MODEL'!$F$42)),1,IF(ISNUMBER(SEARCH($A23,'06_ITEM_POLE_MODEL'!$G$42)),-1,0)))</f>
        <v/>
      </c>
      <c r="AN23">
        <f>IF('06_ITEM_POLE_MODEL'!$E$43="ABSOLUTE SEMANTIC",0,IF(ISNUMBER(SEARCH($A23,'06_ITEM_POLE_MODEL'!$F$43)),1,IF(ISNUMBER(SEARCH($A23,'06_ITEM_POLE_MODEL'!$G$43)),-1,0)))</f>
        <v/>
      </c>
      <c r="AO23">
        <f>IF('06_ITEM_POLE_MODEL'!$E$44="ABSOLUTE SEMANTIC",0,IF(ISNUMBER(SEARCH($A23,'06_ITEM_POLE_MODEL'!$F$44)),1,IF(ISNUMBER(SEARCH($A23,'06_ITEM_POLE_MODEL'!$G$44)),-1,0)))</f>
        <v/>
      </c>
      <c r="AP23">
        <f>IF('06_ITEM_POLE_MODEL'!$E$45="ABSOLUTE SEMANTIC",0,IF(ISNUMBER(SEARCH($A23,'06_ITEM_POLE_MODEL'!$F$45)),1,IF(ISNUMBER(SEARCH($A23,'06_ITEM_POLE_MODEL'!$G$45)),-1,0)))</f>
        <v/>
      </c>
      <c r="AQ23">
        <f>IF('06_ITEM_POLE_MODEL'!$E$46="ABSOLUTE SEMANTIC",0,IF(ISNUMBER(SEARCH($A23,'06_ITEM_POLE_MODEL'!$F$46)),1,IF(ISNUMBER(SEARCH($A23,'06_ITEM_POLE_MODEL'!$G$46)),-1,0)))</f>
        <v/>
      </c>
      <c r="AR23">
        <f>IF('06_ITEM_POLE_MODEL'!$E$47="ABSOLUTE SEMANTIC",0,IF(ISNUMBER(SEARCH($A23,'06_ITEM_POLE_MODEL'!$F$47)),1,IF(ISNUMBER(SEARCH($A23,'06_ITEM_POLE_MODEL'!$G$47)),-1,0)))</f>
        <v/>
      </c>
      <c r="AS23">
        <f>IF('06_ITEM_POLE_MODEL'!$E$48="ABSOLUTE SEMANTIC",0,IF(ISNUMBER(SEARCH($A23,'06_ITEM_POLE_MODEL'!$F$48)),1,IF(ISNUMBER(SEARCH($A23,'06_ITEM_POLE_MODEL'!$G$48)),-1,0)))</f>
        <v/>
      </c>
      <c r="AT23">
        <f>IF('06_ITEM_POLE_MODEL'!$E$49="ABSOLUTE SEMANTIC",0,IF(ISNUMBER(SEARCH($A23,'06_ITEM_POLE_MODEL'!$F$49)),1,IF(ISNUMBER(SEARCH($A23,'06_ITEM_POLE_MODEL'!$G$49)),-1,0)))</f>
        <v/>
      </c>
      <c r="AU23">
        <f>IF('06_ITEM_POLE_MODEL'!$E$50="ABSOLUTE SEMANTIC",0,IF(ISNUMBER(SEARCH($A23,'06_ITEM_POLE_MODEL'!$F$50)),1,IF(ISNUMBER(SEARCH($A23,'06_ITEM_POLE_MODEL'!$G$50)),-1,0)))</f>
        <v/>
      </c>
      <c r="AV23">
        <f>IF('06_ITEM_POLE_MODEL'!$E$51="ABSOLUTE SEMANTIC",0,IF(ISNUMBER(SEARCH($A23,'06_ITEM_POLE_MODEL'!$F$51)),1,IF(ISNUMBER(SEARCH($A23,'06_ITEM_POLE_MODEL'!$G$51)),-1,0)))</f>
        <v/>
      </c>
      <c r="AW23">
        <f>IF('06_ITEM_POLE_MODEL'!$E$52="ABSOLUTE SEMANTIC",0,IF(ISNUMBER(SEARCH($A23,'06_ITEM_POLE_MODEL'!$F$52)),1,IF(ISNUMBER(SEARCH($A23,'06_ITEM_POLE_MODEL'!$G$52)),-1,0)))</f>
        <v/>
      </c>
      <c r="AX23">
        <f>IF('06_ITEM_POLE_MODEL'!$E$53="ABSOLUTE SEMANTIC",0,IF(ISNUMBER(SEARCH($A23,'06_ITEM_POLE_MODEL'!$F$53)),1,IF(ISNUMBER(SEARCH($A23,'06_ITEM_POLE_MODEL'!$G$53)),-1,0)))</f>
        <v/>
      </c>
      <c r="AY23">
        <f>IF('06_ITEM_POLE_MODEL'!$E$54="ABSOLUTE SEMANTIC",0,IF(ISNUMBER(SEARCH($A23,'06_ITEM_POLE_MODEL'!$F$54)),1,IF(ISNUMBER(SEARCH($A23,'06_ITEM_POLE_MODEL'!$G$54)),-1,0)))</f>
        <v/>
      </c>
      <c r="AZ23">
        <f>IF('06_ITEM_POLE_MODEL'!$E$55="ABSOLUTE SEMANTIC",0,IF(ISNUMBER(SEARCH($A23,'06_ITEM_POLE_MODEL'!$F$55)),1,IF(ISNUMBER(SEARCH($A23,'06_ITEM_POLE_MODEL'!$G$55)),-1,0)))</f>
        <v/>
      </c>
      <c r="BA23">
        <f>IF('06_ITEM_POLE_MODEL'!$E$56="ABSOLUTE SEMANTIC",0,IF(ISNUMBER(SEARCH($A23,'06_ITEM_POLE_MODEL'!$F$56)),1,IF(ISNUMBER(SEARCH($A23,'06_ITEM_POLE_MODEL'!$G$56)),-1,0)))</f>
        <v/>
      </c>
      <c r="BB23">
        <f>IF('06_ITEM_POLE_MODEL'!$E$57="ABSOLUTE SEMANTIC",0,IF(ISNUMBER(SEARCH($A23,'06_ITEM_POLE_MODEL'!$F$57)),1,IF(ISNUMBER(SEARCH($A23,'06_ITEM_POLE_MODEL'!$G$57)),-1,0)))</f>
        <v/>
      </c>
      <c r="BC23">
        <f>IF('06_ITEM_POLE_MODEL'!$E$58="ABSOLUTE SEMANTIC",0,IF(ISNUMBER(SEARCH($A23,'06_ITEM_POLE_MODEL'!$F$58)),1,IF(ISNUMBER(SEARCH($A23,'06_ITEM_POLE_MODEL'!$G$58)),-1,0)))</f>
        <v/>
      </c>
      <c r="BD23">
        <f>IF('06_ITEM_POLE_MODEL'!$E$59="ABSOLUTE SEMANTIC",0,IF(ISNUMBER(SEARCH($A23,'06_ITEM_POLE_MODEL'!$F$59)),1,IF(ISNUMBER(SEARCH($A23,'06_ITEM_POLE_MODEL'!$G$59)),-1,0)))</f>
        <v/>
      </c>
      <c r="BE23">
        <f>IF('06_ITEM_POLE_MODEL'!$E$60="ABSOLUTE SEMANTIC",0,IF(ISNUMBER(SEARCH($A23,'06_ITEM_POLE_MODEL'!$F$60)),1,IF(ISNUMBER(SEARCH($A23,'06_ITEM_POLE_MODEL'!$G$60)),-1,0)))</f>
        <v/>
      </c>
      <c r="BF23">
        <f>IF('06_ITEM_POLE_MODEL'!$E$61="ABSOLUTE SEMANTIC",0,IF(ISNUMBER(SEARCH($A23,'06_ITEM_POLE_MODEL'!$F$61)),1,IF(ISNUMBER(SEARCH($A23,'06_ITEM_POLE_MODEL'!$G$61)),-1,0)))</f>
        <v/>
      </c>
      <c r="BG23">
        <f>IF('06_ITEM_POLE_MODEL'!$E$62="ABSOLUTE SEMANTIC",0,IF(ISNUMBER(SEARCH($A23,'06_ITEM_POLE_MODEL'!$F$62)),1,IF(ISNUMBER(SEARCH($A23,'06_ITEM_POLE_MODEL'!$G$62)),-1,0)))</f>
        <v/>
      </c>
      <c r="BH23">
        <f>IF('06_ITEM_POLE_MODEL'!$E$63="ABSOLUTE SEMANTIC",0,IF(ISNUMBER(SEARCH($A23,'06_ITEM_POLE_MODEL'!$F$63)),1,IF(ISNUMBER(SEARCH($A23,'06_ITEM_POLE_MODEL'!$G$63)),-1,0)))</f>
        <v/>
      </c>
      <c r="BI23">
        <f>IF('06_ITEM_POLE_MODEL'!$E$64="ABSOLUTE SEMANTIC",0,IF(ISNUMBER(SEARCH($A23,'06_ITEM_POLE_MODEL'!$F$64)),1,IF(ISNUMBER(SEARCH($A23,'06_ITEM_POLE_MODEL'!$G$64)),-1,0)))</f>
        <v/>
      </c>
      <c r="BJ23">
        <f>IF('06_ITEM_POLE_MODEL'!$E$65="ABSOLUTE SEMANTIC",0,IF(ISNUMBER(SEARCH($A23,'06_ITEM_POLE_MODEL'!$F$65)),1,IF(ISNUMBER(SEARCH($A23,'06_ITEM_POLE_MODEL'!$G$65)),-1,0)))</f>
        <v/>
      </c>
      <c r="BK23">
        <f>IF('06_ITEM_POLE_MODEL'!$E$66="ABSOLUTE SEMANTIC",0,IF(ISNUMBER(SEARCH($A23,'06_ITEM_POLE_MODEL'!$F$66)),1,IF(ISNUMBER(SEARCH($A23,'06_ITEM_POLE_MODEL'!$G$66)),-1,0)))</f>
        <v/>
      </c>
      <c r="BL23">
        <f>IF('06_ITEM_POLE_MODEL'!$E$67="ABSOLUTE SEMANTIC",0,IF(ISNUMBER(SEARCH($A23,'06_ITEM_POLE_MODEL'!$F$67)),1,IF(ISNUMBER(SEARCH($A23,'06_ITEM_POLE_MODEL'!$G$67)),-1,0)))</f>
        <v/>
      </c>
      <c r="BM23">
        <f>IF('06_ITEM_POLE_MODEL'!$E$68="ABSOLUTE SEMANTIC",0,IF(ISNUMBER(SEARCH($A23,'06_ITEM_POLE_MODEL'!$F$68)),1,IF(ISNUMBER(SEARCH($A23,'06_ITEM_POLE_MODEL'!$G$68)),-1,0)))</f>
        <v/>
      </c>
      <c r="BN23">
        <f>IF('06_ITEM_POLE_MODEL'!$E$69="ABSOLUTE SEMANTIC",0,IF(ISNUMBER(SEARCH($A23,'06_ITEM_POLE_MODEL'!$F$69)),1,IF(ISNUMBER(SEARCH($A23,'06_ITEM_POLE_MODEL'!$G$69)),-1,0)))</f>
        <v/>
      </c>
      <c r="BO23">
        <f>IF('06_ITEM_POLE_MODEL'!$E$70="ABSOLUTE SEMANTIC",0,IF(ISNUMBER(SEARCH($A23,'06_ITEM_POLE_MODEL'!$F$70)),1,IF(ISNUMBER(SEARCH($A23,'06_ITEM_POLE_MODEL'!$G$70)),-1,0)))</f>
        <v/>
      </c>
      <c r="BP23">
        <f>IF('06_ITEM_POLE_MODEL'!$E$71="ABSOLUTE SEMANTIC",0,IF(ISNUMBER(SEARCH($A23,'06_ITEM_POLE_MODEL'!$F$71)),1,IF(ISNUMBER(SEARCH($A23,'06_ITEM_POLE_MODEL'!$G$71)),-1,0)))</f>
        <v/>
      </c>
      <c r="BQ23">
        <f>IF('06_ITEM_POLE_MODEL'!$E$72="ABSOLUTE SEMANTIC",0,IF(ISNUMBER(SEARCH($A23,'06_ITEM_POLE_MODEL'!$F$72)),1,IF(ISNUMBER(SEARCH($A23,'06_ITEM_POLE_MODEL'!$G$72)),-1,0)))</f>
        <v/>
      </c>
      <c r="BR23">
        <f>IF('06_ITEM_POLE_MODEL'!$E$73="ABSOLUTE SEMANTIC",0,IF(ISNUMBER(SEARCH($A23,'06_ITEM_POLE_MODEL'!$F$73)),1,IF(ISNUMBER(SEARCH($A23,'06_ITEM_POLE_MODEL'!$G$73)),-1,0)))</f>
        <v/>
      </c>
      <c r="BS23">
        <f>IF('06_ITEM_POLE_MODEL'!$E$74="ABSOLUTE SEMANTIC",0,IF(ISNUMBER(SEARCH($A23,'06_ITEM_POLE_MODEL'!$F$74)),1,IF(ISNUMBER(SEARCH($A23,'06_ITEM_POLE_MODEL'!$G$74)),-1,0)))</f>
        <v/>
      </c>
      <c r="BT23">
        <f>IF('06_ITEM_POLE_MODEL'!$E$75="ABSOLUTE SEMANTIC",0,IF(ISNUMBER(SEARCH($A23,'06_ITEM_POLE_MODEL'!$F$75)),1,IF(ISNUMBER(SEARCH($A23,'06_ITEM_POLE_MODEL'!$G$75)),-1,0)))</f>
        <v/>
      </c>
      <c r="BU23">
        <f>IF('06_ITEM_POLE_MODEL'!$E$76="ABSOLUTE SEMANTIC",0,IF(ISNUMBER(SEARCH($A23,'06_ITEM_POLE_MODEL'!$F$76)),1,IF(ISNUMBER(SEARCH($A23,'06_ITEM_POLE_MODEL'!$G$76)),-1,0)))</f>
        <v/>
      </c>
      <c r="BV23">
        <f>IF('06_ITEM_POLE_MODEL'!$E$77="ABSOLUTE SEMANTIC",0,IF(ISNUMBER(SEARCH($A23,'06_ITEM_POLE_MODEL'!$F$77)),1,IF(ISNUMBER(SEARCH($A23,'06_ITEM_POLE_MODEL'!$G$77)),-1,0)))</f>
        <v/>
      </c>
      <c r="BW23">
        <f>IF('06_ITEM_POLE_MODEL'!$E$78="ABSOLUTE SEMANTIC",0,IF(ISNUMBER(SEARCH($A23,'06_ITEM_POLE_MODEL'!$F$78)),1,IF(ISNUMBER(SEARCH($A23,'06_ITEM_POLE_MODEL'!$G$78)),-1,0)))</f>
        <v/>
      </c>
      <c r="BX23">
        <f>IF('06_ITEM_POLE_MODEL'!$E$79="ABSOLUTE SEMANTIC",0,IF(ISNUMBER(SEARCH($A23,'06_ITEM_POLE_MODEL'!$F$79)),1,IF(ISNUMBER(SEARCH($A23,'06_ITEM_POLE_MODEL'!$G$79)),-1,0)))</f>
        <v/>
      </c>
      <c r="BY23">
        <f>IF('06_ITEM_POLE_MODEL'!$E$80="ABSOLUTE SEMANTIC",0,IF(ISNUMBER(SEARCH($A23,'06_ITEM_POLE_MODEL'!$F$80)),1,IF(ISNUMBER(SEARCH($A23,'06_ITEM_POLE_MODEL'!$G$80)),-1,0)))</f>
        <v/>
      </c>
      <c r="BZ23">
        <f>IF('06_ITEM_POLE_MODEL'!$E$81="ABSOLUTE SEMANTIC",0,IF(ISNUMBER(SEARCH($A23,'06_ITEM_POLE_MODEL'!$F$81)),1,IF(ISNUMBER(SEARCH($A23,'06_ITEM_POLE_MODEL'!$G$81)),-1,0)))</f>
        <v/>
      </c>
      <c r="CA23">
        <f>IF('06_ITEM_POLE_MODEL'!$E$82="ABSOLUTE SEMANTIC",0,IF(ISNUMBER(SEARCH($A23,'06_ITEM_POLE_MODEL'!$F$82)),1,IF(ISNUMBER(SEARCH($A23,'06_ITEM_POLE_MODEL'!$G$82)),-1,0)))</f>
        <v/>
      </c>
      <c r="CB23">
        <f>IF('06_ITEM_POLE_MODEL'!$E$83="ABSOLUTE SEMANTIC",0,IF(ISNUMBER(SEARCH($A23,'06_ITEM_POLE_MODEL'!$F$83)),1,IF(ISNUMBER(SEARCH($A23,'06_ITEM_POLE_MODEL'!$G$83)),-1,0)))</f>
        <v/>
      </c>
      <c r="CC23">
        <f>IF('06_ITEM_POLE_MODEL'!$E$84="ABSOLUTE SEMANTIC",0,IF(ISNUMBER(SEARCH($A23,'06_ITEM_POLE_MODEL'!$F$84)),1,IF(ISNUMBER(SEARCH($A23,'06_ITEM_POLE_MODEL'!$G$84)),-1,0)))</f>
        <v/>
      </c>
    </row>
    <row r="24">
      <c r="A24" t="inlineStr">
        <is>
          <t>Anunnaki / Nibiruan</t>
        </is>
      </c>
      <c r="B24">
        <f>IF('06_ITEM_POLE_MODEL'!$E$5="ABSOLUTE SEMANTIC",0,IF(ISNUMBER(SEARCH($A24,'06_ITEM_POLE_MODEL'!$F$5)),1,IF(ISNUMBER(SEARCH($A24,'06_ITEM_POLE_MODEL'!$G$5)),-1,0)))</f>
        <v/>
      </c>
      <c r="C24">
        <f>IF('06_ITEM_POLE_MODEL'!$E$6="ABSOLUTE SEMANTIC",0,IF(ISNUMBER(SEARCH($A24,'06_ITEM_POLE_MODEL'!$F$6)),1,IF(ISNUMBER(SEARCH($A24,'06_ITEM_POLE_MODEL'!$G$6)),-1,0)))</f>
        <v/>
      </c>
      <c r="D24">
        <f>IF('06_ITEM_POLE_MODEL'!$E$7="ABSOLUTE SEMANTIC",0,IF(ISNUMBER(SEARCH($A24,'06_ITEM_POLE_MODEL'!$F$7)),1,IF(ISNUMBER(SEARCH($A24,'06_ITEM_POLE_MODEL'!$G$7)),-1,0)))</f>
        <v/>
      </c>
      <c r="E24">
        <f>IF('06_ITEM_POLE_MODEL'!$E$8="ABSOLUTE SEMANTIC",0,IF(ISNUMBER(SEARCH($A24,'06_ITEM_POLE_MODEL'!$F$8)),1,IF(ISNUMBER(SEARCH($A24,'06_ITEM_POLE_MODEL'!$G$8)),-1,0)))</f>
        <v/>
      </c>
      <c r="F24">
        <f>IF('06_ITEM_POLE_MODEL'!$E$9="ABSOLUTE SEMANTIC",0,IF(ISNUMBER(SEARCH($A24,'06_ITEM_POLE_MODEL'!$F$9)),1,IF(ISNUMBER(SEARCH($A24,'06_ITEM_POLE_MODEL'!$G$9)),-1,0)))</f>
        <v/>
      </c>
      <c r="G24">
        <f>IF('06_ITEM_POLE_MODEL'!$E$10="ABSOLUTE SEMANTIC",0,IF(ISNUMBER(SEARCH($A24,'06_ITEM_POLE_MODEL'!$F$10)),1,IF(ISNUMBER(SEARCH($A24,'06_ITEM_POLE_MODEL'!$G$10)),-1,0)))</f>
        <v/>
      </c>
      <c r="H24">
        <f>IF('06_ITEM_POLE_MODEL'!$E$11="ABSOLUTE SEMANTIC",0,IF(ISNUMBER(SEARCH($A24,'06_ITEM_POLE_MODEL'!$F$11)),1,IF(ISNUMBER(SEARCH($A24,'06_ITEM_POLE_MODEL'!$G$11)),-1,0)))</f>
        <v/>
      </c>
      <c r="I24">
        <f>IF('06_ITEM_POLE_MODEL'!$E$12="ABSOLUTE SEMANTIC",0,IF(ISNUMBER(SEARCH($A24,'06_ITEM_POLE_MODEL'!$F$12)),1,IF(ISNUMBER(SEARCH($A24,'06_ITEM_POLE_MODEL'!$G$12)),-1,0)))</f>
        <v/>
      </c>
      <c r="J24">
        <f>IF('06_ITEM_POLE_MODEL'!$E$13="ABSOLUTE SEMANTIC",0,IF(ISNUMBER(SEARCH($A24,'06_ITEM_POLE_MODEL'!$F$13)),1,IF(ISNUMBER(SEARCH($A24,'06_ITEM_POLE_MODEL'!$G$13)),-1,0)))</f>
        <v/>
      </c>
      <c r="K24">
        <f>IF('06_ITEM_POLE_MODEL'!$E$14="ABSOLUTE SEMANTIC",0,IF(ISNUMBER(SEARCH($A24,'06_ITEM_POLE_MODEL'!$F$14)),1,IF(ISNUMBER(SEARCH($A24,'06_ITEM_POLE_MODEL'!$G$14)),-1,0)))</f>
        <v/>
      </c>
      <c r="L24">
        <f>IF('06_ITEM_POLE_MODEL'!$E$15="ABSOLUTE SEMANTIC",0,IF(ISNUMBER(SEARCH($A24,'06_ITEM_POLE_MODEL'!$F$15)),1,IF(ISNUMBER(SEARCH($A24,'06_ITEM_POLE_MODEL'!$G$15)),-1,0)))</f>
        <v/>
      </c>
      <c r="M24">
        <f>IF('06_ITEM_POLE_MODEL'!$E$16="ABSOLUTE SEMANTIC",0,IF(ISNUMBER(SEARCH($A24,'06_ITEM_POLE_MODEL'!$F$16)),1,IF(ISNUMBER(SEARCH($A24,'06_ITEM_POLE_MODEL'!$G$16)),-1,0)))</f>
        <v/>
      </c>
      <c r="N24">
        <f>IF('06_ITEM_POLE_MODEL'!$E$17="ABSOLUTE SEMANTIC",0,IF(ISNUMBER(SEARCH($A24,'06_ITEM_POLE_MODEL'!$F$17)),1,IF(ISNUMBER(SEARCH($A24,'06_ITEM_POLE_MODEL'!$G$17)),-1,0)))</f>
        <v/>
      </c>
      <c r="O24">
        <f>IF('06_ITEM_POLE_MODEL'!$E$18="ABSOLUTE SEMANTIC",0,IF(ISNUMBER(SEARCH($A24,'06_ITEM_POLE_MODEL'!$F$18)),1,IF(ISNUMBER(SEARCH($A24,'06_ITEM_POLE_MODEL'!$G$18)),-1,0)))</f>
        <v/>
      </c>
      <c r="P24">
        <f>IF('06_ITEM_POLE_MODEL'!$E$19="ABSOLUTE SEMANTIC",0,IF(ISNUMBER(SEARCH($A24,'06_ITEM_POLE_MODEL'!$F$19)),1,IF(ISNUMBER(SEARCH($A24,'06_ITEM_POLE_MODEL'!$G$19)),-1,0)))</f>
        <v/>
      </c>
      <c r="Q24">
        <f>IF('06_ITEM_POLE_MODEL'!$E$20="ABSOLUTE SEMANTIC",0,IF(ISNUMBER(SEARCH($A24,'06_ITEM_POLE_MODEL'!$F$20)),1,IF(ISNUMBER(SEARCH($A24,'06_ITEM_POLE_MODEL'!$G$20)),-1,0)))</f>
        <v/>
      </c>
      <c r="R24">
        <f>IF('06_ITEM_POLE_MODEL'!$E$21="ABSOLUTE SEMANTIC",0,IF(ISNUMBER(SEARCH($A24,'06_ITEM_POLE_MODEL'!$F$21)),1,IF(ISNUMBER(SEARCH($A24,'06_ITEM_POLE_MODEL'!$G$21)),-1,0)))</f>
        <v/>
      </c>
      <c r="S24">
        <f>IF('06_ITEM_POLE_MODEL'!$E$22="ABSOLUTE SEMANTIC",0,IF(ISNUMBER(SEARCH($A24,'06_ITEM_POLE_MODEL'!$F$22)),1,IF(ISNUMBER(SEARCH($A24,'06_ITEM_POLE_MODEL'!$G$22)),-1,0)))</f>
        <v/>
      </c>
      <c r="T24">
        <f>IF('06_ITEM_POLE_MODEL'!$E$23="ABSOLUTE SEMANTIC",0,IF(ISNUMBER(SEARCH($A24,'06_ITEM_POLE_MODEL'!$F$23)),1,IF(ISNUMBER(SEARCH($A24,'06_ITEM_POLE_MODEL'!$G$23)),-1,0)))</f>
        <v/>
      </c>
      <c r="U24">
        <f>IF('06_ITEM_POLE_MODEL'!$E$24="ABSOLUTE SEMANTIC",0,IF(ISNUMBER(SEARCH($A24,'06_ITEM_POLE_MODEL'!$F$24)),1,IF(ISNUMBER(SEARCH($A24,'06_ITEM_POLE_MODEL'!$G$24)),-1,0)))</f>
        <v/>
      </c>
      <c r="V24">
        <f>IF('06_ITEM_POLE_MODEL'!$E$25="ABSOLUTE SEMANTIC",0,IF(ISNUMBER(SEARCH($A24,'06_ITEM_POLE_MODEL'!$F$25)),1,IF(ISNUMBER(SEARCH($A24,'06_ITEM_POLE_MODEL'!$G$25)),-1,0)))</f>
        <v/>
      </c>
      <c r="W24">
        <f>IF('06_ITEM_POLE_MODEL'!$E$26="ABSOLUTE SEMANTIC",0,IF(ISNUMBER(SEARCH($A24,'06_ITEM_POLE_MODEL'!$F$26)),1,IF(ISNUMBER(SEARCH($A24,'06_ITEM_POLE_MODEL'!$G$26)),-1,0)))</f>
        <v/>
      </c>
      <c r="X24">
        <f>IF('06_ITEM_POLE_MODEL'!$E$27="ABSOLUTE SEMANTIC",0,IF(ISNUMBER(SEARCH($A24,'06_ITEM_POLE_MODEL'!$F$27)),1,IF(ISNUMBER(SEARCH($A24,'06_ITEM_POLE_MODEL'!$G$27)),-1,0)))</f>
        <v/>
      </c>
      <c r="Y24">
        <f>IF('06_ITEM_POLE_MODEL'!$E$28="ABSOLUTE SEMANTIC",0,IF(ISNUMBER(SEARCH($A24,'06_ITEM_POLE_MODEL'!$F$28)),1,IF(ISNUMBER(SEARCH($A24,'06_ITEM_POLE_MODEL'!$G$28)),-1,0)))</f>
        <v/>
      </c>
      <c r="Z24">
        <f>IF('06_ITEM_POLE_MODEL'!$E$29="ABSOLUTE SEMANTIC",0,IF(ISNUMBER(SEARCH($A24,'06_ITEM_POLE_MODEL'!$F$29)),1,IF(ISNUMBER(SEARCH($A24,'06_ITEM_POLE_MODEL'!$G$29)),-1,0)))</f>
        <v/>
      </c>
      <c r="AA24">
        <f>IF('06_ITEM_POLE_MODEL'!$E$30="ABSOLUTE SEMANTIC",0,IF(ISNUMBER(SEARCH($A24,'06_ITEM_POLE_MODEL'!$F$30)),1,IF(ISNUMBER(SEARCH($A24,'06_ITEM_POLE_MODEL'!$G$30)),-1,0)))</f>
        <v/>
      </c>
      <c r="AB24">
        <f>IF('06_ITEM_POLE_MODEL'!$E$31="ABSOLUTE SEMANTIC",0,IF(ISNUMBER(SEARCH($A24,'06_ITEM_POLE_MODEL'!$F$31)),1,IF(ISNUMBER(SEARCH($A24,'06_ITEM_POLE_MODEL'!$G$31)),-1,0)))</f>
        <v/>
      </c>
      <c r="AC24">
        <f>IF('06_ITEM_POLE_MODEL'!$E$32="ABSOLUTE SEMANTIC",0,IF(ISNUMBER(SEARCH($A24,'06_ITEM_POLE_MODEL'!$F$32)),1,IF(ISNUMBER(SEARCH($A24,'06_ITEM_POLE_MODEL'!$G$32)),-1,0)))</f>
        <v/>
      </c>
      <c r="AD24">
        <f>IF('06_ITEM_POLE_MODEL'!$E$33="ABSOLUTE SEMANTIC",0,IF(ISNUMBER(SEARCH($A24,'06_ITEM_POLE_MODEL'!$F$33)),1,IF(ISNUMBER(SEARCH($A24,'06_ITEM_POLE_MODEL'!$G$33)),-1,0)))</f>
        <v/>
      </c>
      <c r="AE24">
        <f>IF('06_ITEM_POLE_MODEL'!$E$34="ABSOLUTE SEMANTIC",0,IF(ISNUMBER(SEARCH($A24,'06_ITEM_POLE_MODEL'!$F$34)),1,IF(ISNUMBER(SEARCH($A24,'06_ITEM_POLE_MODEL'!$G$34)),-1,0)))</f>
        <v/>
      </c>
      <c r="AF24">
        <f>IF('06_ITEM_POLE_MODEL'!$E$35="ABSOLUTE SEMANTIC",0,IF(ISNUMBER(SEARCH($A24,'06_ITEM_POLE_MODEL'!$F$35)),1,IF(ISNUMBER(SEARCH($A24,'06_ITEM_POLE_MODEL'!$G$35)),-1,0)))</f>
        <v/>
      </c>
      <c r="AG24">
        <f>IF('06_ITEM_POLE_MODEL'!$E$36="ABSOLUTE SEMANTIC",0,IF(ISNUMBER(SEARCH($A24,'06_ITEM_POLE_MODEL'!$F$36)),1,IF(ISNUMBER(SEARCH($A24,'06_ITEM_POLE_MODEL'!$G$36)),-1,0)))</f>
        <v/>
      </c>
      <c r="AH24">
        <f>IF('06_ITEM_POLE_MODEL'!$E$37="ABSOLUTE SEMANTIC",0,IF(ISNUMBER(SEARCH($A24,'06_ITEM_POLE_MODEL'!$F$37)),1,IF(ISNUMBER(SEARCH($A24,'06_ITEM_POLE_MODEL'!$G$37)),-1,0)))</f>
        <v/>
      </c>
      <c r="AI24">
        <f>IF('06_ITEM_POLE_MODEL'!$E$38="ABSOLUTE SEMANTIC",0,IF(ISNUMBER(SEARCH($A24,'06_ITEM_POLE_MODEL'!$F$38)),1,IF(ISNUMBER(SEARCH($A24,'06_ITEM_POLE_MODEL'!$G$38)),-1,0)))</f>
        <v/>
      </c>
      <c r="AJ24">
        <f>IF('06_ITEM_POLE_MODEL'!$E$39="ABSOLUTE SEMANTIC",0,IF(ISNUMBER(SEARCH($A24,'06_ITEM_POLE_MODEL'!$F$39)),1,IF(ISNUMBER(SEARCH($A24,'06_ITEM_POLE_MODEL'!$G$39)),-1,0)))</f>
        <v/>
      </c>
      <c r="AK24">
        <f>IF('06_ITEM_POLE_MODEL'!$E$40="ABSOLUTE SEMANTIC",0,IF(ISNUMBER(SEARCH($A24,'06_ITEM_POLE_MODEL'!$F$40)),1,IF(ISNUMBER(SEARCH($A24,'06_ITEM_POLE_MODEL'!$G$40)),-1,0)))</f>
        <v/>
      </c>
      <c r="AL24">
        <f>IF('06_ITEM_POLE_MODEL'!$E$41="ABSOLUTE SEMANTIC",0,IF(ISNUMBER(SEARCH($A24,'06_ITEM_POLE_MODEL'!$F$41)),1,IF(ISNUMBER(SEARCH($A24,'06_ITEM_POLE_MODEL'!$G$41)),-1,0)))</f>
        <v/>
      </c>
      <c r="AM24">
        <f>IF('06_ITEM_POLE_MODEL'!$E$42="ABSOLUTE SEMANTIC",0,IF(ISNUMBER(SEARCH($A24,'06_ITEM_POLE_MODEL'!$F$42)),1,IF(ISNUMBER(SEARCH($A24,'06_ITEM_POLE_MODEL'!$G$42)),-1,0)))</f>
        <v/>
      </c>
      <c r="AN24">
        <f>IF('06_ITEM_POLE_MODEL'!$E$43="ABSOLUTE SEMANTIC",0,IF(ISNUMBER(SEARCH($A24,'06_ITEM_POLE_MODEL'!$F$43)),1,IF(ISNUMBER(SEARCH($A24,'06_ITEM_POLE_MODEL'!$G$43)),-1,0)))</f>
        <v/>
      </c>
      <c r="AO24">
        <f>IF('06_ITEM_POLE_MODEL'!$E$44="ABSOLUTE SEMANTIC",0,IF(ISNUMBER(SEARCH($A24,'06_ITEM_POLE_MODEL'!$F$44)),1,IF(ISNUMBER(SEARCH($A24,'06_ITEM_POLE_MODEL'!$G$44)),-1,0)))</f>
        <v/>
      </c>
      <c r="AP24">
        <f>IF('06_ITEM_POLE_MODEL'!$E$45="ABSOLUTE SEMANTIC",0,IF(ISNUMBER(SEARCH($A24,'06_ITEM_POLE_MODEL'!$F$45)),1,IF(ISNUMBER(SEARCH($A24,'06_ITEM_POLE_MODEL'!$G$45)),-1,0)))</f>
        <v/>
      </c>
      <c r="AQ24">
        <f>IF('06_ITEM_POLE_MODEL'!$E$46="ABSOLUTE SEMANTIC",0,IF(ISNUMBER(SEARCH($A24,'06_ITEM_POLE_MODEL'!$F$46)),1,IF(ISNUMBER(SEARCH($A24,'06_ITEM_POLE_MODEL'!$G$46)),-1,0)))</f>
        <v/>
      </c>
      <c r="AR24">
        <f>IF('06_ITEM_POLE_MODEL'!$E$47="ABSOLUTE SEMANTIC",0,IF(ISNUMBER(SEARCH($A24,'06_ITEM_POLE_MODEL'!$F$47)),1,IF(ISNUMBER(SEARCH($A24,'06_ITEM_POLE_MODEL'!$G$47)),-1,0)))</f>
        <v/>
      </c>
      <c r="AS24">
        <f>IF('06_ITEM_POLE_MODEL'!$E$48="ABSOLUTE SEMANTIC",0,IF(ISNUMBER(SEARCH($A24,'06_ITEM_POLE_MODEL'!$F$48)),1,IF(ISNUMBER(SEARCH($A24,'06_ITEM_POLE_MODEL'!$G$48)),-1,0)))</f>
        <v/>
      </c>
      <c r="AT24">
        <f>IF('06_ITEM_POLE_MODEL'!$E$49="ABSOLUTE SEMANTIC",0,IF(ISNUMBER(SEARCH($A24,'06_ITEM_POLE_MODEL'!$F$49)),1,IF(ISNUMBER(SEARCH($A24,'06_ITEM_POLE_MODEL'!$G$49)),-1,0)))</f>
        <v/>
      </c>
      <c r="AU24">
        <f>IF('06_ITEM_POLE_MODEL'!$E$50="ABSOLUTE SEMANTIC",0,IF(ISNUMBER(SEARCH($A24,'06_ITEM_POLE_MODEL'!$F$50)),1,IF(ISNUMBER(SEARCH($A24,'06_ITEM_POLE_MODEL'!$G$50)),-1,0)))</f>
        <v/>
      </c>
      <c r="AV24">
        <f>IF('06_ITEM_POLE_MODEL'!$E$51="ABSOLUTE SEMANTIC",0,IF(ISNUMBER(SEARCH($A24,'06_ITEM_POLE_MODEL'!$F$51)),1,IF(ISNUMBER(SEARCH($A24,'06_ITEM_POLE_MODEL'!$G$51)),-1,0)))</f>
        <v/>
      </c>
      <c r="AW24">
        <f>IF('06_ITEM_POLE_MODEL'!$E$52="ABSOLUTE SEMANTIC",0,IF(ISNUMBER(SEARCH($A24,'06_ITEM_POLE_MODEL'!$F$52)),1,IF(ISNUMBER(SEARCH($A24,'06_ITEM_POLE_MODEL'!$G$52)),-1,0)))</f>
        <v/>
      </c>
      <c r="AX24">
        <f>IF('06_ITEM_POLE_MODEL'!$E$53="ABSOLUTE SEMANTIC",0,IF(ISNUMBER(SEARCH($A24,'06_ITEM_POLE_MODEL'!$F$53)),1,IF(ISNUMBER(SEARCH($A24,'06_ITEM_POLE_MODEL'!$G$53)),-1,0)))</f>
        <v/>
      </c>
      <c r="AY24">
        <f>IF('06_ITEM_POLE_MODEL'!$E$54="ABSOLUTE SEMANTIC",0,IF(ISNUMBER(SEARCH($A24,'06_ITEM_POLE_MODEL'!$F$54)),1,IF(ISNUMBER(SEARCH($A24,'06_ITEM_POLE_MODEL'!$G$54)),-1,0)))</f>
        <v/>
      </c>
      <c r="AZ24">
        <f>IF('06_ITEM_POLE_MODEL'!$E$55="ABSOLUTE SEMANTIC",0,IF(ISNUMBER(SEARCH($A24,'06_ITEM_POLE_MODEL'!$F$55)),1,IF(ISNUMBER(SEARCH($A24,'06_ITEM_POLE_MODEL'!$G$55)),-1,0)))</f>
        <v/>
      </c>
      <c r="BA24">
        <f>IF('06_ITEM_POLE_MODEL'!$E$56="ABSOLUTE SEMANTIC",0,IF(ISNUMBER(SEARCH($A24,'06_ITEM_POLE_MODEL'!$F$56)),1,IF(ISNUMBER(SEARCH($A24,'06_ITEM_POLE_MODEL'!$G$56)),-1,0)))</f>
        <v/>
      </c>
      <c r="BB24">
        <f>IF('06_ITEM_POLE_MODEL'!$E$57="ABSOLUTE SEMANTIC",0,IF(ISNUMBER(SEARCH($A24,'06_ITEM_POLE_MODEL'!$F$57)),1,IF(ISNUMBER(SEARCH($A24,'06_ITEM_POLE_MODEL'!$G$57)),-1,0)))</f>
        <v/>
      </c>
      <c r="BC24">
        <f>IF('06_ITEM_POLE_MODEL'!$E$58="ABSOLUTE SEMANTIC",0,IF(ISNUMBER(SEARCH($A24,'06_ITEM_POLE_MODEL'!$F$58)),1,IF(ISNUMBER(SEARCH($A24,'06_ITEM_POLE_MODEL'!$G$58)),-1,0)))</f>
        <v/>
      </c>
      <c r="BD24">
        <f>IF('06_ITEM_POLE_MODEL'!$E$59="ABSOLUTE SEMANTIC",0,IF(ISNUMBER(SEARCH($A24,'06_ITEM_POLE_MODEL'!$F$59)),1,IF(ISNUMBER(SEARCH($A24,'06_ITEM_POLE_MODEL'!$G$59)),-1,0)))</f>
        <v/>
      </c>
      <c r="BE24">
        <f>IF('06_ITEM_POLE_MODEL'!$E$60="ABSOLUTE SEMANTIC",0,IF(ISNUMBER(SEARCH($A24,'06_ITEM_POLE_MODEL'!$F$60)),1,IF(ISNUMBER(SEARCH($A24,'06_ITEM_POLE_MODEL'!$G$60)),-1,0)))</f>
        <v/>
      </c>
      <c r="BF24">
        <f>IF('06_ITEM_POLE_MODEL'!$E$61="ABSOLUTE SEMANTIC",0,IF(ISNUMBER(SEARCH($A24,'06_ITEM_POLE_MODEL'!$F$61)),1,IF(ISNUMBER(SEARCH($A24,'06_ITEM_POLE_MODEL'!$G$61)),-1,0)))</f>
        <v/>
      </c>
      <c r="BG24">
        <f>IF('06_ITEM_POLE_MODEL'!$E$62="ABSOLUTE SEMANTIC",0,IF(ISNUMBER(SEARCH($A24,'06_ITEM_POLE_MODEL'!$F$62)),1,IF(ISNUMBER(SEARCH($A24,'06_ITEM_POLE_MODEL'!$G$62)),-1,0)))</f>
        <v/>
      </c>
      <c r="BH24">
        <f>IF('06_ITEM_POLE_MODEL'!$E$63="ABSOLUTE SEMANTIC",0,IF(ISNUMBER(SEARCH($A24,'06_ITEM_POLE_MODEL'!$F$63)),1,IF(ISNUMBER(SEARCH($A24,'06_ITEM_POLE_MODEL'!$G$63)),-1,0)))</f>
        <v/>
      </c>
      <c r="BI24">
        <f>IF('06_ITEM_POLE_MODEL'!$E$64="ABSOLUTE SEMANTIC",0,IF(ISNUMBER(SEARCH($A24,'06_ITEM_POLE_MODEL'!$F$64)),1,IF(ISNUMBER(SEARCH($A24,'06_ITEM_POLE_MODEL'!$G$64)),-1,0)))</f>
        <v/>
      </c>
      <c r="BJ24">
        <f>IF('06_ITEM_POLE_MODEL'!$E$65="ABSOLUTE SEMANTIC",0,IF(ISNUMBER(SEARCH($A24,'06_ITEM_POLE_MODEL'!$F$65)),1,IF(ISNUMBER(SEARCH($A24,'06_ITEM_POLE_MODEL'!$G$65)),-1,0)))</f>
        <v/>
      </c>
      <c r="BK24">
        <f>IF('06_ITEM_POLE_MODEL'!$E$66="ABSOLUTE SEMANTIC",0,IF(ISNUMBER(SEARCH($A24,'06_ITEM_POLE_MODEL'!$F$66)),1,IF(ISNUMBER(SEARCH($A24,'06_ITEM_POLE_MODEL'!$G$66)),-1,0)))</f>
        <v/>
      </c>
      <c r="BL24">
        <f>IF('06_ITEM_POLE_MODEL'!$E$67="ABSOLUTE SEMANTIC",0,IF(ISNUMBER(SEARCH($A24,'06_ITEM_POLE_MODEL'!$F$67)),1,IF(ISNUMBER(SEARCH($A24,'06_ITEM_POLE_MODEL'!$G$67)),-1,0)))</f>
        <v/>
      </c>
      <c r="BM24">
        <f>IF('06_ITEM_POLE_MODEL'!$E$68="ABSOLUTE SEMANTIC",0,IF(ISNUMBER(SEARCH($A24,'06_ITEM_POLE_MODEL'!$F$68)),1,IF(ISNUMBER(SEARCH($A24,'06_ITEM_POLE_MODEL'!$G$68)),-1,0)))</f>
        <v/>
      </c>
      <c r="BN24">
        <f>IF('06_ITEM_POLE_MODEL'!$E$69="ABSOLUTE SEMANTIC",0,IF(ISNUMBER(SEARCH($A24,'06_ITEM_POLE_MODEL'!$F$69)),1,IF(ISNUMBER(SEARCH($A24,'06_ITEM_POLE_MODEL'!$G$69)),-1,0)))</f>
        <v/>
      </c>
      <c r="BO24">
        <f>IF('06_ITEM_POLE_MODEL'!$E$70="ABSOLUTE SEMANTIC",0,IF(ISNUMBER(SEARCH($A24,'06_ITEM_POLE_MODEL'!$F$70)),1,IF(ISNUMBER(SEARCH($A24,'06_ITEM_POLE_MODEL'!$G$70)),-1,0)))</f>
        <v/>
      </c>
      <c r="BP24">
        <f>IF('06_ITEM_POLE_MODEL'!$E$71="ABSOLUTE SEMANTIC",0,IF(ISNUMBER(SEARCH($A24,'06_ITEM_POLE_MODEL'!$F$71)),1,IF(ISNUMBER(SEARCH($A24,'06_ITEM_POLE_MODEL'!$G$71)),-1,0)))</f>
        <v/>
      </c>
      <c r="BQ24">
        <f>IF('06_ITEM_POLE_MODEL'!$E$72="ABSOLUTE SEMANTIC",0,IF(ISNUMBER(SEARCH($A24,'06_ITEM_POLE_MODEL'!$F$72)),1,IF(ISNUMBER(SEARCH($A24,'06_ITEM_POLE_MODEL'!$G$72)),-1,0)))</f>
        <v/>
      </c>
      <c r="BR24">
        <f>IF('06_ITEM_POLE_MODEL'!$E$73="ABSOLUTE SEMANTIC",0,IF(ISNUMBER(SEARCH($A24,'06_ITEM_POLE_MODEL'!$F$73)),1,IF(ISNUMBER(SEARCH($A24,'06_ITEM_POLE_MODEL'!$G$73)),-1,0)))</f>
        <v/>
      </c>
      <c r="BS24">
        <f>IF('06_ITEM_POLE_MODEL'!$E$74="ABSOLUTE SEMANTIC",0,IF(ISNUMBER(SEARCH($A24,'06_ITEM_POLE_MODEL'!$F$74)),1,IF(ISNUMBER(SEARCH($A24,'06_ITEM_POLE_MODEL'!$G$74)),-1,0)))</f>
        <v/>
      </c>
      <c r="BT24">
        <f>IF('06_ITEM_POLE_MODEL'!$E$75="ABSOLUTE SEMANTIC",0,IF(ISNUMBER(SEARCH($A24,'06_ITEM_POLE_MODEL'!$F$75)),1,IF(ISNUMBER(SEARCH($A24,'06_ITEM_POLE_MODEL'!$G$75)),-1,0)))</f>
        <v/>
      </c>
      <c r="BU24">
        <f>IF('06_ITEM_POLE_MODEL'!$E$76="ABSOLUTE SEMANTIC",0,IF(ISNUMBER(SEARCH($A24,'06_ITEM_POLE_MODEL'!$F$76)),1,IF(ISNUMBER(SEARCH($A24,'06_ITEM_POLE_MODEL'!$G$76)),-1,0)))</f>
        <v/>
      </c>
      <c r="BV24">
        <f>IF('06_ITEM_POLE_MODEL'!$E$77="ABSOLUTE SEMANTIC",0,IF(ISNUMBER(SEARCH($A24,'06_ITEM_POLE_MODEL'!$F$77)),1,IF(ISNUMBER(SEARCH($A24,'06_ITEM_POLE_MODEL'!$G$77)),-1,0)))</f>
        <v/>
      </c>
      <c r="BW24">
        <f>IF('06_ITEM_POLE_MODEL'!$E$78="ABSOLUTE SEMANTIC",0,IF(ISNUMBER(SEARCH($A24,'06_ITEM_POLE_MODEL'!$F$78)),1,IF(ISNUMBER(SEARCH($A24,'06_ITEM_POLE_MODEL'!$G$78)),-1,0)))</f>
        <v/>
      </c>
      <c r="BX24">
        <f>IF('06_ITEM_POLE_MODEL'!$E$79="ABSOLUTE SEMANTIC",0,IF(ISNUMBER(SEARCH($A24,'06_ITEM_POLE_MODEL'!$F$79)),1,IF(ISNUMBER(SEARCH($A24,'06_ITEM_POLE_MODEL'!$G$79)),-1,0)))</f>
        <v/>
      </c>
      <c r="BY24">
        <f>IF('06_ITEM_POLE_MODEL'!$E$80="ABSOLUTE SEMANTIC",0,IF(ISNUMBER(SEARCH($A24,'06_ITEM_POLE_MODEL'!$F$80)),1,IF(ISNUMBER(SEARCH($A24,'06_ITEM_POLE_MODEL'!$G$80)),-1,0)))</f>
        <v/>
      </c>
      <c r="BZ24">
        <f>IF('06_ITEM_POLE_MODEL'!$E$81="ABSOLUTE SEMANTIC",0,IF(ISNUMBER(SEARCH($A24,'06_ITEM_POLE_MODEL'!$F$81)),1,IF(ISNUMBER(SEARCH($A24,'06_ITEM_POLE_MODEL'!$G$81)),-1,0)))</f>
        <v/>
      </c>
      <c r="CA24">
        <f>IF('06_ITEM_POLE_MODEL'!$E$82="ABSOLUTE SEMANTIC",0,IF(ISNUMBER(SEARCH($A24,'06_ITEM_POLE_MODEL'!$F$82)),1,IF(ISNUMBER(SEARCH($A24,'06_ITEM_POLE_MODEL'!$G$82)),-1,0)))</f>
        <v/>
      </c>
      <c r="CB24">
        <f>IF('06_ITEM_POLE_MODEL'!$E$83="ABSOLUTE SEMANTIC",0,IF(ISNUMBER(SEARCH($A24,'06_ITEM_POLE_MODEL'!$F$83)),1,IF(ISNUMBER(SEARCH($A24,'06_ITEM_POLE_MODEL'!$G$83)),-1,0)))</f>
        <v/>
      </c>
      <c r="CC24">
        <f>IF('06_ITEM_POLE_MODEL'!$E$84="ABSOLUTE SEMANTIC",0,IF(ISNUMBER(SEARCH($A24,'06_ITEM_POLE_MODEL'!$F$84)),1,IF(ISNUMBER(SEARCH($A24,'06_ITEM_POLE_MODEL'!$G$84)),-1,0)))</f>
        <v/>
      </c>
    </row>
    <row r="25">
      <c r="A25" t="inlineStr">
        <is>
          <t>Tau Cetian</t>
        </is>
      </c>
      <c r="B25">
        <f>IF('06_ITEM_POLE_MODEL'!$E$5="ABSOLUTE SEMANTIC",0,IF(ISNUMBER(SEARCH($A25,'06_ITEM_POLE_MODEL'!$F$5)),1,IF(ISNUMBER(SEARCH($A25,'06_ITEM_POLE_MODEL'!$G$5)),-1,0)))</f>
        <v/>
      </c>
      <c r="C25">
        <f>IF('06_ITEM_POLE_MODEL'!$E$6="ABSOLUTE SEMANTIC",0,IF(ISNUMBER(SEARCH($A25,'06_ITEM_POLE_MODEL'!$F$6)),1,IF(ISNUMBER(SEARCH($A25,'06_ITEM_POLE_MODEL'!$G$6)),-1,0)))</f>
        <v/>
      </c>
      <c r="D25">
        <f>IF('06_ITEM_POLE_MODEL'!$E$7="ABSOLUTE SEMANTIC",0,IF(ISNUMBER(SEARCH($A25,'06_ITEM_POLE_MODEL'!$F$7)),1,IF(ISNUMBER(SEARCH($A25,'06_ITEM_POLE_MODEL'!$G$7)),-1,0)))</f>
        <v/>
      </c>
      <c r="E25">
        <f>IF('06_ITEM_POLE_MODEL'!$E$8="ABSOLUTE SEMANTIC",0,IF(ISNUMBER(SEARCH($A25,'06_ITEM_POLE_MODEL'!$F$8)),1,IF(ISNUMBER(SEARCH($A25,'06_ITEM_POLE_MODEL'!$G$8)),-1,0)))</f>
        <v/>
      </c>
      <c r="F25">
        <f>IF('06_ITEM_POLE_MODEL'!$E$9="ABSOLUTE SEMANTIC",0,IF(ISNUMBER(SEARCH($A25,'06_ITEM_POLE_MODEL'!$F$9)),1,IF(ISNUMBER(SEARCH($A25,'06_ITEM_POLE_MODEL'!$G$9)),-1,0)))</f>
        <v/>
      </c>
      <c r="G25">
        <f>IF('06_ITEM_POLE_MODEL'!$E$10="ABSOLUTE SEMANTIC",0,IF(ISNUMBER(SEARCH($A25,'06_ITEM_POLE_MODEL'!$F$10)),1,IF(ISNUMBER(SEARCH($A25,'06_ITEM_POLE_MODEL'!$G$10)),-1,0)))</f>
        <v/>
      </c>
      <c r="H25">
        <f>IF('06_ITEM_POLE_MODEL'!$E$11="ABSOLUTE SEMANTIC",0,IF(ISNUMBER(SEARCH($A25,'06_ITEM_POLE_MODEL'!$F$11)),1,IF(ISNUMBER(SEARCH($A25,'06_ITEM_POLE_MODEL'!$G$11)),-1,0)))</f>
        <v/>
      </c>
      <c r="I25">
        <f>IF('06_ITEM_POLE_MODEL'!$E$12="ABSOLUTE SEMANTIC",0,IF(ISNUMBER(SEARCH($A25,'06_ITEM_POLE_MODEL'!$F$12)),1,IF(ISNUMBER(SEARCH($A25,'06_ITEM_POLE_MODEL'!$G$12)),-1,0)))</f>
        <v/>
      </c>
      <c r="J25">
        <f>IF('06_ITEM_POLE_MODEL'!$E$13="ABSOLUTE SEMANTIC",0,IF(ISNUMBER(SEARCH($A25,'06_ITEM_POLE_MODEL'!$F$13)),1,IF(ISNUMBER(SEARCH($A25,'06_ITEM_POLE_MODEL'!$G$13)),-1,0)))</f>
        <v/>
      </c>
      <c r="K25">
        <f>IF('06_ITEM_POLE_MODEL'!$E$14="ABSOLUTE SEMANTIC",0,IF(ISNUMBER(SEARCH($A25,'06_ITEM_POLE_MODEL'!$F$14)),1,IF(ISNUMBER(SEARCH($A25,'06_ITEM_POLE_MODEL'!$G$14)),-1,0)))</f>
        <v/>
      </c>
      <c r="L25">
        <f>IF('06_ITEM_POLE_MODEL'!$E$15="ABSOLUTE SEMANTIC",0,IF(ISNUMBER(SEARCH($A25,'06_ITEM_POLE_MODEL'!$F$15)),1,IF(ISNUMBER(SEARCH($A25,'06_ITEM_POLE_MODEL'!$G$15)),-1,0)))</f>
        <v/>
      </c>
      <c r="M25">
        <f>IF('06_ITEM_POLE_MODEL'!$E$16="ABSOLUTE SEMANTIC",0,IF(ISNUMBER(SEARCH($A25,'06_ITEM_POLE_MODEL'!$F$16)),1,IF(ISNUMBER(SEARCH($A25,'06_ITEM_POLE_MODEL'!$G$16)),-1,0)))</f>
        <v/>
      </c>
      <c r="N25">
        <f>IF('06_ITEM_POLE_MODEL'!$E$17="ABSOLUTE SEMANTIC",0,IF(ISNUMBER(SEARCH($A25,'06_ITEM_POLE_MODEL'!$F$17)),1,IF(ISNUMBER(SEARCH($A25,'06_ITEM_POLE_MODEL'!$G$17)),-1,0)))</f>
        <v/>
      </c>
      <c r="O25">
        <f>IF('06_ITEM_POLE_MODEL'!$E$18="ABSOLUTE SEMANTIC",0,IF(ISNUMBER(SEARCH($A25,'06_ITEM_POLE_MODEL'!$F$18)),1,IF(ISNUMBER(SEARCH($A25,'06_ITEM_POLE_MODEL'!$G$18)),-1,0)))</f>
        <v/>
      </c>
      <c r="P25">
        <f>IF('06_ITEM_POLE_MODEL'!$E$19="ABSOLUTE SEMANTIC",0,IF(ISNUMBER(SEARCH($A25,'06_ITEM_POLE_MODEL'!$F$19)),1,IF(ISNUMBER(SEARCH($A25,'06_ITEM_POLE_MODEL'!$G$19)),-1,0)))</f>
        <v/>
      </c>
      <c r="Q25">
        <f>IF('06_ITEM_POLE_MODEL'!$E$20="ABSOLUTE SEMANTIC",0,IF(ISNUMBER(SEARCH($A25,'06_ITEM_POLE_MODEL'!$F$20)),1,IF(ISNUMBER(SEARCH($A25,'06_ITEM_POLE_MODEL'!$G$20)),-1,0)))</f>
        <v/>
      </c>
      <c r="R25">
        <f>IF('06_ITEM_POLE_MODEL'!$E$21="ABSOLUTE SEMANTIC",0,IF(ISNUMBER(SEARCH($A25,'06_ITEM_POLE_MODEL'!$F$21)),1,IF(ISNUMBER(SEARCH($A25,'06_ITEM_POLE_MODEL'!$G$21)),-1,0)))</f>
        <v/>
      </c>
      <c r="S25">
        <f>IF('06_ITEM_POLE_MODEL'!$E$22="ABSOLUTE SEMANTIC",0,IF(ISNUMBER(SEARCH($A25,'06_ITEM_POLE_MODEL'!$F$22)),1,IF(ISNUMBER(SEARCH($A25,'06_ITEM_POLE_MODEL'!$G$22)),-1,0)))</f>
        <v/>
      </c>
      <c r="T25">
        <f>IF('06_ITEM_POLE_MODEL'!$E$23="ABSOLUTE SEMANTIC",0,IF(ISNUMBER(SEARCH($A25,'06_ITEM_POLE_MODEL'!$F$23)),1,IF(ISNUMBER(SEARCH($A25,'06_ITEM_POLE_MODEL'!$G$23)),-1,0)))</f>
        <v/>
      </c>
      <c r="U25">
        <f>IF('06_ITEM_POLE_MODEL'!$E$24="ABSOLUTE SEMANTIC",0,IF(ISNUMBER(SEARCH($A25,'06_ITEM_POLE_MODEL'!$F$24)),1,IF(ISNUMBER(SEARCH($A25,'06_ITEM_POLE_MODEL'!$G$24)),-1,0)))</f>
        <v/>
      </c>
      <c r="V25">
        <f>IF('06_ITEM_POLE_MODEL'!$E$25="ABSOLUTE SEMANTIC",0,IF(ISNUMBER(SEARCH($A25,'06_ITEM_POLE_MODEL'!$F$25)),1,IF(ISNUMBER(SEARCH($A25,'06_ITEM_POLE_MODEL'!$G$25)),-1,0)))</f>
        <v/>
      </c>
      <c r="W25">
        <f>IF('06_ITEM_POLE_MODEL'!$E$26="ABSOLUTE SEMANTIC",0,IF(ISNUMBER(SEARCH($A25,'06_ITEM_POLE_MODEL'!$F$26)),1,IF(ISNUMBER(SEARCH($A25,'06_ITEM_POLE_MODEL'!$G$26)),-1,0)))</f>
        <v/>
      </c>
      <c r="X25">
        <f>IF('06_ITEM_POLE_MODEL'!$E$27="ABSOLUTE SEMANTIC",0,IF(ISNUMBER(SEARCH($A25,'06_ITEM_POLE_MODEL'!$F$27)),1,IF(ISNUMBER(SEARCH($A25,'06_ITEM_POLE_MODEL'!$G$27)),-1,0)))</f>
        <v/>
      </c>
      <c r="Y25">
        <f>IF('06_ITEM_POLE_MODEL'!$E$28="ABSOLUTE SEMANTIC",0,IF(ISNUMBER(SEARCH($A25,'06_ITEM_POLE_MODEL'!$F$28)),1,IF(ISNUMBER(SEARCH($A25,'06_ITEM_POLE_MODEL'!$G$28)),-1,0)))</f>
        <v/>
      </c>
      <c r="Z25">
        <f>IF('06_ITEM_POLE_MODEL'!$E$29="ABSOLUTE SEMANTIC",0,IF(ISNUMBER(SEARCH($A25,'06_ITEM_POLE_MODEL'!$F$29)),1,IF(ISNUMBER(SEARCH($A25,'06_ITEM_POLE_MODEL'!$G$29)),-1,0)))</f>
        <v/>
      </c>
      <c r="AA25">
        <f>IF('06_ITEM_POLE_MODEL'!$E$30="ABSOLUTE SEMANTIC",0,IF(ISNUMBER(SEARCH($A25,'06_ITEM_POLE_MODEL'!$F$30)),1,IF(ISNUMBER(SEARCH($A25,'06_ITEM_POLE_MODEL'!$G$30)),-1,0)))</f>
        <v/>
      </c>
      <c r="AB25">
        <f>IF('06_ITEM_POLE_MODEL'!$E$31="ABSOLUTE SEMANTIC",0,IF(ISNUMBER(SEARCH($A25,'06_ITEM_POLE_MODEL'!$F$31)),1,IF(ISNUMBER(SEARCH($A25,'06_ITEM_POLE_MODEL'!$G$31)),-1,0)))</f>
        <v/>
      </c>
      <c r="AC25">
        <f>IF('06_ITEM_POLE_MODEL'!$E$32="ABSOLUTE SEMANTIC",0,IF(ISNUMBER(SEARCH($A25,'06_ITEM_POLE_MODEL'!$F$32)),1,IF(ISNUMBER(SEARCH($A25,'06_ITEM_POLE_MODEL'!$G$32)),-1,0)))</f>
        <v/>
      </c>
      <c r="AD25">
        <f>IF('06_ITEM_POLE_MODEL'!$E$33="ABSOLUTE SEMANTIC",0,IF(ISNUMBER(SEARCH($A25,'06_ITEM_POLE_MODEL'!$F$33)),1,IF(ISNUMBER(SEARCH($A25,'06_ITEM_POLE_MODEL'!$G$33)),-1,0)))</f>
        <v/>
      </c>
      <c r="AE25">
        <f>IF('06_ITEM_POLE_MODEL'!$E$34="ABSOLUTE SEMANTIC",0,IF(ISNUMBER(SEARCH($A25,'06_ITEM_POLE_MODEL'!$F$34)),1,IF(ISNUMBER(SEARCH($A25,'06_ITEM_POLE_MODEL'!$G$34)),-1,0)))</f>
        <v/>
      </c>
      <c r="AF25">
        <f>IF('06_ITEM_POLE_MODEL'!$E$35="ABSOLUTE SEMANTIC",0,IF(ISNUMBER(SEARCH($A25,'06_ITEM_POLE_MODEL'!$F$35)),1,IF(ISNUMBER(SEARCH($A25,'06_ITEM_POLE_MODEL'!$G$35)),-1,0)))</f>
        <v/>
      </c>
      <c r="AG25">
        <f>IF('06_ITEM_POLE_MODEL'!$E$36="ABSOLUTE SEMANTIC",0,IF(ISNUMBER(SEARCH($A25,'06_ITEM_POLE_MODEL'!$F$36)),1,IF(ISNUMBER(SEARCH($A25,'06_ITEM_POLE_MODEL'!$G$36)),-1,0)))</f>
        <v/>
      </c>
      <c r="AH25">
        <f>IF('06_ITEM_POLE_MODEL'!$E$37="ABSOLUTE SEMANTIC",0,IF(ISNUMBER(SEARCH($A25,'06_ITEM_POLE_MODEL'!$F$37)),1,IF(ISNUMBER(SEARCH($A25,'06_ITEM_POLE_MODEL'!$G$37)),-1,0)))</f>
        <v/>
      </c>
      <c r="AI25">
        <f>IF('06_ITEM_POLE_MODEL'!$E$38="ABSOLUTE SEMANTIC",0,IF(ISNUMBER(SEARCH($A25,'06_ITEM_POLE_MODEL'!$F$38)),1,IF(ISNUMBER(SEARCH($A25,'06_ITEM_POLE_MODEL'!$G$38)),-1,0)))</f>
        <v/>
      </c>
      <c r="AJ25">
        <f>IF('06_ITEM_POLE_MODEL'!$E$39="ABSOLUTE SEMANTIC",0,IF(ISNUMBER(SEARCH($A25,'06_ITEM_POLE_MODEL'!$F$39)),1,IF(ISNUMBER(SEARCH($A25,'06_ITEM_POLE_MODEL'!$G$39)),-1,0)))</f>
        <v/>
      </c>
      <c r="AK25">
        <f>IF('06_ITEM_POLE_MODEL'!$E$40="ABSOLUTE SEMANTIC",0,IF(ISNUMBER(SEARCH($A25,'06_ITEM_POLE_MODEL'!$F$40)),1,IF(ISNUMBER(SEARCH($A25,'06_ITEM_POLE_MODEL'!$G$40)),-1,0)))</f>
        <v/>
      </c>
      <c r="AL25">
        <f>IF('06_ITEM_POLE_MODEL'!$E$41="ABSOLUTE SEMANTIC",0,IF(ISNUMBER(SEARCH($A25,'06_ITEM_POLE_MODEL'!$F$41)),1,IF(ISNUMBER(SEARCH($A25,'06_ITEM_POLE_MODEL'!$G$41)),-1,0)))</f>
        <v/>
      </c>
      <c r="AM25">
        <f>IF('06_ITEM_POLE_MODEL'!$E$42="ABSOLUTE SEMANTIC",0,IF(ISNUMBER(SEARCH($A25,'06_ITEM_POLE_MODEL'!$F$42)),1,IF(ISNUMBER(SEARCH($A25,'06_ITEM_POLE_MODEL'!$G$42)),-1,0)))</f>
        <v/>
      </c>
      <c r="AN25">
        <f>IF('06_ITEM_POLE_MODEL'!$E$43="ABSOLUTE SEMANTIC",0,IF(ISNUMBER(SEARCH($A25,'06_ITEM_POLE_MODEL'!$F$43)),1,IF(ISNUMBER(SEARCH($A25,'06_ITEM_POLE_MODEL'!$G$43)),-1,0)))</f>
        <v/>
      </c>
      <c r="AO25">
        <f>IF('06_ITEM_POLE_MODEL'!$E$44="ABSOLUTE SEMANTIC",0,IF(ISNUMBER(SEARCH($A25,'06_ITEM_POLE_MODEL'!$F$44)),1,IF(ISNUMBER(SEARCH($A25,'06_ITEM_POLE_MODEL'!$G$44)),-1,0)))</f>
        <v/>
      </c>
      <c r="AP25">
        <f>IF('06_ITEM_POLE_MODEL'!$E$45="ABSOLUTE SEMANTIC",0,IF(ISNUMBER(SEARCH($A25,'06_ITEM_POLE_MODEL'!$F$45)),1,IF(ISNUMBER(SEARCH($A25,'06_ITEM_POLE_MODEL'!$G$45)),-1,0)))</f>
        <v/>
      </c>
      <c r="AQ25">
        <f>IF('06_ITEM_POLE_MODEL'!$E$46="ABSOLUTE SEMANTIC",0,IF(ISNUMBER(SEARCH($A25,'06_ITEM_POLE_MODEL'!$F$46)),1,IF(ISNUMBER(SEARCH($A25,'06_ITEM_POLE_MODEL'!$G$46)),-1,0)))</f>
        <v/>
      </c>
      <c r="AR25">
        <f>IF('06_ITEM_POLE_MODEL'!$E$47="ABSOLUTE SEMANTIC",0,IF(ISNUMBER(SEARCH($A25,'06_ITEM_POLE_MODEL'!$F$47)),1,IF(ISNUMBER(SEARCH($A25,'06_ITEM_POLE_MODEL'!$G$47)),-1,0)))</f>
        <v/>
      </c>
      <c r="AS25">
        <f>IF('06_ITEM_POLE_MODEL'!$E$48="ABSOLUTE SEMANTIC",0,IF(ISNUMBER(SEARCH($A25,'06_ITEM_POLE_MODEL'!$F$48)),1,IF(ISNUMBER(SEARCH($A25,'06_ITEM_POLE_MODEL'!$G$48)),-1,0)))</f>
        <v/>
      </c>
      <c r="AT25">
        <f>IF('06_ITEM_POLE_MODEL'!$E$49="ABSOLUTE SEMANTIC",0,IF(ISNUMBER(SEARCH($A25,'06_ITEM_POLE_MODEL'!$F$49)),1,IF(ISNUMBER(SEARCH($A25,'06_ITEM_POLE_MODEL'!$G$49)),-1,0)))</f>
        <v/>
      </c>
      <c r="AU25">
        <f>IF('06_ITEM_POLE_MODEL'!$E$50="ABSOLUTE SEMANTIC",0,IF(ISNUMBER(SEARCH($A25,'06_ITEM_POLE_MODEL'!$F$50)),1,IF(ISNUMBER(SEARCH($A25,'06_ITEM_POLE_MODEL'!$G$50)),-1,0)))</f>
        <v/>
      </c>
      <c r="AV25">
        <f>IF('06_ITEM_POLE_MODEL'!$E$51="ABSOLUTE SEMANTIC",0,IF(ISNUMBER(SEARCH($A25,'06_ITEM_POLE_MODEL'!$F$51)),1,IF(ISNUMBER(SEARCH($A25,'06_ITEM_POLE_MODEL'!$G$51)),-1,0)))</f>
        <v/>
      </c>
      <c r="AW25">
        <f>IF('06_ITEM_POLE_MODEL'!$E$52="ABSOLUTE SEMANTIC",0,IF(ISNUMBER(SEARCH($A25,'06_ITEM_POLE_MODEL'!$F$52)),1,IF(ISNUMBER(SEARCH($A25,'06_ITEM_POLE_MODEL'!$G$52)),-1,0)))</f>
        <v/>
      </c>
      <c r="AX25">
        <f>IF('06_ITEM_POLE_MODEL'!$E$53="ABSOLUTE SEMANTIC",0,IF(ISNUMBER(SEARCH($A25,'06_ITEM_POLE_MODEL'!$F$53)),1,IF(ISNUMBER(SEARCH($A25,'06_ITEM_POLE_MODEL'!$G$53)),-1,0)))</f>
        <v/>
      </c>
      <c r="AY25">
        <f>IF('06_ITEM_POLE_MODEL'!$E$54="ABSOLUTE SEMANTIC",0,IF(ISNUMBER(SEARCH($A25,'06_ITEM_POLE_MODEL'!$F$54)),1,IF(ISNUMBER(SEARCH($A25,'06_ITEM_POLE_MODEL'!$G$54)),-1,0)))</f>
        <v/>
      </c>
      <c r="AZ25">
        <f>IF('06_ITEM_POLE_MODEL'!$E$55="ABSOLUTE SEMANTIC",0,IF(ISNUMBER(SEARCH($A25,'06_ITEM_POLE_MODEL'!$F$55)),1,IF(ISNUMBER(SEARCH($A25,'06_ITEM_POLE_MODEL'!$G$55)),-1,0)))</f>
        <v/>
      </c>
      <c r="BA25">
        <f>IF('06_ITEM_POLE_MODEL'!$E$56="ABSOLUTE SEMANTIC",0,IF(ISNUMBER(SEARCH($A25,'06_ITEM_POLE_MODEL'!$F$56)),1,IF(ISNUMBER(SEARCH($A25,'06_ITEM_POLE_MODEL'!$G$56)),-1,0)))</f>
        <v/>
      </c>
      <c r="BB25">
        <f>IF('06_ITEM_POLE_MODEL'!$E$57="ABSOLUTE SEMANTIC",0,IF(ISNUMBER(SEARCH($A25,'06_ITEM_POLE_MODEL'!$F$57)),1,IF(ISNUMBER(SEARCH($A25,'06_ITEM_POLE_MODEL'!$G$57)),-1,0)))</f>
        <v/>
      </c>
      <c r="BC25">
        <f>IF('06_ITEM_POLE_MODEL'!$E$58="ABSOLUTE SEMANTIC",0,IF(ISNUMBER(SEARCH($A25,'06_ITEM_POLE_MODEL'!$F$58)),1,IF(ISNUMBER(SEARCH($A25,'06_ITEM_POLE_MODEL'!$G$58)),-1,0)))</f>
        <v/>
      </c>
      <c r="BD25">
        <f>IF('06_ITEM_POLE_MODEL'!$E$59="ABSOLUTE SEMANTIC",0,IF(ISNUMBER(SEARCH($A25,'06_ITEM_POLE_MODEL'!$F$59)),1,IF(ISNUMBER(SEARCH($A25,'06_ITEM_POLE_MODEL'!$G$59)),-1,0)))</f>
        <v/>
      </c>
      <c r="BE25">
        <f>IF('06_ITEM_POLE_MODEL'!$E$60="ABSOLUTE SEMANTIC",0,IF(ISNUMBER(SEARCH($A25,'06_ITEM_POLE_MODEL'!$F$60)),1,IF(ISNUMBER(SEARCH($A25,'06_ITEM_POLE_MODEL'!$G$60)),-1,0)))</f>
        <v/>
      </c>
      <c r="BF25">
        <f>IF('06_ITEM_POLE_MODEL'!$E$61="ABSOLUTE SEMANTIC",0,IF(ISNUMBER(SEARCH($A25,'06_ITEM_POLE_MODEL'!$F$61)),1,IF(ISNUMBER(SEARCH($A25,'06_ITEM_POLE_MODEL'!$G$61)),-1,0)))</f>
        <v/>
      </c>
      <c r="BG25">
        <f>IF('06_ITEM_POLE_MODEL'!$E$62="ABSOLUTE SEMANTIC",0,IF(ISNUMBER(SEARCH($A25,'06_ITEM_POLE_MODEL'!$F$62)),1,IF(ISNUMBER(SEARCH($A25,'06_ITEM_POLE_MODEL'!$G$62)),-1,0)))</f>
        <v/>
      </c>
      <c r="BH25">
        <f>IF('06_ITEM_POLE_MODEL'!$E$63="ABSOLUTE SEMANTIC",0,IF(ISNUMBER(SEARCH($A25,'06_ITEM_POLE_MODEL'!$F$63)),1,IF(ISNUMBER(SEARCH($A25,'06_ITEM_POLE_MODEL'!$G$63)),-1,0)))</f>
        <v/>
      </c>
      <c r="BI25">
        <f>IF('06_ITEM_POLE_MODEL'!$E$64="ABSOLUTE SEMANTIC",0,IF(ISNUMBER(SEARCH($A25,'06_ITEM_POLE_MODEL'!$F$64)),1,IF(ISNUMBER(SEARCH($A25,'06_ITEM_POLE_MODEL'!$G$64)),-1,0)))</f>
        <v/>
      </c>
      <c r="BJ25">
        <f>IF('06_ITEM_POLE_MODEL'!$E$65="ABSOLUTE SEMANTIC",0,IF(ISNUMBER(SEARCH($A25,'06_ITEM_POLE_MODEL'!$F$65)),1,IF(ISNUMBER(SEARCH($A25,'06_ITEM_POLE_MODEL'!$G$65)),-1,0)))</f>
        <v/>
      </c>
      <c r="BK25">
        <f>IF('06_ITEM_POLE_MODEL'!$E$66="ABSOLUTE SEMANTIC",0,IF(ISNUMBER(SEARCH($A25,'06_ITEM_POLE_MODEL'!$F$66)),1,IF(ISNUMBER(SEARCH($A25,'06_ITEM_POLE_MODEL'!$G$66)),-1,0)))</f>
        <v/>
      </c>
      <c r="BL25">
        <f>IF('06_ITEM_POLE_MODEL'!$E$67="ABSOLUTE SEMANTIC",0,IF(ISNUMBER(SEARCH($A25,'06_ITEM_POLE_MODEL'!$F$67)),1,IF(ISNUMBER(SEARCH($A25,'06_ITEM_POLE_MODEL'!$G$67)),-1,0)))</f>
        <v/>
      </c>
      <c r="BM25">
        <f>IF('06_ITEM_POLE_MODEL'!$E$68="ABSOLUTE SEMANTIC",0,IF(ISNUMBER(SEARCH($A25,'06_ITEM_POLE_MODEL'!$F$68)),1,IF(ISNUMBER(SEARCH($A25,'06_ITEM_POLE_MODEL'!$G$68)),-1,0)))</f>
        <v/>
      </c>
      <c r="BN25">
        <f>IF('06_ITEM_POLE_MODEL'!$E$69="ABSOLUTE SEMANTIC",0,IF(ISNUMBER(SEARCH($A25,'06_ITEM_POLE_MODEL'!$F$69)),1,IF(ISNUMBER(SEARCH($A25,'06_ITEM_POLE_MODEL'!$G$69)),-1,0)))</f>
        <v/>
      </c>
      <c r="BO25">
        <f>IF('06_ITEM_POLE_MODEL'!$E$70="ABSOLUTE SEMANTIC",0,IF(ISNUMBER(SEARCH($A25,'06_ITEM_POLE_MODEL'!$F$70)),1,IF(ISNUMBER(SEARCH($A25,'06_ITEM_POLE_MODEL'!$G$70)),-1,0)))</f>
        <v/>
      </c>
      <c r="BP25">
        <f>IF('06_ITEM_POLE_MODEL'!$E$71="ABSOLUTE SEMANTIC",0,IF(ISNUMBER(SEARCH($A25,'06_ITEM_POLE_MODEL'!$F$71)),1,IF(ISNUMBER(SEARCH($A25,'06_ITEM_POLE_MODEL'!$G$71)),-1,0)))</f>
        <v/>
      </c>
      <c r="BQ25">
        <f>IF('06_ITEM_POLE_MODEL'!$E$72="ABSOLUTE SEMANTIC",0,IF(ISNUMBER(SEARCH($A25,'06_ITEM_POLE_MODEL'!$F$72)),1,IF(ISNUMBER(SEARCH($A25,'06_ITEM_POLE_MODEL'!$G$72)),-1,0)))</f>
        <v/>
      </c>
      <c r="BR25">
        <f>IF('06_ITEM_POLE_MODEL'!$E$73="ABSOLUTE SEMANTIC",0,IF(ISNUMBER(SEARCH($A25,'06_ITEM_POLE_MODEL'!$F$73)),1,IF(ISNUMBER(SEARCH($A25,'06_ITEM_POLE_MODEL'!$G$73)),-1,0)))</f>
        <v/>
      </c>
      <c r="BS25">
        <f>IF('06_ITEM_POLE_MODEL'!$E$74="ABSOLUTE SEMANTIC",0,IF(ISNUMBER(SEARCH($A25,'06_ITEM_POLE_MODEL'!$F$74)),1,IF(ISNUMBER(SEARCH($A25,'06_ITEM_POLE_MODEL'!$G$74)),-1,0)))</f>
        <v/>
      </c>
      <c r="BT25">
        <f>IF('06_ITEM_POLE_MODEL'!$E$75="ABSOLUTE SEMANTIC",0,IF(ISNUMBER(SEARCH($A25,'06_ITEM_POLE_MODEL'!$F$75)),1,IF(ISNUMBER(SEARCH($A25,'06_ITEM_POLE_MODEL'!$G$75)),-1,0)))</f>
        <v/>
      </c>
      <c r="BU25">
        <f>IF('06_ITEM_POLE_MODEL'!$E$76="ABSOLUTE SEMANTIC",0,IF(ISNUMBER(SEARCH($A25,'06_ITEM_POLE_MODEL'!$F$76)),1,IF(ISNUMBER(SEARCH($A25,'06_ITEM_POLE_MODEL'!$G$76)),-1,0)))</f>
        <v/>
      </c>
      <c r="BV25">
        <f>IF('06_ITEM_POLE_MODEL'!$E$77="ABSOLUTE SEMANTIC",0,IF(ISNUMBER(SEARCH($A25,'06_ITEM_POLE_MODEL'!$F$77)),1,IF(ISNUMBER(SEARCH($A25,'06_ITEM_POLE_MODEL'!$G$77)),-1,0)))</f>
        <v/>
      </c>
      <c r="BW25">
        <f>IF('06_ITEM_POLE_MODEL'!$E$78="ABSOLUTE SEMANTIC",0,IF(ISNUMBER(SEARCH($A25,'06_ITEM_POLE_MODEL'!$F$78)),1,IF(ISNUMBER(SEARCH($A25,'06_ITEM_POLE_MODEL'!$G$78)),-1,0)))</f>
        <v/>
      </c>
      <c r="BX25">
        <f>IF('06_ITEM_POLE_MODEL'!$E$79="ABSOLUTE SEMANTIC",0,IF(ISNUMBER(SEARCH($A25,'06_ITEM_POLE_MODEL'!$F$79)),1,IF(ISNUMBER(SEARCH($A25,'06_ITEM_POLE_MODEL'!$G$79)),-1,0)))</f>
        <v/>
      </c>
      <c r="BY25">
        <f>IF('06_ITEM_POLE_MODEL'!$E$80="ABSOLUTE SEMANTIC",0,IF(ISNUMBER(SEARCH($A25,'06_ITEM_POLE_MODEL'!$F$80)),1,IF(ISNUMBER(SEARCH($A25,'06_ITEM_POLE_MODEL'!$G$80)),-1,0)))</f>
        <v/>
      </c>
      <c r="BZ25">
        <f>IF('06_ITEM_POLE_MODEL'!$E$81="ABSOLUTE SEMANTIC",0,IF(ISNUMBER(SEARCH($A25,'06_ITEM_POLE_MODEL'!$F$81)),1,IF(ISNUMBER(SEARCH($A25,'06_ITEM_POLE_MODEL'!$G$81)),-1,0)))</f>
        <v/>
      </c>
      <c r="CA25">
        <f>IF('06_ITEM_POLE_MODEL'!$E$82="ABSOLUTE SEMANTIC",0,IF(ISNUMBER(SEARCH($A25,'06_ITEM_POLE_MODEL'!$F$82)),1,IF(ISNUMBER(SEARCH($A25,'06_ITEM_POLE_MODEL'!$G$82)),-1,0)))</f>
        <v/>
      </c>
      <c r="CB25">
        <f>IF('06_ITEM_POLE_MODEL'!$E$83="ABSOLUTE SEMANTIC",0,IF(ISNUMBER(SEARCH($A25,'06_ITEM_POLE_MODEL'!$F$83)),1,IF(ISNUMBER(SEARCH($A25,'06_ITEM_POLE_MODEL'!$G$83)),-1,0)))</f>
        <v/>
      </c>
      <c r="CC25">
        <f>IF('06_ITEM_POLE_MODEL'!$E$84="ABSOLUTE SEMANTIC",0,IF(ISNUMBER(SEARCH($A25,'06_ITEM_POLE_MODEL'!$F$84)),1,IF(ISNUMBER(SEARCH($A25,'06_ITEM_POLE_MODEL'!$G$84)),-1,0)))</f>
        <v/>
      </c>
    </row>
    <row r="26">
      <c r="A26" t="inlineStr">
        <is>
          <t>Antarian</t>
        </is>
      </c>
      <c r="B26">
        <f>IF('06_ITEM_POLE_MODEL'!$E$5="ABSOLUTE SEMANTIC",0,IF(ISNUMBER(SEARCH($A26,'06_ITEM_POLE_MODEL'!$F$5)),1,IF(ISNUMBER(SEARCH($A26,'06_ITEM_POLE_MODEL'!$G$5)),-1,0)))</f>
        <v/>
      </c>
      <c r="C26">
        <f>IF('06_ITEM_POLE_MODEL'!$E$6="ABSOLUTE SEMANTIC",0,IF(ISNUMBER(SEARCH($A26,'06_ITEM_POLE_MODEL'!$F$6)),1,IF(ISNUMBER(SEARCH($A26,'06_ITEM_POLE_MODEL'!$G$6)),-1,0)))</f>
        <v/>
      </c>
      <c r="D26">
        <f>IF('06_ITEM_POLE_MODEL'!$E$7="ABSOLUTE SEMANTIC",0,IF(ISNUMBER(SEARCH($A26,'06_ITEM_POLE_MODEL'!$F$7)),1,IF(ISNUMBER(SEARCH($A26,'06_ITEM_POLE_MODEL'!$G$7)),-1,0)))</f>
        <v/>
      </c>
      <c r="E26">
        <f>IF('06_ITEM_POLE_MODEL'!$E$8="ABSOLUTE SEMANTIC",0,IF(ISNUMBER(SEARCH($A26,'06_ITEM_POLE_MODEL'!$F$8)),1,IF(ISNUMBER(SEARCH($A26,'06_ITEM_POLE_MODEL'!$G$8)),-1,0)))</f>
        <v/>
      </c>
      <c r="F26">
        <f>IF('06_ITEM_POLE_MODEL'!$E$9="ABSOLUTE SEMANTIC",0,IF(ISNUMBER(SEARCH($A26,'06_ITEM_POLE_MODEL'!$F$9)),1,IF(ISNUMBER(SEARCH($A26,'06_ITEM_POLE_MODEL'!$G$9)),-1,0)))</f>
        <v/>
      </c>
      <c r="G26">
        <f>IF('06_ITEM_POLE_MODEL'!$E$10="ABSOLUTE SEMANTIC",0,IF(ISNUMBER(SEARCH($A26,'06_ITEM_POLE_MODEL'!$F$10)),1,IF(ISNUMBER(SEARCH($A26,'06_ITEM_POLE_MODEL'!$G$10)),-1,0)))</f>
        <v/>
      </c>
      <c r="H26">
        <f>IF('06_ITEM_POLE_MODEL'!$E$11="ABSOLUTE SEMANTIC",0,IF(ISNUMBER(SEARCH($A26,'06_ITEM_POLE_MODEL'!$F$11)),1,IF(ISNUMBER(SEARCH($A26,'06_ITEM_POLE_MODEL'!$G$11)),-1,0)))</f>
        <v/>
      </c>
      <c r="I26">
        <f>IF('06_ITEM_POLE_MODEL'!$E$12="ABSOLUTE SEMANTIC",0,IF(ISNUMBER(SEARCH($A26,'06_ITEM_POLE_MODEL'!$F$12)),1,IF(ISNUMBER(SEARCH($A26,'06_ITEM_POLE_MODEL'!$G$12)),-1,0)))</f>
        <v/>
      </c>
      <c r="J26">
        <f>IF('06_ITEM_POLE_MODEL'!$E$13="ABSOLUTE SEMANTIC",0,IF(ISNUMBER(SEARCH($A26,'06_ITEM_POLE_MODEL'!$F$13)),1,IF(ISNUMBER(SEARCH($A26,'06_ITEM_POLE_MODEL'!$G$13)),-1,0)))</f>
        <v/>
      </c>
      <c r="K26">
        <f>IF('06_ITEM_POLE_MODEL'!$E$14="ABSOLUTE SEMANTIC",0,IF(ISNUMBER(SEARCH($A26,'06_ITEM_POLE_MODEL'!$F$14)),1,IF(ISNUMBER(SEARCH($A26,'06_ITEM_POLE_MODEL'!$G$14)),-1,0)))</f>
        <v/>
      </c>
      <c r="L26">
        <f>IF('06_ITEM_POLE_MODEL'!$E$15="ABSOLUTE SEMANTIC",0,IF(ISNUMBER(SEARCH($A26,'06_ITEM_POLE_MODEL'!$F$15)),1,IF(ISNUMBER(SEARCH($A26,'06_ITEM_POLE_MODEL'!$G$15)),-1,0)))</f>
        <v/>
      </c>
      <c r="M26">
        <f>IF('06_ITEM_POLE_MODEL'!$E$16="ABSOLUTE SEMANTIC",0,IF(ISNUMBER(SEARCH($A26,'06_ITEM_POLE_MODEL'!$F$16)),1,IF(ISNUMBER(SEARCH($A26,'06_ITEM_POLE_MODEL'!$G$16)),-1,0)))</f>
        <v/>
      </c>
      <c r="N26">
        <f>IF('06_ITEM_POLE_MODEL'!$E$17="ABSOLUTE SEMANTIC",0,IF(ISNUMBER(SEARCH($A26,'06_ITEM_POLE_MODEL'!$F$17)),1,IF(ISNUMBER(SEARCH($A26,'06_ITEM_POLE_MODEL'!$G$17)),-1,0)))</f>
        <v/>
      </c>
      <c r="O26">
        <f>IF('06_ITEM_POLE_MODEL'!$E$18="ABSOLUTE SEMANTIC",0,IF(ISNUMBER(SEARCH($A26,'06_ITEM_POLE_MODEL'!$F$18)),1,IF(ISNUMBER(SEARCH($A26,'06_ITEM_POLE_MODEL'!$G$18)),-1,0)))</f>
        <v/>
      </c>
      <c r="P26">
        <f>IF('06_ITEM_POLE_MODEL'!$E$19="ABSOLUTE SEMANTIC",0,IF(ISNUMBER(SEARCH($A26,'06_ITEM_POLE_MODEL'!$F$19)),1,IF(ISNUMBER(SEARCH($A26,'06_ITEM_POLE_MODEL'!$G$19)),-1,0)))</f>
        <v/>
      </c>
      <c r="Q26">
        <f>IF('06_ITEM_POLE_MODEL'!$E$20="ABSOLUTE SEMANTIC",0,IF(ISNUMBER(SEARCH($A26,'06_ITEM_POLE_MODEL'!$F$20)),1,IF(ISNUMBER(SEARCH($A26,'06_ITEM_POLE_MODEL'!$G$20)),-1,0)))</f>
        <v/>
      </c>
      <c r="R26">
        <f>IF('06_ITEM_POLE_MODEL'!$E$21="ABSOLUTE SEMANTIC",0,IF(ISNUMBER(SEARCH($A26,'06_ITEM_POLE_MODEL'!$F$21)),1,IF(ISNUMBER(SEARCH($A26,'06_ITEM_POLE_MODEL'!$G$21)),-1,0)))</f>
        <v/>
      </c>
      <c r="S26">
        <f>IF('06_ITEM_POLE_MODEL'!$E$22="ABSOLUTE SEMANTIC",0,IF(ISNUMBER(SEARCH($A26,'06_ITEM_POLE_MODEL'!$F$22)),1,IF(ISNUMBER(SEARCH($A26,'06_ITEM_POLE_MODEL'!$G$22)),-1,0)))</f>
        <v/>
      </c>
      <c r="T26">
        <f>IF('06_ITEM_POLE_MODEL'!$E$23="ABSOLUTE SEMANTIC",0,IF(ISNUMBER(SEARCH($A26,'06_ITEM_POLE_MODEL'!$F$23)),1,IF(ISNUMBER(SEARCH($A26,'06_ITEM_POLE_MODEL'!$G$23)),-1,0)))</f>
        <v/>
      </c>
      <c r="U26">
        <f>IF('06_ITEM_POLE_MODEL'!$E$24="ABSOLUTE SEMANTIC",0,IF(ISNUMBER(SEARCH($A26,'06_ITEM_POLE_MODEL'!$F$24)),1,IF(ISNUMBER(SEARCH($A26,'06_ITEM_POLE_MODEL'!$G$24)),-1,0)))</f>
        <v/>
      </c>
      <c r="V26">
        <f>IF('06_ITEM_POLE_MODEL'!$E$25="ABSOLUTE SEMANTIC",0,IF(ISNUMBER(SEARCH($A26,'06_ITEM_POLE_MODEL'!$F$25)),1,IF(ISNUMBER(SEARCH($A26,'06_ITEM_POLE_MODEL'!$G$25)),-1,0)))</f>
        <v/>
      </c>
      <c r="W26">
        <f>IF('06_ITEM_POLE_MODEL'!$E$26="ABSOLUTE SEMANTIC",0,IF(ISNUMBER(SEARCH($A26,'06_ITEM_POLE_MODEL'!$F$26)),1,IF(ISNUMBER(SEARCH($A26,'06_ITEM_POLE_MODEL'!$G$26)),-1,0)))</f>
        <v/>
      </c>
      <c r="X26">
        <f>IF('06_ITEM_POLE_MODEL'!$E$27="ABSOLUTE SEMANTIC",0,IF(ISNUMBER(SEARCH($A26,'06_ITEM_POLE_MODEL'!$F$27)),1,IF(ISNUMBER(SEARCH($A26,'06_ITEM_POLE_MODEL'!$G$27)),-1,0)))</f>
        <v/>
      </c>
      <c r="Y26">
        <f>IF('06_ITEM_POLE_MODEL'!$E$28="ABSOLUTE SEMANTIC",0,IF(ISNUMBER(SEARCH($A26,'06_ITEM_POLE_MODEL'!$F$28)),1,IF(ISNUMBER(SEARCH($A26,'06_ITEM_POLE_MODEL'!$G$28)),-1,0)))</f>
        <v/>
      </c>
      <c r="Z26">
        <f>IF('06_ITEM_POLE_MODEL'!$E$29="ABSOLUTE SEMANTIC",0,IF(ISNUMBER(SEARCH($A26,'06_ITEM_POLE_MODEL'!$F$29)),1,IF(ISNUMBER(SEARCH($A26,'06_ITEM_POLE_MODEL'!$G$29)),-1,0)))</f>
        <v/>
      </c>
      <c r="AA26">
        <f>IF('06_ITEM_POLE_MODEL'!$E$30="ABSOLUTE SEMANTIC",0,IF(ISNUMBER(SEARCH($A26,'06_ITEM_POLE_MODEL'!$F$30)),1,IF(ISNUMBER(SEARCH($A26,'06_ITEM_POLE_MODEL'!$G$30)),-1,0)))</f>
        <v/>
      </c>
      <c r="AB26">
        <f>IF('06_ITEM_POLE_MODEL'!$E$31="ABSOLUTE SEMANTIC",0,IF(ISNUMBER(SEARCH($A26,'06_ITEM_POLE_MODEL'!$F$31)),1,IF(ISNUMBER(SEARCH($A26,'06_ITEM_POLE_MODEL'!$G$31)),-1,0)))</f>
        <v/>
      </c>
      <c r="AC26">
        <f>IF('06_ITEM_POLE_MODEL'!$E$32="ABSOLUTE SEMANTIC",0,IF(ISNUMBER(SEARCH($A26,'06_ITEM_POLE_MODEL'!$F$32)),1,IF(ISNUMBER(SEARCH($A26,'06_ITEM_POLE_MODEL'!$G$32)),-1,0)))</f>
        <v/>
      </c>
      <c r="AD26">
        <f>IF('06_ITEM_POLE_MODEL'!$E$33="ABSOLUTE SEMANTIC",0,IF(ISNUMBER(SEARCH($A26,'06_ITEM_POLE_MODEL'!$F$33)),1,IF(ISNUMBER(SEARCH($A26,'06_ITEM_POLE_MODEL'!$G$33)),-1,0)))</f>
        <v/>
      </c>
      <c r="AE26">
        <f>IF('06_ITEM_POLE_MODEL'!$E$34="ABSOLUTE SEMANTIC",0,IF(ISNUMBER(SEARCH($A26,'06_ITEM_POLE_MODEL'!$F$34)),1,IF(ISNUMBER(SEARCH($A26,'06_ITEM_POLE_MODEL'!$G$34)),-1,0)))</f>
        <v/>
      </c>
      <c r="AF26">
        <f>IF('06_ITEM_POLE_MODEL'!$E$35="ABSOLUTE SEMANTIC",0,IF(ISNUMBER(SEARCH($A26,'06_ITEM_POLE_MODEL'!$F$35)),1,IF(ISNUMBER(SEARCH($A26,'06_ITEM_POLE_MODEL'!$G$35)),-1,0)))</f>
        <v/>
      </c>
      <c r="AG26">
        <f>IF('06_ITEM_POLE_MODEL'!$E$36="ABSOLUTE SEMANTIC",0,IF(ISNUMBER(SEARCH($A26,'06_ITEM_POLE_MODEL'!$F$36)),1,IF(ISNUMBER(SEARCH($A26,'06_ITEM_POLE_MODEL'!$G$36)),-1,0)))</f>
        <v/>
      </c>
      <c r="AH26">
        <f>IF('06_ITEM_POLE_MODEL'!$E$37="ABSOLUTE SEMANTIC",0,IF(ISNUMBER(SEARCH($A26,'06_ITEM_POLE_MODEL'!$F$37)),1,IF(ISNUMBER(SEARCH($A26,'06_ITEM_POLE_MODEL'!$G$37)),-1,0)))</f>
        <v/>
      </c>
      <c r="AI26">
        <f>IF('06_ITEM_POLE_MODEL'!$E$38="ABSOLUTE SEMANTIC",0,IF(ISNUMBER(SEARCH($A26,'06_ITEM_POLE_MODEL'!$F$38)),1,IF(ISNUMBER(SEARCH($A26,'06_ITEM_POLE_MODEL'!$G$38)),-1,0)))</f>
        <v/>
      </c>
      <c r="AJ26">
        <f>IF('06_ITEM_POLE_MODEL'!$E$39="ABSOLUTE SEMANTIC",0,IF(ISNUMBER(SEARCH($A26,'06_ITEM_POLE_MODEL'!$F$39)),1,IF(ISNUMBER(SEARCH($A26,'06_ITEM_POLE_MODEL'!$G$39)),-1,0)))</f>
        <v/>
      </c>
      <c r="AK26">
        <f>IF('06_ITEM_POLE_MODEL'!$E$40="ABSOLUTE SEMANTIC",0,IF(ISNUMBER(SEARCH($A26,'06_ITEM_POLE_MODEL'!$F$40)),1,IF(ISNUMBER(SEARCH($A26,'06_ITEM_POLE_MODEL'!$G$40)),-1,0)))</f>
        <v/>
      </c>
      <c r="AL26">
        <f>IF('06_ITEM_POLE_MODEL'!$E$41="ABSOLUTE SEMANTIC",0,IF(ISNUMBER(SEARCH($A26,'06_ITEM_POLE_MODEL'!$F$41)),1,IF(ISNUMBER(SEARCH($A26,'06_ITEM_POLE_MODEL'!$G$41)),-1,0)))</f>
        <v/>
      </c>
      <c r="AM26">
        <f>IF('06_ITEM_POLE_MODEL'!$E$42="ABSOLUTE SEMANTIC",0,IF(ISNUMBER(SEARCH($A26,'06_ITEM_POLE_MODEL'!$F$42)),1,IF(ISNUMBER(SEARCH($A26,'06_ITEM_POLE_MODEL'!$G$42)),-1,0)))</f>
        <v/>
      </c>
      <c r="AN26">
        <f>IF('06_ITEM_POLE_MODEL'!$E$43="ABSOLUTE SEMANTIC",0,IF(ISNUMBER(SEARCH($A26,'06_ITEM_POLE_MODEL'!$F$43)),1,IF(ISNUMBER(SEARCH($A26,'06_ITEM_POLE_MODEL'!$G$43)),-1,0)))</f>
        <v/>
      </c>
      <c r="AO26">
        <f>IF('06_ITEM_POLE_MODEL'!$E$44="ABSOLUTE SEMANTIC",0,IF(ISNUMBER(SEARCH($A26,'06_ITEM_POLE_MODEL'!$F$44)),1,IF(ISNUMBER(SEARCH($A26,'06_ITEM_POLE_MODEL'!$G$44)),-1,0)))</f>
        <v/>
      </c>
      <c r="AP26">
        <f>IF('06_ITEM_POLE_MODEL'!$E$45="ABSOLUTE SEMANTIC",0,IF(ISNUMBER(SEARCH($A26,'06_ITEM_POLE_MODEL'!$F$45)),1,IF(ISNUMBER(SEARCH($A26,'06_ITEM_POLE_MODEL'!$G$45)),-1,0)))</f>
        <v/>
      </c>
      <c r="AQ26">
        <f>IF('06_ITEM_POLE_MODEL'!$E$46="ABSOLUTE SEMANTIC",0,IF(ISNUMBER(SEARCH($A26,'06_ITEM_POLE_MODEL'!$F$46)),1,IF(ISNUMBER(SEARCH($A26,'06_ITEM_POLE_MODEL'!$G$46)),-1,0)))</f>
        <v/>
      </c>
      <c r="AR26">
        <f>IF('06_ITEM_POLE_MODEL'!$E$47="ABSOLUTE SEMANTIC",0,IF(ISNUMBER(SEARCH($A26,'06_ITEM_POLE_MODEL'!$F$47)),1,IF(ISNUMBER(SEARCH($A26,'06_ITEM_POLE_MODEL'!$G$47)),-1,0)))</f>
        <v/>
      </c>
      <c r="AS26">
        <f>IF('06_ITEM_POLE_MODEL'!$E$48="ABSOLUTE SEMANTIC",0,IF(ISNUMBER(SEARCH($A26,'06_ITEM_POLE_MODEL'!$F$48)),1,IF(ISNUMBER(SEARCH($A26,'06_ITEM_POLE_MODEL'!$G$48)),-1,0)))</f>
        <v/>
      </c>
      <c r="AT26">
        <f>IF('06_ITEM_POLE_MODEL'!$E$49="ABSOLUTE SEMANTIC",0,IF(ISNUMBER(SEARCH($A26,'06_ITEM_POLE_MODEL'!$F$49)),1,IF(ISNUMBER(SEARCH($A26,'06_ITEM_POLE_MODEL'!$G$49)),-1,0)))</f>
        <v/>
      </c>
      <c r="AU26">
        <f>IF('06_ITEM_POLE_MODEL'!$E$50="ABSOLUTE SEMANTIC",0,IF(ISNUMBER(SEARCH($A26,'06_ITEM_POLE_MODEL'!$F$50)),1,IF(ISNUMBER(SEARCH($A26,'06_ITEM_POLE_MODEL'!$G$50)),-1,0)))</f>
        <v/>
      </c>
      <c r="AV26">
        <f>IF('06_ITEM_POLE_MODEL'!$E$51="ABSOLUTE SEMANTIC",0,IF(ISNUMBER(SEARCH($A26,'06_ITEM_POLE_MODEL'!$F$51)),1,IF(ISNUMBER(SEARCH($A26,'06_ITEM_POLE_MODEL'!$G$51)),-1,0)))</f>
        <v/>
      </c>
      <c r="AW26">
        <f>IF('06_ITEM_POLE_MODEL'!$E$52="ABSOLUTE SEMANTIC",0,IF(ISNUMBER(SEARCH($A26,'06_ITEM_POLE_MODEL'!$F$52)),1,IF(ISNUMBER(SEARCH($A26,'06_ITEM_POLE_MODEL'!$G$52)),-1,0)))</f>
        <v/>
      </c>
      <c r="AX26">
        <f>IF('06_ITEM_POLE_MODEL'!$E$53="ABSOLUTE SEMANTIC",0,IF(ISNUMBER(SEARCH($A26,'06_ITEM_POLE_MODEL'!$F$53)),1,IF(ISNUMBER(SEARCH($A26,'06_ITEM_POLE_MODEL'!$G$53)),-1,0)))</f>
        <v/>
      </c>
      <c r="AY26">
        <f>IF('06_ITEM_POLE_MODEL'!$E$54="ABSOLUTE SEMANTIC",0,IF(ISNUMBER(SEARCH($A26,'06_ITEM_POLE_MODEL'!$F$54)),1,IF(ISNUMBER(SEARCH($A26,'06_ITEM_POLE_MODEL'!$G$54)),-1,0)))</f>
        <v/>
      </c>
      <c r="AZ26">
        <f>IF('06_ITEM_POLE_MODEL'!$E$55="ABSOLUTE SEMANTIC",0,IF(ISNUMBER(SEARCH($A26,'06_ITEM_POLE_MODEL'!$F$55)),1,IF(ISNUMBER(SEARCH($A26,'06_ITEM_POLE_MODEL'!$G$55)),-1,0)))</f>
        <v/>
      </c>
      <c r="BA26">
        <f>IF('06_ITEM_POLE_MODEL'!$E$56="ABSOLUTE SEMANTIC",0,IF(ISNUMBER(SEARCH($A26,'06_ITEM_POLE_MODEL'!$F$56)),1,IF(ISNUMBER(SEARCH($A26,'06_ITEM_POLE_MODEL'!$G$56)),-1,0)))</f>
        <v/>
      </c>
      <c r="BB26">
        <f>IF('06_ITEM_POLE_MODEL'!$E$57="ABSOLUTE SEMANTIC",0,IF(ISNUMBER(SEARCH($A26,'06_ITEM_POLE_MODEL'!$F$57)),1,IF(ISNUMBER(SEARCH($A26,'06_ITEM_POLE_MODEL'!$G$57)),-1,0)))</f>
        <v/>
      </c>
      <c r="BC26">
        <f>IF('06_ITEM_POLE_MODEL'!$E$58="ABSOLUTE SEMANTIC",0,IF(ISNUMBER(SEARCH($A26,'06_ITEM_POLE_MODEL'!$F$58)),1,IF(ISNUMBER(SEARCH($A26,'06_ITEM_POLE_MODEL'!$G$58)),-1,0)))</f>
        <v/>
      </c>
      <c r="BD26">
        <f>IF('06_ITEM_POLE_MODEL'!$E$59="ABSOLUTE SEMANTIC",0,IF(ISNUMBER(SEARCH($A26,'06_ITEM_POLE_MODEL'!$F$59)),1,IF(ISNUMBER(SEARCH($A26,'06_ITEM_POLE_MODEL'!$G$59)),-1,0)))</f>
        <v/>
      </c>
      <c r="BE26">
        <f>IF('06_ITEM_POLE_MODEL'!$E$60="ABSOLUTE SEMANTIC",0,IF(ISNUMBER(SEARCH($A26,'06_ITEM_POLE_MODEL'!$F$60)),1,IF(ISNUMBER(SEARCH($A26,'06_ITEM_POLE_MODEL'!$G$60)),-1,0)))</f>
        <v/>
      </c>
      <c r="BF26">
        <f>IF('06_ITEM_POLE_MODEL'!$E$61="ABSOLUTE SEMANTIC",0,IF(ISNUMBER(SEARCH($A26,'06_ITEM_POLE_MODEL'!$F$61)),1,IF(ISNUMBER(SEARCH($A26,'06_ITEM_POLE_MODEL'!$G$61)),-1,0)))</f>
        <v/>
      </c>
      <c r="BG26">
        <f>IF('06_ITEM_POLE_MODEL'!$E$62="ABSOLUTE SEMANTIC",0,IF(ISNUMBER(SEARCH($A26,'06_ITEM_POLE_MODEL'!$F$62)),1,IF(ISNUMBER(SEARCH($A26,'06_ITEM_POLE_MODEL'!$G$62)),-1,0)))</f>
        <v/>
      </c>
      <c r="BH26">
        <f>IF('06_ITEM_POLE_MODEL'!$E$63="ABSOLUTE SEMANTIC",0,IF(ISNUMBER(SEARCH($A26,'06_ITEM_POLE_MODEL'!$F$63)),1,IF(ISNUMBER(SEARCH($A26,'06_ITEM_POLE_MODEL'!$G$63)),-1,0)))</f>
        <v/>
      </c>
      <c r="BI26">
        <f>IF('06_ITEM_POLE_MODEL'!$E$64="ABSOLUTE SEMANTIC",0,IF(ISNUMBER(SEARCH($A26,'06_ITEM_POLE_MODEL'!$F$64)),1,IF(ISNUMBER(SEARCH($A26,'06_ITEM_POLE_MODEL'!$G$64)),-1,0)))</f>
        <v/>
      </c>
      <c r="BJ26">
        <f>IF('06_ITEM_POLE_MODEL'!$E$65="ABSOLUTE SEMANTIC",0,IF(ISNUMBER(SEARCH($A26,'06_ITEM_POLE_MODEL'!$F$65)),1,IF(ISNUMBER(SEARCH($A26,'06_ITEM_POLE_MODEL'!$G$65)),-1,0)))</f>
        <v/>
      </c>
      <c r="BK26">
        <f>IF('06_ITEM_POLE_MODEL'!$E$66="ABSOLUTE SEMANTIC",0,IF(ISNUMBER(SEARCH($A26,'06_ITEM_POLE_MODEL'!$F$66)),1,IF(ISNUMBER(SEARCH($A26,'06_ITEM_POLE_MODEL'!$G$66)),-1,0)))</f>
        <v/>
      </c>
      <c r="BL26">
        <f>IF('06_ITEM_POLE_MODEL'!$E$67="ABSOLUTE SEMANTIC",0,IF(ISNUMBER(SEARCH($A26,'06_ITEM_POLE_MODEL'!$F$67)),1,IF(ISNUMBER(SEARCH($A26,'06_ITEM_POLE_MODEL'!$G$67)),-1,0)))</f>
        <v/>
      </c>
      <c r="BM26">
        <f>IF('06_ITEM_POLE_MODEL'!$E$68="ABSOLUTE SEMANTIC",0,IF(ISNUMBER(SEARCH($A26,'06_ITEM_POLE_MODEL'!$F$68)),1,IF(ISNUMBER(SEARCH($A26,'06_ITEM_POLE_MODEL'!$G$68)),-1,0)))</f>
        <v/>
      </c>
      <c r="BN26">
        <f>IF('06_ITEM_POLE_MODEL'!$E$69="ABSOLUTE SEMANTIC",0,IF(ISNUMBER(SEARCH($A26,'06_ITEM_POLE_MODEL'!$F$69)),1,IF(ISNUMBER(SEARCH($A26,'06_ITEM_POLE_MODEL'!$G$69)),-1,0)))</f>
        <v/>
      </c>
      <c r="BO26">
        <f>IF('06_ITEM_POLE_MODEL'!$E$70="ABSOLUTE SEMANTIC",0,IF(ISNUMBER(SEARCH($A26,'06_ITEM_POLE_MODEL'!$F$70)),1,IF(ISNUMBER(SEARCH($A26,'06_ITEM_POLE_MODEL'!$G$70)),-1,0)))</f>
        <v/>
      </c>
      <c r="BP26">
        <f>IF('06_ITEM_POLE_MODEL'!$E$71="ABSOLUTE SEMANTIC",0,IF(ISNUMBER(SEARCH($A26,'06_ITEM_POLE_MODEL'!$F$71)),1,IF(ISNUMBER(SEARCH($A26,'06_ITEM_POLE_MODEL'!$G$71)),-1,0)))</f>
        <v/>
      </c>
      <c r="BQ26">
        <f>IF('06_ITEM_POLE_MODEL'!$E$72="ABSOLUTE SEMANTIC",0,IF(ISNUMBER(SEARCH($A26,'06_ITEM_POLE_MODEL'!$F$72)),1,IF(ISNUMBER(SEARCH($A26,'06_ITEM_POLE_MODEL'!$G$72)),-1,0)))</f>
        <v/>
      </c>
      <c r="BR26">
        <f>IF('06_ITEM_POLE_MODEL'!$E$73="ABSOLUTE SEMANTIC",0,IF(ISNUMBER(SEARCH($A26,'06_ITEM_POLE_MODEL'!$F$73)),1,IF(ISNUMBER(SEARCH($A26,'06_ITEM_POLE_MODEL'!$G$73)),-1,0)))</f>
        <v/>
      </c>
      <c r="BS26">
        <f>IF('06_ITEM_POLE_MODEL'!$E$74="ABSOLUTE SEMANTIC",0,IF(ISNUMBER(SEARCH($A26,'06_ITEM_POLE_MODEL'!$F$74)),1,IF(ISNUMBER(SEARCH($A26,'06_ITEM_POLE_MODEL'!$G$74)),-1,0)))</f>
        <v/>
      </c>
      <c r="BT26">
        <f>IF('06_ITEM_POLE_MODEL'!$E$75="ABSOLUTE SEMANTIC",0,IF(ISNUMBER(SEARCH($A26,'06_ITEM_POLE_MODEL'!$F$75)),1,IF(ISNUMBER(SEARCH($A26,'06_ITEM_POLE_MODEL'!$G$75)),-1,0)))</f>
        <v/>
      </c>
      <c r="BU26">
        <f>IF('06_ITEM_POLE_MODEL'!$E$76="ABSOLUTE SEMANTIC",0,IF(ISNUMBER(SEARCH($A26,'06_ITEM_POLE_MODEL'!$F$76)),1,IF(ISNUMBER(SEARCH($A26,'06_ITEM_POLE_MODEL'!$G$76)),-1,0)))</f>
        <v/>
      </c>
      <c r="BV26">
        <f>IF('06_ITEM_POLE_MODEL'!$E$77="ABSOLUTE SEMANTIC",0,IF(ISNUMBER(SEARCH($A26,'06_ITEM_POLE_MODEL'!$F$77)),1,IF(ISNUMBER(SEARCH($A26,'06_ITEM_POLE_MODEL'!$G$77)),-1,0)))</f>
        <v/>
      </c>
      <c r="BW26">
        <f>IF('06_ITEM_POLE_MODEL'!$E$78="ABSOLUTE SEMANTIC",0,IF(ISNUMBER(SEARCH($A26,'06_ITEM_POLE_MODEL'!$F$78)),1,IF(ISNUMBER(SEARCH($A26,'06_ITEM_POLE_MODEL'!$G$78)),-1,0)))</f>
        <v/>
      </c>
      <c r="BX26">
        <f>IF('06_ITEM_POLE_MODEL'!$E$79="ABSOLUTE SEMANTIC",0,IF(ISNUMBER(SEARCH($A26,'06_ITEM_POLE_MODEL'!$F$79)),1,IF(ISNUMBER(SEARCH($A26,'06_ITEM_POLE_MODEL'!$G$79)),-1,0)))</f>
        <v/>
      </c>
      <c r="BY26">
        <f>IF('06_ITEM_POLE_MODEL'!$E$80="ABSOLUTE SEMANTIC",0,IF(ISNUMBER(SEARCH($A26,'06_ITEM_POLE_MODEL'!$F$80)),1,IF(ISNUMBER(SEARCH($A26,'06_ITEM_POLE_MODEL'!$G$80)),-1,0)))</f>
        <v/>
      </c>
      <c r="BZ26">
        <f>IF('06_ITEM_POLE_MODEL'!$E$81="ABSOLUTE SEMANTIC",0,IF(ISNUMBER(SEARCH($A26,'06_ITEM_POLE_MODEL'!$F$81)),1,IF(ISNUMBER(SEARCH($A26,'06_ITEM_POLE_MODEL'!$G$81)),-1,0)))</f>
        <v/>
      </c>
      <c r="CA26">
        <f>IF('06_ITEM_POLE_MODEL'!$E$82="ABSOLUTE SEMANTIC",0,IF(ISNUMBER(SEARCH($A26,'06_ITEM_POLE_MODEL'!$F$82)),1,IF(ISNUMBER(SEARCH($A26,'06_ITEM_POLE_MODEL'!$G$82)),-1,0)))</f>
        <v/>
      </c>
      <c r="CB26">
        <f>IF('06_ITEM_POLE_MODEL'!$E$83="ABSOLUTE SEMANTIC",0,IF(ISNUMBER(SEARCH($A26,'06_ITEM_POLE_MODEL'!$F$83)),1,IF(ISNUMBER(SEARCH($A26,'06_ITEM_POLE_MODEL'!$G$83)),-1,0)))</f>
        <v/>
      </c>
      <c r="CC26">
        <f>IF('06_ITEM_POLE_MODEL'!$E$84="ABSOLUTE SEMANTIC",0,IF(ISNUMBER(SEARCH($A26,'06_ITEM_POLE_MODEL'!$F$84)),1,IF(ISNUMBER(SEARCH($A26,'06_ITEM_POLE_MODEL'!$G$84)),-1,0)))</f>
        <v/>
      </c>
    </row>
    <row r="27">
      <c r="A27" t="inlineStr">
        <is>
          <t>Earth-Origin Soul</t>
        </is>
      </c>
      <c r="B27">
        <f>IF('06_ITEM_POLE_MODEL'!$E$5="ABSOLUTE SEMANTIC",0,IF(ISNUMBER(SEARCH($A27,'06_ITEM_POLE_MODEL'!$F$5)),1,IF(ISNUMBER(SEARCH($A27,'06_ITEM_POLE_MODEL'!$G$5)),-1,0)))</f>
        <v/>
      </c>
      <c r="C27">
        <f>IF('06_ITEM_POLE_MODEL'!$E$6="ABSOLUTE SEMANTIC",0,IF(ISNUMBER(SEARCH($A27,'06_ITEM_POLE_MODEL'!$F$6)),1,IF(ISNUMBER(SEARCH($A27,'06_ITEM_POLE_MODEL'!$G$6)),-1,0)))</f>
        <v/>
      </c>
      <c r="D27">
        <f>IF('06_ITEM_POLE_MODEL'!$E$7="ABSOLUTE SEMANTIC",0,IF(ISNUMBER(SEARCH($A27,'06_ITEM_POLE_MODEL'!$F$7)),1,IF(ISNUMBER(SEARCH($A27,'06_ITEM_POLE_MODEL'!$G$7)),-1,0)))</f>
        <v/>
      </c>
      <c r="E27">
        <f>IF('06_ITEM_POLE_MODEL'!$E$8="ABSOLUTE SEMANTIC",0,IF(ISNUMBER(SEARCH($A27,'06_ITEM_POLE_MODEL'!$F$8)),1,IF(ISNUMBER(SEARCH($A27,'06_ITEM_POLE_MODEL'!$G$8)),-1,0)))</f>
        <v/>
      </c>
      <c r="F27">
        <f>IF('06_ITEM_POLE_MODEL'!$E$9="ABSOLUTE SEMANTIC",0,IF(ISNUMBER(SEARCH($A27,'06_ITEM_POLE_MODEL'!$F$9)),1,IF(ISNUMBER(SEARCH($A27,'06_ITEM_POLE_MODEL'!$G$9)),-1,0)))</f>
        <v/>
      </c>
      <c r="G27">
        <f>IF('06_ITEM_POLE_MODEL'!$E$10="ABSOLUTE SEMANTIC",0,IF(ISNUMBER(SEARCH($A27,'06_ITEM_POLE_MODEL'!$F$10)),1,IF(ISNUMBER(SEARCH($A27,'06_ITEM_POLE_MODEL'!$G$10)),-1,0)))</f>
        <v/>
      </c>
      <c r="H27">
        <f>IF('06_ITEM_POLE_MODEL'!$E$11="ABSOLUTE SEMANTIC",0,IF(ISNUMBER(SEARCH($A27,'06_ITEM_POLE_MODEL'!$F$11)),1,IF(ISNUMBER(SEARCH($A27,'06_ITEM_POLE_MODEL'!$G$11)),-1,0)))</f>
        <v/>
      </c>
      <c r="I27">
        <f>IF('06_ITEM_POLE_MODEL'!$E$12="ABSOLUTE SEMANTIC",0,IF(ISNUMBER(SEARCH($A27,'06_ITEM_POLE_MODEL'!$F$12)),1,IF(ISNUMBER(SEARCH($A27,'06_ITEM_POLE_MODEL'!$G$12)),-1,0)))</f>
        <v/>
      </c>
      <c r="J27">
        <f>IF('06_ITEM_POLE_MODEL'!$E$13="ABSOLUTE SEMANTIC",0,IF(ISNUMBER(SEARCH($A27,'06_ITEM_POLE_MODEL'!$F$13)),1,IF(ISNUMBER(SEARCH($A27,'06_ITEM_POLE_MODEL'!$G$13)),-1,0)))</f>
        <v/>
      </c>
      <c r="K27">
        <f>IF('06_ITEM_POLE_MODEL'!$E$14="ABSOLUTE SEMANTIC",0,IF(ISNUMBER(SEARCH($A27,'06_ITEM_POLE_MODEL'!$F$14)),1,IF(ISNUMBER(SEARCH($A27,'06_ITEM_POLE_MODEL'!$G$14)),-1,0)))</f>
        <v/>
      </c>
      <c r="L27">
        <f>IF('06_ITEM_POLE_MODEL'!$E$15="ABSOLUTE SEMANTIC",0,IF(ISNUMBER(SEARCH($A27,'06_ITEM_POLE_MODEL'!$F$15)),1,IF(ISNUMBER(SEARCH($A27,'06_ITEM_POLE_MODEL'!$G$15)),-1,0)))</f>
        <v/>
      </c>
      <c r="M27">
        <f>IF('06_ITEM_POLE_MODEL'!$E$16="ABSOLUTE SEMANTIC",0,IF(ISNUMBER(SEARCH($A27,'06_ITEM_POLE_MODEL'!$F$16)),1,IF(ISNUMBER(SEARCH($A27,'06_ITEM_POLE_MODEL'!$G$16)),-1,0)))</f>
        <v/>
      </c>
      <c r="N27">
        <f>IF('06_ITEM_POLE_MODEL'!$E$17="ABSOLUTE SEMANTIC",0,IF(ISNUMBER(SEARCH($A27,'06_ITEM_POLE_MODEL'!$F$17)),1,IF(ISNUMBER(SEARCH($A27,'06_ITEM_POLE_MODEL'!$G$17)),-1,0)))</f>
        <v/>
      </c>
      <c r="O27">
        <f>IF('06_ITEM_POLE_MODEL'!$E$18="ABSOLUTE SEMANTIC",0,IF(ISNUMBER(SEARCH($A27,'06_ITEM_POLE_MODEL'!$F$18)),1,IF(ISNUMBER(SEARCH($A27,'06_ITEM_POLE_MODEL'!$G$18)),-1,0)))</f>
        <v/>
      </c>
      <c r="P27">
        <f>IF('06_ITEM_POLE_MODEL'!$E$19="ABSOLUTE SEMANTIC",0,IF(ISNUMBER(SEARCH($A27,'06_ITEM_POLE_MODEL'!$F$19)),1,IF(ISNUMBER(SEARCH($A27,'06_ITEM_POLE_MODEL'!$G$19)),-1,0)))</f>
        <v/>
      </c>
      <c r="Q27">
        <f>IF('06_ITEM_POLE_MODEL'!$E$20="ABSOLUTE SEMANTIC",0,IF(ISNUMBER(SEARCH($A27,'06_ITEM_POLE_MODEL'!$F$20)),1,IF(ISNUMBER(SEARCH($A27,'06_ITEM_POLE_MODEL'!$G$20)),-1,0)))</f>
        <v/>
      </c>
      <c r="R27">
        <f>IF('06_ITEM_POLE_MODEL'!$E$21="ABSOLUTE SEMANTIC",0,IF(ISNUMBER(SEARCH($A27,'06_ITEM_POLE_MODEL'!$F$21)),1,IF(ISNUMBER(SEARCH($A27,'06_ITEM_POLE_MODEL'!$G$21)),-1,0)))</f>
        <v/>
      </c>
      <c r="S27">
        <f>IF('06_ITEM_POLE_MODEL'!$E$22="ABSOLUTE SEMANTIC",0,IF(ISNUMBER(SEARCH($A27,'06_ITEM_POLE_MODEL'!$F$22)),1,IF(ISNUMBER(SEARCH($A27,'06_ITEM_POLE_MODEL'!$G$22)),-1,0)))</f>
        <v/>
      </c>
      <c r="T27">
        <f>IF('06_ITEM_POLE_MODEL'!$E$23="ABSOLUTE SEMANTIC",0,IF(ISNUMBER(SEARCH($A27,'06_ITEM_POLE_MODEL'!$F$23)),1,IF(ISNUMBER(SEARCH($A27,'06_ITEM_POLE_MODEL'!$G$23)),-1,0)))</f>
        <v/>
      </c>
      <c r="U27">
        <f>IF('06_ITEM_POLE_MODEL'!$E$24="ABSOLUTE SEMANTIC",0,IF(ISNUMBER(SEARCH($A27,'06_ITEM_POLE_MODEL'!$F$24)),1,IF(ISNUMBER(SEARCH($A27,'06_ITEM_POLE_MODEL'!$G$24)),-1,0)))</f>
        <v/>
      </c>
      <c r="V27">
        <f>IF('06_ITEM_POLE_MODEL'!$E$25="ABSOLUTE SEMANTIC",0,IF(ISNUMBER(SEARCH($A27,'06_ITEM_POLE_MODEL'!$F$25)),1,IF(ISNUMBER(SEARCH($A27,'06_ITEM_POLE_MODEL'!$G$25)),-1,0)))</f>
        <v/>
      </c>
      <c r="W27">
        <f>IF('06_ITEM_POLE_MODEL'!$E$26="ABSOLUTE SEMANTIC",0,IF(ISNUMBER(SEARCH($A27,'06_ITEM_POLE_MODEL'!$F$26)),1,IF(ISNUMBER(SEARCH($A27,'06_ITEM_POLE_MODEL'!$G$26)),-1,0)))</f>
        <v/>
      </c>
      <c r="X27">
        <f>IF('06_ITEM_POLE_MODEL'!$E$27="ABSOLUTE SEMANTIC",0,IF(ISNUMBER(SEARCH($A27,'06_ITEM_POLE_MODEL'!$F$27)),1,IF(ISNUMBER(SEARCH($A27,'06_ITEM_POLE_MODEL'!$G$27)),-1,0)))</f>
        <v/>
      </c>
      <c r="Y27">
        <f>IF('06_ITEM_POLE_MODEL'!$E$28="ABSOLUTE SEMANTIC",0,IF(ISNUMBER(SEARCH($A27,'06_ITEM_POLE_MODEL'!$F$28)),1,IF(ISNUMBER(SEARCH($A27,'06_ITEM_POLE_MODEL'!$G$28)),-1,0)))</f>
        <v/>
      </c>
      <c r="Z27">
        <f>IF('06_ITEM_POLE_MODEL'!$E$29="ABSOLUTE SEMANTIC",0,IF(ISNUMBER(SEARCH($A27,'06_ITEM_POLE_MODEL'!$F$29)),1,IF(ISNUMBER(SEARCH($A27,'06_ITEM_POLE_MODEL'!$G$29)),-1,0)))</f>
        <v/>
      </c>
      <c r="AA27">
        <f>IF('06_ITEM_POLE_MODEL'!$E$30="ABSOLUTE SEMANTIC",0,IF(ISNUMBER(SEARCH($A27,'06_ITEM_POLE_MODEL'!$F$30)),1,IF(ISNUMBER(SEARCH($A27,'06_ITEM_POLE_MODEL'!$G$30)),-1,0)))</f>
        <v/>
      </c>
      <c r="AB27">
        <f>IF('06_ITEM_POLE_MODEL'!$E$31="ABSOLUTE SEMANTIC",0,IF(ISNUMBER(SEARCH($A27,'06_ITEM_POLE_MODEL'!$F$31)),1,IF(ISNUMBER(SEARCH($A27,'06_ITEM_POLE_MODEL'!$G$31)),-1,0)))</f>
        <v/>
      </c>
      <c r="AC27">
        <f>IF('06_ITEM_POLE_MODEL'!$E$32="ABSOLUTE SEMANTIC",0,IF(ISNUMBER(SEARCH($A27,'06_ITEM_POLE_MODEL'!$F$32)),1,IF(ISNUMBER(SEARCH($A27,'06_ITEM_POLE_MODEL'!$G$32)),-1,0)))</f>
        <v/>
      </c>
      <c r="AD27">
        <f>IF('06_ITEM_POLE_MODEL'!$E$33="ABSOLUTE SEMANTIC",0,IF(ISNUMBER(SEARCH($A27,'06_ITEM_POLE_MODEL'!$F$33)),1,IF(ISNUMBER(SEARCH($A27,'06_ITEM_POLE_MODEL'!$G$33)),-1,0)))</f>
        <v/>
      </c>
      <c r="AE27">
        <f>IF('06_ITEM_POLE_MODEL'!$E$34="ABSOLUTE SEMANTIC",0,IF(ISNUMBER(SEARCH($A27,'06_ITEM_POLE_MODEL'!$F$34)),1,IF(ISNUMBER(SEARCH($A27,'06_ITEM_POLE_MODEL'!$G$34)),-1,0)))</f>
        <v/>
      </c>
      <c r="AF27">
        <f>IF('06_ITEM_POLE_MODEL'!$E$35="ABSOLUTE SEMANTIC",0,IF(ISNUMBER(SEARCH($A27,'06_ITEM_POLE_MODEL'!$F$35)),1,IF(ISNUMBER(SEARCH($A27,'06_ITEM_POLE_MODEL'!$G$35)),-1,0)))</f>
        <v/>
      </c>
      <c r="AG27">
        <f>IF('06_ITEM_POLE_MODEL'!$E$36="ABSOLUTE SEMANTIC",0,IF(ISNUMBER(SEARCH($A27,'06_ITEM_POLE_MODEL'!$F$36)),1,IF(ISNUMBER(SEARCH($A27,'06_ITEM_POLE_MODEL'!$G$36)),-1,0)))</f>
        <v/>
      </c>
      <c r="AH27">
        <f>IF('06_ITEM_POLE_MODEL'!$E$37="ABSOLUTE SEMANTIC",0,IF(ISNUMBER(SEARCH($A27,'06_ITEM_POLE_MODEL'!$F$37)),1,IF(ISNUMBER(SEARCH($A27,'06_ITEM_POLE_MODEL'!$G$37)),-1,0)))</f>
        <v/>
      </c>
      <c r="AI27">
        <f>IF('06_ITEM_POLE_MODEL'!$E$38="ABSOLUTE SEMANTIC",0,IF(ISNUMBER(SEARCH($A27,'06_ITEM_POLE_MODEL'!$F$38)),1,IF(ISNUMBER(SEARCH($A27,'06_ITEM_POLE_MODEL'!$G$38)),-1,0)))</f>
        <v/>
      </c>
      <c r="AJ27">
        <f>IF('06_ITEM_POLE_MODEL'!$E$39="ABSOLUTE SEMANTIC",0,IF(ISNUMBER(SEARCH($A27,'06_ITEM_POLE_MODEL'!$F$39)),1,IF(ISNUMBER(SEARCH($A27,'06_ITEM_POLE_MODEL'!$G$39)),-1,0)))</f>
        <v/>
      </c>
      <c r="AK27">
        <f>IF('06_ITEM_POLE_MODEL'!$E$40="ABSOLUTE SEMANTIC",0,IF(ISNUMBER(SEARCH($A27,'06_ITEM_POLE_MODEL'!$F$40)),1,IF(ISNUMBER(SEARCH($A27,'06_ITEM_POLE_MODEL'!$G$40)),-1,0)))</f>
        <v/>
      </c>
      <c r="AL27">
        <f>IF('06_ITEM_POLE_MODEL'!$E$41="ABSOLUTE SEMANTIC",0,IF(ISNUMBER(SEARCH($A27,'06_ITEM_POLE_MODEL'!$F$41)),1,IF(ISNUMBER(SEARCH($A27,'06_ITEM_POLE_MODEL'!$G$41)),-1,0)))</f>
        <v/>
      </c>
      <c r="AM27">
        <f>IF('06_ITEM_POLE_MODEL'!$E$42="ABSOLUTE SEMANTIC",0,IF(ISNUMBER(SEARCH($A27,'06_ITEM_POLE_MODEL'!$F$42)),1,IF(ISNUMBER(SEARCH($A27,'06_ITEM_POLE_MODEL'!$G$42)),-1,0)))</f>
        <v/>
      </c>
      <c r="AN27">
        <f>IF('06_ITEM_POLE_MODEL'!$E$43="ABSOLUTE SEMANTIC",0,IF(ISNUMBER(SEARCH($A27,'06_ITEM_POLE_MODEL'!$F$43)),1,IF(ISNUMBER(SEARCH($A27,'06_ITEM_POLE_MODEL'!$G$43)),-1,0)))</f>
        <v/>
      </c>
      <c r="AO27">
        <f>IF('06_ITEM_POLE_MODEL'!$E$44="ABSOLUTE SEMANTIC",0,IF(ISNUMBER(SEARCH($A27,'06_ITEM_POLE_MODEL'!$F$44)),1,IF(ISNUMBER(SEARCH($A27,'06_ITEM_POLE_MODEL'!$G$44)),-1,0)))</f>
        <v/>
      </c>
      <c r="AP27">
        <f>IF('06_ITEM_POLE_MODEL'!$E$45="ABSOLUTE SEMANTIC",0,IF(ISNUMBER(SEARCH($A27,'06_ITEM_POLE_MODEL'!$F$45)),1,IF(ISNUMBER(SEARCH($A27,'06_ITEM_POLE_MODEL'!$G$45)),-1,0)))</f>
        <v/>
      </c>
      <c r="AQ27">
        <f>IF('06_ITEM_POLE_MODEL'!$E$46="ABSOLUTE SEMANTIC",0,IF(ISNUMBER(SEARCH($A27,'06_ITEM_POLE_MODEL'!$F$46)),1,IF(ISNUMBER(SEARCH($A27,'06_ITEM_POLE_MODEL'!$G$46)),-1,0)))</f>
        <v/>
      </c>
      <c r="AR27">
        <f>IF('06_ITEM_POLE_MODEL'!$E$47="ABSOLUTE SEMANTIC",0,IF(ISNUMBER(SEARCH($A27,'06_ITEM_POLE_MODEL'!$F$47)),1,IF(ISNUMBER(SEARCH($A27,'06_ITEM_POLE_MODEL'!$G$47)),-1,0)))</f>
        <v/>
      </c>
      <c r="AS27">
        <f>IF('06_ITEM_POLE_MODEL'!$E$48="ABSOLUTE SEMANTIC",0,IF(ISNUMBER(SEARCH($A27,'06_ITEM_POLE_MODEL'!$F$48)),1,IF(ISNUMBER(SEARCH($A27,'06_ITEM_POLE_MODEL'!$G$48)),-1,0)))</f>
        <v/>
      </c>
      <c r="AT27">
        <f>IF('06_ITEM_POLE_MODEL'!$E$49="ABSOLUTE SEMANTIC",0,IF(ISNUMBER(SEARCH($A27,'06_ITEM_POLE_MODEL'!$F$49)),1,IF(ISNUMBER(SEARCH($A27,'06_ITEM_POLE_MODEL'!$G$49)),-1,0)))</f>
        <v/>
      </c>
      <c r="AU27">
        <f>IF('06_ITEM_POLE_MODEL'!$E$50="ABSOLUTE SEMANTIC",0,IF(ISNUMBER(SEARCH($A27,'06_ITEM_POLE_MODEL'!$F$50)),1,IF(ISNUMBER(SEARCH($A27,'06_ITEM_POLE_MODEL'!$G$50)),-1,0)))</f>
        <v/>
      </c>
      <c r="AV27">
        <f>IF('06_ITEM_POLE_MODEL'!$E$51="ABSOLUTE SEMANTIC",0,IF(ISNUMBER(SEARCH($A27,'06_ITEM_POLE_MODEL'!$F$51)),1,IF(ISNUMBER(SEARCH($A27,'06_ITEM_POLE_MODEL'!$G$51)),-1,0)))</f>
        <v/>
      </c>
      <c r="AW27">
        <f>IF('06_ITEM_POLE_MODEL'!$E$52="ABSOLUTE SEMANTIC",0,IF(ISNUMBER(SEARCH($A27,'06_ITEM_POLE_MODEL'!$F$52)),1,IF(ISNUMBER(SEARCH($A27,'06_ITEM_POLE_MODEL'!$G$52)),-1,0)))</f>
        <v/>
      </c>
      <c r="AX27">
        <f>IF('06_ITEM_POLE_MODEL'!$E$53="ABSOLUTE SEMANTIC",0,IF(ISNUMBER(SEARCH($A27,'06_ITEM_POLE_MODEL'!$F$53)),1,IF(ISNUMBER(SEARCH($A27,'06_ITEM_POLE_MODEL'!$G$53)),-1,0)))</f>
        <v/>
      </c>
      <c r="AY27">
        <f>IF('06_ITEM_POLE_MODEL'!$E$54="ABSOLUTE SEMANTIC",0,IF(ISNUMBER(SEARCH($A27,'06_ITEM_POLE_MODEL'!$F$54)),1,IF(ISNUMBER(SEARCH($A27,'06_ITEM_POLE_MODEL'!$G$54)),-1,0)))</f>
        <v/>
      </c>
      <c r="AZ27">
        <f>IF('06_ITEM_POLE_MODEL'!$E$55="ABSOLUTE SEMANTIC",0,IF(ISNUMBER(SEARCH($A27,'06_ITEM_POLE_MODEL'!$F$55)),1,IF(ISNUMBER(SEARCH($A27,'06_ITEM_POLE_MODEL'!$G$55)),-1,0)))</f>
        <v/>
      </c>
      <c r="BA27">
        <f>IF('06_ITEM_POLE_MODEL'!$E$56="ABSOLUTE SEMANTIC",0,IF(ISNUMBER(SEARCH($A27,'06_ITEM_POLE_MODEL'!$F$56)),1,IF(ISNUMBER(SEARCH($A27,'06_ITEM_POLE_MODEL'!$G$56)),-1,0)))</f>
        <v/>
      </c>
      <c r="BB27">
        <f>IF('06_ITEM_POLE_MODEL'!$E$57="ABSOLUTE SEMANTIC",0,IF(ISNUMBER(SEARCH($A27,'06_ITEM_POLE_MODEL'!$F$57)),1,IF(ISNUMBER(SEARCH($A27,'06_ITEM_POLE_MODEL'!$G$57)),-1,0)))</f>
        <v/>
      </c>
      <c r="BC27">
        <f>IF('06_ITEM_POLE_MODEL'!$E$58="ABSOLUTE SEMANTIC",0,IF(ISNUMBER(SEARCH($A27,'06_ITEM_POLE_MODEL'!$F$58)),1,IF(ISNUMBER(SEARCH($A27,'06_ITEM_POLE_MODEL'!$G$58)),-1,0)))</f>
        <v/>
      </c>
      <c r="BD27">
        <f>IF('06_ITEM_POLE_MODEL'!$E$59="ABSOLUTE SEMANTIC",0,IF(ISNUMBER(SEARCH($A27,'06_ITEM_POLE_MODEL'!$F$59)),1,IF(ISNUMBER(SEARCH($A27,'06_ITEM_POLE_MODEL'!$G$59)),-1,0)))</f>
        <v/>
      </c>
      <c r="BE27">
        <f>IF('06_ITEM_POLE_MODEL'!$E$60="ABSOLUTE SEMANTIC",0,IF(ISNUMBER(SEARCH($A27,'06_ITEM_POLE_MODEL'!$F$60)),1,IF(ISNUMBER(SEARCH($A27,'06_ITEM_POLE_MODEL'!$G$60)),-1,0)))</f>
        <v/>
      </c>
      <c r="BF27">
        <f>IF('06_ITEM_POLE_MODEL'!$E$61="ABSOLUTE SEMANTIC",0,IF(ISNUMBER(SEARCH($A27,'06_ITEM_POLE_MODEL'!$F$61)),1,IF(ISNUMBER(SEARCH($A27,'06_ITEM_POLE_MODEL'!$G$61)),-1,0)))</f>
        <v/>
      </c>
      <c r="BG27">
        <f>IF('06_ITEM_POLE_MODEL'!$E$62="ABSOLUTE SEMANTIC",0,IF(ISNUMBER(SEARCH($A27,'06_ITEM_POLE_MODEL'!$F$62)),1,IF(ISNUMBER(SEARCH($A27,'06_ITEM_POLE_MODEL'!$G$62)),-1,0)))</f>
        <v/>
      </c>
      <c r="BH27">
        <f>IF('06_ITEM_POLE_MODEL'!$E$63="ABSOLUTE SEMANTIC",0,IF(ISNUMBER(SEARCH($A27,'06_ITEM_POLE_MODEL'!$F$63)),1,IF(ISNUMBER(SEARCH($A27,'06_ITEM_POLE_MODEL'!$G$63)),-1,0)))</f>
        <v/>
      </c>
      <c r="BI27">
        <f>IF('06_ITEM_POLE_MODEL'!$E$64="ABSOLUTE SEMANTIC",0,IF(ISNUMBER(SEARCH($A27,'06_ITEM_POLE_MODEL'!$F$64)),1,IF(ISNUMBER(SEARCH($A27,'06_ITEM_POLE_MODEL'!$G$64)),-1,0)))</f>
        <v/>
      </c>
      <c r="BJ27">
        <f>IF('06_ITEM_POLE_MODEL'!$E$65="ABSOLUTE SEMANTIC",0,IF(ISNUMBER(SEARCH($A27,'06_ITEM_POLE_MODEL'!$F$65)),1,IF(ISNUMBER(SEARCH($A27,'06_ITEM_POLE_MODEL'!$G$65)),-1,0)))</f>
        <v/>
      </c>
      <c r="BK27">
        <f>IF('06_ITEM_POLE_MODEL'!$E$66="ABSOLUTE SEMANTIC",0,IF(ISNUMBER(SEARCH($A27,'06_ITEM_POLE_MODEL'!$F$66)),1,IF(ISNUMBER(SEARCH($A27,'06_ITEM_POLE_MODEL'!$G$66)),-1,0)))</f>
        <v/>
      </c>
      <c r="BL27">
        <f>IF('06_ITEM_POLE_MODEL'!$E$67="ABSOLUTE SEMANTIC",0,IF(ISNUMBER(SEARCH($A27,'06_ITEM_POLE_MODEL'!$F$67)),1,IF(ISNUMBER(SEARCH($A27,'06_ITEM_POLE_MODEL'!$G$67)),-1,0)))</f>
        <v/>
      </c>
      <c r="BM27">
        <f>IF('06_ITEM_POLE_MODEL'!$E$68="ABSOLUTE SEMANTIC",0,IF(ISNUMBER(SEARCH($A27,'06_ITEM_POLE_MODEL'!$F$68)),1,IF(ISNUMBER(SEARCH($A27,'06_ITEM_POLE_MODEL'!$G$68)),-1,0)))</f>
        <v/>
      </c>
      <c r="BN27">
        <f>IF('06_ITEM_POLE_MODEL'!$E$69="ABSOLUTE SEMANTIC",0,IF(ISNUMBER(SEARCH($A27,'06_ITEM_POLE_MODEL'!$F$69)),1,IF(ISNUMBER(SEARCH($A27,'06_ITEM_POLE_MODEL'!$G$69)),-1,0)))</f>
        <v/>
      </c>
      <c r="BO27">
        <f>IF('06_ITEM_POLE_MODEL'!$E$70="ABSOLUTE SEMANTIC",0,IF(ISNUMBER(SEARCH($A27,'06_ITEM_POLE_MODEL'!$F$70)),1,IF(ISNUMBER(SEARCH($A27,'06_ITEM_POLE_MODEL'!$G$70)),-1,0)))</f>
        <v/>
      </c>
      <c r="BP27">
        <f>IF('06_ITEM_POLE_MODEL'!$E$71="ABSOLUTE SEMANTIC",0,IF(ISNUMBER(SEARCH($A27,'06_ITEM_POLE_MODEL'!$F$71)),1,IF(ISNUMBER(SEARCH($A27,'06_ITEM_POLE_MODEL'!$G$71)),-1,0)))</f>
        <v/>
      </c>
      <c r="BQ27">
        <f>IF('06_ITEM_POLE_MODEL'!$E$72="ABSOLUTE SEMANTIC",0,IF(ISNUMBER(SEARCH($A27,'06_ITEM_POLE_MODEL'!$F$72)),1,IF(ISNUMBER(SEARCH($A27,'06_ITEM_POLE_MODEL'!$G$72)),-1,0)))</f>
        <v/>
      </c>
      <c r="BR27">
        <f>IF('06_ITEM_POLE_MODEL'!$E$73="ABSOLUTE SEMANTIC",0,IF(ISNUMBER(SEARCH($A27,'06_ITEM_POLE_MODEL'!$F$73)),1,IF(ISNUMBER(SEARCH($A27,'06_ITEM_POLE_MODEL'!$G$73)),-1,0)))</f>
        <v/>
      </c>
      <c r="BS27">
        <f>IF('06_ITEM_POLE_MODEL'!$E$74="ABSOLUTE SEMANTIC",0,IF(ISNUMBER(SEARCH($A27,'06_ITEM_POLE_MODEL'!$F$74)),1,IF(ISNUMBER(SEARCH($A27,'06_ITEM_POLE_MODEL'!$G$74)),-1,0)))</f>
        <v/>
      </c>
      <c r="BT27">
        <f>IF('06_ITEM_POLE_MODEL'!$E$75="ABSOLUTE SEMANTIC",0,IF(ISNUMBER(SEARCH($A27,'06_ITEM_POLE_MODEL'!$F$75)),1,IF(ISNUMBER(SEARCH($A27,'06_ITEM_POLE_MODEL'!$G$75)),-1,0)))</f>
        <v/>
      </c>
      <c r="BU27">
        <f>IF('06_ITEM_POLE_MODEL'!$E$76="ABSOLUTE SEMANTIC",0,IF(ISNUMBER(SEARCH($A27,'06_ITEM_POLE_MODEL'!$F$76)),1,IF(ISNUMBER(SEARCH($A27,'06_ITEM_POLE_MODEL'!$G$76)),-1,0)))</f>
        <v/>
      </c>
      <c r="BV27">
        <f>IF('06_ITEM_POLE_MODEL'!$E$77="ABSOLUTE SEMANTIC",0,IF(ISNUMBER(SEARCH($A27,'06_ITEM_POLE_MODEL'!$F$77)),1,IF(ISNUMBER(SEARCH($A27,'06_ITEM_POLE_MODEL'!$G$77)),-1,0)))</f>
        <v/>
      </c>
      <c r="BW27">
        <f>IF('06_ITEM_POLE_MODEL'!$E$78="ABSOLUTE SEMANTIC",0,IF(ISNUMBER(SEARCH($A27,'06_ITEM_POLE_MODEL'!$F$78)),1,IF(ISNUMBER(SEARCH($A27,'06_ITEM_POLE_MODEL'!$G$78)),-1,0)))</f>
        <v/>
      </c>
      <c r="BX27">
        <f>IF('06_ITEM_POLE_MODEL'!$E$79="ABSOLUTE SEMANTIC",0,IF(ISNUMBER(SEARCH($A27,'06_ITEM_POLE_MODEL'!$F$79)),1,IF(ISNUMBER(SEARCH($A27,'06_ITEM_POLE_MODEL'!$G$79)),-1,0)))</f>
        <v/>
      </c>
      <c r="BY27">
        <f>IF('06_ITEM_POLE_MODEL'!$E$80="ABSOLUTE SEMANTIC",0,IF(ISNUMBER(SEARCH($A27,'06_ITEM_POLE_MODEL'!$F$80)),1,IF(ISNUMBER(SEARCH($A27,'06_ITEM_POLE_MODEL'!$G$80)),-1,0)))</f>
        <v/>
      </c>
      <c r="BZ27">
        <f>IF('06_ITEM_POLE_MODEL'!$E$81="ABSOLUTE SEMANTIC",0,IF(ISNUMBER(SEARCH($A27,'06_ITEM_POLE_MODEL'!$F$81)),1,IF(ISNUMBER(SEARCH($A27,'06_ITEM_POLE_MODEL'!$G$81)),-1,0)))</f>
        <v/>
      </c>
      <c r="CA27">
        <f>IF('06_ITEM_POLE_MODEL'!$E$82="ABSOLUTE SEMANTIC",0,IF(ISNUMBER(SEARCH($A27,'06_ITEM_POLE_MODEL'!$F$82)),1,IF(ISNUMBER(SEARCH($A27,'06_ITEM_POLE_MODEL'!$G$82)),-1,0)))</f>
        <v/>
      </c>
      <c r="CB27">
        <f>IF('06_ITEM_POLE_MODEL'!$E$83="ABSOLUTE SEMANTIC",0,IF(ISNUMBER(SEARCH($A27,'06_ITEM_POLE_MODEL'!$F$83)),1,IF(ISNUMBER(SEARCH($A27,'06_ITEM_POLE_MODEL'!$G$83)),-1,0)))</f>
        <v/>
      </c>
      <c r="CC27">
        <f>IF('06_ITEM_POLE_MODEL'!$E$84="ABSOLUTE SEMANTIC",0,IF(ISNUMBER(SEARCH($A27,'06_ITEM_POLE_MODEL'!$F$84)),1,IF(ISNUMBER(SEARCH($A27,'06_ITEM_POLE_MODEL'!$G$84)),-1,0)))</f>
        <v/>
      </c>
    </row>
  </sheetData>
  <mergeCells count="1">
    <mergeCell ref="A1:C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Q8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</cols>
  <sheetData>
    <row r="1" ht="30" customHeight="1">
      <c r="A1" s="1" t="inlineStr">
        <is>
          <t>Item × Feature Evidence Mass</t>
        </is>
      </c>
    </row>
    <row r="2" ht="34" customHeight="1">
      <c r="A2" s="29" t="inlineStr">
        <is>
          <t>Mass determines how much each frozen feature contributes to item-confidence aggregation. Absolute items use |pole coefficient|; comparative items multiply |coefficient| by target-centroid separation on that feature.</t>
        </is>
      </c>
    </row>
    <row r="3"/>
    <row r="4" ht="32" customHeight="1">
      <c r="A4" s="30" t="inlineStr">
        <is>
          <t>Slot</t>
        </is>
      </c>
      <c r="B4" s="30" t="inlineStr">
        <is>
          <t>Mode</t>
        </is>
      </c>
      <c r="C4" s="30" t="inlineStr">
        <is>
          <t>D01</t>
        </is>
      </c>
      <c r="D4" s="30" t="inlineStr">
        <is>
          <t>D02</t>
        </is>
      </c>
      <c r="E4" s="30" t="inlineStr">
        <is>
          <t>D03</t>
        </is>
      </c>
      <c r="F4" s="30" t="inlineStr">
        <is>
          <t>D04</t>
        </is>
      </c>
      <c r="G4" s="30" t="inlineStr">
        <is>
          <t>D05</t>
        </is>
      </c>
      <c r="H4" s="30" t="inlineStr">
        <is>
          <t>D06</t>
        </is>
      </c>
      <c r="I4" s="30" t="inlineStr">
        <is>
          <t>D07</t>
        </is>
      </c>
      <c r="J4" s="30" t="inlineStr">
        <is>
          <t>D08</t>
        </is>
      </c>
      <c r="K4" s="30" t="inlineStr">
        <is>
          <t>D09</t>
        </is>
      </c>
      <c r="L4" s="30" t="inlineStr">
        <is>
          <t>D10</t>
        </is>
      </c>
      <c r="M4" s="30" t="inlineStr">
        <is>
          <t>D11</t>
        </is>
      </c>
      <c r="N4" s="30" t="inlineStr">
        <is>
          <t>D12</t>
        </is>
      </c>
      <c r="O4" s="30" t="inlineStr">
        <is>
          <t>D13</t>
        </is>
      </c>
      <c r="P4" s="30" t="inlineStr">
        <is>
          <t>D14</t>
        </is>
      </c>
      <c r="Q4" s="30" t="inlineStr">
        <is>
          <t>D15</t>
        </is>
      </c>
      <c r="R4" s="30" t="inlineStr">
        <is>
          <t>D16</t>
        </is>
      </c>
      <c r="S4" s="30" t="inlineStr">
        <is>
          <t>D17</t>
        </is>
      </c>
      <c r="T4" s="30" t="inlineStr">
        <is>
          <t>D18</t>
        </is>
      </c>
      <c r="U4" s="30" t="inlineStr">
        <is>
          <t>D19</t>
        </is>
      </c>
      <c r="V4" s="30" t="inlineStr">
        <is>
          <t>D20</t>
        </is>
      </c>
      <c r="W4" s="30" t="inlineStr">
        <is>
          <t>D21</t>
        </is>
      </c>
      <c r="X4" s="30" t="inlineStr">
        <is>
          <t>D22</t>
        </is>
      </c>
      <c r="Y4" s="30" t="inlineStr">
        <is>
          <t>M01</t>
        </is>
      </c>
      <c r="Z4" s="30" t="inlineStr">
        <is>
          <t>M02</t>
        </is>
      </c>
      <c r="AA4" s="30" t="inlineStr">
        <is>
          <t>M03</t>
        </is>
      </c>
      <c r="AB4" s="30" t="inlineStr">
        <is>
          <t>M04</t>
        </is>
      </c>
      <c r="AC4" s="30" t="inlineStr">
        <is>
          <t>M05</t>
        </is>
      </c>
      <c r="AD4" s="30" t="inlineStr">
        <is>
          <t>M06</t>
        </is>
      </c>
      <c r="AE4" s="30" t="inlineStr">
        <is>
          <t>M07</t>
        </is>
      </c>
      <c r="AF4" s="30" t="inlineStr">
        <is>
          <t>M08</t>
        </is>
      </c>
      <c r="AG4" s="30" t="inlineStr">
        <is>
          <t>M09</t>
        </is>
      </c>
      <c r="AH4" s="30" t="inlineStr">
        <is>
          <t>M10</t>
        </is>
      </c>
      <c r="AI4" s="30" t="inlineStr">
        <is>
          <t>M11</t>
        </is>
      </c>
      <c r="AJ4" s="30" t="inlineStr">
        <is>
          <t>M12</t>
        </is>
      </c>
      <c r="AK4" s="30" t="inlineStr">
        <is>
          <t>M13</t>
        </is>
      </c>
      <c r="AL4" s="30" t="inlineStr">
        <is>
          <t>M14</t>
        </is>
      </c>
      <c r="AM4" s="30" t="inlineStr">
        <is>
          <t>M15</t>
        </is>
      </c>
      <c r="AN4" s="30" t="inlineStr">
        <is>
          <t>M16</t>
        </is>
      </c>
      <c r="AO4" s="30" t="inlineStr">
        <is>
          <t>M17</t>
        </is>
      </c>
      <c r="AP4" s="30" t="inlineStr">
        <is>
          <t>M18</t>
        </is>
      </c>
      <c r="AQ4" s="30" t="inlineStr">
        <is>
          <t>M19</t>
        </is>
      </c>
    </row>
    <row r="5" ht="36" customHeight="1">
      <c r="A5" s="34">
        <f>'06_ITEM_POLE_MODEL'!A5</f>
        <v/>
      </c>
      <c r="B5" s="34">
        <f>'06_ITEM_POLE_MODEL'!E5</f>
        <v/>
      </c>
      <c r="C5" s="34">
        <f>IF($B5="ABSOLUTE SEMANTIC",ABS('06_ITEM_POLE_MODEL'!L5),ABS('06_ITEM_POLE_MODEL'!L5)*ABS(SUMPRODUCT(--('93_TARGET_MEMBERSHIP'!B$5:B$27=1),'05_FEATURE_MODEL'!D$5:D$27)/MAX(1,COUNTIF('93_TARGET_MEMBERSHIP'!B$5:B$27,1))-SUMPRODUCT(--('93_TARGET_MEMBERSHIP'!B$5:B$27=-1),'05_FEATURE_MODEL'!D$5:D$27)/MAX(1,COUNTIF('93_TARGET_MEMBERSHIP'!B$5:B$27,-1))))</f>
        <v/>
      </c>
      <c r="D5" s="34">
        <f>IF($B5="ABSOLUTE SEMANTIC",ABS('06_ITEM_POLE_MODEL'!M5),ABS('06_ITEM_POLE_MODEL'!M5)*ABS(SUMPRODUCT(--('93_TARGET_MEMBERSHIP'!B$5:B$27=1),'05_FEATURE_MODEL'!E$5:E$27)/MAX(1,COUNTIF('93_TARGET_MEMBERSHIP'!B$5:B$27,1))-SUMPRODUCT(--('93_TARGET_MEMBERSHIP'!B$5:B$27=-1),'05_FEATURE_MODEL'!E$5:E$27)/MAX(1,COUNTIF('93_TARGET_MEMBERSHIP'!B$5:B$27,-1))))</f>
        <v/>
      </c>
      <c r="E5" s="34">
        <f>IF($B5="ABSOLUTE SEMANTIC",ABS('06_ITEM_POLE_MODEL'!N5),ABS('06_ITEM_POLE_MODEL'!N5)*ABS(SUMPRODUCT(--('93_TARGET_MEMBERSHIP'!B$5:B$27=1),'05_FEATURE_MODEL'!F$5:F$27)/MAX(1,COUNTIF('93_TARGET_MEMBERSHIP'!B$5:B$27,1))-SUMPRODUCT(--('93_TARGET_MEMBERSHIP'!B$5:B$27=-1),'05_FEATURE_MODEL'!F$5:F$27)/MAX(1,COUNTIF('93_TARGET_MEMBERSHIP'!B$5:B$27,-1))))</f>
        <v/>
      </c>
      <c r="F5" s="34">
        <f>IF($B5="ABSOLUTE SEMANTIC",ABS('06_ITEM_POLE_MODEL'!O5),ABS('06_ITEM_POLE_MODEL'!O5)*ABS(SUMPRODUCT(--('93_TARGET_MEMBERSHIP'!B$5:B$27=1),'05_FEATURE_MODEL'!G$5:G$27)/MAX(1,COUNTIF('93_TARGET_MEMBERSHIP'!B$5:B$27,1))-SUMPRODUCT(--('93_TARGET_MEMBERSHIP'!B$5:B$27=-1),'05_FEATURE_MODEL'!G$5:G$27)/MAX(1,COUNTIF('93_TARGET_MEMBERSHIP'!B$5:B$27,-1))))</f>
        <v/>
      </c>
      <c r="G5" s="34">
        <f>IF($B5="ABSOLUTE SEMANTIC",ABS('06_ITEM_POLE_MODEL'!P5),ABS('06_ITEM_POLE_MODEL'!P5)*ABS(SUMPRODUCT(--('93_TARGET_MEMBERSHIP'!B$5:B$27=1),'05_FEATURE_MODEL'!H$5:H$27)/MAX(1,COUNTIF('93_TARGET_MEMBERSHIP'!B$5:B$27,1))-SUMPRODUCT(--('93_TARGET_MEMBERSHIP'!B$5:B$27=-1),'05_FEATURE_MODEL'!H$5:H$27)/MAX(1,COUNTIF('93_TARGET_MEMBERSHIP'!B$5:B$27,-1))))</f>
        <v/>
      </c>
      <c r="H5" s="34">
        <f>IF($B5="ABSOLUTE SEMANTIC",ABS('06_ITEM_POLE_MODEL'!Q5),ABS('06_ITEM_POLE_MODEL'!Q5)*ABS(SUMPRODUCT(--('93_TARGET_MEMBERSHIP'!B$5:B$27=1),'05_FEATURE_MODEL'!I$5:I$27)/MAX(1,COUNTIF('93_TARGET_MEMBERSHIP'!B$5:B$27,1))-SUMPRODUCT(--('93_TARGET_MEMBERSHIP'!B$5:B$27=-1),'05_FEATURE_MODEL'!I$5:I$27)/MAX(1,COUNTIF('93_TARGET_MEMBERSHIP'!B$5:B$27,-1))))</f>
        <v/>
      </c>
      <c r="I5" s="34">
        <f>IF($B5="ABSOLUTE SEMANTIC",ABS('06_ITEM_POLE_MODEL'!R5),ABS('06_ITEM_POLE_MODEL'!R5)*ABS(SUMPRODUCT(--('93_TARGET_MEMBERSHIP'!B$5:B$27=1),'05_FEATURE_MODEL'!J$5:J$27)/MAX(1,COUNTIF('93_TARGET_MEMBERSHIP'!B$5:B$27,1))-SUMPRODUCT(--('93_TARGET_MEMBERSHIP'!B$5:B$27=-1),'05_FEATURE_MODEL'!J$5:J$27)/MAX(1,COUNTIF('93_TARGET_MEMBERSHIP'!B$5:B$27,-1))))</f>
        <v/>
      </c>
      <c r="J5" s="34">
        <f>IF($B5="ABSOLUTE SEMANTIC",ABS('06_ITEM_POLE_MODEL'!S5),ABS('06_ITEM_POLE_MODEL'!S5)*ABS(SUMPRODUCT(--('93_TARGET_MEMBERSHIP'!B$5:B$27=1),'05_FEATURE_MODEL'!K$5:K$27)/MAX(1,COUNTIF('93_TARGET_MEMBERSHIP'!B$5:B$27,1))-SUMPRODUCT(--('93_TARGET_MEMBERSHIP'!B$5:B$27=-1),'05_FEATURE_MODEL'!K$5:K$27)/MAX(1,COUNTIF('93_TARGET_MEMBERSHIP'!B$5:B$27,-1))))</f>
        <v/>
      </c>
      <c r="K5" s="34">
        <f>IF($B5="ABSOLUTE SEMANTIC",ABS('06_ITEM_POLE_MODEL'!T5),ABS('06_ITEM_POLE_MODEL'!T5)*ABS(SUMPRODUCT(--('93_TARGET_MEMBERSHIP'!B$5:B$27=1),'05_FEATURE_MODEL'!L$5:L$27)/MAX(1,COUNTIF('93_TARGET_MEMBERSHIP'!B$5:B$27,1))-SUMPRODUCT(--('93_TARGET_MEMBERSHIP'!B$5:B$27=-1),'05_FEATURE_MODEL'!L$5:L$27)/MAX(1,COUNTIF('93_TARGET_MEMBERSHIP'!B$5:B$27,-1))))</f>
        <v/>
      </c>
      <c r="L5" s="34">
        <f>IF($B5="ABSOLUTE SEMANTIC",ABS('06_ITEM_POLE_MODEL'!U5),ABS('06_ITEM_POLE_MODEL'!U5)*ABS(SUMPRODUCT(--('93_TARGET_MEMBERSHIP'!B$5:B$27=1),'05_FEATURE_MODEL'!M$5:M$27)/MAX(1,COUNTIF('93_TARGET_MEMBERSHIP'!B$5:B$27,1))-SUMPRODUCT(--('93_TARGET_MEMBERSHIP'!B$5:B$27=-1),'05_FEATURE_MODEL'!M$5:M$27)/MAX(1,COUNTIF('93_TARGET_MEMBERSHIP'!B$5:B$27,-1))))</f>
        <v/>
      </c>
      <c r="M5" s="34">
        <f>IF($B5="ABSOLUTE SEMANTIC",ABS('06_ITEM_POLE_MODEL'!V5),ABS('06_ITEM_POLE_MODEL'!V5)*ABS(SUMPRODUCT(--('93_TARGET_MEMBERSHIP'!B$5:B$27=1),'05_FEATURE_MODEL'!N$5:N$27)/MAX(1,COUNTIF('93_TARGET_MEMBERSHIP'!B$5:B$27,1))-SUMPRODUCT(--('93_TARGET_MEMBERSHIP'!B$5:B$27=-1),'05_FEATURE_MODEL'!N$5:N$27)/MAX(1,COUNTIF('93_TARGET_MEMBERSHIP'!B$5:B$27,-1))))</f>
        <v/>
      </c>
      <c r="N5" s="34">
        <f>IF($B5="ABSOLUTE SEMANTIC",ABS('06_ITEM_POLE_MODEL'!W5),ABS('06_ITEM_POLE_MODEL'!W5)*ABS(SUMPRODUCT(--('93_TARGET_MEMBERSHIP'!B$5:B$27=1),'05_FEATURE_MODEL'!O$5:O$27)/MAX(1,COUNTIF('93_TARGET_MEMBERSHIP'!B$5:B$27,1))-SUMPRODUCT(--('93_TARGET_MEMBERSHIP'!B$5:B$27=-1),'05_FEATURE_MODEL'!O$5:O$27)/MAX(1,COUNTIF('93_TARGET_MEMBERSHIP'!B$5:B$27,-1))))</f>
        <v/>
      </c>
      <c r="O5" s="34">
        <f>IF($B5="ABSOLUTE SEMANTIC",ABS('06_ITEM_POLE_MODEL'!X5),ABS('06_ITEM_POLE_MODEL'!X5)*ABS(SUMPRODUCT(--('93_TARGET_MEMBERSHIP'!B$5:B$27=1),'05_FEATURE_MODEL'!P$5:P$27)/MAX(1,COUNTIF('93_TARGET_MEMBERSHIP'!B$5:B$27,1))-SUMPRODUCT(--('93_TARGET_MEMBERSHIP'!B$5:B$27=-1),'05_FEATURE_MODEL'!P$5:P$27)/MAX(1,COUNTIF('93_TARGET_MEMBERSHIP'!B$5:B$27,-1))))</f>
        <v/>
      </c>
      <c r="P5" s="34">
        <f>IF($B5="ABSOLUTE SEMANTIC",ABS('06_ITEM_POLE_MODEL'!Y5),ABS('06_ITEM_POLE_MODEL'!Y5)*ABS(SUMPRODUCT(--('93_TARGET_MEMBERSHIP'!B$5:B$27=1),'05_FEATURE_MODEL'!Q$5:Q$27)/MAX(1,COUNTIF('93_TARGET_MEMBERSHIP'!B$5:B$27,1))-SUMPRODUCT(--('93_TARGET_MEMBERSHIP'!B$5:B$27=-1),'05_FEATURE_MODEL'!Q$5:Q$27)/MAX(1,COUNTIF('93_TARGET_MEMBERSHIP'!B$5:B$27,-1))))</f>
        <v/>
      </c>
      <c r="Q5" s="34">
        <f>IF($B5="ABSOLUTE SEMANTIC",ABS('06_ITEM_POLE_MODEL'!Z5),ABS('06_ITEM_POLE_MODEL'!Z5)*ABS(SUMPRODUCT(--('93_TARGET_MEMBERSHIP'!B$5:B$27=1),'05_FEATURE_MODEL'!R$5:R$27)/MAX(1,COUNTIF('93_TARGET_MEMBERSHIP'!B$5:B$27,1))-SUMPRODUCT(--('93_TARGET_MEMBERSHIP'!B$5:B$27=-1),'05_FEATURE_MODEL'!R$5:R$27)/MAX(1,COUNTIF('93_TARGET_MEMBERSHIP'!B$5:B$27,-1))))</f>
        <v/>
      </c>
      <c r="R5" s="34">
        <f>IF($B5="ABSOLUTE SEMANTIC",ABS('06_ITEM_POLE_MODEL'!AA5),ABS('06_ITEM_POLE_MODEL'!AA5)*ABS(SUMPRODUCT(--('93_TARGET_MEMBERSHIP'!B$5:B$27=1),'05_FEATURE_MODEL'!S$5:S$27)/MAX(1,COUNTIF('93_TARGET_MEMBERSHIP'!B$5:B$27,1))-SUMPRODUCT(--('93_TARGET_MEMBERSHIP'!B$5:B$27=-1),'05_FEATURE_MODEL'!S$5:S$27)/MAX(1,COUNTIF('93_TARGET_MEMBERSHIP'!B$5:B$27,-1))))</f>
        <v/>
      </c>
      <c r="S5" s="34">
        <f>IF($B5="ABSOLUTE SEMANTIC",ABS('06_ITEM_POLE_MODEL'!AB5),ABS('06_ITEM_POLE_MODEL'!AB5)*ABS(SUMPRODUCT(--('93_TARGET_MEMBERSHIP'!B$5:B$27=1),'05_FEATURE_MODEL'!T$5:T$27)/MAX(1,COUNTIF('93_TARGET_MEMBERSHIP'!B$5:B$27,1))-SUMPRODUCT(--('93_TARGET_MEMBERSHIP'!B$5:B$27=-1),'05_FEATURE_MODEL'!T$5:T$27)/MAX(1,COUNTIF('93_TARGET_MEMBERSHIP'!B$5:B$27,-1))))</f>
        <v/>
      </c>
      <c r="T5" s="34">
        <f>IF($B5="ABSOLUTE SEMANTIC",ABS('06_ITEM_POLE_MODEL'!AC5),ABS('06_ITEM_POLE_MODEL'!AC5)*ABS(SUMPRODUCT(--('93_TARGET_MEMBERSHIP'!B$5:B$27=1),'05_FEATURE_MODEL'!U$5:U$27)/MAX(1,COUNTIF('93_TARGET_MEMBERSHIP'!B$5:B$27,1))-SUMPRODUCT(--('93_TARGET_MEMBERSHIP'!B$5:B$27=-1),'05_FEATURE_MODEL'!U$5:U$27)/MAX(1,COUNTIF('93_TARGET_MEMBERSHIP'!B$5:B$27,-1))))</f>
        <v/>
      </c>
      <c r="U5" s="34">
        <f>IF($B5="ABSOLUTE SEMANTIC",ABS('06_ITEM_POLE_MODEL'!AD5),ABS('06_ITEM_POLE_MODEL'!AD5)*ABS(SUMPRODUCT(--('93_TARGET_MEMBERSHIP'!B$5:B$27=1),'05_FEATURE_MODEL'!V$5:V$27)/MAX(1,COUNTIF('93_TARGET_MEMBERSHIP'!B$5:B$27,1))-SUMPRODUCT(--('93_TARGET_MEMBERSHIP'!B$5:B$27=-1),'05_FEATURE_MODEL'!V$5:V$27)/MAX(1,COUNTIF('93_TARGET_MEMBERSHIP'!B$5:B$27,-1))))</f>
        <v/>
      </c>
      <c r="V5" s="34">
        <f>IF($B5="ABSOLUTE SEMANTIC",ABS('06_ITEM_POLE_MODEL'!AE5),ABS('06_ITEM_POLE_MODEL'!AE5)*ABS(SUMPRODUCT(--('93_TARGET_MEMBERSHIP'!B$5:B$27=1),'05_FEATURE_MODEL'!W$5:W$27)/MAX(1,COUNTIF('93_TARGET_MEMBERSHIP'!B$5:B$27,1))-SUMPRODUCT(--('93_TARGET_MEMBERSHIP'!B$5:B$27=-1),'05_FEATURE_MODEL'!W$5:W$27)/MAX(1,COUNTIF('93_TARGET_MEMBERSHIP'!B$5:B$27,-1))))</f>
        <v/>
      </c>
      <c r="W5" s="34">
        <f>IF($B5="ABSOLUTE SEMANTIC",ABS('06_ITEM_POLE_MODEL'!AF5),ABS('06_ITEM_POLE_MODEL'!AF5)*ABS(SUMPRODUCT(--('93_TARGET_MEMBERSHIP'!B$5:B$27=1),'05_FEATURE_MODEL'!X$5:X$27)/MAX(1,COUNTIF('93_TARGET_MEMBERSHIP'!B$5:B$27,1))-SUMPRODUCT(--('93_TARGET_MEMBERSHIP'!B$5:B$27=-1),'05_FEATURE_MODEL'!X$5:X$27)/MAX(1,COUNTIF('93_TARGET_MEMBERSHIP'!B$5:B$27,-1))))</f>
        <v/>
      </c>
      <c r="X5" s="34">
        <f>IF($B5="ABSOLUTE SEMANTIC",ABS('06_ITEM_POLE_MODEL'!AG5),ABS('06_ITEM_POLE_MODEL'!AG5)*ABS(SUMPRODUCT(--('93_TARGET_MEMBERSHIP'!B$5:B$27=1),'05_FEATURE_MODEL'!Y$5:Y$27)/MAX(1,COUNTIF('93_TARGET_MEMBERSHIP'!B$5:B$27,1))-SUMPRODUCT(--('93_TARGET_MEMBERSHIP'!B$5:B$27=-1),'05_FEATURE_MODEL'!Y$5:Y$27)/MAX(1,COUNTIF('93_TARGET_MEMBERSHIP'!B$5:B$27,-1))))</f>
        <v/>
      </c>
      <c r="Y5" s="34">
        <f>IF($B5="ABSOLUTE SEMANTIC",ABS('06_ITEM_POLE_MODEL'!AH5),ABS('06_ITEM_POLE_MODEL'!AH5)*ABS(SUMPRODUCT(--('93_TARGET_MEMBERSHIP'!B$5:B$27=1),'05_FEATURE_MODEL'!Z$5:Z$27)/MAX(1,COUNTIF('93_TARGET_MEMBERSHIP'!B$5:B$27,1))-SUMPRODUCT(--('93_TARGET_MEMBERSHIP'!B$5:B$27=-1),'05_FEATURE_MODEL'!Z$5:Z$27)/MAX(1,COUNTIF('93_TARGET_MEMBERSHIP'!B$5:B$27,-1))))</f>
        <v/>
      </c>
      <c r="Z5" s="34">
        <f>IF($B5="ABSOLUTE SEMANTIC",ABS('06_ITEM_POLE_MODEL'!AI5),ABS('06_ITEM_POLE_MODEL'!AI5)*ABS(SUMPRODUCT(--('93_TARGET_MEMBERSHIP'!B$5:B$27=1),'05_FEATURE_MODEL'!AA$5:AA$27)/MAX(1,COUNTIF('93_TARGET_MEMBERSHIP'!B$5:B$27,1))-SUMPRODUCT(--('93_TARGET_MEMBERSHIP'!B$5:B$27=-1),'05_FEATURE_MODEL'!AA$5:AA$27)/MAX(1,COUNTIF('93_TARGET_MEMBERSHIP'!B$5:B$27,-1))))</f>
        <v/>
      </c>
      <c r="AA5" s="34">
        <f>IF($B5="ABSOLUTE SEMANTIC",ABS('06_ITEM_POLE_MODEL'!AJ5),ABS('06_ITEM_POLE_MODEL'!AJ5)*ABS(SUMPRODUCT(--('93_TARGET_MEMBERSHIP'!B$5:B$27=1),'05_FEATURE_MODEL'!AB$5:AB$27)/MAX(1,COUNTIF('93_TARGET_MEMBERSHIP'!B$5:B$27,1))-SUMPRODUCT(--('93_TARGET_MEMBERSHIP'!B$5:B$27=-1),'05_FEATURE_MODEL'!AB$5:AB$27)/MAX(1,COUNTIF('93_TARGET_MEMBERSHIP'!B$5:B$27,-1))))</f>
        <v/>
      </c>
      <c r="AB5" s="34">
        <f>IF($B5="ABSOLUTE SEMANTIC",ABS('06_ITEM_POLE_MODEL'!AK5),ABS('06_ITEM_POLE_MODEL'!AK5)*ABS(SUMPRODUCT(--('93_TARGET_MEMBERSHIP'!B$5:B$27=1),'05_FEATURE_MODEL'!AC$5:AC$27)/MAX(1,COUNTIF('93_TARGET_MEMBERSHIP'!B$5:B$27,1))-SUMPRODUCT(--('93_TARGET_MEMBERSHIP'!B$5:B$27=-1),'05_FEATURE_MODEL'!AC$5:AC$27)/MAX(1,COUNTIF('93_TARGET_MEMBERSHIP'!B$5:B$27,-1))))</f>
        <v/>
      </c>
      <c r="AC5" s="34">
        <f>IF($B5="ABSOLUTE SEMANTIC",ABS('06_ITEM_POLE_MODEL'!AL5),ABS('06_ITEM_POLE_MODEL'!AL5)*ABS(SUMPRODUCT(--('93_TARGET_MEMBERSHIP'!B$5:B$27=1),'05_FEATURE_MODEL'!AD$5:AD$27)/MAX(1,COUNTIF('93_TARGET_MEMBERSHIP'!B$5:B$27,1))-SUMPRODUCT(--('93_TARGET_MEMBERSHIP'!B$5:B$27=-1),'05_FEATURE_MODEL'!AD$5:AD$27)/MAX(1,COUNTIF('93_TARGET_MEMBERSHIP'!B$5:B$27,-1))))</f>
        <v/>
      </c>
      <c r="AD5" s="34">
        <f>IF($B5="ABSOLUTE SEMANTIC",ABS('06_ITEM_POLE_MODEL'!AM5),ABS('06_ITEM_POLE_MODEL'!AM5)*ABS(SUMPRODUCT(--('93_TARGET_MEMBERSHIP'!B$5:B$27=1),'05_FEATURE_MODEL'!AE$5:AE$27)/MAX(1,COUNTIF('93_TARGET_MEMBERSHIP'!B$5:B$27,1))-SUMPRODUCT(--('93_TARGET_MEMBERSHIP'!B$5:B$27=-1),'05_FEATURE_MODEL'!AE$5:AE$27)/MAX(1,COUNTIF('93_TARGET_MEMBERSHIP'!B$5:B$27,-1))))</f>
        <v/>
      </c>
      <c r="AE5" s="34">
        <f>IF($B5="ABSOLUTE SEMANTIC",ABS('06_ITEM_POLE_MODEL'!AN5),ABS('06_ITEM_POLE_MODEL'!AN5)*ABS(SUMPRODUCT(--('93_TARGET_MEMBERSHIP'!B$5:B$27=1),'05_FEATURE_MODEL'!AF$5:AF$27)/MAX(1,COUNTIF('93_TARGET_MEMBERSHIP'!B$5:B$27,1))-SUMPRODUCT(--('93_TARGET_MEMBERSHIP'!B$5:B$27=-1),'05_FEATURE_MODEL'!AF$5:AF$27)/MAX(1,COUNTIF('93_TARGET_MEMBERSHIP'!B$5:B$27,-1))))</f>
        <v/>
      </c>
      <c r="AF5" s="34">
        <f>IF($B5="ABSOLUTE SEMANTIC",ABS('06_ITEM_POLE_MODEL'!AO5),ABS('06_ITEM_POLE_MODEL'!AO5)*ABS(SUMPRODUCT(--('93_TARGET_MEMBERSHIP'!B$5:B$27=1),'05_FEATURE_MODEL'!AG$5:AG$27)/MAX(1,COUNTIF('93_TARGET_MEMBERSHIP'!B$5:B$27,1))-SUMPRODUCT(--('93_TARGET_MEMBERSHIP'!B$5:B$27=-1),'05_FEATURE_MODEL'!AG$5:AG$27)/MAX(1,COUNTIF('93_TARGET_MEMBERSHIP'!B$5:B$27,-1))))</f>
        <v/>
      </c>
      <c r="AG5" s="34">
        <f>IF($B5="ABSOLUTE SEMANTIC",ABS('06_ITEM_POLE_MODEL'!AP5),ABS('06_ITEM_POLE_MODEL'!AP5)*ABS(SUMPRODUCT(--('93_TARGET_MEMBERSHIP'!B$5:B$27=1),'05_FEATURE_MODEL'!AH$5:AH$27)/MAX(1,COUNTIF('93_TARGET_MEMBERSHIP'!B$5:B$27,1))-SUMPRODUCT(--('93_TARGET_MEMBERSHIP'!B$5:B$27=-1),'05_FEATURE_MODEL'!AH$5:AH$27)/MAX(1,COUNTIF('93_TARGET_MEMBERSHIP'!B$5:B$27,-1))))</f>
        <v/>
      </c>
      <c r="AH5" s="34">
        <f>IF($B5="ABSOLUTE SEMANTIC",ABS('06_ITEM_POLE_MODEL'!AQ5),ABS('06_ITEM_POLE_MODEL'!AQ5)*ABS(SUMPRODUCT(--('93_TARGET_MEMBERSHIP'!B$5:B$27=1),'05_FEATURE_MODEL'!AI$5:AI$27)/MAX(1,COUNTIF('93_TARGET_MEMBERSHIP'!B$5:B$27,1))-SUMPRODUCT(--('93_TARGET_MEMBERSHIP'!B$5:B$27=-1),'05_FEATURE_MODEL'!AI$5:AI$27)/MAX(1,COUNTIF('93_TARGET_MEMBERSHIP'!B$5:B$27,-1))))</f>
        <v/>
      </c>
      <c r="AI5" s="34">
        <f>IF($B5="ABSOLUTE SEMANTIC",ABS('06_ITEM_POLE_MODEL'!AR5),ABS('06_ITEM_POLE_MODEL'!AR5)*ABS(SUMPRODUCT(--('93_TARGET_MEMBERSHIP'!B$5:B$27=1),'05_FEATURE_MODEL'!AJ$5:AJ$27)/MAX(1,COUNTIF('93_TARGET_MEMBERSHIP'!B$5:B$27,1))-SUMPRODUCT(--('93_TARGET_MEMBERSHIP'!B$5:B$27=-1),'05_FEATURE_MODEL'!AJ$5:AJ$27)/MAX(1,COUNTIF('93_TARGET_MEMBERSHIP'!B$5:B$27,-1))))</f>
        <v/>
      </c>
      <c r="AJ5" s="34">
        <f>IF($B5="ABSOLUTE SEMANTIC",ABS('06_ITEM_POLE_MODEL'!AS5),ABS('06_ITEM_POLE_MODEL'!AS5)*ABS(SUMPRODUCT(--('93_TARGET_MEMBERSHIP'!B$5:B$27=1),'05_FEATURE_MODEL'!AK$5:AK$27)/MAX(1,COUNTIF('93_TARGET_MEMBERSHIP'!B$5:B$27,1))-SUMPRODUCT(--('93_TARGET_MEMBERSHIP'!B$5:B$27=-1),'05_FEATURE_MODEL'!AK$5:AK$27)/MAX(1,COUNTIF('93_TARGET_MEMBERSHIP'!B$5:B$27,-1))))</f>
        <v/>
      </c>
      <c r="AK5" s="34">
        <f>IF($B5="ABSOLUTE SEMANTIC",ABS('06_ITEM_POLE_MODEL'!AT5),ABS('06_ITEM_POLE_MODEL'!AT5)*ABS(SUMPRODUCT(--('93_TARGET_MEMBERSHIP'!B$5:B$27=1),'05_FEATURE_MODEL'!AL$5:AL$27)/MAX(1,COUNTIF('93_TARGET_MEMBERSHIP'!B$5:B$27,1))-SUMPRODUCT(--('93_TARGET_MEMBERSHIP'!B$5:B$27=-1),'05_FEATURE_MODEL'!AL$5:AL$27)/MAX(1,COUNTIF('93_TARGET_MEMBERSHIP'!B$5:B$27,-1))))</f>
        <v/>
      </c>
      <c r="AL5" s="34">
        <f>IF($B5="ABSOLUTE SEMANTIC",ABS('06_ITEM_POLE_MODEL'!AU5),ABS('06_ITEM_POLE_MODEL'!AU5)*ABS(SUMPRODUCT(--('93_TARGET_MEMBERSHIP'!B$5:B$27=1),'05_FEATURE_MODEL'!AM$5:AM$27)/MAX(1,COUNTIF('93_TARGET_MEMBERSHIP'!B$5:B$27,1))-SUMPRODUCT(--('93_TARGET_MEMBERSHIP'!B$5:B$27=-1),'05_FEATURE_MODEL'!AM$5:AM$27)/MAX(1,COUNTIF('93_TARGET_MEMBERSHIP'!B$5:B$27,-1))))</f>
        <v/>
      </c>
      <c r="AM5" s="34">
        <f>IF($B5="ABSOLUTE SEMANTIC",ABS('06_ITEM_POLE_MODEL'!AV5),ABS('06_ITEM_POLE_MODEL'!AV5)*ABS(SUMPRODUCT(--('93_TARGET_MEMBERSHIP'!B$5:B$27=1),'05_FEATURE_MODEL'!AN$5:AN$27)/MAX(1,COUNTIF('93_TARGET_MEMBERSHIP'!B$5:B$27,1))-SUMPRODUCT(--('93_TARGET_MEMBERSHIP'!B$5:B$27=-1),'05_FEATURE_MODEL'!AN$5:AN$27)/MAX(1,COUNTIF('93_TARGET_MEMBERSHIP'!B$5:B$27,-1))))</f>
        <v/>
      </c>
      <c r="AN5" s="34">
        <f>IF($B5="ABSOLUTE SEMANTIC",ABS('06_ITEM_POLE_MODEL'!AW5),ABS('06_ITEM_POLE_MODEL'!AW5)*ABS(SUMPRODUCT(--('93_TARGET_MEMBERSHIP'!B$5:B$27=1),'05_FEATURE_MODEL'!AO$5:AO$27)/MAX(1,COUNTIF('93_TARGET_MEMBERSHIP'!B$5:B$27,1))-SUMPRODUCT(--('93_TARGET_MEMBERSHIP'!B$5:B$27=-1),'05_FEATURE_MODEL'!AO$5:AO$27)/MAX(1,COUNTIF('93_TARGET_MEMBERSHIP'!B$5:B$27,-1))))</f>
        <v/>
      </c>
      <c r="AO5" s="34">
        <f>IF($B5="ABSOLUTE SEMANTIC",ABS('06_ITEM_POLE_MODEL'!AX5),ABS('06_ITEM_POLE_MODEL'!AX5)*ABS(SUMPRODUCT(--('93_TARGET_MEMBERSHIP'!B$5:B$27=1),'05_FEATURE_MODEL'!AP$5:AP$27)/MAX(1,COUNTIF('93_TARGET_MEMBERSHIP'!B$5:B$27,1))-SUMPRODUCT(--('93_TARGET_MEMBERSHIP'!B$5:B$27=-1),'05_FEATURE_MODEL'!AP$5:AP$27)/MAX(1,COUNTIF('93_TARGET_MEMBERSHIP'!B$5:B$27,-1))))</f>
        <v/>
      </c>
      <c r="AP5" s="34">
        <f>IF($B5="ABSOLUTE SEMANTIC",ABS('06_ITEM_POLE_MODEL'!AY5),ABS('06_ITEM_POLE_MODEL'!AY5)*ABS(SUMPRODUCT(--('93_TARGET_MEMBERSHIP'!B$5:B$27=1),'05_FEATURE_MODEL'!AQ$5:AQ$27)/MAX(1,COUNTIF('93_TARGET_MEMBERSHIP'!B$5:B$27,1))-SUMPRODUCT(--('93_TARGET_MEMBERSHIP'!B$5:B$27=-1),'05_FEATURE_MODEL'!AQ$5:AQ$27)/MAX(1,COUNTIF('93_TARGET_MEMBERSHIP'!B$5:B$27,-1))))</f>
        <v/>
      </c>
      <c r="AQ5" s="34">
        <f>IF($B5="ABSOLUTE SEMANTIC",ABS('06_ITEM_POLE_MODEL'!AZ5),ABS('06_ITEM_POLE_MODEL'!AZ5)*ABS(SUMPRODUCT(--('93_TARGET_MEMBERSHIP'!B$5:B$27=1),'05_FEATURE_MODEL'!AR$5:AR$27)/MAX(1,COUNTIF('93_TARGET_MEMBERSHIP'!B$5:B$27,1))-SUMPRODUCT(--('93_TARGET_MEMBERSHIP'!B$5:B$27=-1),'05_FEATURE_MODEL'!AR$5:AR$27)/MAX(1,COUNTIF('93_TARGET_MEMBERSHIP'!B$5:B$27,-1))))</f>
        <v/>
      </c>
    </row>
    <row r="6" ht="36" customHeight="1">
      <c r="A6" s="34">
        <f>'06_ITEM_POLE_MODEL'!A6</f>
        <v/>
      </c>
      <c r="B6" s="34">
        <f>'06_ITEM_POLE_MODEL'!E6</f>
        <v/>
      </c>
      <c r="C6" s="34">
        <f>IF($B6="ABSOLUTE SEMANTIC",ABS('06_ITEM_POLE_MODEL'!L6),ABS('06_ITEM_POLE_MODEL'!L6)*ABS(SUMPRODUCT(--('93_TARGET_MEMBERSHIP'!C$5:C$27=1),'05_FEATURE_MODEL'!D$5:D$27)/MAX(1,COUNTIF('93_TARGET_MEMBERSHIP'!C$5:C$27,1))-SUMPRODUCT(--('93_TARGET_MEMBERSHIP'!C$5:C$27=-1),'05_FEATURE_MODEL'!D$5:D$27)/MAX(1,COUNTIF('93_TARGET_MEMBERSHIP'!C$5:C$27,-1))))</f>
        <v/>
      </c>
      <c r="D6" s="34">
        <f>IF($B6="ABSOLUTE SEMANTIC",ABS('06_ITEM_POLE_MODEL'!M6),ABS('06_ITEM_POLE_MODEL'!M6)*ABS(SUMPRODUCT(--('93_TARGET_MEMBERSHIP'!C$5:C$27=1),'05_FEATURE_MODEL'!E$5:E$27)/MAX(1,COUNTIF('93_TARGET_MEMBERSHIP'!C$5:C$27,1))-SUMPRODUCT(--('93_TARGET_MEMBERSHIP'!C$5:C$27=-1),'05_FEATURE_MODEL'!E$5:E$27)/MAX(1,COUNTIF('93_TARGET_MEMBERSHIP'!C$5:C$27,-1))))</f>
        <v/>
      </c>
      <c r="E6" s="34">
        <f>IF($B6="ABSOLUTE SEMANTIC",ABS('06_ITEM_POLE_MODEL'!N6),ABS('06_ITEM_POLE_MODEL'!N6)*ABS(SUMPRODUCT(--('93_TARGET_MEMBERSHIP'!C$5:C$27=1),'05_FEATURE_MODEL'!F$5:F$27)/MAX(1,COUNTIF('93_TARGET_MEMBERSHIP'!C$5:C$27,1))-SUMPRODUCT(--('93_TARGET_MEMBERSHIP'!C$5:C$27=-1),'05_FEATURE_MODEL'!F$5:F$27)/MAX(1,COUNTIF('93_TARGET_MEMBERSHIP'!C$5:C$27,-1))))</f>
        <v/>
      </c>
      <c r="F6" s="34">
        <f>IF($B6="ABSOLUTE SEMANTIC",ABS('06_ITEM_POLE_MODEL'!O6),ABS('06_ITEM_POLE_MODEL'!O6)*ABS(SUMPRODUCT(--('93_TARGET_MEMBERSHIP'!C$5:C$27=1),'05_FEATURE_MODEL'!G$5:G$27)/MAX(1,COUNTIF('93_TARGET_MEMBERSHIP'!C$5:C$27,1))-SUMPRODUCT(--('93_TARGET_MEMBERSHIP'!C$5:C$27=-1),'05_FEATURE_MODEL'!G$5:G$27)/MAX(1,COUNTIF('93_TARGET_MEMBERSHIP'!C$5:C$27,-1))))</f>
        <v/>
      </c>
      <c r="G6" s="34">
        <f>IF($B6="ABSOLUTE SEMANTIC",ABS('06_ITEM_POLE_MODEL'!P6),ABS('06_ITEM_POLE_MODEL'!P6)*ABS(SUMPRODUCT(--('93_TARGET_MEMBERSHIP'!C$5:C$27=1),'05_FEATURE_MODEL'!H$5:H$27)/MAX(1,COUNTIF('93_TARGET_MEMBERSHIP'!C$5:C$27,1))-SUMPRODUCT(--('93_TARGET_MEMBERSHIP'!C$5:C$27=-1),'05_FEATURE_MODEL'!H$5:H$27)/MAX(1,COUNTIF('93_TARGET_MEMBERSHIP'!C$5:C$27,-1))))</f>
        <v/>
      </c>
      <c r="H6" s="34">
        <f>IF($B6="ABSOLUTE SEMANTIC",ABS('06_ITEM_POLE_MODEL'!Q6),ABS('06_ITEM_POLE_MODEL'!Q6)*ABS(SUMPRODUCT(--('93_TARGET_MEMBERSHIP'!C$5:C$27=1),'05_FEATURE_MODEL'!I$5:I$27)/MAX(1,COUNTIF('93_TARGET_MEMBERSHIP'!C$5:C$27,1))-SUMPRODUCT(--('93_TARGET_MEMBERSHIP'!C$5:C$27=-1),'05_FEATURE_MODEL'!I$5:I$27)/MAX(1,COUNTIF('93_TARGET_MEMBERSHIP'!C$5:C$27,-1))))</f>
        <v/>
      </c>
      <c r="I6" s="34">
        <f>IF($B6="ABSOLUTE SEMANTIC",ABS('06_ITEM_POLE_MODEL'!R6),ABS('06_ITEM_POLE_MODEL'!R6)*ABS(SUMPRODUCT(--('93_TARGET_MEMBERSHIP'!C$5:C$27=1),'05_FEATURE_MODEL'!J$5:J$27)/MAX(1,COUNTIF('93_TARGET_MEMBERSHIP'!C$5:C$27,1))-SUMPRODUCT(--('93_TARGET_MEMBERSHIP'!C$5:C$27=-1),'05_FEATURE_MODEL'!J$5:J$27)/MAX(1,COUNTIF('93_TARGET_MEMBERSHIP'!C$5:C$27,-1))))</f>
        <v/>
      </c>
      <c r="J6" s="34">
        <f>IF($B6="ABSOLUTE SEMANTIC",ABS('06_ITEM_POLE_MODEL'!S6),ABS('06_ITEM_POLE_MODEL'!S6)*ABS(SUMPRODUCT(--('93_TARGET_MEMBERSHIP'!C$5:C$27=1),'05_FEATURE_MODEL'!K$5:K$27)/MAX(1,COUNTIF('93_TARGET_MEMBERSHIP'!C$5:C$27,1))-SUMPRODUCT(--('93_TARGET_MEMBERSHIP'!C$5:C$27=-1),'05_FEATURE_MODEL'!K$5:K$27)/MAX(1,COUNTIF('93_TARGET_MEMBERSHIP'!C$5:C$27,-1))))</f>
        <v/>
      </c>
      <c r="K6" s="34">
        <f>IF($B6="ABSOLUTE SEMANTIC",ABS('06_ITEM_POLE_MODEL'!T6),ABS('06_ITEM_POLE_MODEL'!T6)*ABS(SUMPRODUCT(--('93_TARGET_MEMBERSHIP'!C$5:C$27=1),'05_FEATURE_MODEL'!L$5:L$27)/MAX(1,COUNTIF('93_TARGET_MEMBERSHIP'!C$5:C$27,1))-SUMPRODUCT(--('93_TARGET_MEMBERSHIP'!C$5:C$27=-1),'05_FEATURE_MODEL'!L$5:L$27)/MAX(1,COUNTIF('93_TARGET_MEMBERSHIP'!C$5:C$27,-1))))</f>
        <v/>
      </c>
      <c r="L6" s="34">
        <f>IF($B6="ABSOLUTE SEMANTIC",ABS('06_ITEM_POLE_MODEL'!U6),ABS('06_ITEM_POLE_MODEL'!U6)*ABS(SUMPRODUCT(--('93_TARGET_MEMBERSHIP'!C$5:C$27=1),'05_FEATURE_MODEL'!M$5:M$27)/MAX(1,COUNTIF('93_TARGET_MEMBERSHIP'!C$5:C$27,1))-SUMPRODUCT(--('93_TARGET_MEMBERSHIP'!C$5:C$27=-1),'05_FEATURE_MODEL'!M$5:M$27)/MAX(1,COUNTIF('93_TARGET_MEMBERSHIP'!C$5:C$27,-1))))</f>
        <v/>
      </c>
      <c r="M6" s="34">
        <f>IF($B6="ABSOLUTE SEMANTIC",ABS('06_ITEM_POLE_MODEL'!V6),ABS('06_ITEM_POLE_MODEL'!V6)*ABS(SUMPRODUCT(--('93_TARGET_MEMBERSHIP'!C$5:C$27=1),'05_FEATURE_MODEL'!N$5:N$27)/MAX(1,COUNTIF('93_TARGET_MEMBERSHIP'!C$5:C$27,1))-SUMPRODUCT(--('93_TARGET_MEMBERSHIP'!C$5:C$27=-1),'05_FEATURE_MODEL'!N$5:N$27)/MAX(1,COUNTIF('93_TARGET_MEMBERSHIP'!C$5:C$27,-1))))</f>
        <v/>
      </c>
      <c r="N6" s="34">
        <f>IF($B6="ABSOLUTE SEMANTIC",ABS('06_ITEM_POLE_MODEL'!W6),ABS('06_ITEM_POLE_MODEL'!W6)*ABS(SUMPRODUCT(--('93_TARGET_MEMBERSHIP'!C$5:C$27=1),'05_FEATURE_MODEL'!O$5:O$27)/MAX(1,COUNTIF('93_TARGET_MEMBERSHIP'!C$5:C$27,1))-SUMPRODUCT(--('93_TARGET_MEMBERSHIP'!C$5:C$27=-1),'05_FEATURE_MODEL'!O$5:O$27)/MAX(1,COUNTIF('93_TARGET_MEMBERSHIP'!C$5:C$27,-1))))</f>
        <v/>
      </c>
      <c r="O6" s="34">
        <f>IF($B6="ABSOLUTE SEMANTIC",ABS('06_ITEM_POLE_MODEL'!X6),ABS('06_ITEM_POLE_MODEL'!X6)*ABS(SUMPRODUCT(--('93_TARGET_MEMBERSHIP'!C$5:C$27=1),'05_FEATURE_MODEL'!P$5:P$27)/MAX(1,COUNTIF('93_TARGET_MEMBERSHIP'!C$5:C$27,1))-SUMPRODUCT(--('93_TARGET_MEMBERSHIP'!C$5:C$27=-1),'05_FEATURE_MODEL'!P$5:P$27)/MAX(1,COUNTIF('93_TARGET_MEMBERSHIP'!C$5:C$27,-1))))</f>
        <v/>
      </c>
      <c r="P6" s="34">
        <f>IF($B6="ABSOLUTE SEMANTIC",ABS('06_ITEM_POLE_MODEL'!Y6),ABS('06_ITEM_POLE_MODEL'!Y6)*ABS(SUMPRODUCT(--('93_TARGET_MEMBERSHIP'!C$5:C$27=1),'05_FEATURE_MODEL'!Q$5:Q$27)/MAX(1,COUNTIF('93_TARGET_MEMBERSHIP'!C$5:C$27,1))-SUMPRODUCT(--('93_TARGET_MEMBERSHIP'!C$5:C$27=-1),'05_FEATURE_MODEL'!Q$5:Q$27)/MAX(1,COUNTIF('93_TARGET_MEMBERSHIP'!C$5:C$27,-1))))</f>
        <v/>
      </c>
      <c r="Q6" s="34">
        <f>IF($B6="ABSOLUTE SEMANTIC",ABS('06_ITEM_POLE_MODEL'!Z6),ABS('06_ITEM_POLE_MODEL'!Z6)*ABS(SUMPRODUCT(--('93_TARGET_MEMBERSHIP'!C$5:C$27=1),'05_FEATURE_MODEL'!R$5:R$27)/MAX(1,COUNTIF('93_TARGET_MEMBERSHIP'!C$5:C$27,1))-SUMPRODUCT(--('93_TARGET_MEMBERSHIP'!C$5:C$27=-1),'05_FEATURE_MODEL'!R$5:R$27)/MAX(1,COUNTIF('93_TARGET_MEMBERSHIP'!C$5:C$27,-1))))</f>
        <v/>
      </c>
      <c r="R6" s="34">
        <f>IF($B6="ABSOLUTE SEMANTIC",ABS('06_ITEM_POLE_MODEL'!AA6),ABS('06_ITEM_POLE_MODEL'!AA6)*ABS(SUMPRODUCT(--('93_TARGET_MEMBERSHIP'!C$5:C$27=1),'05_FEATURE_MODEL'!S$5:S$27)/MAX(1,COUNTIF('93_TARGET_MEMBERSHIP'!C$5:C$27,1))-SUMPRODUCT(--('93_TARGET_MEMBERSHIP'!C$5:C$27=-1),'05_FEATURE_MODEL'!S$5:S$27)/MAX(1,COUNTIF('93_TARGET_MEMBERSHIP'!C$5:C$27,-1))))</f>
        <v/>
      </c>
      <c r="S6" s="34">
        <f>IF($B6="ABSOLUTE SEMANTIC",ABS('06_ITEM_POLE_MODEL'!AB6),ABS('06_ITEM_POLE_MODEL'!AB6)*ABS(SUMPRODUCT(--('93_TARGET_MEMBERSHIP'!C$5:C$27=1),'05_FEATURE_MODEL'!T$5:T$27)/MAX(1,COUNTIF('93_TARGET_MEMBERSHIP'!C$5:C$27,1))-SUMPRODUCT(--('93_TARGET_MEMBERSHIP'!C$5:C$27=-1),'05_FEATURE_MODEL'!T$5:T$27)/MAX(1,COUNTIF('93_TARGET_MEMBERSHIP'!C$5:C$27,-1))))</f>
        <v/>
      </c>
      <c r="T6" s="34">
        <f>IF($B6="ABSOLUTE SEMANTIC",ABS('06_ITEM_POLE_MODEL'!AC6),ABS('06_ITEM_POLE_MODEL'!AC6)*ABS(SUMPRODUCT(--('93_TARGET_MEMBERSHIP'!C$5:C$27=1),'05_FEATURE_MODEL'!U$5:U$27)/MAX(1,COUNTIF('93_TARGET_MEMBERSHIP'!C$5:C$27,1))-SUMPRODUCT(--('93_TARGET_MEMBERSHIP'!C$5:C$27=-1),'05_FEATURE_MODEL'!U$5:U$27)/MAX(1,COUNTIF('93_TARGET_MEMBERSHIP'!C$5:C$27,-1))))</f>
        <v/>
      </c>
      <c r="U6" s="34">
        <f>IF($B6="ABSOLUTE SEMANTIC",ABS('06_ITEM_POLE_MODEL'!AD6),ABS('06_ITEM_POLE_MODEL'!AD6)*ABS(SUMPRODUCT(--('93_TARGET_MEMBERSHIP'!C$5:C$27=1),'05_FEATURE_MODEL'!V$5:V$27)/MAX(1,COUNTIF('93_TARGET_MEMBERSHIP'!C$5:C$27,1))-SUMPRODUCT(--('93_TARGET_MEMBERSHIP'!C$5:C$27=-1),'05_FEATURE_MODEL'!V$5:V$27)/MAX(1,COUNTIF('93_TARGET_MEMBERSHIP'!C$5:C$27,-1))))</f>
        <v/>
      </c>
      <c r="V6" s="34">
        <f>IF($B6="ABSOLUTE SEMANTIC",ABS('06_ITEM_POLE_MODEL'!AE6),ABS('06_ITEM_POLE_MODEL'!AE6)*ABS(SUMPRODUCT(--('93_TARGET_MEMBERSHIP'!C$5:C$27=1),'05_FEATURE_MODEL'!W$5:W$27)/MAX(1,COUNTIF('93_TARGET_MEMBERSHIP'!C$5:C$27,1))-SUMPRODUCT(--('93_TARGET_MEMBERSHIP'!C$5:C$27=-1),'05_FEATURE_MODEL'!W$5:W$27)/MAX(1,COUNTIF('93_TARGET_MEMBERSHIP'!C$5:C$27,-1))))</f>
        <v/>
      </c>
      <c r="W6" s="34">
        <f>IF($B6="ABSOLUTE SEMANTIC",ABS('06_ITEM_POLE_MODEL'!AF6),ABS('06_ITEM_POLE_MODEL'!AF6)*ABS(SUMPRODUCT(--('93_TARGET_MEMBERSHIP'!C$5:C$27=1),'05_FEATURE_MODEL'!X$5:X$27)/MAX(1,COUNTIF('93_TARGET_MEMBERSHIP'!C$5:C$27,1))-SUMPRODUCT(--('93_TARGET_MEMBERSHIP'!C$5:C$27=-1),'05_FEATURE_MODEL'!X$5:X$27)/MAX(1,COUNTIF('93_TARGET_MEMBERSHIP'!C$5:C$27,-1))))</f>
        <v/>
      </c>
      <c r="X6" s="34">
        <f>IF($B6="ABSOLUTE SEMANTIC",ABS('06_ITEM_POLE_MODEL'!AG6),ABS('06_ITEM_POLE_MODEL'!AG6)*ABS(SUMPRODUCT(--('93_TARGET_MEMBERSHIP'!C$5:C$27=1),'05_FEATURE_MODEL'!Y$5:Y$27)/MAX(1,COUNTIF('93_TARGET_MEMBERSHIP'!C$5:C$27,1))-SUMPRODUCT(--('93_TARGET_MEMBERSHIP'!C$5:C$27=-1),'05_FEATURE_MODEL'!Y$5:Y$27)/MAX(1,COUNTIF('93_TARGET_MEMBERSHIP'!C$5:C$27,-1))))</f>
        <v/>
      </c>
      <c r="Y6" s="34">
        <f>IF($B6="ABSOLUTE SEMANTIC",ABS('06_ITEM_POLE_MODEL'!AH6),ABS('06_ITEM_POLE_MODEL'!AH6)*ABS(SUMPRODUCT(--('93_TARGET_MEMBERSHIP'!C$5:C$27=1),'05_FEATURE_MODEL'!Z$5:Z$27)/MAX(1,COUNTIF('93_TARGET_MEMBERSHIP'!C$5:C$27,1))-SUMPRODUCT(--('93_TARGET_MEMBERSHIP'!C$5:C$27=-1),'05_FEATURE_MODEL'!Z$5:Z$27)/MAX(1,COUNTIF('93_TARGET_MEMBERSHIP'!C$5:C$27,-1))))</f>
        <v/>
      </c>
      <c r="Z6" s="34">
        <f>IF($B6="ABSOLUTE SEMANTIC",ABS('06_ITEM_POLE_MODEL'!AI6),ABS('06_ITEM_POLE_MODEL'!AI6)*ABS(SUMPRODUCT(--('93_TARGET_MEMBERSHIP'!C$5:C$27=1),'05_FEATURE_MODEL'!AA$5:AA$27)/MAX(1,COUNTIF('93_TARGET_MEMBERSHIP'!C$5:C$27,1))-SUMPRODUCT(--('93_TARGET_MEMBERSHIP'!C$5:C$27=-1),'05_FEATURE_MODEL'!AA$5:AA$27)/MAX(1,COUNTIF('93_TARGET_MEMBERSHIP'!C$5:C$27,-1))))</f>
        <v/>
      </c>
      <c r="AA6" s="34">
        <f>IF($B6="ABSOLUTE SEMANTIC",ABS('06_ITEM_POLE_MODEL'!AJ6),ABS('06_ITEM_POLE_MODEL'!AJ6)*ABS(SUMPRODUCT(--('93_TARGET_MEMBERSHIP'!C$5:C$27=1),'05_FEATURE_MODEL'!AB$5:AB$27)/MAX(1,COUNTIF('93_TARGET_MEMBERSHIP'!C$5:C$27,1))-SUMPRODUCT(--('93_TARGET_MEMBERSHIP'!C$5:C$27=-1),'05_FEATURE_MODEL'!AB$5:AB$27)/MAX(1,COUNTIF('93_TARGET_MEMBERSHIP'!C$5:C$27,-1))))</f>
        <v/>
      </c>
      <c r="AB6" s="34">
        <f>IF($B6="ABSOLUTE SEMANTIC",ABS('06_ITEM_POLE_MODEL'!AK6),ABS('06_ITEM_POLE_MODEL'!AK6)*ABS(SUMPRODUCT(--('93_TARGET_MEMBERSHIP'!C$5:C$27=1),'05_FEATURE_MODEL'!AC$5:AC$27)/MAX(1,COUNTIF('93_TARGET_MEMBERSHIP'!C$5:C$27,1))-SUMPRODUCT(--('93_TARGET_MEMBERSHIP'!C$5:C$27=-1),'05_FEATURE_MODEL'!AC$5:AC$27)/MAX(1,COUNTIF('93_TARGET_MEMBERSHIP'!C$5:C$27,-1))))</f>
        <v/>
      </c>
      <c r="AC6" s="34">
        <f>IF($B6="ABSOLUTE SEMANTIC",ABS('06_ITEM_POLE_MODEL'!AL6),ABS('06_ITEM_POLE_MODEL'!AL6)*ABS(SUMPRODUCT(--('93_TARGET_MEMBERSHIP'!C$5:C$27=1),'05_FEATURE_MODEL'!AD$5:AD$27)/MAX(1,COUNTIF('93_TARGET_MEMBERSHIP'!C$5:C$27,1))-SUMPRODUCT(--('93_TARGET_MEMBERSHIP'!C$5:C$27=-1),'05_FEATURE_MODEL'!AD$5:AD$27)/MAX(1,COUNTIF('93_TARGET_MEMBERSHIP'!C$5:C$27,-1))))</f>
        <v/>
      </c>
      <c r="AD6" s="34">
        <f>IF($B6="ABSOLUTE SEMANTIC",ABS('06_ITEM_POLE_MODEL'!AM6),ABS('06_ITEM_POLE_MODEL'!AM6)*ABS(SUMPRODUCT(--('93_TARGET_MEMBERSHIP'!C$5:C$27=1),'05_FEATURE_MODEL'!AE$5:AE$27)/MAX(1,COUNTIF('93_TARGET_MEMBERSHIP'!C$5:C$27,1))-SUMPRODUCT(--('93_TARGET_MEMBERSHIP'!C$5:C$27=-1),'05_FEATURE_MODEL'!AE$5:AE$27)/MAX(1,COUNTIF('93_TARGET_MEMBERSHIP'!C$5:C$27,-1))))</f>
        <v/>
      </c>
      <c r="AE6" s="34">
        <f>IF($B6="ABSOLUTE SEMANTIC",ABS('06_ITEM_POLE_MODEL'!AN6),ABS('06_ITEM_POLE_MODEL'!AN6)*ABS(SUMPRODUCT(--('93_TARGET_MEMBERSHIP'!C$5:C$27=1),'05_FEATURE_MODEL'!AF$5:AF$27)/MAX(1,COUNTIF('93_TARGET_MEMBERSHIP'!C$5:C$27,1))-SUMPRODUCT(--('93_TARGET_MEMBERSHIP'!C$5:C$27=-1),'05_FEATURE_MODEL'!AF$5:AF$27)/MAX(1,COUNTIF('93_TARGET_MEMBERSHIP'!C$5:C$27,-1))))</f>
        <v/>
      </c>
      <c r="AF6" s="34">
        <f>IF($B6="ABSOLUTE SEMANTIC",ABS('06_ITEM_POLE_MODEL'!AO6),ABS('06_ITEM_POLE_MODEL'!AO6)*ABS(SUMPRODUCT(--('93_TARGET_MEMBERSHIP'!C$5:C$27=1),'05_FEATURE_MODEL'!AG$5:AG$27)/MAX(1,COUNTIF('93_TARGET_MEMBERSHIP'!C$5:C$27,1))-SUMPRODUCT(--('93_TARGET_MEMBERSHIP'!C$5:C$27=-1),'05_FEATURE_MODEL'!AG$5:AG$27)/MAX(1,COUNTIF('93_TARGET_MEMBERSHIP'!C$5:C$27,-1))))</f>
        <v/>
      </c>
      <c r="AG6" s="34">
        <f>IF($B6="ABSOLUTE SEMANTIC",ABS('06_ITEM_POLE_MODEL'!AP6),ABS('06_ITEM_POLE_MODEL'!AP6)*ABS(SUMPRODUCT(--('93_TARGET_MEMBERSHIP'!C$5:C$27=1),'05_FEATURE_MODEL'!AH$5:AH$27)/MAX(1,COUNTIF('93_TARGET_MEMBERSHIP'!C$5:C$27,1))-SUMPRODUCT(--('93_TARGET_MEMBERSHIP'!C$5:C$27=-1),'05_FEATURE_MODEL'!AH$5:AH$27)/MAX(1,COUNTIF('93_TARGET_MEMBERSHIP'!C$5:C$27,-1))))</f>
        <v/>
      </c>
      <c r="AH6" s="34">
        <f>IF($B6="ABSOLUTE SEMANTIC",ABS('06_ITEM_POLE_MODEL'!AQ6),ABS('06_ITEM_POLE_MODEL'!AQ6)*ABS(SUMPRODUCT(--('93_TARGET_MEMBERSHIP'!C$5:C$27=1),'05_FEATURE_MODEL'!AI$5:AI$27)/MAX(1,COUNTIF('93_TARGET_MEMBERSHIP'!C$5:C$27,1))-SUMPRODUCT(--('93_TARGET_MEMBERSHIP'!C$5:C$27=-1),'05_FEATURE_MODEL'!AI$5:AI$27)/MAX(1,COUNTIF('93_TARGET_MEMBERSHIP'!C$5:C$27,-1))))</f>
        <v/>
      </c>
      <c r="AI6" s="34">
        <f>IF($B6="ABSOLUTE SEMANTIC",ABS('06_ITEM_POLE_MODEL'!AR6),ABS('06_ITEM_POLE_MODEL'!AR6)*ABS(SUMPRODUCT(--('93_TARGET_MEMBERSHIP'!C$5:C$27=1),'05_FEATURE_MODEL'!AJ$5:AJ$27)/MAX(1,COUNTIF('93_TARGET_MEMBERSHIP'!C$5:C$27,1))-SUMPRODUCT(--('93_TARGET_MEMBERSHIP'!C$5:C$27=-1),'05_FEATURE_MODEL'!AJ$5:AJ$27)/MAX(1,COUNTIF('93_TARGET_MEMBERSHIP'!C$5:C$27,-1))))</f>
        <v/>
      </c>
      <c r="AJ6" s="34">
        <f>IF($B6="ABSOLUTE SEMANTIC",ABS('06_ITEM_POLE_MODEL'!AS6),ABS('06_ITEM_POLE_MODEL'!AS6)*ABS(SUMPRODUCT(--('93_TARGET_MEMBERSHIP'!C$5:C$27=1),'05_FEATURE_MODEL'!AK$5:AK$27)/MAX(1,COUNTIF('93_TARGET_MEMBERSHIP'!C$5:C$27,1))-SUMPRODUCT(--('93_TARGET_MEMBERSHIP'!C$5:C$27=-1),'05_FEATURE_MODEL'!AK$5:AK$27)/MAX(1,COUNTIF('93_TARGET_MEMBERSHIP'!C$5:C$27,-1))))</f>
        <v/>
      </c>
      <c r="AK6" s="34">
        <f>IF($B6="ABSOLUTE SEMANTIC",ABS('06_ITEM_POLE_MODEL'!AT6),ABS('06_ITEM_POLE_MODEL'!AT6)*ABS(SUMPRODUCT(--('93_TARGET_MEMBERSHIP'!C$5:C$27=1),'05_FEATURE_MODEL'!AL$5:AL$27)/MAX(1,COUNTIF('93_TARGET_MEMBERSHIP'!C$5:C$27,1))-SUMPRODUCT(--('93_TARGET_MEMBERSHIP'!C$5:C$27=-1),'05_FEATURE_MODEL'!AL$5:AL$27)/MAX(1,COUNTIF('93_TARGET_MEMBERSHIP'!C$5:C$27,-1))))</f>
        <v/>
      </c>
      <c r="AL6" s="34">
        <f>IF($B6="ABSOLUTE SEMANTIC",ABS('06_ITEM_POLE_MODEL'!AU6),ABS('06_ITEM_POLE_MODEL'!AU6)*ABS(SUMPRODUCT(--('93_TARGET_MEMBERSHIP'!C$5:C$27=1),'05_FEATURE_MODEL'!AM$5:AM$27)/MAX(1,COUNTIF('93_TARGET_MEMBERSHIP'!C$5:C$27,1))-SUMPRODUCT(--('93_TARGET_MEMBERSHIP'!C$5:C$27=-1),'05_FEATURE_MODEL'!AM$5:AM$27)/MAX(1,COUNTIF('93_TARGET_MEMBERSHIP'!C$5:C$27,-1))))</f>
        <v/>
      </c>
      <c r="AM6" s="34">
        <f>IF($B6="ABSOLUTE SEMANTIC",ABS('06_ITEM_POLE_MODEL'!AV6),ABS('06_ITEM_POLE_MODEL'!AV6)*ABS(SUMPRODUCT(--('93_TARGET_MEMBERSHIP'!C$5:C$27=1),'05_FEATURE_MODEL'!AN$5:AN$27)/MAX(1,COUNTIF('93_TARGET_MEMBERSHIP'!C$5:C$27,1))-SUMPRODUCT(--('93_TARGET_MEMBERSHIP'!C$5:C$27=-1),'05_FEATURE_MODEL'!AN$5:AN$27)/MAX(1,COUNTIF('93_TARGET_MEMBERSHIP'!C$5:C$27,-1))))</f>
        <v/>
      </c>
      <c r="AN6" s="34">
        <f>IF($B6="ABSOLUTE SEMANTIC",ABS('06_ITEM_POLE_MODEL'!AW6),ABS('06_ITEM_POLE_MODEL'!AW6)*ABS(SUMPRODUCT(--('93_TARGET_MEMBERSHIP'!C$5:C$27=1),'05_FEATURE_MODEL'!AO$5:AO$27)/MAX(1,COUNTIF('93_TARGET_MEMBERSHIP'!C$5:C$27,1))-SUMPRODUCT(--('93_TARGET_MEMBERSHIP'!C$5:C$27=-1),'05_FEATURE_MODEL'!AO$5:AO$27)/MAX(1,COUNTIF('93_TARGET_MEMBERSHIP'!C$5:C$27,-1))))</f>
        <v/>
      </c>
      <c r="AO6" s="34">
        <f>IF($B6="ABSOLUTE SEMANTIC",ABS('06_ITEM_POLE_MODEL'!AX6),ABS('06_ITEM_POLE_MODEL'!AX6)*ABS(SUMPRODUCT(--('93_TARGET_MEMBERSHIP'!C$5:C$27=1),'05_FEATURE_MODEL'!AP$5:AP$27)/MAX(1,COUNTIF('93_TARGET_MEMBERSHIP'!C$5:C$27,1))-SUMPRODUCT(--('93_TARGET_MEMBERSHIP'!C$5:C$27=-1),'05_FEATURE_MODEL'!AP$5:AP$27)/MAX(1,COUNTIF('93_TARGET_MEMBERSHIP'!C$5:C$27,-1))))</f>
        <v/>
      </c>
      <c r="AP6" s="34">
        <f>IF($B6="ABSOLUTE SEMANTIC",ABS('06_ITEM_POLE_MODEL'!AY6),ABS('06_ITEM_POLE_MODEL'!AY6)*ABS(SUMPRODUCT(--('93_TARGET_MEMBERSHIP'!C$5:C$27=1),'05_FEATURE_MODEL'!AQ$5:AQ$27)/MAX(1,COUNTIF('93_TARGET_MEMBERSHIP'!C$5:C$27,1))-SUMPRODUCT(--('93_TARGET_MEMBERSHIP'!C$5:C$27=-1),'05_FEATURE_MODEL'!AQ$5:AQ$27)/MAX(1,COUNTIF('93_TARGET_MEMBERSHIP'!C$5:C$27,-1))))</f>
        <v/>
      </c>
      <c r="AQ6" s="34">
        <f>IF($B6="ABSOLUTE SEMANTIC",ABS('06_ITEM_POLE_MODEL'!AZ6),ABS('06_ITEM_POLE_MODEL'!AZ6)*ABS(SUMPRODUCT(--('93_TARGET_MEMBERSHIP'!C$5:C$27=1),'05_FEATURE_MODEL'!AR$5:AR$27)/MAX(1,COUNTIF('93_TARGET_MEMBERSHIP'!C$5:C$27,1))-SUMPRODUCT(--('93_TARGET_MEMBERSHIP'!C$5:C$27=-1),'05_FEATURE_MODEL'!AR$5:AR$27)/MAX(1,COUNTIF('93_TARGET_MEMBERSHIP'!C$5:C$27,-1))))</f>
        <v/>
      </c>
    </row>
    <row r="7" ht="36" customHeight="1">
      <c r="A7" s="34">
        <f>'06_ITEM_POLE_MODEL'!A7</f>
        <v/>
      </c>
      <c r="B7" s="34">
        <f>'06_ITEM_POLE_MODEL'!E7</f>
        <v/>
      </c>
      <c r="C7" s="34">
        <f>IF($B7="ABSOLUTE SEMANTIC",ABS('06_ITEM_POLE_MODEL'!L7),ABS('06_ITEM_POLE_MODEL'!L7)*ABS(SUMPRODUCT(--('93_TARGET_MEMBERSHIP'!D$5:D$27=1),'05_FEATURE_MODEL'!D$5:D$27)/MAX(1,COUNTIF('93_TARGET_MEMBERSHIP'!D$5:D$27,1))-SUMPRODUCT(--('93_TARGET_MEMBERSHIP'!D$5:D$27=-1),'05_FEATURE_MODEL'!D$5:D$27)/MAX(1,COUNTIF('93_TARGET_MEMBERSHIP'!D$5:D$27,-1))))</f>
        <v/>
      </c>
      <c r="D7" s="34">
        <f>IF($B7="ABSOLUTE SEMANTIC",ABS('06_ITEM_POLE_MODEL'!M7),ABS('06_ITEM_POLE_MODEL'!M7)*ABS(SUMPRODUCT(--('93_TARGET_MEMBERSHIP'!D$5:D$27=1),'05_FEATURE_MODEL'!E$5:E$27)/MAX(1,COUNTIF('93_TARGET_MEMBERSHIP'!D$5:D$27,1))-SUMPRODUCT(--('93_TARGET_MEMBERSHIP'!D$5:D$27=-1),'05_FEATURE_MODEL'!E$5:E$27)/MAX(1,COUNTIF('93_TARGET_MEMBERSHIP'!D$5:D$27,-1))))</f>
        <v/>
      </c>
      <c r="E7" s="34">
        <f>IF($B7="ABSOLUTE SEMANTIC",ABS('06_ITEM_POLE_MODEL'!N7),ABS('06_ITEM_POLE_MODEL'!N7)*ABS(SUMPRODUCT(--('93_TARGET_MEMBERSHIP'!D$5:D$27=1),'05_FEATURE_MODEL'!F$5:F$27)/MAX(1,COUNTIF('93_TARGET_MEMBERSHIP'!D$5:D$27,1))-SUMPRODUCT(--('93_TARGET_MEMBERSHIP'!D$5:D$27=-1),'05_FEATURE_MODEL'!F$5:F$27)/MAX(1,COUNTIF('93_TARGET_MEMBERSHIP'!D$5:D$27,-1))))</f>
        <v/>
      </c>
      <c r="F7" s="34">
        <f>IF($B7="ABSOLUTE SEMANTIC",ABS('06_ITEM_POLE_MODEL'!O7),ABS('06_ITEM_POLE_MODEL'!O7)*ABS(SUMPRODUCT(--('93_TARGET_MEMBERSHIP'!D$5:D$27=1),'05_FEATURE_MODEL'!G$5:G$27)/MAX(1,COUNTIF('93_TARGET_MEMBERSHIP'!D$5:D$27,1))-SUMPRODUCT(--('93_TARGET_MEMBERSHIP'!D$5:D$27=-1),'05_FEATURE_MODEL'!G$5:G$27)/MAX(1,COUNTIF('93_TARGET_MEMBERSHIP'!D$5:D$27,-1))))</f>
        <v/>
      </c>
      <c r="G7" s="34">
        <f>IF($B7="ABSOLUTE SEMANTIC",ABS('06_ITEM_POLE_MODEL'!P7),ABS('06_ITEM_POLE_MODEL'!P7)*ABS(SUMPRODUCT(--('93_TARGET_MEMBERSHIP'!D$5:D$27=1),'05_FEATURE_MODEL'!H$5:H$27)/MAX(1,COUNTIF('93_TARGET_MEMBERSHIP'!D$5:D$27,1))-SUMPRODUCT(--('93_TARGET_MEMBERSHIP'!D$5:D$27=-1),'05_FEATURE_MODEL'!H$5:H$27)/MAX(1,COUNTIF('93_TARGET_MEMBERSHIP'!D$5:D$27,-1))))</f>
        <v/>
      </c>
      <c r="H7" s="34">
        <f>IF($B7="ABSOLUTE SEMANTIC",ABS('06_ITEM_POLE_MODEL'!Q7),ABS('06_ITEM_POLE_MODEL'!Q7)*ABS(SUMPRODUCT(--('93_TARGET_MEMBERSHIP'!D$5:D$27=1),'05_FEATURE_MODEL'!I$5:I$27)/MAX(1,COUNTIF('93_TARGET_MEMBERSHIP'!D$5:D$27,1))-SUMPRODUCT(--('93_TARGET_MEMBERSHIP'!D$5:D$27=-1),'05_FEATURE_MODEL'!I$5:I$27)/MAX(1,COUNTIF('93_TARGET_MEMBERSHIP'!D$5:D$27,-1))))</f>
        <v/>
      </c>
      <c r="I7" s="34">
        <f>IF($B7="ABSOLUTE SEMANTIC",ABS('06_ITEM_POLE_MODEL'!R7),ABS('06_ITEM_POLE_MODEL'!R7)*ABS(SUMPRODUCT(--('93_TARGET_MEMBERSHIP'!D$5:D$27=1),'05_FEATURE_MODEL'!J$5:J$27)/MAX(1,COUNTIF('93_TARGET_MEMBERSHIP'!D$5:D$27,1))-SUMPRODUCT(--('93_TARGET_MEMBERSHIP'!D$5:D$27=-1),'05_FEATURE_MODEL'!J$5:J$27)/MAX(1,COUNTIF('93_TARGET_MEMBERSHIP'!D$5:D$27,-1))))</f>
        <v/>
      </c>
      <c r="J7" s="34">
        <f>IF($B7="ABSOLUTE SEMANTIC",ABS('06_ITEM_POLE_MODEL'!S7),ABS('06_ITEM_POLE_MODEL'!S7)*ABS(SUMPRODUCT(--('93_TARGET_MEMBERSHIP'!D$5:D$27=1),'05_FEATURE_MODEL'!K$5:K$27)/MAX(1,COUNTIF('93_TARGET_MEMBERSHIP'!D$5:D$27,1))-SUMPRODUCT(--('93_TARGET_MEMBERSHIP'!D$5:D$27=-1),'05_FEATURE_MODEL'!K$5:K$27)/MAX(1,COUNTIF('93_TARGET_MEMBERSHIP'!D$5:D$27,-1))))</f>
        <v/>
      </c>
      <c r="K7" s="34">
        <f>IF($B7="ABSOLUTE SEMANTIC",ABS('06_ITEM_POLE_MODEL'!T7),ABS('06_ITEM_POLE_MODEL'!T7)*ABS(SUMPRODUCT(--('93_TARGET_MEMBERSHIP'!D$5:D$27=1),'05_FEATURE_MODEL'!L$5:L$27)/MAX(1,COUNTIF('93_TARGET_MEMBERSHIP'!D$5:D$27,1))-SUMPRODUCT(--('93_TARGET_MEMBERSHIP'!D$5:D$27=-1),'05_FEATURE_MODEL'!L$5:L$27)/MAX(1,COUNTIF('93_TARGET_MEMBERSHIP'!D$5:D$27,-1))))</f>
        <v/>
      </c>
      <c r="L7" s="34">
        <f>IF($B7="ABSOLUTE SEMANTIC",ABS('06_ITEM_POLE_MODEL'!U7),ABS('06_ITEM_POLE_MODEL'!U7)*ABS(SUMPRODUCT(--('93_TARGET_MEMBERSHIP'!D$5:D$27=1),'05_FEATURE_MODEL'!M$5:M$27)/MAX(1,COUNTIF('93_TARGET_MEMBERSHIP'!D$5:D$27,1))-SUMPRODUCT(--('93_TARGET_MEMBERSHIP'!D$5:D$27=-1),'05_FEATURE_MODEL'!M$5:M$27)/MAX(1,COUNTIF('93_TARGET_MEMBERSHIP'!D$5:D$27,-1))))</f>
        <v/>
      </c>
      <c r="M7" s="34">
        <f>IF($B7="ABSOLUTE SEMANTIC",ABS('06_ITEM_POLE_MODEL'!V7),ABS('06_ITEM_POLE_MODEL'!V7)*ABS(SUMPRODUCT(--('93_TARGET_MEMBERSHIP'!D$5:D$27=1),'05_FEATURE_MODEL'!N$5:N$27)/MAX(1,COUNTIF('93_TARGET_MEMBERSHIP'!D$5:D$27,1))-SUMPRODUCT(--('93_TARGET_MEMBERSHIP'!D$5:D$27=-1),'05_FEATURE_MODEL'!N$5:N$27)/MAX(1,COUNTIF('93_TARGET_MEMBERSHIP'!D$5:D$27,-1))))</f>
        <v/>
      </c>
      <c r="N7" s="34">
        <f>IF($B7="ABSOLUTE SEMANTIC",ABS('06_ITEM_POLE_MODEL'!W7),ABS('06_ITEM_POLE_MODEL'!W7)*ABS(SUMPRODUCT(--('93_TARGET_MEMBERSHIP'!D$5:D$27=1),'05_FEATURE_MODEL'!O$5:O$27)/MAX(1,COUNTIF('93_TARGET_MEMBERSHIP'!D$5:D$27,1))-SUMPRODUCT(--('93_TARGET_MEMBERSHIP'!D$5:D$27=-1),'05_FEATURE_MODEL'!O$5:O$27)/MAX(1,COUNTIF('93_TARGET_MEMBERSHIP'!D$5:D$27,-1))))</f>
        <v/>
      </c>
      <c r="O7" s="34">
        <f>IF($B7="ABSOLUTE SEMANTIC",ABS('06_ITEM_POLE_MODEL'!X7),ABS('06_ITEM_POLE_MODEL'!X7)*ABS(SUMPRODUCT(--('93_TARGET_MEMBERSHIP'!D$5:D$27=1),'05_FEATURE_MODEL'!P$5:P$27)/MAX(1,COUNTIF('93_TARGET_MEMBERSHIP'!D$5:D$27,1))-SUMPRODUCT(--('93_TARGET_MEMBERSHIP'!D$5:D$27=-1),'05_FEATURE_MODEL'!P$5:P$27)/MAX(1,COUNTIF('93_TARGET_MEMBERSHIP'!D$5:D$27,-1))))</f>
        <v/>
      </c>
      <c r="P7" s="34">
        <f>IF($B7="ABSOLUTE SEMANTIC",ABS('06_ITEM_POLE_MODEL'!Y7),ABS('06_ITEM_POLE_MODEL'!Y7)*ABS(SUMPRODUCT(--('93_TARGET_MEMBERSHIP'!D$5:D$27=1),'05_FEATURE_MODEL'!Q$5:Q$27)/MAX(1,COUNTIF('93_TARGET_MEMBERSHIP'!D$5:D$27,1))-SUMPRODUCT(--('93_TARGET_MEMBERSHIP'!D$5:D$27=-1),'05_FEATURE_MODEL'!Q$5:Q$27)/MAX(1,COUNTIF('93_TARGET_MEMBERSHIP'!D$5:D$27,-1))))</f>
        <v/>
      </c>
      <c r="Q7" s="34">
        <f>IF($B7="ABSOLUTE SEMANTIC",ABS('06_ITEM_POLE_MODEL'!Z7),ABS('06_ITEM_POLE_MODEL'!Z7)*ABS(SUMPRODUCT(--('93_TARGET_MEMBERSHIP'!D$5:D$27=1),'05_FEATURE_MODEL'!R$5:R$27)/MAX(1,COUNTIF('93_TARGET_MEMBERSHIP'!D$5:D$27,1))-SUMPRODUCT(--('93_TARGET_MEMBERSHIP'!D$5:D$27=-1),'05_FEATURE_MODEL'!R$5:R$27)/MAX(1,COUNTIF('93_TARGET_MEMBERSHIP'!D$5:D$27,-1))))</f>
        <v/>
      </c>
      <c r="R7" s="34">
        <f>IF($B7="ABSOLUTE SEMANTIC",ABS('06_ITEM_POLE_MODEL'!AA7),ABS('06_ITEM_POLE_MODEL'!AA7)*ABS(SUMPRODUCT(--('93_TARGET_MEMBERSHIP'!D$5:D$27=1),'05_FEATURE_MODEL'!S$5:S$27)/MAX(1,COUNTIF('93_TARGET_MEMBERSHIP'!D$5:D$27,1))-SUMPRODUCT(--('93_TARGET_MEMBERSHIP'!D$5:D$27=-1),'05_FEATURE_MODEL'!S$5:S$27)/MAX(1,COUNTIF('93_TARGET_MEMBERSHIP'!D$5:D$27,-1))))</f>
        <v/>
      </c>
      <c r="S7" s="34">
        <f>IF($B7="ABSOLUTE SEMANTIC",ABS('06_ITEM_POLE_MODEL'!AB7),ABS('06_ITEM_POLE_MODEL'!AB7)*ABS(SUMPRODUCT(--('93_TARGET_MEMBERSHIP'!D$5:D$27=1),'05_FEATURE_MODEL'!T$5:T$27)/MAX(1,COUNTIF('93_TARGET_MEMBERSHIP'!D$5:D$27,1))-SUMPRODUCT(--('93_TARGET_MEMBERSHIP'!D$5:D$27=-1),'05_FEATURE_MODEL'!T$5:T$27)/MAX(1,COUNTIF('93_TARGET_MEMBERSHIP'!D$5:D$27,-1))))</f>
        <v/>
      </c>
      <c r="T7" s="34">
        <f>IF($B7="ABSOLUTE SEMANTIC",ABS('06_ITEM_POLE_MODEL'!AC7),ABS('06_ITEM_POLE_MODEL'!AC7)*ABS(SUMPRODUCT(--('93_TARGET_MEMBERSHIP'!D$5:D$27=1),'05_FEATURE_MODEL'!U$5:U$27)/MAX(1,COUNTIF('93_TARGET_MEMBERSHIP'!D$5:D$27,1))-SUMPRODUCT(--('93_TARGET_MEMBERSHIP'!D$5:D$27=-1),'05_FEATURE_MODEL'!U$5:U$27)/MAX(1,COUNTIF('93_TARGET_MEMBERSHIP'!D$5:D$27,-1))))</f>
        <v/>
      </c>
      <c r="U7" s="34">
        <f>IF($B7="ABSOLUTE SEMANTIC",ABS('06_ITEM_POLE_MODEL'!AD7),ABS('06_ITEM_POLE_MODEL'!AD7)*ABS(SUMPRODUCT(--('93_TARGET_MEMBERSHIP'!D$5:D$27=1),'05_FEATURE_MODEL'!V$5:V$27)/MAX(1,COUNTIF('93_TARGET_MEMBERSHIP'!D$5:D$27,1))-SUMPRODUCT(--('93_TARGET_MEMBERSHIP'!D$5:D$27=-1),'05_FEATURE_MODEL'!V$5:V$27)/MAX(1,COUNTIF('93_TARGET_MEMBERSHIP'!D$5:D$27,-1))))</f>
        <v/>
      </c>
      <c r="V7" s="34">
        <f>IF($B7="ABSOLUTE SEMANTIC",ABS('06_ITEM_POLE_MODEL'!AE7),ABS('06_ITEM_POLE_MODEL'!AE7)*ABS(SUMPRODUCT(--('93_TARGET_MEMBERSHIP'!D$5:D$27=1),'05_FEATURE_MODEL'!W$5:W$27)/MAX(1,COUNTIF('93_TARGET_MEMBERSHIP'!D$5:D$27,1))-SUMPRODUCT(--('93_TARGET_MEMBERSHIP'!D$5:D$27=-1),'05_FEATURE_MODEL'!W$5:W$27)/MAX(1,COUNTIF('93_TARGET_MEMBERSHIP'!D$5:D$27,-1))))</f>
        <v/>
      </c>
      <c r="W7" s="34">
        <f>IF($B7="ABSOLUTE SEMANTIC",ABS('06_ITEM_POLE_MODEL'!AF7),ABS('06_ITEM_POLE_MODEL'!AF7)*ABS(SUMPRODUCT(--('93_TARGET_MEMBERSHIP'!D$5:D$27=1),'05_FEATURE_MODEL'!X$5:X$27)/MAX(1,COUNTIF('93_TARGET_MEMBERSHIP'!D$5:D$27,1))-SUMPRODUCT(--('93_TARGET_MEMBERSHIP'!D$5:D$27=-1),'05_FEATURE_MODEL'!X$5:X$27)/MAX(1,COUNTIF('93_TARGET_MEMBERSHIP'!D$5:D$27,-1))))</f>
        <v/>
      </c>
      <c r="X7" s="34">
        <f>IF($B7="ABSOLUTE SEMANTIC",ABS('06_ITEM_POLE_MODEL'!AG7),ABS('06_ITEM_POLE_MODEL'!AG7)*ABS(SUMPRODUCT(--('93_TARGET_MEMBERSHIP'!D$5:D$27=1),'05_FEATURE_MODEL'!Y$5:Y$27)/MAX(1,COUNTIF('93_TARGET_MEMBERSHIP'!D$5:D$27,1))-SUMPRODUCT(--('93_TARGET_MEMBERSHIP'!D$5:D$27=-1),'05_FEATURE_MODEL'!Y$5:Y$27)/MAX(1,COUNTIF('93_TARGET_MEMBERSHIP'!D$5:D$27,-1))))</f>
        <v/>
      </c>
      <c r="Y7" s="34">
        <f>IF($B7="ABSOLUTE SEMANTIC",ABS('06_ITEM_POLE_MODEL'!AH7),ABS('06_ITEM_POLE_MODEL'!AH7)*ABS(SUMPRODUCT(--('93_TARGET_MEMBERSHIP'!D$5:D$27=1),'05_FEATURE_MODEL'!Z$5:Z$27)/MAX(1,COUNTIF('93_TARGET_MEMBERSHIP'!D$5:D$27,1))-SUMPRODUCT(--('93_TARGET_MEMBERSHIP'!D$5:D$27=-1),'05_FEATURE_MODEL'!Z$5:Z$27)/MAX(1,COUNTIF('93_TARGET_MEMBERSHIP'!D$5:D$27,-1))))</f>
        <v/>
      </c>
      <c r="Z7" s="34">
        <f>IF($B7="ABSOLUTE SEMANTIC",ABS('06_ITEM_POLE_MODEL'!AI7),ABS('06_ITEM_POLE_MODEL'!AI7)*ABS(SUMPRODUCT(--('93_TARGET_MEMBERSHIP'!D$5:D$27=1),'05_FEATURE_MODEL'!AA$5:AA$27)/MAX(1,COUNTIF('93_TARGET_MEMBERSHIP'!D$5:D$27,1))-SUMPRODUCT(--('93_TARGET_MEMBERSHIP'!D$5:D$27=-1),'05_FEATURE_MODEL'!AA$5:AA$27)/MAX(1,COUNTIF('93_TARGET_MEMBERSHIP'!D$5:D$27,-1))))</f>
        <v/>
      </c>
      <c r="AA7" s="34">
        <f>IF($B7="ABSOLUTE SEMANTIC",ABS('06_ITEM_POLE_MODEL'!AJ7),ABS('06_ITEM_POLE_MODEL'!AJ7)*ABS(SUMPRODUCT(--('93_TARGET_MEMBERSHIP'!D$5:D$27=1),'05_FEATURE_MODEL'!AB$5:AB$27)/MAX(1,COUNTIF('93_TARGET_MEMBERSHIP'!D$5:D$27,1))-SUMPRODUCT(--('93_TARGET_MEMBERSHIP'!D$5:D$27=-1),'05_FEATURE_MODEL'!AB$5:AB$27)/MAX(1,COUNTIF('93_TARGET_MEMBERSHIP'!D$5:D$27,-1))))</f>
        <v/>
      </c>
      <c r="AB7" s="34">
        <f>IF($B7="ABSOLUTE SEMANTIC",ABS('06_ITEM_POLE_MODEL'!AK7),ABS('06_ITEM_POLE_MODEL'!AK7)*ABS(SUMPRODUCT(--('93_TARGET_MEMBERSHIP'!D$5:D$27=1),'05_FEATURE_MODEL'!AC$5:AC$27)/MAX(1,COUNTIF('93_TARGET_MEMBERSHIP'!D$5:D$27,1))-SUMPRODUCT(--('93_TARGET_MEMBERSHIP'!D$5:D$27=-1),'05_FEATURE_MODEL'!AC$5:AC$27)/MAX(1,COUNTIF('93_TARGET_MEMBERSHIP'!D$5:D$27,-1))))</f>
        <v/>
      </c>
      <c r="AC7" s="34">
        <f>IF($B7="ABSOLUTE SEMANTIC",ABS('06_ITEM_POLE_MODEL'!AL7),ABS('06_ITEM_POLE_MODEL'!AL7)*ABS(SUMPRODUCT(--('93_TARGET_MEMBERSHIP'!D$5:D$27=1),'05_FEATURE_MODEL'!AD$5:AD$27)/MAX(1,COUNTIF('93_TARGET_MEMBERSHIP'!D$5:D$27,1))-SUMPRODUCT(--('93_TARGET_MEMBERSHIP'!D$5:D$27=-1),'05_FEATURE_MODEL'!AD$5:AD$27)/MAX(1,COUNTIF('93_TARGET_MEMBERSHIP'!D$5:D$27,-1))))</f>
        <v/>
      </c>
      <c r="AD7" s="34">
        <f>IF($B7="ABSOLUTE SEMANTIC",ABS('06_ITEM_POLE_MODEL'!AM7),ABS('06_ITEM_POLE_MODEL'!AM7)*ABS(SUMPRODUCT(--('93_TARGET_MEMBERSHIP'!D$5:D$27=1),'05_FEATURE_MODEL'!AE$5:AE$27)/MAX(1,COUNTIF('93_TARGET_MEMBERSHIP'!D$5:D$27,1))-SUMPRODUCT(--('93_TARGET_MEMBERSHIP'!D$5:D$27=-1),'05_FEATURE_MODEL'!AE$5:AE$27)/MAX(1,COUNTIF('93_TARGET_MEMBERSHIP'!D$5:D$27,-1))))</f>
        <v/>
      </c>
      <c r="AE7" s="34">
        <f>IF($B7="ABSOLUTE SEMANTIC",ABS('06_ITEM_POLE_MODEL'!AN7),ABS('06_ITEM_POLE_MODEL'!AN7)*ABS(SUMPRODUCT(--('93_TARGET_MEMBERSHIP'!D$5:D$27=1),'05_FEATURE_MODEL'!AF$5:AF$27)/MAX(1,COUNTIF('93_TARGET_MEMBERSHIP'!D$5:D$27,1))-SUMPRODUCT(--('93_TARGET_MEMBERSHIP'!D$5:D$27=-1),'05_FEATURE_MODEL'!AF$5:AF$27)/MAX(1,COUNTIF('93_TARGET_MEMBERSHIP'!D$5:D$27,-1))))</f>
        <v/>
      </c>
      <c r="AF7" s="34">
        <f>IF($B7="ABSOLUTE SEMANTIC",ABS('06_ITEM_POLE_MODEL'!AO7),ABS('06_ITEM_POLE_MODEL'!AO7)*ABS(SUMPRODUCT(--('93_TARGET_MEMBERSHIP'!D$5:D$27=1),'05_FEATURE_MODEL'!AG$5:AG$27)/MAX(1,COUNTIF('93_TARGET_MEMBERSHIP'!D$5:D$27,1))-SUMPRODUCT(--('93_TARGET_MEMBERSHIP'!D$5:D$27=-1),'05_FEATURE_MODEL'!AG$5:AG$27)/MAX(1,COUNTIF('93_TARGET_MEMBERSHIP'!D$5:D$27,-1))))</f>
        <v/>
      </c>
      <c r="AG7" s="34">
        <f>IF($B7="ABSOLUTE SEMANTIC",ABS('06_ITEM_POLE_MODEL'!AP7),ABS('06_ITEM_POLE_MODEL'!AP7)*ABS(SUMPRODUCT(--('93_TARGET_MEMBERSHIP'!D$5:D$27=1),'05_FEATURE_MODEL'!AH$5:AH$27)/MAX(1,COUNTIF('93_TARGET_MEMBERSHIP'!D$5:D$27,1))-SUMPRODUCT(--('93_TARGET_MEMBERSHIP'!D$5:D$27=-1),'05_FEATURE_MODEL'!AH$5:AH$27)/MAX(1,COUNTIF('93_TARGET_MEMBERSHIP'!D$5:D$27,-1))))</f>
        <v/>
      </c>
      <c r="AH7" s="34">
        <f>IF($B7="ABSOLUTE SEMANTIC",ABS('06_ITEM_POLE_MODEL'!AQ7),ABS('06_ITEM_POLE_MODEL'!AQ7)*ABS(SUMPRODUCT(--('93_TARGET_MEMBERSHIP'!D$5:D$27=1),'05_FEATURE_MODEL'!AI$5:AI$27)/MAX(1,COUNTIF('93_TARGET_MEMBERSHIP'!D$5:D$27,1))-SUMPRODUCT(--('93_TARGET_MEMBERSHIP'!D$5:D$27=-1),'05_FEATURE_MODEL'!AI$5:AI$27)/MAX(1,COUNTIF('93_TARGET_MEMBERSHIP'!D$5:D$27,-1))))</f>
        <v/>
      </c>
      <c r="AI7" s="34">
        <f>IF($B7="ABSOLUTE SEMANTIC",ABS('06_ITEM_POLE_MODEL'!AR7),ABS('06_ITEM_POLE_MODEL'!AR7)*ABS(SUMPRODUCT(--('93_TARGET_MEMBERSHIP'!D$5:D$27=1),'05_FEATURE_MODEL'!AJ$5:AJ$27)/MAX(1,COUNTIF('93_TARGET_MEMBERSHIP'!D$5:D$27,1))-SUMPRODUCT(--('93_TARGET_MEMBERSHIP'!D$5:D$27=-1),'05_FEATURE_MODEL'!AJ$5:AJ$27)/MAX(1,COUNTIF('93_TARGET_MEMBERSHIP'!D$5:D$27,-1))))</f>
        <v/>
      </c>
      <c r="AJ7" s="34">
        <f>IF($B7="ABSOLUTE SEMANTIC",ABS('06_ITEM_POLE_MODEL'!AS7),ABS('06_ITEM_POLE_MODEL'!AS7)*ABS(SUMPRODUCT(--('93_TARGET_MEMBERSHIP'!D$5:D$27=1),'05_FEATURE_MODEL'!AK$5:AK$27)/MAX(1,COUNTIF('93_TARGET_MEMBERSHIP'!D$5:D$27,1))-SUMPRODUCT(--('93_TARGET_MEMBERSHIP'!D$5:D$27=-1),'05_FEATURE_MODEL'!AK$5:AK$27)/MAX(1,COUNTIF('93_TARGET_MEMBERSHIP'!D$5:D$27,-1))))</f>
        <v/>
      </c>
      <c r="AK7" s="34">
        <f>IF($B7="ABSOLUTE SEMANTIC",ABS('06_ITEM_POLE_MODEL'!AT7),ABS('06_ITEM_POLE_MODEL'!AT7)*ABS(SUMPRODUCT(--('93_TARGET_MEMBERSHIP'!D$5:D$27=1),'05_FEATURE_MODEL'!AL$5:AL$27)/MAX(1,COUNTIF('93_TARGET_MEMBERSHIP'!D$5:D$27,1))-SUMPRODUCT(--('93_TARGET_MEMBERSHIP'!D$5:D$27=-1),'05_FEATURE_MODEL'!AL$5:AL$27)/MAX(1,COUNTIF('93_TARGET_MEMBERSHIP'!D$5:D$27,-1))))</f>
        <v/>
      </c>
      <c r="AL7" s="34">
        <f>IF($B7="ABSOLUTE SEMANTIC",ABS('06_ITEM_POLE_MODEL'!AU7),ABS('06_ITEM_POLE_MODEL'!AU7)*ABS(SUMPRODUCT(--('93_TARGET_MEMBERSHIP'!D$5:D$27=1),'05_FEATURE_MODEL'!AM$5:AM$27)/MAX(1,COUNTIF('93_TARGET_MEMBERSHIP'!D$5:D$27,1))-SUMPRODUCT(--('93_TARGET_MEMBERSHIP'!D$5:D$27=-1),'05_FEATURE_MODEL'!AM$5:AM$27)/MAX(1,COUNTIF('93_TARGET_MEMBERSHIP'!D$5:D$27,-1))))</f>
        <v/>
      </c>
      <c r="AM7" s="34">
        <f>IF($B7="ABSOLUTE SEMANTIC",ABS('06_ITEM_POLE_MODEL'!AV7),ABS('06_ITEM_POLE_MODEL'!AV7)*ABS(SUMPRODUCT(--('93_TARGET_MEMBERSHIP'!D$5:D$27=1),'05_FEATURE_MODEL'!AN$5:AN$27)/MAX(1,COUNTIF('93_TARGET_MEMBERSHIP'!D$5:D$27,1))-SUMPRODUCT(--('93_TARGET_MEMBERSHIP'!D$5:D$27=-1),'05_FEATURE_MODEL'!AN$5:AN$27)/MAX(1,COUNTIF('93_TARGET_MEMBERSHIP'!D$5:D$27,-1))))</f>
        <v/>
      </c>
      <c r="AN7" s="34">
        <f>IF($B7="ABSOLUTE SEMANTIC",ABS('06_ITEM_POLE_MODEL'!AW7),ABS('06_ITEM_POLE_MODEL'!AW7)*ABS(SUMPRODUCT(--('93_TARGET_MEMBERSHIP'!D$5:D$27=1),'05_FEATURE_MODEL'!AO$5:AO$27)/MAX(1,COUNTIF('93_TARGET_MEMBERSHIP'!D$5:D$27,1))-SUMPRODUCT(--('93_TARGET_MEMBERSHIP'!D$5:D$27=-1),'05_FEATURE_MODEL'!AO$5:AO$27)/MAX(1,COUNTIF('93_TARGET_MEMBERSHIP'!D$5:D$27,-1))))</f>
        <v/>
      </c>
      <c r="AO7" s="34">
        <f>IF($B7="ABSOLUTE SEMANTIC",ABS('06_ITEM_POLE_MODEL'!AX7),ABS('06_ITEM_POLE_MODEL'!AX7)*ABS(SUMPRODUCT(--('93_TARGET_MEMBERSHIP'!D$5:D$27=1),'05_FEATURE_MODEL'!AP$5:AP$27)/MAX(1,COUNTIF('93_TARGET_MEMBERSHIP'!D$5:D$27,1))-SUMPRODUCT(--('93_TARGET_MEMBERSHIP'!D$5:D$27=-1),'05_FEATURE_MODEL'!AP$5:AP$27)/MAX(1,COUNTIF('93_TARGET_MEMBERSHIP'!D$5:D$27,-1))))</f>
        <v/>
      </c>
      <c r="AP7" s="34">
        <f>IF($B7="ABSOLUTE SEMANTIC",ABS('06_ITEM_POLE_MODEL'!AY7),ABS('06_ITEM_POLE_MODEL'!AY7)*ABS(SUMPRODUCT(--('93_TARGET_MEMBERSHIP'!D$5:D$27=1),'05_FEATURE_MODEL'!AQ$5:AQ$27)/MAX(1,COUNTIF('93_TARGET_MEMBERSHIP'!D$5:D$27,1))-SUMPRODUCT(--('93_TARGET_MEMBERSHIP'!D$5:D$27=-1),'05_FEATURE_MODEL'!AQ$5:AQ$27)/MAX(1,COUNTIF('93_TARGET_MEMBERSHIP'!D$5:D$27,-1))))</f>
        <v/>
      </c>
      <c r="AQ7" s="34">
        <f>IF($B7="ABSOLUTE SEMANTIC",ABS('06_ITEM_POLE_MODEL'!AZ7),ABS('06_ITEM_POLE_MODEL'!AZ7)*ABS(SUMPRODUCT(--('93_TARGET_MEMBERSHIP'!D$5:D$27=1),'05_FEATURE_MODEL'!AR$5:AR$27)/MAX(1,COUNTIF('93_TARGET_MEMBERSHIP'!D$5:D$27,1))-SUMPRODUCT(--('93_TARGET_MEMBERSHIP'!D$5:D$27=-1),'05_FEATURE_MODEL'!AR$5:AR$27)/MAX(1,COUNTIF('93_TARGET_MEMBERSHIP'!D$5:D$27,-1))))</f>
        <v/>
      </c>
    </row>
    <row r="8" ht="36" customHeight="1">
      <c r="A8" s="34">
        <f>'06_ITEM_POLE_MODEL'!A8</f>
        <v/>
      </c>
      <c r="B8" s="34">
        <f>'06_ITEM_POLE_MODEL'!E8</f>
        <v/>
      </c>
      <c r="C8" s="34">
        <f>IF($B8="ABSOLUTE SEMANTIC",ABS('06_ITEM_POLE_MODEL'!L8),ABS('06_ITEM_POLE_MODEL'!L8)*ABS(SUMPRODUCT(--('93_TARGET_MEMBERSHIP'!E$5:E$27=1),'05_FEATURE_MODEL'!D$5:D$27)/MAX(1,COUNTIF('93_TARGET_MEMBERSHIP'!E$5:E$27,1))-SUMPRODUCT(--('93_TARGET_MEMBERSHIP'!E$5:E$27=-1),'05_FEATURE_MODEL'!D$5:D$27)/MAX(1,COUNTIF('93_TARGET_MEMBERSHIP'!E$5:E$27,-1))))</f>
        <v/>
      </c>
      <c r="D8" s="34">
        <f>IF($B8="ABSOLUTE SEMANTIC",ABS('06_ITEM_POLE_MODEL'!M8),ABS('06_ITEM_POLE_MODEL'!M8)*ABS(SUMPRODUCT(--('93_TARGET_MEMBERSHIP'!E$5:E$27=1),'05_FEATURE_MODEL'!E$5:E$27)/MAX(1,COUNTIF('93_TARGET_MEMBERSHIP'!E$5:E$27,1))-SUMPRODUCT(--('93_TARGET_MEMBERSHIP'!E$5:E$27=-1),'05_FEATURE_MODEL'!E$5:E$27)/MAX(1,COUNTIF('93_TARGET_MEMBERSHIP'!E$5:E$27,-1))))</f>
        <v/>
      </c>
      <c r="E8" s="34">
        <f>IF($B8="ABSOLUTE SEMANTIC",ABS('06_ITEM_POLE_MODEL'!N8),ABS('06_ITEM_POLE_MODEL'!N8)*ABS(SUMPRODUCT(--('93_TARGET_MEMBERSHIP'!E$5:E$27=1),'05_FEATURE_MODEL'!F$5:F$27)/MAX(1,COUNTIF('93_TARGET_MEMBERSHIP'!E$5:E$27,1))-SUMPRODUCT(--('93_TARGET_MEMBERSHIP'!E$5:E$27=-1),'05_FEATURE_MODEL'!F$5:F$27)/MAX(1,COUNTIF('93_TARGET_MEMBERSHIP'!E$5:E$27,-1))))</f>
        <v/>
      </c>
      <c r="F8" s="34">
        <f>IF($B8="ABSOLUTE SEMANTIC",ABS('06_ITEM_POLE_MODEL'!O8),ABS('06_ITEM_POLE_MODEL'!O8)*ABS(SUMPRODUCT(--('93_TARGET_MEMBERSHIP'!E$5:E$27=1),'05_FEATURE_MODEL'!G$5:G$27)/MAX(1,COUNTIF('93_TARGET_MEMBERSHIP'!E$5:E$27,1))-SUMPRODUCT(--('93_TARGET_MEMBERSHIP'!E$5:E$27=-1),'05_FEATURE_MODEL'!G$5:G$27)/MAX(1,COUNTIF('93_TARGET_MEMBERSHIP'!E$5:E$27,-1))))</f>
        <v/>
      </c>
      <c r="G8" s="34">
        <f>IF($B8="ABSOLUTE SEMANTIC",ABS('06_ITEM_POLE_MODEL'!P8),ABS('06_ITEM_POLE_MODEL'!P8)*ABS(SUMPRODUCT(--('93_TARGET_MEMBERSHIP'!E$5:E$27=1),'05_FEATURE_MODEL'!H$5:H$27)/MAX(1,COUNTIF('93_TARGET_MEMBERSHIP'!E$5:E$27,1))-SUMPRODUCT(--('93_TARGET_MEMBERSHIP'!E$5:E$27=-1),'05_FEATURE_MODEL'!H$5:H$27)/MAX(1,COUNTIF('93_TARGET_MEMBERSHIP'!E$5:E$27,-1))))</f>
        <v/>
      </c>
      <c r="H8" s="34">
        <f>IF($B8="ABSOLUTE SEMANTIC",ABS('06_ITEM_POLE_MODEL'!Q8),ABS('06_ITEM_POLE_MODEL'!Q8)*ABS(SUMPRODUCT(--('93_TARGET_MEMBERSHIP'!E$5:E$27=1),'05_FEATURE_MODEL'!I$5:I$27)/MAX(1,COUNTIF('93_TARGET_MEMBERSHIP'!E$5:E$27,1))-SUMPRODUCT(--('93_TARGET_MEMBERSHIP'!E$5:E$27=-1),'05_FEATURE_MODEL'!I$5:I$27)/MAX(1,COUNTIF('93_TARGET_MEMBERSHIP'!E$5:E$27,-1))))</f>
        <v/>
      </c>
      <c r="I8" s="34">
        <f>IF($B8="ABSOLUTE SEMANTIC",ABS('06_ITEM_POLE_MODEL'!R8),ABS('06_ITEM_POLE_MODEL'!R8)*ABS(SUMPRODUCT(--('93_TARGET_MEMBERSHIP'!E$5:E$27=1),'05_FEATURE_MODEL'!J$5:J$27)/MAX(1,COUNTIF('93_TARGET_MEMBERSHIP'!E$5:E$27,1))-SUMPRODUCT(--('93_TARGET_MEMBERSHIP'!E$5:E$27=-1),'05_FEATURE_MODEL'!J$5:J$27)/MAX(1,COUNTIF('93_TARGET_MEMBERSHIP'!E$5:E$27,-1))))</f>
        <v/>
      </c>
      <c r="J8" s="34">
        <f>IF($B8="ABSOLUTE SEMANTIC",ABS('06_ITEM_POLE_MODEL'!S8),ABS('06_ITEM_POLE_MODEL'!S8)*ABS(SUMPRODUCT(--('93_TARGET_MEMBERSHIP'!E$5:E$27=1),'05_FEATURE_MODEL'!K$5:K$27)/MAX(1,COUNTIF('93_TARGET_MEMBERSHIP'!E$5:E$27,1))-SUMPRODUCT(--('93_TARGET_MEMBERSHIP'!E$5:E$27=-1),'05_FEATURE_MODEL'!K$5:K$27)/MAX(1,COUNTIF('93_TARGET_MEMBERSHIP'!E$5:E$27,-1))))</f>
        <v/>
      </c>
      <c r="K8" s="34">
        <f>IF($B8="ABSOLUTE SEMANTIC",ABS('06_ITEM_POLE_MODEL'!T8),ABS('06_ITEM_POLE_MODEL'!T8)*ABS(SUMPRODUCT(--('93_TARGET_MEMBERSHIP'!E$5:E$27=1),'05_FEATURE_MODEL'!L$5:L$27)/MAX(1,COUNTIF('93_TARGET_MEMBERSHIP'!E$5:E$27,1))-SUMPRODUCT(--('93_TARGET_MEMBERSHIP'!E$5:E$27=-1),'05_FEATURE_MODEL'!L$5:L$27)/MAX(1,COUNTIF('93_TARGET_MEMBERSHIP'!E$5:E$27,-1))))</f>
        <v/>
      </c>
      <c r="L8" s="34">
        <f>IF($B8="ABSOLUTE SEMANTIC",ABS('06_ITEM_POLE_MODEL'!U8),ABS('06_ITEM_POLE_MODEL'!U8)*ABS(SUMPRODUCT(--('93_TARGET_MEMBERSHIP'!E$5:E$27=1),'05_FEATURE_MODEL'!M$5:M$27)/MAX(1,COUNTIF('93_TARGET_MEMBERSHIP'!E$5:E$27,1))-SUMPRODUCT(--('93_TARGET_MEMBERSHIP'!E$5:E$27=-1),'05_FEATURE_MODEL'!M$5:M$27)/MAX(1,COUNTIF('93_TARGET_MEMBERSHIP'!E$5:E$27,-1))))</f>
        <v/>
      </c>
      <c r="M8" s="34">
        <f>IF($B8="ABSOLUTE SEMANTIC",ABS('06_ITEM_POLE_MODEL'!V8),ABS('06_ITEM_POLE_MODEL'!V8)*ABS(SUMPRODUCT(--('93_TARGET_MEMBERSHIP'!E$5:E$27=1),'05_FEATURE_MODEL'!N$5:N$27)/MAX(1,COUNTIF('93_TARGET_MEMBERSHIP'!E$5:E$27,1))-SUMPRODUCT(--('93_TARGET_MEMBERSHIP'!E$5:E$27=-1),'05_FEATURE_MODEL'!N$5:N$27)/MAX(1,COUNTIF('93_TARGET_MEMBERSHIP'!E$5:E$27,-1))))</f>
        <v/>
      </c>
      <c r="N8" s="34">
        <f>IF($B8="ABSOLUTE SEMANTIC",ABS('06_ITEM_POLE_MODEL'!W8),ABS('06_ITEM_POLE_MODEL'!W8)*ABS(SUMPRODUCT(--('93_TARGET_MEMBERSHIP'!E$5:E$27=1),'05_FEATURE_MODEL'!O$5:O$27)/MAX(1,COUNTIF('93_TARGET_MEMBERSHIP'!E$5:E$27,1))-SUMPRODUCT(--('93_TARGET_MEMBERSHIP'!E$5:E$27=-1),'05_FEATURE_MODEL'!O$5:O$27)/MAX(1,COUNTIF('93_TARGET_MEMBERSHIP'!E$5:E$27,-1))))</f>
        <v/>
      </c>
      <c r="O8" s="34">
        <f>IF($B8="ABSOLUTE SEMANTIC",ABS('06_ITEM_POLE_MODEL'!X8),ABS('06_ITEM_POLE_MODEL'!X8)*ABS(SUMPRODUCT(--('93_TARGET_MEMBERSHIP'!E$5:E$27=1),'05_FEATURE_MODEL'!P$5:P$27)/MAX(1,COUNTIF('93_TARGET_MEMBERSHIP'!E$5:E$27,1))-SUMPRODUCT(--('93_TARGET_MEMBERSHIP'!E$5:E$27=-1),'05_FEATURE_MODEL'!P$5:P$27)/MAX(1,COUNTIF('93_TARGET_MEMBERSHIP'!E$5:E$27,-1))))</f>
        <v/>
      </c>
      <c r="P8" s="34">
        <f>IF($B8="ABSOLUTE SEMANTIC",ABS('06_ITEM_POLE_MODEL'!Y8),ABS('06_ITEM_POLE_MODEL'!Y8)*ABS(SUMPRODUCT(--('93_TARGET_MEMBERSHIP'!E$5:E$27=1),'05_FEATURE_MODEL'!Q$5:Q$27)/MAX(1,COUNTIF('93_TARGET_MEMBERSHIP'!E$5:E$27,1))-SUMPRODUCT(--('93_TARGET_MEMBERSHIP'!E$5:E$27=-1),'05_FEATURE_MODEL'!Q$5:Q$27)/MAX(1,COUNTIF('93_TARGET_MEMBERSHIP'!E$5:E$27,-1))))</f>
        <v/>
      </c>
      <c r="Q8" s="34">
        <f>IF($B8="ABSOLUTE SEMANTIC",ABS('06_ITEM_POLE_MODEL'!Z8),ABS('06_ITEM_POLE_MODEL'!Z8)*ABS(SUMPRODUCT(--('93_TARGET_MEMBERSHIP'!E$5:E$27=1),'05_FEATURE_MODEL'!R$5:R$27)/MAX(1,COUNTIF('93_TARGET_MEMBERSHIP'!E$5:E$27,1))-SUMPRODUCT(--('93_TARGET_MEMBERSHIP'!E$5:E$27=-1),'05_FEATURE_MODEL'!R$5:R$27)/MAX(1,COUNTIF('93_TARGET_MEMBERSHIP'!E$5:E$27,-1))))</f>
        <v/>
      </c>
      <c r="R8" s="34">
        <f>IF($B8="ABSOLUTE SEMANTIC",ABS('06_ITEM_POLE_MODEL'!AA8),ABS('06_ITEM_POLE_MODEL'!AA8)*ABS(SUMPRODUCT(--('93_TARGET_MEMBERSHIP'!E$5:E$27=1),'05_FEATURE_MODEL'!S$5:S$27)/MAX(1,COUNTIF('93_TARGET_MEMBERSHIP'!E$5:E$27,1))-SUMPRODUCT(--('93_TARGET_MEMBERSHIP'!E$5:E$27=-1),'05_FEATURE_MODEL'!S$5:S$27)/MAX(1,COUNTIF('93_TARGET_MEMBERSHIP'!E$5:E$27,-1))))</f>
        <v/>
      </c>
      <c r="S8" s="34">
        <f>IF($B8="ABSOLUTE SEMANTIC",ABS('06_ITEM_POLE_MODEL'!AB8),ABS('06_ITEM_POLE_MODEL'!AB8)*ABS(SUMPRODUCT(--('93_TARGET_MEMBERSHIP'!E$5:E$27=1),'05_FEATURE_MODEL'!T$5:T$27)/MAX(1,COUNTIF('93_TARGET_MEMBERSHIP'!E$5:E$27,1))-SUMPRODUCT(--('93_TARGET_MEMBERSHIP'!E$5:E$27=-1),'05_FEATURE_MODEL'!T$5:T$27)/MAX(1,COUNTIF('93_TARGET_MEMBERSHIP'!E$5:E$27,-1))))</f>
        <v/>
      </c>
      <c r="T8" s="34">
        <f>IF($B8="ABSOLUTE SEMANTIC",ABS('06_ITEM_POLE_MODEL'!AC8),ABS('06_ITEM_POLE_MODEL'!AC8)*ABS(SUMPRODUCT(--('93_TARGET_MEMBERSHIP'!E$5:E$27=1),'05_FEATURE_MODEL'!U$5:U$27)/MAX(1,COUNTIF('93_TARGET_MEMBERSHIP'!E$5:E$27,1))-SUMPRODUCT(--('93_TARGET_MEMBERSHIP'!E$5:E$27=-1),'05_FEATURE_MODEL'!U$5:U$27)/MAX(1,COUNTIF('93_TARGET_MEMBERSHIP'!E$5:E$27,-1))))</f>
        <v/>
      </c>
      <c r="U8" s="34">
        <f>IF($B8="ABSOLUTE SEMANTIC",ABS('06_ITEM_POLE_MODEL'!AD8),ABS('06_ITEM_POLE_MODEL'!AD8)*ABS(SUMPRODUCT(--('93_TARGET_MEMBERSHIP'!E$5:E$27=1),'05_FEATURE_MODEL'!V$5:V$27)/MAX(1,COUNTIF('93_TARGET_MEMBERSHIP'!E$5:E$27,1))-SUMPRODUCT(--('93_TARGET_MEMBERSHIP'!E$5:E$27=-1),'05_FEATURE_MODEL'!V$5:V$27)/MAX(1,COUNTIF('93_TARGET_MEMBERSHIP'!E$5:E$27,-1))))</f>
        <v/>
      </c>
      <c r="V8" s="34">
        <f>IF($B8="ABSOLUTE SEMANTIC",ABS('06_ITEM_POLE_MODEL'!AE8),ABS('06_ITEM_POLE_MODEL'!AE8)*ABS(SUMPRODUCT(--('93_TARGET_MEMBERSHIP'!E$5:E$27=1),'05_FEATURE_MODEL'!W$5:W$27)/MAX(1,COUNTIF('93_TARGET_MEMBERSHIP'!E$5:E$27,1))-SUMPRODUCT(--('93_TARGET_MEMBERSHIP'!E$5:E$27=-1),'05_FEATURE_MODEL'!W$5:W$27)/MAX(1,COUNTIF('93_TARGET_MEMBERSHIP'!E$5:E$27,-1))))</f>
        <v/>
      </c>
      <c r="W8" s="34">
        <f>IF($B8="ABSOLUTE SEMANTIC",ABS('06_ITEM_POLE_MODEL'!AF8),ABS('06_ITEM_POLE_MODEL'!AF8)*ABS(SUMPRODUCT(--('93_TARGET_MEMBERSHIP'!E$5:E$27=1),'05_FEATURE_MODEL'!X$5:X$27)/MAX(1,COUNTIF('93_TARGET_MEMBERSHIP'!E$5:E$27,1))-SUMPRODUCT(--('93_TARGET_MEMBERSHIP'!E$5:E$27=-1),'05_FEATURE_MODEL'!X$5:X$27)/MAX(1,COUNTIF('93_TARGET_MEMBERSHIP'!E$5:E$27,-1))))</f>
        <v/>
      </c>
      <c r="X8" s="34">
        <f>IF($B8="ABSOLUTE SEMANTIC",ABS('06_ITEM_POLE_MODEL'!AG8),ABS('06_ITEM_POLE_MODEL'!AG8)*ABS(SUMPRODUCT(--('93_TARGET_MEMBERSHIP'!E$5:E$27=1),'05_FEATURE_MODEL'!Y$5:Y$27)/MAX(1,COUNTIF('93_TARGET_MEMBERSHIP'!E$5:E$27,1))-SUMPRODUCT(--('93_TARGET_MEMBERSHIP'!E$5:E$27=-1),'05_FEATURE_MODEL'!Y$5:Y$27)/MAX(1,COUNTIF('93_TARGET_MEMBERSHIP'!E$5:E$27,-1))))</f>
        <v/>
      </c>
      <c r="Y8" s="34">
        <f>IF($B8="ABSOLUTE SEMANTIC",ABS('06_ITEM_POLE_MODEL'!AH8),ABS('06_ITEM_POLE_MODEL'!AH8)*ABS(SUMPRODUCT(--('93_TARGET_MEMBERSHIP'!E$5:E$27=1),'05_FEATURE_MODEL'!Z$5:Z$27)/MAX(1,COUNTIF('93_TARGET_MEMBERSHIP'!E$5:E$27,1))-SUMPRODUCT(--('93_TARGET_MEMBERSHIP'!E$5:E$27=-1),'05_FEATURE_MODEL'!Z$5:Z$27)/MAX(1,COUNTIF('93_TARGET_MEMBERSHIP'!E$5:E$27,-1))))</f>
        <v/>
      </c>
      <c r="Z8" s="34">
        <f>IF($B8="ABSOLUTE SEMANTIC",ABS('06_ITEM_POLE_MODEL'!AI8),ABS('06_ITEM_POLE_MODEL'!AI8)*ABS(SUMPRODUCT(--('93_TARGET_MEMBERSHIP'!E$5:E$27=1),'05_FEATURE_MODEL'!AA$5:AA$27)/MAX(1,COUNTIF('93_TARGET_MEMBERSHIP'!E$5:E$27,1))-SUMPRODUCT(--('93_TARGET_MEMBERSHIP'!E$5:E$27=-1),'05_FEATURE_MODEL'!AA$5:AA$27)/MAX(1,COUNTIF('93_TARGET_MEMBERSHIP'!E$5:E$27,-1))))</f>
        <v/>
      </c>
      <c r="AA8" s="34">
        <f>IF($B8="ABSOLUTE SEMANTIC",ABS('06_ITEM_POLE_MODEL'!AJ8),ABS('06_ITEM_POLE_MODEL'!AJ8)*ABS(SUMPRODUCT(--('93_TARGET_MEMBERSHIP'!E$5:E$27=1),'05_FEATURE_MODEL'!AB$5:AB$27)/MAX(1,COUNTIF('93_TARGET_MEMBERSHIP'!E$5:E$27,1))-SUMPRODUCT(--('93_TARGET_MEMBERSHIP'!E$5:E$27=-1),'05_FEATURE_MODEL'!AB$5:AB$27)/MAX(1,COUNTIF('93_TARGET_MEMBERSHIP'!E$5:E$27,-1))))</f>
        <v/>
      </c>
      <c r="AB8" s="34">
        <f>IF($B8="ABSOLUTE SEMANTIC",ABS('06_ITEM_POLE_MODEL'!AK8),ABS('06_ITEM_POLE_MODEL'!AK8)*ABS(SUMPRODUCT(--('93_TARGET_MEMBERSHIP'!E$5:E$27=1),'05_FEATURE_MODEL'!AC$5:AC$27)/MAX(1,COUNTIF('93_TARGET_MEMBERSHIP'!E$5:E$27,1))-SUMPRODUCT(--('93_TARGET_MEMBERSHIP'!E$5:E$27=-1),'05_FEATURE_MODEL'!AC$5:AC$27)/MAX(1,COUNTIF('93_TARGET_MEMBERSHIP'!E$5:E$27,-1))))</f>
        <v/>
      </c>
      <c r="AC8" s="34">
        <f>IF($B8="ABSOLUTE SEMANTIC",ABS('06_ITEM_POLE_MODEL'!AL8),ABS('06_ITEM_POLE_MODEL'!AL8)*ABS(SUMPRODUCT(--('93_TARGET_MEMBERSHIP'!E$5:E$27=1),'05_FEATURE_MODEL'!AD$5:AD$27)/MAX(1,COUNTIF('93_TARGET_MEMBERSHIP'!E$5:E$27,1))-SUMPRODUCT(--('93_TARGET_MEMBERSHIP'!E$5:E$27=-1),'05_FEATURE_MODEL'!AD$5:AD$27)/MAX(1,COUNTIF('93_TARGET_MEMBERSHIP'!E$5:E$27,-1))))</f>
        <v/>
      </c>
      <c r="AD8" s="34">
        <f>IF($B8="ABSOLUTE SEMANTIC",ABS('06_ITEM_POLE_MODEL'!AM8),ABS('06_ITEM_POLE_MODEL'!AM8)*ABS(SUMPRODUCT(--('93_TARGET_MEMBERSHIP'!E$5:E$27=1),'05_FEATURE_MODEL'!AE$5:AE$27)/MAX(1,COUNTIF('93_TARGET_MEMBERSHIP'!E$5:E$27,1))-SUMPRODUCT(--('93_TARGET_MEMBERSHIP'!E$5:E$27=-1),'05_FEATURE_MODEL'!AE$5:AE$27)/MAX(1,COUNTIF('93_TARGET_MEMBERSHIP'!E$5:E$27,-1))))</f>
        <v/>
      </c>
      <c r="AE8" s="34">
        <f>IF($B8="ABSOLUTE SEMANTIC",ABS('06_ITEM_POLE_MODEL'!AN8),ABS('06_ITEM_POLE_MODEL'!AN8)*ABS(SUMPRODUCT(--('93_TARGET_MEMBERSHIP'!E$5:E$27=1),'05_FEATURE_MODEL'!AF$5:AF$27)/MAX(1,COUNTIF('93_TARGET_MEMBERSHIP'!E$5:E$27,1))-SUMPRODUCT(--('93_TARGET_MEMBERSHIP'!E$5:E$27=-1),'05_FEATURE_MODEL'!AF$5:AF$27)/MAX(1,COUNTIF('93_TARGET_MEMBERSHIP'!E$5:E$27,-1))))</f>
        <v/>
      </c>
      <c r="AF8" s="34">
        <f>IF($B8="ABSOLUTE SEMANTIC",ABS('06_ITEM_POLE_MODEL'!AO8),ABS('06_ITEM_POLE_MODEL'!AO8)*ABS(SUMPRODUCT(--('93_TARGET_MEMBERSHIP'!E$5:E$27=1),'05_FEATURE_MODEL'!AG$5:AG$27)/MAX(1,COUNTIF('93_TARGET_MEMBERSHIP'!E$5:E$27,1))-SUMPRODUCT(--('93_TARGET_MEMBERSHIP'!E$5:E$27=-1),'05_FEATURE_MODEL'!AG$5:AG$27)/MAX(1,COUNTIF('93_TARGET_MEMBERSHIP'!E$5:E$27,-1))))</f>
        <v/>
      </c>
      <c r="AG8" s="34">
        <f>IF($B8="ABSOLUTE SEMANTIC",ABS('06_ITEM_POLE_MODEL'!AP8),ABS('06_ITEM_POLE_MODEL'!AP8)*ABS(SUMPRODUCT(--('93_TARGET_MEMBERSHIP'!E$5:E$27=1),'05_FEATURE_MODEL'!AH$5:AH$27)/MAX(1,COUNTIF('93_TARGET_MEMBERSHIP'!E$5:E$27,1))-SUMPRODUCT(--('93_TARGET_MEMBERSHIP'!E$5:E$27=-1),'05_FEATURE_MODEL'!AH$5:AH$27)/MAX(1,COUNTIF('93_TARGET_MEMBERSHIP'!E$5:E$27,-1))))</f>
        <v/>
      </c>
      <c r="AH8" s="34">
        <f>IF($B8="ABSOLUTE SEMANTIC",ABS('06_ITEM_POLE_MODEL'!AQ8),ABS('06_ITEM_POLE_MODEL'!AQ8)*ABS(SUMPRODUCT(--('93_TARGET_MEMBERSHIP'!E$5:E$27=1),'05_FEATURE_MODEL'!AI$5:AI$27)/MAX(1,COUNTIF('93_TARGET_MEMBERSHIP'!E$5:E$27,1))-SUMPRODUCT(--('93_TARGET_MEMBERSHIP'!E$5:E$27=-1),'05_FEATURE_MODEL'!AI$5:AI$27)/MAX(1,COUNTIF('93_TARGET_MEMBERSHIP'!E$5:E$27,-1))))</f>
        <v/>
      </c>
      <c r="AI8" s="34">
        <f>IF($B8="ABSOLUTE SEMANTIC",ABS('06_ITEM_POLE_MODEL'!AR8),ABS('06_ITEM_POLE_MODEL'!AR8)*ABS(SUMPRODUCT(--('93_TARGET_MEMBERSHIP'!E$5:E$27=1),'05_FEATURE_MODEL'!AJ$5:AJ$27)/MAX(1,COUNTIF('93_TARGET_MEMBERSHIP'!E$5:E$27,1))-SUMPRODUCT(--('93_TARGET_MEMBERSHIP'!E$5:E$27=-1),'05_FEATURE_MODEL'!AJ$5:AJ$27)/MAX(1,COUNTIF('93_TARGET_MEMBERSHIP'!E$5:E$27,-1))))</f>
        <v/>
      </c>
      <c r="AJ8" s="34">
        <f>IF($B8="ABSOLUTE SEMANTIC",ABS('06_ITEM_POLE_MODEL'!AS8),ABS('06_ITEM_POLE_MODEL'!AS8)*ABS(SUMPRODUCT(--('93_TARGET_MEMBERSHIP'!E$5:E$27=1),'05_FEATURE_MODEL'!AK$5:AK$27)/MAX(1,COUNTIF('93_TARGET_MEMBERSHIP'!E$5:E$27,1))-SUMPRODUCT(--('93_TARGET_MEMBERSHIP'!E$5:E$27=-1),'05_FEATURE_MODEL'!AK$5:AK$27)/MAX(1,COUNTIF('93_TARGET_MEMBERSHIP'!E$5:E$27,-1))))</f>
        <v/>
      </c>
      <c r="AK8" s="34">
        <f>IF($B8="ABSOLUTE SEMANTIC",ABS('06_ITEM_POLE_MODEL'!AT8),ABS('06_ITEM_POLE_MODEL'!AT8)*ABS(SUMPRODUCT(--('93_TARGET_MEMBERSHIP'!E$5:E$27=1),'05_FEATURE_MODEL'!AL$5:AL$27)/MAX(1,COUNTIF('93_TARGET_MEMBERSHIP'!E$5:E$27,1))-SUMPRODUCT(--('93_TARGET_MEMBERSHIP'!E$5:E$27=-1),'05_FEATURE_MODEL'!AL$5:AL$27)/MAX(1,COUNTIF('93_TARGET_MEMBERSHIP'!E$5:E$27,-1))))</f>
        <v/>
      </c>
      <c r="AL8" s="34">
        <f>IF($B8="ABSOLUTE SEMANTIC",ABS('06_ITEM_POLE_MODEL'!AU8),ABS('06_ITEM_POLE_MODEL'!AU8)*ABS(SUMPRODUCT(--('93_TARGET_MEMBERSHIP'!E$5:E$27=1),'05_FEATURE_MODEL'!AM$5:AM$27)/MAX(1,COUNTIF('93_TARGET_MEMBERSHIP'!E$5:E$27,1))-SUMPRODUCT(--('93_TARGET_MEMBERSHIP'!E$5:E$27=-1),'05_FEATURE_MODEL'!AM$5:AM$27)/MAX(1,COUNTIF('93_TARGET_MEMBERSHIP'!E$5:E$27,-1))))</f>
        <v/>
      </c>
      <c r="AM8" s="34">
        <f>IF($B8="ABSOLUTE SEMANTIC",ABS('06_ITEM_POLE_MODEL'!AV8),ABS('06_ITEM_POLE_MODEL'!AV8)*ABS(SUMPRODUCT(--('93_TARGET_MEMBERSHIP'!E$5:E$27=1),'05_FEATURE_MODEL'!AN$5:AN$27)/MAX(1,COUNTIF('93_TARGET_MEMBERSHIP'!E$5:E$27,1))-SUMPRODUCT(--('93_TARGET_MEMBERSHIP'!E$5:E$27=-1),'05_FEATURE_MODEL'!AN$5:AN$27)/MAX(1,COUNTIF('93_TARGET_MEMBERSHIP'!E$5:E$27,-1))))</f>
        <v/>
      </c>
      <c r="AN8" s="34">
        <f>IF($B8="ABSOLUTE SEMANTIC",ABS('06_ITEM_POLE_MODEL'!AW8),ABS('06_ITEM_POLE_MODEL'!AW8)*ABS(SUMPRODUCT(--('93_TARGET_MEMBERSHIP'!E$5:E$27=1),'05_FEATURE_MODEL'!AO$5:AO$27)/MAX(1,COUNTIF('93_TARGET_MEMBERSHIP'!E$5:E$27,1))-SUMPRODUCT(--('93_TARGET_MEMBERSHIP'!E$5:E$27=-1),'05_FEATURE_MODEL'!AO$5:AO$27)/MAX(1,COUNTIF('93_TARGET_MEMBERSHIP'!E$5:E$27,-1))))</f>
        <v/>
      </c>
      <c r="AO8" s="34">
        <f>IF($B8="ABSOLUTE SEMANTIC",ABS('06_ITEM_POLE_MODEL'!AX8),ABS('06_ITEM_POLE_MODEL'!AX8)*ABS(SUMPRODUCT(--('93_TARGET_MEMBERSHIP'!E$5:E$27=1),'05_FEATURE_MODEL'!AP$5:AP$27)/MAX(1,COUNTIF('93_TARGET_MEMBERSHIP'!E$5:E$27,1))-SUMPRODUCT(--('93_TARGET_MEMBERSHIP'!E$5:E$27=-1),'05_FEATURE_MODEL'!AP$5:AP$27)/MAX(1,COUNTIF('93_TARGET_MEMBERSHIP'!E$5:E$27,-1))))</f>
        <v/>
      </c>
      <c r="AP8" s="34">
        <f>IF($B8="ABSOLUTE SEMANTIC",ABS('06_ITEM_POLE_MODEL'!AY8),ABS('06_ITEM_POLE_MODEL'!AY8)*ABS(SUMPRODUCT(--('93_TARGET_MEMBERSHIP'!E$5:E$27=1),'05_FEATURE_MODEL'!AQ$5:AQ$27)/MAX(1,COUNTIF('93_TARGET_MEMBERSHIP'!E$5:E$27,1))-SUMPRODUCT(--('93_TARGET_MEMBERSHIP'!E$5:E$27=-1),'05_FEATURE_MODEL'!AQ$5:AQ$27)/MAX(1,COUNTIF('93_TARGET_MEMBERSHIP'!E$5:E$27,-1))))</f>
        <v/>
      </c>
      <c r="AQ8" s="34">
        <f>IF($B8="ABSOLUTE SEMANTIC",ABS('06_ITEM_POLE_MODEL'!AZ8),ABS('06_ITEM_POLE_MODEL'!AZ8)*ABS(SUMPRODUCT(--('93_TARGET_MEMBERSHIP'!E$5:E$27=1),'05_FEATURE_MODEL'!AR$5:AR$27)/MAX(1,COUNTIF('93_TARGET_MEMBERSHIP'!E$5:E$27,1))-SUMPRODUCT(--('93_TARGET_MEMBERSHIP'!E$5:E$27=-1),'05_FEATURE_MODEL'!AR$5:AR$27)/MAX(1,COUNTIF('93_TARGET_MEMBERSHIP'!E$5:E$27,-1))))</f>
        <v/>
      </c>
    </row>
    <row r="9" ht="36" customHeight="1">
      <c r="A9" s="34">
        <f>'06_ITEM_POLE_MODEL'!A9</f>
        <v/>
      </c>
      <c r="B9" s="34">
        <f>'06_ITEM_POLE_MODEL'!E9</f>
        <v/>
      </c>
      <c r="C9" s="34">
        <f>IF($B9="ABSOLUTE SEMANTIC",ABS('06_ITEM_POLE_MODEL'!L9),ABS('06_ITEM_POLE_MODEL'!L9)*ABS(SUMPRODUCT(--('93_TARGET_MEMBERSHIP'!F$5:F$27=1),'05_FEATURE_MODEL'!D$5:D$27)/MAX(1,COUNTIF('93_TARGET_MEMBERSHIP'!F$5:F$27,1))-SUMPRODUCT(--('93_TARGET_MEMBERSHIP'!F$5:F$27=-1),'05_FEATURE_MODEL'!D$5:D$27)/MAX(1,COUNTIF('93_TARGET_MEMBERSHIP'!F$5:F$27,-1))))</f>
        <v/>
      </c>
      <c r="D9" s="34">
        <f>IF($B9="ABSOLUTE SEMANTIC",ABS('06_ITEM_POLE_MODEL'!M9),ABS('06_ITEM_POLE_MODEL'!M9)*ABS(SUMPRODUCT(--('93_TARGET_MEMBERSHIP'!F$5:F$27=1),'05_FEATURE_MODEL'!E$5:E$27)/MAX(1,COUNTIF('93_TARGET_MEMBERSHIP'!F$5:F$27,1))-SUMPRODUCT(--('93_TARGET_MEMBERSHIP'!F$5:F$27=-1),'05_FEATURE_MODEL'!E$5:E$27)/MAX(1,COUNTIF('93_TARGET_MEMBERSHIP'!F$5:F$27,-1))))</f>
        <v/>
      </c>
      <c r="E9" s="34">
        <f>IF($B9="ABSOLUTE SEMANTIC",ABS('06_ITEM_POLE_MODEL'!N9),ABS('06_ITEM_POLE_MODEL'!N9)*ABS(SUMPRODUCT(--('93_TARGET_MEMBERSHIP'!F$5:F$27=1),'05_FEATURE_MODEL'!F$5:F$27)/MAX(1,COUNTIF('93_TARGET_MEMBERSHIP'!F$5:F$27,1))-SUMPRODUCT(--('93_TARGET_MEMBERSHIP'!F$5:F$27=-1),'05_FEATURE_MODEL'!F$5:F$27)/MAX(1,COUNTIF('93_TARGET_MEMBERSHIP'!F$5:F$27,-1))))</f>
        <v/>
      </c>
      <c r="F9" s="34">
        <f>IF($B9="ABSOLUTE SEMANTIC",ABS('06_ITEM_POLE_MODEL'!O9),ABS('06_ITEM_POLE_MODEL'!O9)*ABS(SUMPRODUCT(--('93_TARGET_MEMBERSHIP'!F$5:F$27=1),'05_FEATURE_MODEL'!G$5:G$27)/MAX(1,COUNTIF('93_TARGET_MEMBERSHIP'!F$5:F$27,1))-SUMPRODUCT(--('93_TARGET_MEMBERSHIP'!F$5:F$27=-1),'05_FEATURE_MODEL'!G$5:G$27)/MAX(1,COUNTIF('93_TARGET_MEMBERSHIP'!F$5:F$27,-1))))</f>
        <v/>
      </c>
      <c r="G9" s="34">
        <f>IF($B9="ABSOLUTE SEMANTIC",ABS('06_ITEM_POLE_MODEL'!P9),ABS('06_ITEM_POLE_MODEL'!P9)*ABS(SUMPRODUCT(--('93_TARGET_MEMBERSHIP'!F$5:F$27=1),'05_FEATURE_MODEL'!H$5:H$27)/MAX(1,COUNTIF('93_TARGET_MEMBERSHIP'!F$5:F$27,1))-SUMPRODUCT(--('93_TARGET_MEMBERSHIP'!F$5:F$27=-1),'05_FEATURE_MODEL'!H$5:H$27)/MAX(1,COUNTIF('93_TARGET_MEMBERSHIP'!F$5:F$27,-1))))</f>
        <v/>
      </c>
      <c r="H9" s="34">
        <f>IF($B9="ABSOLUTE SEMANTIC",ABS('06_ITEM_POLE_MODEL'!Q9),ABS('06_ITEM_POLE_MODEL'!Q9)*ABS(SUMPRODUCT(--('93_TARGET_MEMBERSHIP'!F$5:F$27=1),'05_FEATURE_MODEL'!I$5:I$27)/MAX(1,COUNTIF('93_TARGET_MEMBERSHIP'!F$5:F$27,1))-SUMPRODUCT(--('93_TARGET_MEMBERSHIP'!F$5:F$27=-1),'05_FEATURE_MODEL'!I$5:I$27)/MAX(1,COUNTIF('93_TARGET_MEMBERSHIP'!F$5:F$27,-1))))</f>
        <v/>
      </c>
      <c r="I9" s="34">
        <f>IF($B9="ABSOLUTE SEMANTIC",ABS('06_ITEM_POLE_MODEL'!R9),ABS('06_ITEM_POLE_MODEL'!R9)*ABS(SUMPRODUCT(--('93_TARGET_MEMBERSHIP'!F$5:F$27=1),'05_FEATURE_MODEL'!J$5:J$27)/MAX(1,COUNTIF('93_TARGET_MEMBERSHIP'!F$5:F$27,1))-SUMPRODUCT(--('93_TARGET_MEMBERSHIP'!F$5:F$27=-1),'05_FEATURE_MODEL'!J$5:J$27)/MAX(1,COUNTIF('93_TARGET_MEMBERSHIP'!F$5:F$27,-1))))</f>
        <v/>
      </c>
      <c r="J9" s="34">
        <f>IF($B9="ABSOLUTE SEMANTIC",ABS('06_ITEM_POLE_MODEL'!S9),ABS('06_ITEM_POLE_MODEL'!S9)*ABS(SUMPRODUCT(--('93_TARGET_MEMBERSHIP'!F$5:F$27=1),'05_FEATURE_MODEL'!K$5:K$27)/MAX(1,COUNTIF('93_TARGET_MEMBERSHIP'!F$5:F$27,1))-SUMPRODUCT(--('93_TARGET_MEMBERSHIP'!F$5:F$27=-1),'05_FEATURE_MODEL'!K$5:K$27)/MAX(1,COUNTIF('93_TARGET_MEMBERSHIP'!F$5:F$27,-1))))</f>
        <v/>
      </c>
      <c r="K9" s="34">
        <f>IF($B9="ABSOLUTE SEMANTIC",ABS('06_ITEM_POLE_MODEL'!T9),ABS('06_ITEM_POLE_MODEL'!T9)*ABS(SUMPRODUCT(--('93_TARGET_MEMBERSHIP'!F$5:F$27=1),'05_FEATURE_MODEL'!L$5:L$27)/MAX(1,COUNTIF('93_TARGET_MEMBERSHIP'!F$5:F$27,1))-SUMPRODUCT(--('93_TARGET_MEMBERSHIP'!F$5:F$27=-1),'05_FEATURE_MODEL'!L$5:L$27)/MAX(1,COUNTIF('93_TARGET_MEMBERSHIP'!F$5:F$27,-1))))</f>
        <v/>
      </c>
      <c r="L9" s="34">
        <f>IF($B9="ABSOLUTE SEMANTIC",ABS('06_ITEM_POLE_MODEL'!U9),ABS('06_ITEM_POLE_MODEL'!U9)*ABS(SUMPRODUCT(--('93_TARGET_MEMBERSHIP'!F$5:F$27=1),'05_FEATURE_MODEL'!M$5:M$27)/MAX(1,COUNTIF('93_TARGET_MEMBERSHIP'!F$5:F$27,1))-SUMPRODUCT(--('93_TARGET_MEMBERSHIP'!F$5:F$27=-1),'05_FEATURE_MODEL'!M$5:M$27)/MAX(1,COUNTIF('93_TARGET_MEMBERSHIP'!F$5:F$27,-1))))</f>
        <v/>
      </c>
      <c r="M9" s="34">
        <f>IF($B9="ABSOLUTE SEMANTIC",ABS('06_ITEM_POLE_MODEL'!V9),ABS('06_ITEM_POLE_MODEL'!V9)*ABS(SUMPRODUCT(--('93_TARGET_MEMBERSHIP'!F$5:F$27=1),'05_FEATURE_MODEL'!N$5:N$27)/MAX(1,COUNTIF('93_TARGET_MEMBERSHIP'!F$5:F$27,1))-SUMPRODUCT(--('93_TARGET_MEMBERSHIP'!F$5:F$27=-1),'05_FEATURE_MODEL'!N$5:N$27)/MAX(1,COUNTIF('93_TARGET_MEMBERSHIP'!F$5:F$27,-1))))</f>
        <v/>
      </c>
      <c r="N9" s="34">
        <f>IF($B9="ABSOLUTE SEMANTIC",ABS('06_ITEM_POLE_MODEL'!W9),ABS('06_ITEM_POLE_MODEL'!W9)*ABS(SUMPRODUCT(--('93_TARGET_MEMBERSHIP'!F$5:F$27=1),'05_FEATURE_MODEL'!O$5:O$27)/MAX(1,COUNTIF('93_TARGET_MEMBERSHIP'!F$5:F$27,1))-SUMPRODUCT(--('93_TARGET_MEMBERSHIP'!F$5:F$27=-1),'05_FEATURE_MODEL'!O$5:O$27)/MAX(1,COUNTIF('93_TARGET_MEMBERSHIP'!F$5:F$27,-1))))</f>
        <v/>
      </c>
      <c r="O9" s="34">
        <f>IF($B9="ABSOLUTE SEMANTIC",ABS('06_ITEM_POLE_MODEL'!X9),ABS('06_ITEM_POLE_MODEL'!X9)*ABS(SUMPRODUCT(--('93_TARGET_MEMBERSHIP'!F$5:F$27=1),'05_FEATURE_MODEL'!P$5:P$27)/MAX(1,COUNTIF('93_TARGET_MEMBERSHIP'!F$5:F$27,1))-SUMPRODUCT(--('93_TARGET_MEMBERSHIP'!F$5:F$27=-1),'05_FEATURE_MODEL'!P$5:P$27)/MAX(1,COUNTIF('93_TARGET_MEMBERSHIP'!F$5:F$27,-1))))</f>
        <v/>
      </c>
      <c r="P9" s="34">
        <f>IF($B9="ABSOLUTE SEMANTIC",ABS('06_ITEM_POLE_MODEL'!Y9),ABS('06_ITEM_POLE_MODEL'!Y9)*ABS(SUMPRODUCT(--('93_TARGET_MEMBERSHIP'!F$5:F$27=1),'05_FEATURE_MODEL'!Q$5:Q$27)/MAX(1,COUNTIF('93_TARGET_MEMBERSHIP'!F$5:F$27,1))-SUMPRODUCT(--('93_TARGET_MEMBERSHIP'!F$5:F$27=-1),'05_FEATURE_MODEL'!Q$5:Q$27)/MAX(1,COUNTIF('93_TARGET_MEMBERSHIP'!F$5:F$27,-1))))</f>
        <v/>
      </c>
      <c r="Q9" s="34">
        <f>IF($B9="ABSOLUTE SEMANTIC",ABS('06_ITEM_POLE_MODEL'!Z9),ABS('06_ITEM_POLE_MODEL'!Z9)*ABS(SUMPRODUCT(--('93_TARGET_MEMBERSHIP'!F$5:F$27=1),'05_FEATURE_MODEL'!R$5:R$27)/MAX(1,COUNTIF('93_TARGET_MEMBERSHIP'!F$5:F$27,1))-SUMPRODUCT(--('93_TARGET_MEMBERSHIP'!F$5:F$27=-1),'05_FEATURE_MODEL'!R$5:R$27)/MAX(1,COUNTIF('93_TARGET_MEMBERSHIP'!F$5:F$27,-1))))</f>
        <v/>
      </c>
      <c r="R9" s="34">
        <f>IF($B9="ABSOLUTE SEMANTIC",ABS('06_ITEM_POLE_MODEL'!AA9),ABS('06_ITEM_POLE_MODEL'!AA9)*ABS(SUMPRODUCT(--('93_TARGET_MEMBERSHIP'!F$5:F$27=1),'05_FEATURE_MODEL'!S$5:S$27)/MAX(1,COUNTIF('93_TARGET_MEMBERSHIP'!F$5:F$27,1))-SUMPRODUCT(--('93_TARGET_MEMBERSHIP'!F$5:F$27=-1),'05_FEATURE_MODEL'!S$5:S$27)/MAX(1,COUNTIF('93_TARGET_MEMBERSHIP'!F$5:F$27,-1))))</f>
        <v/>
      </c>
      <c r="S9" s="34">
        <f>IF($B9="ABSOLUTE SEMANTIC",ABS('06_ITEM_POLE_MODEL'!AB9),ABS('06_ITEM_POLE_MODEL'!AB9)*ABS(SUMPRODUCT(--('93_TARGET_MEMBERSHIP'!F$5:F$27=1),'05_FEATURE_MODEL'!T$5:T$27)/MAX(1,COUNTIF('93_TARGET_MEMBERSHIP'!F$5:F$27,1))-SUMPRODUCT(--('93_TARGET_MEMBERSHIP'!F$5:F$27=-1),'05_FEATURE_MODEL'!T$5:T$27)/MAX(1,COUNTIF('93_TARGET_MEMBERSHIP'!F$5:F$27,-1))))</f>
        <v/>
      </c>
      <c r="T9" s="34">
        <f>IF($B9="ABSOLUTE SEMANTIC",ABS('06_ITEM_POLE_MODEL'!AC9),ABS('06_ITEM_POLE_MODEL'!AC9)*ABS(SUMPRODUCT(--('93_TARGET_MEMBERSHIP'!F$5:F$27=1),'05_FEATURE_MODEL'!U$5:U$27)/MAX(1,COUNTIF('93_TARGET_MEMBERSHIP'!F$5:F$27,1))-SUMPRODUCT(--('93_TARGET_MEMBERSHIP'!F$5:F$27=-1),'05_FEATURE_MODEL'!U$5:U$27)/MAX(1,COUNTIF('93_TARGET_MEMBERSHIP'!F$5:F$27,-1))))</f>
        <v/>
      </c>
      <c r="U9" s="34">
        <f>IF($B9="ABSOLUTE SEMANTIC",ABS('06_ITEM_POLE_MODEL'!AD9),ABS('06_ITEM_POLE_MODEL'!AD9)*ABS(SUMPRODUCT(--('93_TARGET_MEMBERSHIP'!F$5:F$27=1),'05_FEATURE_MODEL'!V$5:V$27)/MAX(1,COUNTIF('93_TARGET_MEMBERSHIP'!F$5:F$27,1))-SUMPRODUCT(--('93_TARGET_MEMBERSHIP'!F$5:F$27=-1),'05_FEATURE_MODEL'!V$5:V$27)/MAX(1,COUNTIF('93_TARGET_MEMBERSHIP'!F$5:F$27,-1))))</f>
        <v/>
      </c>
      <c r="V9" s="34">
        <f>IF($B9="ABSOLUTE SEMANTIC",ABS('06_ITEM_POLE_MODEL'!AE9),ABS('06_ITEM_POLE_MODEL'!AE9)*ABS(SUMPRODUCT(--('93_TARGET_MEMBERSHIP'!F$5:F$27=1),'05_FEATURE_MODEL'!W$5:W$27)/MAX(1,COUNTIF('93_TARGET_MEMBERSHIP'!F$5:F$27,1))-SUMPRODUCT(--('93_TARGET_MEMBERSHIP'!F$5:F$27=-1),'05_FEATURE_MODEL'!W$5:W$27)/MAX(1,COUNTIF('93_TARGET_MEMBERSHIP'!F$5:F$27,-1))))</f>
        <v/>
      </c>
      <c r="W9" s="34">
        <f>IF($B9="ABSOLUTE SEMANTIC",ABS('06_ITEM_POLE_MODEL'!AF9),ABS('06_ITEM_POLE_MODEL'!AF9)*ABS(SUMPRODUCT(--('93_TARGET_MEMBERSHIP'!F$5:F$27=1),'05_FEATURE_MODEL'!X$5:X$27)/MAX(1,COUNTIF('93_TARGET_MEMBERSHIP'!F$5:F$27,1))-SUMPRODUCT(--('93_TARGET_MEMBERSHIP'!F$5:F$27=-1),'05_FEATURE_MODEL'!X$5:X$27)/MAX(1,COUNTIF('93_TARGET_MEMBERSHIP'!F$5:F$27,-1))))</f>
        <v/>
      </c>
      <c r="X9" s="34">
        <f>IF($B9="ABSOLUTE SEMANTIC",ABS('06_ITEM_POLE_MODEL'!AG9),ABS('06_ITEM_POLE_MODEL'!AG9)*ABS(SUMPRODUCT(--('93_TARGET_MEMBERSHIP'!F$5:F$27=1),'05_FEATURE_MODEL'!Y$5:Y$27)/MAX(1,COUNTIF('93_TARGET_MEMBERSHIP'!F$5:F$27,1))-SUMPRODUCT(--('93_TARGET_MEMBERSHIP'!F$5:F$27=-1),'05_FEATURE_MODEL'!Y$5:Y$27)/MAX(1,COUNTIF('93_TARGET_MEMBERSHIP'!F$5:F$27,-1))))</f>
        <v/>
      </c>
      <c r="Y9" s="34">
        <f>IF($B9="ABSOLUTE SEMANTIC",ABS('06_ITEM_POLE_MODEL'!AH9),ABS('06_ITEM_POLE_MODEL'!AH9)*ABS(SUMPRODUCT(--('93_TARGET_MEMBERSHIP'!F$5:F$27=1),'05_FEATURE_MODEL'!Z$5:Z$27)/MAX(1,COUNTIF('93_TARGET_MEMBERSHIP'!F$5:F$27,1))-SUMPRODUCT(--('93_TARGET_MEMBERSHIP'!F$5:F$27=-1),'05_FEATURE_MODEL'!Z$5:Z$27)/MAX(1,COUNTIF('93_TARGET_MEMBERSHIP'!F$5:F$27,-1))))</f>
        <v/>
      </c>
      <c r="Z9" s="34">
        <f>IF($B9="ABSOLUTE SEMANTIC",ABS('06_ITEM_POLE_MODEL'!AI9),ABS('06_ITEM_POLE_MODEL'!AI9)*ABS(SUMPRODUCT(--('93_TARGET_MEMBERSHIP'!F$5:F$27=1),'05_FEATURE_MODEL'!AA$5:AA$27)/MAX(1,COUNTIF('93_TARGET_MEMBERSHIP'!F$5:F$27,1))-SUMPRODUCT(--('93_TARGET_MEMBERSHIP'!F$5:F$27=-1),'05_FEATURE_MODEL'!AA$5:AA$27)/MAX(1,COUNTIF('93_TARGET_MEMBERSHIP'!F$5:F$27,-1))))</f>
        <v/>
      </c>
      <c r="AA9" s="34">
        <f>IF($B9="ABSOLUTE SEMANTIC",ABS('06_ITEM_POLE_MODEL'!AJ9),ABS('06_ITEM_POLE_MODEL'!AJ9)*ABS(SUMPRODUCT(--('93_TARGET_MEMBERSHIP'!F$5:F$27=1),'05_FEATURE_MODEL'!AB$5:AB$27)/MAX(1,COUNTIF('93_TARGET_MEMBERSHIP'!F$5:F$27,1))-SUMPRODUCT(--('93_TARGET_MEMBERSHIP'!F$5:F$27=-1),'05_FEATURE_MODEL'!AB$5:AB$27)/MAX(1,COUNTIF('93_TARGET_MEMBERSHIP'!F$5:F$27,-1))))</f>
        <v/>
      </c>
      <c r="AB9" s="34">
        <f>IF($B9="ABSOLUTE SEMANTIC",ABS('06_ITEM_POLE_MODEL'!AK9),ABS('06_ITEM_POLE_MODEL'!AK9)*ABS(SUMPRODUCT(--('93_TARGET_MEMBERSHIP'!F$5:F$27=1),'05_FEATURE_MODEL'!AC$5:AC$27)/MAX(1,COUNTIF('93_TARGET_MEMBERSHIP'!F$5:F$27,1))-SUMPRODUCT(--('93_TARGET_MEMBERSHIP'!F$5:F$27=-1),'05_FEATURE_MODEL'!AC$5:AC$27)/MAX(1,COUNTIF('93_TARGET_MEMBERSHIP'!F$5:F$27,-1))))</f>
        <v/>
      </c>
      <c r="AC9" s="34">
        <f>IF($B9="ABSOLUTE SEMANTIC",ABS('06_ITEM_POLE_MODEL'!AL9),ABS('06_ITEM_POLE_MODEL'!AL9)*ABS(SUMPRODUCT(--('93_TARGET_MEMBERSHIP'!F$5:F$27=1),'05_FEATURE_MODEL'!AD$5:AD$27)/MAX(1,COUNTIF('93_TARGET_MEMBERSHIP'!F$5:F$27,1))-SUMPRODUCT(--('93_TARGET_MEMBERSHIP'!F$5:F$27=-1),'05_FEATURE_MODEL'!AD$5:AD$27)/MAX(1,COUNTIF('93_TARGET_MEMBERSHIP'!F$5:F$27,-1))))</f>
        <v/>
      </c>
      <c r="AD9" s="34">
        <f>IF($B9="ABSOLUTE SEMANTIC",ABS('06_ITEM_POLE_MODEL'!AM9),ABS('06_ITEM_POLE_MODEL'!AM9)*ABS(SUMPRODUCT(--('93_TARGET_MEMBERSHIP'!F$5:F$27=1),'05_FEATURE_MODEL'!AE$5:AE$27)/MAX(1,COUNTIF('93_TARGET_MEMBERSHIP'!F$5:F$27,1))-SUMPRODUCT(--('93_TARGET_MEMBERSHIP'!F$5:F$27=-1),'05_FEATURE_MODEL'!AE$5:AE$27)/MAX(1,COUNTIF('93_TARGET_MEMBERSHIP'!F$5:F$27,-1))))</f>
        <v/>
      </c>
      <c r="AE9" s="34">
        <f>IF($B9="ABSOLUTE SEMANTIC",ABS('06_ITEM_POLE_MODEL'!AN9),ABS('06_ITEM_POLE_MODEL'!AN9)*ABS(SUMPRODUCT(--('93_TARGET_MEMBERSHIP'!F$5:F$27=1),'05_FEATURE_MODEL'!AF$5:AF$27)/MAX(1,COUNTIF('93_TARGET_MEMBERSHIP'!F$5:F$27,1))-SUMPRODUCT(--('93_TARGET_MEMBERSHIP'!F$5:F$27=-1),'05_FEATURE_MODEL'!AF$5:AF$27)/MAX(1,COUNTIF('93_TARGET_MEMBERSHIP'!F$5:F$27,-1))))</f>
        <v/>
      </c>
      <c r="AF9" s="34">
        <f>IF($B9="ABSOLUTE SEMANTIC",ABS('06_ITEM_POLE_MODEL'!AO9),ABS('06_ITEM_POLE_MODEL'!AO9)*ABS(SUMPRODUCT(--('93_TARGET_MEMBERSHIP'!F$5:F$27=1),'05_FEATURE_MODEL'!AG$5:AG$27)/MAX(1,COUNTIF('93_TARGET_MEMBERSHIP'!F$5:F$27,1))-SUMPRODUCT(--('93_TARGET_MEMBERSHIP'!F$5:F$27=-1),'05_FEATURE_MODEL'!AG$5:AG$27)/MAX(1,COUNTIF('93_TARGET_MEMBERSHIP'!F$5:F$27,-1))))</f>
        <v/>
      </c>
      <c r="AG9" s="34">
        <f>IF($B9="ABSOLUTE SEMANTIC",ABS('06_ITEM_POLE_MODEL'!AP9),ABS('06_ITEM_POLE_MODEL'!AP9)*ABS(SUMPRODUCT(--('93_TARGET_MEMBERSHIP'!F$5:F$27=1),'05_FEATURE_MODEL'!AH$5:AH$27)/MAX(1,COUNTIF('93_TARGET_MEMBERSHIP'!F$5:F$27,1))-SUMPRODUCT(--('93_TARGET_MEMBERSHIP'!F$5:F$27=-1),'05_FEATURE_MODEL'!AH$5:AH$27)/MAX(1,COUNTIF('93_TARGET_MEMBERSHIP'!F$5:F$27,-1))))</f>
        <v/>
      </c>
      <c r="AH9" s="34">
        <f>IF($B9="ABSOLUTE SEMANTIC",ABS('06_ITEM_POLE_MODEL'!AQ9),ABS('06_ITEM_POLE_MODEL'!AQ9)*ABS(SUMPRODUCT(--('93_TARGET_MEMBERSHIP'!F$5:F$27=1),'05_FEATURE_MODEL'!AI$5:AI$27)/MAX(1,COUNTIF('93_TARGET_MEMBERSHIP'!F$5:F$27,1))-SUMPRODUCT(--('93_TARGET_MEMBERSHIP'!F$5:F$27=-1),'05_FEATURE_MODEL'!AI$5:AI$27)/MAX(1,COUNTIF('93_TARGET_MEMBERSHIP'!F$5:F$27,-1))))</f>
        <v/>
      </c>
      <c r="AI9" s="34">
        <f>IF($B9="ABSOLUTE SEMANTIC",ABS('06_ITEM_POLE_MODEL'!AR9),ABS('06_ITEM_POLE_MODEL'!AR9)*ABS(SUMPRODUCT(--('93_TARGET_MEMBERSHIP'!F$5:F$27=1),'05_FEATURE_MODEL'!AJ$5:AJ$27)/MAX(1,COUNTIF('93_TARGET_MEMBERSHIP'!F$5:F$27,1))-SUMPRODUCT(--('93_TARGET_MEMBERSHIP'!F$5:F$27=-1),'05_FEATURE_MODEL'!AJ$5:AJ$27)/MAX(1,COUNTIF('93_TARGET_MEMBERSHIP'!F$5:F$27,-1))))</f>
        <v/>
      </c>
      <c r="AJ9" s="34">
        <f>IF($B9="ABSOLUTE SEMANTIC",ABS('06_ITEM_POLE_MODEL'!AS9),ABS('06_ITEM_POLE_MODEL'!AS9)*ABS(SUMPRODUCT(--('93_TARGET_MEMBERSHIP'!F$5:F$27=1),'05_FEATURE_MODEL'!AK$5:AK$27)/MAX(1,COUNTIF('93_TARGET_MEMBERSHIP'!F$5:F$27,1))-SUMPRODUCT(--('93_TARGET_MEMBERSHIP'!F$5:F$27=-1),'05_FEATURE_MODEL'!AK$5:AK$27)/MAX(1,COUNTIF('93_TARGET_MEMBERSHIP'!F$5:F$27,-1))))</f>
        <v/>
      </c>
      <c r="AK9" s="34">
        <f>IF($B9="ABSOLUTE SEMANTIC",ABS('06_ITEM_POLE_MODEL'!AT9),ABS('06_ITEM_POLE_MODEL'!AT9)*ABS(SUMPRODUCT(--('93_TARGET_MEMBERSHIP'!F$5:F$27=1),'05_FEATURE_MODEL'!AL$5:AL$27)/MAX(1,COUNTIF('93_TARGET_MEMBERSHIP'!F$5:F$27,1))-SUMPRODUCT(--('93_TARGET_MEMBERSHIP'!F$5:F$27=-1),'05_FEATURE_MODEL'!AL$5:AL$27)/MAX(1,COUNTIF('93_TARGET_MEMBERSHIP'!F$5:F$27,-1))))</f>
        <v/>
      </c>
      <c r="AL9" s="34">
        <f>IF($B9="ABSOLUTE SEMANTIC",ABS('06_ITEM_POLE_MODEL'!AU9),ABS('06_ITEM_POLE_MODEL'!AU9)*ABS(SUMPRODUCT(--('93_TARGET_MEMBERSHIP'!F$5:F$27=1),'05_FEATURE_MODEL'!AM$5:AM$27)/MAX(1,COUNTIF('93_TARGET_MEMBERSHIP'!F$5:F$27,1))-SUMPRODUCT(--('93_TARGET_MEMBERSHIP'!F$5:F$27=-1),'05_FEATURE_MODEL'!AM$5:AM$27)/MAX(1,COUNTIF('93_TARGET_MEMBERSHIP'!F$5:F$27,-1))))</f>
        <v/>
      </c>
      <c r="AM9" s="34">
        <f>IF($B9="ABSOLUTE SEMANTIC",ABS('06_ITEM_POLE_MODEL'!AV9),ABS('06_ITEM_POLE_MODEL'!AV9)*ABS(SUMPRODUCT(--('93_TARGET_MEMBERSHIP'!F$5:F$27=1),'05_FEATURE_MODEL'!AN$5:AN$27)/MAX(1,COUNTIF('93_TARGET_MEMBERSHIP'!F$5:F$27,1))-SUMPRODUCT(--('93_TARGET_MEMBERSHIP'!F$5:F$27=-1),'05_FEATURE_MODEL'!AN$5:AN$27)/MAX(1,COUNTIF('93_TARGET_MEMBERSHIP'!F$5:F$27,-1))))</f>
        <v/>
      </c>
      <c r="AN9" s="34">
        <f>IF($B9="ABSOLUTE SEMANTIC",ABS('06_ITEM_POLE_MODEL'!AW9),ABS('06_ITEM_POLE_MODEL'!AW9)*ABS(SUMPRODUCT(--('93_TARGET_MEMBERSHIP'!F$5:F$27=1),'05_FEATURE_MODEL'!AO$5:AO$27)/MAX(1,COUNTIF('93_TARGET_MEMBERSHIP'!F$5:F$27,1))-SUMPRODUCT(--('93_TARGET_MEMBERSHIP'!F$5:F$27=-1),'05_FEATURE_MODEL'!AO$5:AO$27)/MAX(1,COUNTIF('93_TARGET_MEMBERSHIP'!F$5:F$27,-1))))</f>
        <v/>
      </c>
      <c r="AO9" s="34">
        <f>IF($B9="ABSOLUTE SEMANTIC",ABS('06_ITEM_POLE_MODEL'!AX9),ABS('06_ITEM_POLE_MODEL'!AX9)*ABS(SUMPRODUCT(--('93_TARGET_MEMBERSHIP'!F$5:F$27=1),'05_FEATURE_MODEL'!AP$5:AP$27)/MAX(1,COUNTIF('93_TARGET_MEMBERSHIP'!F$5:F$27,1))-SUMPRODUCT(--('93_TARGET_MEMBERSHIP'!F$5:F$27=-1),'05_FEATURE_MODEL'!AP$5:AP$27)/MAX(1,COUNTIF('93_TARGET_MEMBERSHIP'!F$5:F$27,-1))))</f>
        <v/>
      </c>
      <c r="AP9" s="34">
        <f>IF($B9="ABSOLUTE SEMANTIC",ABS('06_ITEM_POLE_MODEL'!AY9),ABS('06_ITEM_POLE_MODEL'!AY9)*ABS(SUMPRODUCT(--('93_TARGET_MEMBERSHIP'!F$5:F$27=1),'05_FEATURE_MODEL'!AQ$5:AQ$27)/MAX(1,COUNTIF('93_TARGET_MEMBERSHIP'!F$5:F$27,1))-SUMPRODUCT(--('93_TARGET_MEMBERSHIP'!F$5:F$27=-1),'05_FEATURE_MODEL'!AQ$5:AQ$27)/MAX(1,COUNTIF('93_TARGET_MEMBERSHIP'!F$5:F$27,-1))))</f>
        <v/>
      </c>
      <c r="AQ9" s="34">
        <f>IF($B9="ABSOLUTE SEMANTIC",ABS('06_ITEM_POLE_MODEL'!AZ9),ABS('06_ITEM_POLE_MODEL'!AZ9)*ABS(SUMPRODUCT(--('93_TARGET_MEMBERSHIP'!F$5:F$27=1),'05_FEATURE_MODEL'!AR$5:AR$27)/MAX(1,COUNTIF('93_TARGET_MEMBERSHIP'!F$5:F$27,1))-SUMPRODUCT(--('93_TARGET_MEMBERSHIP'!F$5:F$27=-1),'05_FEATURE_MODEL'!AR$5:AR$27)/MAX(1,COUNTIF('93_TARGET_MEMBERSHIP'!F$5:F$27,-1))))</f>
        <v/>
      </c>
    </row>
    <row r="10" ht="36" customHeight="1">
      <c r="A10" s="34">
        <f>'06_ITEM_POLE_MODEL'!A10</f>
        <v/>
      </c>
      <c r="B10" s="34">
        <f>'06_ITEM_POLE_MODEL'!E10</f>
        <v/>
      </c>
      <c r="C10" s="34">
        <f>IF($B10="ABSOLUTE SEMANTIC",ABS('06_ITEM_POLE_MODEL'!L10),ABS('06_ITEM_POLE_MODEL'!L10)*ABS(SUMPRODUCT(--('93_TARGET_MEMBERSHIP'!G$5:G$27=1),'05_FEATURE_MODEL'!D$5:D$27)/MAX(1,COUNTIF('93_TARGET_MEMBERSHIP'!G$5:G$27,1))-SUMPRODUCT(--('93_TARGET_MEMBERSHIP'!G$5:G$27=-1),'05_FEATURE_MODEL'!D$5:D$27)/MAX(1,COUNTIF('93_TARGET_MEMBERSHIP'!G$5:G$27,-1))))</f>
        <v/>
      </c>
      <c r="D10" s="34">
        <f>IF($B10="ABSOLUTE SEMANTIC",ABS('06_ITEM_POLE_MODEL'!M10),ABS('06_ITEM_POLE_MODEL'!M10)*ABS(SUMPRODUCT(--('93_TARGET_MEMBERSHIP'!G$5:G$27=1),'05_FEATURE_MODEL'!E$5:E$27)/MAX(1,COUNTIF('93_TARGET_MEMBERSHIP'!G$5:G$27,1))-SUMPRODUCT(--('93_TARGET_MEMBERSHIP'!G$5:G$27=-1),'05_FEATURE_MODEL'!E$5:E$27)/MAX(1,COUNTIF('93_TARGET_MEMBERSHIP'!G$5:G$27,-1))))</f>
        <v/>
      </c>
      <c r="E10" s="34">
        <f>IF($B10="ABSOLUTE SEMANTIC",ABS('06_ITEM_POLE_MODEL'!N10),ABS('06_ITEM_POLE_MODEL'!N10)*ABS(SUMPRODUCT(--('93_TARGET_MEMBERSHIP'!G$5:G$27=1),'05_FEATURE_MODEL'!F$5:F$27)/MAX(1,COUNTIF('93_TARGET_MEMBERSHIP'!G$5:G$27,1))-SUMPRODUCT(--('93_TARGET_MEMBERSHIP'!G$5:G$27=-1),'05_FEATURE_MODEL'!F$5:F$27)/MAX(1,COUNTIF('93_TARGET_MEMBERSHIP'!G$5:G$27,-1))))</f>
        <v/>
      </c>
      <c r="F10" s="34">
        <f>IF($B10="ABSOLUTE SEMANTIC",ABS('06_ITEM_POLE_MODEL'!O10),ABS('06_ITEM_POLE_MODEL'!O10)*ABS(SUMPRODUCT(--('93_TARGET_MEMBERSHIP'!G$5:G$27=1),'05_FEATURE_MODEL'!G$5:G$27)/MAX(1,COUNTIF('93_TARGET_MEMBERSHIP'!G$5:G$27,1))-SUMPRODUCT(--('93_TARGET_MEMBERSHIP'!G$5:G$27=-1),'05_FEATURE_MODEL'!G$5:G$27)/MAX(1,COUNTIF('93_TARGET_MEMBERSHIP'!G$5:G$27,-1))))</f>
        <v/>
      </c>
      <c r="G10" s="34">
        <f>IF($B10="ABSOLUTE SEMANTIC",ABS('06_ITEM_POLE_MODEL'!P10),ABS('06_ITEM_POLE_MODEL'!P10)*ABS(SUMPRODUCT(--('93_TARGET_MEMBERSHIP'!G$5:G$27=1),'05_FEATURE_MODEL'!H$5:H$27)/MAX(1,COUNTIF('93_TARGET_MEMBERSHIP'!G$5:G$27,1))-SUMPRODUCT(--('93_TARGET_MEMBERSHIP'!G$5:G$27=-1),'05_FEATURE_MODEL'!H$5:H$27)/MAX(1,COUNTIF('93_TARGET_MEMBERSHIP'!G$5:G$27,-1))))</f>
        <v/>
      </c>
      <c r="H10" s="34">
        <f>IF($B10="ABSOLUTE SEMANTIC",ABS('06_ITEM_POLE_MODEL'!Q10),ABS('06_ITEM_POLE_MODEL'!Q10)*ABS(SUMPRODUCT(--('93_TARGET_MEMBERSHIP'!G$5:G$27=1),'05_FEATURE_MODEL'!I$5:I$27)/MAX(1,COUNTIF('93_TARGET_MEMBERSHIP'!G$5:G$27,1))-SUMPRODUCT(--('93_TARGET_MEMBERSHIP'!G$5:G$27=-1),'05_FEATURE_MODEL'!I$5:I$27)/MAX(1,COUNTIF('93_TARGET_MEMBERSHIP'!G$5:G$27,-1))))</f>
        <v/>
      </c>
      <c r="I10" s="34">
        <f>IF($B10="ABSOLUTE SEMANTIC",ABS('06_ITEM_POLE_MODEL'!R10),ABS('06_ITEM_POLE_MODEL'!R10)*ABS(SUMPRODUCT(--('93_TARGET_MEMBERSHIP'!G$5:G$27=1),'05_FEATURE_MODEL'!J$5:J$27)/MAX(1,COUNTIF('93_TARGET_MEMBERSHIP'!G$5:G$27,1))-SUMPRODUCT(--('93_TARGET_MEMBERSHIP'!G$5:G$27=-1),'05_FEATURE_MODEL'!J$5:J$27)/MAX(1,COUNTIF('93_TARGET_MEMBERSHIP'!G$5:G$27,-1))))</f>
        <v/>
      </c>
      <c r="J10" s="34">
        <f>IF($B10="ABSOLUTE SEMANTIC",ABS('06_ITEM_POLE_MODEL'!S10),ABS('06_ITEM_POLE_MODEL'!S10)*ABS(SUMPRODUCT(--('93_TARGET_MEMBERSHIP'!G$5:G$27=1),'05_FEATURE_MODEL'!K$5:K$27)/MAX(1,COUNTIF('93_TARGET_MEMBERSHIP'!G$5:G$27,1))-SUMPRODUCT(--('93_TARGET_MEMBERSHIP'!G$5:G$27=-1),'05_FEATURE_MODEL'!K$5:K$27)/MAX(1,COUNTIF('93_TARGET_MEMBERSHIP'!G$5:G$27,-1))))</f>
        <v/>
      </c>
      <c r="K10" s="34">
        <f>IF($B10="ABSOLUTE SEMANTIC",ABS('06_ITEM_POLE_MODEL'!T10),ABS('06_ITEM_POLE_MODEL'!T10)*ABS(SUMPRODUCT(--('93_TARGET_MEMBERSHIP'!G$5:G$27=1),'05_FEATURE_MODEL'!L$5:L$27)/MAX(1,COUNTIF('93_TARGET_MEMBERSHIP'!G$5:G$27,1))-SUMPRODUCT(--('93_TARGET_MEMBERSHIP'!G$5:G$27=-1),'05_FEATURE_MODEL'!L$5:L$27)/MAX(1,COUNTIF('93_TARGET_MEMBERSHIP'!G$5:G$27,-1))))</f>
        <v/>
      </c>
      <c r="L10" s="34">
        <f>IF($B10="ABSOLUTE SEMANTIC",ABS('06_ITEM_POLE_MODEL'!U10),ABS('06_ITEM_POLE_MODEL'!U10)*ABS(SUMPRODUCT(--('93_TARGET_MEMBERSHIP'!G$5:G$27=1),'05_FEATURE_MODEL'!M$5:M$27)/MAX(1,COUNTIF('93_TARGET_MEMBERSHIP'!G$5:G$27,1))-SUMPRODUCT(--('93_TARGET_MEMBERSHIP'!G$5:G$27=-1),'05_FEATURE_MODEL'!M$5:M$27)/MAX(1,COUNTIF('93_TARGET_MEMBERSHIP'!G$5:G$27,-1))))</f>
        <v/>
      </c>
      <c r="M10" s="34">
        <f>IF($B10="ABSOLUTE SEMANTIC",ABS('06_ITEM_POLE_MODEL'!V10),ABS('06_ITEM_POLE_MODEL'!V10)*ABS(SUMPRODUCT(--('93_TARGET_MEMBERSHIP'!G$5:G$27=1),'05_FEATURE_MODEL'!N$5:N$27)/MAX(1,COUNTIF('93_TARGET_MEMBERSHIP'!G$5:G$27,1))-SUMPRODUCT(--('93_TARGET_MEMBERSHIP'!G$5:G$27=-1),'05_FEATURE_MODEL'!N$5:N$27)/MAX(1,COUNTIF('93_TARGET_MEMBERSHIP'!G$5:G$27,-1))))</f>
        <v/>
      </c>
      <c r="N10" s="34">
        <f>IF($B10="ABSOLUTE SEMANTIC",ABS('06_ITEM_POLE_MODEL'!W10),ABS('06_ITEM_POLE_MODEL'!W10)*ABS(SUMPRODUCT(--('93_TARGET_MEMBERSHIP'!G$5:G$27=1),'05_FEATURE_MODEL'!O$5:O$27)/MAX(1,COUNTIF('93_TARGET_MEMBERSHIP'!G$5:G$27,1))-SUMPRODUCT(--('93_TARGET_MEMBERSHIP'!G$5:G$27=-1),'05_FEATURE_MODEL'!O$5:O$27)/MAX(1,COUNTIF('93_TARGET_MEMBERSHIP'!G$5:G$27,-1))))</f>
        <v/>
      </c>
      <c r="O10" s="34">
        <f>IF($B10="ABSOLUTE SEMANTIC",ABS('06_ITEM_POLE_MODEL'!X10),ABS('06_ITEM_POLE_MODEL'!X10)*ABS(SUMPRODUCT(--('93_TARGET_MEMBERSHIP'!G$5:G$27=1),'05_FEATURE_MODEL'!P$5:P$27)/MAX(1,COUNTIF('93_TARGET_MEMBERSHIP'!G$5:G$27,1))-SUMPRODUCT(--('93_TARGET_MEMBERSHIP'!G$5:G$27=-1),'05_FEATURE_MODEL'!P$5:P$27)/MAX(1,COUNTIF('93_TARGET_MEMBERSHIP'!G$5:G$27,-1))))</f>
        <v/>
      </c>
      <c r="P10" s="34">
        <f>IF($B10="ABSOLUTE SEMANTIC",ABS('06_ITEM_POLE_MODEL'!Y10),ABS('06_ITEM_POLE_MODEL'!Y10)*ABS(SUMPRODUCT(--('93_TARGET_MEMBERSHIP'!G$5:G$27=1),'05_FEATURE_MODEL'!Q$5:Q$27)/MAX(1,COUNTIF('93_TARGET_MEMBERSHIP'!G$5:G$27,1))-SUMPRODUCT(--('93_TARGET_MEMBERSHIP'!G$5:G$27=-1),'05_FEATURE_MODEL'!Q$5:Q$27)/MAX(1,COUNTIF('93_TARGET_MEMBERSHIP'!G$5:G$27,-1))))</f>
        <v/>
      </c>
      <c r="Q10" s="34">
        <f>IF($B10="ABSOLUTE SEMANTIC",ABS('06_ITEM_POLE_MODEL'!Z10),ABS('06_ITEM_POLE_MODEL'!Z10)*ABS(SUMPRODUCT(--('93_TARGET_MEMBERSHIP'!G$5:G$27=1),'05_FEATURE_MODEL'!R$5:R$27)/MAX(1,COUNTIF('93_TARGET_MEMBERSHIP'!G$5:G$27,1))-SUMPRODUCT(--('93_TARGET_MEMBERSHIP'!G$5:G$27=-1),'05_FEATURE_MODEL'!R$5:R$27)/MAX(1,COUNTIF('93_TARGET_MEMBERSHIP'!G$5:G$27,-1))))</f>
        <v/>
      </c>
      <c r="R10" s="34">
        <f>IF($B10="ABSOLUTE SEMANTIC",ABS('06_ITEM_POLE_MODEL'!AA10),ABS('06_ITEM_POLE_MODEL'!AA10)*ABS(SUMPRODUCT(--('93_TARGET_MEMBERSHIP'!G$5:G$27=1),'05_FEATURE_MODEL'!S$5:S$27)/MAX(1,COUNTIF('93_TARGET_MEMBERSHIP'!G$5:G$27,1))-SUMPRODUCT(--('93_TARGET_MEMBERSHIP'!G$5:G$27=-1),'05_FEATURE_MODEL'!S$5:S$27)/MAX(1,COUNTIF('93_TARGET_MEMBERSHIP'!G$5:G$27,-1))))</f>
        <v/>
      </c>
      <c r="S10" s="34">
        <f>IF($B10="ABSOLUTE SEMANTIC",ABS('06_ITEM_POLE_MODEL'!AB10),ABS('06_ITEM_POLE_MODEL'!AB10)*ABS(SUMPRODUCT(--('93_TARGET_MEMBERSHIP'!G$5:G$27=1),'05_FEATURE_MODEL'!T$5:T$27)/MAX(1,COUNTIF('93_TARGET_MEMBERSHIP'!G$5:G$27,1))-SUMPRODUCT(--('93_TARGET_MEMBERSHIP'!G$5:G$27=-1),'05_FEATURE_MODEL'!T$5:T$27)/MAX(1,COUNTIF('93_TARGET_MEMBERSHIP'!G$5:G$27,-1))))</f>
        <v/>
      </c>
      <c r="T10" s="34">
        <f>IF($B10="ABSOLUTE SEMANTIC",ABS('06_ITEM_POLE_MODEL'!AC10),ABS('06_ITEM_POLE_MODEL'!AC10)*ABS(SUMPRODUCT(--('93_TARGET_MEMBERSHIP'!G$5:G$27=1),'05_FEATURE_MODEL'!U$5:U$27)/MAX(1,COUNTIF('93_TARGET_MEMBERSHIP'!G$5:G$27,1))-SUMPRODUCT(--('93_TARGET_MEMBERSHIP'!G$5:G$27=-1),'05_FEATURE_MODEL'!U$5:U$27)/MAX(1,COUNTIF('93_TARGET_MEMBERSHIP'!G$5:G$27,-1))))</f>
        <v/>
      </c>
      <c r="U10" s="34">
        <f>IF($B10="ABSOLUTE SEMANTIC",ABS('06_ITEM_POLE_MODEL'!AD10),ABS('06_ITEM_POLE_MODEL'!AD10)*ABS(SUMPRODUCT(--('93_TARGET_MEMBERSHIP'!G$5:G$27=1),'05_FEATURE_MODEL'!V$5:V$27)/MAX(1,COUNTIF('93_TARGET_MEMBERSHIP'!G$5:G$27,1))-SUMPRODUCT(--('93_TARGET_MEMBERSHIP'!G$5:G$27=-1),'05_FEATURE_MODEL'!V$5:V$27)/MAX(1,COUNTIF('93_TARGET_MEMBERSHIP'!G$5:G$27,-1))))</f>
        <v/>
      </c>
      <c r="V10" s="34">
        <f>IF($B10="ABSOLUTE SEMANTIC",ABS('06_ITEM_POLE_MODEL'!AE10),ABS('06_ITEM_POLE_MODEL'!AE10)*ABS(SUMPRODUCT(--('93_TARGET_MEMBERSHIP'!G$5:G$27=1),'05_FEATURE_MODEL'!W$5:W$27)/MAX(1,COUNTIF('93_TARGET_MEMBERSHIP'!G$5:G$27,1))-SUMPRODUCT(--('93_TARGET_MEMBERSHIP'!G$5:G$27=-1),'05_FEATURE_MODEL'!W$5:W$27)/MAX(1,COUNTIF('93_TARGET_MEMBERSHIP'!G$5:G$27,-1))))</f>
        <v/>
      </c>
      <c r="W10" s="34">
        <f>IF($B10="ABSOLUTE SEMANTIC",ABS('06_ITEM_POLE_MODEL'!AF10),ABS('06_ITEM_POLE_MODEL'!AF10)*ABS(SUMPRODUCT(--('93_TARGET_MEMBERSHIP'!G$5:G$27=1),'05_FEATURE_MODEL'!X$5:X$27)/MAX(1,COUNTIF('93_TARGET_MEMBERSHIP'!G$5:G$27,1))-SUMPRODUCT(--('93_TARGET_MEMBERSHIP'!G$5:G$27=-1),'05_FEATURE_MODEL'!X$5:X$27)/MAX(1,COUNTIF('93_TARGET_MEMBERSHIP'!G$5:G$27,-1))))</f>
        <v/>
      </c>
      <c r="X10" s="34">
        <f>IF($B10="ABSOLUTE SEMANTIC",ABS('06_ITEM_POLE_MODEL'!AG10),ABS('06_ITEM_POLE_MODEL'!AG10)*ABS(SUMPRODUCT(--('93_TARGET_MEMBERSHIP'!G$5:G$27=1),'05_FEATURE_MODEL'!Y$5:Y$27)/MAX(1,COUNTIF('93_TARGET_MEMBERSHIP'!G$5:G$27,1))-SUMPRODUCT(--('93_TARGET_MEMBERSHIP'!G$5:G$27=-1),'05_FEATURE_MODEL'!Y$5:Y$27)/MAX(1,COUNTIF('93_TARGET_MEMBERSHIP'!G$5:G$27,-1))))</f>
        <v/>
      </c>
      <c r="Y10" s="34">
        <f>IF($B10="ABSOLUTE SEMANTIC",ABS('06_ITEM_POLE_MODEL'!AH10),ABS('06_ITEM_POLE_MODEL'!AH10)*ABS(SUMPRODUCT(--('93_TARGET_MEMBERSHIP'!G$5:G$27=1),'05_FEATURE_MODEL'!Z$5:Z$27)/MAX(1,COUNTIF('93_TARGET_MEMBERSHIP'!G$5:G$27,1))-SUMPRODUCT(--('93_TARGET_MEMBERSHIP'!G$5:G$27=-1),'05_FEATURE_MODEL'!Z$5:Z$27)/MAX(1,COUNTIF('93_TARGET_MEMBERSHIP'!G$5:G$27,-1))))</f>
        <v/>
      </c>
      <c r="Z10" s="34">
        <f>IF($B10="ABSOLUTE SEMANTIC",ABS('06_ITEM_POLE_MODEL'!AI10),ABS('06_ITEM_POLE_MODEL'!AI10)*ABS(SUMPRODUCT(--('93_TARGET_MEMBERSHIP'!G$5:G$27=1),'05_FEATURE_MODEL'!AA$5:AA$27)/MAX(1,COUNTIF('93_TARGET_MEMBERSHIP'!G$5:G$27,1))-SUMPRODUCT(--('93_TARGET_MEMBERSHIP'!G$5:G$27=-1),'05_FEATURE_MODEL'!AA$5:AA$27)/MAX(1,COUNTIF('93_TARGET_MEMBERSHIP'!G$5:G$27,-1))))</f>
        <v/>
      </c>
      <c r="AA10" s="34">
        <f>IF($B10="ABSOLUTE SEMANTIC",ABS('06_ITEM_POLE_MODEL'!AJ10),ABS('06_ITEM_POLE_MODEL'!AJ10)*ABS(SUMPRODUCT(--('93_TARGET_MEMBERSHIP'!G$5:G$27=1),'05_FEATURE_MODEL'!AB$5:AB$27)/MAX(1,COUNTIF('93_TARGET_MEMBERSHIP'!G$5:G$27,1))-SUMPRODUCT(--('93_TARGET_MEMBERSHIP'!G$5:G$27=-1),'05_FEATURE_MODEL'!AB$5:AB$27)/MAX(1,COUNTIF('93_TARGET_MEMBERSHIP'!G$5:G$27,-1))))</f>
        <v/>
      </c>
      <c r="AB10" s="34">
        <f>IF($B10="ABSOLUTE SEMANTIC",ABS('06_ITEM_POLE_MODEL'!AK10),ABS('06_ITEM_POLE_MODEL'!AK10)*ABS(SUMPRODUCT(--('93_TARGET_MEMBERSHIP'!G$5:G$27=1),'05_FEATURE_MODEL'!AC$5:AC$27)/MAX(1,COUNTIF('93_TARGET_MEMBERSHIP'!G$5:G$27,1))-SUMPRODUCT(--('93_TARGET_MEMBERSHIP'!G$5:G$27=-1),'05_FEATURE_MODEL'!AC$5:AC$27)/MAX(1,COUNTIF('93_TARGET_MEMBERSHIP'!G$5:G$27,-1))))</f>
        <v/>
      </c>
      <c r="AC10" s="34">
        <f>IF($B10="ABSOLUTE SEMANTIC",ABS('06_ITEM_POLE_MODEL'!AL10),ABS('06_ITEM_POLE_MODEL'!AL10)*ABS(SUMPRODUCT(--('93_TARGET_MEMBERSHIP'!G$5:G$27=1),'05_FEATURE_MODEL'!AD$5:AD$27)/MAX(1,COUNTIF('93_TARGET_MEMBERSHIP'!G$5:G$27,1))-SUMPRODUCT(--('93_TARGET_MEMBERSHIP'!G$5:G$27=-1),'05_FEATURE_MODEL'!AD$5:AD$27)/MAX(1,COUNTIF('93_TARGET_MEMBERSHIP'!G$5:G$27,-1))))</f>
        <v/>
      </c>
      <c r="AD10" s="34">
        <f>IF($B10="ABSOLUTE SEMANTIC",ABS('06_ITEM_POLE_MODEL'!AM10),ABS('06_ITEM_POLE_MODEL'!AM10)*ABS(SUMPRODUCT(--('93_TARGET_MEMBERSHIP'!G$5:G$27=1),'05_FEATURE_MODEL'!AE$5:AE$27)/MAX(1,COUNTIF('93_TARGET_MEMBERSHIP'!G$5:G$27,1))-SUMPRODUCT(--('93_TARGET_MEMBERSHIP'!G$5:G$27=-1),'05_FEATURE_MODEL'!AE$5:AE$27)/MAX(1,COUNTIF('93_TARGET_MEMBERSHIP'!G$5:G$27,-1))))</f>
        <v/>
      </c>
      <c r="AE10" s="34">
        <f>IF($B10="ABSOLUTE SEMANTIC",ABS('06_ITEM_POLE_MODEL'!AN10),ABS('06_ITEM_POLE_MODEL'!AN10)*ABS(SUMPRODUCT(--('93_TARGET_MEMBERSHIP'!G$5:G$27=1),'05_FEATURE_MODEL'!AF$5:AF$27)/MAX(1,COUNTIF('93_TARGET_MEMBERSHIP'!G$5:G$27,1))-SUMPRODUCT(--('93_TARGET_MEMBERSHIP'!G$5:G$27=-1),'05_FEATURE_MODEL'!AF$5:AF$27)/MAX(1,COUNTIF('93_TARGET_MEMBERSHIP'!G$5:G$27,-1))))</f>
        <v/>
      </c>
      <c r="AF10" s="34">
        <f>IF($B10="ABSOLUTE SEMANTIC",ABS('06_ITEM_POLE_MODEL'!AO10),ABS('06_ITEM_POLE_MODEL'!AO10)*ABS(SUMPRODUCT(--('93_TARGET_MEMBERSHIP'!G$5:G$27=1),'05_FEATURE_MODEL'!AG$5:AG$27)/MAX(1,COUNTIF('93_TARGET_MEMBERSHIP'!G$5:G$27,1))-SUMPRODUCT(--('93_TARGET_MEMBERSHIP'!G$5:G$27=-1),'05_FEATURE_MODEL'!AG$5:AG$27)/MAX(1,COUNTIF('93_TARGET_MEMBERSHIP'!G$5:G$27,-1))))</f>
        <v/>
      </c>
      <c r="AG10" s="34">
        <f>IF($B10="ABSOLUTE SEMANTIC",ABS('06_ITEM_POLE_MODEL'!AP10),ABS('06_ITEM_POLE_MODEL'!AP10)*ABS(SUMPRODUCT(--('93_TARGET_MEMBERSHIP'!G$5:G$27=1),'05_FEATURE_MODEL'!AH$5:AH$27)/MAX(1,COUNTIF('93_TARGET_MEMBERSHIP'!G$5:G$27,1))-SUMPRODUCT(--('93_TARGET_MEMBERSHIP'!G$5:G$27=-1),'05_FEATURE_MODEL'!AH$5:AH$27)/MAX(1,COUNTIF('93_TARGET_MEMBERSHIP'!G$5:G$27,-1))))</f>
        <v/>
      </c>
      <c r="AH10" s="34">
        <f>IF($B10="ABSOLUTE SEMANTIC",ABS('06_ITEM_POLE_MODEL'!AQ10),ABS('06_ITEM_POLE_MODEL'!AQ10)*ABS(SUMPRODUCT(--('93_TARGET_MEMBERSHIP'!G$5:G$27=1),'05_FEATURE_MODEL'!AI$5:AI$27)/MAX(1,COUNTIF('93_TARGET_MEMBERSHIP'!G$5:G$27,1))-SUMPRODUCT(--('93_TARGET_MEMBERSHIP'!G$5:G$27=-1),'05_FEATURE_MODEL'!AI$5:AI$27)/MAX(1,COUNTIF('93_TARGET_MEMBERSHIP'!G$5:G$27,-1))))</f>
        <v/>
      </c>
      <c r="AI10" s="34">
        <f>IF($B10="ABSOLUTE SEMANTIC",ABS('06_ITEM_POLE_MODEL'!AR10),ABS('06_ITEM_POLE_MODEL'!AR10)*ABS(SUMPRODUCT(--('93_TARGET_MEMBERSHIP'!G$5:G$27=1),'05_FEATURE_MODEL'!AJ$5:AJ$27)/MAX(1,COUNTIF('93_TARGET_MEMBERSHIP'!G$5:G$27,1))-SUMPRODUCT(--('93_TARGET_MEMBERSHIP'!G$5:G$27=-1),'05_FEATURE_MODEL'!AJ$5:AJ$27)/MAX(1,COUNTIF('93_TARGET_MEMBERSHIP'!G$5:G$27,-1))))</f>
        <v/>
      </c>
      <c r="AJ10" s="34">
        <f>IF($B10="ABSOLUTE SEMANTIC",ABS('06_ITEM_POLE_MODEL'!AS10),ABS('06_ITEM_POLE_MODEL'!AS10)*ABS(SUMPRODUCT(--('93_TARGET_MEMBERSHIP'!G$5:G$27=1),'05_FEATURE_MODEL'!AK$5:AK$27)/MAX(1,COUNTIF('93_TARGET_MEMBERSHIP'!G$5:G$27,1))-SUMPRODUCT(--('93_TARGET_MEMBERSHIP'!G$5:G$27=-1),'05_FEATURE_MODEL'!AK$5:AK$27)/MAX(1,COUNTIF('93_TARGET_MEMBERSHIP'!G$5:G$27,-1))))</f>
        <v/>
      </c>
      <c r="AK10" s="34">
        <f>IF($B10="ABSOLUTE SEMANTIC",ABS('06_ITEM_POLE_MODEL'!AT10),ABS('06_ITEM_POLE_MODEL'!AT10)*ABS(SUMPRODUCT(--('93_TARGET_MEMBERSHIP'!G$5:G$27=1),'05_FEATURE_MODEL'!AL$5:AL$27)/MAX(1,COUNTIF('93_TARGET_MEMBERSHIP'!G$5:G$27,1))-SUMPRODUCT(--('93_TARGET_MEMBERSHIP'!G$5:G$27=-1),'05_FEATURE_MODEL'!AL$5:AL$27)/MAX(1,COUNTIF('93_TARGET_MEMBERSHIP'!G$5:G$27,-1))))</f>
        <v/>
      </c>
      <c r="AL10" s="34">
        <f>IF($B10="ABSOLUTE SEMANTIC",ABS('06_ITEM_POLE_MODEL'!AU10),ABS('06_ITEM_POLE_MODEL'!AU10)*ABS(SUMPRODUCT(--('93_TARGET_MEMBERSHIP'!G$5:G$27=1),'05_FEATURE_MODEL'!AM$5:AM$27)/MAX(1,COUNTIF('93_TARGET_MEMBERSHIP'!G$5:G$27,1))-SUMPRODUCT(--('93_TARGET_MEMBERSHIP'!G$5:G$27=-1),'05_FEATURE_MODEL'!AM$5:AM$27)/MAX(1,COUNTIF('93_TARGET_MEMBERSHIP'!G$5:G$27,-1))))</f>
        <v/>
      </c>
      <c r="AM10" s="34">
        <f>IF($B10="ABSOLUTE SEMANTIC",ABS('06_ITEM_POLE_MODEL'!AV10),ABS('06_ITEM_POLE_MODEL'!AV10)*ABS(SUMPRODUCT(--('93_TARGET_MEMBERSHIP'!G$5:G$27=1),'05_FEATURE_MODEL'!AN$5:AN$27)/MAX(1,COUNTIF('93_TARGET_MEMBERSHIP'!G$5:G$27,1))-SUMPRODUCT(--('93_TARGET_MEMBERSHIP'!G$5:G$27=-1),'05_FEATURE_MODEL'!AN$5:AN$27)/MAX(1,COUNTIF('93_TARGET_MEMBERSHIP'!G$5:G$27,-1))))</f>
        <v/>
      </c>
      <c r="AN10" s="34">
        <f>IF($B10="ABSOLUTE SEMANTIC",ABS('06_ITEM_POLE_MODEL'!AW10),ABS('06_ITEM_POLE_MODEL'!AW10)*ABS(SUMPRODUCT(--('93_TARGET_MEMBERSHIP'!G$5:G$27=1),'05_FEATURE_MODEL'!AO$5:AO$27)/MAX(1,COUNTIF('93_TARGET_MEMBERSHIP'!G$5:G$27,1))-SUMPRODUCT(--('93_TARGET_MEMBERSHIP'!G$5:G$27=-1),'05_FEATURE_MODEL'!AO$5:AO$27)/MAX(1,COUNTIF('93_TARGET_MEMBERSHIP'!G$5:G$27,-1))))</f>
        <v/>
      </c>
      <c r="AO10" s="34">
        <f>IF($B10="ABSOLUTE SEMANTIC",ABS('06_ITEM_POLE_MODEL'!AX10),ABS('06_ITEM_POLE_MODEL'!AX10)*ABS(SUMPRODUCT(--('93_TARGET_MEMBERSHIP'!G$5:G$27=1),'05_FEATURE_MODEL'!AP$5:AP$27)/MAX(1,COUNTIF('93_TARGET_MEMBERSHIP'!G$5:G$27,1))-SUMPRODUCT(--('93_TARGET_MEMBERSHIP'!G$5:G$27=-1),'05_FEATURE_MODEL'!AP$5:AP$27)/MAX(1,COUNTIF('93_TARGET_MEMBERSHIP'!G$5:G$27,-1))))</f>
        <v/>
      </c>
      <c r="AP10" s="34">
        <f>IF($B10="ABSOLUTE SEMANTIC",ABS('06_ITEM_POLE_MODEL'!AY10),ABS('06_ITEM_POLE_MODEL'!AY10)*ABS(SUMPRODUCT(--('93_TARGET_MEMBERSHIP'!G$5:G$27=1),'05_FEATURE_MODEL'!AQ$5:AQ$27)/MAX(1,COUNTIF('93_TARGET_MEMBERSHIP'!G$5:G$27,1))-SUMPRODUCT(--('93_TARGET_MEMBERSHIP'!G$5:G$27=-1),'05_FEATURE_MODEL'!AQ$5:AQ$27)/MAX(1,COUNTIF('93_TARGET_MEMBERSHIP'!G$5:G$27,-1))))</f>
        <v/>
      </c>
      <c r="AQ10" s="34">
        <f>IF($B10="ABSOLUTE SEMANTIC",ABS('06_ITEM_POLE_MODEL'!AZ10),ABS('06_ITEM_POLE_MODEL'!AZ10)*ABS(SUMPRODUCT(--('93_TARGET_MEMBERSHIP'!G$5:G$27=1),'05_FEATURE_MODEL'!AR$5:AR$27)/MAX(1,COUNTIF('93_TARGET_MEMBERSHIP'!G$5:G$27,1))-SUMPRODUCT(--('93_TARGET_MEMBERSHIP'!G$5:G$27=-1),'05_FEATURE_MODEL'!AR$5:AR$27)/MAX(1,COUNTIF('93_TARGET_MEMBERSHIP'!G$5:G$27,-1))))</f>
        <v/>
      </c>
    </row>
    <row r="11" ht="36" customHeight="1">
      <c r="A11" s="34">
        <f>'06_ITEM_POLE_MODEL'!A11</f>
        <v/>
      </c>
      <c r="B11" s="34">
        <f>'06_ITEM_POLE_MODEL'!E11</f>
        <v/>
      </c>
      <c r="C11" s="34">
        <f>IF($B11="ABSOLUTE SEMANTIC",ABS('06_ITEM_POLE_MODEL'!L11),ABS('06_ITEM_POLE_MODEL'!L11)*ABS(SUMPRODUCT(--('93_TARGET_MEMBERSHIP'!H$5:H$27=1),'05_FEATURE_MODEL'!D$5:D$27)/MAX(1,COUNTIF('93_TARGET_MEMBERSHIP'!H$5:H$27,1))-SUMPRODUCT(--('93_TARGET_MEMBERSHIP'!H$5:H$27=-1),'05_FEATURE_MODEL'!D$5:D$27)/MAX(1,COUNTIF('93_TARGET_MEMBERSHIP'!H$5:H$27,-1))))</f>
        <v/>
      </c>
      <c r="D11" s="34">
        <f>IF($B11="ABSOLUTE SEMANTIC",ABS('06_ITEM_POLE_MODEL'!M11),ABS('06_ITEM_POLE_MODEL'!M11)*ABS(SUMPRODUCT(--('93_TARGET_MEMBERSHIP'!H$5:H$27=1),'05_FEATURE_MODEL'!E$5:E$27)/MAX(1,COUNTIF('93_TARGET_MEMBERSHIP'!H$5:H$27,1))-SUMPRODUCT(--('93_TARGET_MEMBERSHIP'!H$5:H$27=-1),'05_FEATURE_MODEL'!E$5:E$27)/MAX(1,COUNTIF('93_TARGET_MEMBERSHIP'!H$5:H$27,-1))))</f>
        <v/>
      </c>
      <c r="E11" s="34">
        <f>IF($B11="ABSOLUTE SEMANTIC",ABS('06_ITEM_POLE_MODEL'!N11),ABS('06_ITEM_POLE_MODEL'!N11)*ABS(SUMPRODUCT(--('93_TARGET_MEMBERSHIP'!H$5:H$27=1),'05_FEATURE_MODEL'!F$5:F$27)/MAX(1,COUNTIF('93_TARGET_MEMBERSHIP'!H$5:H$27,1))-SUMPRODUCT(--('93_TARGET_MEMBERSHIP'!H$5:H$27=-1),'05_FEATURE_MODEL'!F$5:F$27)/MAX(1,COUNTIF('93_TARGET_MEMBERSHIP'!H$5:H$27,-1))))</f>
        <v/>
      </c>
      <c r="F11" s="34">
        <f>IF($B11="ABSOLUTE SEMANTIC",ABS('06_ITEM_POLE_MODEL'!O11),ABS('06_ITEM_POLE_MODEL'!O11)*ABS(SUMPRODUCT(--('93_TARGET_MEMBERSHIP'!H$5:H$27=1),'05_FEATURE_MODEL'!G$5:G$27)/MAX(1,COUNTIF('93_TARGET_MEMBERSHIP'!H$5:H$27,1))-SUMPRODUCT(--('93_TARGET_MEMBERSHIP'!H$5:H$27=-1),'05_FEATURE_MODEL'!G$5:G$27)/MAX(1,COUNTIF('93_TARGET_MEMBERSHIP'!H$5:H$27,-1))))</f>
        <v/>
      </c>
      <c r="G11" s="34">
        <f>IF($B11="ABSOLUTE SEMANTIC",ABS('06_ITEM_POLE_MODEL'!P11),ABS('06_ITEM_POLE_MODEL'!P11)*ABS(SUMPRODUCT(--('93_TARGET_MEMBERSHIP'!H$5:H$27=1),'05_FEATURE_MODEL'!H$5:H$27)/MAX(1,COUNTIF('93_TARGET_MEMBERSHIP'!H$5:H$27,1))-SUMPRODUCT(--('93_TARGET_MEMBERSHIP'!H$5:H$27=-1),'05_FEATURE_MODEL'!H$5:H$27)/MAX(1,COUNTIF('93_TARGET_MEMBERSHIP'!H$5:H$27,-1))))</f>
        <v/>
      </c>
      <c r="H11" s="34">
        <f>IF($B11="ABSOLUTE SEMANTIC",ABS('06_ITEM_POLE_MODEL'!Q11),ABS('06_ITEM_POLE_MODEL'!Q11)*ABS(SUMPRODUCT(--('93_TARGET_MEMBERSHIP'!H$5:H$27=1),'05_FEATURE_MODEL'!I$5:I$27)/MAX(1,COUNTIF('93_TARGET_MEMBERSHIP'!H$5:H$27,1))-SUMPRODUCT(--('93_TARGET_MEMBERSHIP'!H$5:H$27=-1),'05_FEATURE_MODEL'!I$5:I$27)/MAX(1,COUNTIF('93_TARGET_MEMBERSHIP'!H$5:H$27,-1))))</f>
        <v/>
      </c>
      <c r="I11" s="34">
        <f>IF($B11="ABSOLUTE SEMANTIC",ABS('06_ITEM_POLE_MODEL'!R11),ABS('06_ITEM_POLE_MODEL'!R11)*ABS(SUMPRODUCT(--('93_TARGET_MEMBERSHIP'!H$5:H$27=1),'05_FEATURE_MODEL'!J$5:J$27)/MAX(1,COUNTIF('93_TARGET_MEMBERSHIP'!H$5:H$27,1))-SUMPRODUCT(--('93_TARGET_MEMBERSHIP'!H$5:H$27=-1),'05_FEATURE_MODEL'!J$5:J$27)/MAX(1,COUNTIF('93_TARGET_MEMBERSHIP'!H$5:H$27,-1))))</f>
        <v/>
      </c>
      <c r="J11" s="34">
        <f>IF($B11="ABSOLUTE SEMANTIC",ABS('06_ITEM_POLE_MODEL'!S11),ABS('06_ITEM_POLE_MODEL'!S11)*ABS(SUMPRODUCT(--('93_TARGET_MEMBERSHIP'!H$5:H$27=1),'05_FEATURE_MODEL'!K$5:K$27)/MAX(1,COUNTIF('93_TARGET_MEMBERSHIP'!H$5:H$27,1))-SUMPRODUCT(--('93_TARGET_MEMBERSHIP'!H$5:H$27=-1),'05_FEATURE_MODEL'!K$5:K$27)/MAX(1,COUNTIF('93_TARGET_MEMBERSHIP'!H$5:H$27,-1))))</f>
        <v/>
      </c>
      <c r="K11" s="34">
        <f>IF($B11="ABSOLUTE SEMANTIC",ABS('06_ITEM_POLE_MODEL'!T11),ABS('06_ITEM_POLE_MODEL'!T11)*ABS(SUMPRODUCT(--('93_TARGET_MEMBERSHIP'!H$5:H$27=1),'05_FEATURE_MODEL'!L$5:L$27)/MAX(1,COUNTIF('93_TARGET_MEMBERSHIP'!H$5:H$27,1))-SUMPRODUCT(--('93_TARGET_MEMBERSHIP'!H$5:H$27=-1),'05_FEATURE_MODEL'!L$5:L$27)/MAX(1,COUNTIF('93_TARGET_MEMBERSHIP'!H$5:H$27,-1))))</f>
        <v/>
      </c>
      <c r="L11" s="34">
        <f>IF($B11="ABSOLUTE SEMANTIC",ABS('06_ITEM_POLE_MODEL'!U11),ABS('06_ITEM_POLE_MODEL'!U11)*ABS(SUMPRODUCT(--('93_TARGET_MEMBERSHIP'!H$5:H$27=1),'05_FEATURE_MODEL'!M$5:M$27)/MAX(1,COUNTIF('93_TARGET_MEMBERSHIP'!H$5:H$27,1))-SUMPRODUCT(--('93_TARGET_MEMBERSHIP'!H$5:H$27=-1),'05_FEATURE_MODEL'!M$5:M$27)/MAX(1,COUNTIF('93_TARGET_MEMBERSHIP'!H$5:H$27,-1))))</f>
        <v/>
      </c>
      <c r="M11" s="34">
        <f>IF($B11="ABSOLUTE SEMANTIC",ABS('06_ITEM_POLE_MODEL'!V11),ABS('06_ITEM_POLE_MODEL'!V11)*ABS(SUMPRODUCT(--('93_TARGET_MEMBERSHIP'!H$5:H$27=1),'05_FEATURE_MODEL'!N$5:N$27)/MAX(1,COUNTIF('93_TARGET_MEMBERSHIP'!H$5:H$27,1))-SUMPRODUCT(--('93_TARGET_MEMBERSHIP'!H$5:H$27=-1),'05_FEATURE_MODEL'!N$5:N$27)/MAX(1,COUNTIF('93_TARGET_MEMBERSHIP'!H$5:H$27,-1))))</f>
        <v/>
      </c>
      <c r="N11" s="34">
        <f>IF($B11="ABSOLUTE SEMANTIC",ABS('06_ITEM_POLE_MODEL'!W11),ABS('06_ITEM_POLE_MODEL'!W11)*ABS(SUMPRODUCT(--('93_TARGET_MEMBERSHIP'!H$5:H$27=1),'05_FEATURE_MODEL'!O$5:O$27)/MAX(1,COUNTIF('93_TARGET_MEMBERSHIP'!H$5:H$27,1))-SUMPRODUCT(--('93_TARGET_MEMBERSHIP'!H$5:H$27=-1),'05_FEATURE_MODEL'!O$5:O$27)/MAX(1,COUNTIF('93_TARGET_MEMBERSHIP'!H$5:H$27,-1))))</f>
        <v/>
      </c>
      <c r="O11" s="34">
        <f>IF($B11="ABSOLUTE SEMANTIC",ABS('06_ITEM_POLE_MODEL'!X11),ABS('06_ITEM_POLE_MODEL'!X11)*ABS(SUMPRODUCT(--('93_TARGET_MEMBERSHIP'!H$5:H$27=1),'05_FEATURE_MODEL'!P$5:P$27)/MAX(1,COUNTIF('93_TARGET_MEMBERSHIP'!H$5:H$27,1))-SUMPRODUCT(--('93_TARGET_MEMBERSHIP'!H$5:H$27=-1),'05_FEATURE_MODEL'!P$5:P$27)/MAX(1,COUNTIF('93_TARGET_MEMBERSHIP'!H$5:H$27,-1))))</f>
        <v/>
      </c>
      <c r="P11" s="34">
        <f>IF($B11="ABSOLUTE SEMANTIC",ABS('06_ITEM_POLE_MODEL'!Y11),ABS('06_ITEM_POLE_MODEL'!Y11)*ABS(SUMPRODUCT(--('93_TARGET_MEMBERSHIP'!H$5:H$27=1),'05_FEATURE_MODEL'!Q$5:Q$27)/MAX(1,COUNTIF('93_TARGET_MEMBERSHIP'!H$5:H$27,1))-SUMPRODUCT(--('93_TARGET_MEMBERSHIP'!H$5:H$27=-1),'05_FEATURE_MODEL'!Q$5:Q$27)/MAX(1,COUNTIF('93_TARGET_MEMBERSHIP'!H$5:H$27,-1))))</f>
        <v/>
      </c>
      <c r="Q11" s="34">
        <f>IF($B11="ABSOLUTE SEMANTIC",ABS('06_ITEM_POLE_MODEL'!Z11),ABS('06_ITEM_POLE_MODEL'!Z11)*ABS(SUMPRODUCT(--('93_TARGET_MEMBERSHIP'!H$5:H$27=1),'05_FEATURE_MODEL'!R$5:R$27)/MAX(1,COUNTIF('93_TARGET_MEMBERSHIP'!H$5:H$27,1))-SUMPRODUCT(--('93_TARGET_MEMBERSHIP'!H$5:H$27=-1),'05_FEATURE_MODEL'!R$5:R$27)/MAX(1,COUNTIF('93_TARGET_MEMBERSHIP'!H$5:H$27,-1))))</f>
        <v/>
      </c>
      <c r="R11" s="34">
        <f>IF($B11="ABSOLUTE SEMANTIC",ABS('06_ITEM_POLE_MODEL'!AA11),ABS('06_ITEM_POLE_MODEL'!AA11)*ABS(SUMPRODUCT(--('93_TARGET_MEMBERSHIP'!H$5:H$27=1),'05_FEATURE_MODEL'!S$5:S$27)/MAX(1,COUNTIF('93_TARGET_MEMBERSHIP'!H$5:H$27,1))-SUMPRODUCT(--('93_TARGET_MEMBERSHIP'!H$5:H$27=-1),'05_FEATURE_MODEL'!S$5:S$27)/MAX(1,COUNTIF('93_TARGET_MEMBERSHIP'!H$5:H$27,-1))))</f>
        <v/>
      </c>
      <c r="S11" s="34">
        <f>IF($B11="ABSOLUTE SEMANTIC",ABS('06_ITEM_POLE_MODEL'!AB11),ABS('06_ITEM_POLE_MODEL'!AB11)*ABS(SUMPRODUCT(--('93_TARGET_MEMBERSHIP'!H$5:H$27=1),'05_FEATURE_MODEL'!T$5:T$27)/MAX(1,COUNTIF('93_TARGET_MEMBERSHIP'!H$5:H$27,1))-SUMPRODUCT(--('93_TARGET_MEMBERSHIP'!H$5:H$27=-1),'05_FEATURE_MODEL'!T$5:T$27)/MAX(1,COUNTIF('93_TARGET_MEMBERSHIP'!H$5:H$27,-1))))</f>
        <v/>
      </c>
      <c r="T11" s="34">
        <f>IF($B11="ABSOLUTE SEMANTIC",ABS('06_ITEM_POLE_MODEL'!AC11),ABS('06_ITEM_POLE_MODEL'!AC11)*ABS(SUMPRODUCT(--('93_TARGET_MEMBERSHIP'!H$5:H$27=1),'05_FEATURE_MODEL'!U$5:U$27)/MAX(1,COUNTIF('93_TARGET_MEMBERSHIP'!H$5:H$27,1))-SUMPRODUCT(--('93_TARGET_MEMBERSHIP'!H$5:H$27=-1),'05_FEATURE_MODEL'!U$5:U$27)/MAX(1,COUNTIF('93_TARGET_MEMBERSHIP'!H$5:H$27,-1))))</f>
        <v/>
      </c>
      <c r="U11" s="34">
        <f>IF($B11="ABSOLUTE SEMANTIC",ABS('06_ITEM_POLE_MODEL'!AD11),ABS('06_ITEM_POLE_MODEL'!AD11)*ABS(SUMPRODUCT(--('93_TARGET_MEMBERSHIP'!H$5:H$27=1),'05_FEATURE_MODEL'!V$5:V$27)/MAX(1,COUNTIF('93_TARGET_MEMBERSHIP'!H$5:H$27,1))-SUMPRODUCT(--('93_TARGET_MEMBERSHIP'!H$5:H$27=-1),'05_FEATURE_MODEL'!V$5:V$27)/MAX(1,COUNTIF('93_TARGET_MEMBERSHIP'!H$5:H$27,-1))))</f>
        <v/>
      </c>
      <c r="V11" s="34">
        <f>IF($B11="ABSOLUTE SEMANTIC",ABS('06_ITEM_POLE_MODEL'!AE11),ABS('06_ITEM_POLE_MODEL'!AE11)*ABS(SUMPRODUCT(--('93_TARGET_MEMBERSHIP'!H$5:H$27=1),'05_FEATURE_MODEL'!W$5:W$27)/MAX(1,COUNTIF('93_TARGET_MEMBERSHIP'!H$5:H$27,1))-SUMPRODUCT(--('93_TARGET_MEMBERSHIP'!H$5:H$27=-1),'05_FEATURE_MODEL'!W$5:W$27)/MAX(1,COUNTIF('93_TARGET_MEMBERSHIP'!H$5:H$27,-1))))</f>
        <v/>
      </c>
      <c r="W11" s="34">
        <f>IF($B11="ABSOLUTE SEMANTIC",ABS('06_ITEM_POLE_MODEL'!AF11),ABS('06_ITEM_POLE_MODEL'!AF11)*ABS(SUMPRODUCT(--('93_TARGET_MEMBERSHIP'!H$5:H$27=1),'05_FEATURE_MODEL'!X$5:X$27)/MAX(1,COUNTIF('93_TARGET_MEMBERSHIP'!H$5:H$27,1))-SUMPRODUCT(--('93_TARGET_MEMBERSHIP'!H$5:H$27=-1),'05_FEATURE_MODEL'!X$5:X$27)/MAX(1,COUNTIF('93_TARGET_MEMBERSHIP'!H$5:H$27,-1))))</f>
        <v/>
      </c>
      <c r="X11" s="34">
        <f>IF($B11="ABSOLUTE SEMANTIC",ABS('06_ITEM_POLE_MODEL'!AG11),ABS('06_ITEM_POLE_MODEL'!AG11)*ABS(SUMPRODUCT(--('93_TARGET_MEMBERSHIP'!H$5:H$27=1),'05_FEATURE_MODEL'!Y$5:Y$27)/MAX(1,COUNTIF('93_TARGET_MEMBERSHIP'!H$5:H$27,1))-SUMPRODUCT(--('93_TARGET_MEMBERSHIP'!H$5:H$27=-1),'05_FEATURE_MODEL'!Y$5:Y$27)/MAX(1,COUNTIF('93_TARGET_MEMBERSHIP'!H$5:H$27,-1))))</f>
        <v/>
      </c>
      <c r="Y11" s="34">
        <f>IF($B11="ABSOLUTE SEMANTIC",ABS('06_ITEM_POLE_MODEL'!AH11),ABS('06_ITEM_POLE_MODEL'!AH11)*ABS(SUMPRODUCT(--('93_TARGET_MEMBERSHIP'!H$5:H$27=1),'05_FEATURE_MODEL'!Z$5:Z$27)/MAX(1,COUNTIF('93_TARGET_MEMBERSHIP'!H$5:H$27,1))-SUMPRODUCT(--('93_TARGET_MEMBERSHIP'!H$5:H$27=-1),'05_FEATURE_MODEL'!Z$5:Z$27)/MAX(1,COUNTIF('93_TARGET_MEMBERSHIP'!H$5:H$27,-1))))</f>
        <v/>
      </c>
      <c r="Z11" s="34">
        <f>IF($B11="ABSOLUTE SEMANTIC",ABS('06_ITEM_POLE_MODEL'!AI11),ABS('06_ITEM_POLE_MODEL'!AI11)*ABS(SUMPRODUCT(--('93_TARGET_MEMBERSHIP'!H$5:H$27=1),'05_FEATURE_MODEL'!AA$5:AA$27)/MAX(1,COUNTIF('93_TARGET_MEMBERSHIP'!H$5:H$27,1))-SUMPRODUCT(--('93_TARGET_MEMBERSHIP'!H$5:H$27=-1),'05_FEATURE_MODEL'!AA$5:AA$27)/MAX(1,COUNTIF('93_TARGET_MEMBERSHIP'!H$5:H$27,-1))))</f>
        <v/>
      </c>
      <c r="AA11" s="34">
        <f>IF($B11="ABSOLUTE SEMANTIC",ABS('06_ITEM_POLE_MODEL'!AJ11),ABS('06_ITEM_POLE_MODEL'!AJ11)*ABS(SUMPRODUCT(--('93_TARGET_MEMBERSHIP'!H$5:H$27=1),'05_FEATURE_MODEL'!AB$5:AB$27)/MAX(1,COUNTIF('93_TARGET_MEMBERSHIP'!H$5:H$27,1))-SUMPRODUCT(--('93_TARGET_MEMBERSHIP'!H$5:H$27=-1),'05_FEATURE_MODEL'!AB$5:AB$27)/MAX(1,COUNTIF('93_TARGET_MEMBERSHIP'!H$5:H$27,-1))))</f>
        <v/>
      </c>
      <c r="AB11" s="34">
        <f>IF($B11="ABSOLUTE SEMANTIC",ABS('06_ITEM_POLE_MODEL'!AK11),ABS('06_ITEM_POLE_MODEL'!AK11)*ABS(SUMPRODUCT(--('93_TARGET_MEMBERSHIP'!H$5:H$27=1),'05_FEATURE_MODEL'!AC$5:AC$27)/MAX(1,COUNTIF('93_TARGET_MEMBERSHIP'!H$5:H$27,1))-SUMPRODUCT(--('93_TARGET_MEMBERSHIP'!H$5:H$27=-1),'05_FEATURE_MODEL'!AC$5:AC$27)/MAX(1,COUNTIF('93_TARGET_MEMBERSHIP'!H$5:H$27,-1))))</f>
        <v/>
      </c>
      <c r="AC11" s="34">
        <f>IF($B11="ABSOLUTE SEMANTIC",ABS('06_ITEM_POLE_MODEL'!AL11),ABS('06_ITEM_POLE_MODEL'!AL11)*ABS(SUMPRODUCT(--('93_TARGET_MEMBERSHIP'!H$5:H$27=1),'05_FEATURE_MODEL'!AD$5:AD$27)/MAX(1,COUNTIF('93_TARGET_MEMBERSHIP'!H$5:H$27,1))-SUMPRODUCT(--('93_TARGET_MEMBERSHIP'!H$5:H$27=-1),'05_FEATURE_MODEL'!AD$5:AD$27)/MAX(1,COUNTIF('93_TARGET_MEMBERSHIP'!H$5:H$27,-1))))</f>
        <v/>
      </c>
      <c r="AD11" s="34">
        <f>IF($B11="ABSOLUTE SEMANTIC",ABS('06_ITEM_POLE_MODEL'!AM11),ABS('06_ITEM_POLE_MODEL'!AM11)*ABS(SUMPRODUCT(--('93_TARGET_MEMBERSHIP'!H$5:H$27=1),'05_FEATURE_MODEL'!AE$5:AE$27)/MAX(1,COUNTIF('93_TARGET_MEMBERSHIP'!H$5:H$27,1))-SUMPRODUCT(--('93_TARGET_MEMBERSHIP'!H$5:H$27=-1),'05_FEATURE_MODEL'!AE$5:AE$27)/MAX(1,COUNTIF('93_TARGET_MEMBERSHIP'!H$5:H$27,-1))))</f>
        <v/>
      </c>
      <c r="AE11" s="34">
        <f>IF($B11="ABSOLUTE SEMANTIC",ABS('06_ITEM_POLE_MODEL'!AN11),ABS('06_ITEM_POLE_MODEL'!AN11)*ABS(SUMPRODUCT(--('93_TARGET_MEMBERSHIP'!H$5:H$27=1),'05_FEATURE_MODEL'!AF$5:AF$27)/MAX(1,COUNTIF('93_TARGET_MEMBERSHIP'!H$5:H$27,1))-SUMPRODUCT(--('93_TARGET_MEMBERSHIP'!H$5:H$27=-1),'05_FEATURE_MODEL'!AF$5:AF$27)/MAX(1,COUNTIF('93_TARGET_MEMBERSHIP'!H$5:H$27,-1))))</f>
        <v/>
      </c>
      <c r="AF11" s="34">
        <f>IF($B11="ABSOLUTE SEMANTIC",ABS('06_ITEM_POLE_MODEL'!AO11),ABS('06_ITEM_POLE_MODEL'!AO11)*ABS(SUMPRODUCT(--('93_TARGET_MEMBERSHIP'!H$5:H$27=1),'05_FEATURE_MODEL'!AG$5:AG$27)/MAX(1,COUNTIF('93_TARGET_MEMBERSHIP'!H$5:H$27,1))-SUMPRODUCT(--('93_TARGET_MEMBERSHIP'!H$5:H$27=-1),'05_FEATURE_MODEL'!AG$5:AG$27)/MAX(1,COUNTIF('93_TARGET_MEMBERSHIP'!H$5:H$27,-1))))</f>
        <v/>
      </c>
      <c r="AG11" s="34">
        <f>IF($B11="ABSOLUTE SEMANTIC",ABS('06_ITEM_POLE_MODEL'!AP11),ABS('06_ITEM_POLE_MODEL'!AP11)*ABS(SUMPRODUCT(--('93_TARGET_MEMBERSHIP'!H$5:H$27=1),'05_FEATURE_MODEL'!AH$5:AH$27)/MAX(1,COUNTIF('93_TARGET_MEMBERSHIP'!H$5:H$27,1))-SUMPRODUCT(--('93_TARGET_MEMBERSHIP'!H$5:H$27=-1),'05_FEATURE_MODEL'!AH$5:AH$27)/MAX(1,COUNTIF('93_TARGET_MEMBERSHIP'!H$5:H$27,-1))))</f>
        <v/>
      </c>
      <c r="AH11" s="34">
        <f>IF($B11="ABSOLUTE SEMANTIC",ABS('06_ITEM_POLE_MODEL'!AQ11),ABS('06_ITEM_POLE_MODEL'!AQ11)*ABS(SUMPRODUCT(--('93_TARGET_MEMBERSHIP'!H$5:H$27=1),'05_FEATURE_MODEL'!AI$5:AI$27)/MAX(1,COUNTIF('93_TARGET_MEMBERSHIP'!H$5:H$27,1))-SUMPRODUCT(--('93_TARGET_MEMBERSHIP'!H$5:H$27=-1),'05_FEATURE_MODEL'!AI$5:AI$27)/MAX(1,COUNTIF('93_TARGET_MEMBERSHIP'!H$5:H$27,-1))))</f>
        <v/>
      </c>
      <c r="AI11" s="34">
        <f>IF($B11="ABSOLUTE SEMANTIC",ABS('06_ITEM_POLE_MODEL'!AR11),ABS('06_ITEM_POLE_MODEL'!AR11)*ABS(SUMPRODUCT(--('93_TARGET_MEMBERSHIP'!H$5:H$27=1),'05_FEATURE_MODEL'!AJ$5:AJ$27)/MAX(1,COUNTIF('93_TARGET_MEMBERSHIP'!H$5:H$27,1))-SUMPRODUCT(--('93_TARGET_MEMBERSHIP'!H$5:H$27=-1),'05_FEATURE_MODEL'!AJ$5:AJ$27)/MAX(1,COUNTIF('93_TARGET_MEMBERSHIP'!H$5:H$27,-1))))</f>
        <v/>
      </c>
      <c r="AJ11" s="34">
        <f>IF($B11="ABSOLUTE SEMANTIC",ABS('06_ITEM_POLE_MODEL'!AS11),ABS('06_ITEM_POLE_MODEL'!AS11)*ABS(SUMPRODUCT(--('93_TARGET_MEMBERSHIP'!H$5:H$27=1),'05_FEATURE_MODEL'!AK$5:AK$27)/MAX(1,COUNTIF('93_TARGET_MEMBERSHIP'!H$5:H$27,1))-SUMPRODUCT(--('93_TARGET_MEMBERSHIP'!H$5:H$27=-1),'05_FEATURE_MODEL'!AK$5:AK$27)/MAX(1,COUNTIF('93_TARGET_MEMBERSHIP'!H$5:H$27,-1))))</f>
        <v/>
      </c>
      <c r="AK11" s="34">
        <f>IF($B11="ABSOLUTE SEMANTIC",ABS('06_ITEM_POLE_MODEL'!AT11),ABS('06_ITEM_POLE_MODEL'!AT11)*ABS(SUMPRODUCT(--('93_TARGET_MEMBERSHIP'!H$5:H$27=1),'05_FEATURE_MODEL'!AL$5:AL$27)/MAX(1,COUNTIF('93_TARGET_MEMBERSHIP'!H$5:H$27,1))-SUMPRODUCT(--('93_TARGET_MEMBERSHIP'!H$5:H$27=-1),'05_FEATURE_MODEL'!AL$5:AL$27)/MAX(1,COUNTIF('93_TARGET_MEMBERSHIP'!H$5:H$27,-1))))</f>
        <v/>
      </c>
      <c r="AL11" s="34">
        <f>IF($B11="ABSOLUTE SEMANTIC",ABS('06_ITEM_POLE_MODEL'!AU11),ABS('06_ITEM_POLE_MODEL'!AU11)*ABS(SUMPRODUCT(--('93_TARGET_MEMBERSHIP'!H$5:H$27=1),'05_FEATURE_MODEL'!AM$5:AM$27)/MAX(1,COUNTIF('93_TARGET_MEMBERSHIP'!H$5:H$27,1))-SUMPRODUCT(--('93_TARGET_MEMBERSHIP'!H$5:H$27=-1),'05_FEATURE_MODEL'!AM$5:AM$27)/MAX(1,COUNTIF('93_TARGET_MEMBERSHIP'!H$5:H$27,-1))))</f>
        <v/>
      </c>
      <c r="AM11" s="34">
        <f>IF($B11="ABSOLUTE SEMANTIC",ABS('06_ITEM_POLE_MODEL'!AV11),ABS('06_ITEM_POLE_MODEL'!AV11)*ABS(SUMPRODUCT(--('93_TARGET_MEMBERSHIP'!H$5:H$27=1),'05_FEATURE_MODEL'!AN$5:AN$27)/MAX(1,COUNTIF('93_TARGET_MEMBERSHIP'!H$5:H$27,1))-SUMPRODUCT(--('93_TARGET_MEMBERSHIP'!H$5:H$27=-1),'05_FEATURE_MODEL'!AN$5:AN$27)/MAX(1,COUNTIF('93_TARGET_MEMBERSHIP'!H$5:H$27,-1))))</f>
        <v/>
      </c>
      <c r="AN11" s="34">
        <f>IF($B11="ABSOLUTE SEMANTIC",ABS('06_ITEM_POLE_MODEL'!AW11),ABS('06_ITEM_POLE_MODEL'!AW11)*ABS(SUMPRODUCT(--('93_TARGET_MEMBERSHIP'!H$5:H$27=1),'05_FEATURE_MODEL'!AO$5:AO$27)/MAX(1,COUNTIF('93_TARGET_MEMBERSHIP'!H$5:H$27,1))-SUMPRODUCT(--('93_TARGET_MEMBERSHIP'!H$5:H$27=-1),'05_FEATURE_MODEL'!AO$5:AO$27)/MAX(1,COUNTIF('93_TARGET_MEMBERSHIP'!H$5:H$27,-1))))</f>
        <v/>
      </c>
      <c r="AO11" s="34">
        <f>IF($B11="ABSOLUTE SEMANTIC",ABS('06_ITEM_POLE_MODEL'!AX11),ABS('06_ITEM_POLE_MODEL'!AX11)*ABS(SUMPRODUCT(--('93_TARGET_MEMBERSHIP'!H$5:H$27=1),'05_FEATURE_MODEL'!AP$5:AP$27)/MAX(1,COUNTIF('93_TARGET_MEMBERSHIP'!H$5:H$27,1))-SUMPRODUCT(--('93_TARGET_MEMBERSHIP'!H$5:H$27=-1),'05_FEATURE_MODEL'!AP$5:AP$27)/MAX(1,COUNTIF('93_TARGET_MEMBERSHIP'!H$5:H$27,-1))))</f>
        <v/>
      </c>
      <c r="AP11" s="34">
        <f>IF($B11="ABSOLUTE SEMANTIC",ABS('06_ITEM_POLE_MODEL'!AY11),ABS('06_ITEM_POLE_MODEL'!AY11)*ABS(SUMPRODUCT(--('93_TARGET_MEMBERSHIP'!H$5:H$27=1),'05_FEATURE_MODEL'!AQ$5:AQ$27)/MAX(1,COUNTIF('93_TARGET_MEMBERSHIP'!H$5:H$27,1))-SUMPRODUCT(--('93_TARGET_MEMBERSHIP'!H$5:H$27=-1),'05_FEATURE_MODEL'!AQ$5:AQ$27)/MAX(1,COUNTIF('93_TARGET_MEMBERSHIP'!H$5:H$27,-1))))</f>
        <v/>
      </c>
      <c r="AQ11" s="34">
        <f>IF($B11="ABSOLUTE SEMANTIC",ABS('06_ITEM_POLE_MODEL'!AZ11),ABS('06_ITEM_POLE_MODEL'!AZ11)*ABS(SUMPRODUCT(--('93_TARGET_MEMBERSHIP'!H$5:H$27=1),'05_FEATURE_MODEL'!AR$5:AR$27)/MAX(1,COUNTIF('93_TARGET_MEMBERSHIP'!H$5:H$27,1))-SUMPRODUCT(--('93_TARGET_MEMBERSHIP'!H$5:H$27=-1),'05_FEATURE_MODEL'!AR$5:AR$27)/MAX(1,COUNTIF('93_TARGET_MEMBERSHIP'!H$5:H$27,-1))))</f>
        <v/>
      </c>
    </row>
    <row r="12" ht="36" customHeight="1">
      <c r="A12" s="34">
        <f>'06_ITEM_POLE_MODEL'!A12</f>
        <v/>
      </c>
      <c r="B12" s="34">
        <f>'06_ITEM_POLE_MODEL'!E12</f>
        <v/>
      </c>
      <c r="C12" s="34">
        <f>IF($B12="ABSOLUTE SEMANTIC",ABS('06_ITEM_POLE_MODEL'!L12),ABS('06_ITEM_POLE_MODEL'!L12)*ABS(SUMPRODUCT(--('93_TARGET_MEMBERSHIP'!I$5:I$27=1),'05_FEATURE_MODEL'!D$5:D$27)/MAX(1,COUNTIF('93_TARGET_MEMBERSHIP'!I$5:I$27,1))-SUMPRODUCT(--('93_TARGET_MEMBERSHIP'!I$5:I$27=-1),'05_FEATURE_MODEL'!D$5:D$27)/MAX(1,COUNTIF('93_TARGET_MEMBERSHIP'!I$5:I$27,-1))))</f>
        <v/>
      </c>
      <c r="D12" s="34">
        <f>IF($B12="ABSOLUTE SEMANTIC",ABS('06_ITEM_POLE_MODEL'!M12),ABS('06_ITEM_POLE_MODEL'!M12)*ABS(SUMPRODUCT(--('93_TARGET_MEMBERSHIP'!I$5:I$27=1),'05_FEATURE_MODEL'!E$5:E$27)/MAX(1,COUNTIF('93_TARGET_MEMBERSHIP'!I$5:I$27,1))-SUMPRODUCT(--('93_TARGET_MEMBERSHIP'!I$5:I$27=-1),'05_FEATURE_MODEL'!E$5:E$27)/MAX(1,COUNTIF('93_TARGET_MEMBERSHIP'!I$5:I$27,-1))))</f>
        <v/>
      </c>
      <c r="E12" s="34">
        <f>IF($B12="ABSOLUTE SEMANTIC",ABS('06_ITEM_POLE_MODEL'!N12),ABS('06_ITEM_POLE_MODEL'!N12)*ABS(SUMPRODUCT(--('93_TARGET_MEMBERSHIP'!I$5:I$27=1),'05_FEATURE_MODEL'!F$5:F$27)/MAX(1,COUNTIF('93_TARGET_MEMBERSHIP'!I$5:I$27,1))-SUMPRODUCT(--('93_TARGET_MEMBERSHIP'!I$5:I$27=-1),'05_FEATURE_MODEL'!F$5:F$27)/MAX(1,COUNTIF('93_TARGET_MEMBERSHIP'!I$5:I$27,-1))))</f>
        <v/>
      </c>
      <c r="F12" s="34">
        <f>IF($B12="ABSOLUTE SEMANTIC",ABS('06_ITEM_POLE_MODEL'!O12),ABS('06_ITEM_POLE_MODEL'!O12)*ABS(SUMPRODUCT(--('93_TARGET_MEMBERSHIP'!I$5:I$27=1),'05_FEATURE_MODEL'!G$5:G$27)/MAX(1,COUNTIF('93_TARGET_MEMBERSHIP'!I$5:I$27,1))-SUMPRODUCT(--('93_TARGET_MEMBERSHIP'!I$5:I$27=-1),'05_FEATURE_MODEL'!G$5:G$27)/MAX(1,COUNTIF('93_TARGET_MEMBERSHIP'!I$5:I$27,-1))))</f>
        <v/>
      </c>
      <c r="G12" s="34">
        <f>IF($B12="ABSOLUTE SEMANTIC",ABS('06_ITEM_POLE_MODEL'!P12),ABS('06_ITEM_POLE_MODEL'!P12)*ABS(SUMPRODUCT(--('93_TARGET_MEMBERSHIP'!I$5:I$27=1),'05_FEATURE_MODEL'!H$5:H$27)/MAX(1,COUNTIF('93_TARGET_MEMBERSHIP'!I$5:I$27,1))-SUMPRODUCT(--('93_TARGET_MEMBERSHIP'!I$5:I$27=-1),'05_FEATURE_MODEL'!H$5:H$27)/MAX(1,COUNTIF('93_TARGET_MEMBERSHIP'!I$5:I$27,-1))))</f>
        <v/>
      </c>
      <c r="H12" s="34">
        <f>IF($B12="ABSOLUTE SEMANTIC",ABS('06_ITEM_POLE_MODEL'!Q12),ABS('06_ITEM_POLE_MODEL'!Q12)*ABS(SUMPRODUCT(--('93_TARGET_MEMBERSHIP'!I$5:I$27=1),'05_FEATURE_MODEL'!I$5:I$27)/MAX(1,COUNTIF('93_TARGET_MEMBERSHIP'!I$5:I$27,1))-SUMPRODUCT(--('93_TARGET_MEMBERSHIP'!I$5:I$27=-1),'05_FEATURE_MODEL'!I$5:I$27)/MAX(1,COUNTIF('93_TARGET_MEMBERSHIP'!I$5:I$27,-1))))</f>
        <v/>
      </c>
      <c r="I12" s="34">
        <f>IF($B12="ABSOLUTE SEMANTIC",ABS('06_ITEM_POLE_MODEL'!R12),ABS('06_ITEM_POLE_MODEL'!R12)*ABS(SUMPRODUCT(--('93_TARGET_MEMBERSHIP'!I$5:I$27=1),'05_FEATURE_MODEL'!J$5:J$27)/MAX(1,COUNTIF('93_TARGET_MEMBERSHIP'!I$5:I$27,1))-SUMPRODUCT(--('93_TARGET_MEMBERSHIP'!I$5:I$27=-1),'05_FEATURE_MODEL'!J$5:J$27)/MAX(1,COUNTIF('93_TARGET_MEMBERSHIP'!I$5:I$27,-1))))</f>
        <v/>
      </c>
      <c r="J12" s="34">
        <f>IF($B12="ABSOLUTE SEMANTIC",ABS('06_ITEM_POLE_MODEL'!S12),ABS('06_ITEM_POLE_MODEL'!S12)*ABS(SUMPRODUCT(--('93_TARGET_MEMBERSHIP'!I$5:I$27=1),'05_FEATURE_MODEL'!K$5:K$27)/MAX(1,COUNTIF('93_TARGET_MEMBERSHIP'!I$5:I$27,1))-SUMPRODUCT(--('93_TARGET_MEMBERSHIP'!I$5:I$27=-1),'05_FEATURE_MODEL'!K$5:K$27)/MAX(1,COUNTIF('93_TARGET_MEMBERSHIP'!I$5:I$27,-1))))</f>
        <v/>
      </c>
      <c r="K12" s="34">
        <f>IF($B12="ABSOLUTE SEMANTIC",ABS('06_ITEM_POLE_MODEL'!T12),ABS('06_ITEM_POLE_MODEL'!T12)*ABS(SUMPRODUCT(--('93_TARGET_MEMBERSHIP'!I$5:I$27=1),'05_FEATURE_MODEL'!L$5:L$27)/MAX(1,COUNTIF('93_TARGET_MEMBERSHIP'!I$5:I$27,1))-SUMPRODUCT(--('93_TARGET_MEMBERSHIP'!I$5:I$27=-1),'05_FEATURE_MODEL'!L$5:L$27)/MAX(1,COUNTIF('93_TARGET_MEMBERSHIP'!I$5:I$27,-1))))</f>
        <v/>
      </c>
      <c r="L12" s="34">
        <f>IF($B12="ABSOLUTE SEMANTIC",ABS('06_ITEM_POLE_MODEL'!U12),ABS('06_ITEM_POLE_MODEL'!U12)*ABS(SUMPRODUCT(--('93_TARGET_MEMBERSHIP'!I$5:I$27=1),'05_FEATURE_MODEL'!M$5:M$27)/MAX(1,COUNTIF('93_TARGET_MEMBERSHIP'!I$5:I$27,1))-SUMPRODUCT(--('93_TARGET_MEMBERSHIP'!I$5:I$27=-1),'05_FEATURE_MODEL'!M$5:M$27)/MAX(1,COUNTIF('93_TARGET_MEMBERSHIP'!I$5:I$27,-1))))</f>
        <v/>
      </c>
      <c r="M12" s="34">
        <f>IF($B12="ABSOLUTE SEMANTIC",ABS('06_ITEM_POLE_MODEL'!V12),ABS('06_ITEM_POLE_MODEL'!V12)*ABS(SUMPRODUCT(--('93_TARGET_MEMBERSHIP'!I$5:I$27=1),'05_FEATURE_MODEL'!N$5:N$27)/MAX(1,COUNTIF('93_TARGET_MEMBERSHIP'!I$5:I$27,1))-SUMPRODUCT(--('93_TARGET_MEMBERSHIP'!I$5:I$27=-1),'05_FEATURE_MODEL'!N$5:N$27)/MAX(1,COUNTIF('93_TARGET_MEMBERSHIP'!I$5:I$27,-1))))</f>
        <v/>
      </c>
      <c r="N12" s="34">
        <f>IF($B12="ABSOLUTE SEMANTIC",ABS('06_ITEM_POLE_MODEL'!W12),ABS('06_ITEM_POLE_MODEL'!W12)*ABS(SUMPRODUCT(--('93_TARGET_MEMBERSHIP'!I$5:I$27=1),'05_FEATURE_MODEL'!O$5:O$27)/MAX(1,COUNTIF('93_TARGET_MEMBERSHIP'!I$5:I$27,1))-SUMPRODUCT(--('93_TARGET_MEMBERSHIP'!I$5:I$27=-1),'05_FEATURE_MODEL'!O$5:O$27)/MAX(1,COUNTIF('93_TARGET_MEMBERSHIP'!I$5:I$27,-1))))</f>
        <v/>
      </c>
      <c r="O12" s="34">
        <f>IF($B12="ABSOLUTE SEMANTIC",ABS('06_ITEM_POLE_MODEL'!X12),ABS('06_ITEM_POLE_MODEL'!X12)*ABS(SUMPRODUCT(--('93_TARGET_MEMBERSHIP'!I$5:I$27=1),'05_FEATURE_MODEL'!P$5:P$27)/MAX(1,COUNTIF('93_TARGET_MEMBERSHIP'!I$5:I$27,1))-SUMPRODUCT(--('93_TARGET_MEMBERSHIP'!I$5:I$27=-1),'05_FEATURE_MODEL'!P$5:P$27)/MAX(1,COUNTIF('93_TARGET_MEMBERSHIP'!I$5:I$27,-1))))</f>
        <v/>
      </c>
      <c r="P12" s="34">
        <f>IF($B12="ABSOLUTE SEMANTIC",ABS('06_ITEM_POLE_MODEL'!Y12),ABS('06_ITEM_POLE_MODEL'!Y12)*ABS(SUMPRODUCT(--('93_TARGET_MEMBERSHIP'!I$5:I$27=1),'05_FEATURE_MODEL'!Q$5:Q$27)/MAX(1,COUNTIF('93_TARGET_MEMBERSHIP'!I$5:I$27,1))-SUMPRODUCT(--('93_TARGET_MEMBERSHIP'!I$5:I$27=-1),'05_FEATURE_MODEL'!Q$5:Q$27)/MAX(1,COUNTIF('93_TARGET_MEMBERSHIP'!I$5:I$27,-1))))</f>
        <v/>
      </c>
      <c r="Q12" s="34">
        <f>IF($B12="ABSOLUTE SEMANTIC",ABS('06_ITEM_POLE_MODEL'!Z12),ABS('06_ITEM_POLE_MODEL'!Z12)*ABS(SUMPRODUCT(--('93_TARGET_MEMBERSHIP'!I$5:I$27=1),'05_FEATURE_MODEL'!R$5:R$27)/MAX(1,COUNTIF('93_TARGET_MEMBERSHIP'!I$5:I$27,1))-SUMPRODUCT(--('93_TARGET_MEMBERSHIP'!I$5:I$27=-1),'05_FEATURE_MODEL'!R$5:R$27)/MAX(1,COUNTIF('93_TARGET_MEMBERSHIP'!I$5:I$27,-1))))</f>
        <v/>
      </c>
      <c r="R12" s="34">
        <f>IF($B12="ABSOLUTE SEMANTIC",ABS('06_ITEM_POLE_MODEL'!AA12),ABS('06_ITEM_POLE_MODEL'!AA12)*ABS(SUMPRODUCT(--('93_TARGET_MEMBERSHIP'!I$5:I$27=1),'05_FEATURE_MODEL'!S$5:S$27)/MAX(1,COUNTIF('93_TARGET_MEMBERSHIP'!I$5:I$27,1))-SUMPRODUCT(--('93_TARGET_MEMBERSHIP'!I$5:I$27=-1),'05_FEATURE_MODEL'!S$5:S$27)/MAX(1,COUNTIF('93_TARGET_MEMBERSHIP'!I$5:I$27,-1))))</f>
        <v/>
      </c>
      <c r="S12" s="34">
        <f>IF($B12="ABSOLUTE SEMANTIC",ABS('06_ITEM_POLE_MODEL'!AB12),ABS('06_ITEM_POLE_MODEL'!AB12)*ABS(SUMPRODUCT(--('93_TARGET_MEMBERSHIP'!I$5:I$27=1),'05_FEATURE_MODEL'!T$5:T$27)/MAX(1,COUNTIF('93_TARGET_MEMBERSHIP'!I$5:I$27,1))-SUMPRODUCT(--('93_TARGET_MEMBERSHIP'!I$5:I$27=-1),'05_FEATURE_MODEL'!T$5:T$27)/MAX(1,COUNTIF('93_TARGET_MEMBERSHIP'!I$5:I$27,-1))))</f>
        <v/>
      </c>
      <c r="T12" s="34">
        <f>IF($B12="ABSOLUTE SEMANTIC",ABS('06_ITEM_POLE_MODEL'!AC12),ABS('06_ITEM_POLE_MODEL'!AC12)*ABS(SUMPRODUCT(--('93_TARGET_MEMBERSHIP'!I$5:I$27=1),'05_FEATURE_MODEL'!U$5:U$27)/MAX(1,COUNTIF('93_TARGET_MEMBERSHIP'!I$5:I$27,1))-SUMPRODUCT(--('93_TARGET_MEMBERSHIP'!I$5:I$27=-1),'05_FEATURE_MODEL'!U$5:U$27)/MAX(1,COUNTIF('93_TARGET_MEMBERSHIP'!I$5:I$27,-1))))</f>
        <v/>
      </c>
      <c r="U12" s="34">
        <f>IF($B12="ABSOLUTE SEMANTIC",ABS('06_ITEM_POLE_MODEL'!AD12),ABS('06_ITEM_POLE_MODEL'!AD12)*ABS(SUMPRODUCT(--('93_TARGET_MEMBERSHIP'!I$5:I$27=1),'05_FEATURE_MODEL'!V$5:V$27)/MAX(1,COUNTIF('93_TARGET_MEMBERSHIP'!I$5:I$27,1))-SUMPRODUCT(--('93_TARGET_MEMBERSHIP'!I$5:I$27=-1),'05_FEATURE_MODEL'!V$5:V$27)/MAX(1,COUNTIF('93_TARGET_MEMBERSHIP'!I$5:I$27,-1))))</f>
        <v/>
      </c>
      <c r="V12" s="34">
        <f>IF($B12="ABSOLUTE SEMANTIC",ABS('06_ITEM_POLE_MODEL'!AE12),ABS('06_ITEM_POLE_MODEL'!AE12)*ABS(SUMPRODUCT(--('93_TARGET_MEMBERSHIP'!I$5:I$27=1),'05_FEATURE_MODEL'!W$5:W$27)/MAX(1,COUNTIF('93_TARGET_MEMBERSHIP'!I$5:I$27,1))-SUMPRODUCT(--('93_TARGET_MEMBERSHIP'!I$5:I$27=-1),'05_FEATURE_MODEL'!W$5:W$27)/MAX(1,COUNTIF('93_TARGET_MEMBERSHIP'!I$5:I$27,-1))))</f>
        <v/>
      </c>
      <c r="W12" s="34">
        <f>IF($B12="ABSOLUTE SEMANTIC",ABS('06_ITEM_POLE_MODEL'!AF12),ABS('06_ITEM_POLE_MODEL'!AF12)*ABS(SUMPRODUCT(--('93_TARGET_MEMBERSHIP'!I$5:I$27=1),'05_FEATURE_MODEL'!X$5:X$27)/MAX(1,COUNTIF('93_TARGET_MEMBERSHIP'!I$5:I$27,1))-SUMPRODUCT(--('93_TARGET_MEMBERSHIP'!I$5:I$27=-1),'05_FEATURE_MODEL'!X$5:X$27)/MAX(1,COUNTIF('93_TARGET_MEMBERSHIP'!I$5:I$27,-1))))</f>
        <v/>
      </c>
      <c r="X12" s="34">
        <f>IF($B12="ABSOLUTE SEMANTIC",ABS('06_ITEM_POLE_MODEL'!AG12),ABS('06_ITEM_POLE_MODEL'!AG12)*ABS(SUMPRODUCT(--('93_TARGET_MEMBERSHIP'!I$5:I$27=1),'05_FEATURE_MODEL'!Y$5:Y$27)/MAX(1,COUNTIF('93_TARGET_MEMBERSHIP'!I$5:I$27,1))-SUMPRODUCT(--('93_TARGET_MEMBERSHIP'!I$5:I$27=-1),'05_FEATURE_MODEL'!Y$5:Y$27)/MAX(1,COUNTIF('93_TARGET_MEMBERSHIP'!I$5:I$27,-1))))</f>
        <v/>
      </c>
      <c r="Y12" s="34">
        <f>IF($B12="ABSOLUTE SEMANTIC",ABS('06_ITEM_POLE_MODEL'!AH12),ABS('06_ITEM_POLE_MODEL'!AH12)*ABS(SUMPRODUCT(--('93_TARGET_MEMBERSHIP'!I$5:I$27=1),'05_FEATURE_MODEL'!Z$5:Z$27)/MAX(1,COUNTIF('93_TARGET_MEMBERSHIP'!I$5:I$27,1))-SUMPRODUCT(--('93_TARGET_MEMBERSHIP'!I$5:I$27=-1),'05_FEATURE_MODEL'!Z$5:Z$27)/MAX(1,COUNTIF('93_TARGET_MEMBERSHIP'!I$5:I$27,-1))))</f>
        <v/>
      </c>
      <c r="Z12" s="34">
        <f>IF($B12="ABSOLUTE SEMANTIC",ABS('06_ITEM_POLE_MODEL'!AI12),ABS('06_ITEM_POLE_MODEL'!AI12)*ABS(SUMPRODUCT(--('93_TARGET_MEMBERSHIP'!I$5:I$27=1),'05_FEATURE_MODEL'!AA$5:AA$27)/MAX(1,COUNTIF('93_TARGET_MEMBERSHIP'!I$5:I$27,1))-SUMPRODUCT(--('93_TARGET_MEMBERSHIP'!I$5:I$27=-1),'05_FEATURE_MODEL'!AA$5:AA$27)/MAX(1,COUNTIF('93_TARGET_MEMBERSHIP'!I$5:I$27,-1))))</f>
        <v/>
      </c>
      <c r="AA12" s="34">
        <f>IF($B12="ABSOLUTE SEMANTIC",ABS('06_ITEM_POLE_MODEL'!AJ12),ABS('06_ITEM_POLE_MODEL'!AJ12)*ABS(SUMPRODUCT(--('93_TARGET_MEMBERSHIP'!I$5:I$27=1),'05_FEATURE_MODEL'!AB$5:AB$27)/MAX(1,COUNTIF('93_TARGET_MEMBERSHIP'!I$5:I$27,1))-SUMPRODUCT(--('93_TARGET_MEMBERSHIP'!I$5:I$27=-1),'05_FEATURE_MODEL'!AB$5:AB$27)/MAX(1,COUNTIF('93_TARGET_MEMBERSHIP'!I$5:I$27,-1))))</f>
        <v/>
      </c>
      <c r="AB12" s="34">
        <f>IF($B12="ABSOLUTE SEMANTIC",ABS('06_ITEM_POLE_MODEL'!AK12),ABS('06_ITEM_POLE_MODEL'!AK12)*ABS(SUMPRODUCT(--('93_TARGET_MEMBERSHIP'!I$5:I$27=1),'05_FEATURE_MODEL'!AC$5:AC$27)/MAX(1,COUNTIF('93_TARGET_MEMBERSHIP'!I$5:I$27,1))-SUMPRODUCT(--('93_TARGET_MEMBERSHIP'!I$5:I$27=-1),'05_FEATURE_MODEL'!AC$5:AC$27)/MAX(1,COUNTIF('93_TARGET_MEMBERSHIP'!I$5:I$27,-1))))</f>
        <v/>
      </c>
      <c r="AC12" s="34">
        <f>IF($B12="ABSOLUTE SEMANTIC",ABS('06_ITEM_POLE_MODEL'!AL12),ABS('06_ITEM_POLE_MODEL'!AL12)*ABS(SUMPRODUCT(--('93_TARGET_MEMBERSHIP'!I$5:I$27=1),'05_FEATURE_MODEL'!AD$5:AD$27)/MAX(1,COUNTIF('93_TARGET_MEMBERSHIP'!I$5:I$27,1))-SUMPRODUCT(--('93_TARGET_MEMBERSHIP'!I$5:I$27=-1),'05_FEATURE_MODEL'!AD$5:AD$27)/MAX(1,COUNTIF('93_TARGET_MEMBERSHIP'!I$5:I$27,-1))))</f>
        <v/>
      </c>
      <c r="AD12" s="34">
        <f>IF($B12="ABSOLUTE SEMANTIC",ABS('06_ITEM_POLE_MODEL'!AM12),ABS('06_ITEM_POLE_MODEL'!AM12)*ABS(SUMPRODUCT(--('93_TARGET_MEMBERSHIP'!I$5:I$27=1),'05_FEATURE_MODEL'!AE$5:AE$27)/MAX(1,COUNTIF('93_TARGET_MEMBERSHIP'!I$5:I$27,1))-SUMPRODUCT(--('93_TARGET_MEMBERSHIP'!I$5:I$27=-1),'05_FEATURE_MODEL'!AE$5:AE$27)/MAX(1,COUNTIF('93_TARGET_MEMBERSHIP'!I$5:I$27,-1))))</f>
        <v/>
      </c>
      <c r="AE12" s="34">
        <f>IF($B12="ABSOLUTE SEMANTIC",ABS('06_ITEM_POLE_MODEL'!AN12),ABS('06_ITEM_POLE_MODEL'!AN12)*ABS(SUMPRODUCT(--('93_TARGET_MEMBERSHIP'!I$5:I$27=1),'05_FEATURE_MODEL'!AF$5:AF$27)/MAX(1,COUNTIF('93_TARGET_MEMBERSHIP'!I$5:I$27,1))-SUMPRODUCT(--('93_TARGET_MEMBERSHIP'!I$5:I$27=-1),'05_FEATURE_MODEL'!AF$5:AF$27)/MAX(1,COUNTIF('93_TARGET_MEMBERSHIP'!I$5:I$27,-1))))</f>
        <v/>
      </c>
      <c r="AF12" s="34">
        <f>IF($B12="ABSOLUTE SEMANTIC",ABS('06_ITEM_POLE_MODEL'!AO12),ABS('06_ITEM_POLE_MODEL'!AO12)*ABS(SUMPRODUCT(--('93_TARGET_MEMBERSHIP'!I$5:I$27=1),'05_FEATURE_MODEL'!AG$5:AG$27)/MAX(1,COUNTIF('93_TARGET_MEMBERSHIP'!I$5:I$27,1))-SUMPRODUCT(--('93_TARGET_MEMBERSHIP'!I$5:I$27=-1),'05_FEATURE_MODEL'!AG$5:AG$27)/MAX(1,COUNTIF('93_TARGET_MEMBERSHIP'!I$5:I$27,-1))))</f>
        <v/>
      </c>
      <c r="AG12" s="34">
        <f>IF($B12="ABSOLUTE SEMANTIC",ABS('06_ITEM_POLE_MODEL'!AP12),ABS('06_ITEM_POLE_MODEL'!AP12)*ABS(SUMPRODUCT(--('93_TARGET_MEMBERSHIP'!I$5:I$27=1),'05_FEATURE_MODEL'!AH$5:AH$27)/MAX(1,COUNTIF('93_TARGET_MEMBERSHIP'!I$5:I$27,1))-SUMPRODUCT(--('93_TARGET_MEMBERSHIP'!I$5:I$27=-1),'05_FEATURE_MODEL'!AH$5:AH$27)/MAX(1,COUNTIF('93_TARGET_MEMBERSHIP'!I$5:I$27,-1))))</f>
        <v/>
      </c>
      <c r="AH12" s="34">
        <f>IF($B12="ABSOLUTE SEMANTIC",ABS('06_ITEM_POLE_MODEL'!AQ12),ABS('06_ITEM_POLE_MODEL'!AQ12)*ABS(SUMPRODUCT(--('93_TARGET_MEMBERSHIP'!I$5:I$27=1),'05_FEATURE_MODEL'!AI$5:AI$27)/MAX(1,COUNTIF('93_TARGET_MEMBERSHIP'!I$5:I$27,1))-SUMPRODUCT(--('93_TARGET_MEMBERSHIP'!I$5:I$27=-1),'05_FEATURE_MODEL'!AI$5:AI$27)/MAX(1,COUNTIF('93_TARGET_MEMBERSHIP'!I$5:I$27,-1))))</f>
        <v/>
      </c>
      <c r="AI12" s="34">
        <f>IF($B12="ABSOLUTE SEMANTIC",ABS('06_ITEM_POLE_MODEL'!AR12),ABS('06_ITEM_POLE_MODEL'!AR12)*ABS(SUMPRODUCT(--('93_TARGET_MEMBERSHIP'!I$5:I$27=1),'05_FEATURE_MODEL'!AJ$5:AJ$27)/MAX(1,COUNTIF('93_TARGET_MEMBERSHIP'!I$5:I$27,1))-SUMPRODUCT(--('93_TARGET_MEMBERSHIP'!I$5:I$27=-1),'05_FEATURE_MODEL'!AJ$5:AJ$27)/MAX(1,COUNTIF('93_TARGET_MEMBERSHIP'!I$5:I$27,-1))))</f>
        <v/>
      </c>
      <c r="AJ12" s="34">
        <f>IF($B12="ABSOLUTE SEMANTIC",ABS('06_ITEM_POLE_MODEL'!AS12),ABS('06_ITEM_POLE_MODEL'!AS12)*ABS(SUMPRODUCT(--('93_TARGET_MEMBERSHIP'!I$5:I$27=1),'05_FEATURE_MODEL'!AK$5:AK$27)/MAX(1,COUNTIF('93_TARGET_MEMBERSHIP'!I$5:I$27,1))-SUMPRODUCT(--('93_TARGET_MEMBERSHIP'!I$5:I$27=-1),'05_FEATURE_MODEL'!AK$5:AK$27)/MAX(1,COUNTIF('93_TARGET_MEMBERSHIP'!I$5:I$27,-1))))</f>
        <v/>
      </c>
      <c r="AK12" s="34">
        <f>IF($B12="ABSOLUTE SEMANTIC",ABS('06_ITEM_POLE_MODEL'!AT12),ABS('06_ITEM_POLE_MODEL'!AT12)*ABS(SUMPRODUCT(--('93_TARGET_MEMBERSHIP'!I$5:I$27=1),'05_FEATURE_MODEL'!AL$5:AL$27)/MAX(1,COUNTIF('93_TARGET_MEMBERSHIP'!I$5:I$27,1))-SUMPRODUCT(--('93_TARGET_MEMBERSHIP'!I$5:I$27=-1),'05_FEATURE_MODEL'!AL$5:AL$27)/MAX(1,COUNTIF('93_TARGET_MEMBERSHIP'!I$5:I$27,-1))))</f>
        <v/>
      </c>
      <c r="AL12" s="34">
        <f>IF($B12="ABSOLUTE SEMANTIC",ABS('06_ITEM_POLE_MODEL'!AU12),ABS('06_ITEM_POLE_MODEL'!AU12)*ABS(SUMPRODUCT(--('93_TARGET_MEMBERSHIP'!I$5:I$27=1),'05_FEATURE_MODEL'!AM$5:AM$27)/MAX(1,COUNTIF('93_TARGET_MEMBERSHIP'!I$5:I$27,1))-SUMPRODUCT(--('93_TARGET_MEMBERSHIP'!I$5:I$27=-1),'05_FEATURE_MODEL'!AM$5:AM$27)/MAX(1,COUNTIF('93_TARGET_MEMBERSHIP'!I$5:I$27,-1))))</f>
        <v/>
      </c>
      <c r="AM12" s="34">
        <f>IF($B12="ABSOLUTE SEMANTIC",ABS('06_ITEM_POLE_MODEL'!AV12),ABS('06_ITEM_POLE_MODEL'!AV12)*ABS(SUMPRODUCT(--('93_TARGET_MEMBERSHIP'!I$5:I$27=1),'05_FEATURE_MODEL'!AN$5:AN$27)/MAX(1,COUNTIF('93_TARGET_MEMBERSHIP'!I$5:I$27,1))-SUMPRODUCT(--('93_TARGET_MEMBERSHIP'!I$5:I$27=-1),'05_FEATURE_MODEL'!AN$5:AN$27)/MAX(1,COUNTIF('93_TARGET_MEMBERSHIP'!I$5:I$27,-1))))</f>
        <v/>
      </c>
      <c r="AN12" s="34">
        <f>IF($B12="ABSOLUTE SEMANTIC",ABS('06_ITEM_POLE_MODEL'!AW12),ABS('06_ITEM_POLE_MODEL'!AW12)*ABS(SUMPRODUCT(--('93_TARGET_MEMBERSHIP'!I$5:I$27=1),'05_FEATURE_MODEL'!AO$5:AO$27)/MAX(1,COUNTIF('93_TARGET_MEMBERSHIP'!I$5:I$27,1))-SUMPRODUCT(--('93_TARGET_MEMBERSHIP'!I$5:I$27=-1),'05_FEATURE_MODEL'!AO$5:AO$27)/MAX(1,COUNTIF('93_TARGET_MEMBERSHIP'!I$5:I$27,-1))))</f>
        <v/>
      </c>
      <c r="AO12" s="34">
        <f>IF($B12="ABSOLUTE SEMANTIC",ABS('06_ITEM_POLE_MODEL'!AX12),ABS('06_ITEM_POLE_MODEL'!AX12)*ABS(SUMPRODUCT(--('93_TARGET_MEMBERSHIP'!I$5:I$27=1),'05_FEATURE_MODEL'!AP$5:AP$27)/MAX(1,COUNTIF('93_TARGET_MEMBERSHIP'!I$5:I$27,1))-SUMPRODUCT(--('93_TARGET_MEMBERSHIP'!I$5:I$27=-1),'05_FEATURE_MODEL'!AP$5:AP$27)/MAX(1,COUNTIF('93_TARGET_MEMBERSHIP'!I$5:I$27,-1))))</f>
        <v/>
      </c>
      <c r="AP12" s="34">
        <f>IF($B12="ABSOLUTE SEMANTIC",ABS('06_ITEM_POLE_MODEL'!AY12),ABS('06_ITEM_POLE_MODEL'!AY12)*ABS(SUMPRODUCT(--('93_TARGET_MEMBERSHIP'!I$5:I$27=1),'05_FEATURE_MODEL'!AQ$5:AQ$27)/MAX(1,COUNTIF('93_TARGET_MEMBERSHIP'!I$5:I$27,1))-SUMPRODUCT(--('93_TARGET_MEMBERSHIP'!I$5:I$27=-1),'05_FEATURE_MODEL'!AQ$5:AQ$27)/MAX(1,COUNTIF('93_TARGET_MEMBERSHIP'!I$5:I$27,-1))))</f>
        <v/>
      </c>
      <c r="AQ12" s="34">
        <f>IF($B12="ABSOLUTE SEMANTIC",ABS('06_ITEM_POLE_MODEL'!AZ12),ABS('06_ITEM_POLE_MODEL'!AZ12)*ABS(SUMPRODUCT(--('93_TARGET_MEMBERSHIP'!I$5:I$27=1),'05_FEATURE_MODEL'!AR$5:AR$27)/MAX(1,COUNTIF('93_TARGET_MEMBERSHIP'!I$5:I$27,1))-SUMPRODUCT(--('93_TARGET_MEMBERSHIP'!I$5:I$27=-1),'05_FEATURE_MODEL'!AR$5:AR$27)/MAX(1,COUNTIF('93_TARGET_MEMBERSHIP'!I$5:I$27,-1))))</f>
        <v/>
      </c>
    </row>
    <row r="13" ht="36" customHeight="1">
      <c r="A13" s="34">
        <f>'06_ITEM_POLE_MODEL'!A13</f>
        <v/>
      </c>
      <c r="B13" s="34">
        <f>'06_ITEM_POLE_MODEL'!E13</f>
        <v/>
      </c>
      <c r="C13" s="34">
        <f>IF($B13="ABSOLUTE SEMANTIC",ABS('06_ITEM_POLE_MODEL'!L13),ABS('06_ITEM_POLE_MODEL'!L13)*ABS(SUMPRODUCT(--('93_TARGET_MEMBERSHIP'!J$5:J$27=1),'05_FEATURE_MODEL'!D$5:D$27)/MAX(1,COUNTIF('93_TARGET_MEMBERSHIP'!J$5:J$27,1))-SUMPRODUCT(--('93_TARGET_MEMBERSHIP'!J$5:J$27=-1),'05_FEATURE_MODEL'!D$5:D$27)/MAX(1,COUNTIF('93_TARGET_MEMBERSHIP'!J$5:J$27,-1))))</f>
        <v/>
      </c>
      <c r="D13" s="34">
        <f>IF($B13="ABSOLUTE SEMANTIC",ABS('06_ITEM_POLE_MODEL'!M13),ABS('06_ITEM_POLE_MODEL'!M13)*ABS(SUMPRODUCT(--('93_TARGET_MEMBERSHIP'!J$5:J$27=1),'05_FEATURE_MODEL'!E$5:E$27)/MAX(1,COUNTIF('93_TARGET_MEMBERSHIP'!J$5:J$27,1))-SUMPRODUCT(--('93_TARGET_MEMBERSHIP'!J$5:J$27=-1),'05_FEATURE_MODEL'!E$5:E$27)/MAX(1,COUNTIF('93_TARGET_MEMBERSHIP'!J$5:J$27,-1))))</f>
        <v/>
      </c>
      <c r="E13" s="34">
        <f>IF($B13="ABSOLUTE SEMANTIC",ABS('06_ITEM_POLE_MODEL'!N13),ABS('06_ITEM_POLE_MODEL'!N13)*ABS(SUMPRODUCT(--('93_TARGET_MEMBERSHIP'!J$5:J$27=1),'05_FEATURE_MODEL'!F$5:F$27)/MAX(1,COUNTIF('93_TARGET_MEMBERSHIP'!J$5:J$27,1))-SUMPRODUCT(--('93_TARGET_MEMBERSHIP'!J$5:J$27=-1),'05_FEATURE_MODEL'!F$5:F$27)/MAX(1,COUNTIF('93_TARGET_MEMBERSHIP'!J$5:J$27,-1))))</f>
        <v/>
      </c>
      <c r="F13" s="34">
        <f>IF($B13="ABSOLUTE SEMANTIC",ABS('06_ITEM_POLE_MODEL'!O13),ABS('06_ITEM_POLE_MODEL'!O13)*ABS(SUMPRODUCT(--('93_TARGET_MEMBERSHIP'!J$5:J$27=1),'05_FEATURE_MODEL'!G$5:G$27)/MAX(1,COUNTIF('93_TARGET_MEMBERSHIP'!J$5:J$27,1))-SUMPRODUCT(--('93_TARGET_MEMBERSHIP'!J$5:J$27=-1),'05_FEATURE_MODEL'!G$5:G$27)/MAX(1,COUNTIF('93_TARGET_MEMBERSHIP'!J$5:J$27,-1))))</f>
        <v/>
      </c>
      <c r="G13" s="34">
        <f>IF($B13="ABSOLUTE SEMANTIC",ABS('06_ITEM_POLE_MODEL'!P13),ABS('06_ITEM_POLE_MODEL'!P13)*ABS(SUMPRODUCT(--('93_TARGET_MEMBERSHIP'!J$5:J$27=1),'05_FEATURE_MODEL'!H$5:H$27)/MAX(1,COUNTIF('93_TARGET_MEMBERSHIP'!J$5:J$27,1))-SUMPRODUCT(--('93_TARGET_MEMBERSHIP'!J$5:J$27=-1),'05_FEATURE_MODEL'!H$5:H$27)/MAX(1,COUNTIF('93_TARGET_MEMBERSHIP'!J$5:J$27,-1))))</f>
        <v/>
      </c>
      <c r="H13" s="34">
        <f>IF($B13="ABSOLUTE SEMANTIC",ABS('06_ITEM_POLE_MODEL'!Q13),ABS('06_ITEM_POLE_MODEL'!Q13)*ABS(SUMPRODUCT(--('93_TARGET_MEMBERSHIP'!J$5:J$27=1),'05_FEATURE_MODEL'!I$5:I$27)/MAX(1,COUNTIF('93_TARGET_MEMBERSHIP'!J$5:J$27,1))-SUMPRODUCT(--('93_TARGET_MEMBERSHIP'!J$5:J$27=-1),'05_FEATURE_MODEL'!I$5:I$27)/MAX(1,COUNTIF('93_TARGET_MEMBERSHIP'!J$5:J$27,-1))))</f>
        <v/>
      </c>
      <c r="I13" s="34">
        <f>IF($B13="ABSOLUTE SEMANTIC",ABS('06_ITEM_POLE_MODEL'!R13),ABS('06_ITEM_POLE_MODEL'!R13)*ABS(SUMPRODUCT(--('93_TARGET_MEMBERSHIP'!J$5:J$27=1),'05_FEATURE_MODEL'!J$5:J$27)/MAX(1,COUNTIF('93_TARGET_MEMBERSHIP'!J$5:J$27,1))-SUMPRODUCT(--('93_TARGET_MEMBERSHIP'!J$5:J$27=-1),'05_FEATURE_MODEL'!J$5:J$27)/MAX(1,COUNTIF('93_TARGET_MEMBERSHIP'!J$5:J$27,-1))))</f>
        <v/>
      </c>
      <c r="J13" s="34">
        <f>IF($B13="ABSOLUTE SEMANTIC",ABS('06_ITEM_POLE_MODEL'!S13),ABS('06_ITEM_POLE_MODEL'!S13)*ABS(SUMPRODUCT(--('93_TARGET_MEMBERSHIP'!J$5:J$27=1),'05_FEATURE_MODEL'!K$5:K$27)/MAX(1,COUNTIF('93_TARGET_MEMBERSHIP'!J$5:J$27,1))-SUMPRODUCT(--('93_TARGET_MEMBERSHIP'!J$5:J$27=-1),'05_FEATURE_MODEL'!K$5:K$27)/MAX(1,COUNTIF('93_TARGET_MEMBERSHIP'!J$5:J$27,-1))))</f>
        <v/>
      </c>
      <c r="K13" s="34">
        <f>IF($B13="ABSOLUTE SEMANTIC",ABS('06_ITEM_POLE_MODEL'!T13),ABS('06_ITEM_POLE_MODEL'!T13)*ABS(SUMPRODUCT(--('93_TARGET_MEMBERSHIP'!J$5:J$27=1),'05_FEATURE_MODEL'!L$5:L$27)/MAX(1,COUNTIF('93_TARGET_MEMBERSHIP'!J$5:J$27,1))-SUMPRODUCT(--('93_TARGET_MEMBERSHIP'!J$5:J$27=-1),'05_FEATURE_MODEL'!L$5:L$27)/MAX(1,COUNTIF('93_TARGET_MEMBERSHIP'!J$5:J$27,-1))))</f>
        <v/>
      </c>
      <c r="L13" s="34">
        <f>IF($B13="ABSOLUTE SEMANTIC",ABS('06_ITEM_POLE_MODEL'!U13),ABS('06_ITEM_POLE_MODEL'!U13)*ABS(SUMPRODUCT(--('93_TARGET_MEMBERSHIP'!J$5:J$27=1),'05_FEATURE_MODEL'!M$5:M$27)/MAX(1,COUNTIF('93_TARGET_MEMBERSHIP'!J$5:J$27,1))-SUMPRODUCT(--('93_TARGET_MEMBERSHIP'!J$5:J$27=-1),'05_FEATURE_MODEL'!M$5:M$27)/MAX(1,COUNTIF('93_TARGET_MEMBERSHIP'!J$5:J$27,-1))))</f>
        <v/>
      </c>
      <c r="M13" s="34">
        <f>IF($B13="ABSOLUTE SEMANTIC",ABS('06_ITEM_POLE_MODEL'!V13),ABS('06_ITEM_POLE_MODEL'!V13)*ABS(SUMPRODUCT(--('93_TARGET_MEMBERSHIP'!J$5:J$27=1),'05_FEATURE_MODEL'!N$5:N$27)/MAX(1,COUNTIF('93_TARGET_MEMBERSHIP'!J$5:J$27,1))-SUMPRODUCT(--('93_TARGET_MEMBERSHIP'!J$5:J$27=-1),'05_FEATURE_MODEL'!N$5:N$27)/MAX(1,COUNTIF('93_TARGET_MEMBERSHIP'!J$5:J$27,-1))))</f>
        <v/>
      </c>
      <c r="N13" s="34">
        <f>IF($B13="ABSOLUTE SEMANTIC",ABS('06_ITEM_POLE_MODEL'!W13),ABS('06_ITEM_POLE_MODEL'!W13)*ABS(SUMPRODUCT(--('93_TARGET_MEMBERSHIP'!J$5:J$27=1),'05_FEATURE_MODEL'!O$5:O$27)/MAX(1,COUNTIF('93_TARGET_MEMBERSHIP'!J$5:J$27,1))-SUMPRODUCT(--('93_TARGET_MEMBERSHIP'!J$5:J$27=-1),'05_FEATURE_MODEL'!O$5:O$27)/MAX(1,COUNTIF('93_TARGET_MEMBERSHIP'!J$5:J$27,-1))))</f>
        <v/>
      </c>
      <c r="O13" s="34">
        <f>IF($B13="ABSOLUTE SEMANTIC",ABS('06_ITEM_POLE_MODEL'!X13),ABS('06_ITEM_POLE_MODEL'!X13)*ABS(SUMPRODUCT(--('93_TARGET_MEMBERSHIP'!J$5:J$27=1),'05_FEATURE_MODEL'!P$5:P$27)/MAX(1,COUNTIF('93_TARGET_MEMBERSHIP'!J$5:J$27,1))-SUMPRODUCT(--('93_TARGET_MEMBERSHIP'!J$5:J$27=-1),'05_FEATURE_MODEL'!P$5:P$27)/MAX(1,COUNTIF('93_TARGET_MEMBERSHIP'!J$5:J$27,-1))))</f>
        <v/>
      </c>
      <c r="P13" s="34">
        <f>IF($B13="ABSOLUTE SEMANTIC",ABS('06_ITEM_POLE_MODEL'!Y13),ABS('06_ITEM_POLE_MODEL'!Y13)*ABS(SUMPRODUCT(--('93_TARGET_MEMBERSHIP'!J$5:J$27=1),'05_FEATURE_MODEL'!Q$5:Q$27)/MAX(1,COUNTIF('93_TARGET_MEMBERSHIP'!J$5:J$27,1))-SUMPRODUCT(--('93_TARGET_MEMBERSHIP'!J$5:J$27=-1),'05_FEATURE_MODEL'!Q$5:Q$27)/MAX(1,COUNTIF('93_TARGET_MEMBERSHIP'!J$5:J$27,-1))))</f>
        <v/>
      </c>
      <c r="Q13" s="34">
        <f>IF($B13="ABSOLUTE SEMANTIC",ABS('06_ITEM_POLE_MODEL'!Z13),ABS('06_ITEM_POLE_MODEL'!Z13)*ABS(SUMPRODUCT(--('93_TARGET_MEMBERSHIP'!J$5:J$27=1),'05_FEATURE_MODEL'!R$5:R$27)/MAX(1,COUNTIF('93_TARGET_MEMBERSHIP'!J$5:J$27,1))-SUMPRODUCT(--('93_TARGET_MEMBERSHIP'!J$5:J$27=-1),'05_FEATURE_MODEL'!R$5:R$27)/MAX(1,COUNTIF('93_TARGET_MEMBERSHIP'!J$5:J$27,-1))))</f>
        <v/>
      </c>
      <c r="R13" s="34">
        <f>IF($B13="ABSOLUTE SEMANTIC",ABS('06_ITEM_POLE_MODEL'!AA13),ABS('06_ITEM_POLE_MODEL'!AA13)*ABS(SUMPRODUCT(--('93_TARGET_MEMBERSHIP'!J$5:J$27=1),'05_FEATURE_MODEL'!S$5:S$27)/MAX(1,COUNTIF('93_TARGET_MEMBERSHIP'!J$5:J$27,1))-SUMPRODUCT(--('93_TARGET_MEMBERSHIP'!J$5:J$27=-1),'05_FEATURE_MODEL'!S$5:S$27)/MAX(1,COUNTIF('93_TARGET_MEMBERSHIP'!J$5:J$27,-1))))</f>
        <v/>
      </c>
      <c r="S13" s="34">
        <f>IF($B13="ABSOLUTE SEMANTIC",ABS('06_ITEM_POLE_MODEL'!AB13),ABS('06_ITEM_POLE_MODEL'!AB13)*ABS(SUMPRODUCT(--('93_TARGET_MEMBERSHIP'!J$5:J$27=1),'05_FEATURE_MODEL'!T$5:T$27)/MAX(1,COUNTIF('93_TARGET_MEMBERSHIP'!J$5:J$27,1))-SUMPRODUCT(--('93_TARGET_MEMBERSHIP'!J$5:J$27=-1),'05_FEATURE_MODEL'!T$5:T$27)/MAX(1,COUNTIF('93_TARGET_MEMBERSHIP'!J$5:J$27,-1))))</f>
        <v/>
      </c>
      <c r="T13" s="34">
        <f>IF($B13="ABSOLUTE SEMANTIC",ABS('06_ITEM_POLE_MODEL'!AC13),ABS('06_ITEM_POLE_MODEL'!AC13)*ABS(SUMPRODUCT(--('93_TARGET_MEMBERSHIP'!J$5:J$27=1),'05_FEATURE_MODEL'!U$5:U$27)/MAX(1,COUNTIF('93_TARGET_MEMBERSHIP'!J$5:J$27,1))-SUMPRODUCT(--('93_TARGET_MEMBERSHIP'!J$5:J$27=-1),'05_FEATURE_MODEL'!U$5:U$27)/MAX(1,COUNTIF('93_TARGET_MEMBERSHIP'!J$5:J$27,-1))))</f>
        <v/>
      </c>
      <c r="U13" s="34">
        <f>IF($B13="ABSOLUTE SEMANTIC",ABS('06_ITEM_POLE_MODEL'!AD13),ABS('06_ITEM_POLE_MODEL'!AD13)*ABS(SUMPRODUCT(--('93_TARGET_MEMBERSHIP'!J$5:J$27=1),'05_FEATURE_MODEL'!V$5:V$27)/MAX(1,COUNTIF('93_TARGET_MEMBERSHIP'!J$5:J$27,1))-SUMPRODUCT(--('93_TARGET_MEMBERSHIP'!J$5:J$27=-1),'05_FEATURE_MODEL'!V$5:V$27)/MAX(1,COUNTIF('93_TARGET_MEMBERSHIP'!J$5:J$27,-1))))</f>
        <v/>
      </c>
      <c r="V13" s="34">
        <f>IF($B13="ABSOLUTE SEMANTIC",ABS('06_ITEM_POLE_MODEL'!AE13),ABS('06_ITEM_POLE_MODEL'!AE13)*ABS(SUMPRODUCT(--('93_TARGET_MEMBERSHIP'!J$5:J$27=1),'05_FEATURE_MODEL'!W$5:W$27)/MAX(1,COUNTIF('93_TARGET_MEMBERSHIP'!J$5:J$27,1))-SUMPRODUCT(--('93_TARGET_MEMBERSHIP'!J$5:J$27=-1),'05_FEATURE_MODEL'!W$5:W$27)/MAX(1,COUNTIF('93_TARGET_MEMBERSHIP'!J$5:J$27,-1))))</f>
        <v/>
      </c>
      <c r="W13" s="34">
        <f>IF($B13="ABSOLUTE SEMANTIC",ABS('06_ITEM_POLE_MODEL'!AF13),ABS('06_ITEM_POLE_MODEL'!AF13)*ABS(SUMPRODUCT(--('93_TARGET_MEMBERSHIP'!J$5:J$27=1),'05_FEATURE_MODEL'!X$5:X$27)/MAX(1,COUNTIF('93_TARGET_MEMBERSHIP'!J$5:J$27,1))-SUMPRODUCT(--('93_TARGET_MEMBERSHIP'!J$5:J$27=-1),'05_FEATURE_MODEL'!X$5:X$27)/MAX(1,COUNTIF('93_TARGET_MEMBERSHIP'!J$5:J$27,-1))))</f>
        <v/>
      </c>
      <c r="X13" s="34">
        <f>IF($B13="ABSOLUTE SEMANTIC",ABS('06_ITEM_POLE_MODEL'!AG13),ABS('06_ITEM_POLE_MODEL'!AG13)*ABS(SUMPRODUCT(--('93_TARGET_MEMBERSHIP'!J$5:J$27=1),'05_FEATURE_MODEL'!Y$5:Y$27)/MAX(1,COUNTIF('93_TARGET_MEMBERSHIP'!J$5:J$27,1))-SUMPRODUCT(--('93_TARGET_MEMBERSHIP'!J$5:J$27=-1),'05_FEATURE_MODEL'!Y$5:Y$27)/MAX(1,COUNTIF('93_TARGET_MEMBERSHIP'!J$5:J$27,-1))))</f>
        <v/>
      </c>
      <c r="Y13" s="34">
        <f>IF($B13="ABSOLUTE SEMANTIC",ABS('06_ITEM_POLE_MODEL'!AH13),ABS('06_ITEM_POLE_MODEL'!AH13)*ABS(SUMPRODUCT(--('93_TARGET_MEMBERSHIP'!J$5:J$27=1),'05_FEATURE_MODEL'!Z$5:Z$27)/MAX(1,COUNTIF('93_TARGET_MEMBERSHIP'!J$5:J$27,1))-SUMPRODUCT(--('93_TARGET_MEMBERSHIP'!J$5:J$27=-1),'05_FEATURE_MODEL'!Z$5:Z$27)/MAX(1,COUNTIF('93_TARGET_MEMBERSHIP'!J$5:J$27,-1))))</f>
        <v/>
      </c>
      <c r="Z13" s="34">
        <f>IF($B13="ABSOLUTE SEMANTIC",ABS('06_ITEM_POLE_MODEL'!AI13),ABS('06_ITEM_POLE_MODEL'!AI13)*ABS(SUMPRODUCT(--('93_TARGET_MEMBERSHIP'!J$5:J$27=1),'05_FEATURE_MODEL'!AA$5:AA$27)/MAX(1,COUNTIF('93_TARGET_MEMBERSHIP'!J$5:J$27,1))-SUMPRODUCT(--('93_TARGET_MEMBERSHIP'!J$5:J$27=-1),'05_FEATURE_MODEL'!AA$5:AA$27)/MAX(1,COUNTIF('93_TARGET_MEMBERSHIP'!J$5:J$27,-1))))</f>
        <v/>
      </c>
      <c r="AA13" s="34">
        <f>IF($B13="ABSOLUTE SEMANTIC",ABS('06_ITEM_POLE_MODEL'!AJ13),ABS('06_ITEM_POLE_MODEL'!AJ13)*ABS(SUMPRODUCT(--('93_TARGET_MEMBERSHIP'!J$5:J$27=1),'05_FEATURE_MODEL'!AB$5:AB$27)/MAX(1,COUNTIF('93_TARGET_MEMBERSHIP'!J$5:J$27,1))-SUMPRODUCT(--('93_TARGET_MEMBERSHIP'!J$5:J$27=-1),'05_FEATURE_MODEL'!AB$5:AB$27)/MAX(1,COUNTIF('93_TARGET_MEMBERSHIP'!J$5:J$27,-1))))</f>
        <v/>
      </c>
      <c r="AB13" s="34">
        <f>IF($B13="ABSOLUTE SEMANTIC",ABS('06_ITEM_POLE_MODEL'!AK13),ABS('06_ITEM_POLE_MODEL'!AK13)*ABS(SUMPRODUCT(--('93_TARGET_MEMBERSHIP'!J$5:J$27=1),'05_FEATURE_MODEL'!AC$5:AC$27)/MAX(1,COUNTIF('93_TARGET_MEMBERSHIP'!J$5:J$27,1))-SUMPRODUCT(--('93_TARGET_MEMBERSHIP'!J$5:J$27=-1),'05_FEATURE_MODEL'!AC$5:AC$27)/MAX(1,COUNTIF('93_TARGET_MEMBERSHIP'!J$5:J$27,-1))))</f>
        <v/>
      </c>
      <c r="AC13" s="34">
        <f>IF($B13="ABSOLUTE SEMANTIC",ABS('06_ITEM_POLE_MODEL'!AL13),ABS('06_ITEM_POLE_MODEL'!AL13)*ABS(SUMPRODUCT(--('93_TARGET_MEMBERSHIP'!J$5:J$27=1),'05_FEATURE_MODEL'!AD$5:AD$27)/MAX(1,COUNTIF('93_TARGET_MEMBERSHIP'!J$5:J$27,1))-SUMPRODUCT(--('93_TARGET_MEMBERSHIP'!J$5:J$27=-1),'05_FEATURE_MODEL'!AD$5:AD$27)/MAX(1,COUNTIF('93_TARGET_MEMBERSHIP'!J$5:J$27,-1))))</f>
        <v/>
      </c>
      <c r="AD13" s="34">
        <f>IF($B13="ABSOLUTE SEMANTIC",ABS('06_ITEM_POLE_MODEL'!AM13),ABS('06_ITEM_POLE_MODEL'!AM13)*ABS(SUMPRODUCT(--('93_TARGET_MEMBERSHIP'!J$5:J$27=1),'05_FEATURE_MODEL'!AE$5:AE$27)/MAX(1,COUNTIF('93_TARGET_MEMBERSHIP'!J$5:J$27,1))-SUMPRODUCT(--('93_TARGET_MEMBERSHIP'!J$5:J$27=-1),'05_FEATURE_MODEL'!AE$5:AE$27)/MAX(1,COUNTIF('93_TARGET_MEMBERSHIP'!J$5:J$27,-1))))</f>
        <v/>
      </c>
      <c r="AE13" s="34">
        <f>IF($B13="ABSOLUTE SEMANTIC",ABS('06_ITEM_POLE_MODEL'!AN13),ABS('06_ITEM_POLE_MODEL'!AN13)*ABS(SUMPRODUCT(--('93_TARGET_MEMBERSHIP'!J$5:J$27=1),'05_FEATURE_MODEL'!AF$5:AF$27)/MAX(1,COUNTIF('93_TARGET_MEMBERSHIP'!J$5:J$27,1))-SUMPRODUCT(--('93_TARGET_MEMBERSHIP'!J$5:J$27=-1),'05_FEATURE_MODEL'!AF$5:AF$27)/MAX(1,COUNTIF('93_TARGET_MEMBERSHIP'!J$5:J$27,-1))))</f>
        <v/>
      </c>
      <c r="AF13" s="34">
        <f>IF($B13="ABSOLUTE SEMANTIC",ABS('06_ITEM_POLE_MODEL'!AO13),ABS('06_ITEM_POLE_MODEL'!AO13)*ABS(SUMPRODUCT(--('93_TARGET_MEMBERSHIP'!J$5:J$27=1),'05_FEATURE_MODEL'!AG$5:AG$27)/MAX(1,COUNTIF('93_TARGET_MEMBERSHIP'!J$5:J$27,1))-SUMPRODUCT(--('93_TARGET_MEMBERSHIP'!J$5:J$27=-1),'05_FEATURE_MODEL'!AG$5:AG$27)/MAX(1,COUNTIF('93_TARGET_MEMBERSHIP'!J$5:J$27,-1))))</f>
        <v/>
      </c>
      <c r="AG13" s="34">
        <f>IF($B13="ABSOLUTE SEMANTIC",ABS('06_ITEM_POLE_MODEL'!AP13),ABS('06_ITEM_POLE_MODEL'!AP13)*ABS(SUMPRODUCT(--('93_TARGET_MEMBERSHIP'!J$5:J$27=1),'05_FEATURE_MODEL'!AH$5:AH$27)/MAX(1,COUNTIF('93_TARGET_MEMBERSHIP'!J$5:J$27,1))-SUMPRODUCT(--('93_TARGET_MEMBERSHIP'!J$5:J$27=-1),'05_FEATURE_MODEL'!AH$5:AH$27)/MAX(1,COUNTIF('93_TARGET_MEMBERSHIP'!J$5:J$27,-1))))</f>
        <v/>
      </c>
      <c r="AH13" s="34">
        <f>IF($B13="ABSOLUTE SEMANTIC",ABS('06_ITEM_POLE_MODEL'!AQ13),ABS('06_ITEM_POLE_MODEL'!AQ13)*ABS(SUMPRODUCT(--('93_TARGET_MEMBERSHIP'!J$5:J$27=1),'05_FEATURE_MODEL'!AI$5:AI$27)/MAX(1,COUNTIF('93_TARGET_MEMBERSHIP'!J$5:J$27,1))-SUMPRODUCT(--('93_TARGET_MEMBERSHIP'!J$5:J$27=-1),'05_FEATURE_MODEL'!AI$5:AI$27)/MAX(1,COUNTIF('93_TARGET_MEMBERSHIP'!J$5:J$27,-1))))</f>
        <v/>
      </c>
      <c r="AI13" s="34">
        <f>IF($B13="ABSOLUTE SEMANTIC",ABS('06_ITEM_POLE_MODEL'!AR13),ABS('06_ITEM_POLE_MODEL'!AR13)*ABS(SUMPRODUCT(--('93_TARGET_MEMBERSHIP'!J$5:J$27=1),'05_FEATURE_MODEL'!AJ$5:AJ$27)/MAX(1,COUNTIF('93_TARGET_MEMBERSHIP'!J$5:J$27,1))-SUMPRODUCT(--('93_TARGET_MEMBERSHIP'!J$5:J$27=-1),'05_FEATURE_MODEL'!AJ$5:AJ$27)/MAX(1,COUNTIF('93_TARGET_MEMBERSHIP'!J$5:J$27,-1))))</f>
        <v/>
      </c>
      <c r="AJ13" s="34">
        <f>IF($B13="ABSOLUTE SEMANTIC",ABS('06_ITEM_POLE_MODEL'!AS13),ABS('06_ITEM_POLE_MODEL'!AS13)*ABS(SUMPRODUCT(--('93_TARGET_MEMBERSHIP'!J$5:J$27=1),'05_FEATURE_MODEL'!AK$5:AK$27)/MAX(1,COUNTIF('93_TARGET_MEMBERSHIP'!J$5:J$27,1))-SUMPRODUCT(--('93_TARGET_MEMBERSHIP'!J$5:J$27=-1),'05_FEATURE_MODEL'!AK$5:AK$27)/MAX(1,COUNTIF('93_TARGET_MEMBERSHIP'!J$5:J$27,-1))))</f>
        <v/>
      </c>
      <c r="AK13" s="34">
        <f>IF($B13="ABSOLUTE SEMANTIC",ABS('06_ITEM_POLE_MODEL'!AT13),ABS('06_ITEM_POLE_MODEL'!AT13)*ABS(SUMPRODUCT(--('93_TARGET_MEMBERSHIP'!J$5:J$27=1),'05_FEATURE_MODEL'!AL$5:AL$27)/MAX(1,COUNTIF('93_TARGET_MEMBERSHIP'!J$5:J$27,1))-SUMPRODUCT(--('93_TARGET_MEMBERSHIP'!J$5:J$27=-1),'05_FEATURE_MODEL'!AL$5:AL$27)/MAX(1,COUNTIF('93_TARGET_MEMBERSHIP'!J$5:J$27,-1))))</f>
        <v/>
      </c>
      <c r="AL13" s="34">
        <f>IF($B13="ABSOLUTE SEMANTIC",ABS('06_ITEM_POLE_MODEL'!AU13),ABS('06_ITEM_POLE_MODEL'!AU13)*ABS(SUMPRODUCT(--('93_TARGET_MEMBERSHIP'!J$5:J$27=1),'05_FEATURE_MODEL'!AM$5:AM$27)/MAX(1,COUNTIF('93_TARGET_MEMBERSHIP'!J$5:J$27,1))-SUMPRODUCT(--('93_TARGET_MEMBERSHIP'!J$5:J$27=-1),'05_FEATURE_MODEL'!AM$5:AM$27)/MAX(1,COUNTIF('93_TARGET_MEMBERSHIP'!J$5:J$27,-1))))</f>
        <v/>
      </c>
      <c r="AM13" s="34">
        <f>IF($B13="ABSOLUTE SEMANTIC",ABS('06_ITEM_POLE_MODEL'!AV13),ABS('06_ITEM_POLE_MODEL'!AV13)*ABS(SUMPRODUCT(--('93_TARGET_MEMBERSHIP'!J$5:J$27=1),'05_FEATURE_MODEL'!AN$5:AN$27)/MAX(1,COUNTIF('93_TARGET_MEMBERSHIP'!J$5:J$27,1))-SUMPRODUCT(--('93_TARGET_MEMBERSHIP'!J$5:J$27=-1),'05_FEATURE_MODEL'!AN$5:AN$27)/MAX(1,COUNTIF('93_TARGET_MEMBERSHIP'!J$5:J$27,-1))))</f>
        <v/>
      </c>
      <c r="AN13" s="34">
        <f>IF($B13="ABSOLUTE SEMANTIC",ABS('06_ITEM_POLE_MODEL'!AW13),ABS('06_ITEM_POLE_MODEL'!AW13)*ABS(SUMPRODUCT(--('93_TARGET_MEMBERSHIP'!J$5:J$27=1),'05_FEATURE_MODEL'!AO$5:AO$27)/MAX(1,COUNTIF('93_TARGET_MEMBERSHIP'!J$5:J$27,1))-SUMPRODUCT(--('93_TARGET_MEMBERSHIP'!J$5:J$27=-1),'05_FEATURE_MODEL'!AO$5:AO$27)/MAX(1,COUNTIF('93_TARGET_MEMBERSHIP'!J$5:J$27,-1))))</f>
        <v/>
      </c>
      <c r="AO13" s="34">
        <f>IF($B13="ABSOLUTE SEMANTIC",ABS('06_ITEM_POLE_MODEL'!AX13),ABS('06_ITEM_POLE_MODEL'!AX13)*ABS(SUMPRODUCT(--('93_TARGET_MEMBERSHIP'!J$5:J$27=1),'05_FEATURE_MODEL'!AP$5:AP$27)/MAX(1,COUNTIF('93_TARGET_MEMBERSHIP'!J$5:J$27,1))-SUMPRODUCT(--('93_TARGET_MEMBERSHIP'!J$5:J$27=-1),'05_FEATURE_MODEL'!AP$5:AP$27)/MAX(1,COUNTIF('93_TARGET_MEMBERSHIP'!J$5:J$27,-1))))</f>
        <v/>
      </c>
      <c r="AP13" s="34">
        <f>IF($B13="ABSOLUTE SEMANTIC",ABS('06_ITEM_POLE_MODEL'!AY13),ABS('06_ITEM_POLE_MODEL'!AY13)*ABS(SUMPRODUCT(--('93_TARGET_MEMBERSHIP'!J$5:J$27=1),'05_FEATURE_MODEL'!AQ$5:AQ$27)/MAX(1,COUNTIF('93_TARGET_MEMBERSHIP'!J$5:J$27,1))-SUMPRODUCT(--('93_TARGET_MEMBERSHIP'!J$5:J$27=-1),'05_FEATURE_MODEL'!AQ$5:AQ$27)/MAX(1,COUNTIF('93_TARGET_MEMBERSHIP'!J$5:J$27,-1))))</f>
        <v/>
      </c>
      <c r="AQ13" s="34">
        <f>IF($B13="ABSOLUTE SEMANTIC",ABS('06_ITEM_POLE_MODEL'!AZ13),ABS('06_ITEM_POLE_MODEL'!AZ13)*ABS(SUMPRODUCT(--('93_TARGET_MEMBERSHIP'!J$5:J$27=1),'05_FEATURE_MODEL'!AR$5:AR$27)/MAX(1,COUNTIF('93_TARGET_MEMBERSHIP'!J$5:J$27,1))-SUMPRODUCT(--('93_TARGET_MEMBERSHIP'!J$5:J$27=-1),'05_FEATURE_MODEL'!AR$5:AR$27)/MAX(1,COUNTIF('93_TARGET_MEMBERSHIP'!J$5:J$27,-1))))</f>
        <v/>
      </c>
    </row>
    <row r="14" ht="36" customHeight="1">
      <c r="A14" s="34">
        <f>'06_ITEM_POLE_MODEL'!A14</f>
        <v/>
      </c>
      <c r="B14" s="34">
        <f>'06_ITEM_POLE_MODEL'!E14</f>
        <v/>
      </c>
      <c r="C14" s="34">
        <f>IF($B14="ABSOLUTE SEMANTIC",ABS('06_ITEM_POLE_MODEL'!L14),ABS('06_ITEM_POLE_MODEL'!L14)*ABS(SUMPRODUCT(--('93_TARGET_MEMBERSHIP'!K$5:K$27=1),'05_FEATURE_MODEL'!D$5:D$27)/MAX(1,COUNTIF('93_TARGET_MEMBERSHIP'!K$5:K$27,1))-SUMPRODUCT(--('93_TARGET_MEMBERSHIP'!K$5:K$27=-1),'05_FEATURE_MODEL'!D$5:D$27)/MAX(1,COUNTIF('93_TARGET_MEMBERSHIP'!K$5:K$27,-1))))</f>
        <v/>
      </c>
      <c r="D14" s="34">
        <f>IF($B14="ABSOLUTE SEMANTIC",ABS('06_ITEM_POLE_MODEL'!M14),ABS('06_ITEM_POLE_MODEL'!M14)*ABS(SUMPRODUCT(--('93_TARGET_MEMBERSHIP'!K$5:K$27=1),'05_FEATURE_MODEL'!E$5:E$27)/MAX(1,COUNTIF('93_TARGET_MEMBERSHIP'!K$5:K$27,1))-SUMPRODUCT(--('93_TARGET_MEMBERSHIP'!K$5:K$27=-1),'05_FEATURE_MODEL'!E$5:E$27)/MAX(1,COUNTIF('93_TARGET_MEMBERSHIP'!K$5:K$27,-1))))</f>
        <v/>
      </c>
      <c r="E14" s="34">
        <f>IF($B14="ABSOLUTE SEMANTIC",ABS('06_ITEM_POLE_MODEL'!N14),ABS('06_ITEM_POLE_MODEL'!N14)*ABS(SUMPRODUCT(--('93_TARGET_MEMBERSHIP'!K$5:K$27=1),'05_FEATURE_MODEL'!F$5:F$27)/MAX(1,COUNTIF('93_TARGET_MEMBERSHIP'!K$5:K$27,1))-SUMPRODUCT(--('93_TARGET_MEMBERSHIP'!K$5:K$27=-1),'05_FEATURE_MODEL'!F$5:F$27)/MAX(1,COUNTIF('93_TARGET_MEMBERSHIP'!K$5:K$27,-1))))</f>
        <v/>
      </c>
      <c r="F14" s="34">
        <f>IF($B14="ABSOLUTE SEMANTIC",ABS('06_ITEM_POLE_MODEL'!O14),ABS('06_ITEM_POLE_MODEL'!O14)*ABS(SUMPRODUCT(--('93_TARGET_MEMBERSHIP'!K$5:K$27=1),'05_FEATURE_MODEL'!G$5:G$27)/MAX(1,COUNTIF('93_TARGET_MEMBERSHIP'!K$5:K$27,1))-SUMPRODUCT(--('93_TARGET_MEMBERSHIP'!K$5:K$27=-1),'05_FEATURE_MODEL'!G$5:G$27)/MAX(1,COUNTIF('93_TARGET_MEMBERSHIP'!K$5:K$27,-1))))</f>
        <v/>
      </c>
      <c r="G14" s="34">
        <f>IF($B14="ABSOLUTE SEMANTIC",ABS('06_ITEM_POLE_MODEL'!P14),ABS('06_ITEM_POLE_MODEL'!P14)*ABS(SUMPRODUCT(--('93_TARGET_MEMBERSHIP'!K$5:K$27=1),'05_FEATURE_MODEL'!H$5:H$27)/MAX(1,COUNTIF('93_TARGET_MEMBERSHIP'!K$5:K$27,1))-SUMPRODUCT(--('93_TARGET_MEMBERSHIP'!K$5:K$27=-1),'05_FEATURE_MODEL'!H$5:H$27)/MAX(1,COUNTIF('93_TARGET_MEMBERSHIP'!K$5:K$27,-1))))</f>
        <v/>
      </c>
      <c r="H14" s="34">
        <f>IF($B14="ABSOLUTE SEMANTIC",ABS('06_ITEM_POLE_MODEL'!Q14),ABS('06_ITEM_POLE_MODEL'!Q14)*ABS(SUMPRODUCT(--('93_TARGET_MEMBERSHIP'!K$5:K$27=1),'05_FEATURE_MODEL'!I$5:I$27)/MAX(1,COUNTIF('93_TARGET_MEMBERSHIP'!K$5:K$27,1))-SUMPRODUCT(--('93_TARGET_MEMBERSHIP'!K$5:K$27=-1),'05_FEATURE_MODEL'!I$5:I$27)/MAX(1,COUNTIF('93_TARGET_MEMBERSHIP'!K$5:K$27,-1))))</f>
        <v/>
      </c>
      <c r="I14" s="34">
        <f>IF($B14="ABSOLUTE SEMANTIC",ABS('06_ITEM_POLE_MODEL'!R14),ABS('06_ITEM_POLE_MODEL'!R14)*ABS(SUMPRODUCT(--('93_TARGET_MEMBERSHIP'!K$5:K$27=1),'05_FEATURE_MODEL'!J$5:J$27)/MAX(1,COUNTIF('93_TARGET_MEMBERSHIP'!K$5:K$27,1))-SUMPRODUCT(--('93_TARGET_MEMBERSHIP'!K$5:K$27=-1),'05_FEATURE_MODEL'!J$5:J$27)/MAX(1,COUNTIF('93_TARGET_MEMBERSHIP'!K$5:K$27,-1))))</f>
        <v/>
      </c>
      <c r="J14" s="34">
        <f>IF($B14="ABSOLUTE SEMANTIC",ABS('06_ITEM_POLE_MODEL'!S14),ABS('06_ITEM_POLE_MODEL'!S14)*ABS(SUMPRODUCT(--('93_TARGET_MEMBERSHIP'!K$5:K$27=1),'05_FEATURE_MODEL'!K$5:K$27)/MAX(1,COUNTIF('93_TARGET_MEMBERSHIP'!K$5:K$27,1))-SUMPRODUCT(--('93_TARGET_MEMBERSHIP'!K$5:K$27=-1),'05_FEATURE_MODEL'!K$5:K$27)/MAX(1,COUNTIF('93_TARGET_MEMBERSHIP'!K$5:K$27,-1))))</f>
        <v/>
      </c>
      <c r="K14" s="34">
        <f>IF($B14="ABSOLUTE SEMANTIC",ABS('06_ITEM_POLE_MODEL'!T14),ABS('06_ITEM_POLE_MODEL'!T14)*ABS(SUMPRODUCT(--('93_TARGET_MEMBERSHIP'!K$5:K$27=1),'05_FEATURE_MODEL'!L$5:L$27)/MAX(1,COUNTIF('93_TARGET_MEMBERSHIP'!K$5:K$27,1))-SUMPRODUCT(--('93_TARGET_MEMBERSHIP'!K$5:K$27=-1),'05_FEATURE_MODEL'!L$5:L$27)/MAX(1,COUNTIF('93_TARGET_MEMBERSHIP'!K$5:K$27,-1))))</f>
        <v/>
      </c>
      <c r="L14" s="34">
        <f>IF($B14="ABSOLUTE SEMANTIC",ABS('06_ITEM_POLE_MODEL'!U14),ABS('06_ITEM_POLE_MODEL'!U14)*ABS(SUMPRODUCT(--('93_TARGET_MEMBERSHIP'!K$5:K$27=1),'05_FEATURE_MODEL'!M$5:M$27)/MAX(1,COUNTIF('93_TARGET_MEMBERSHIP'!K$5:K$27,1))-SUMPRODUCT(--('93_TARGET_MEMBERSHIP'!K$5:K$27=-1),'05_FEATURE_MODEL'!M$5:M$27)/MAX(1,COUNTIF('93_TARGET_MEMBERSHIP'!K$5:K$27,-1))))</f>
        <v/>
      </c>
      <c r="M14" s="34">
        <f>IF($B14="ABSOLUTE SEMANTIC",ABS('06_ITEM_POLE_MODEL'!V14),ABS('06_ITEM_POLE_MODEL'!V14)*ABS(SUMPRODUCT(--('93_TARGET_MEMBERSHIP'!K$5:K$27=1),'05_FEATURE_MODEL'!N$5:N$27)/MAX(1,COUNTIF('93_TARGET_MEMBERSHIP'!K$5:K$27,1))-SUMPRODUCT(--('93_TARGET_MEMBERSHIP'!K$5:K$27=-1),'05_FEATURE_MODEL'!N$5:N$27)/MAX(1,COUNTIF('93_TARGET_MEMBERSHIP'!K$5:K$27,-1))))</f>
        <v/>
      </c>
      <c r="N14" s="34">
        <f>IF($B14="ABSOLUTE SEMANTIC",ABS('06_ITEM_POLE_MODEL'!W14),ABS('06_ITEM_POLE_MODEL'!W14)*ABS(SUMPRODUCT(--('93_TARGET_MEMBERSHIP'!K$5:K$27=1),'05_FEATURE_MODEL'!O$5:O$27)/MAX(1,COUNTIF('93_TARGET_MEMBERSHIP'!K$5:K$27,1))-SUMPRODUCT(--('93_TARGET_MEMBERSHIP'!K$5:K$27=-1),'05_FEATURE_MODEL'!O$5:O$27)/MAX(1,COUNTIF('93_TARGET_MEMBERSHIP'!K$5:K$27,-1))))</f>
        <v/>
      </c>
      <c r="O14" s="34">
        <f>IF($B14="ABSOLUTE SEMANTIC",ABS('06_ITEM_POLE_MODEL'!X14),ABS('06_ITEM_POLE_MODEL'!X14)*ABS(SUMPRODUCT(--('93_TARGET_MEMBERSHIP'!K$5:K$27=1),'05_FEATURE_MODEL'!P$5:P$27)/MAX(1,COUNTIF('93_TARGET_MEMBERSHIP'!K$5:K$27,1))-SUMPRODUCT(--('93_TARGET_MEMBERSHIP'!K$5:K$27=-1),'05_FEATURE_MODEL'!P$5:P$27)/MAX(1,COUNTIF('93_TARGET_MEMBERSHIP'!K$5:K$27,-1))))</f>
        <v/>
      </c>
      <c r="P14" s="34">
        <f>IF($B14="ABSOLUTE SEMANTIC",ABS('06_ITEM_POLE_MODEL'!Y14),ABS('06_ITEM_POLE_MODEL'!Y14)*ABS(SUMPRODUCT(--('93_TARGET_MEMBERSHIP'!K$5:K$27=1),'05_FEATURE_MODEL'!Q$5:Q$27)/MAX(1,COUNTIF('93_TARGET_MEMBERSHIP'!K$5:K$27,1))-SUMPRODUCT(--('93_TARGET_MEMBERSHIP'!K$5:K$27=-1),'05_FEATURE_MODEL'!Q$5:Q$27)/MAX(1,COUNTIF('93_TARGET_MEMBERSHIP'!K$5:K$27,-1))))</f>
        <v/>
      </c>
      <c r="Q14" s="34">
        <f>IF($B14="ABSOLUTE SEMANTIC",ABS('06_ITEM_POLE_MODEL'!Z14),ABS('06_ITEM_POLE_MODEL'!Z14)*ABS(SUMPRODUCT(--('93_TARGET_MEMBERSHIP'!K$5:K$27=1),'05_FEATURE_MODEL'!R$5:R$27)/MAX(1,COUNTIF('93_TARGET_MEMBERSHIP'!K$5:K$27,1))-SUMPRODUCT(--('93_TARGET_MEMBERSHIP'!K$5:K$27=-1),'05_FEATURE_MODEL'!R$5:R$27)/MAX(1,COUNTIF('93_TARGET_MEMBERSHIP'!K$5:K$27,-1))))</f>
        <v/>
      </c>
      <c r="R14" s="34">
        <f>IF($B14="ABSOLUTE SEMANTIC",ABS('06_ITEM_POLE_MODEL'!AA14),ABS('06_ITEM_POLE_MODEL'!AA14)*ABS(SUMPRODUCT(--('93_TARGET_MEMBERSHIP'!K$5:K$27=1),'05_FEATURE_MODEL'!S$5:S$27)/MAX(1,COUNTIF('93_TARGET_MEMBERSHIP'!K$5:K$27,1))-SUMPRODUCT(--('93_TARGET_MEMBERSHIP'!K$5:K$27=-1),'05_FEATURE_MODEL'!S$5:S$27)/MAX(1,COUNTIF('93_TARGET_MEMBERSHIP'!K$5:K$27,-1))))</f>
        <v/>
      </c>
      <c r="S14" s="34">
        <f>IF($B14="ABSOLUTE SEMANTIC",ABS('06_ITEM_POLE_MODEL'!AB14),ABS('06_ITEM_POLE_MODEL'!AB14)*ABS(SUMPRODUCT(--('93_TARGET_MEMBERSHIP'!K$5:K$27=1),'05_FEATURE_MODEL'!T$5:T$27)/MAX(1,COUNTIF('93_TARGET_MEMBERSHIP'!K$5:K$27,1))-SUMPRODUCT(--('93_TARGET_MEMBERSHIP'!K$5:K$27=-1),'05_FEATURE_MODEL'!T$5:T$27)/MAX(1,COUNTIF('93_TARGET_MEMBERSHIP'!K$5:K$27,-1))))</f>
        <v/>
      </c>
      <c r="T14" s="34">
        <f>IF($B14="ABSOLUTE SEMANTIC",ABS('06_ITEM_POLE_MODEL'!AC14),ABS('06_ITEM_POLE_MODEL'!AC14)*ABS(SUMPRODUCT(--('93_TARGET_MEMBERSHIP'!K$5:K$27=1),'05_FEATURE_MODEL'!U$5:U$27)/MAX(1,COUNTIF('93_TARGET_MEMBERSHIP'!K$5:K$27,1))-SUMPRODUCT(--('93_TARGET_MEMBERSHIP'!K$5:K$27=-1),'05_FEATURE_MODEL'!U$5:U$27)/MAX(1,COUNTIF('93_TARGET_MEMBERSHIP'!K$5:K$27,-1))))</f>
        <v/>
      </c>
      <c r="U14" s="34">
        <f>IF($B14="ABSOLUTE SEMANTIC",ABS('06_ITEM_POLE_MODEL'!AD14),ABS('06_ITEM_POLE_MODEL'!AD14)*ABS(SUMPRODUCT(--('93_TARGET_MEMBERSHIP'!K$5:K$27=1),'05_FEATURE_MODEL'!V$5:V$27)/MAX(1,COUNTIF('93_TARGET_MEMBERSHIP'!K$5:K$27,1))-SUMPRODUCT(--('93_TARGET_MEMBERSHIP'!K$5:K$27=-1),'05_FEATURE_MODEL'!V$5:V$27)/MAX(1,COUNTIF('93_TARGET_MEMBERSHIP'!K$5:K$27,-1))))</f>
        <v/>
      </c>
      <c r="V14" s="34">
        <f>IF($B14="ABSOLUTE SEMANTIC",ABS('06_ITEM_POLE_MODEL'!AE14),ABS('06_ITEM_POLE_MODEL'!AE14)*ABS(SUMPRODUCT(--('93_TARGET_MEMBERSHIP'!K$5:K$27=1),'05_FEATURE_MODEL'!W$5:W$27)/MAX(1,COUNTIF('93_TARGET_MEMBERSHIP'!K$5:K$27,1))-SUMPRODUCT(--('93_TARGET_MEMBERSHIP'!K$5:K$27=-1),'05_FEATURE_MODEL'!W$5:W$27)/MAX(1,COUNTIF('93_TARGET_MEMBERSHIP'!K$5:K$27,-1))))</f>
        <v/>
      </c>
      <c r="W14" s="34">
        <f>IF($B14="ABSOLUTE SEMANTIC",ABS('06_ITEM_POLE_MODEL'!AF14),ABS('06_ITEM_POLE_MODEL'!AF14)*ABS(SUMPRODUCT(--('93_TARGET_MEMBERSHIP'!K$5:K$27=1),'05_FEATURE_MODEL'!X$5:X$27)/MAX(1,COUNTIF('93_TARGET_MEMBERSHIP'!K$5:K$27,1))-SUMPRODUCT(--('93_TARGET_MEMBERSHIP'!K$5:K$27=-1),'05_FEATURE_MODEL'!X$5:X$27)/MAX(1,COUNTIF('93_TARGET_MEMBERSHIP'!K$5:K$27,-1))))</f>
        <v/>
      </c>
      <c r="X14" s="34">
        <f>IF($B14="ABSOLUTE SEMANTIC",ABS('06_ITEM_POLE_MODEL'!AG14),ABS('06_ITEM_POLE_MODEL'!AG14)*ABS(SUMPRODUCT(--('93_TARGET_MEMBERSHIP'!K$5:K$27=1),'05_FEATURE_MODEL'!Y$5:Y$27)/MAX(1,COUNTIF('93_TARGET_MEMBERSHIP'!K$5:K$27,1))-SUMPRODUCT(--('93_TARGET_MEMBERSHIP'!K$5:K$27=-1),'05_FEATURE_MODEL'!Y$5:Y$27)/MAX(1,COUNTIF('93_TARGET_MEMBERSHIP'!K$5:K$27,-1))))</f>
        <v/>
      </c>
      <c r="Y14" s="34">
        <f>IF($B14="ABSOLUTE SEMANTIC",ABS('06_ITEM_POLE_MODEL'!AH14),ABS('06_ITEM_POLE_MODEL'!AH14)*ABS(SUMPRODUCT(--('93_TARGET_MEMBERSHIP'!K$5:K$27=1),'05_FEATURE_MODEL'!Z$5:Z$27)/MAX(1,COUNTIF('93_TARGET_MEMBERSHIP'!K$5:K$27,1))-SUMPRODUCT(--('93_TARGET_MEMBERSHIP'!K$5:K$27=-1),'05_FEATURE_MODEL'!Z$5:Z$27)/MAX(1,COUNTIF('93_TARGET_MEMBERSHIP'!K$5:K$27,-1))))</f>
        <v/>
      </c>
      <c r="Z14" s="34">
        <f>IF($B14="ABSOLUTE SEMANTIC",ABS('06_ITEM_POLE_MODEL'!AI14),ABS('06_ITEM_POLE_MODEL'!AI14)*ABS(SUMPRODUCT(--('93_TARGET_MEMBERSHIP'!K$5:K$27=1),'05_FEATURE_MODEL'!AA$5:AA$27)/MAX(1,COUNTIF('93_TARGET_MEMBERSHIP'!K$5:K$27,1))-SUMPRODUCT(--('93_TARGET_MEMBERSHIP'!K$5:K$27=-1),'05_FEATURE_MODEL'!AA$5:AA$27)/MAX(1,COUNTIF('93_TARGET_MEMBERSHIP'!K$5:K$27,-1))))</f>
        <v/>
      </c>
      <c r="AA14" s="34">
        <f>IF($B14="ABSOLUTE SEMANTIC",ABS('06_ITEM_POLE_MODEL'!AJ14),ABS('06_ITEM_POLE_MODEL'!AJ14)*ABS(SUMPRODUCT(--('93_TARGET_MEMBERSHIP'!K$5:K$27=1),'05_FEATURE_MODEL'!AB$5:AB$27)/MAX(1,COUNTIF('93_TARGET_MEMBERSHIP'!K$5:K$27,1))-SUMPRODUCT(--('93_TARGET_MEMBERSHIP'!K$5:K$27=-1),'05_FEATURE_MODEL'!AB$5:AB$27)/MAX(1,COUNTIF('93_TARGET_MEMBERSHIP'!K$5:K$27,-1))))</f>
        <v/>
      </c>
      <c r="AB14" s="34">
        <f>IF($B14="ABSOLUTE SEMANTIC",ABS('06_ITEM_POLE_MODEL'!AK14),ABS('06_ITEM_POLE_MODEL'!AK14)*ABS(SUMPRODUCT(--('93_TARGET_MEMBERSHIP'!K$5:K$27=1),'05_FEATURE_MODEL'!AC$5:AC$27)/MAX(1,COUNTIF('93_TARGET_MEMBERSHIP'!K$5:K$27,1))-SUMPRODUCT(--('93_TARGET_MEMBERSHIP'!K$5:K$27=-1),'05_FEATURE_MODEL'!AC$5:AC$27)/MAX(1,COUNTIF('93_TARGET_MEMBERSHIP'!K$5:K$27,-1))))</f>
        <v/>
      </c>
      <c r="AC14" s="34">
        <f>IF($B14="ABSOLUTE SEMANTIC",ABS('06_ITEM_POLE_MODEL'!AL14),ABS('06_ITEM_POLE_MODEL'!AL14)*ABS(SUMPRODUCT(--('93_TARGET_MEMBERSHIP'!K$5:K$27=1),'05_FEATURE_MODEL'!AD$5:AD$27)/MAX(1,COUNTIF('93_TARGET_MEMBERSHIP'!K$5:K$27,1))-SUMPRODUCT(--('93_TARGET_MEMBERSHIP'!K$5:K$27=-1),'05_FEATURE_MODEL'!AD$5:AD$27)/MAX(1,COUNTIF('93_TARGET_MEMBERSHIP'!K$5:K$27,-1))))</f>
        <v/>
      </c>
      <c r="AD14" s="34">
        <f>IF($B14="ABSOLUTE SEMANTIC",ABS('06_ITEM_POLE_MODEL'!AM14),ABS('06_ITEM_POLE_MODEL'!AM14)*ABS(SUMPRODUCT(--('93_TARGET_MEMBERSHIP'!K$5:K$27=1),'05_FEATURE_MODEL'!AE$5:AE$27)/MAX(1,COUNTIF('93_TARGET_MEMBERSHIP'!K$5:K$27,1))-SUMPRODUCT(--('93_TARGET_MEMBERSHIP'!K$5:K$27=-1),'05_FEATURE_MODEL'!AE$5:AE$27)/MAX(1,COUNTIF('93_TARGET_MEMBERSHIP'!K$5:K$27,-1))))</f>
        <v/>
      </c>
      <c r="AE14" s="34">
        <f>IF($B14="ABSOLUTE SEMANTIC",ABS('06_ITEM_POLE_MODEL'!AN14),ABS('06_ITEM_POLE_MODEL'!AN14)*ABS(SUMPRODUCT(--('93_TARGET_MEMBERSHIP'!K$5:K$27=1),'05_FEATURE_MODEL'!AF$5:AF$27)/MAX(1,COUNTIF('93_TARGET_MEMBERSHIP'!K$5:K$27,1))-SUMPRODUCT(--('93_TARGET_MEMBERSHIP'!K$5:K$27=-1),'05_FEATURE_MODEL'!AF$5:AF$27)/MAX(1,COUNTIF('93_TARGET_MEMBERSHIP'!K$5:K$27,-1))))</f>
        <v/>
      </c>
      <c r="AF14" s="34">
        <f>IF($B14="ABSOLUTE SEMANTIC",ABS('06_ITEM_POLE_MODEL'!AO14),ABS('06_ITEM_POLE_MODEL'!AO14)*ABS(SUMPRODUCT(--('93_TARGET_MEMBERSHIP'!K$5:K$27=1),'05_FEATURE_MODEL'!AG$5:AG$27)/MAX(1,COUNTIF('93_TARGET_MEMBERSHIP'!K$5:K$27,1))-SUMPRODUCT(--('93_TARGET_MEMBERSHIP'!K$5:K$27=-1),'05_FEATURE_MODEL'!AG$5:AG$27)/MAX(1,COUNTIF('93_TARGET_MEMBERSHIP'!K$5:K$27,-1))))</f>
        <v/>
      </c>
      <c r="AG14" s="34">
        <f>IF($B14="ABSOLUTE SEMANTIC",ABS('06_ITEM_POLE_MODEL'!AP14),ABS('06_ITEM_POLE_MODEL'!AP14)*ABS(SUMPRODUCT(--('93_TARGET_MEMBERSHIP'!K$5:K$27=1),'05_FEATURE_MODEL'!AH$5:AH$27)/MAX(1,COUNTIF('93_TARGET_MEMBERSHIP'!K$5:K$27,1))-SUMPRODUCT(--('93_TARGET_MEMBERSHIP'!K$5:K$27=-1),'05_FEATURE_MODEL'!AH$5:AH$27)/MAX(1,COUNTIF('93_TARGET_MEMBERSHIP'!K$5:K$27,-1))))</f>
        <v/>
      </c>
      <c r="AH14" s="34">
        <f>IF($B14="ABSOLUTE SEMANTIC",ABS('06_ITEM_POLE_MODEL'!AQ14),ABS('06_ITEM_POLE_MODEL'!AQ14)*ABS(SUMPRODUCT(--('93_TARGET_MEMBERSHIP'!K$5:K$27=1),'05_FEATURE_MODEL'!AI$5:AI$27)/MAX(1,COUNTIF('93_TARGET_MEMBERSHIP'!K$5:K$27,1))-SUMPRODUCT(--('93_TARGET_MEMBERSHIP'!K$5:K$27=-1),'05_FEATURE_MODEL'!AI$5:AI$27)/MAX(1,COUNTIF('93_TARGET_MEMBERSHIP'!K$5:K$27,-1))))</f>
        <v/>
      </c>
      <c r="AI14" s="34">
        <f>IF($B14="ABSOLUTE SEMANTIC",ABS('06_ITEM_POLE_MODEL'!AR14),ABS('06_ITEM_POLE_MODEL'!AR14)*ABS(SUMPRODUCT(--('93_TARGET_MEMBERSHIP'!K$5:K$27=1),'05_FEATURE_MODEL'!AJ$5:AJ$27)/MAX(1,COUNTIF('93_TARGET_MEMBERSHIP'!K$5:K$27,1))-SUMPRODUCT(--('93_TARGET_MEMBERSHIP'!K$5:K$27=-1),'05_FEATURE_MODEL'!AJ$5:AJ$27)/MAX(1,COUNTIF('93_TARGET_MEMBERSHIP'!K$5:K$27,-1))))</f>
        <v/>
      </c>
      <c r="AJ14" s="34">
        <f>IF($B14="ABSOLUTE SEMANTIC",ABS('06_ITEM_POLE_MODEL'!AS14),ABS('06_ITEM_POLE_MODEL'!AS14)*ABS(SUMPRODUCT(--('93_TARGET_MEMBERSHIP'!K$5:K$27=1),'05_FEATURE_MODEL'!AK$5:AK$27)/MAX(1,COUNTIF('93_TARGET_MEMBERSHIP'!K$5:K$27,1))-SUMPRODUCT(--('93_TARGET_MEMBERSHIP'!K$5:K$27=-1),'05_FEATURE_MODEL'!AK$5:AK$27)/MAX(1,COUNTIF('93_TARGET_MEMBERSHIP'!K$5:K$27,-1))))</f>
        <v/>
      </c>
      <c r="AK14" s="34">
        <f>IF($B14="ABSOLUTE SEMANTIC",ABS('06_ITEM_POLE_MODEL'!AT14),ABS('06_ITEM_POLE_MODEL'!AT14)*ABS(SUMPRODUCT(--('93_TARGET_MEMBERSHIP'!K$5:K$27=1),'05_FEATURE_MODEL'!AL$5:AL$27)/MAX(1,COUNTIF('93_TARGET_MEMBERSHIP'!K$5:K$27,1))-SUMPRODUCT(--('93_TARGET_MEMBERSHIP'!K$5:K$27=-1),'05_FEATURE_MODEL'!AL$5:AL$27)/MAX(1,COUNTIF('93_TARGET_MEMBERSHIP'!K$5:K$27,-1))))</f>
        <v/>
      </c>
      <c r="AL14" s="34">
        <f>IF($B14="ABSOLUTE SEMANTIC",ABS('06_ITEM_POLE_MODEL'!AU14),ABS('06_ITEM_POLE_MODEL'!AU14)*ABS(SUMPRODUCT(--('93_TARGET_MEMBERSHIP'!K$5:K$27=1),'05_FEATURE_MODEL'!AM$5:AM$27)/MAX(1,COUNTIF('93_TARGET_MEMBERSHIP'!K$5:K$27,1))-SUMPRODUCT(--('93_TARGET_MEMBERSHIP'!K$5:K$27=-1),'05_FEATURE_MODEL'!AM$5:AM$27)/MAX(1,COUNTIF('93_TARGET_MEMBERSHIP'!K$5:K$27,-1))))</f>
        <v/>
      </c>
      <c r="AM14" s="34">
        <f>IF($B14="ABSOLUTE SEMANTIC",ABS('06_ITEM_POLE_MODEL'!AV14),ABS('06_ITEM_POLE_MODEL'!AV14)*ABS(SUMPRODUCT(--('93_TARGET_MEMBERSHIP'!K$5:K$27=1),'05_FEATURE_MODEL'!AN$5:AN$27)/MAX(1,COUNTIF('93_TARGET_MEMBERSHIP'!K$5:K$27,1))-SUMPRODUCT(--('93_TARGET_MEMBERSHIP'!K$5:K$27=-1),'05_FEATURE_MODEL'!AN$5:AN$27)/MAX(1,COUNTIF('93_TARGET_MEMBERSHIP'!K$5:K$27,-1))))</f>
        <v/>
      </c>
      <c r="AN14" s="34">
        <f>IF($B14="ABSOLUTE SEMANTIC",ABS('06_ITEM_POLE_MODEL'!AW14),ABS('06_ITEM_POLE_MODEL'!AW14)*ABS(SUMPRODUCT(--('93_TARGET_MEMBERSHIP'!K$5:K$27=1),'05_FEATURE_MODEL'!AO$5:AO$27)/MAX(1,COUNTIF('93_TARGET_MEMBERSHIP'!K$5:K$27,1))-SUMPRODUCT(--('93_TARGET_MEMBERSHIP'!K$5:K$27=-1),'05_FEATURE_MODEL'!AO$5:AO$27)/MAX(1,COUNTIF('93_TARGET_MEMBERSHIP'!K$5:K$27,-1))))</f>
        <v/>
      </c>
      <c r="AO14" s="34">
        <f>IF($B14="ABSOLUTE SEMANTIC",ABS('06_ITEM_POLE_MODEL'!AX14),ABS('06_ITEM_POLE_MODEL'!AX14)*ABS(SUMPRODUCT(--('93_TARGET_MEMBERSHIP'!K$5:K$27=1),'05_FEATURE_MODEL'!AP$5:AP$27)/MAX(1,COUNTIF('93_TARGET_MEMBERSHIP'!K$5:K$27,1))-SUMPRODUCT(--('93_TARGET_MEMBERSHIP'!K$5:K$27=-1),'05_FEATURE_MODEL'!AP$5:AP$27)/MAX(1,COUNTIF('93_TARGET_MEMBERSHIP'!K$5:K$27,-1))))</f>
        <v/>
      </c>
      <c r="AP14" s="34">
        <f>IF($B14="ABSOLUTE SEMANTIC",ABS('06_ITEM_POLE_MODEL'!AY14),ABS('06_ITEM_POLE_MODEL'!AY14)*ABS(SUMPRODUCT(--('93_TARGET_MEMBERSHIP'!K$5:K$27=1),'05_FEATURE_MODEL'!AQ$5:AQ$27)/MAX(1,COUNTIF('93_TARGET_MEMBERSHIP'!K$5:K$27,1))-SUMPRODUCT(--('93_TARGET_MEMBERSHIP'!K$5:K$27=-1),'05_FEATURE_MODEL'!AQ$5:AQ$27)/MAX(1,COUNTIF('93_TARGET_MEMBERSHIP'!K$5:K$27,-1))))</f>
        <v/>
      </c>
      <c r="AQ14" s="34">
        <f>IF($B14="ABSOLUTE SEMANTIC",ABS('06_ITEM_POLE_MODEL'!AZ14),ABS('06_ITEM_POLE_MODEL'!AZ14)*ABS(SUMPRODUCT(--('93_TARGET_MEMBERSHIP'!K$5:K$27=1),'05_FEATURE_MODEL'!AR$5:AR$27)/MAX(1,COUNTIF('93_TARGET_MEMBERSHIP'!K$5:K$27,1))-SUMPRODUCT(--('93_TARGET_MEMBERSHIP'!K$5:K$27=-1),'05_FEATURE_MODEL'!AR$5:AR$27)/MAX(1,COUNTIF('93_TARGET_MEMBERSHIP'!K$5:K$27,-1))))</f>
        <v/>
      </c>
    </row>
    <row r="15" ht="36" customHeight="1">
      <c r="A15" s="34">
        <f>'06_ITEM_POLE_MODEL'!A15</f>
        <v/>
      </c>
      <c r="B15" s="34">
        <f>'06_ITEM_POLE_MODEL'!E15</f>
        <v/>
      </c>
      <c r="C15" s="34">
        <f>IF($B15="ABSOLUTE SEMANTIC",ABS('06_ITEM_POLE_MODEL'!L15),ABS('06_ITEM_POLE_MODEL'!L15)*ABS(SUMPRODUCT(--('93_TARGET_MEMBERSHIP'!L$5:L$27=1),'05_FEATURE_MODEL'!D$5:D$27)/MAX(1,COUNTIF('93_TARGET_MEMBERSHIP'!L$5:L$27,1))-SUMPRODUCT(--('93_TARGET_MEMBERSHIP'!L$5:L$27=-1),'05_FEATURE_MODEL'!D$5:D$27)/MAX(1,COUNTIF('93_TARGET_MEMBERSHIP'!L$5:L$27,-1))))</f>
        <v/>
      </c>
      <c r="D15" s="34">
        <f>IF($B15="ABSOLUTE SEMANTIC",ABS('06_ITEM_POLE_MODEL'!M15),ABS('06_ITEM_POLE_MODEL'!M15)*ABS(SUMPRODUCT(--('93_TARGET_MEMBERSHIP'!L$5:L$27=1),'05_FEATURE_MODEL'!E$5:E$27)/MAX(1,COUNTIF('93_TARGET_MEMBERSHIP'!L$5:L$27,1))-SUMPRODUCT(--('93_TARGET_MEMBERSHIP'!L$5:L$27=-1),'05_FEATURE_MODEL'!E$5:E$27)/MAX(1,COUNTIF('93_TARGET_MEMBERSHIP'!L$5:L$27,-1))))</f>
        <v/>
      </c>
      <c r="E15" s="34">
        <f>IF($B15="ABSOLUTE SEMANTIC",ABS('06_ITEM_POLE_MODEL'!N15),ABS('06_ITEM_POLE_MODEL'!N15)*ABS(SUMPRODUCT(--('93_TARGET_MEMBERSHIP'!L$5:L$27=1),'05_FEATURE_MODEL'!F$5:F$27)/MAX(1,COUNTIF('93_TARGET_MEMBERSHIP'!L$5:L$27,1))-SUMPRODUCT(--('93_TARGET_MEMBERSHIP'!L$5:L$27=-1),'05_FEATURE_MODEL'!F$5:F$27)/MAX(1,COUNTIF('93_TARGET_MEMBERSHIP'!L$5:L$27,-1))))</f>
        <v/>
      </c>
      <c r="F15" s="34">
        <f>IF($B15="ABSOLUTE SEMANTIC",ABS('06_ITEM_POLE_MODEL'!O15),ABS('06_ITEM_POLE_MODEL'!O15)*ABS(SUMPRODUCT(--('93_TARGET_MEMBERSHIP'!L$5:L$27=1),'05_FEATURE_MODEL'!G$5:G$27)/MAX(1,COUNTIF('93_TARGET_MEMBERSHIP'!L$5:L$27,1))-SUMPRODUCT(--('93_TARGET_MEMBERSHIP'!L$5:L$27=-1),'05_FEATURE_MODEL'!G$5:G$27)/MAX(1,COUNTIF('93_TARGET_MEMBERSHIP'!L$5:L$27,-1))))</f>
        <v/>
      </c>
      <c r="G15" s="34">
        <f>IF($B15="ABSOLUTE SEMANTIC",ABS('06_ITEM_POLE_MODEL'!P15),ABS('06_ITEM_POLE_MODEL'!P15)*ABS(SUMPRODUCT(--('93_TARGET_MEMBERSHIP'!L$5:L$27=1),'05_FEATURE_MODEL'!H$5:H$27)/MAX(1,COUNTIF('93_TARGET_MEMBERSHIP'!L$5:L$27,1))-SUMPRODUCT(--('93_TARGET_MEMBERSHIP'!L$5:L$27=-1),'05_FEATURE_MODEL'!H$5:H$27)/MAX(1,COUNTIF('93_TARGET_MEMBERSHIP'!L$5:L$27,-1))))</f>
        <v/>
      </c>
      <c r="H15" s="34">
        <f>IF($B15="ABSOLUTE SEMANTIC",ABS('06_ITEM_POLE_MODEL'!Q15),ABS('06_ITEM_POLE_MODEL'!Q15)*ABS(SUMPRODUCT(--('93_TARGET_MEMBERSHIP'!L$5:L$27=1),'05_FEATURE_MODEL'!I$5:I$27)/MAX(1,COUNTIF('93_TARGET_MEMBERSHIP'!L$5:L$27,1))-SUMPRODUCT(--('93_TARGET_MEMBERSHIP'!L$5:L$27=-1),'05_FEATURE_MODEL'!I$5:I$27)/MAX(1,COUNTIF('93_TARGET_MEMBERSHIP'!L$5:L$27,-1))))</f>
        <v/>
      </c>
      <c r="I15" s="34">
        <f>IF($B15="ABSOLUTE SEMANTIC",ABS('06_ITEM_POLE_MODEL'!R15),ABS('06_ITEM_POLE_MODEL'!R15)*ABS(SUMPRODUCT(--('93_TARGET_MEMBERSHIP'!L$5:L$27=1),'05_FEATURE_MODEL'!J$5:J$27)/MAX(1,COUNTIF('93_TARGET_MEMBERSHIP'!L$5:L$27,1))-SUMPRODUCT(--('93_TARGET_MEMBERSHIP'!L$5:L$27=-1),'05_FEATURE_MODEL'!J$5:J$27)/MAX(1,COUNTIF('93_TARGET_MEMBERSHIP'!L$5:L$27,-1))))</f>
        <v/>
      </c>
      <c r="J15" s="34">
        <f>IF($B15="ABSOLUTE SEMANTIC",ABS('06_ITEM_POLE_MODEL'!S15),ABS('06_ITEM_POLE_MODEL'!S15)*ABS(SUMPRODUCT(--('93_TARGET_MEMBERSHIP'!L$5:L$27=1),'05_FEATURE_MODEL'!K$5:K$27)/MAX(1,COUNTIF('93_TARGET_MEMBERSHIP'!L$5:L$27,1))-SUMPRODUCT(--('93_TARGET_MEMBERSHIP'!L$5:L$27=-1),'05_FEATURE_MODEL'!K$5:K$27)/MAX(1,COUNTIF('93_TARGET_MEMBERSHIP'!L$5:L$27,-1))))</f>
        <v/>
      </c>
      <c r="K15" s="34">
        <f>IF($B15="ABSOLUTE SEMANTIC",ABS('06_ITEM_POLE_MODEL'!T15),ABS('06_ITEM_POLE_MODEL'!T15)*ABS(SUMPRODUCT(--('93_TARGET_MEMBERSHIP'!L$5:L$27=1),'05_FEATURE_MODEL'!L$5:L$27)/MAX(1,COUNTIF('93_TARGET_MEMBERSHIP'!L$5:L$27,1))-SUMPRODUCT(--('93_TARGET_MEMBERSHIP'!L$5:L$27=-1),'05_FEATURE_MODEL'!L$5:L$27)/MAX(1,COUNTIF('93_TARGET_MEMBERSHIP'!L$5:L$27,-1))))</f>
        <v/>
      </c>
      <c r="L15" s="34">
        <f>IF($B15="ABSOLUTE SEMANTIC",ABS('06_ITEM_POLE_MODEL'!U15),ABS('06_ITEM_POLE_MODEL'!U15)*ABS(SUMPRODUCT(--('93_TARGET_MEMBERSHIP'!L$5:L$27=1),'05_FEATURE_MODEL'!M$5:M$27)/MAX(1,COUNTIF('93_TARGET_MEMBERSHIP'!L$5:L$27,1))-SUMPRODUCT(--('93_TARGET_MEMBERSHIP'!L$5:L$27=-1),'05_FEATURE_MODEL'!M$5:M$27)/MAX(1,COUNTIF('93_TARGET_MEMBERSHIP'!L$5:L$27,-1))))</f>
        <v/>
      </c>
      <c r="M15" s="34">
        <f>IF($B15="ABSOLUTE SEMANTIC",ABS('06_ITEM_POLE_MODEL'!V15),ABS('06_ITEM_POLE_MODEL'!V15)*ABS(SUMPRODUCT(--('93_TARGET_MEMBERSHIP'!L$5:L$27=1),'05_FEATURE_MODEL'!N$5:N$27)/MAX(1,COUNTIF('93_TARGET_MEMBERSHIP'!L$5:L$27,1))-SUMPRODUCT(--('93_TARGET_MEMBERSHIP'!L$5:L$27=-1),'05_FEATURE_MODEL'!N$5:N$27)/MAX(1,COUNTIF('93_TARGET_MEMBERSHIP'!L$5:L$27,-1))))</f>
        <v/>
      </c>
      <c r="N15" s="34">
        <f>IF($B15="ABSOLUTE SEMANTIC",ABS('06_ITEM_POLE_MODEL'!W15),ABS('06_ITEM_POLE_MODEL'!W15)*ABS(SUMPRODUCT(--('93_TARGET_MEMBERSHIP'!L$5:L$27=1),'05_FEATURE_MODEL'!O$5:O$27)/MAX(1,COUNTIF('93_TARGET_MEMBERSHIP'!L$5:L$27,1))-SUMPRODUCT(--('93_TARGET_MEMBERSHIP'!L$5:L$27=-1),'05_FEATURE_MODEL'!O$5:O$27)/MAX(1,COUNTIF('93_TARGET_MEMBERSHIP'!L$5:L$27,-1))))</f>
        <v/>
      </c>
      <c r="O15" s="34">
        <f>IF($B15="ABSOLUTE SEMANTIC",ABS('06_ITEM_POLE_MODEL'!X15),ABS('06_ITEM_POLE_MODEL'!X15)*ABS(SUMPRODUCT(--('93_TARGET_MEMBERSHIP'!L$5:L$27=1),'05_FEATURE_MODEL'!P$5:P$27)/MAX(1,COUNTIF('93_TARGET_MEMBERSHIP'!L$5:L$27,1))-SUMPRODUCT(--('93_TARGET_MEMBERSHIP'!L$5:L$27=-1),'05_FEATURE_MODEL'!P$5:P$27)/MAX(1,COUNTIF('93_TARGET_MEMBERSHIP'!L$5:L$27,-1))))</f>
        <v/>
      </c>
      <c r="P15" s="34">
        <f>IF($B15="ABSOLUTE SEMANTIC",ABS('06_ITEM_POLE_MODEL'!Y15),ABS('06_ITEM_POLE_MODEL'!Y15)*ABS(SUMPRODUCT(--('93_TARGET_MEMBERSHIP'!L$5:L$27=1),'05_FEATURE_MODEL'!Q$5:Q$27)/MAX(1,COUNTIF('93_TARGET_MEMBERSHIP'!L$5:L$27,1))-SUMPRODUCT(--('93_TARGET_MEMBERSHIP'!L$5:L$27=-1),'05_FEATURE_MODEL'!Q$5:Q$27)/MAX(1,COUNTIF('93_TARGET_MEMBERSHIP'!L$5:L$27,-1))))</f>
        <v/>
      </c>
      <c r="Q15" s="34">
        <f>IF($B15="ABSOLUTE SEMANTIC",ABS('06_ITEM_POLE_MODEL'!Z15),ABS('06_ITEM_POLE_MODEL'!Z15)*ABS(SUMPRODUCT(--('93_TARGET_MEMBERSHIP'!L$5:L$27=1),'05_FEATURE_MODEL'!R$5:R$27)/MAX(1,COUNTIF('93_TARGET_MEMBERSHIP'!L$5:L$27,1))-SUMPRODUCT(--('93_TARGET_MEMBERSHIP'!L$5:L$27=-1),'05_FEATURE_MODEL'!R$5:R$27)/MAX(1,COUNTIF('93_TARGET_MEMBERSHIP'!L$5:L$27,-1))))</f>
        <v/>
      </c>
      <c r="R15" s="34">
        <f>IF($B15="ABSOLUTE SEMANTIC",ABS('06_ITEM_POLE_MODEL'!AA15),ABS('06_ITEM_POLE_MODEL'!AA15)*ABS(SUMPRODUCT(--('93_TARGET_MEMBERSHIP'!L$5:L$27=1),'05_FEATURE_MODEL'!S$5:S$27)/MAX(1,COUNTIF('93_TARGET_MEMBERSHIP'!L$5:L$27,1))-SUMPRODUCT(--('93_TARGET_MEMBERSHIP'!L$5:L$27=-1),'05_FEATURE_MODEL'!S$5:S$27)/MAX(1,COUNTIF('93_TARGET_MEMBERSHIP'!L$5:L$27,-1))))</f>
        <v/>
      </c>
      <c r="S15" s="34">
        <f>IF($B15="ABSOLUTE SEMANTIC",ABS('06_ITEM_POLE_MODEL'!AB15),ABS('06_ITEM_POLE_MODEL'!AB15)*ABS(SUMPRODUCT(--('93_TARGET_MEMBERSHIP'!L$5:L$27=1),'05_FEATURE_MODEL'!T$5:T$27)/MAX(1,COUNTIF('93_TARGET_MEMBERSHIP'!L$5:L$27,1))-SUMPRODUCT(--('93_TARGET_MEMBERSHIP'!L$5:L$27=-1),'05_FEATURE_MODEL'!T$5:T$27)/MAX(1,COUNTIF('93_TARGET_MEMBERSHIP'!L$5:L$27,-1))))</f>
        <v/>
      </c>
      <c r="T15" s="34">
        <f>IF($B15="ABSOLUTE SEMANTIC",ABS('06_ITEM_POLE_MODEL'!AC15),ABS('06_ITEM_POLE_MODEL'!AC15)*ABS(SUMPRODUCT(--('93_TARGET_MEMBERSHIP'!L$5:L$27=1),'05_FEATURE_MODEL'!U$5:U$27)/MAX(1,COUNTIF('93_TARGET_MEMBERSHIP'!L$5:L$27,1))-SUMPRODUCT(--('93_TARGET_MEMBERSHIP'!L$5:L$27=-1),'05_FEATURE_MODEL'!U$5:U$27)/MAX(1,COUNTIF('93_TARGET_MEMBERSHIP'!L$5:L$27,-1))))</f>
        <v/>
      </c>
      <c r="U15" s="34">
        <f>IF($B15="ABSOLUTE SEMANTIC",ABS('06_ITEM_POLE_MODEL'!AD15),ABS('06_ITEM_POLE_MODEL'!AD15)*ABS(SUMPRODUCT(--('93_TARGET_MEMBERSHIP'!L$5:L$27=1),'05_FEATURE_MODEL'!V$5:V$27)/MAX(1,COUNTIF('93_TARGET_MEMBERSHIP'!L$5:L$27,1))-SUMPRODUCT(--('93_TARGET_MEMBERSHIP'!L$5:L$27=-1),'05_FEATURE_MODEL'!V$5:V$27)/MAX(1,COUNTIF('93_TARGET_MEMBERSHIP'!L$5:L$27,-1))))</f>
        <v/>
      </c>
      <c r="V15" s="34">
        <f>IF($B15="ABSOLUTE SEMANTIC",ABS('06_ITEM_POLE_MODEL'!AE15),ABS('06_ITEM_POLE_MODEL'!AE15)*ABS(SUMPRODUCT(--('93_TARGET_MEMBERSHIP'!L$5:L$27=1),'05_FEATURE_MODEL'!W$5:W$27)/MAX(1,COUNTIF('93_TARGET_MEMBERSHIP'!L$5:L$27,1))-SUMPRODUCT(--('93_TARGET_MEMBERSHIP'!L$5:L$27=-1),'05_FEATURE_MODEL'!W$5:W$27)/MAX(1,COUNTIF('93_TARGET_MEMBERSHIP'!L$5:L$27,-1))))</f>
        <v/>
      </c>
      <c r="W15" s="34">
        <f>IF($B15="ABSOLUTE SEMANTIC",ABS('06_ITEM_POLE_MODEL'!AF15),ABS('06_ITEM_POLE_MODEL'!AF15)*ABS(SUMPRODUCT(--('93_TARGET_MEMBERSHIP'!L$5:L$27=1),'05_FEATURE_MODEL'!X$5:X$27)/MAX(1,COUNTIF('93_TARGET_MEMBERSHIP'!L$5:L$27,1))-SUMPRODUCT(--('93_TARGET_MEMBERSHIP'!L$5:L$27=-1),'05_FEATURE_MODEL'!X$5:X$27)/MAX(1,COUNTIF('93_TARGET_MEMBERSHIP'!L$5:L$27,-1))))</f>
        <v/>
      </c>
      <c r="X15" s="34">
        <f>IF($B15="ABSOLUTE SEMANTIC",ABS('06_ITEM_POLE_MODEL'!AG15),ABS('06_ITEM_POLE_MODEL'!AG15)*ABS(SUMPRODUCT(--('93_TARGET_MEMBERSHIP'!L$5:L$27=1),'05_FEATURE_MODEL'!Y$5:Y$27)/MAX(1,COUNTIF('93_TARGET_MEMBERSHIP'!L$5:L$27,1))-SUMPRODUCT(--('93_TARGET_MEMBERSHIP'!L$5:L$27=-1),'05_FEATURE_MODEL'!Y$5:Y$27)/MAX(1,COUNTIF('93_TARGET_MEMBERSHIP'!L$5:L$27,-1))))</f>
        <v/>
      </c>
      <c r="Y15" s="34">
        <f>IF($B15="ABSOLUTE SEMANTIC",ABS('06_ITEM_POLE_MODEL'!AH15),ABS('06_ITEM_POLE_MODEL'!AH15)*ABS(SUMPRODUCT(--('93_TARGET_MEMBERSHIP'!L$5:L$27=1),'05_FEATURE_MODEL'!Z$5:Z$27)/MAX(1,COUNTIF('93_TARGET_MEMBERSHIP'!L$5:L$27,1))-SUMPRODUCT(--('93_TARGET_MEMBERSHIP'!L$5:L$27=-1),'05_FEATURE_MODEL'!Z$5:Z$27)/MAX(1,COUNTIF('93_TARGET_MEMBERSHIP'!L$5:L$27,-1))))</f>
        <v/>
      </c>
      <c r="Z15" s="34">
        <f>IF($B15="ABSOLUTE SEMANTIC",ABS('06_ITEM_POLE_MODEL'!AI15),ABS('06_ITEM_POLE_MODEL'!AI15)*ABS(SUMPRODUCT(--('93_TARGET_MEMBERSHIP'!L$5:L$27=1),'05_FEATURE_MODEL'!AA$5:AA$27)/MAX(1,COUNTIF('93_TARGET_MEMBERSHIP'!L$5:L$27,1))-SUMPRODUCT(--('93_TARGET_MEMBERSHIP'!L$5:L$27=-1),'05_FEATURE_MODEL'!AA$5:AA$27)/MAX(1,COUNTIF('93_TARGET_MEMBERSHIP'!L$5:L$27,-1))))</f>
        <v/>
      </c>
      <c r="AA15" s="34">
        <f>IF($B15="ABSOLUTE SEMANTIC",ABS('06_ITEM_POLE_MODEL'!AJ15),ABS('06_ITEM_POLE_MODEL'!AJ15)*ABS(SUMPRODUCT(--('93_TARGET_MEMBERSHIP'!L$5:L$27=1),'05_FEATURE_MODEL'!AB$5:AB$27)/MAX(1,COUNTIF('93_TARGET_MEMBERSHIP'!L$5:L$27,1))-SUMPRODUCT(--('93_TARGET_MEMBERSHIP'!L$5:L$27=-1),'05_FEATURE_MODEL'!AB$5:AB$27)/MAX(1,COUNTIF('93_TARGET_MEMBERSHIP'!L$5:L$27,-1))))</f>
        <v/>
      </c>
      <c r="AB15" s="34">
        <f>IF($B15="ABSOLUTE SEMANTIC",ABS('06_ITEM_POLE_MODEL'!AK15),ABS('06_ITEM_POLE_MODEL'!AK15)*ABS(SUMPRODUCT(--('93_TARGET_MEMBERSHIP'!L$5:L$27=1),'05_FEATURE_MODEL'!AC$5:AC$27)/MAX(1,COUNTIF('93_TARGET_MEMBERSHIP'!L$5:L$27,1))-SUMPRODUCT(--('93_TARGET_MEMBERSHIP'!L$5:L$27=-1),'05_FEATURE_MODEL'!AC$5:AC$27)/MAX(1,COUNTIF('93_TARGET_MEMBERSHIP'!L$5:L$27,-1))))</f>
        <v/>
      </c>
      <c r="AC15" s="34">
        <f>IF($B15="ABSOLUTE SEMANTIC",ABS('06_ITEM_POLE_MODEL'!AL15),ABS('06_ITEM_POLE_MODEL'!AL15)*ABS(SUMPRODUCT(--('93_TARGET_MEMBERSHIP'!L$5:L$27=1),'05_FEATURE_MODEL'!AD$5:AD$27)/MAX(1,COUNTIF('93_TARGET_MEMBERSHIP'!L$5:L$27,1))-SUMPRODUCT(--('93_TARGET_MEMBERSHIP'!L$5:L$27=-1),'05_FEATURE_MODEL'!AD$5:AD$27)/MAX(1,COUNTIF('93_TARGET_MEMBERSHIP'!L$5:L$27,-1))))</f>
        <v/>
      </c>
      <c r="AD15" s="34">
        <f>IF($B15="ABSOLUTE SEMANTIC",ABS('06_ITEM_POLE_MODEL'!AM15),ABS('06_ITEM_POLE_MODEL'!AM15)*ABS(SUMPRODUCT(--('93_TARGET_MEMBERSHIP'!L$5:L$27=1),'05_FEATURE_MODEL'!AE$5:AE$27)/MAX(1,COUNTIF('93_TARGET_MEMBERSHIP'!L$5:L$27,1))-SUMPRODUCT(--('93_TARGET_MEMBERSHIP'!L$5:L$27=-1),'05_FEATURE_MODEL'!AE$5:AE$27)/MAX(1,COUNTIF('93_TARGET_MEMBERSHIP'!L$5:L$27,-1))))</f>
        <v/>
      </c>
      <c r="AE15" s="34">
        <f>IF($B15="ABSOLUTE SEMANTIC",ABS('06_ITEM_POLE_MODEL'!AN15),ABS('06_ITEM_POLE_MODEL'!AN15)*ABS(SUMPRODUCT(--('93_TARGET_MEMBERSHIP'!L$5:L$27=1),'05_FEATURE_MODEL'!AF$5:AF$27)/MAX(1,COUNTIF('93_TARGET_MEMBERSHIP'!L$5:L$27,1))-SUMPRODUCT(--('93_TARGET_MEMBERSHIP'!L$5:L$27=-1),'05_FEATURE_MODEL'!AF$5:AF$27)/MAX(1,COUNTIF('93_TARGET_MEMBERSHIP'!L$5:L$27,-1))))</f>
        <v/>
      </c>
      <c r="AF15" s="34">
        <f>IF($B15="ABSOLUTE SEMANTIC",ABS('06_ITEM_POLE_MODEL'!AO15),ABS('06_ITEM_POLE_MODEL'!AO15)*ABS(SUMPRODUCT(--('93_TARGET_MEMBERSHIP'!L$5:L$27=1),'05_FEATURE_MODEL'!AG$5:AG$27)/MAX(1,COUNTIF('93_TARGET_MEMBERSHIP'!L$5:L$27,1))-SUMPRODUCT(--('93_TARGET_MEMBERSHIP'!L$5:L$27=-1),'05_FEATURE_MODEL'!AG$5:AG$27)/MAX(1,COUNTIF('93_TARGET_MEMBERSHIP'!L$5:L$27,-1))))</f>
        <v/>
      </c>
      <c r="AG15" s="34">
        <f>IF($B15="ABSOLUTE SEMANTIC",ABS('06_ITEM_POLE_MODEL'!AP15),ABS('06_ITEM_POLE_MODEL'!AP15)*ABS(SUMPRODUCT(--('93_TARGET_MEMBERSHIP'!L$5:L$27=1),'05_FEATURE_MODEL'!AH$5:AH$27)/MAX(1,COUNTIF('93_TARGET_MEMBERSHIP'!L$5:L$27,1))-SUMPRODUCT(--('93_TARGET_MEMBERSHIP'!L$5:L$27=-1),'05_FEATURE_MODEL'!AH$5:AH$27)/MAX(1,COUNTIF('93_TARGET_MEMBERSHIP'!L$5:L$27,-1))))</f>
        <v/>
      </c>
      <c r="AH15" s="34">
        <f>IF($B15="ABSOLUTE SEMANTIC",ABS('06_ITEM_POLE_MODEL'!AQ15),ABS('06_ITEM_POLE_MODEL'!AQ15)*ABS(SUMPRODUCT(--('93_TARGET_MEMBERSHIP'!L$5:L$27=1),'05_FEATURE_MODEL'!AI$5:AI$27)/MAX(1,COUNTIF('93_TARGET_MEMBERSHIP'!L$5:L$27,1))-SUMPRODUCT(--('93_TARGET_MEMBERSHIP'!L$5:L$27=-1),'05_FEATURE_MODEL'!AI$5:AI$27)/MAX(1,COUNTIF('93_TARGET_MEMBERSHIP'!L$5:L$27,-1))))</f>
        <v/>
      </c>
      <c r="AI15" s="34">
        <f>IF($B15="ABSOLUTE SEMANTIC",ABS('06_ITEM_POLE_MODEL'!AR15),ABS('06_ITEM_POLE_MODEL'!AR15)*ABS(SUMPRODUCT(--('93_TARGET_MEMBERSHIP'!L$5:L$27=1),'05_FEATURE_MODEL'!AJ$5:AJ$27)/MAX(1,COUNTIF('93_TARGET_MEMBERSHIP'!L$5:L$27,1))-SUMPRODUCT(--('93_TARGET_MEMBERSHIP'!L$5:L$27=-1),'05_FEATURE_MODEL'!AJ$5:AJ$27)/MAX(1,COUNTIF('93_TARGET_MEMBERSHIP'!L$5:L$27,-1))))</f>
        <v/>
      </c>
      <c r="AJ15" s="34">
        <f>IF($B15="ABSOLUTE SEMANTIC",ABS('06_ITEM_POLE_MODEL'!AS15),ABS('06_ITEM_POLE_MODEL'!AS15)*ABS(SUMPRODUCT(--('93_TARGET_MEMBERSHIP'!L$5:L$27=1),'05_FEATURE_MODEL'!AK$5:AK$27)/MAX(1,COUNTIF('93_TARGET_MEMBERSHIP'!L$5:L$27,1))-SUMPRODUCT(--('93_TARGET_MEMBERSHIP'!L$5:L$27=-1),'05_FEATURE_MODEL'!AK$5:AK$27)/MAX(1,COUNTIF('93_TARGET_MEMBERSHIP'!L$5:L$27,-1))))</f>
        <v/>
      </c>
      <c r="AK15" s="34">
        <f>IF($B15="ABSOLUTE SEMANTIC",ABS('06_ITEM_POLE_MODEL'!AT15),ABS('06_ITEM_POLE_MODEL'!AT15)*ABS(SUMPRODUCT(--('93_TARGET_MEMBERSHIP'!L$5:L$27=1),'05_FEATURE_MODEL'!AL$5:AL$27)/MAX(1,COUNTIF('93_TARGET_MEMBERSHIP'!L$5:L$27,1))-SUMPRODUCT(--('93_TARGET_MEMBERSHIP'!L$5:L$27=-1),'05_FEATURE_MODEL'!AL$5:AL$27)/MAX(1,COUNTIF('93_TARGET_MEMBERSHIP'!L$5:L$27,-1))))</f>
        <v/>
      </c>
      <c r="AL15" s="34">
        <f>IF($B15="ABSOLUTE SEMANTIC",ABS('06_ITEM_POLE_MODEL'!AU15),ABS('06_ITEM_POLE_MODEL'!AU15)*ABS(SUMPRODUCT(--('93_TARGET_MEMBERSHIP'!L$5:L$27=1),'05_FEATURE_MODEL'!AM$5:AM$27)/MAX(1,COUNTIF('93_TARGET_MEMBERSHIP'!L$5:L$27,1))-SUMPRODUCT(--('93_TARGET_MEMBERSHIP'!L$5:L$27=-1),'05_FEATURE_MODEL'!AM$5:AM$27)/MAX(1,COUNTIF('93_TARGET_MEMBERSHIP'!L$5:L$27,-1))))</f>
        <v/>
      </c>
      <c r="AM15" s="34">
        <f>IF($B15="ABSOLUTE SEMANTIC",ABS('06_ITEM_POLE_MODEL'!AV15),ABS('06_ITEM_POLE_MODEL'!AV15)*ABS(SUMPRODUCT(--('93_TARGET_MEMBERSHIP'!L$5:L$27=1),'05_FEATURE_MODEL'!AN$5:AN$27)/MAX(1,COUNTIF('93_TARGET_MEMBERSHIP'!L$5:L$27,1))-SUMPRODUCT(--('93_TARGET_MEMBERSHIP'!L$5:L$27=-1),'05_FEATURE_MODEL'!AN$5:AN$27)/MAX(1,COUNTIF('93_TARGET_MEMBERSHIP'!L$5:L$27,-1))))</f>
        <v/>
      </c>
      <c r="AN15" s="34">
        <f>IF($B15="ABSOLUTE SEMANTIC",ABS('06_ITEM_POLE_MODEL'!AW15),ABS('06_ITEM_POLE_MODEL'!AW15)*ABS(SUMPRODUCT(--('93_TARGET_MEMBERSHIP'!L$5:L$27=1),'05_FEATURE_MODEL'!AO$5:AO$27)/MAX(1,COUNTIF('93_TARGET_MEMBERSHIP'!L$5:L$27,1))-SUMPRODUCT(--('93_TARGET_MEMBERSHIP'!L$5:L$27=-1),'05_FEATURE_MODEL'!AO$5:AO$27)/MAX(1,COUNTIF('93_TARGET_MEMBERSHIP'!L$5:L$27,-1))))</f>
        <v/>
      </c>
      <c r="AO15" s="34">
        <f>IF($B15="ABSOLUTE SEMANTIC",ABS('06_ITEM_POLE_MODEL'!AX15),ABS('06_ITEM_POLE_MODEL'!AX15)*ABS(SUMPRODUCT(--('93_TARGET_MEMBERSHIP'!L$5:L$27=1),'05_FEATURE_MODEL'!AP$5:AP$27)/MAX(1,COUNTIF('93_TARGET_MEMBERSHIP'!L$5:L$27,1))-SUMPRODUCT(--('93_TARGET_MEMBERSHIP'!L$5:L$27=-1),'05_FEATURE_MODEL'!AP$5:AP$27)/MAX(1,COUNTIF('93_TARGET_MEMBERSHIP'!L$5:L$27,-1))))</f>
        <v/>
      </c>
      <c r="AP15" s="34">
        <f>IF($B15="ABSOLUTE SEMANTIC",ABS('06_ITEM_POLE_MODEL'!AY15),ABS('06_ITEM_POLE_MODEL'!AY15)*ABS(SUMPRODUCT(--('93_TARGET_MEMBERSHIP'!L$5:L$27=1),'05_FEATURE_MODEL'!AQ$5:AQ$27)/MAX(1,COUNTIF('93_TARGET_MEMBERSHIP'!L$5:L$27,1))-SUMPRODUCT(--('93_TARGET_MEMBERSHIP'!L$5:L$27=-1),'05_FEATURE_MODEL'!AQ$5:AQ$27)/MAX(1,COUNTIF('93_TARGET_MEMBERSHIP'!L$5:L$27,-1))))</f>
        <v/>
      </c>
      <c r="AQ15" s="34">
        <f>IF($B15="ABSOLUTE SEMANTIC",ABS('06_ITEM_POLE_MODEL'!AZ15),ABS('06_ITEM_POLE_MODEL'!AZ15)*ABS(SUMPRODUCT(--('93_TARGET_MEMBERSHIP'!L$5:L$27=1),'05_FEATURE_MODEL'!AR$5:AR$27)/MAX(1,COUNTIF('93_TARGET_MEMBERSHIP'!L$5:L$27,1))-SUMPRODUCT(--('93_TARGET_MEMBERSHIP'!L$5:L$27=-1),'05_FEATURE_MODEL'!AR$5:AR$27)/MAX(1,COUNTIF('93_TARGET_MEMBERSHIP'!L$5:L$27,-1))))</f>
        <v/>
      </c>
    </row>
    <row r="16" ht="36" customHeight="1">
      <c r="A16" s="34">
        <f>'06_ITEM_POLE_MODEL'!A16</f>
        <v/>
      </c>
      <c r="B16" s="34">
        <f>'06_ITEM_POLE_MODEL'!E16</f>
        <v/>
      </c>
      <c r="C16" s="34">
        <f>IF($B16="ABSOLUTE SEMANTIC",ABS('06_ITEM_POLE_MODEL'!L16),ABS('06_ITEM_POLE_MODEL'!L16)*ABS(SUMPRODUCT(--('93_TARGET_MEMBERSHIP'!M$5:M$27=1),'05_FEATURE_MODEL'!D$5:D$27)/MAX(1,COUNTIF('93_TARGET_MEMBERSHIP'!M$5:M$27,1))-SUMPRODUCT(--('93_TARGET_MEMBERSHIP'!M$5:M$27=-1),'05_FEATURE_MODEL'!D$5:D$27)/MAX(1,COUNTIF('93_TARGET_MEMBERSHIP'!M$5:M$27,-1))))</f>
        <v/>
      </c>
      <c r="D16" s="34">
        <f>IF($B16="ABSOLUTE SEMANTIC",ABS('06_ITEM_POLE_MODEL'!M16),ABS('06_ITEM_POLE_MODEL'!M16)*ABS(SUMPRODUCT(--('93_TARGET_MEMBERSHIP'!M$5:M$27=1),'05_FEATURE_MODEL'!E$5:E$27)/MAX(1,COUNTIF('93_TARGET_MEMBERSHIP'!M$5:M$27,1))-SUMPRODUCT(--('93_TARGET_MEMBERSHIP'!M$5:M$27=-1),'05_FEATURE_MODEL'!E$5:E$27)/MAX(1,COUNTIF('93_TARGET_MEMBERSHIP'!M$5:M$27,-1))))</f>
        <v/>
      </c>
      <c r="E16" s="34">
        <f>IF($B16="ABSOLUTE SEMANTIC",ABS('06_ITEM_POLE_MODEL'!N16),ABS('06_ITEM_POLE_MODEL'!N16)*ABS(SUMPRODUCT(--('93_TARGET_MEMBERSHIP'!M$5:M$27=1),'05_FEATURE_MODEL'!F$5:F$27)/MAX(1,COUNTIF('93_TARGET_MEMBERSHIP'!M$5:M$27,1))-SUMPRODUCT(--('93_TARGET_MEMBERSHIP'!M$5:M$27=-1),'05_FEATURE_MODEL'!F$5:F$27)/MAX(1,COUNTIF('93_TARGET_MEMBERSHIP'!M$5:M$27,-1))))</f>
        <v/>
      </c>
      <c r="F16" s="34">
        <f>IF($B16="ABSOLUTE SEMANTIC",ABS('06_ITEM_POLE_MODEL'!O16),ABS('06_ITEM_POLE_MODEL'!O16)*ABS(SUMPRODUCT(--('93_TARGET_MEMBERSHIP'!M$5:M$27=1),'05_FEATURE_MODEL'!G$5:G$27)/MAX(1,COUNTIF('93_TARGET_MEMBERSHIP'!M$5:M$27,1))-SUMPRODUCT(--('93_TARGET_MEMBERSHIP'!M$5:M$27=-1),'05_FEATURE_MODEL'!G$5:G$27)/MAX(1,COUNTIF('93_TARGET_MEMBERSHIP'!M$5:M$27,-1))))</f>
        <v/>
      </c>
      <c r="G16" s="34">
        <f>IF($B16="ABSOLUTE SEMANTIC",ABS('06_ITEM_POLE_MODEL'!P16),ABS('06_ITEM_POLE_MODEL'!P16)*ABS(SUMPRODUCT(--('93_TARGET_MEMBERSHIP'!M$5:M$27=1),'05_FEATURE_MODEL'!H$5:H$27)/MAX(1,COUNTIF('93_TARGET_MEMBERSHIP'!M$5:M$27,1))-SUMPRODUCT(--('93_TARGET_MEMBERSHIP'!M$5:M$27=-1),'05_FEATURE_MODEL'!H$5:H$27)/MAX(1,COUNTIF('93_TARGET_MEMBERSHIP'!M$5:M$27,-1))))</f>
        <v/>
      </c>
      <c r="H16" s="34">
        <f>IF($B16="ABSOLUTE SEMANTIC",ABS('06_ITEM_POLE_MODEL'!Q16),ABS('06_ITEM_POLE_MODEL'!Q16)*ABS(SUMPRODUCT(--('93_TARGET_MEMBERSHIP'!M$5:M$27=1),'05_FEATURE_MODEL'!I$5:I$27)/MAX(1,COUNTIF('93_TARGET_MEMBERSHIP'!M$5:M$27,1))-SUMPRODUCT(--('93_TARGET_MEMBERSHIP'!M$5:M$27=-1),'05_FEATURE_MODEL'!I$5:I$27)/MAX(1,COUNTIF('93_TARGET_MEMBERSHIP'!M$5:M$27,-1))))</f>
        <v/>
      </c>
      <c r="I16" s="34">
        <f>IF($B16="ABSOLUTE SEMANTIC",ABS('06_ITEM_POLE_MODEL'!R16),ABS('06_ITEM_POLE_MODEL'!R16)*ABS(SUMPRODUCT(--('93_TARGET_MEMBERSHIP'!M$5:M$27=1),'05_FEATURE_MODEL'!J$5:J$27)/MAX(1,COUNTIF('93_TARGET_MEMBERSHIP'!M$5:M$27,1))-SUMPRODUCT(--('93_TARGET_MEMBERSHIP'!M$5:M$27=-1),'05_FEATURE_MODEL'!J$5:J$27)/MAX(1,COUNTIF('93_TARGET_MEMBERSHIP'!M$5:M$27,-1))))</f>
        <v/>
      </c>
      <c r="J16" s="34">
        <f>IF($B16="ABSOLUTE SEMANTIC",ABS('06_ITEM_POLE_MODEL'!S16),ABS('06_ITEM_POLE_MODEL'!S16)*ABS(SUMPRODUCT(--('93_TARGET_MEMBERSHIP'!M$5:M$27=1),'05_FEATURE_MODEL'!K$5:K$27)/MAX(1,COUNTIF('93_TARGET_MEMBERSHIP'!M$5:M$27,1))-SUMPRODUCT(--('93_TARGET_MEMBERSHIP'!M$5:M$27=-1),'05_FEATURE_MODEL'!K$5:K$27)/MAX(1,COUNTIF('93_TARGET_MEMBERSHIP'!M$5:M$27,-1))))</f>
        <v/>
      </c>
      <c r="K16" s="34">
        <f>IF($B16="ABSOLUTE SEMANTIC",ABS('06_ITEM_POLE_MODEL'!T16),ABS('06_ITEM_POLE_MODEL'!T16)*ABS(SUMPRODUCT(--('93_TARGET_MEMBERSHIP'!M$5:M$27=1),'05_FEATURE_MODEL'!L$5:L$27)/MAX(1,COUNTIF('93_TARGET_MEMBERSHIP'!M$5:M$27,1))-SUMPRODUCT(--('93_TARGET_MEMBERSHIP'!M$5:M$27=-1),'05_FEATURE_MODEL'!L$5:L$27)/MAX(1,COUNTIF('93_TARGET_MEMBERSHIP'!M$5:M$27,-1))))</f>
        <v/>
      </c>
      <c r="L16" s="34">
        <f>IF($B16="ABSOLUTE SEMANTIC",ABS('06_ITEM_POLE_MODEL'!U16),ABS('06_ITEM_POLE_MODEL'!U16)*ABS(SUMPRODUCT(--('93_TARGET_MEMBERSHIP'!M$5:M$27=1),'05_FEATURE_MODEL'!M$5:M$27)/MAX(1,COUNTIF('93_TARGET_MEMBERSHIP'!M$5:M$27,1))-SUMPRODUCT(--('93_TARGET_MEMBERSHIP'!M$5:M$27=-1),'05_FEATURE_MODEL'!M$5:M$27)/MAX(1,COUNTIF('93_TARGET_MEMBERSHIP'!M$5:M$27,-1))))</f>
        <v/>
      </c>
      <c r="M16" s="34">
        <f>IF($B16="ABSOLUTE SEMANTIC",ABS('06_ITEM_POLE_MODEL'!V16),ABS('06_ITEM_POLE_MODEL'!V16)*ABS(SUMPRODUCT(--('93_TARGET_MEMBERSHIP'!M$5:M$27=1),'05_FEATURE_MODEL'!N$5:N$27)/MAX(1,COUNTIF('93_TARGET_MEMBERSHIP'!M$5:M$27,1))-SUMPRODUCT(--('93_TARGET_MEMBERSHIP'!M$5:M$27=-1),'05_FEATURE_MODEL'!N$5:N$27)/MAX(1,COUNTIF('93_TARGET_MEMBERSHIP'!M$5:M$27,-1))))</f>
        <v/>
      </c>
      <c r="N16" s="34">
        <f>IF($B16="ABSOLUTE SEMANTIC",ABS('06_ITEM_POLE_MODEL'!W16),ABS('06_ITEM_POLE_MODEL'!W16)*ABS(SUMPRODUCT(--('93_TARGET_MEMBERSHIP'!M$5:M$27=1),'05_FEATURE_MODEL'!O$5:O$27)/MAX(1,COUNTIF('93_TARGET_MEMBERSHIP'!M$5:M$27,1))-SUMPRODUCT(--('93_TARGET_MEMBERSHIP'!M$5:M$27=-1),'05_FEATURE_MODEL'!O$5:O$27)/MAX(1,COUNTIF('93_TARGET_MEMBERSHIP'!M$5:M$27,-1))))</f>
        <v/>
      </c>
      <c r="O16" s="34">
        <f>IF($B16="ABSOLUTE SEMANTIC",ABS('06_ITEM_POLE_MODEL'!X16),ABS('06_ITEM_POLE_MODEL'!X16)*ABS(SUMPRODUCT(--('93_TARGET_MEMBERSHIP'!M$5:M$27=1),'05_FEATURE_MODEL'!P$5:P$27)/MAX(1,COUNTIF('93_TARGET_MEMBERSHIP'!M$5:M$27,1))-SUMPRODUCT(--('93_TARGET_MEMBERSHIP'!M$5:M$27=-1),'05_FEATURE_MODEL'!P$5:P$27)/MAX(1,COUNTIF('93_TARGET_MEMBERSHIP'!M$5:M$27,-1))))</f>
        <v/>
      </c>
      <c r="P16" s="34">
        <f>IF($B16="ABSOLUTE SEMANTIC",ABS('06_ITEM_POLE_MODEL'!Y16),ABS('06_ITEM_POLE_MODEL'!Y16)*ABS(SUMPRODUCT(--('93_TARGET_MEMBERSHIP'!M$5:M$27=1),'05_FEATURE_MODEL'!Q$5:Q$27)/MAX(1,COUNTIF('93_TARGET_MEMBERSHIP'!M$5:M$27,1))-SUMPRODUCT(--('93_TARGET_MEMBERSHIP'!M$5:M$27=-1),'05_FEATURE_MODEL'!Q$5:Q$27)/MAX(1,COUNTIF('93_TARGET_MEMBERSHIP'!M$5:M$27,-1))))</f>
        <v/>
      </c>
      <c r="Q16" s="34">
        <f>IF($B16="ABSOLUTE SEMANTIC",ABS('06_ITEM_POLE_MODEL'!Z16),ABS('06_ITEM_POLE_MODEL'!Z16)*ABS(SUMPRODUCT(--('93_TARGET_MEMBERSHIP'!M$5:M$27=1),'05_FEATURE_MODEL'!R$5:R$27)/MAX(1,COUNTIF('93_TARGET_MEMBERSHIP'!M$5:M$27,1))-SUMPRODUCT(--('93_TARGET_MEMBERSHIP'!M$5:M$27=-1),'05_FEATURE_MODEL'!R$5:R$27)/MAX(1,COUNTIF('93_TARGET_MEMBERSHIP'!M$5:M$27,-1))))</f>
        <v/>
      </c>
      <c r="R16" s="34">
        <f>IF($B16="ABSOLUTE SEMANTIC",ABS('06_ITEM_POLE_MODEL'!AA16),ABS('06_ITEM_POLE_MODEL'!AA16)*ABS(SUMPRODUCT(--('93_TARGET_MEMBERSHIP'!M$5:M$27=1),'05_FEATURE_MODEL'!S$5:S$27)/MAX(1,COUNTIF('93_TARGET_MEMBERSHIP'!M$5:M$27,1))-SUMPRODUCT(--('93_TARGET_MEMBERSHIP'!M$5:M$27=-1),'05_FEATURE_MODEL'!S$5:S$27)/MAX(1,COUNTIF('93_TARGET_MEMBERSHIP'!M$5:M$27,-1))))</f>
        <v/>
      </c>
      <c r="S16" s="34">
        <f>IF($B16="ABSOLUTE SEMANTIC",ABS('06_ITEM_POLE_MODEL'!AB16),ABS('06_ITEM_POLE_MODEL'!AB16)*ABS(SUMPRODUCT(--('93_TARGET_MEMBERSHIP'!M$5:M$27=1),'05_FEATURE_MODEL'!T$5:T$27)/MAX(1,COUNTIF('93_TARGET_MEMBERSHIP'!M$5:M$27,1))-SUMPRODUCT(--('93_TARGET_MEMBERSHIP'!M$5:M$27=-1),'05_FEATURE_MODEL'!T$5:T$27)/MAX(1,COUNTIF('93_TARGET_MEMBERSHIP'!M$5:M$27,-1))))</f>
        <v/>
      </c>
      <c r="T16" s="34">
        <f>IF($B16="ABSOLUTE SEMANTIC",ABS('06_ITEM_POLE_MODEL'!AC16),ABS('06_ITEM_POLE_MODEL'!AC16)*ABS(SUMPRODUCT(--('93_TARGET_MEMBERSHIP'!M$5:M$27=1),'05_FEATURE_MODEL'!U$5:U$27)/MAX(1,COUNTIF('93_TARGET_MEMBERSHIP'!M$5:M$27,1))-SUMPRODUCT(--('93_TARGET_MEMBERSHIP'!M$5:M$27=-1),'05_FEATURE_MODEL'!U$5:U$27)/MAX(1,COUNTIF('93_TARGET_MEMBERSHIP'!M$5:M$27,-1))))</f>
        <v/>
      </c>
      <c r="U16" s="34">
        <f>IF($B16="ABSOLUTE SEMANTIC",ABS('06_ITEM_POLE_MODEL'!AD16),ABS('06_ITEM_POLE_MODEL'!AD16)*ABS(SUMPRODUCT(--('93_TARGET_MEMBERSHIP'!M$5:M$27=1),'05_FEATURE_MODEL'!V$5:V$27)/MAX(1,COUNTIF('93_TARGET_MEMBERSHIP'!M$5:M$27,1))-SUMPRODUCT(--('93_TARGET_MEMBERSHIP'!M$5:M$27=-1),'05_FEATURE_MODEL'!V$5:V$27)/MAX(1,COUNTIF('93_TARGET_MEMBERSHIP'!M$5:M$27,-1))))</f>
        <v/>
      </c>
      <c r="V16" s="34">
        <f>IF($B16="ABSOLUTE SEMANTIC",ABS('06_ITEM_POLE_MODEL'!AE16),ABS('06_ITEM_POLE_MODEL'!AE16)*ABS(SUMPRODUCT(--('93_TARGET_MEMBERSHIP'!M$5:M$27=1),'05_FEATURE_MODEL'!W$5:W$27)/MAX(1,COUNTIF('93_TARGET_MEMBERSHIP'!M$5:M$27,1))-SUMPRODUCT(--('93_TARGET_MEMBERSHIP'!M$5:M$27=-1),'05_FEATURE_MODEL'!W$5:W$27)/MAX(1,COUNTIF('93_TARGET_MEMBERSHIP'!M$5:M$27,-1))))</f>
        <v/>
      </c>
      <c r="W16" s="34">
        <f>IF($B16="ABSOLUTE SEMANTIC",ABS('06_ITEM_POLE_MODEL'!AF16),ABS('06_ITEM_POLE_MODEL'!AF16)*ABS(SUMPRODUCT(--('93_TARGET_MEMBERSHIP'!M$5:M$27=1),'05_FEATURE_MODEL'!X$5:X$27)/MAX(1,COUNTIF('93_TARGET_MEMBERSHIP'!M$5:M$27,1))-SUMPRODUCT(--('93_TARGET_MEMBERSHIP'!M$5:M$27=-1),'05_FEATURE_MODEL'!X$5:X$27)/MAX(1,COUNTIF('93_TARGET_MEMBERSHIP'!M$5:M$27,-1))))</f>
        <v/>
      </c>
      <c r="X16" s="34">
        <f>IF($B16="ABSOLUTE SEMANTIC",ABS('06_ITEM_POLE_MODEL'!AG16),ABS('06_ITEM_POLE_MODEL'!AG16)*ABS(SUMPRODUCT(--('93_TARGET_MEMBERSHIP'!M$5:M$27=1),'05_FEATURE_MODEL'!Y$5:Y$27)/MAX(1,COUNTIF('93_TARGET_MEMBERSHIP'!M$5:M$27,1))-SUMPRODUCT(--('93_TARGET_MEMBERSHIP'!M$5:M$27=-1),'05_FEATURE_MODEL'!Y$5:Y$27)/MAX(1,COUNTIF('93_TARGET_MEMBERSHIP'!M$5:M$27,-1))))</f>
        <v/>
      </c>
      <c r="Y16" s="34">
        <f>IF($B16="ABSOLUTE SEMANTIC",ABS('06_ITEM_POLE_MODEL'!AH16),ABS('06_ITEM_POLE_MODEL'!AH16)*ABS(SUMPRODUCT(--('93_TARGET_MEMBERSHIP'!M$5:M$27=1),'05_FEATURE_MODEL'!Z$5:Z$27)/MAX(1,COUNTIF('93_TARGET_MEMBERSHIP'!M$5:M$27,1))-SUMPRODUCT(--('93_TARGET_MEMBERSHIP'!M$5:M$27=-1),'05_FEATURE_MODEL'!Z$5:Z$27)/MAX(1,COUNTIF('93_TARGET_MEMBERSHIP'!M$5:M$27,-1))))</f>
        <v/>
      </c>
      <c r="Z16" s="34">
        <f>IF($B16="ABSOLUTE SEMANTIC",ABS('06_ITEM_POLE_MODEL'!AI16),ABS('06_ITEM_POLE_MODEL'!AI16)*ABS(SUMPRODUCT(--('93_TARGET_MEMBERSHIP'!M$5:M$27=1),'05_FEATURE_MODEL'!AA$5:AA$27)/MAX(1,COUNTIF('93_TARGET_MEMBERSHIP'!M$5:M$27,1))-SUMPRODUCT(--('93_TARGET_MEMBERSHIP'!M$5:M$27=-1),'05_FEATURE_MODEL'!AA$5:AA$27)/MAX(1,COUNTIF('93_TARGET_MEMBERSHIP'!M$5:M$27,-1))))</f>
        <v/>
      </c>
      <c r="AA16" s="34">
        <f>IF($B16="ABSOLUTE SEMANTIC",ABS('06_ITEM_POLE_MODEL'!AJ16),ABS('06_ITEM_POLE_MODEL'!AJ16)*ABS(SUMPRODUCT(--('93_TARGET_MEMBERSHIP'!M$5:M$27=1),'05_FEATURE_MODEL'!AB$5:AB$27)/MAX(1,COUNTIF('93_TARGET_MEMBERSHIP'!M$5:M$27,1))-SUMPRODUCT(--('93_TARGET_MEMBERSHIP'!M$5:M$27=-1),'05_FEATURE_MODEL'!AB$5:AB$27)/MAX(1,COUNTIF('93_TARGET_MEMBERSHIP'!M$5:M$27,-1))))</f>
        <v/>
      </c>
      <c r="AB16" s="34">
        <f>IF($B16="ABSOLUTE SEMANTIC",ABS('06_ITEM_POLE_MODEL'!AK16),ABS('06_ITEM_POLE_MODEL'!AK16)*ABS(SUMPRODUCT(--('93_TARGET_MEMBERSHIP'!M$5:M$27=1),'05_FEATURE_MODEL'!AC$5:AC$27)/MAX(1,COUNTIF('93_TARGET_MEMBERSHIP'!M$5:M$27,1))-SUMPRODUCT(--('93_TARGET_MEMBERSHIP'!M$5:M$27=-1),'05_FEATURE_MODEL'!AC$5:AC$27)/MAX(1,COUNTIF('93_TARGET_MEMBERSHIP'!M$5:M$27,-1))))</f>
        <v/>
      </c>
      <c r="AC16" s="34">
        <f>IF($B16="ABSOLUTE SEMANTIC",ABS('06_ITEM_POLE_MODEL'!AL16),ABS('06_ITEM_POLE_MODEL'!AL16)*ABS(SUMPRODUCT(--('93_TARGET_MEMBERSHIP'!M$5:M$27=1),'05_FEATURE_MODEL'!AD$5:AD$27)/MAX(1,COUNTIF('93_TARGET_MEMBERSHIP'!M$5:M$27,1))-SUMPRODUCT(--('93_TARGET_MEMBERSHIP'!M$5:M$27=-1),'05_FEATURE_MODEL'!AD$5:AD$27)/MAX(1,COUNTIF('93_TARGET_MEMBERSHIP'!M$5:M$27,-1))))</f>
        <v/>
      </c>
      <c r="AD16" s="34">
        <f>IF($B16="ABSOLUTE SEMANTIC",ABS('06_ITEM_POLE_MODEL'!AM16),ABS('06_ITEM_POLE_MODEL'!AM16)*ABS(SUMPRODUCT(--('93_TARGET_MEMBERSHIP'!M$5:M$27=1),'05_FEATURE_MODEL'!AE$5:AE$27)/MAX(1,COUNTIF('93_TARGET_MEMBERSHIP'!M$5:M$27,1))-SUMPRODUCT(--('93_TARGET_MEMBERSHIP'!M$5:M$27=-1),'05_FEATURE_MODEL'!AE$5:AE$27)/MAX(1,COUNTIF('93_TARGET_MEMBERSHIP'!M$5:M$27,-1))))</f>
        <v/>
      </c>
      <c r="AE16" s="34">
        <f>IF($B16="ABSOLUTE SEMANTIC",ABS('06_ITEM_POLE_MODEL'!AN16),ABS('06_ITEM_POLE_MODEL'!AN16)*ABS(SUMPRODUCT(--('93_TARGET_MEMBERSHIP'!M$5:M$27=1),'05_FEATURE_MODEL'!AF$5:AF$27)/MAX(1,COUNTIF('93_TARGET_MEMBERSHIP'!M$5:M$27,1))-SUMPRODUCT(--('93_TARGET_MEMBERSHIP'!M$5:M$27=-1),'05_FEATURE_MODEL'!AF$5:AF$27)/MAX(1,COUNTIF('93_TARGET_MEMBERSHIP'!M$5:M$27,-1))))</f>
        <v/>
      </c>
      <c r="AF16" s="34">
        <f>IF($B16="ABSOLUTE SEMANTIC",ABS('06_ITEM_POLE_MODEL'!AO16),ABS('06_ITEM_POLE_MODEL'!AO16)*ABS(SUMPRODUCT(--('93_TARGET_MEMBERSHIP'!M$5:M$27=1),'05_FEATURE_MODEL'!AG$5:AG$27)/MAX(1,COUNTIF('93_TARGET_MEMBERSHIP'!M$5:M$27,1))-SUMPRODUCT(--('93_TARGET_MEMBERSHIP'!M$5:M$27=-1),'05_FEATURE_MODEL'!AG$5:AG$27)/MAX(1,COUNTIF('93_TARGET_MEMBERSHIP'!M$5:M$27,-1))))</f>
        <v/>
      </c>
      <c r="AG16" s="34">
        <f>IF($B16="ABSOLUTE SEMANTIC",ABS('06_ITEM_POLE_MODEL'!AP16),ABS('06_ITEM_POLE_MODEL'!AP16)*ABS(SUMPRODUCT(--('93_TARGET_MEMBERSHIP'!M$5:M$27=1),'05_FEATURE_MODEL'!AH$5:AH$27)/MAX(1,COUNTIF('93_TARGET_MEMBERSHIP'!M$5:M$27,1))-SUMPRODUCT(--('93_TARGET_MEMBERSHIP'!M$5:M$27=-1),'05_FEATURE_MODEL'!AH$5:AH$27)/MAX(1,COUNTIF('93_TARGET_MEMBERSHIP'!M$5:M$27,-1))))</f>
        <v/>
      </c>
      <c r="AH16" s="34">
        <f>IF($B16="ABSOLUTE SEMANTIC",ABS('06_ITEM_POLE_MODEL'!AQ16),ABS('06_ITEM_POLE_MODEL'!AQ16)*ABS(SUMPRODUCT(--('93_TARGET_MEMBERSHIP'!M$5:M$27=1),'05_FEATURE_MODEL'!AI$5:AI$27)/MAX(1,COUNTIF('93_TARGET_MEMBERSHIP'!M$5:M$27,1))-SUMPRODUCT(--('93_TARGET_MEMBERSHIP'!M$5:M$27=-1),'05_FEATURE_MODEL'!AI$5:AI$27)/MAX(1,COUNTIF('93_TARGET_MEMBERSHIP'!M$5:M$27,-1))))</f>
        <v/>
      </c>
      <c r="AI16" s="34">
        <f>IF($B16="ABSOLUTE SEMANTIC",ABS('06_ITEM_POLE_MODEL'!AR16),ABS('06_ITEM_POLE_MODEL'!AR16)*ABS(SUMPRODUCT(--('93_TARGET_MEMBERSHIP'!M$5:M$27=1),'05_FEATURE_MODEL'!AJ$5:AJ$27)/MAX(1,COUNTIF('93_TARGET_MEMBERSHIP'!M$5:M$27,1))-SUMPRODUCT(--('93_TARGET_MEMBERSHIP'!M$5:M$27=-1),'05_FEATURE_MODEL'!AJ$5:AJ$27)/MAX(1,COUNTIF('93_TARGET_MEMBERSHIP'!M$5:M$27,-1))))</f>
        <v/>
      </c>
      <c r="AJ16" s="34">
        <f>IF($B16="ABSOLUTE SEMANTIC",ABS('06_ITEM_POLE_MODEL'!AS16),ABS('06_ITEM_POLE_MODEL'!AS16)*ABS(SUMPRODUCT(--('93_TARGET_MEMBERSHIP'!M$5:M$27=1),'05_FEATURE_MODEL'!AK$5:AK$27)/MAX(1,COUNTIF('93_TARGET_MEMBERSHIP'!M$5:M$27,1))-SUMPRODUCT(--('93_TARGET_MEMBERSHIP'!M$5:M$27=-1),'05_FEATURE_MODEL'!AK$5:AK$27)/MAX(1,COUNTIF('93_TARGET_MEMBERSHIP'!M$5:M$27,-1))))</f>
        <v/>
      </c>
      <c r="AK16" s="34">
        <f>IF($B16="ABSOLUTE SEMANTIC",ABS('06_ITEM_POLE_MODEL'!AT16),ABS('06_ITEM_POLE_MODEL'!AT16)*ABS(SUMPRODUCT(--('93_TARGET_MEMBERSHIP'!M$5:M$27=1),'05_FEATURE_MODEL'!AL$5:AL$27)/MAX(1,COUNTIF('93_TARGET_MEMBERSHIP'!M$5:M$27,1))-SUMPRODUCT(--('93_TARGET_MEMBERSHIP'!M$5:M$27=-1),'05_FEATURE_MODEL'!AL$5:AL$27)/MAX(1,COUNTIF('93_TARGET_MEMBERSHIP'!M$5:M$27,-1))))</f>
        <v/>
      </c>
      <c r="AL16" s="34">
        <f>IF($B16="ABSOLUTE SEMANTIC",ABS('06_ITEM_POLE_MODEL'!AU16),ABS('06_ITEM_POLE_MODEL'!AU16)*ABS(SUMPRODUCT(--('93_TARGET_MEMBERSHIP'!M$5:M$27=1),'05_FEATURE_MODEL'!AM$5:AM$27)/MAX(1,COUNTIF('93_TARGET_MEMBERSHIP'!M$5:M$27,1))-SUMPRODUCT(--('93_TARGET_MEMBERSHIP'!M$5:M$27=-1),'05_FEATURE_MODEL'!AM$5:AM$27)/MAX(1,COUNTIF('93_TARGET_MEMBERSHIP'!M$5:M$27,-1))))</f>
        <v/>
      </c>
      <c r="AM16" s="34">
        <f>IF($B16="ABSOLUTE SEMANTIC",ABS('06_ITEM_POLE_MODEL'!AV16),ABS('06_ITEM_POLE_MODEL'!AV16)*ABS(SUMPRODUCT(--('93_TARGET_MEMBERSHIP'!M$5:M$27=1),'05_FEATURE_MODEL'!AN$5:AN$27)/MAX(1,COUNTIF('93_TARGET_MEMBERSHIP'!M$5:M$27,1))-SUMPRODUCT(--('93_TARGET_MEMBERSHIP'!M$5:M$27=-1),'05_FEATURE_MODEL'!AN$5:AN$27)/MAX(1,COUNTIF('93_TARGET_MEMBERSHIP'!M$5:M$27,-1))))</f>
        <v/>
      </c>
      <c r="AN16" s="34">
        <f>IF($B16="ABSOLUTE SEMANTIC",ABS('06_ITEM_POLE_MODEL'!AW16),ABS('06_ITEM_POLE_MODEL'!AW16)*ABS(SUMPRODUCT(--('93_TARGET_MEMBERSHIP'!M$5:M$27=1),'05_FEATURE_MODEL'!AO$5:AO$27)/MAX(1,COUNTIF('93_TARGET_MEMBERSHIP'!M$5:M$27,1))-SUMPRODUCT(--('93_TARGET_MEMBERSHIP'!M$5:M$27=-1),'05_FEATURE_MODEL'!AO$5:AO$27)/MAX(1,COUNTIF('93_TARGET_MEMBERSHIP'!M$5:M$27,-1))))</f>
        <v/>
      </c>
      <c r="AO16" s="34">
        <f>IF($B16="ABSOLUTE SEMANTIC",ABS('06_ITEM_POLE_MODEL'!AX16),ABS('06_ITEM_POLE_MODEL'!AX16)*ABS(SUMPRODUCT(--('93_TARGET_MEMBERSHIP'!M$5:M$27=1),'05_FEATURE_MODEL'!AP$5:AP$27)/MAX(1,COUNTIF('93_TARGET_MEMBERSHIP'!M$5:M$27,1))-SUMPRODUCT(--('93_TARGET_MEMBERSHIP'!M$5:M$27=-1),'05_FEATURE_MODEL'!AP$5:AP$27)/MAX(1,COUNTIF('93_TARGET_MEMBERSHIP'!M$5:M$27,-1))))</f>
        <v/>
      </c>
      <c r="AP16" s="34">
        <f>IF($B16="ABSOLUTE SEMANTIC",ABS('06_ITEM_POLE_MODEL'!AY16),ABS('06_ITEM_POLE_MODEL'!AY16)*ABS(SUMPRODUCT(--('93_TARGET_MEMBERSHIP'!M$5:M$27=1),'05_FEATURE_MODEL'!AQ$5:AQ$27)/MAX(1,COUNTIF('93_TARGET_MEMBERSHIP'!M$5:M$27,1))-SUMPRODUCT(--('93_TARGET_MEMBERSHIP'!M$5:M$27=-1),'05_FEATURE_MODEL'!AQ$5:AQ$27)/MAX(1,COUNTIF('93_TARGET_MEMBERSHIP'!M$5:M$27,-1))))</f>
        <v/>
      </c>
      <c r="AQ16" s="34">
        <f>IF($B16="ABSOLUTE SEMANTIC",ABS('06_ITEM_POLE_MODEL'!AZ16),ABS('06_ITEM_POLE_MODEL'!AZ16)*ABS(SUMPRODUCT(--('93_TARGET_MEMBERSHIP'!M$5:M$27=1),'05_FEATURE_MODEL'!AR$5:AR$27)/MAX(1,COUNTIF('93_TARGET_MEMBERSHIP'!M$5:M$27,1))-SUMPRODUCT(--('93_TARGET_MEMBERSHIP'!M$5:M$27=-1),'05_FEATURE_MODEL'!AR$5:AR$27)/MAX(1,COUNTIF('93_TARGET_MEMBERSHIP'!M$5:M$27,-1))))</f>
        <v/>
      </c>
    </row>
    <row r="17" ht="36" customHeight="1">
      <c r="A17" s="34">
        <f>'06_ITEM_POLE_MODEL'!A17</f>
        <v/>
      </c>
      <c r="B17" s="34">
        <f>'06_ITEM_POLE_MODEL'!E17</f>
        <v/>
      </c>
      <c r="C17" s="34">
        <f>IF($B17="ABSOLUTE SEMANTIC",ABS('06_ITEM_POLE_MODEL'!L17),ABS('06_ITEM_POLE_MODEL'!L17)*ABS(SUMPRODUCT(--('93_TARGET_MEMBERSHIP'!N$5:N$27=1),'05_FEATURE_MODEL'!D$5:D$27)/MAX(1,COUNTIF('93_TARGET_MEMBERSHIP'!N$5:N$27,1))-SUMPRODUCT(--('93_TARGET_MEMBERSHIP'!N$5:N$27=-1),'05_FEATURE_MODEL'!D$5:D$27)/MAX(1,COUNTIF('93_TARGET_MEMBERSHIP'!N$5:N$27,-1))))</f>
        <v/>
      </c>
      <c r="D17" s="34">
        <f>IF($B17="ABSOLUTE SEMANTIC",ABS('06_ITEM_POLE_MODEL'!M17),ABS('06_ITEM_POLE_MODEL'!M17)*ABS(SUMPRODUCT(--('93_TARGET_MEMBERSHIP'!N$5:N$27=1),'05_FEATURE_MODEL'!E$5:E$27)/MAX(1,COUNTIF('93_TARGET_MEMBERSHIP'!N$5:N$27,1))-SUMPRODUCT(--('93_TARGET_MEMBERSHIP'!N$5:N$27=-1),'05_FEATURE_MODEL'!E$5:E$27)/MAX(1,COUNTIF('93_TARGET_MEMBERSHIP'!N$5:N$27,-1))))</f>
        <v/>
      </c>
      <c r="E17" s="34">
        <f>IF($B17="ABSOLUTE SEMANTIC",ABS('06_ITEM_POLE_MODEL'!N17),ABS('06_ITEM_POLE_MODEL'!N17)*ABS(SUMPRODUCT(--('93_TARGET_MEMBERSHIP'!N$5:N$27=1),'05_FEATURE_MODEL'!F$5:F$27)/MAX(1,COUNTIF('93_TARGET_MEMBERSHIP'!N$5:N$27,1))-SUMPRODUCT(--('93_TARGET_MEMBERSHIP'!N$5:N$27=-1),'05_FEATURE_MODEL'!F$5:F$27)/MAX(1,COUNTIF('93_TARGET_MEMBERSHIP'!N$5:N$27,-1))))</f>
        <v/>
      </c>
      <c r="F17" s="34">
        <f>IF($B17="ABSOLUTE SEMANTIC",ABS('06_ITEM_POLE_MODEL'!O17),ABS('06_ITEM_POLE_MODEL'!O17)*ABS(SUMPRODUCT(--('93_TARGET_MEMBERSHIP'!N$5:N$27=1),'05_FEATURE_MODEL'!G$5:G$27)/MAX(1,COUNTIF('93_TARGET_MEMBERSHIP'!N$5:N$27,1))-SUMPRODUCT(--('93_TARGET_MEMBERSHIP'!N$5:N$27=-1),'05_FEATURE_MODEL'!G$5:G$27)/MAX(1,COUNTIF('93_TARGET_MEMBERSHIP'!N$5:N$27,-1))))</f>
        <v/>
      </c>
      <c r="G17" s="34">
        <f>IF($B17="ABSOLUTE SEMANTIC",ABS('06_ITEM_POLE_MODEL'!P17),ABS('06_ITEM_POLE_MODEL'!P17)*ABS(SUMPRODUCT(--('93_TARGET_MEMBERSHIP'!N$5:N$27=1),'05_FEATURE_MODEL'!H$5:H$27)/MAX(1,COUNTIF('93_TARGET_MEMBERSHIP'!N$5:N$27,1))-SUMPRODUCT(--('93_TARGET_MEMBERSHIP'!N$5:N$27=-1),'05_FEATURE_MODEL'!H$5:H$27)/MAX(1,COUNTIF('93_TARGET_MEMBERSHIP'!N$5:N$27,-1))))</f>
        <v/>
      </c>
      <c r="H17" s="34">
        <f>IF($B17="ABSOLUTE SEMANTIC",ABS('06_ITEM_POLE_MODEL'!Q17),ABS('06_ITEM_POLE_MODEL'!Q17)*ABS(SUMPRODUCT(--('93_TARGET_MEMBERSHIP'!N$5:N$27=1),'05_FEATURE_MODEL'!I$5:I$27)/MAX(1,COUNTIF('93_TARGET_MEMBERSHIP'!N$5:N$27,1))-SUMPRODUCT(--('93_TARGET_MEMBERSHIP'!N$5:N$27=-1),'05_FEATURE_MODEL'!I$5:I$27)/MAX(1,COUNTIF('93_TARGET_MEMBERSHIP'!N$5:N$27,-1))))</f>
        <v/>
      </c>
      <c r="I17" s="34">
        <f>IF($B17="ABSOLUTE SEMANTIC",ABS('06_ITEM_POLE_MODEL'!R17),ABS('06_ITEM_POLE_MODEL'!R17)*ABS(SUMPRODUCT(--('93_TARGET_MEMBERSHIP'!N$5:N$27=1),'05_FEATURE_MODEL'!J$5:J$27)/MAX(1,COUNTIF('93_TARGET_MEMBERSHIP'!N$5:N$27,1))-SUMPRODUCT(--('93_TARGET_MEMBERSHIP'!N$5:N$27=-1),'05_FEATURE_MODEL'!J$5:J$27)/MAX(1,COUNTIF('93_TARGET_MEMBERSHIP'!N$5:N$27,-1))))</f>
        <v/>
      </c>
      <c r="J17" s="34">
        <f>IF($B17="ABSOLUTE SEMANTIC",ABS('06_ITEM_POLE_MODEL'!S17),ABS('06_ITEM_POLE_MODEL'!S17)*ABS(SUMPRODUCT(--('93_TARGET_MEMBERSHIP'!N$5:N$27=1),'05_FEATURE_MODEL'!K$5:K$27)/MAX(1,COUNTIF('93_TARGET_MEMBERSHIP'!N$5:N$27,1))-SUMPRODUCT(--('93_TARGET_MEMBERSHIP'!N$5:N$27=-1),'05_FEATURE_MODEL'!K$5:K$27)/MAX(1,COUNTIF('93_TARGET_MEMBERSHIP'!N$5:N$27,-1))))</f>
        <v/>
      </c>
      <c r="K17" s="34">
        <f>IF($B17="ABSOLUTE SEMANTIC",ABS('06_ITEM_POLE_MODEL'!T17),ABS('06_ITEM_POLE_MODEL'!T17)*ABS(SUMPRODUCT(--('93_TARGET_MEMBERSHIP'!N$5:N$27=1),'05_FEATURE_MODEL'!L$5:L$27)/MAX(1,COUNTIF('93_TARGET_MEMBERSHIP'!N$5:N$27,1))-SUMPRODUCT(--('93_TARGET_MEMBERSHIP'!N$5:N$27=-1),'05_FEATURE_MODEL'!L$5:L$27)/MAX(1,COUNTIF('93_TARGET_MEMBERSHIP'!N$5:N$27,-1))))</f>
        <v/>
      </c>
      <c r="L17" s="34">
        <f>IF($B17="ABSOLUTE SEMANTIC",ABS('06_ITEM_POLE_MODEL'!U17),ABS('06_ITEM_POLE_MODEL'!U17)*ABS(SUMPRODUCT(--('93_TARGET_MEMBERSHIP'!N$5:N$27=1),'05_FEATURE_MODEL'!M$5:M$27)/MAX(1,COUNTIF('93_TARGET_MEMBERSHIP'!N$5:N$27,1))-SUMPRODUCT(--('93_TARGET_MEMBERSHIP'!N$5:N$27=-1),'05_FEATURE_MODEL'!M$5:M$27)/MAX(1,COUNTIF('93_TARGET_MEMBERSHIP'!N$5:N$27,-1))))</f>
        <v/>
      </c>
      <c r="M17" s="34">
        <f>IF($B17="ABSOLUTE SEMANTIC",ABS('06_ITEM_POLE_MODEL'!V17),ABS('06_ITEM_POLE_MODEL'!V17)*ABS(SUMPRODUCT(--('93_TARGET_MEMBERSHIP'!N$5:N$27=1),'05_FEATURE_MODEL'!N$5:N$27)/MAX(1,COUNTIF('93_TARGET_MEMBERSHIP'!N$5:N$27,1))-SUMPRODUCT(--('93_TARGET_MEMBERSHIP'!N$5:N$27=-1),'05_FEATURE_MODEL'!N$5:N$27)/MAX(1,COUNTIF('93_TARGET_MEMBERSHIP'!N$5:N$27,-1))))</f>
        <v/>
      </c>
      <c r="N17" s="34">
        <f>IF($B17="ABSOLUTE SEMANTIC",ABS('06_ITEM_POLE_MODEL'!W17),ABS('06_ITEM_POLE_MODEL'!W17)*ABS(SUMPRODUCT(--('93_TARGET_MEMBERSHIP'!N$5:N$27=1),'05_FEATURE_MODEL'!O$5:O$27)/MAX(1,COUNTIF('93_TARGET_MEMBERSHIP'!N$5:N$27,1))-SUMPRODUCT(--('93_TARGET_MEMBERSHIP'!N$5:N$27=-1),'05_FEATURE_MODEL'!O$5:O$27)/MAX(1,COUNTIF('93_TARGET_MEMBERSHIP'!N$5:N$27,-1))))</f>
        <v/>
      </c>
      <c r="O17" s="34">
        <f>IF($B17="ABSOLUTE SEMANTIC",ABS('06_ITEM_POLE_MODEL'!X17),ABS('06_ITEM_POLE_MODEL'!X17)*ABS(SUMPRODUCT(--('93_TARGET_MEMBERSHIP'!N$5:N$27=1),'05_FEATURE_MODEL'!P$5:P$27)/MAX(1,COUNTIF('93_TARGET_MEMBERSHIP'!N$5:N$27,1))-SUMPRODUCT(--('93_TARGET_MEMBERSHIP'!N$5:N$27=-1),'05_FEATURE_MODEL'!P$5:P$27)/MAX(1,COUNTIF('93_TARGET_MEMBERSHIP'!N$5:N$27,-1))))</f>
        <v/>
      </c>
      <c r="P17" s="34">
        <f>IF($B17="ABSOLUTE SEMANTIC",ABS('06_ITEM_POLE_MODEL'!Y17),ABS('06_ITEM_POLE_MODEL'!Y17)*ABS(SUMPRODUCT(--('93_TARGET_MEMBERSHIP'!N$5:N$27=1),'05_FEATURE_MODEL'!Q$5:Q$27)/MAX(1,COUNTIF('93_TARGET_MEMBERSHIP'!N$5:N$27,1))-SUMPRODUCT(--('93_TARGET_MEMBERSHIP'!N$5:N$27=-1),'05_FEATURE_MODEL'!Q$5:Q$27)/MAX(1,COUNTIF('93_TARGET_MEMBERSHIP'!N$5:N$27,-1))))</f>
        <v/>
      </c>
      <c r="Q17" s="34">
        <f>IF($B17="ABSOLUTE SEMANTIC",ABS('06_ITEM_POLE_MODEL'!Z17),ABS('06_ITEM_POLE_MODEL'!Z17)*ABS(SUMPRODUCT(--('93_TARGET_MEMBERSHIP'!N$5:N$27=1),'05_FEATURE_MODEL'!R$5:R$27)/MAX(1,COUNTIF('93_TARGET_MEMBERSHIP'!N$5:N$27,1))-SUMPRODUCT(--('93_TARGET_MEMBERSHIP'!N$5:N$27=-1),'05_FEATURE_MODEL'!R$5:R$27)/MAX(1,COUNTIF('93_TARGET_MEMBERSHIP'!N$5:N$27,-1))))</f>
        <v/>
      </c>
      <c r="R17" s="34">
        <f>IF($B17="ABSOLUTE SEMANTIC",ABS('06_ITEM_POLE_MODEL'!AA17),ABS('06_ITEM_POLE_MODEL'!AA17)*ABS(SUMPRODUCT(--('93_TARGET_MEMBERSHIP'!N$5:N$27=1),'05_FEATURE_MODEL'!S$5:S$27)/MAX(1,COUNTIF('93_TARGET_MEMBERSHIP'!N$5:N$27,1))-SUMPRODUCT(--('93_TARGET_MEMBERSHIP'!N$5:N$27=-1),'05_FEATURE_MODEL'!S$5:S$27)/MAX(1,COUNTIF('93_TARGET_MEMBERSHIP'!N$5:N$27,-1))))</f>
        <v/>
      </c>
      <c r="S17" s="34">
        <f>IF($B17="ABSOLUTE SEMANTIC",ABS('06_ITEM_POLE_MODEL'!AB17),ABS('06_ITEM_POLE_MODEL'!AB17)*ABS(SUMPRODUCT(--('93_TARGET_MEMBERSHIP'!N$5:N$27=1),'05_FEATURE_MODEL'!T$5:T$27)/MAX(1,COUNTIF('93_TARGET_MEMBERSHIP'!N$5:N$27,1))-SUMPRODUCT(--('93_TARGET_MEMBERSHIP'!N$5:N$27=-1),'05_FEATURE_MODEL'!T$5:T$27)/MAX(1,COUNTIF('93_TARGET_MEMBERSHIP'!N$5:N$27,-1))))</f>
        <v/>
      </c>
      <c r="T17" s="34">
        <f>IF($B17="ABSOLUTE SEMANTIC",ABS('06_ITEM_POLE_MODEL'!AC17),ABS('06_ITEM_POLE_MODEL'!AC17)*ABS(SUMPRODUCT(--('93_TARGET_MEMBERSHIP'!N$5:N$27=1),'05_FEATURE_MODEL'!U$5:U$27)/MAX(1,COUNTIF('93_TARGET_MEMBERSHIP'!N$5:N$27,1))-SUMPRODUCT(--('93_TARGET_MEMBERSHIP'!N$5:N$27=-1),'05_FEATURE_MODEL'!U$5:U$27)/MAX(1,COUNTIF('93_TARGET_MEMBERSHIP'!N$5:N$27,-1))))</f>
        <v/>
      </c>
      <c r="U17" s="34">
        <f>IF($B17="ABSOLUTE SEMANTIC",ABS('06_ITEM_POLE_MODEL'!AD17),ABS('06_ITEM_POLE_MODEL'!AD17)*ABS(SUMPRODUCT(--('93_TARGET_MEMBERSHIP'!N$5:N$27=1),'05_FEATURE_MODEL'!V$5:V$27)/MAX(1,COUNTIF('93_TARGET_MEMBERSHIP'!N$5:N$27,1))-SUMPRODUCT(--('93_TARGET_MEMBERSHIP'!N$5:N$27=-1),'05_FEATURE_MODEL'!V$5:V$27)/MAX(1,COUNTIF('93_TARGET_MEMBERSHIP'!N$5:N$27,-1))))</f>
        <v/>
      </c>
      <c r="V17" s="34">
        <f>IF($B17="ABSOLUTE SEMANTIC",ABS('06_ITEM_POLE_MODEL'!AE17),ABS('06_ITEM_POLE_MODEL'!AE17)*ABS(SUMPRODUCT(--('93_TARGET_MEMBERSHIP'!N$5:N$27=1),'05_FEATURE_MODEL'!W$5:W$27)/MAX(1,COUNTIF('93_TARGET_MEMBERSHIP'!N$5:N$27,1))-SUMPRODUCT(--('93_TARGET_MEMBERSHIP'!N$5:N$27=-1),'05_FEATURE_MODEL'!W$5:W$27)/MAX(1,COUNTIF('93_TARGET_MEMBERSHIP'!N$5:N$27,-1))))</f>
        <v/>
      </c>
      <c r="W17" s="34">
        <f>IF($B17="ABSOLUTE SEMANTIC",ABS('06_ITEM_POLE_MODEL'!AF17),ABS('06_ITEM_POLE_MODEL'!AF17)*ABS(SUMPRODUCT(--('93_TARGET_MEMBERSHIP'!N$5:N$27=1),'05_FEATURE_MODEL'!X$5:X$27)/MAX(1,COUNTIF('93_TARGET_MEMBERSHIP'!N$5:N$27,1))-SUMPRODUCT(--('93_TARGET_MEMBERSHIP'!N$5:N$27=-1),'05_FEATURE_MODEL'!X$5:X$27)/MAX(1,COUNTIF('93_TARGET_MEMBERSHIP'!N$5:N$27,-1))))</f>
        <v/>
      </c>
      <c r="X17" s="34">
        <f>IF($B17="ABSOLUTE SEMANTIC",ABS('06_ITEM_POLE_MODEL'!AG17),ABS('06_ITEM_POLE_MODEL'!AG17)*ABS(SUMPRODUCT(--('93_TARGET_MEMBERSHIP'!N$5:N$27=1),'05_FEATURE_MODEL'!Y$5:Y$27)/MAX(1,COUNTIF('93_TARGET_MEMBERSHIP'!N$5:N$27,1))-SUMPRODUCT(--('93_TARGET_MEMBERSHIP'!N$5:N$27=-1),'05_FEATURE_MODEL'!Y$5:Y$27)/MAX(1,COUNTIF('93_TARGET_MEMBERSHIP'!N$5:N$27,-1))))</f>
        <v/>
      </c>
      <c r="Y17" s="34">
        <f>IF($B17="ABSOLUTE SEMANTIC",ABS('06_ITEM_POLE_MODEL'!AH17),ABS('06_ITEM_POLE_MODEL'!AH17)*ABS(SUMPRODUCT(--('93_TARGET_MEMBERSHIP'!N$5:N$27=1),'05_FEATURE_MODEL'!Z$5:Z$27)/MAX(1,COUNTIF('93_TARGET_MEMBERSHIP'!N$5:N$27,1))-SUMPRODUCT(--('93_TARGET_MEMBERSHIP'!N$5:N$27=-1),'05_FEATURE_MODEL'!Z$5:Z$27)/MAX(1,COUNTIF('93_TARGET_MEMBERSHIP'!N$5:N$27,-1))))</f>
        <v/>
      </c>
      <c r="Z17" s="34">
        <f>IF($B17="ABSOLUTE SEMANTIC",ABS('06_ITEM_POLE_MODEL'!AI17),ABS('06_ITEM_POLE_MODEL'!AI17)*ABS(SUMPRODUCT(--('93_TARGET_MEMBERSHIP'!N$5:N$27=1),'05_FEATURE_MODEL'!AA$5:AA$27)/MAX(1,COUNTIF('93_TARGET_MEMBERSHIP'!N$5:N$27,1))-SUMPRODUCT(--('93_TARGET_MEMBERSHIP'!N$5:N$27=-1),'05_FEATURE_MODEL'!AA$5:AA$27)/MAX(1,COUNTIF('93_TARGET_MEMBERSHIP'!N$5:N$27,-1))))</f>
        <v/>
      </c>
      <c r="AA17" s="34">
        <f>IF($B17="ABSOLUTE SEMANTIC",ABS('06_ITEM_POLE_MODEL'!AJ17),ABS('06_ITEM_POLE_MODEL'!AJ17)*ABS(SUMPRODUCT(--('93_TARGET_MEMBERSHIP'!N$5:N$27=1),'05_FEATURE_MODEL'!AB$5:AB$27)/MAX(1,COUNTIF('93_TARGET_MEMBERSHIP'!N$5:N$27,1))-SUMPRODUCT(--('93_TARGET_MEMBERSHIP'!N$5:N$27=-1),'05_FEATURE_MODEL'!AB$5:AB$27)/MAX(1,COUNTIF('93_TARGET_MEMBERSHIP'!N$5:N$27,-1))))</f>
        <v/>
      </c>
      <c r="AB17" s="34">
        <f>IF($B17="ABSOLUTE SEMANTIC",ABS('06_ITEM_POLE_MODEL'!AK17),ABS('06_ITEM_POLE_MODEL'!AK17)*ABS(SUMPRODUCT(--('93_TARGET_MEMBERSHIP'!N$5:N$27=1),'05_FEATURE_MODEL'!AC$5:AC$27)/MAX(1,COUNTIF('93_TARGET_MEMBERSHIP'!N$5:N$27,1))-SUMPRODUCT(--('93_TARGET_MEMBERSHIP'!N$5:N$27=-1),'05_FEATURE_MODEL'!AC$5:AC$27)/MAX(1,COUNTIF('93_TARGET_MEMBERSHIP'!N$5:N$27,-1))))</f>
        <v/>
      </c>
      <c r="AC17" s="34">
        <f>IF($B17="ABSOLUTE SEMANTIC",ABS('06_ITEM_POLE_MODEL'!AL17),ABS('06_ITEM_POLE_MODEL'!AL17)*ABS(SUMPRODUCT(--('93_TARGET_MEMBERSHIP'!N$5:N$27=1),'05_FEATURE_MODEL'!AD$5:AD$27)/MAX(1,COUNTIF('93_TARGET_MEMBERSHIP'!N$5:N$27,1))-SUMPRODUCT(--('93_TARGET_MEMBERSHIP'!N$5:N$27=-1),'05_FEATURE_MODEL'!AD$5:AD$27)/MAX(1,COUNTIF('93_TARGET_MEMBERSHIP'!N$5:N$27,-1))))</f>
        <v/>
      </c>
      <c r="AD17" s="34">
        <f>IF($B17="ABSOLUTE SEMANTIC",ABS('06_ITEM_POLE_MODEL'!AM17),ABS('06_ITEM_POLE_MODEL'!AM17)*ABS(SUMPRODUCT(--('93_TARGET_MEMBERSHIP'!N$5:N$27=1),'05_FEATURE_MODEL'!AE$5:AE$27)/MAX(1,COUNTIF('93_TARGET_MEMBERSHIP'!N$5:N$27,1))-SUMPRODUCT(--('93_TARGET_MEMBERSHIP'!N$5:N$27=-1),'05_FEATURE_MODEL'!AE$5:AE$27)/MAX(1,COUNTIF('93_TARGET_MEMBERSHIP'!N$5:N$27,-1))))</f>
        <v/>
      </c>
      <c r="AE17" s="34">
        <f>IF($B17="ABSOLUTE SEMANTIC",ABS('06_ITEM_POLE_MODEL'!AN17),ABS('06_ITEM_POLE_MODEL'!AN17)*ABS(SUMPRODUCT(--('93_TARGET_MEMBERSHIP'!N$5:N$27=1),'05_FEATURE_MODEL'!AF$5:AF$27)/MAX(1,COUNTIF('93_TARGET_MEMBERSHIP'!N$5:N$27,1))-SUMPRODUCT(--('93_TARGET_MEMBERSHIP'!N$5:N$27=-1),'05_FEATURE_MODEL'!AF$5:AF$27)/MAX(1,COUNTIF('93_TARGET_MEMBERSHIP'!N$5:N$27,-1))))</f>
        <v/>
      </c>
      <c r="AF17" s="34">
        <f>IF($B17="ABSOLUTE SEMANTIC",ABS('06_ITEM_POLE_MODEL'!AO17),ABS('06_ITEM_POLE_MODEL'!AO17)*ABS(SUMPRODUCT(--('93_TARGET_MEMBERSHIP'!N$5:N$27=1),'05_FEATURE_MODEL'!AG$5:AG$27)/MAX(1,COUNTIF('93_TARGET_MEMBERSHIP'!N$5:N$27,1))-SUMPRODUCT(--('93_TARGET_MEMBERSHIP'!N$5:N$27=-1),'05_FEATURE_MODEL'!AG$5:AG$27)/MAX(1,COUNTIF('93_TARGET_MEMBERSHIP'!N$5:N$27,-1))))</f>
        <v/>
      </c>
      <c r="AG17" s="34">
        <f>IF($B17="ABSOLUTE SEMANTIC",ABS('06_ITEM_POLE_MODEL'!AP17),ABS('06_ITEM_POLE_MODEL'!AP17)*ABS(SUMPRODUCT(--('93_TARGET_MEMBERSHIP'!N$5:N$27=1),'05_FEATURE_MODEL'!AH$5:AH$27)/MAX(1,COUNTIF('93_TARGET_MEMBERSHIP'!N$5:N$27,1))-SUMPRODUCT(--('93_TARGET_MEMBERSHIP'!N$5:N$27=-1),'05_FEATURE_MODEL'!AH$5:AH$27)/MAX(1,COUNTIF('93_TARGET_MEMBERSHIP'!N$5:N$27,-1))))</f>
        <v/>
      </c>
      <c r="AH17" s="34">
        <f>IF($B17="ABSOLUTE SEMANTIC",ABS('06_ITEM_POLE_MODEL'!AQ17),ABS('06_ITEM_POLE_MODEL'!AQ17)*ABS(SUMPRODUCT(--('93_TARGET_MEMBERSHIP'!N$5:N$27=1),'05_FEATURE_MODEL'!AI$5:AI$27)/MAX(1,COUNTIF('93_TARGET_MEMBERSHIP'!N$5:N$27,1))-SUMPRODUCT(--('93_TARGET_MEMBERSHIP'!N$5:N$27=-1),'05_FEATURE_MODEL'!AI$5:AI$27)/MAX(1,COUNTIF('93_TARGET_MEMBERSHIP'!N$5:N$27,-1))))</f>
        <v/>
      </c>
      <c r="AI17" s="34">
        <f>IF($B17="ABSOLUTE SEMANTIC",ABS('06_ITEM_POLE_MODEL'!AR17),ABS('06_ITEM_POLE_MODEL'!AR17)*ABS(SUMPRODUCT(--('93_TARGET_MEMBERSHIP'!N$5:N$27=1),'05_FEATURE_MODEL'!AJ$5:AJ$27)/MAX(1,COUNTIF('93_TARGET_MEMBERSHIP'!N$5:N$27,1))-SUMPRODUCT(--('93_TARGET_MEMBERSHIP'!N$5:N$27=-1),'05_FEATURE_MODEL'!AJ$5:AJ$27)/MAX(1,COUNTIF('93_TARGET_MEMBERSHIP'!N$5:N$27,-1))))</f>
        <v/>
      </c>
      <c r="AJ17" s="34">
        <f>IF($B17="ABSOLUTE SEMANTIC",ABS('06_ITEM_POLE_MODEL'!AS17),ABS('06_ITEM_POLE_MODEL'!AS17)*ABS(SUMPRODUCT(--('93_TARGET_MEMBERSHIP'!N$5:N$27=1),'05_FEATURE_MODEL'!AK$5:AK$27)/MAX(1,COUNTIF('93_TARGET_MEMBERSHIP'!N$5:N$27,1))-SUMPRODUCT(--('93_TARGET_MEMBERSHIP'!N$5:N$27=-1),'05_FEATURE_MODEL'!AK$5:AK$27)/MAX(1,COUNTIF('93_TARGET_MEMBERSHIP'!N$5:N$27,-1))))</f>
        <v/>
      </c>
      <c r="AK17" s="34">
        <f>IF($B17="ABSOLUTE SEMANTIC",ABS('06_ITEM_POLE_MODEL'!AT17),ABS('06_ITEM_POLE_MODEL'!AT17)*ABS(SUMPRODUCT(--('93_TARGET_MEMBERSHIP'!N$5:N$27=1),'05_FEATURE_MODEL'!AL$5:AL$27)/MAX(1,COUNTIF('93_TARGET_MEMBERSHIP'!N$5:N$27,1))-SUMPRODUCT(--('93_TARGET_MEMBERSHIP'!N$5:N$27=-1),'05_FEATURE_MODEL'!AL$5:AL$27)/MAX(1,COUNTIF('93_TARGET_MEMBERSHIP'!N$5:N$27,-1))))</f>
        <v/>
      </c>
      <c r="AL17" s="34">
        <f>IF($B17="ABSOLUTE SEMANTIC",ABS('06_ITEM_POLE_MODEL'!AU17),ABS('06_ITEM_POLE_MODEL'!AU17)*ABS(SUMPRODUCT(--('93_TARGET_MEMBERSHIP'!N$5:N$27=1),'05_FEATURE_MODEL'!AM$5:AM$27)/MAX(1,COUNTIF('93_TARGET_MEMBERSHIP'!N$5:N$27,1))-SUMPRODUCT(--('93_TARGET_MEMBERSHIP'!N$5:N$27=-1),'05_FEATURE_MODEL'!AM$5:AM$27)/MAX(1,COUNTIF('93_TARGET_MEMBERSHIP'!N$5:N$27,-1))))</f>
        <v/>
      </c>
      <c r="AM17" s="34">
        <f>IF($B17="ABSOLUTE SEMANTIC",ABS('06_ITEM_POLE_MODEL'!AV17),ABS('06_ITEM_POLE_MODEL'!AV17)*ABS(SUMPRODUCT(--('93_TARGET_MEMBERSHIP'!N$5:N$27=1),'05_FEATURE_MODEL'!AN$5:AN$27)/MAX(1,COUNTIF('93_TARGET_MEMBERSHIP'!N$5:N$27,1))-SUMPRODUCT(--('93_TARGET_MEMBERSHIP'!N$5:N$27=-1),'05_FEATURE_MODEL'!AN$5:AN$27)/MAX(1,COUNTIF('93_TARGET_MEMBERSHIP'!N$5:N$27,-1))))</f>
        <v/>
      </c>
      <c r="AN17" s="34">
        <f>IF($B17="ABSOLUTE SEMANTIC",ABS('06_ITEM_POLE_MODEL'!AW17),ABS('06_ITEM_POLE_MODEL'!AW17)*ABS(SUMPRODUCT(--('93_TARGET_MEMBERSHIP'!N$5:N$27=1),'05_FEATURE_MODEL'!AO$5:AO$27)/MAX(1,COUNTIF('93_TARGET_MEMBERSHIP'!N$5:N$27,1))-SUMPRODUCT(--('93_TARGET_MEMBERSHIP'!N$5:N$27=-1),'05_FEATURE_MODEL'!AO$5:AO$27)/MAX(1,COUNTIF('93_TARGET_MEMBERSHIP'!N$5:N$27,-1))))</f>
        <v/>
      </c>
      <c r="AO17" s="34">
        <f>IF($B17="ABSOLUTE SEMANTIC",ABS('06_ITEM_POLE_MODEL'!AX17),ABS('06_ITEM_POLE_MODEL'!AX17)*ABS(SUMPRODUCT(--('93_TARGET_MEMBERSHIP'!N$5:N$27=1),'05_FEATURE_MODEL'!AP$5:AP$27)/MAX(1,COUNTIF('93_TARGET_MEMBERSHIP'!N$5:N$27,1))-SUMPRODUCT(--('93_TARGET_MEMBERSHIP'!N$5:N$27=-1),'05_FEATURE_MODEL'!AP$5:AP$27)/MAX(1,COUNTIF('93_TARGET_MEMBERSHIP'!N$5:N$27,-1))))</f>
        <v/>
      </c>
      <c r="AP17" s="34">
        <f>IF($B17="ABSOLUTE SEMANTIC",ABS('06_ITEM_POLE_MODEL'!AY17),ABS('06_ITEM_POLE_MODEL'!AY17)*ABS(SUMPRODUCT(--('93_TARGET_MEMBERSHIP'!N$5:N$27=1),'05_FEATURE_MODEL'!AQ$5:AQ$27)/MAX(1,COUNTIF('93_TARGET_MEMBERSHIP'!N$5:N$27,1))-SUMPRODUCT(--('93_TARGET_MEMBERSHIP'!N$5:N$27=-1),'05_FEATURE_MODEL'!AQ$5:AQ$27)/MAX(1,COUNTIF('93_TARGET_MEMBERSHIP'!N$5:N$27,-1))))</f>
        <v/>
      </c>
      <c r="AQ17" s="34">
        <f>IF($B17="ABSOLUTE SEMANTIC",ABS('06_ITEM_POLE_MODEL'!AZ17),ABS('06_ITEM_POLE_MODEL'!AZ17)*ABS(SUMPRODUCT(--('93_TARGET_MEMBERSHIP'!N$5:N$27=1),'05_FEATURE_MODEL'!AR$5:AR$27)/MAX(1,COUNTIF('93_TARGET_MEMBERSHIP'!N$5:N$27,1))-SUMPRODUCT(--('93_TARGET_MEMBERSHIP'!N$5:N$27=-1),'05_FEATURE_MODEL'!AR$5:AR$27)/MAX(1,COUNTIF('93_TARGET_MEMBERSHIP'!N$5:N$27,-1))))</f>
        <v/>
      </c>
    </row>
    <row r="18" ht="36" customHeight="1">
      <c r="A18" s="34">
        <f>'06_ITEM_POLE_MODEL'!A18</f>
        <v/>
      </c>
      <c r="B18" s="34">
        <f>'06_ITEM_POLE_MODEL'!E18</f>
        <v/>
      </c>
      <c r="C18" s="34">
        <f>IF($B18="ABSOLUTE SEMANTIC",ABS('06_ITEM_POLE_MODEL'!L18),ABS('06_ITEM_POLE_MODEL'!L18)*ABS(SUMPRODUCT(--('93_TARGET_MEMBERSHIP'!O$5:O$27=1),'05_FEATURE_MODEL'!D$5:D$27)/MAX(1,COUNTIF('93_TARGET_MEMBERSHIP'!O$5:O$27,1))-SUMPRODUCT(--('93_TARGET_MEMBERSHIP'!O$5:O$27=-1),'05_FEATURE_MODEL'!D$5:D$27)/MAX(1,COUNTIF('93_TARGET_MEMBERSHIP'!O$5:O$27,-1))))</f>
        <v/>
      </c>
      <c r="D18" s="34">
        <f>IF($B18="ABSOLUTE SEMANTIC",ABS('06_ITEM_POLE_MODEL'!M18),ABS('06_ITEM_POLE_MODEL'!M18)*ABS(SUMPRODUCT(--('93_TARGET_MEMBERSHIP'!O$5:O$27=1),'05_FEATURE_MODEL'!E$5:E$27)/MAX(1,COUNTIF('93_TARGET_MEMBERSHIP'!O$5:O$27,1))-SUMPRODUCT(--('93_TARGET_MEMBERSHIP'!O$5:O$27=-1),'05_FEATURE_MODEL'!E$5:E$27)/MAX(1,COUNTIF('93_TARGET_MEMBERSHIP'!O$5:O$27,-1))))</f>
        <v/>
      </c>
      <c r="E18" s="34">
        <f>IF($B18="ABSOLUTE SEMANTIC",ABS('06_ITEM_POLE_MODEL'!N18),ABS('06_ITEM_POLE_MODEL'!N18)*ABS(SUMPRODUCT(--('93_TARGET_MEMBERSHIP'!O$5:O$27=1),'05_FEATURE_MODEL'!F$5:F$27)/MAX(1,COUNTIF('93_TARGET_MEMBERSHIP'!O$5:O$27,1))-SUMPRODUCT(--('93_TARGET_MEMBERSHIP'!O$5:O$27=-1),'05_FEATURE_MODEL'!F$5:F$27)/MAX(1,COUNTIF('93_TARGET_MEMBERSHIP'!O$5:O$27,-1))))</f>
        <v/>
      </c>
      <c r="F18" s="34">
        <f>IF($B18="ABSOLUTE SEMANTIC",ABS('06_ITEM_POLE_MODEL'!O18),ABS('06_ITEM_POLE_MODEL'!O18)*ABS(SUMPRODUCT(--('93_TARGET_MEMBERSHIP'!O$5:O$27=1),'05_FEATURE_MODEL'!G$5:G$27)/MAX(1,COUNTIF('93_TARGET_MEMBERSHIP'!O$5:O$27,1))-SUMPRODUCT(--('93_TARGET_MEMBERSHIP'!O$5:O$27=-1),'05_FEATURE_MODEL'!G$5:G$27)/MAX(1,COUNTIF('93_TARGET_MEMBERSHIP'!O$5:O$27,-1))))</f>
        <v/>
      </c>
      <c r="G18" s="34">
        <f>IF($B18="ABSOLUTE SEMANTIC",ABS('06_ITEM_POLE_MODEL'!P18),ABS('06_ITEM_POLE_MODEL'!P18)*ABS(SUMPRODUCT(--('93_TARGET_MEMBERSHIP'!O$5:O$27=1),'05_FEATURE_MODEL'!H$5:H$27)/MAX(1,COUNTIF('93_TARGET_MEMBERSHIP'!O$5:O$27,1))-SUMPRODUCT(--('93_TARGET_MEMBERSHIP'!O$5:O$27=-1),'05_FEATURE_MODEL'!H$5:H$27)/MAX(1,COUNTIF('93_TARGET_MEMBERSHIP'!O$5:O$27,-1))))</f>
        <v/>
      </c>
      <c r="H18" s="34">
        <f>IF($B18="ABSOLUTE SEMANTIC",ABS('06_ITEM_POLE_MODEL'!Q18),ABS('06_ITEM_POLE_MODEL'!Q18)*ABS(SUMPRODUCT(--('93_TARGET_MEMBERSHIP'!O$5:O$27=1),'05_FEATURE_MODEL'!I$5:I$27)/MAX(1,COUNTIF('93_TARGET_MEMBERSHIP'!O$5:O$27,1))-SUMPRODUCT(--('93_TARGET_MEMBERSHIP'!O$5:O$27=-1),'05_FEATURE_MODEL'!I$5:I$27)/MAX(1,COUNTIF('93_TARGET_MEMBERSHIP'!O$5:O$27,-1))))</f>
        <v/>
      </c>
      <c r="I18" s="34">
        <f>IF($B18="ABSOLUTE SEMANTIC",ABS('06_ITEM_POLE_MODEL'!R18),ABS('06_ITEM_POLE_MODEL'!R18)*ABS(SUMPRODUCT(--('93_TARGET_MEMBERSHIP'!O$5:O$27=1),'05_FEATURE_MODEL'!J$5:J$27)/MAX(1,COUNTIF('93_TARGET_MEMBERSHIP'!O$5:O$27,1))-SUMPRODUCT(--('93_TARGET_MEMBERSHIP'!O$5:O$27=-1),'05_FEATURE_MODEL'!J$5:J$27)/MAX(1,COUNTIF('93_TARGET_MEMBERSHIP'!O$5:O$27,-1))))</f>
        <v/>
      </c>
      <c r="J18" s="34">
        <f>IF($B18="ABSOLUTE SEMANTIC",ABS('06_ITEM_POLE_MODEL'!S18),ABS('06_ITEM_POLE_MODEL'!S18)*ABS(SUMPRODUCT(--('93_TARGET_MEMBERSHIP'!O$5:O$27=1),'05_FEATURE_MODEL'!K$5:K$27)/MAX(1,COUNTIF('93_TARGET_MEMBERSHIP'!O$5:O$27,1))-SUMPRODUCT(--('93_TARGET_MEMBERSHIP'!O$5:O$27=-1),'05_FEATURE_MODEL'!K$5:K$27)/MAX(1,COUNTIF('93_TARGET_MEMBERSHIP'!O$5:O$27,-1))))</f>
        <v/>
      </c>
      <c r="K18" s="34">
        <f>IF($B18="ABSOLUTE SEMANTIC",ABS('06_ITEM_POLE_MODEL'!T18),ABS('06_ITEM_POLE_MODEL'!T18)*ABS(SUMPRODUCT(--('93_TARGET_MEMBERSHIP'!O$5:O$27=1),'05_FEATURE_MODEL'!L$5:L$27)/MAX(1,COUNTIF('93_TARGET_MEMBERSHIP'!O$5:O$27,1))-SUMPRODUCT(--('93_TARGET_MEMBERSHIP'!O$5:O$27=-1),'05_FEATURE_MODEL'!L$5:L$27)/MAX(1,COUNTIF('93_TARGET_MEMBERSHIP'!O$5:O$27,-1))))</f>
        <v/>
      </c>
      <c r="L18" s="34">
        <f>IF($B18="ABSOLUTE SEMANTIC",ABS('06_ITEM_POLE_MODEL'!U18),ABS('06_ITEM_POLE_MODEL'!U18)*ABS(SUMPRODUCT(--('93_TARGET_MEMBERSHIP'!O$5:O$27=1),'05_FEATURE_MODEL'!M$5:M$27)/MAX(1,COUNTIF('93_TARGET_MEMBERSHIP'!O$5:O$27,1))-SUMPRODUCT(--('93_TARGET_MEMBERSHIP'!O$5:O$27=-1),'05_FEATURE_MODEL'!M$5:M$27)/MAX(1,COUNTIF('93_TARGET_MEMBERSHIP'!O$5:O$27,-1))))</f>
        <v/>
      </c>
      <c r="M18" s="34">
        <f>IF($B18="ABSOLUTE SEMANTIC",ABS('06_ITEM_POLE_MODEL'!V18),ABS('06_ITEM_POLE_MODEL'!V18)*ABS(SUMPRODUCT(--('93_TARGET_MEMBERSHIP'!O$5:O$27=1),'05_FEATURE_MODEL'!N$5:N$27)/MAX(1,COUNTIF('93_TARGET_MEMBERSHIP'!O$5:O$27,1))-SUMPRODUCT(--('93_TARGET_MEMBERSHIP'!O$5:O$27=-1),'05_FEATURE_MODEL'!N$5:N$27)/MAX(1,COUNTIF('93_TARGET_MEMBERSHIP'!O$5:O$27,-1))))</f>
        <v/>
      </c>
      <c r="N18" s="34">
        <f>IF($B18="ABSOLUTE SEMANTIC",ABS('06_ITEM_POLE_MODEL'!W18),ABS('06_ITEM_POLE_MODEL'!W18)*ABS(SUMPRODUCT(--('93_TARGET_MEMBERSHIP'!O$5:O$27=1),'05_FEATURE_MODEL'!O$5:O$27)/MAX(1,COUNTIF('93_TARGET_MEMBERSHIP'!O$5:O$27,1))-SUMPRODUCT(--('93_TARGET_MEMBERSHIP'!O$5:O$27=-1),'05_FEATURE_MODEL'!O$5:O$27)/MAX(1,COUNTIF('93_TARGET_MEMBERSHIP'!O$5:O$27,-1))))</f>
        <v/>
      </c>
      <c r="O18" s="34">
        <f>IF($B18="ABSOLUTE SEMANTIC",ABS('06_ITEM_POLE_MODEL'!X18),ABS('06_ITEM_POLE_MODEL'!X18)*ABS(SUMPRODUCT(--('93_TARGET_MEMBERSHIP'!O$5:O$27=1),'05_FEATURE_MODEL'!P$5:P$27)/MAX(1,COUNTIF('93_TARGET_MEMBERSHIP'!O$5:O$27,1))-SUMPRODUCT(--('93_TARGET_MEMBERSHIP'!O$5:O$27=-1),'05_FEATURE_MODEL'!P$5:P$27)/MAX(1,COUNTIF('93_TARGET_MEMBERSHIP'!O$5:O$27,-1))))</f>
        <v/>
      </c>
      <c r="P18" s="34">
        <f>IF($B18="ABSOLUTE SEMANTIC",ABS('06_ITEM_POLE_MODEL'!Y18),ABS('06_ITEM_POLE_MODEL'!Y18)*ABS(SUMPRODUCT(--('93_TARGET_MEMBERSHIP'!O$5:O$27=1),'05_FEATURE_MODEL'!Q$5:Q$27)/MAX(1,COUNTIF('93_TARGET_MEMBERSHIP'!O$5:O$27,1))-SUMPRODUCT(--('93_TARGET_MEMBERSHIP'!O$5:O$27=-1),'05_FEATURE_MODEL'!Q$5:Q$27)/MAX(1,COUNTIF('93_TARGET_MEMBERSHIP'!O$5:O$27,-1))))</f>
        <v/>
      </c>
      <c r="Q18" s="34">
        <f>IF($B18="ABSOLUTE SEMANTIC",ABS('06_ITEM_POLE_MODEL'!Z18),ABS('06_ITEM_POLE_MODEL'!Z18)*ABS(SUMPRODUCT(--('93_TARGET_MEMBERSHIP'!O$5:O$27=1),'05_FEATURE_MODEL'!R$5:R$27)/MAX(1,COUNTIF('93_TARGET_MEMBERSHIP'!O$5:O$27,1))-SUMPRODUCT(--('93_TARGET_MEMBERSHIP'!O$5:O$27=-1),'05_FEATURE_MODEL'!R$5:R$27)/MAX(1,COUNTIF('93_TARGET_MEMBERSHIP'!O$5:O$27,-1))))</f>
        <v/>
      </c>
      <c r="R18" s="34">
        <f>IF($B18="ABSOLUTE SEMANTIC",ABS('06_ITEM_POLE_MODEL'!AA18),ABS('06_ITEM_POLE_MODEL'!AA18)*ABS(SUMPRODUCT(--('93_TARGET_MEMBERSHIP'!O$5:O$27=1),'05_FEATURE_MODEL'!S$5:S$27)/MAX(1,COUNTIF('93_TARGET_MEMBERSHIP'!O$5:O$27,1))-SUMPRODUCT(--('93_TARGET_MEMBERSHIP'!O$5:O$27=-1),'05_FEATURE_MODEL'!S$5:S$27)/MAX(1,COUNTIF('93_TARGET_MEMBERSHIP'!O$5:O$27,-1))))</f>
        <v/>
      </c>
      <c r="S18" s="34">
        <f>IF($B18="ABSOLUTE SEMANTIC",ABS('06_ITEM_POLE_MODEL'!AB18),ABS('06_ITEM_POLE_MODEL'!AB18)*ABS(SUMPRODUCT(--('93_TARGET_MEMBERSHIP'!O$5:O$27=1),'05_FEATURE_MODEL'!T$5:T$27)/MAX(1,COUNTIF('93_TARGET_MEMBERSHIP'!O$5:O$27,1))-SUMPRODUCT(--('93_TARGET_MEMBERSHIP'!O$5:O$27=-1),'05_FEATURE_MODEL'!T$5:T$27)/MAX(1,COUNTIF('93_TARGET_MEMBERSHIP'!O$5:O$27,-1))))</f>
        <v/>
      </c>
      <c r="T18" s="34">
        <f>IF($B18="ABSOLUTE SEMANTIC",ABS('06_ITEM_POLE_MODEL'!AC18),ABS('06_ITEM_POLE_MODEL'!AC18)*ABS(SUMPRODUCT(--('93_TARGET_MEMBERSHIP'!O$5:O$27=1),'05_FEATURE_MODEL'!U$5:U$27)/MAX(1,COUNTIF('93_TARGET_MEMBERSHIP'!O$5:O$27,1))-SUMPRODUCT(--('93_TARGET_MEMBERSHIP'!O$5:O$27=-1),'05_FEATURE_MODEL'!U$5:U$27)/MAX(1,COUNTIF('93_TARGET_MEMBERSHIP'!O$5:O$27,-1))))</f>
        <v/>
      </c>
      <c r="U18" s="34">
        <f>IF($B18="ABSOLUTE SEMANTIC",ABS('06_ITEM_POLE_MODEL'!AD18),ABS('06_ITEM_POLE_MODEL'!AD18)*ABS(SUMPRODUCT(--('93_TARGET_MEMBERSHIP'!O$5:O$27=1),'05_FEATURE_MODEL'!V$5:V$27)/MAX(1,COUNTIF('93_TARGET_MEMBERSHIP'!O$5:O$27,1))-SUMPRODUCT(--('93_TARGET_MEMBERSHIP'!O$5:O$27=-1),'05_FEATURE_MODEL'!V$5:V$27)/MAX(1,COUNTIF('93_TARGET_MEMBERSHIP'!O$5:O$27,-1))))</f>
        <v/>
      </c>
      <c r="V18" s="34">
        <f>IF($B18="ABSOLUTE SEMANTIC",ABS('06_ITEM_POLE_MODEL'!AE18),ABS('06_ITEM_POLE_MODEL'!AE18)*ABS(SUMPRODUCT(--('93_TARGET_MEMBERSHIP'!O$5:O$27=1),'05_FEATURE_MODEL'!W$5:W$27)/MAX(1,COUNTIF('93_TARGET_MEMBERSHIP'!O$5:O$27,1))-SUMPRODUCT(--('93_TARGET_MEMBERSHIP'!O$5:O$27=-1),'05_FEATURE_MODEL'!W$5:W$27)/MAX(1,COUNTIF('93_TARGET_MEMBERSHIP'!O$5:O$27,-1))))</f>
        <v/>
      </c>
      <c r="W18" s="34">
        <f>IF($B18="ABSOLUTE SEMANTIC",ABS('06_ITEM_POLE_MODEL'!AF18),ABS('06_ITEM_POLE_MODEL'!AF18)*ABS(SUMPRODUCT(--('93_TARGET_MEMBERSHIP'!O$5:O$27=1),'05_FEATURE_MODEL'!X$5:X$27)/MAX(1,COUNTIF('93_TARGET_MEMBERSHIP'!O$5:O$27,1))-SUMPRODUCT(--('93_TARGET_MEMBERSHIP'!O$5:O$27=-1),'05_FEATURE_MODEL'!X$5:X$27)/MAX(1,COUNTIF('93_TARGET_MEMBERSHIP'!O$5:O$27,-1))))</f>
        <v/>
      </c>
      <c r="X18" s="34">
        <f>IF($B18="ABSOLUTE SEMANTIC",ABS('06_ITEM_POLE_MODEL'!AG18),ABS('06_ITEM_POLE_MODEL'!AG18)*ABS(SUMPRODUCT(--('93_TARGET_MEMBERSHIP'!O$5:O$27=1),'05_FEATURE_MODEL'!Y$5:Y$27)/MAX(1,COUNTIF('93_TARGET_MEMBERSHIP'!O$5:O$27,1))-SUMPRODUCT(--('93_TARGET_MEMBERSHIP'!O$5:O$27=-1),'05_FEATURE_MODEL'!Y$5:Y$27)/MAX(1,COUNTIF('93_TARGET_MEMBERSHIP'!O$5:O$27,-1))))</f>
        <v/>
      </c>
      <c r="Y18" s="34">
        <f>IF($B18="ABSOLUTE SEMANTIC",ABS('06_ITEM_POLE_MODEL'!AH18),ABS('06_ITEM_POLE_MODEL'!AH18)*ABS(SUMPRODUCT(--('93_TARGET_MEMBERSHIP'!O$5:O$27=1),'05_FEATURE_MODEL'!Z$5:Z$27)/MAX(1,COUNTIF('93_TARGET_MEMBERSHIP'!O$5:O$27,1))-SUMPRODUCT(--('93_TARGET_MEMBERSHIP'!O$5:O$27=-1),'05_FEATURE_MODEL'!Z$5:Z$27)/MAX(1,COUNTIF('93_TARGET_MEMBERSHIP'!O$5:O$27,-1))))</f>
        <v/>
      </c>
      <c r="Z18" s="34">
        <f>IF($B18="ABSOLUTE SEMANTIC",ABS('06_ITEM_POLE_MODEL'!AI18),ABS('06_ITEM_POLE_MODEL'!AI18)*ABS(SUMPRODUCT(--('93_TARGET_MEMBERSHIP'!O$5:O$27=1),'05_FEATURE_MODEL'!AA$5:AA$27)/MAX(1,COUNTIF('93_TARGET_MEMBERSHIP'!O$5:O$27,1))-SUMPRODUCT(--('93_TARGET_MEMBERSHIP'!O$5:O$27=-1),'05_FEATURE_MODEL'!AA$5:AA$27)/MAX(1,COUNTIF('93_TARGET_MEMBERSHIP'!O$5:O$27,-1))))</f>
        <v/>
      </c>
      <c r="AA18" s="34">
        <f>IF($B18="ABSOLUTE SEMANTIC",ABS('06_ITEM_POLE_MODEL'!AJ18),ABS('06_ITEM_POLE_MODEL'!AJ18)*ABS(SUMPRODUCT(--('93_TARGET_MEMBERSHIP'!O$5:O$27=1),'05_FEATURE_MODEL'!AB$5:AB$27)/MAX(1,COUNTIF('93_TARGET_MEMBERSHIP'!O$5:O$27,1))-SUMPRODUCT(--('93_TARGET_MEMBERSHIP'!O$5:O$27=-1),'05_FEATURE_MODEL'!AB$5:AB$27)/MAX(1,COUNTIF('93_TARGET_MEMBERSHIP'!O$5:O$27,-1))))</f>
        <v/>
      </c>
      <c r="AB18" s="34">
        <f>IF($B18="ABSOLUTE SEMANTIC",ABS('06_ITEM_POLE_MODEL'!AK18),ABS('06_ITEM_POLE_MODEL'!AK18)*ABS(SUMPRODUCT(--('93_TARGET_MEMBERSHIP'!O$5:O$27=1),'05_FEATURE_MODEL'!AC$5:AC$27)/MAX(1,COUNTIF('93_TARGET_MEMBERSHIP'!O$5:O$27,1))-SUMPRODUCT(--('93_TARGET_MEMBERSHIP'!O$5:O$27=-1),'05_FEATURE_MODEL'!AC$5:AC$27)/MAX(1,COUNTIF('93_TARGET_MEMBERSHIP'!O$5:O$27,-1))))</f>
        <v/>
      </c>
      <c r="AC18" s="34">
        <f>IF($B18="ABSOLUTE SEMANTIC",ABS('06_ITEM_POLE_MODEL'!AL18),ABS('06_ITEM_POLE_MODEL'!AL18)*ABS(SUMPRODUCT(--('93_TARGET_MEMBERSHIP'!O$5:O$27=1),'05_FEATURE_MODEL'!AD$5:AD$27)/MAX(1,COUNTIF('93_TARGET_MEMBERSHIP'!O$5:O$27,1))-SUMPRODUCT(--('93_TARGET_MEMBERSHIP'!O$5:O$27=-1),'05_FEATURE_MODEL'!AD$5:AD$27)/MAX(1,COUNTIF('93_TARGET_MEMBERSHIP'!O$5:O$27,-1))))</f>
        <v/>
      </c>
      <c r="AD18" s="34">
        <f>IF($B18="ABSOLUTE SEMANTIC",ABS('06_ITEM_POLE_MODEL'!AM18),ABS('06_ITEM_POLE_MODEL'!AM18)*ABS(SUMPRODUCT(--('93_TARGET_MEMBERSHIP'!O$5:O$27=1),'05_FEATURE_MODEL'!AE$5:AE$27)/MAX(1,COUNTIF('93_TARGET_MEMBERSHIP'!O$5:O$27,1))-SUMPRODUCT(--('93_TARGET_MEMBERSHIP'!O$5:O$27=-1),'05_FEATURE_MODEL'!AE$5:AE$27)/MAX(1,COUNTIF('93_TARGET_MEMBERSHIP'!O$5:O$27,-1))))</f>
        <v/>
      </c>
      <c r="AE18" s="34">
        <f>IF($B18="ABSOLUTE SEMANTIC",ABS('06_ITEM_POLE_MODEL'!AN18),ABS('06_ITEM_POLE_MODEL'!AN18)*ABS(SUMPRODUCT(--('93_TARGET_MEMBERSHIP'!O$5:O$27=1),'05_FEATURE_MODEL'!AF$5:AF$27)/MAX(1,COUNTIF('93_TARGET_MEMBERSHIP'!O$5:O$27,1))-SUMPRODUCT(--('93_TARGET_MEMBERSHIP'!O$5:O$27=-1),'05_FEATURE_MODEL'!AF$5:AF$27)/MAX(1,COUNTIF('93_TARGET_MEMBERSHIP'!O$5:O$27,-1))))</f>
        <v/>
      </c>
      <c r="AF18" s="34">
        <f>IF($B18="ABSOLUTE SEMANTIC",ABS('06_ITEM_POLE_MODEL'!AO18),ABS('06_ITEM_POLE_MODEL'!AO18)*ABS(SUMPRODUCT(--('93_TARGET_MEMBERSHIP'!O$5:O$27=1),'05_FEATURE_MODEL'!AG$5:AG$27)/MAX(1,COUNTIF('93_TARGET_MEMBERSHIP'!O$5:O$27,1))-SUMPRODUCT(--('93_TARGET_MEMBERSHIP'!O$5:O$27=-1),'05_FEATURE_MODEL'!AG$5:AG$27)/MAX(1,COUNTIF('93_TARGET_MEMBERSHIP'!O$5:O$27,-1))))</f>
        <v/>
      </c>
      <c r="AG18" s="34">
        <f>IF($B18="ABSOLUTE SEMANTIC",ABS('06_ITEM_POLE_MODEL'!AP18),ABS('06_ITEM_POLE_MODEL'!AP18)*ABS(SUMPRODUCT(--('93_TARGET_MEMBERSHIP'!O$5:O$27=1),'05_FEATURE_MODEL'!AH$5:AH$27)/MAX(1,COUNTIF('93_TARGET_MEMBERSHIP'!O$5:O$27,1))-SUMPRODUCT(--('93_TARGET_MEMBERSHIP'!O$5:O$27=-1),'05_FEATURE_MODEL'!AH$5:AH$27)/MAX(1,COUNTIF('93_TARGET_MEMBERSHIP'!O$5:O$27,-1))))</f>
        <v/>
      </c>
      <c r="AH18" s="34">
        <f>IF($B18="ABSOLUTE SEMANTIC",ABS('06_ITEM_POLE_MODEL'!AQ18),ABS('06_ITEM_POLE_MODEL'!AQ18)*ABS(SUMPRODUCT(--('93_TARGET_MEMBERSHIP'!O$5:O$27=1),'05_FEATURE_MODEL'!AI$5:AI$27)/MAX(1,COUNTIF('93_TARGET_MEMBERSHIP'!O$5:O$27,1))-SUMPRODUCT(--('93_TARGET_MEMBERSHIP'!O$5:O$27=-1),'05_FEATURE_MODEL'!AI$5:AI$27)/MAX(1,COUNTIF('93_TARGET_MEMBERSHIP'!O$5:O$27,-1))))</f>
        <v/>
      </c>
      <c r="AI18" s="34">
        <f>IF($B18="ABSOLUTE SEMANTIC",ABS('06_ITEM_POLE_MODEL'!AR18),ABS('06_ITEM_POLE_MODEL'!AR18)*ABS(SUMPRODUCT(--('93_TARGET_MEMBERSHIP'!O$5:O$27=1),'05_FEATURE_MODEL'!AJ$5:AJ$27)/MAX(1,COUNTIF('93_TARGET_MEMBERSHIP'!O$5:O$27,1))-SUMPRODUCT(--('93_TARGET_MEMBERSHIP'!O$5:O$27=-1),'05_FEATURE_MODEL'!AJ$5:AJ$27)/MAX(1,COUNTIF('93_TARGET_MEMBERSHIP'!O$5:O$27,-1))))</f>
        <v/>
      </c>
      <c r="AJ18" s="34">
        <f>IF($B18="ABSOLUTE SEMANTIC",ABS('06_ITEM_POLE_MODEL'!AS18),ABS('06_ITEM_POLE_MODEL'!AS18)*ABS(SUMPRODUCT(--('93_TARGET_MEMBERSHIP'!O$5:O$27=1),'05_FEATURE_MODEL'!AK$5:AK$27)/MAX(1,COUNTIF('93_TARGET_MEMBERSHIP'!O$5:O$27,1))-SUMPRODUCT(--('93_TARGET_MEMBERSHIP'!O$5:O$27=-1),'05_FEATURE_MODEL'!AK$5:AK$27)/MAX(1,COUNTIF('93_TARGET_MEMBERSHIP'!O$5:O$27,-1))))</f>
        <v/>
      </c>
      <c r="AK18" s="34">
        <f>IF($B18="ABSOLUTE SEMANTIC",ABS('06_ITEM_POLE_MODEL'!AT18),ABS('06_ITEM_POLE_MODEL'!AT18)*ABS(SUMPRODUCT(--('93_TARGET_MEMBERSHIP'!O$5:O$27=1),'05_FEATURE_MODEL'!AL$5:AL$27)/MAX(1,COUNTIF('93_TARGET_MEMBERSHIP'!O$5:O$27,1))-SUMPRODUCT(--('93_TARGET_MEMBERSHIP'!O$5:O$27=-1),'05_FEATURE_MODEL'!AL$5:AL$27)/MAX(1,COUNTIF('93_TARGET_MEMBERSHIP'!O$5:O$27,-1))))</f>
        <v/>
      </c>
      <c r="AL18" s="34">
        <f>IF($B18="ABSOLUTE SEMANTIC",ABS('06_ITEM_POLE_MODEL'!AU18),ABS('06_ITEM_POLE_MODEL'!AU18)*ABS(SUMPRODUCT(--('93_TARGET_MEMBERSHIP'!O$5:O$27=1),'05_FEATURE_MODEL'!AM$5:AM$27)/MAX(1,COUNTIF('93_TARGET_MEMBERSHIP'!O$5:O$27,1))-SUMPRODUCT(--('93_TARGET_MEMBERSHIP'!O$5:O$27=-1),'05_FEATURE_MODEL'!AM$5:AM$27)/MAX(1,COUNTIF('93_TARGET_MEMBERSHIP'!O$5:O$27,-1))))</f>
        <v/>
      </c>
      <c r="AM18" s="34">
        <f>IF($B18="ABSOLUTE SEMANTIC",ABS('06_ITEM_POLE_MODEL'!AV18),ABS('06_ITEM_POLE_MODEL'!AV18)*ABS(SUMPRODUCT(--('93_TARGET_MEMBERSHIP'!O$5:O$27=1),'05_FEATURE_MODEL'!AN$5:AN$27)/MAX(1,COUNTIF('93_TARGET_MEMBERSHIP'!O$5:O$27,1))-SUMPRODUCT(--('93_TARGET_MEMBERSHIP'!O$5:O$27=-1),'05_FEATURE_MODEL'!AN$5:AN$27)/MAX(1,COUNTIF('93_TARGET_MEMBERSHIP'!O$5:O$27,-1))))</f>
        <v/>
      </c>
      <c r="AN18" s="34">
        <f>IF($B18="ABSOLUTE SEMANTIC",ABS('06_ITEM_POLE_MODEL'!AW18),ABS('06_ITEM_POLE_MODEL'!AW18)*ABS(SUMPRODUCT(--('93_TARGET_MEMBERSHIP'!O$5:O$27=1),'05_FEATURE_MODEL'!AO$5:AO$27)/MAX(1,COUNTIF('93_TARGET_MEMBERSHIP'!O$5:O$27,1))-SUMPRODUCT(--('93_TARGET_MEMBERSHIP'!O$5:O$27=-1),'05_FEATURE_MODEL'!AO$5:AO$27)/MAX(1,COUNTIF('93_TARGET_MEMBERSHIP'!O$5:O$27,-1))))</f>
        <v/>
      </c>
      <c r="AO18" s="34">
        <f>IF($B18="ABSOLUTE SEMANTIC",ABS('06_ITEM_POLE_MODEL'!AX18),ABS('06_ITEM_POLE_MODEL'!AX18)*ABS(SUMPRODUCT(--('93_TARGET_MEMBERSHIP'!O$5:O$27=1),'05_FEATURE_MODEL'!AP$5:AP$27)/MAX(1,COUNTIF('93_TARGET_MEMBERSHIP'!O$5:O$27,1))-SUMPRODUCT(--('93_TARGET_MEMBERSHIP'!O$5:O$27=-1),'05_FEATURE_MODEL'!AP$5:AP$27)/MAX(1,COUNTIF('93_TARGET_MEMBERSHIP'!O$5:O$27,-1))))</f>
        <v/>
      </c>
      <c r="AP18" s="34">
        <f>IF($B18="ABSOLUTE SEMANTIC",ABS('06_ITEM_POLE_MODEL'!AY18),ABS('06_ITEM_POLE_MODEL'!AY18)*ABS(SUMPRODUCT(--('93_TARGET_MEMBERSHIP'!O$5:O$27=1),'05_FEATURE_MODEL'!AQ$5:AQ$27)/MAX(1,COUNTIF('93_TARGET_MEMBERSHIP'!O$5:O$27,1))-SUMPRODUCT(--('93_TARGET_MEMBERSHIP'!O$5:O$27=-1),'05_FEATURE_MODEL'!AQ$5:AQ$27)/MAX(1,COUNTIF('93_TARGET_MEMBERSHIP'!O$5:O$27,-1))))</f>
        <v/>
      </c>
      <c r="AQ18" s="34">
        <f>IF($B18="ABSOLUTE SEMANTIC",ABS('06_ITEM_POLE_MODEL'!AZ18),ABS('06_ITEM_POLE_MODEL'!AZ18)*ABS(SUMPRODUCT(--('93_TARGET_MEMBERSHIP'!O$5:O$27=1),'05_FEATURE_MODEL'!AR$5:AR$27)/MAX(1,COUNTIF('93_TARGET_MEMBERSHIP'!O$5:O$27,1))-SUMPRODUCT(--('93_TARGET_MEMBERSHIP'!O$5:O$27=-1),'05_FEATURE_MODEL'!AR$5:AR$27)/MAX(1,COUNTIF('93_TARGET_MEMBERSHIP'!O$5:O$27,-1))))</f>
        <v/>
      </c>
    </row>
    <row r="19" ht="36" customHeight="1">
      <c r="A19" s="34">
        <f>'06_ITEM_POLE_MODEL'!A19</f>
        <v/>
      </c>
      <c r="B19" s="34">
        <f>'06_ITEM_POLE_MODEL'!E19</f>
        <v/>
      </c>
      <c r="C19" s="34">
        <f>IF($B19="ABSOLUTE SEMANTIC",ABS('06_ITEM_POLE_MODEL'!L19),ABS('06_ITEM_POLE_MODEL'!L19)*ABS(SUMPRODUCT(--('93_TARGET_MEMBERSHIP'!P$5:P$27=1),'05_FEATURE_MODEL'!D$5:D$27)/MAX(1,COUNTIF('93_TARGET_MEMBERSHIP'!P$5:P$27,1))-SUMPRODUCT(--('93_TARGET_MEMBERSHIP'!P$5:P$27=-1),'05_FEATURE_MODEL'!D$5:D$27)/MAX(1,COUNTIF('93_TARGET_MEMBERSHIP'!P$5:P$27,-1))))</f>
        <v/>
      </c>
      <c r="D19" s="34">
        <f>IF($B19="ABSOLUTE SEMANTIC",ABS('06_ITEM_POLE_MODEL'!M19),ABS('06_ITEM_POLE_MODEL'!M19)*ABS(SUMPRODUCT(--('93_TARGET_MEMBERSHIP'!P$5:P$27=1),'05_FEATURE_MODEL'!E$5:E$27)/MAX(1,COUNTIF('93_TARGET_MEMBERSHIP'!P$5:P$27,1))-SUMPRODUCT(--('93_TARGET_MEMBERSHIP'!P$5:P$27=-1),'05_FEATURE_MODEL'!E$5:E$27)/MAX(1,COUNTIF('93_TARGET_MEMBERSHIP'!P$5:P$27,-1))))</f>
        <v/>
      </c>
      <c r="E19" s="34">
        <f>IF($B19="ABSOLUTE SEMANTIC",ABS('06_ITEM_POLE_MODEL'!N19),ABS('06_ITEM_POLE_MODEL'!N19)*ABS(SUMPRODUCT(--('93_TARGET_MEMBERSHIP'!P$5:P$27=1),'05_FEATURE_MODEL'!F$5:F$27)/MAX(1,COUNTIF('93_TARGET_MEMBERSHIP'!P$5:P$27,1))-SUMPRODUCT(--('93_TARGET_MEMBERSHIP'!P$5:P$27=-1),'05_FEATURE_MODEL'!F$5:F$27)/MAX(1,COUNTIF('93_TARGET_MEMBERSHIP'!P$5:P$27,-1))))</f>
        <v/>
      </c>
      <c r="F19" s="34">
        <f>IF($B19="ABSOLUTE SEMANTIC",ABS('06_ITEM_POLE_MODEL'!O19),ABS('06_ITEM_POLE_MODEL'!O19)*ABS(SUMPRODUCT(--('93_TARGET_MEMBERSHIP'!P$5:P$27=1),'05_FEATURE_MODEL'!G$5:G$27)/MAX(1,COUNTIF('93_TARGET_MEMBERSHIP'!P$5:P$27,1))-SUMPRODUCT(--('93_TARGET_MEMBERSHIP'!P$5:P$27=-1),'05_FEATURE_MODEL'!G$5:G$27)/MAX(1,COUNTIF('93_TARGET_MEMBERSHIP'!P$5:P$27,-1))))</f>
        <v/>
      </c>
      <c r="G19" s="34">
        <f>IF($B19="ABSOLUTE SEMANTIC",ABS('06_ITEM_POLE_MODEL'!P19),ABS('06_ITEM_POLE_MODEL'!P19)*ABS(SUMPRODUCT(--('93_TARGET_MEMBERSHIP'!P$5:P$27=1),'05_FEATURE_MODEL'!H$5:H$27)/MAX(1,COUNTIF('93_TARGET_MEMBERSHIP'!P$5:P$27,1))-SUMPRODUCT(--('93_TARGET_MEMBERSHIP'!P$5:P$27=-1),'05_FEATURE_MODEL'!H$5:H$27)/MAX(1,COUNTIF('93_TARGET_MEMBERSHIP'!P$5:P$27,-1))))</f>
        <v/>
      </c>
      <c r="H19" s="34">
        <f>IF($B19="ABSOLUTE SEMANTIC",ABS('06_ITEM_POLE_MODEL'!Q19),ABS('06_ITEM_POLE_MODEL'!Q19)*ABS(SUMPRODUCT(--('93_TARGET_MEMBERSHIP'!P$5:P$27=1),'05_FEATURE_MODEL'!I$5:I$27)/MAX(1,COUNTIF('93_TARGET_MEMBERSHIP'!P$5:P$27,1))-SUMPRODUCT(--('93_TARGET_MEMBERSHIP'!P$5:P$27=-1),'05_FEATURE_MODEL'!I$5:I$27)/MAX(1,COUNTIF('93_TARGET_MEMBERSHIP'!P$5:P$27,-1))))</f>
        <v/>
      </c>
      <c r="I19" s="34">
        <f>IF($B19="ABSOLUTE SEMANTIC",ABS('06_ITEM_POLE_MODEL'!R19),ABS('06_ITEM_POLE_MODEL'!R19)*ABS(SUMPRODUCT(--('93_TARGET_MEMBERSHIP'!P$5:P$27=1),'05_FEATURE_MODEL'!J$5:J$27)/MAX(1,COUNTIF('93_TARGET_MEMBERSHIP'!P$5:P$27,1))-SUMPRODUCT(--('93_TARGET_MEMBERSHIP'!P$5:P$27=-1),'05_FEATURE_MODEL'!J$5:J$27)/MAX(1,COUNTIF('93_TARGET_MEMBERSHIP'!P$5:P$27,-1))))</f>
        <v/>
      </c>
      <c r="J19" s="34">
        <f>IF($B19="ABSOLUTE SEMANTIC",ABS('06_ITEM_POLE_MODEL'!S19),ABS('06_ITEM_POLE_MODEL'!S19)*ABS(SUMPRODUCT(--('93_TARGET_MEMBERSHIP'!P$5:P$27=1),'05_FEATURE_MODEL'!K$5:K$27)/MAX(1,COUNTIF('93_TARGET_MEMBERSHIP'!P$5:P$27,1))-SUMPRODUCT(--('93_TARGET_MEMBERSHIP'!P$5:P$27=-1),'05_FEATURE_MODEL'!K$5:K$27)/MAX(1,COUNTIF('93_TARGET_MEMBERSHIP'!P$5:P$27,-1))))</f>
        <v/>
      </c>
      <c r="K19" s="34">
        <f>IF($B19="ABSOLUTE SEMANTIC",ABS('06_ITEM_POLE_MODEL'!T19),ABS('06_ITEM_POLE_MODEL'!T19)*ABS(SUMPRODUCT(--('93_TARGET_MEMBERSHIP'!P$5:P$27=1),'05_FEATURE_MODEL'!L$5:L$27)/MAX(1,COUNTIF('93_TARGET_MEMBERSHIP'!P$5:P$27,1))-SUMPRODUCT(--('93_TARGET_MEMBERSHIP'!P$5:P$27=-1),'05_FEATURE_MODEL'!L$5:L$27)/MAX(1,COUNTIF('93_TARGET_MEMBERSHIP'!P$5:P$27,-1))))</f>
        <v/>
      </c>
      <c r="L19" s="34">
        <f>IF($B19="ABSOLUTE SEMANTIC",ABS('06_ITEM_POLE_MODEL'!U19),ABS('06_ITEM_POLE_MODEL'!U19)*ABS(SUMPRODUCT(--('93_TARGET_MEMBERSHIP'!P$5:P$27=1),'05_FEATURE_MODEL'!M$5:M$27)/MAX(1,COUNTIF('93_TARGET_MEMBERSHIP'!P$5:P$27,1))-SUMPRODUCT(--('93_TARGET_MEMBERSHIP'!P$5:P$27=-1),'05_FEATURE_MODEL'!M$5:M$27)/MAX(1,COUNTIF('93_TARGET_MEMBERSHIP'!P$5:P$27,-1))))</f>
        <v/>
      </c>
      <c r="M19" s="34">
        <f>IF($B19="ABSOLUTE SEMANTIC",ABS('06_ITEM_POLE_MODEL'!V19),ABS('06_ITEM_POLE_MODEL'!V19)*ABS(SUMPRODUCT(--('93_TARGET_MEMBERSHIP'!P$5:P$27=1),'05_FEATURE_MODEL'!N$5:N$27)/MAX(1,COUNTIF('93_TARGET_MEMBERSHIP'!P$5:P$27,1))-SUMPRODUCT(--('93_TARGET_MEMBERSHIP'!P$5:P$27=-1),'05_FEATURE_MODEL'!N$5:N$27)/MAX(1,COUNTIF('93_TARGET_MEMBERSHIP'!P$5:P$27,-1))))</f>
        <v/>
      </c>
      <c r="N19" s="34">
        <f>IF($B19="ABSOLUTE SEMANTIC",ABS('06_ITEM_POLE_MODEL'!W19),ABS('06_ITEM_POLE_MODEL'!W19)*ABS(SUMPRODUCT(--('93_TARGET_MEMBERSHIP'!P$5:P$27=1),'05_FEATURE_MODEL'!O$5:O$27)/MAX(1,COUNTIF('93_TARGET_MEMBERSHIP'!P$5:P$27,1))-SUMPRODUCT(--('93_TARGET_MEMBERSHIP'!P$5:P$27=-1),'05_FEATURE_MODEL'!O$5:O$27)/MAX(1,COUNTIF('93_TARGET_MEMBERSHIP'!P$5:P$27,-1))))</f>
        <v/>
      </c>
      <c r="O19" s="34">
        <f>IF($B19="ABSOLUTE SEMANTIC",ABS('06_ITEM_POLE_MODEL'!X19),ABS('06_ITEM_POLE_MODEL'!X19)*ABS(SUMPRODUCT(--('93_TARGET_MEMBERSHIP'!P$5:P$27=1),'05_FEATURE_MODEL'!P$5:P$27)/MAX(1,COUNTIF('93_TARGET_MEMBERSHIP'!P$5:P$27,1))-SUMPRODUCT(--('93_TARGET_MEMBERSHIP'!P$5:P$27=-1),'05_FEATURE_MODEL'!P$5:P$27)/MAX(1,COUNTIF('93_TARGET_MEMBERSHIP'!P$5:P$27,-1))))</f>
        <v/>
      </c>
      <c r="P19" s="34">
        <f>IF($B19="ABSOLUTE SEMANTIC",ABS('06_ITEM_POLE_MODEL'!Y19),ABS('06_ITEM_POLE_MODEL'!Y19)*ABS(SUMPRODUCT(--('93_TARGET_MEMBERSHIP'!P$5:P$27=1),'05_FEATURE_MODEL'!Q$5:Q$27)/MAX(1,COUNTIF('93_TARGET_MEMBERSHIP'!P$5:P$27,1))-SUMPRODUCT(--('93_TARGET_MEMBERSHIP'!P$5:P$27=-1),'05_FEATURE_MODEL'!Q$5:Q$27)/MAX(1,COUNTIF('93_TARGET_MEMBERSHIP'!P$5:P$27,-1))))</f>
        <v/>
      </c>
      <c r="Q19" s="34">
        <f>IF($B19="ABSOLUTE SEMANTIC",ABS('06_ITEM_POLE_MODEL'!Z19),ABS('06_ITEM_POLE_MODEL'!Z19)*ABS(SUMPRODUCT(--('93_TARGET_MEMBERSHIP'!P$5:P$27=1),'05_FEATURE_MODEL'!R$5:R$27)/MAX(1,COUNTIF('93_TARGET_MEMBERSHIP'!P$5:P$27,1))-SUMPRODUCT(--('93_TARGET_MEMBERSHIP'!P$5:P$27=-1),'05_FEATURE_MODEL'!R$5:R$27)/MAX(1,COUNTIF('93_TARGET_MEMBERSHIP'!P$5:P$27,-1))))</f>
        <v/>
      </c>
      <c r="R19" s="34">
        <f>IF($B19="ABSOLUTE SEMANTIC",ABS('06_ITEM_POLE_MODEL'!AA19),ABS('06_ITEM_POLE_MODEL'!AA19)*ABS(SUMPRODUCT(--('93_TARGET_MEMBERSHIP'!P$5:P$27=1),'05_FEATURE_MODEL'!S$5:S$27)/MAX(1,COUNTIF('93_TARGET_MEMBERSHIP'!P$5:P$27,1))-SUMPRODUCT(--('93_TARGET_MEMBERSHIP'!P$5:P$27=-1),'05_FEATURE_MODEL'!S$5:S$27)/MAX(1,COUNTIF('93_TARGET_MEMBERSHIP'!P$5:P$27,-1))))</f>
        <v/>
      </c>
      <c r="S19" s="34">
        <f>IF($B19="ABSOLUTE SEMANTIC",ABS('06_ITEM_POLE_MODEL'!AB19),ABS('06_ITEM_POLE_MODEL'!AB19)*ABS(SUMPRODUCT(--('93_TARGET_MEMBERSHIP'!P$5:P$27=1),'05_FEATURE_MODEL'!T$5:T$27)/MAX(1,COUNTIF('93_TARGET_MEMBERSHIP'!P$5:P$27,1))-SUMPRODUCT(--('93_TARGET_MEMBERSHIP'!P$5:P$27=-1),'05_FEATURE_MODEL'!T$5:T$27)/MAX(1,COUNTIF('93_TARGET_MEMBERSHIP'!P$5:P$27,-1))))</f>
        <v/>
      </c>
      <c r="T19" s="34">
        <f>IF($B19="ABSOLUTE SEMANTIC",ABS('06_ITEM_POLE_MODEL'!AC19),ABS('06_ITEM_POLE_MODEL'!AC19)*ABS(SUMPRODUCT(--('93_TARGET_MEMBERSHIP'!P$5:P$27=1),'05_FEATURE_MODEL'!U$5:U$27)/MAX(1,COUNTIF('93_TARGET_MEMBERSHIP'!P$5:P$27,1))-SUMPRODUCT(--('93_TARGET_MEMBERSHIP'!P$5:P$27=-1),'05_FEATURE_MODEL'!U$5:U$27)/MAX(1,COUNTIF('93_TARGET_MEMBERSHIP'!P$5:P$27,-1))))</f>
        <v/>
      </c>
      <c r="U19" s="34">
        <f>IF($B19="ABSOLUTE SEMANTIC",ABS('06_ITEM_POLE_MODEL'!AD19),ABS('06_ITEM_POLE_MODEL'!AD19)*ABS(SUMPRODUCT(--('93_TARGET_MEMBERSHIP'!P$5:P$27=1),'05_FEATURE_MODEL'!V$5:V$27)/MAX(1,COUNTIF('93_TARGET_MEMBERSHIP'!P$5:P$27,1))-SUMPRODUCT(--('93_TARGET_MEMBERSHIP'!P$5:P$27=-1),'05_FEATURE_MODEL'!V$5:V$27)/MAX(1,COUNTIF('93_TARGET_MEMBERSHIP'!P$5:P$27,-1))))</f>
        <v/>
      </c>
      <c r="V19" s="34">
        <f>IF($B19="ABSOLUTE SEMANTIC",ABS('06_ITEM_POLE_MODEL'!AE19),ABS('06_ITEM_POLE_MODEL'!AE19)*ABS(SUMPRODUCT(--('93_TARGET_MEMBERSHIP'!P$5:P$27=1),'05_FEATURE_MODEL'!W$5:W$27)/MAX(1,COUNTIF('93_TARGET_MEMBERSHIP'!P$5:P$27,1))-SUMPRODUCT(--('93_TARGET_MEMBERSHIP'!P$5:P$27=-1),'05_FEATURE_MODEL'!W$5:W$27)/MAX(1,COUNTIF('93_TARGET_MEMBERSHIP'!P$5:P$27,-1))))</f>
        <v/>
      </c>
      <c r="W19" s="34">
        <f>IF($B19="ABSOLUTE SEMANTIC",ABS('06_ITEM_POLE_MODEL'!AF19),ABS('06_ITEM_POLE_MODEL'!AF19)*ABS(SUMPRODUCT(--('93_TARGET_MEMBERSHIP'!P$5:P$27=1),'05_FEATURE_MODEL'!X$5:X$27)/MAX(1,COUNTIF('93_TARGET_MEMBERSHIP'!P$5:P$27,1))-SUMPRODUCT(--('93_TARGET_MEMBERSHIP'!P$5:P$27=-1),'05_FEATURE_MODEL'!X$5:X$27)/MAX(1,COUNTIF('93_TARGET_MEMBERSHIP'!P$5:P$27,-1))))</f>
        <v/>
      </c>
      <c r="X19" s="34">
        <f>IF($B19="ABSOLUTE SEMANTIC",ABS('06_ITEM_POLE_MODEL'!AG19),ABS('06_ITEM_POLE_MODEL'!AG19)*ABS(SUMPRODUCT(--('93_TARGET_MEMBERSHIP'!P$5:P$27=1),'05_FEATURE_MODEL'!Y$5:Y$27)/MAX(1,COUNTIF('93_TARGET_MEMBERSHIP'!P$5:P$27,1))-SUMPRODUCT(--('93_TARGET_MEMBERSHIP'!P$5:P$27=-1),'05_FEATURE_MODEL'!Y$5:Y$27)/MAX(1,COUNTIF('93_TARGET_MEMBERSHIP'!P$5:P$27,-1))))</f>
        <v/>
      </c>
      <c r="Y19" s="34">
        <f>IF($B19="ABSOLUTE SEMANTIC",ABS('06_ITEM_POLE_MODEL'!AH19),ABS('06_ITEM_POLE_MODEL'!AH19)*ABS(SUMPRODUCT(--('93_TARGET_MEMBERSHIP'!P$5:P$27=1),'05_FEATURE_MODEL'!Z$5:Z$27)/MAX(1,COUNTIF('93_TARGET_MEMBERSHIP'!P$5:P$27,1))-SUMPRODUCT(--('93_TARGET_MEMBERSHIP'!P$5:P$27=-1),'05_FEATURE_MODEL'!Z$5:Z$27)/MAX(1,COUNTIF('93_TARGET_MEMBERSHIP'!P$5:P$27,-1))))</f>
        <v/>
      </c>
      <c r="Z19" s="34">
        <f>IF($B19="ABSOLUTE SEMANTIC",ABS('06_ITEM_POLE_MODEL'!AI19),ABS('06_ITEM_POLE_MODEL'!AI19)*ABS(SUMPRODUCT(--('93_TARGET_MEMBERSHIP'!P$5:P$27=1),'05_FEATURE_MODEL'!AA$5:AA$27)/MAX(1,COUNTIF('93_TARGET_MEMBERSHIP'!P$5:P$27,1))-SUMPRODUCT(--('93_TARGET_MEMBERSHIP'!P$5:P$27=-1),'05_FEATURE_MODEL'!AA$5:AA$27)/MAX(1,COUNTIF('93_TARGET_MEMBERSHIP'!P$5:P$27,-1))))</f>
        <v/>
      </c>
      <c r="AA19" s="34">
        <f>IF($B19="ABSOLUTE SEMANTIC",ABS('06_ITEM_POLE_MODEL'!AJ19),ABS('06_ITEM_POLE_MODEL'!AJ19)*ABS(SUMPRODUCT(--('93_TARGET_MEMBERSHIP'!P$5:P$27=1),'05_FEATURE_MODEL'!AB$5:AB$27)/MAX(1,COUNTIF('93_TARGET_MEMBERSHIP'!P$5:P$27,1))-SUMPRODUCT(--('93_TARGET_MEMBERSHIP'!P$5:P$27=-1),'05_FEATURE_MODEL'!AB$5:AB$27)/MAX(1,COUNTIF('93_TARGET_MEMBERSHIP'!P$5:P$27,-1))))</f>
        <v/>
      </c>
      <c r="AB19" s="34">
        <f>IF($B19="ABSOLUTE SEMANTIC",ABS('06_ITEM_POLE_MODEL'!AK19),ABS('06_ITEM_POLE_MODEL'!AK19)*ABS(SUMPRODUCT(--('93_TARGET_MEMBERSHIP'!P$5:P$27=1),'05_FEATURE_MODEL'!AC$5:AC$27)/MAX(1,COUNTIF('93_TARGET_MEMBERSHIP'!P$5:P$27,1))-SUMPRODUCT(--('93_TARGET_MEMBERSHIP'!P$5:P$27=-1),'05_FEATURE_MODEL'!AC$5:AC$27)/MAX(1,COUNTIF('93_TARGET_MEMBERSHIP'!P$5:P$27,-1))))</f>
        <v/>
      </c>
      <c r="AC19" s="34">
        <f>IF($B19="ABSOLUTE SEMANTIC",ABS('06_ITEM_POLE_MODEL'!AL19),ABS('06_ITEM_POLE_MODEL'!AL19)*ABS(SUMPRODUCT(--('93_TARGET_MEMBERSHIP'!P$5:P$27=1),'05_FEATURE_MODEL'!AD$5:AD$27)/MAX(1,COUNTIF('93_TARGET_MEMBERSHIP'!P$5:P$27,1))-SUMPRODUCT(--('93_TARGET_MEMBERSHIP'!P$5:P$27=-1),'05_FEATURE_MODEL'!AD$5:AD$27)/MAX(1,COUNTIF('93_TARGET_MEMBERSHIP'!P$5:P$27,-1))))</f>
        <v/>
      </c>
      <c r="AD19" s="34">
        <f>IF($B19="ABSOLUTE SEMANTIC",ABS('06_ITEM_POLE_MODEL'!AM19),ABS('06_ITEM_POLE_MODEL'!AM19)*ABS(SUMPRODUCT(--('93_TARGET_MEMBERSHIP'!P$5:P$27=1),'05_FEATURE_MODEL'!AE$5:AE$27)/MAX(1,COUNTIF('93_TARGET_MEMBERSHIP'!P$5:P$27,1))-SUMPRODUCT(--('93_TARGET_MEMBERSHIP'!P$5:P$27=-1),'05_FEATURE_MODEL'!AE$5:AE$27)/MAX(1,COUNTIF('93_TARGET_MEMBERSHIP'!P$5:P$27,-1))))</f>
        <v/>
      </c>
      <c r="AE19" s="34">
        <f>IF($B19="ABSOLUTE SEMANTIC",ABS('06_ITEM_POLE_MODEL'!AN19),ABS('06_ITEM_POLE_MODEL'!AN19)*ABS(SUMPRODUCT(--('93_TARGET_MEMBERSHIP'!P$5:P$27=1),'05_FEATURE_MODEL'!AF$5:AF$27)/MAX(1,COUNTIF('93_TARGET_MEMBERSHIP'!P$5:P$27,1))-SUMPRODUCT(--('93_TARGET_MEMBERSHIP'!P$5:P$27=-1),'05_FEATURE_MODEL'!AF$5:AF$27)/MAX(1,COUNTIF('93_TARGET_MEMBERSHIP'!P$5:P$27,-1))))</f>
        <v/>
      </c>
      <c r="AF19" s="34">
        <f>IF($B19="ABSOLUTE SEMANTIC",ABS('06_ITEM_POLE_MODEL'!AO19),ABS('06_ITEM_POLE_MODEL'!AO19)*ABS(SUMPRODUCT(--('93_TARGET_MEMBERSHIP'!P$5:P$27=1),'05_FEATURE_MODEL'!AG$5:AG$27)/MAX(1,COUNTIF('93_TARGET_MEMBERSHIP'!P$5:P$27,1))-SUMPRODUCT(--('93_TARGET_MEMBERSHIP'!P$5:P$27=-1),'05_FEATURE_MODEL'!AG$5:AG$27)/MAX(1,COUNTIF('93_TARGET_MEMBERSHIP'!P$5:P$27,-1))))</f>
        <v/>
      </c>
      <c r="AG19" s="34">
        <f>IF($B19="ABSOLUTE SEMANTIC",ABS('06_ITEM_POLE_MODEL'!AP19),ABS('06_ITEM_POLE_MODEL'!AP19)*ABS(SUMPRODUCT(--('93_TARGET_MEMBERSHIP'!P$5:P$27=1),'05_FEATURE_MODEL'!AH$5:AH$27)/MAX(1,COUNTIF('93_TARGET_MEMBERSHIP'!P$5:P$27,1))-SUMPRODUCT(--('93_TARGET_MEMBERSHIP'!P$5:P$27=-1),'05_FEATURE_MODEL'!AH$5:AH$27)/MAX(1,COUNTIF('93_TARGET_MEMBERSHIP'!P$5:P$27,-1))))</f>
        <v/>
      </c>
      <c r="AH19" s="34">
        <f>IF($B19="ABSOLUTE SEMANTIC",ABS('06_ITEM_POLE_MODEL'!AQ19),ABS('06_ITEM_POLE_MODEL'!AQ19)*ABS(SUMPRODUCT(--('93_TARGET_MEMBERSHIP'!P$5:P$27=1),'05_FEATURE_MODEL'!AI$5:AI$27)/MAX(1,COUNTIF('93_TARGET_MEMBERSHIP'!P$5:P$27,1))-SUMPRODUCT(--('93_TARGET_MEMBERSHIP'!P$5:P$27=-1),'05_FEATURE_MODEL'!AI$5:AI$27)/MAX(1,COUNTIF('93_TARGET_MEMBERSHIP'!P$5:P$27,-1))))</f>
        <v/>
      </c>
      <c r="AI19" s="34">
        <f>IF($B19="ABSOLUTE SEMANTIC",ABS('06_ITEM_POLE_MODEL'!AR19),ABS('06_ITEM_POLE_MODEL'!AR19)*ABS(SUMPRODUCT(--('93_TARGET_MEMBERSHIP'!P$5:P$27=1),'05_FEATURE_MODEL'!AJ$5:AJ$27)/MAX(1,COUNTIF('93_TARGET_MEMBERSHIP'!P$5:P$27,1))-SUMPRODUCT(--('93_TARGET_MEMBERSHIP'!P$5:P$27=-1),'05_FEATURE_MODEL'!AJ$5:AJ$27)/MAX(1,COUNTIF('93_TARGET_MEMBERSHIP'!P$5:P$27,-1))))</f>
        <v/>
      </c>
      <c r="AJ19" s="34">
        <f>IF($B19="ABSOLUTE SEMANTIC",ABS('06_ITEM_POLE_MODEL'!AS19),ABS('06_ITEM_POLE_MODEL'!AS19)*ABS(SUMPRODUCT(--('93_TARGET_MEMBERSHIP'!P$5:P$27=1),'05_FEATURE_MODEL'!AK$5:AK$27)/MAX(1,COUNTIF('93_TARGET_MEMBERSHIP'!P$5:P$27,1))-SUMPRODUCT(--('93_TARGET_MEMBERSHIP'!P$5:P$27=-1),'05_FEATURE_MODEL'!AK$5:AK$27)/MAX(1,COUNTIF('93_TARGET_MEMBERSHIP'!P$5:P$27,-1))))</f>
        <v/>
      </c>
      <c r="AK19" s="34">
        <f>IF($B19="ABSOLUTE SEMANTIC",ABS('06_ITEM_POLE_MODEL'!AT19),ABS('06_ITEM_POLE_MODEL'!AT19)*ABS(SUMPRODUCT(--('93_TARGET_MEMBERSHIP'!P$5:P$27=1),'05_FEATURE_MODEL'!AL$5:AL$27)/MAX(1,COUNTIF('93_TARGET_MEMBERSHIP'!P$5:P$27,1))-SUMPRODUCT(--('93_TARGET_MEMBERSHIP'!P$5:P$27=-1),'05_FEATURE_MODEL'!AL$5:AL$27)/MAX(1,COUNTIF('93_TARGET_MEMBERSHIP'!P$5:P$27,-1))))</f>
        <v/>
      </c>
      <c r="AL19" s="34">
        <f>IF($B19="ABSOLUTE SEMANTIC",ABS('06_ITEM_POLE_MODEL'!AU19),ABS('06_ITEM_POLE_MODEL'!AU19)*ABS(SUMPRODUCT(--('93_TARGET_MEMBERSHIP'!P$5:P$27=1),'05_FEATURE_MODEL'!AM$5:AM$27)/MAX(1,COUNTIF('93_TARGET_MEMBERSHIP'!P$5:P$27,1))-SUMPRODUCT(--('93_TARGET_MEMBERSHIP'!P$5:P$27=-1),'05_FEATURE_MODEL'!AM$5:AM$27)/MAX(1,COUNTIF('93_TARGET_MEMBERSHIP'!P$5:P$27,-1))))</f>
        <v/>
      </c>
      <c r="AM19" s="34">
        <f>IF($B19="ABSOLUTE SEMANTIC",ABS('06_ITEM_POLE_MODEL'!AV19),ABS('06_ITEM_POLE_MODEL'!AV19)*ABS(SUMPRODUCT(--('93_TARGET_MEMBERSHIP'!P$5:P$27=1),'05_FEATURE_MODEL'!AN$5:AN$27)/MAX(1,COUNTIF('93_TARGET_MEMBERSHIP'!P$5:P$27,1))-SUMPRODUCT(--('93_TARGET_MEMBERSHIP'!P$5:P$27=-1),'05_FEATURE_MODEL'!AN$5:AN$27)/MAX(1,COUNTIF('93_TARGET_MEMBERSHIP'!P$5:P$27,-1))))</f>
        <v/>
      </c>
      <c r="AN19" s="34">
        <f>IF($B19="ABSOLUTE SEMANTIC",ABS('06_ITEM_POLE_MODEL'!AW19),ABS('06_ITEM_POLE_MODEL'!AW19)*ABS(SUMPRODUCT(--('93_TARGET_MEMBERSHIP'!P$5:P$27=1),'05_FEATURE_MODEL'!AO$5:AO$27)/MAX(1,COUNTIF('93_TARGET_MEMBERSHIP'!P$5:P$27,1))-SUMPRODUCT(--('93_TARGET_MEMBERSHIP'!P$5:P$27=-1),'05_FEATURE_MODEL'!AO$5:AO$27)/MAX(1,COUNTIF('93_TARGET_MEMBERSHIP'!P$5:P$27,-1))))</f>
        <v/>
      </c>
      <c r="AO19" s="34">
        <f>IF($B19="ABSOLUTE SEMANTIC",ABS('06_ITEM_POLE_MODEL'!AX19),ABS('06_ITEM_POLE_MODEL'!AX19)*ABS(SUMPRODUCT(--('93_TARGET_MEMBERSHIP'!P$5:P$27=1),'05_FEATURE_MODEL'!AP$5:AP$27)/MAX(1,COUNTIF('93_TARGET_MEMBERSHIP'!P$5:P$27,1))-SUMPRODUCT(--('93_TARGET_MEMBERSHIP'!P$5:P$27=-1),'05_FEATURE_MODEL'!AP$5:AP$27)/MAX(1,COUNTIF('93_TARGET_MEMBERSHIP'!P$5:P$27,-1))))</f>
        <v/>
      </c>
      <c r="AP19" s="34">
        <f>IF($B19="ABSOLUTE SEMANTIC",ABS('06_ITEM_POLE_MODEL'!AY19),ABS('06_ITEM_POLE_MODEL'!AY19)*ABS(SUMPRODUCT(--('93_TARGET_MEMBERSHIP'!P$5:P$27=1),'05_FEATURE_MODEL'!AQ$5:AQ$27)/MAX(1,COUNTIF('93_TARGET_MEMBERSHIP'!P$5:P$27,1))-SUMPRODUCT(--('93_TARGET_MEMBERSHIP'!P$5:P$27=-1),'05_FEATURE_MODEL'!AQ$5:AQ$27)/MAX(1,COUNTIF('93_TARGET_MEMBERSHIP'!P$5:P$27,-1))))</f>
        <v/>
      </c>
      <c r="AQ19" s="34">
        <f>IF($B19="ABSOLUTE SEMANTIC",ABS('06_ITEM_POLE_MODEL'!AZ19),ABS('06_ITEM_POLE_MODEL'!AZ19)*ABS(SUMPRODUCT(--('93_TARGET_MEMBERSHIP'!P$5:P$27=1),'05_FEATURE_MODEL'!AR$5:AR$27)/MAX(1,COUNTIF('93_TARGET_MEMBERSHIP'!P$5:P$27,1))-SUMPRODUCT(--('93_TARGET_MEMBERSHIP'!P$5:P$27=-1),'05_FEATURE_MODEL'!AR$5:AR$27)/MAX(1,COUNTIF('93_TARGET_MEMBERSHIP'!P$5:P$27,-1))))</f>
        <v/>
      </c>
    </row>
    <row r="20" ht="36" customHeight="1">
      <c r="A20" s="34">
        <f>'06_ITEM_POLE_MODEL'!A20</f>
        <v/>
      </c>
      <c r="B20" s="34">
        <f>'06_ITEM_POLE_MODEL'!E20</f>
        <v/>
      </c>
      <c r="C20" s="34">
        <f>IF($B20="ABSOLUTE SEMANTIC",ABS('06_ITEM_POLE_MODEL'!L20),ABS('06_ITEM_POLE_MODEL'!L20)*ABS(SUMPRODUCT(--('93_TARGET_MEMBERSHIP'!Q$5:Q$27=1),'05_FEATURE_MODEL'!D$5:D$27)/MAX(1,COUNTIF('93_TARGET_MEMBERSHIP'!Q$5:Q$27,1))-SUMPRODUCT(--('93_TARGET_MEMBERSHIP'!Q$5:Q$27=-1),'05_FEATURE_MODEL'!D$5:D$27)/MAX(1,COUNTIF('93_TARGET_MEMBERSHIP'!Q$5:Q$27,-1))))</f>
        <v/>
      </c>
      <c r="D20" s="34">
        <f>IF($B20="ABSOLUTE SEMANTIC",ABS('06_ITEM_POLE_MODEL'!M20),ABS('06_ITEM_POLE_MODEL'!M20)*ABS(SUMPRODUCT(--('93_TARGET_MEMBERSHIP'!Q$5:Q$27=1),'05_FEATURE_MODEL'!E$5:E$27)/MAX(1,COUNTIF('93_TARGET_MEMBERSHIP'!Q$5:Q$27,1))-SUMPRODUCT(--('93_TARGET_MEMBERSHIP'!Q$5:Q$27=-1),'05_FEATURE_MODEL'!E$5:E$27)/MAX(1,COUNTIF('93_TARGET_MEMBERSHIP'!Q$5:Q$27,-1))))</f>
        <v/>
      </c>
      <c r="E20" s="34">
        <f>IF($B20="ABSOLUTE SEMANTIC",ABS('06_ITEM_POLE_MODEL'!N20),ABS('06_ITEM_POLE_MODEL'!N20)*ABS(SUMPRODUCT(--('93_TARGET_MEMBERSHIP'!Q$5:Q$27=1),'05_FEATURE_MODEL'!F$5:F$27)/MAX(1,COUNTIF('93_TARGET_MEMBERSHIP'!Q$5:Q$27,1))-SUMPRODUCT(--('93_TARGET_MEMBERSHIP'!Q$5:Q$27=-1),'05_FEATURE_MODEL'!F$5:F$27)/MAX(1,COUNTIF('93_TARGET_MEMBERSHIP'!Q$5:Q$27,-1))))</f>
        <v/>
      </c>
      <c r="F20" s="34">
        <f>IF($B20="ABSOLUTE SEMANTIC",ABS('06_ITEM_POLE_MODEL'!O20),ABS('06_ITEM_POLE_MODEL'!O20)*ABS(SUMPRODUCT(--('93_TARGET_MEMBERSHIP'!Q$5:Q$27=1),'05_FEATURE_MODEL'!G$5:G$27)/MAX(1,COUNTIF('93_TARGET_MEMBERSHIP'!Q$5:Q$27,1))-SUMPRODUCT(--('93_TARGET_MEMBERSHIP'!Q$5:Q$27=-1),'05_FEATURE_MODEL'!G$5:G$27)/MAX(1,COUNTIF('93_TARGET_MEMBERSHIP'!Q$5:Q$27,-1))))</f>
        <v/>
      </c>
      <c r="G20" s="34">
        <f>IF($B20="ABSOLUTE SEMANTIC",ABS('06_ITEM_POLE_MODEL'!P20),ABS('06_ITEM_POLE_MODEL'!P20)*ABS(SUMPRODUCT(--('93_TARGET_MEMBERSHIP'!Q$5:Q$27=1),'05_FEATURE_MODEL'!H$5:H$27)/MAX(1,COUNTIF('93_TARGET_MEMBERSHIP'!Q$5:Q$27,1))-SUMPRODUCT(--('93_TARGET_MEMBERSHIP'!Q$5:Q$27=-1),'05_FEATURE_MODEL'!H$5:H$27)/MAX(1,COUNTIF('93_TARGET_MEMBERSHIP'!Q$5:Q$27,-1))))</f>
        <v/>
      </c>
      <c r="H20" s="34">
        <f>IF($B20="ABSOLUTE SEMANTIC",ABS('06_ITEM_POLE_MODEL'!Q20),ABS('06_ITEM_POLE_MODEL'!Q20)*ABS(SUMPRODUCT(--('93_TARGET_MEMBERSHIP'!Q$5:Q$27=1),'05_FEATURE_MODEL'!I$5:I$27)/MAX(1,COUNTIF('93_TARGET_MEMBERSHIP'!Q$5:Q$27,1))-SUMPRODUCT(--('93_TARGET_MEMBERSHIP'!Q$5:Q$27=-1),'05_FEATURE_MODEL'!I$5:I$27)/MAX(1,COUNTIF('93_TARGET_MEMBERSHIP'!Q$5:Q$27,-1))))</f>
        <v/>
      </c>
      <c r="I20" s="34">
        <f>IF($B20="ABSOLUTE SEMANTIC",ABS('06_ITEM_POLE_MODEL'!R20),ABS('06_ITEM_POLE_MODEL'!R20)*ABS(SUMPRODUCT(--('93_TARGET_MEMBERSHIP'!Q$5:Q$27=1),'05_FEATURE_MODEL'!J$5:J$27)/MAX(1,COUNTIF('93_TARGET_MEMBERSHIP'!Q$5:Q$27,1))-SUMPRODUCT(--('93_TARGET_MEMBERSHIP'!Q$5:Q$27=-1),'05_FEATURE_MODEL'!J$5:J$27)/MAX(1,COUNTIF('93_TARGET_MEMBERSHIP'!Q$5:Q$27,-1))))</f>
        <v/>
      </c>
      <c r="J20" s="34">
        <f>IF($B20="ABSOLUTE SEMANTIC",ABS('06_ITEM_POLE_MODEL'!S20),ABS('06_ITEM_POLE_MODEL'!S20)*ABS(SUMPRODUCT(--('93_TARGET_MEMBERSHIP'!Q$5:Q$27=1),'05_FEATURE_MODEL'!K$5:K$27)/MAX(1,COUNTIF('93_TARGET_MEMBERSHIP'!Q$5:Q$27,1))-SUMPRODUCT(--('93_TARGET_MEMBERSHIP'!Q$5:Q$27=-1),'05_FEATURE_MODEL'!K$5:K$27)/MAX(1,COUNTIF('93_TARGET_MEMBERSHIP'!Q$5:Q$27,-1))))</f>
        <v/>
      </c>
      <c r="K20" s="34">
        <f>IF($B20="ABSOLUTE SEMANTIC",ABS('06_ITEM_POLE_MODEL'!T20),ABS('06_ITEM_POLE_MODEL'!T20)*ABS(SUMPRODUCT(--('93_TARGET_MEMBERSHIP'!Q$5:Q$27=1),'05_FEATURE_MODEL'!L$5:L$27)/MAX(1,COUNTIF('93_TARGET_MEMBERSHIP'!Q$5:Q$27,1))-SUMPRODUCT(--('93_TARGET_MEMBERSHIP'!Q$5:Q$27=-1),'05_FEATURE_MODEL'!L$5:L$27)/MAX(1,COUNTIF('93_TARGET_MEMBERSHIP'!Q$5:Q$27,-1))))</f>
        <v/>
      </c>
      <c r="L20" s="34">
        <f>IF($B20="ABSOLUTE SEMANTIC",ABS('06_ITEM_POLE_MODEL'!U20),ABS('06_ITEM_POLE_MODEL'!U20)*ABS(SUMPRODUCT(--('93_TARGET_MEMBERSHIP'!Q$5:Q$27=1),'05_FEATURE_MODEL'!M$5:M$27)/MAX(1,COUNTIF('93_TARGET_MEMBERSHIP'!Q$5:Q$27,1))-SUMPRODUCT(--('93_TARGET_MEMBERSHIP'!Q$5:Q$27=-1),'05_FEATURE_MODEL'!M$5:M$27)/MAX(1,COUNTIF('93_TARGET_MEMBERSHIP'!Q$5:Q$27,-1))))</f>
        <v/>
      </c>
      <c r="M20" s="34">
        <f>IF($B20="ABSOLUTE SEMANTIC",ABS('06_ITEM_POLE_MODEL'!V20),ABS('06_ITEM_POLE_MODEL'!V20)*ABS(SUMPRODUCT(--('93_TARGET_MEMBERSHIP'!Q$5:Q$27=1),'05_FEATURE_MODEL'!N$5:N$27)/MAX(1,COUNTIF('93_TARGET_MEMBERSHIP'!Q$5:Q$27,1))-SUMPRODUCT(--('93_TARGET_MEMBERSHIP'!Q$5:Q$27=-1),'05_FEATURE_MODEL'!N$5:N$27)/MAX(1,COUNTIF('93_TARGET_MEMBERSHIP'!Q$5:Q$27,-1))))</f>
        <v/>
      </c>
      <c r="N20" s="34">
        <f>IF($B20="ABSOLUTE SEMANTIC",ABS('06_ITEM_POLE_MODEL'!W20),ABS('06_ITEM_POLE_MODEL'!W20)*ABS(SUMPRODUCT(--('93_TARGET_MEMBERSHIP'!Q$5:Q$27=1),'05_FEATURE_MODEL'!O$5:O$27)/MAX(1,COUNTIF('93_TARGET_MEMBERSHIP'!Q$5:Q$27,1))-SUMPRODUCT(--('93_TARGET_MEMBERSHIP'!Q$5:Q$27=-1),'05_FEATURE_MODEL'!O$5:O$27)/MAX(1,COUNTIF('93_TARGET_MEMBERSHIP'!Q$5:Q$27,-1))))</f>
        <v/>
      </c>
      <c r="O20" s="34">
        <f>IF($B20="ABSOLUTE SEMANTIC",ABS('06_ITEM_POLE_MODEL'!X20),ABS('06_ITEM_POLE_MODEL'!X20)*ABS(SUMPRODUCT(--('93_TARGET_MEMBERSHIP'!Q$5:Q$27=1),'05_FEATURE_MODEL'!P$5:P$27)/MAX(1,COUNTIF('93_TARGET_MEMBERSHIP'!Q$5:Q$27,1))-SUMPRODUCT(--('93_TARGET_MEMBERSHIP'!Q$5:Q$27=-1),'05_FEATURE_MODEL'!P$5:P$27)/MAX(1,COUNTIF('93_TARGET_MEMBERSHIP'!Q$5:Q$27,-1))))</f>
        <v/>
      </c>
      <c r="P20" s="34">
        <f>IF($B20="ABSOLUTE SEMANTIC",ABS('06_ITEM_POLE_MODEL'!Y20),ABS('06_ITEM_POLE_MODEL'!Y20)*ABS(SUMPRODUCT(--('93_TARGET_MEMBERSHIP'!Q$5:Q$27=1),'05_FEATURE_MODEL'!Q$5:Q$27)/MAX(1,COUNTIF('93_TARGET_MEMBERSHIP'!Q$5:Q$27,1))-SUMPRODUCT(--('93_TARGET_MEMBERSHIP'!Q$5:Q$27=-1),'05_FEATURE_MODEL'!Q$5:Q$27)/MAX(1,COUNTIF('93_TARGET_MEMBERSHIP'!Q$5:Q$27,-1))))</f>
        <v/>
      </c>
      <c r="Q20" s="34">
        <f>IF($B20="ABSOLUTE SEMANTIC",ABS('06_ITEM_POLE_MODEL'!Z20),ABS('06_ITEM_POLE_MODEL'!Z20)*ABS(SUMPRODUCT(--('93_TARGET_MEMBERSHIP'!Q$5:Q$27=1),'05_FEATURE_MODEL'!R$5:R$27)/MAX(1,COUNTIF('93_TARGET_MEMBERSHIP'!Q$5:Q$27,1))-SUMPRODUCT(--('93_TARGET_MEMBERSHIP'!Q$5:Q$27=-1),'05_FEATURE_MODEL'!R$5:R$27)/MAX(1,COUNTIF('93_TARGET_MEMBERSHIP'!Q$5:Q$27,-1))))</f>
        <v/>
      </c>
      <c r="R20" s="34">
        <f>IF($B20="ABSOLUTE SEMANTIC",ABS('06_ITEM_POLE_MODEL'!AA20),ABS('06_ITEM_POLE_MODEL'!AA20)*ABS(SUMPRODUCT(--('93_TARGET_MEMBERSHIP'!Q$5:Q$27=1),'05_FEATURE_MODEL'!S$5:S$27)/MAX(1,COUNTIF('93_TARGET_MEMBERSHIP'!Q$5:Q$27,1))-SUMPRODUCT(--('93_TARGET_MEMBERSHIP'!Q$5:Q$27=-1),'05_FEATURE_MODEL'!S$5:S$27)/MAX(1,COUNTIF('93_TARGET_MEMBERSHIP'!Q$5:Q$27,-1))))</f>
        <v/>
      </c>
      <c r="S20" s="34">
        <f>IF($B20="ABSOLUTE SEMANTIC",ABS('06_ITEM_POLE_MODEL'!AB20),ABS('06_ITEM_POLE_MODEL'!AB20)*ABS(SUMPRODUCT(--('93_TARGET_MEMBERSHIP'!Q$5:Q$27=1),'05_FEATURE_MODEL'!T$5:T$27)/MAX(1,COUNTIF('93_TARGET_MEMBERSHIP'!Q$5:Q$27,1))-SUMPRODUCT(--('93_TARGET_MEMBERSHIP'!Q$5:Q$27=-1),'05_FEATURE_MODEL'!T$5:T$27)/MAX(1,COUNTIF('93_TARGET_MEMBERSHIP'!Q$5:Q$27,-1))))</f>
        <v/>
      </c>
      <c r="T20" s="34">
        <f>IF($B20="ABSOLUTE SEMANTIC",ABS('06_ITEM_POLE_MODEL'!AC20),ABS('06_ITEM_POLE_MODEL'!AC20)*ABS(SUMPRODUCT(--('93_TARGET_MEMBERSHIP'!Q$5:Q$27=1),'05_FEATURE_MODEL'!U$5:U$27)/MAX(1,COUNTIF('93_TARGET_MEMBERSHIP'!Q$5:Q$27,1))-SUMPRODUCT(--('93_TARGET_MEMBERSHIP'!Q$5:Q$27=-1),'05_FEATURE_MODEL'!U$5:U$27)/MAX(1,COUNTIF('93_TARGET_MEMBERSHIP'!Q$5:Q$27,-1))))</f>
        <v/>
      </c>
      <c r="U20" s="34">
        <f>IF($B20="ABSOLUTE SEMANTIC",ABS('06_ITEM_POLE_MODEL'!AD20),ABS('06_ITEM_POLE_MODEL'!AD20)*ABS(SUMPRODUCT(--('93_TARGET_MEMBERSHIP'!Q$5:Q$27=1),'05_FEATURE_MODEL'!V$5:V$27)/MAX(1,COUNTIF('93_TARGET_MEMBERSHIP'!Q$5:Q$27,1))-SUMPRODUCT(--('93_TARGET_MEMBERSHIP'!Q$5:Q$27=-1),'05_FEATURE_MODEL'!V$5:V$27)/MAX(1,COUNTIF('93_TARGET_MEMBERSHIP'!Q$5:Q$27,-1))))</f>
        <v/>
      </c>
      <c r="V20" s="34">
        <f>IF($B20="ABSOLUTE SEMANTIC",ABS('06_ITEM_POLE_MODEL'!AE20),ABS('06_ITEM_POLE_MODEL'!AE20)*ABS(SUMPRODUCT(--('93_TARGET_MEMBERSHIP'!Q$5:Q$27=1),'05_FEATURE_MODEL'!W$5:W$27)/MAX(1,COUNTIF('93_TARGET_MEMBERSHIP'!Q$5:Q$27,1))-SUMPRODUCT(--('93_TARGET_MEMBERSHIP'!Q$5:Q$27=-1),'05_FEATURE_MODEL'!W$5:W$27)/MAX(1,COUNTIF('93_TARGET_MEMBERSHIP'!Q$5:Q$27,-1))))</f>
        <v/>
      </c>
      <c r="W20" s="34">
        <f>IF($B20="ABSOLUTE SEMANTIC",ABS('06_ITEM_POLE_MODEL'!AF20),ABS('06_ITEM_POLE_MODEL'!AF20)*ABS(SUMPRODUCT(--('93_TARGET_MEMBERSHIP'!Q$5:Q$27=1),'05_FEATURE_MODEL'!X$5:X$27)/MAX(1,COUNTIF('93_TARGET_MEMBERSHIP'!Q$5:Q$27,1))-SUMPRODUCT(--('93_TARGET_MEMBERSHIP'!Q$5:Q$27=-1),'05_FEATURE_MODEL'!X$5:X$27)/MAX(1,COUNTIF('93_TARGET_MEMBERSHIP'!Q$5:Q$27,-1))))</f>
        <v/>
      </c>
      <c r="X20" s="34">
        <f>IF($B20="ABSOLUTE SEMANTIC",ABS('06_ITEM_POLE_MODEL'!AG20),ABS('06_ITEM_POLE_MODEL'!AG20)*ABS(SUMPRODUCT(--('93_TARGET_MEMBERSHIP'!Q$5:Q$27=1),'05_FEATURE_MODEL'!Y$5:Y$27)/MAX(1,COUNTIF('93_TARGET_MEMBERSHIP'!Q$5:Q$27,1))-SUMPRODUCT(--('93_TARGET_MEMBERSHIP'!Q$5:Q$27=-1),'05_FEATURE_MODEL'!Y$5:Y$27)/MAX(1,COUNTIF('93_TARGET_MEMBERSHIP'!Q$5:Q$27,-1))))</f>
        <v/>
      </c>
      <c r="Y20" s="34">
        <f>IF($B20="ABSOLUTE SEMANTIC",ABS('06_ITEM_POLE_MODEL'!AH20),ABS('06_ITEM_POLE_MODEL'!AH20)*ABS(SUMPRODUCT(--('93_TARGET_MEMBERSHIP'!Q$5:Q$27=1),'05_FEATURE_MODEL'!Z$5:Z$27)/MAX(1,COUNTIF('93_TARGET_MEMBERSHIP'!Q$5:Q$27,1))-SUMPRODUCT(--('93_TARGET_MEMBERSHIP'!Q$5:Q$27=-1),'05_FEATURE_MODEL'!Z$5:Z$27)/MAX(1,COUNTIF('93_TARGET_MEMBERSHIP'!Q$5:Q$27,-1))))</f>
        <v/>
      </c>
      <c r="Z20" s="34">
        <f>IF($B20="ABSOLUTE SEMANTIC",ABS('06_ITEM_POLE_MODEL'!AI20),ABS('06_ITEM_POLE_MODEL'!AI20)*ABS(SUMPRODUCT(--('93_TARGET_MEMBERSHIP'!Q$5:Q$27=1),'05_FEATURE_MODEL'!AA$5:AA$27)/MAX(1,COUNTIF('93_TARGET_MEMBERSHIP'!Q$5:Q$27,1))-SUMPRODUCT(--('93_TARGET_MEMBERSHIP'!Q$5:Q$27=-1),'05_FEATURE_MODEL'!AA$5:AA$27)/MAX(1,COUNTIF('93_TARGET_MEMBERSHIP'!Q$5:Q$27,-1))))</f>
        <v/>
      </c>
      <c r="AA20" s="34">
        <f>IF($B20="ABSOLUTE SEMANTIC",ABS('06_ITEM_POLE_MODEL'!AJ20),ABS('06_ITEM_POLE_MODEL'!AJ20)*ABS(SUMPRODUCT(--('93_TARGET_MEMBERSHIP'!Q$5:Q$27=1),'05_FEATURE_MODEL'!AB$5:AB$27)/MAX(1,COUNTIF('93_TARGET_MEMBERSHIP'!Q$5:Q$27,1))-SUMPRODUCT(--('93_TARGET_MEMBERSHIP'!Q$5:Q$27=-1),'05_FEATURE_MODEL'!AB$5:AB$27)/MAX(1,COUNTIF('93_TARGET_MEMBERSHIP'!Q$5:Q$27,-1))))</f>
        <v/>
      </c>
      <c r="AB20" s="34">
        <f>IF($B20="ABSOLUTE SEMANTIC",ABS('06_ITEM_POLE_MODEL'!AK20),ABS('06_ITEM_POLE_MODEL'!AK20)*ABS(SUMPRODUCT(--('93_TARGET_MEMBERSHIP'!Q$5:Q$27=1),'05_FEATURE_MODEL'!AC$5:AC$27)/MAX(1,COUNTIF('93_TARGET_MEMBERSHIP'!Q$5:Q$27,1))-SUMPRODUCT(--('93_TARGET_MEMBERSHIP'!Q$5:Q$27=-1),'05_FEATURE_MODEL'!AC$5:AC$27)/MAX(1,COUNTIF('93_TARGET_MEMBERSHIP'!Q$5:Q$27,-1))))</f>
        <v/>
      </c>
      <c r="AC20" s="34">
        <f>IF($B20="ABSOLUTE SEMANTIC",ABS('06_ITEM_POLE_MODEL'!AL20),ABS('06_ITEM_POLE_MODEL'!AL20)*ABS(SUMPRODUCT(--('93_TARGET_MEMBERSHIP'!Q$5:Q$27=1),'05_FEATURE_MODEL'!AD$5:AD$27)/MAX(1,COUNTIF('93_TARGET_MEMBERSHIP'!Q$5:Q$27,1))-SUMPRODUCT(--('93_TARGET_MEMBERSHIP'!Q$5:Q$27=-1),'05_FEATURE_MODEL'!AD$5:AD$27)/MAX(1,COUNTIF('93_TARGET_MEMBERSHIP'!Q$5:Q$27,-1))))</f>
        <v/>
      </c>
      <c r="AD20" s="34">
        <f>IF($B20="ABSOLUTE SEMANTIC",ABS('06_ITEM_POLE_MODEL'!AM20),ABS('06_ITEM_POLE_MODEL'!AM20)*ABS(SUMPRODUCT(--('93_TARGET_MEMBERSHIP'!Q$5:Q$27=1),'05_FEATURE_MODEL'!AE$5:AE$27)/MAX(1,COUNTIF('93_TARGET_MEMBERSHIP'!Q$5:Q$27,1))-SUMPRODUCT(--('93_TARGET_MEMBERSHIP'!Q$5:Q$27=-1),'05_FEATURE_MODEL'!AE$5:AE$27)/MAX(1,COUNTIF('93_TARGET_MEMBERSHIP'!Q$5:Q$27,-1))))</f>
        <v/>
      </c>
      <c r="AE20" s="34">
        <f>IF($B20="ABSOLUTE SEMANTIC",ABS('06_ITEM_POLE_MODEL'!AN20),ABS('06_ITEM_POLE_MODEL'!AN20)*ABS(SUMPRODUCT(--('93_TARGET_MEMBERSHIP'!Q$5:Q$27=1),'05_FEATURE_MODEL'!AF$5:AF$27)/MAX(1,COUNTIF('93_TARGET_MEMBERSHIP'!Q$5:Q$27,1))-SUMPRODUCT(--('93_TARGET_MEMBERSHIP'!Q$5:Q$27=-1),'05_FEATURE_MODEL'!AF$5:AF$27)/MAX(1,COUNTIF('93_TARGET_MEMBERSHIP'!Q$5:Q$27,-1))))</f>
        <v/>
      </c>
      <c r="AF20" s="34">
        <f>IF($B20="ABSOLUTE SEMANTIC",ABS('06_ITEM_POLE_MODEL'!AO20),ABS('06_ITEM_POLE_MODEL'!AO20)*ABS(SUMPRODUCT(--('93_TARGET_MEMBERSHIP'!Q$5:Q$27=1),'05_FEATURE_MODEL'!AG$5:AG$27)/MAX(1,COUNTIF('93_TARGET_MEMBERSHIP'!Q$5:Q$27,1))-SUMPRODUCT(--('93_TARGET_MEMBERSHIP'!Q$5:Q$27=-1),'05_FEATURE_MODEL'!AG$5:AG$27)/MAX(1,COUNTIF('93_TARGET_MEMBERSHIP'!Q$5:Q$27,-1))))</f>
        <v/>
      </c>
      <c r="AG20" s="34">
        <f>IF($B20="ABSOLUTE SEMANTIC",ABS('06_ITEM_POLE_MODEL'!AP20),ABS('06_ITEM_POLE_MODEL'!AP20)*ABS(SUMPRODUCT(--('93_TARGET_MEMBERSHIP'!Q$5:Q$27=1),'05_FEATURE_MODEL'!AH$5:AH$27)/MAX(1,COUNTIF('93_TARGET_MEMBERSHIP'!Q$5:Q$27,1))-SUMPRODUCT(--('93_TARGET_MEMBERSHIP'!Q$5:Q$27=-1),'05_FEATURE_MODEL'!AH$5:AH$27)/MAX(1,COUNTIF('93_TARGET_MEMBERSHIP'!Q$5:Q$27,-1))))</f>
        <v/>
      </c>
      <c r="AH20" s="34">
        <f>IF($B20="ABSOLUTE SEMANTIC",ABS('06_ITEM_POLE_MODEL'!AQ20),ABS('06_ITEM_POLE_MODEL'!AQ20)*ABS(SUMPRODUCT(--('93_TARGET_MEMBERSHIP'!Q$5:Q$27=1),'05_FEATURE_MODEL'!AI$5:AI$27)/MAX(1,COUNTIF('93_TARGET_MEMBERSHIP'!Q$5:Q$27,1))-SUMPRODUCT(--('93_TARGET_MEMBERSHIP'!Q$5:Q$27=-1),'05_FEATURE_MODEL'!AI$5:AI$27)/MAX(1,COUNTIF('93_TARGET_MEMBERSHIP'!Q$5:Q$27,-1))))</f>
        <v/>
      </c>
      <c r="AI20" s="34">
        <f>IF($B20="ABSOLUTE SEMANTIC",ABS('06_ITEM_POLE_MODEL'!AR20),ABS('06_ITEM_POLE_MODEL'!AR20)*ABS(SUMPRODUCT(--('93_TARGET_MEMBERSHIP'!Q$5:Q$27=1),'05_FEATURE_MODEL'!AJ$5:AJ$27)/MAX(1,COUNTIF('93_TARGET_MEMBERSHIP'!Q$5:Q$27,1))-SUMPRODUCT(--('93_TARGET_MEMBERSHIP'!Q$5:Q$27=-1),'05_FEATURE_MODEL'!AJ$5:AJ$27)/MAX(1,COUNTIF('93_TARGET_MEMBERSHIP'!Q$5:Q$27,-1))))</f>
        <v/>
      </c>
      <c r="AJ20" s="34">
        <f>IF($B20="ABSOLUTE SEMANTIC",ABS('06_ITEM_POLE_MODEL'!AS20),ABS('06_ITEM_POLE_MODEL'!AS20)*ABS(SUMPRODUCT(--('93_TARGET_MEMBERSHIP'!Q$5:Q$27=1),'05_FEATURE_MODEL'!AK$5:AK$27)/MAX(1,COUNTIF('93_TARGET_MEMBERSHIP'!Q$5:Q$27,1))-SUMPRODUCT(--('93_TARGET_MEMBERSHIP'!Q$5:Q$27=-1),'05_FEATURE_MODEL'!AK$5:AK$27)/MAX(1,COUNTIF('93_TARGET_MEMBERSHIP'!Q$5:Q$27,-1))))</f>
        <v/>
      </c>
      <c r="AK20" s="34">
        <f>IF($B20="ABSOLUTE SEMANTIC",ABS('06_ITEM_POLE_MODEL'!AT20),ABS('06_ITEM_POLE_MODEL'!AT20)*ABS(SUMPRODUCT(--('93_TARGET_MEMBERSHIP'!Q$5:Q$27=1),'05_FEATURE_MODEL'!AL$5:AL$27)/MAX(1,COUNTIF('93_TARGET_MEMBERSHIP'!Q$5:Q$27,1))-SUMPRODUCT(--('93_TARGET_MEMBERSHIP'!Q$5:Q$27=-1),'05_FEATURE_MODEL'!AL$5:AL$27)/MAX(1,COUNTIF('93_TARGET_MEMBERSHIP'!Q$5:Q$27,-1))))</f>
        <v/>
      </c>
      <c r="AL20" s="34">
        <f>IF($B20="ABSOLUTE SEMANTIC",ABS('06_ITEM_POLE_MODEL'!AU20),ABS('06_ITEM_POLE_MODEL'!AU20)*ABS(SUMPRODUCT(--('93_TARGET_MEMBERSHIP'!Q$5:Q$27=1),'05_FEATURE_MODEL'!AM$5:AM$27)/MAX(1,COUNTIF('93_TARGET_MEMBERSHIP'!Q$5:Q$27,1))-SUMPRODUCT(--('93_TARGET_MEMBERSHIP'!Q$5:Q$27=-1),'05_FEATURE_MODEL'!AM$5:AM$27)/MAX(1,COUNTIF('93_TARGET_MEMBERSHIP'!Q$5:Q$27,-1))))</f>
        <v/>
      </c>
      <c r="AM20" s="34">
        <f>IF($B20="ABSOLUTE SEMANTIC",ABS('06_ITEM_POLE_MODEL'!AV20),ABS('06_ITEM_POLE_MODEL'!AV20)*ABS(SUMPRODUCT(--('93_TARGET_MEMBERSHIP'!Q$5:Q$27=1),'05_FEATURE_MODEL'!AN$5:AN$27)/MAX(1,COUNTIF('93_TARGET_MEMBERSHIP'!Q$5:Q$27,1))-SUMPRODUCT(--('93_TARGET_MEMBERSHIP'!Q$5:Q$27=-1),'05_FEATURE_MODEL'!AN$5:AN$27)/MAX(1,COUNTIF('93_TARGET_MEMBERSHIP'!Q$5:Q$27,-1))))</f>
        <v/>
      </c>
      <c r="AN20" s="34">
        <f>IF($B20="ABSOLUTE SEMANTIC",ABS('06_ITEM_POLE_MODEL'!AW20),ABS('06_ITEM_POLE_MODEL'!AW20)*ABS(SUMPRODUCT(--('93_TARGET_MEMBERSHIP'!Q$5:Q$27=1),'05_FEATURE_MODEL'!AO$5:AO$27)/MAX(1,COUNTIF('93_TARGET_MEMBERSHIP'!Q$5:Q$27,1))-SUMPRODUCT(--('93_TARGET_MEMBERSHIP'!Q$5:Q$27=-1),'05_FEATURE_MODEL'!AO$5:AO$27)/MAX(1,COUNTIF('93_TARGET_MEMBERSHIP'!Q$5:Q$27,-1))))</f>
        <v/>
      </c>
      <c r="AO20" s="34">
        <f>IF($B20="ABSOLUTE SEMANTIC",ABS('06_ITEM_POLE_MODEL'!AX20),ABS('06_ITEM_POLE_MODEL'!AX20)*ABS(SUMPRODUCT(--('93_TARGET_MEMBERSHIP'!Q$5:Q$27=1),'05_FEATURE_MODEL'!AP$5:AP$27)/MAX(1,COUNTIF('93_TARGET_MEMBERSHIP'!Q$5:Q$27,1))-SUMPRODUCT(--('93_TARGET_MEMBERSHIP'!Q$5:Q$27=-1),'05_FEATURE_MODEL'!AP$5:AP$27)/MAX(1,COUNTIF('93_TARGET_MEMBERSHIP'!Q$5:Q$27,-1))))</f>
        <v/>
      </c>
      <c r="AP20" s="34">
        <f>IF($B20="ABSOLUTE SEMANTIC",ABS('06_ITEM_POLE_MODEL'!AY20),ABS('06_ITEM_POLE_MODEL'!AY20)*ABS(SUMPRODUCT(--('93_TARGET_MEMBERSHIP'!Q$5:Q$27=1),'05_FEATURE_MODEL'!AQ$5:AQ$27)/MAX(1,COUNTIF('93_TARGET_MEMBERSHIP'!Q$5:Q$27,1))-SUMPRODUCT(--('93_TARGET_MEMBERSHIP'!Q$5:Q$27=-1),'05_FEATURE_MODEL'!AQ$5:AQ$27)/MAX(1,COUNTIF('93_TARGET_MEMBERSHIP'!Q$5:Q$27,-1))))</f>
        <v/>
      </c>
      <c r="AQ20" s="34">
        <f>IF($B20="ABSOLUTE SEMANTIC",ABS('06_ITEM_POLE_MODEL'!AZ20),ABS('06_ITEM_POLE_MODEL'!AZ20)*ABS(SUMPRODUCT(--('93_TARGET_MEMBERSHIP'!Q$5:Q$27=1),'05_FEATURE_MODEL'!AR$5:AR$27)/MAX(1,COUNTIF('93_TARGET_MEMBERSHIP'!Q$5:Q$27,1))-SUMPRODUCT(--('93_TARGET_MEMBERSHIP'!Q$5:Q$27=-1),'05_FEATURE_MODEL'!AR$5:AR$27)/MAX(1,COUNTIF('93_TARGET_MEMBERSHIP'!Q$5:Q$27,-1))))</f>
        <v/>
      </c>
    </row>
    <row r="21" ht="36" customHeight="1">
      <c r="A21" s="34">
        <f>'06_ITEM_POLE_MODEL'!A21</f>
        <v/>
      </c>
      <c r="B21" s="34">
        <f>'06_ITEM_POLE_MODEL'!E21</f>
        <v/>
      </c>
      <c r="C21" s="34">
        <f>IF($B21="ABSOLUTE SEMANTIC",ABS('06_ITEM_POLE_MODEL'!L21),ABS('06_ITEM_POLE_MODEL'!L21)*ABS(SUMPRODUCT(--('93_TARGET_MEMBERSHIP'!R$5:R$27=1),'05_FEATURE_MODEL'!D$5:D$27)/MAX(1,COUNTIF('93_TARGET_MEMBERSHIP'!R$5:R$27,1))-SUMPRODUCT(--('93_TARGET_MEMBERSHIP'!R$5:R$27=-1),'05_FEATURE_MODEL'!D$5:D$27)/MAX(1,COUNTIF('93_TARGET_MEMBERSHIP'!R$5:R$27,-1))))</f>
        <v/>
      </c>
      <c r="D21" s="34">
        <f>IF($B21="ABSOLUTE SEMANTIC",ABS('06_ITEM_POLE_MODEL'!M21),ABS('06_ITEM_POLE_MODEL'!M21)*ABS(SUMPRODUCT(--('93_TARGET_MEMBERSHIP'!R$5:R$27=1),'05_FEATURE_MODEL'!E$5:E$27)/MAX(1,COUNTIF('93_TARGET_MEMBERSHIP'!R$5:R$27,1))-SUMPRODUCT(--('93_TARGET_MEMBERSHIP'!R$5:R$27=-1),'05_FEATURE_MODEL'!E$5:E$27)/MAX(1,COUNTIF('93_TARGET_MEMBERSHIP'!R$5:R$27,-1))))</f>
        <v/>
      </c>
      <c r="E21" s="34">
        <f>IF($B21="ABSOLUTE SEMANTIC",ABS('06_ITEM_POLE_MODEL'!N21),ABS('06_ITEM_POLE_MODEL'!N21)*ABS(SUMPRODUCT(--('93_TARGET_MEMBERSHIP'!R$5:R$27=1),'05_FEATURE_MODEL'!F$5:F$27)/MAX(1,COUNTIF('93_TARGET_MEMBERSHIP'!R$5:R$27,1))-SUMPRODUCT(--('93_TARGET_MEMBERSHIP'!R$5:R$27=-1),'05_FEATURE_MODEL'!F$5:F$27)/MAX(1,COUNTIF('93_TARGET_MEMBERSHIP'!R$5:R$27,-1))))</f>
        <v/>
      </c>
      <c r="F21" s="34">
        <f>IF($B21="ABSOLUTE SEMANTIC",ABS('06_ITEM_POLE_MODEL'!O21),ABS('06_ITEM_POLE_MODEL'!O21)*ABS(SUMPRODUCT(--('93_TARGET_MEMBERSHIP'!R$5:R$27=1),'05_FEATURE_MODEL'!G$5:G$27)/MAX(1,COUNTIF('93_TARGET_MEMBERSHIP'!R$5:R$27,1))-SUMPRODUCT(--('93_TARGET_MEMBERSHIP'!R$5:R$27=-1),'05_FEATURE_MODEL'!G$5:G$27)/MAX(1,COUNTIF('93_TARGET_MEMBERSHIP'!R$5:R$27,-1))))</f>
        <v/>
      </c>
      <c r="G21" s="34">
        <f>IF($B21="ABSOLUTE SEMANTIC",ABS('06_ITEM_POLE_MODEL'!P21),ABS('06_ITEM_POLE_MODEL'!P21)*ABS(SUMPRODUCT(--('93_TARGET_MEMBERSHIP'!R$5:R$27=1),'05_FEATURE_MODEL'!H$5:H$27)/MAX(1,COUNTIF('93_TARGET_MEMBERSHIP'!R$5:R$27,1))-SUMPRODUCT(--('93_TARGET_MEMBERSHIP'!R$5:R$27=-1),'05_FEATURE_MODEL'!H$5:H$27)/MAX(1,COUNTIF('93_TARGET_MEMBERSHIP'!R$5:R$27,-1))))</f>
        <v/>
      </c>
      <c r="H21" s="34">
        <f>IF($B21="ABSOLUTE SEMANTIC",ABS('06_ITEM_POLE_MODEL'!Q21),ABS('06_ITEM_POLE_MODEL'!Q21)*ABS(SUMPRODUCT(--('93_TARGET_MEMBERSHIP'!R$5:R$27=1),'05_FEATURE_MODEL'!I$5:I$27)/MAX(1,COUNTIF('93_TARGET_MEMBERSHIP'!R$5:R$27,1))-SUMPRODUCT(--('93_TARGET_MEMBERSHIP'!R$5:R$27=-1),'05_FEATURE_MODEL'!I$5:I$27)/MAX(1,COUNTIF('93_TARGET_MEMBERSHIP'!R$5:R$27,-1))))</f>
        <v/>
      </c>
      <c r="I21" s="34">
        <f>IF($B21="ABSOLUTE SEMANTIC",ABS('06_ITEM_POLE_MODEL'!R21),ABS('06_ITEM_POLE_MODEL'!R21)*ABS(SUMPRODUCT(--('93_TARGET_MEMBERSHIP'!R$5:R$27=1),'05_FEATURE_MODEL'!J$5:J$27)/MAX(1,COUNTIF('93_TARGET_MEMBERSHIP'!R$5:R$27,1))-SUMPRODUCT(--('93_TARGET_MEMBERSHIP'!R$5:R$27=-1),'05_FEATURE_MODEL'!J$5:J$27)/MAX(1,COUNTIF('93_TARGET_MEMBERSHIP'!R$5:R$27,-1))))</f>
        <v/>
      </c>
      <c r="J21" s="34">
        <f>IF($B21="ABSOLUTE SEMANTIC",ABS('06_ITEM_POLE_MODEL'!S21),ABS('06_ITEM_POLE_MODEL'!S21)*ABS(SUMPRODUCT(--('93_TARGET_MEMBERSHIP'!R$5:R$27=1),'05_FEATURE_MODEL'!K$5:K$27)/MAX(1,COUNTIF('93_TARGET_MEMBERSHIP'!R$5:R$27,1))-SUMPRODUCT(--('93_TARGET_MEMBERSHIP'!R$5:R$27=-1),'05_FEATURE_MODEL'!K$5:K$27)/MAX(1,COUNTIF('93_TARGET_MEMBERSHIP'!R$5:R$27,-1))))</f>
        <v/>
      </c>
      <c r="K21" s="34">
        <f>IF($B21="ABSOLUTE SEMANTIC",ABS('06_ITEM_POLE_MODEL'!T21),ABS('06_ITEM_POLE_MODEL'!T21)*ABS(SUMPRODUCT(--('93_TARGET_MEMBERSHIP'!R$5:R$27=1),'05_FEATURE_MODEL'!L$5:L$27)/MAX(1,COUNTIF('93_TARGET_MEMBERSHIP'!R$5:R$27,1))-SUMPRODUCT(--('93_TARGET_MEMBERSHIP'!R$5:R$27=-1),'05_FEATURE_MODEL'!L$5:L$27)/MAX(1,COUNTIF('93_TARGET_MEMBERSHIP'!R$5:R$27,-1))))</f>
        <v/>
      </c>
      <c r="L21" s="34">
        <f>IF($B21="ABSOLUTE SEMANTIC",ABS('06_ITEM_POLE_MODEL'!U21),ABS('06_ITEM_POLE_MODEL'!U21)*ABS(SUMPRODUCT(--('93_TARGET_MEMBERSHIP'!R$5:R$27=1),'05_FEATURE_MODEL'!M$5:M$27)/MAX(1,COUNTIF('93_TARGET_MEMBERSHIP'!R$5:R$27,1))-SUMPRODUCT(--('93_TARGET_MEMBERSHIP'!R$5:R$27=-1),'05_FEATURE_MODEL'!M$5:M$27)/MAX(1,COUNTIF('93_TARGET_MEMBERSHIP'!R$5:R$27,-1))))</f>
        <v/>
      </c>
      <c r="M21" s="34">
        <f>IF($B21="ABSOLUTE SEMANTIC",ABS('06_ITEM_POLE_MODEL'!V21),ABS('06_ITEM_POLE_MODEL'!V21)*ABS(SUMPRODUCT(--('93_TARGET_MEMBERSHIP'!R$5:R$27=1),'05_FEATURE_MODEL'!N$5:N$27)/MAX(1,COUNTIF('93_TARGET_MEMBERSHIP'!R$5:R$27,1))-SUMPRODUCT(--('93_TARGET_MEMBERSHIP'!R$5:R$27=-1),'05_FEATURE_MODEL'!N$5:N$27)/MAX(1,COUNTIF('93_TARGET_MEMBERSHIP'!R$5:R$27,-1))))</f>
        <v/>
      </c>
      <c r="N21" s="34">
        <f>IF($B21="ABSOLUTE SEMANTIC",ABS('06_ITEM_POLE_MODEL'!W21),ABS('06_ITEM_POLE_MODEL'!W21)*ABS(SUMPRODUCT(--('93_TARGET_MEMBERSHIP'!R$5:R$27=1),'05_FEATURE_MODEL'!O$5:O$27)/MAX(1,COUNTIF('93_TARGET_MEMBERSHIP'!R$5:R$27,1))-SUMPRODUCT(--('93_TARGET_MEMBERSHIP'!R$5:R$27=-1),'05_FEATURE_MODEL'!O$5:O$27)/MAX(1,COUNTIF('93_TARGET_MEMBERSHIP'!R$5:R$27,-1))))</f>
        <v/>
      </c>
      <c r="O21" s="34">
        <f>IF($B21="ABSOLUTE SEMANTIC",ABS('06_ITEM_POLE_MODEL'!X21),ABS('06_ITEM_POLE_MODEL'!X21)*ABS(SUMPRODUCT(--('93_TARGET_MEMBERSHIP'!R$5:R$27=1),'05_FEATURE_MODEL'!P$5:P$27)/MAX(1,COUNTIF('93_TARGET_MEMBERSHIP'!R$5:R$27,1))-SUMPRODUCT(--('93_TARGET_MEMBERSHIP'!R$5:R$27=-1),'05_FEATURE_MODEL'!P$5:P$27)/MAX(1,COUNTIF('93_TARGET_MEMBERSHIP'!R$5:R$27,-1))))</f>
        <v/>
      </c>
      <c r="P21" s="34">
        <f>IF($B21="ABSOLUTE SEMANTIC",ABS('06_ITEM_POLE_MODEL'!Y21),ABS('06_ITEM_POLE_MODEL'!Y21)*ABS(SUMPRODUCT(--('93_TARGET_MEMBERSHIP'!R$5:R$27=1),'05_FEATURE_MODEL'!Q$5:Q$27)/MAX(1,COUNTIF('93_TARGET_MEMBERSHIP'!R$5:R$27,1))-SUMPRODUCT(--('93_TARGET_MEMBERSHIP'!R$5:R$27=-1),'05_FEATURE_MODEL'!Q$5:Q$27)/MAX(1,COUNTIF('93_TARGET_MEMBERSHIP'!R$5:R$27,-1))))</f>
        <v/>
      </c>
      <c r="Q21" s="34">
        <f>IF($B21="ABSOLUTE SEMANTIC",ABS('06_ITEM_POLE_MODEL'!Z21),ABS('06_ITEM_POLE_MODEL'!Z21)*ABS(SUMPRODUCT(--('93_TARGET_MEMBERSHIP'!R$5:R$27=1),'05_FEATURE_MODEL'!R$5:R$27)/MAX(1,COUNTIF('93_TARGET_MEMBERSHIP'!R$5:R$27,1))-SUMPRODUCT(--('93_TARGET_MEMBERSHIP'!R$5:R$27=-1),'05_FEATURE_MODEL'!R$5:R$27)/MAX(1,COUNTIF('93_TARGET_MEMBERSHIP'!R$5:R$27,-1))))</f>
        <v/>
      </c>
      <c r="R21" s="34">
        <f>IF($B21="ABSOLUTE SEMANTIC",ABS('06_ITEM_POLE_MODEL'!AA21),ABS('06_ITEM_POLE_MODEL'!AA21)*ABS(SUMPRODUCT(--('93_TARGET_MEMBERSHIP'!R$5:R$27=1),'05_FEATURE_MODEL'!S$5:S$27)/MAX(1,COUNTIF('93_TARGET_MEMBERSHIP'!R$5:R$27,1))-SUMPRODUCT(--('93_TARGET_MEMBERSHIP'!R$5:R$27=-1),'05_FEATURE_MODEL'!S$5:S$27)/MAX(1,COUNTIF('93_TARGET_MEMBERSHIP'!R$5:R$27,-1))))</f>
        <v/>
      </c>
      <c r="S21" s="34">
        <f>IF($B21="ABSOLUTE SEMANTIC",ABS('06_ITEM_POLE_MODEL'!AB21),ABS('06_ITEM_POLE_MODEL'!AB21)*ABS(SUMPRODUCT(--('93_TARGET_MEMBERSHIP'!R$5:R$27=1),'05_FEATURE_MODEL'!T$5:T$27)/MAX(1,COUNTIF('93_TARGET_MEMBERSHIP'!R$5:R$27,1))-SUMPRODUCT(--('93_TARGET_MEMBERSHIP'!R$5:R$27=-1),'05_FEATURE_MODEL'!T$5:T$27)/MAX(1,COUNTIF('93_TARGET_MEMBERSHIP'!R$5:R$27,-1))))</f>
        <v/>
      </c>
      <c r="T21" s="34">
        <f>IF($B21="ABSOLUTE SEMANTIC",ABS('06_ITEM_POLE_MODEL'!AC21),ABS('06_ITEM_POLE_MODEL'!AC21)*ABS(SUMPRODUCT(--('93_TARGET_MEMBERSHIP'!R$5:R$27=1),'05_FEATURE_MODEL'!U$5:U$27)/MAX(1,COUNTIF('93_TARGET_MEMBERSHIP'!R$5:R$27,1))-SUMPRODUCT(--('93_TARGET_MEMBERSHIP'!R$5:R$27=-1),'05_FEATURE_MODEL'!U$5:U$27)/MAX(1,COUNTIF('93_TARGET_MEMBERSHIP'!R$5:R$27,-1))))</f>
        <v/>
      </c>
      <c r="U21" s="34">
        <f>IF($B21="ABSOLUTE SEMANTIC",ABS('06_ITEM_POLE_MODEL'!AD21),ABS('06_ITEM_POLE_MODEL'!AD21)*ABS(SUMPRODUCT(--('93_TARGET_MEMBERSHIP'!R$5:R$27=1),'05_FEATURE_MODEL'!V$5:V$27)/MAX(1,COUNTIF('93_TARGET_MEMBERSHIP'!R$5:R$27,1))-SUMPRODUCT(--('93_TARGET_MEMBERSHIP'!R$5:R$27=-1),'05_FEATURE_MODEL'!V$5:V$27)/MAX(1,COUNTIF('93_TARGET_MEMBERSHIP'!R$5:R$27,-1))))</f>
        <v/>
      </c>
      <c r="V21" s="34">
        <f>IF($B21="ABSOLUTE SEMANTIC",ABS('06_ITEM_POLE_MODEL'!AE21),ABS('06_ITEM_POLE_MODEL'!AE21)*ABS(SUMPRODUCT(--('93_TARGET_MEMBERSHIP'!R$5:R$27=1),'05_FEATURE_MODEL'!W$5:W$27)/MAX(1,COUNTIF('93_TARGET_MEMBERSHIP'!R$5:R$27,1))-SUMPRODUCT(--('93_TARGET_MEMBERSHIP'!R$5:R$27=-1),'05_FEATURE_MODEL'!W$5:W$27)/MAX(1,COUNTIF('93_TARGET_MEMBERSHIP'!R$5:R$27,-1))))</f>
        <v/>
      </c>
      <c r="W21" s="34">
        <f>IF($B21="ABSOLUTE SEMANTIC",ABS('06_ITEM_POLE_MODEL'!AF21),ABS('06_ITEM_POLE_MODEL'!AF21)*ABS(SUMPRODUCT(--('93_TARGET_MEMBERSHIP'!R$5:R$27=1),'05_FEATURE_MODEL'!X$5:X$27)/MAX(1,COUNTIF('93_TARGET_MEMBERSHIP'!R$5:R$27,1))-SUMPRODUCT(--('93_TARGET_MEMBERSHIP'!R$5:R$27=-1),'05_FEATURE_MODEL'!X$5:X$27)/MAX(1,COUNTIF('93_TARGET_MEMBERSHIP'!R$5:R$27,-1))))</f>
        <v/>
      </c>
      <c r="X21" s="34">
        <f>IF($B21="ABSOLUTE SEMANTIC",ABS('06_ITEM_POLE_MODEL'!AG21),ABS('06_ITEM_POLE_MODEL'!AG21)*ABS(SUMPRODUCT(--('93_TARGET_MEMBERSHIP'!R$5:R$27=1),'05_FEATURE_MODEL'!Y$5:Y$27)/MAX(1,COUNTIF('93_TARGET_MEMBERSHIP'!R$5:R$27,1))-SUMPRODUCT(--('93_TARGET_MEMBERSHIP'!R$5:R$27=-1),'05_FEATURE_MODEL'!Y$5:Y$27)/MAX(1,COUNTIF('93_TARGET_MEMBERSHIP'!R$5:R$27,-1))))</f>
        <v/>
      </c>
      <c r="Y21" s="34">
        <f>IF($B21="ABSOLUTE SEMANTIC",ABS('06_ITEM_POLE_MODEL'!AH21),ABS('06_ITEM_POLE_MODEL'!AH21)*ABS(SUMPRODUCT(--('93_TARGET_MEMBERSHIP'!R$5:R$27=1),'05_FEATURE_MODEL'!Z$5:Z$27)/MAX(1,COUNTIF('93_TARGET_MEMBERSHIP'!R$5:R$27,1))-SUMPRODUCT(--('93_TARGET_MEMBERSHIP'!R$5:R$27=-1),'05_FEATURE_MODEL'!Z$5:Z$27)/MAX(1,COUNTIF('93_TARGET_MEMBERSHIP'!R$5:R$27,-1))))</f>
        <v/>
      </c>
      <c r="Z21" s="34">
        <f>IF($B21="ABSOLUTE SEMANTIC",ABS('06_ITEM_POLE_MODEL'!AI21),ABS('06_ITEM_POLE_MODEL'!AI21)*ABS(SUMPRODUCT(--('93_TARGET_MEMBERSHIP'!R$5:R$27=1),'05_FEATURE_MODEL'!AA$5:AA$27)/MAX(1,COUNTIF('93_TARGET_MEMBERSHIP'!R$5:R$27,1))-SUMPRODUCT(--('93_TARGET_MEMBERSHIP'!R$5:R$27=-1),'05_FEATURE_MODEL'!AA$5:AA$27)/MAX(1,COUNTIF('93_TARGET_MEMBERSHIP'!R$5:R$27,-1))))</f>
        <v/>
      </c>
      <c r="AA21" s="34">
        <f>IF($B21="ABSOLUTE SEMANTIC",ABS('06_ITEM_POLE_MODEL'!AJ21),ABS('06_ITEM_POLE_MODEL'!AJ21)*ABS(SUMPRODUCT(--('93_TARGET_MEMBERSHIP'!R$5:R$27=1),'05_FEATURE_MODEL'!AB$5:AB$27)/MAX(1,COUNTIF('93_TARGET_MEMBERSHIP'!R$5:R$27,1))-SUMPRODUCT(--('93_TARGET_MEMBERSHIP'!R$5:R$27=-1),'05_FEATURE_MODEL'!AB$5:AB$27)/MAX(1,COUNTIF('93_TARGET_MEMBERSHIP'!R$5:R$27,-1))))</f>
        <v/>
      </c>
      <c r="AB21" s="34">
        <f>IF($B21="ABSOLUTE SEMANTIC",ABS('06_ITEM_POLE_MODEL'!AK21),ABS('06_ITEM_POLE_MODEL'!AK21)*ABS(SUMPRODUCT(--('93_TARGET_MEMBERSHIP'!R$5:R$27=1),'05_FEATURE_MODEL'!AC$5:AC$27)/MAX(1,COUNTIF('93_TARGET_MEMBERSHIP'!R$5:R$27,1))-SUMPRODUCT(--('93_TARGET_MEMBERSHIP'!R$5:R$27=-1),'05_FEATURE_MODEL'!AC$5:AC$27)/MAX(1,COUNTIF('93_TARGET_MEMBERSHIP'!R$5:R$27,-1))))</f>
        <v/>
      </c>
      <c r="AC21" s="34">
        <f>IF($B21="ABSOLUTE SEMANTIC",ABS('06_ITEM_POLE_MODEL'!AL21),ABS('06_ITEM_POLE_MODEL'!AL21)*ABS(SUMPRODUCT(--('93_TARGET_MEMBERSHIP'!R$5:R$27=1),'05_FEATURE_MODEL'!AD$5:AD$27)/MAX(1,COUNTIF('93_TARGET_MEMBERSHIP'!R$5:R$27,1))-SUMPRODUCT(--('93_TARGET_MEMBERSHIP'!R$5:R$27=-1),'05_FEATURE_MODEL'!AD$5:AD$27)/MAX(1,COUNTIF('93_TARGET_MEMBERSHIP'!R$5:R$27,-1))))</f>
        <v/>
      </c>
      <c r="AD21" s="34">
        <f>IF($B21="ABSOLUTE SEMANTIC",ABS('06_ITEM_POLE_MODEL'!AM21),ABS('06_ITEM_POLE_MODEL'!AM21)*ABS(SUMPRODUCT(--('93_TARGET_MEMBERSHIP'!R$5:R$27=1),'05_FEATURE_MODEL'!AE$5:AE$27)/MAX(1,COUNTIF('93_TARGET_MEMBERSHIP'!R$5:R$27,1))-SUMPRODUCT(--('93_TARGET_MEMBERSHIP'!R$5:R$27=-1),'05_FEATURE_MODEL'!AE$5:AE$27)/MAX(1,COUNTIF('93_TARGET_MEMBERSHIP'!R$5:R$27,-1))))</f>
        <v/>
      </c>
      <c r="AE21" s="34">
        <f>IF($B21="ABSOLUTE SEMANTIC",ABS('06_ITEM_POLE_MODEL'!AN21),ABS('06_ITEM_POLE_MODEL'!AN21)*ABS(SUMPRODUCT(--('93_TARGET_MEMBERSHIP'!R$5:R$27=1),'05_FEATURE_MODEL'!AF$5:AF$27)/MAX(1,COUNTIF('93_TARGET_MEMBERSHIP'!R$5:R$27,1))-SUMPRODUCT(--('93_TARGET_MEMBERSHIP'!R$5:R$27=-1),'05_FEATURE_MODEL'!AF$5:AF$27)/MAX(1,COUNTIF('93_TARGET_MEMBERSHIP'!R$5:R$27,-1))))</f>
        <v/>
      </c>
      <c r="AF21" s="34">
        <f>IF($B21="ABSOLUTE SEMANTIC",ABS('06_ITEM_POLE_MODEL'!AO21),ABS('06_ITEM_POLE_MODEL'!AO21)*ABS(SUMPRODUCT(--('93_TARGET_MEMBERSHIP'!R$5:R$27=1),'05_FEATURE_MODEL'!AG$5:AG$27)/MAX(1,COUNTIF('93_TARGET_MEMBERSHIP'!R$5:R$27,1))-SUMPRODUCT(--('93_TARGET_MEMBERSHIP'!R$5:R$27=-1),'05_FEATURE_MODEL'!AG$5:AG$27)/MAX(1,COUNTIF('93_TARGET_MEMBERSHIP'!R$5:R$27,-1))))</f>
        <v/>
      </c>
      <c r="AG21" s="34">
        <f>IF($B21="ABSOLUTE SEMANTIC",ABS('06_ITEM_POLE_MODEL'!AP21),ABS('06_ITEM_POLE_MODEL'!AP21)*ABS(SUMPRODUCT(--('93_TARGET_MEMBERSHIP'!R$5:R$27=1),'05_FEATURE_MODEL'!AH$5:AH$27)/MAX(1,COUNTIF('93_TARGET_MEMBERSHIP'!R$5:R$27,1))-SUMPRODUCT(--('93_TARGET_MEMBERSHIP'!R$5:R$27=-1),'05_FEATURE_MODEL'!AH$5:AH$27)/MAX(1,COUNTIF('93_TARGET_MEMBERSHIP'!R$5:R$27,-1))))</f>
        <v/>
      </c>
      <c r="AH21" s="34">
        <f>IF($B21="ABSOLUTE SEMANTIC",ABS('06_ITEM_POLE_MODEL'!AQ21),ABS('06_ITEM_POLE_MODEL'!AQ21)*ABS(SUMPRODUCT(--('93_TARGET_MEMBERSHIP'!R$5:R$27=1),'05_FEATURE_MODEL'!AI$5:AI$27)/MAX(1,COUNTIF('93_TARGET_MEMBERSHIP'!R$5:R$27,1))-SUMPRODUCT(--('93_TARGET_MEMBERSHIP'!R$5:R$27=-1),'05_FEATURE_MODEL'!AI$5:AI$27)/MAX(1,COUNTIF('93_TARGET_MEMBERSHIP'!R$5:R$27,-1))))</f>
        <v/>
      </c>
      <c r="AI21" s="34">
        <f>IF($B21="ABSOLUTE SEMANTIC",ABS('06_ITEM_POLE_MODEL'!AR21),ABS('06_ITEM_POLE_MODEL'!AR21)*ABS(SUMPRODUCT(--('93_TARGET_MEMBERSHIP'!R$5:R$27=1),'05_FEATURE_MODEL'!AJ$5:AJ$27)/MAX(1,COUNTIF('93_TARGET_MEMBERSHIP'!R$5:R$27,1))-SUMPRODUCT(--('93_TARGET_MEMBERSHIP'!R$5:R$27=-1),'05_FEATURE_MODEL'!AJ$5:AJ$27)/MAX(1,COUNTIF('93_TARGET_MEMBERSHIP'!R$5:R$27,-1))))</f>
        <v/>
      </c>
      <c r="AJ21" s="34">
        <f>IF($B21="ABSOLUTE SEMANTIC",ABS('06_ITEM_POLE_MODEL'!AS21),ABS('06_ITEM_POLE_MODEL'!AS21)*ABS(SUMPRODUCT(--('93_TARGET_MEMBERSHIP'!R$5:R$27=1),'05_FEATURE_MODEL'!AK$5:AK$27)/MAX(1,COUNTIF('93_TARGET_MEMBERSHIP'!R$5:R$27,1))-SUMPRODUCT(--('93_TARGET_MEMBERSHIP'!R$5:R$27=-1),'05_FEATURE_MODEL'!AK$5:AK$27)/MAX(1,COUNTIF('93_TARGET_MEMBERSHIP'!R$5:R$27,-1))))</f>
        <v/>
      </c>
      <c r="AK21" s="34">
        <f>IF($B21="ABSOLUTE SEMANTIC",ABS('06_ITEM_POLE_MODEL'!AT21),ABS('06_ITEM_POLE_MODEL'!AT21)*ABS(SUMPRODUCT(--('93_TARGET_MEMBERSHIP'!R$5:R$27=1),'05_FEATURE_MODEL'!AL$5:AL$27)/MAX(1,COUNTIF('93_TARGET_MEMBERSHIP'!R$5:R$27,1))-SUMPRODUCT(--('93_TARGET_MEMBERSHIP'!R$5:R$27=-1),'05_FEATURE_MODEL'!AL$5:AL$27)/MAX(1,COUNTIF('93_TARGET_MEMBERSHIP'!R$5:R$27,-1))))</f>
        <v/>
      </c>
      <c r="AL21" s="34">
        <f>IF($B21="ABSOLUTE SEMANTIC",ABS('06_ITEM_POLE_MODEL'!AU21),ABS('06_ITEM_POLE_MODEL'!AU21)*ABS(SUMPRODUCT(--('93_TARGET_MEMBERSHIP'!R$5:R$27=1),'05_FEATURE_MODEL'!AM$5:AM$27)/MAX(1,COUNTIF('93_TARGET_MEMBERSHIP'!R$5:R$27,1))-SUMPRODUCT(--('93_TARGET_MEMBERSHIP'!R$5:R$27=-1),'05_FEATURE_MODEL'!AM$5:AM$27)/MAX(1,COUNTIF('93_TARGET_MEMBERSHIP'!R$5:R$27,-1))))</f>
        <v/>
      </c>
      <c r="AM21" s="34">
        <f>IF($B21="ABSOLUTE SEMANTIC",ABS('06_ITEM_POLE_MODEL'!AV21),ABS('06_ITEM_POLE_MODEL'!AV21)*ABS(SUMPRODUCT(--('93_TARGET_MEMBERSHIP'!R$5:R$27=1),'05_FEATURE_MODEL'!AN$5:AN$27)/MAX(1,COUNTIF('93_TARGET_MEMBERSHIP'!R$5:R$27,1))-SUMPRODUCT(--('93_TARGET_MEMBERSHIP'!R$5:R$27=-1),'05_FEATURE_MODEL'!AN$5:AN$27)/MAX(1,COUNTIF('93_TARGET_MEMBERSHIP'!R$5:R$27,-1))))</f>
        <v/>
      </c>
      <c r="AN21" s="34">
        <f>IF($B21="ABSOLUTE SEMANTIC",ABS('06_ITEM_POLE_MODEL'!AW21),ABS('06_ITEM_POLE_MODEL'!AW21)*ABS(SUMPRODUCT(--('93_TARGET_MEMBERSHIP'!R$5:R$27=1),'05_FEATURE_MODEL'!AO$5:AO$27)/MAX(1,COUNTIF('93_TARGET_MEMBERSHIP'!R$5:R$27,1))-SUMPRODUCT(--('93_TARGET_MEMBERSHIP'!R$5:R$27=-1),'05_FEATURE_MODEL'!AO$5:AO$27)/MAX(1,COUNTIF('93_TARGET_MEMBERSHIP'!R$5:R$27,-1))))</f>
        <v/>
      </c>
      <c r="AO21" s="34">
        <f>IF($B21="ABSOLUTE SEMANTIC",ABS('06_ITEM_POLE_MODEL'!AX21),ABS('06_ITEM_POLE_MODEL'!AX21)*ABS(SUMPRODUCT(--('93_TARGET_MEMBERSHIP'!R$5:R$27=1),'05_FEATURE_MODEL'!AP$5:AP$27)/MAX(1,COUNTIF('93_TARGET_MEMBERSHIP'!R$5:R$27,1))-SUMPRODUCT(--('93_TARGET_MEMBERSHIP'!R$5:R$27=-1),'05_FEATURE_MODEL'!AP$5:AP$27)/MAX(1,COUNTIF('93_TARGET_MEMBERSHIP'!R$5:R$27,-1))))</f>
        <v/>
      </c>
      <c r="AP21" s="34">
        <f>IF($B21="ABSOLUTE SEMANTIC",ABS('06_ITEM_POLE_MODEL'!AY21),ABS('06_ITEM_POLE_MODEL'!AY21)*ABS(SUMPRODUCT(--('93_TARGET_MEMBERSHIP'!R$5:R$27=1),'05_FEATURE_MODEL'!AQ$5:AQ$27)/MAX(1,COUNTIF('93_TARGET_MEMBERSHIP'!R$5:R$27,1))-SUMPRODUCT(--('93_TARGET_MEMBERSHIP'!R$5:R$27=-1),'05_FEATURE_MODEL'!AQ$5:AQ$27)/MAX(1,COUNTIF('93_TARGET_MEMBERSHIP'!R$5:R$27,-1))))</f>
        <v/>
      </c>
      <c r="AQ21" s="34">
        <f>IF($B21="ABSOLUTE SEMANTIC",ABS('06_ITEM_POLE_MODEL'!AZ21),ABS('06_ITEM_POLE_MODEL'!AZ21)*ABS(SUMPRODUCT(--('93_TARGET_MEMBERSHIP'!R$5:R$27=1),'05_FEATURE_MODEL'!AR$5:AR$27)/MAX(1,COUNTIF('93_TARGET_MEMBERSHIP'!R$5:R$27,1))-SUMPRODUCT(--('93_TARGET_MEMBERSHIP'!R$5:R$27=-1),'05_FEATURE_MODEL'!AR$5:AR$27)/MAX(1,COUNTIF('93_TARGET_MEMBERSHIP'!R$5:R$27,-1))))</f>
        <v/>
      </c>
    </row>
    <row r="22" ht="36" customHeight="1">
      <c r="A22" s="34">
        <f>'06_ITEM_POLE_MODEL'!A22</f>
        <v/>
      </c>
      <c r="B22" s="34">
        <f>'06_ITEM_POLE_MODEL'!E22</f>
        <v/>
      </c>
      <c r="C22" s="34">
        <f>IF($B22="ABSOLUTE SEMANTIC",ABS('06_ITEM_POLE_MODEL'!L22),ABS('06_ITEM_POLE_MODEL'!L22)*ABS(SUMPRODUCT(--('93_TARGET_MEMBERSHIP'!S$5:S$27=1),'05_FEATURE_MODEL'!D$5:D$27)/MAX(1,COUNTIF('93_TARGET_MEMBERSHIP'!S$5:S$27,1))-SUMPRODUCT(--('93_TARGET_MEMBERSHIP'!S$5:S$27=-1),'05_FEATURE_MODEL'!D$5:D$27)/MAX(1,COUNTIF('93_TARGET_MEMBERSHIP'!S$5:S$27,-1))))</f>
        <v/>
      </c>
      <c r="D22" s="34">
        <f>IF($B22="ABSOLUTE SEMANTIC",ABS('06_ITEM_POLE_MODEL'!M22),ABS('06_ITEM_POLE_MODEL'!M22)*ABS(SUMPRODUCT(--('93_TARGET_MEMBERSHIP'!S$5:S$27=1),'05_FEATURE_MODEL'!E$5:E$27)/MAX(1,COUNTIF('93_TARGET_MEMBERSHIP'!S$5:S$27,1))-SUMPRODUCT(--('93_TARGET_MEMBERSHIP'!S$5:S$27=-1),'05_FEATURE_MODEL'!E$5:E$27)/MAX(1,COUNTIF('93_TARGET_MEMBERSHIP'!S$5:S$27,-1))))</f>
        <v/>
      </c>
      <c r="E22" s="34">
        <f>IF($B22="ABSOLUTE SEMANTIC",ABS('06_ITEM_POLE_MODEL'!N22),ABS('06_ITEM_POLE_MODEL'!N22)*ABS(SUMPRODUCT(--('93_TARGET_MEMBERSHIP'!S$5:S$27=1),'05_FEATURE_MODEL'!F$5:F$27)/MAX(1,COUNTIF('93_TARGET_MEMBERSHIP'!S$5:S$27,1))-SUMPRODUCT(--('93_TARGET_MEMBERSHIP'!S$5:S$27=-1),'05_FEATURE_MODEL'!F$5:F$27)/MAX(1,COUNTIF('93_TARGET_MEMBERSHIP'!S$5:S$27,-1))))</f>
        <v/>
      </c>
      <c r="F22" s="34">
        <f>IF($B22="ABSOLUTE SEMANTIC",ABS('06_ITEM_POLE_MODEL'!O22),ABS('06_ITEM_POLE_MODEL'!O22)*ABS(SUMPRODUCT(--('93_TARGET_MEMBERSHIP'!S$5:S$27=1),'05_FEATURE_MODEL'!G$5:G$27)/MAX(1,COUNTIF('93_TARGET_MEMBERSHIP'!S$5:S$27,1))-SUMPRODUCT(--('93_TARGET_MEMBERSHIP'!S$5:S$27=-1),'05_FEATURE_MODEL'!G$5:G$27)/MAX(1,COUNTIF('93_TARGET_MEMBERSHIP'!S$5:S$27,-1))))</f>
        <v/>
      </c>
      <c r="G22" s="34">
        <f>IF($B22="ABSOLUTE SEMANTIC",ABS('06_ITEM_POLE_MODEL'!P22),ABS('06_ITEM_POLE_MODEL'!P22)*ABS(SUMPRODUCT(--('93_TARGET_MEMBERSHIP'!S$5:S$27=1),'05_FEATURE_MODEL'!H$5:H$27)/MAX(1,COUNTIF('93_TARGET_MEMBERSHIP'!S$5:S$27,1))-SUMPRODUCT(--('93_TARGET_MEMBERSHIP'!S$5:S$27=-1),'05_FEATURE_MODEL'!H$5:H$27)/MAX(1,COUNTIF('93_TARGET_MEMBERSHIP'!S$5:S$27,-1))))</f>
        <v/>
      </c>
      <c r="H22" s="34">
        <f>IF($B22="ABSOLUTE SEMANTIC",ABS('06_ITEM_POLE_MODEL'!Q22),ABS('06_ITEM_POLE_MODEL'!Q22)*ABS(SUMPRODUCT(--('93_TARGET_MEMBERSHIP'!S$5:S$27=1),'05_FEATURE_MODEL'!I$5:I$27)/MAX(1,COUNTIF('93_TARGET_MEMBERSHIP'!S$5:S$27,1))-SUMPRODUCT(--('93_TARGET_MEMBERSHIP'!S$5:S$27=-1),'05_FEATURE_MODEL'!I$5:I$27)/MAX(1,COUNTIF('93_TARGET_MEMBERSHIP'!S$5:S$27,-1))))</f>
        <v/>
      </c>
      <c r="I22" s="34">
        <f>IF($B22="ABSOLUTE SEMANTIC",ABS('06_ITEM_POLE_MODEL'!R22),ABS('06_ITEM_POLE_MODEL'!R22)*ABS(SUMPRODUCT(--('93_TARGET_MEMBERSHIP'!S$5:S$27=1),'05_FEATURE_MODEL'!J$5:J$27)/MAX(1,COUNTIF('93_TARGET_MEMBERSHIP'!S$5:S$27,1))-SUMPRODUCT(--('93_TARGET_MEMBERSHIP'!S$5:S$27=-1),'05_FEATURE_MODEL'!J$5:J$27)/MAX(1,COUNTIF('93_TARGET_MEMBERSHIP'!S$5:S$27,-1))))</f>
        <v/>
      </c>
      <c r="J22" s="34">
        <f>IF($B22="ABSOLUTE SEMANTIC",ABS('06_ITEM_POLE_MODEL'!S22),ABS('06_ITEM_POLE_MODEL'!S22)*ABS(SUMPRODUCT(--('93_TARGET_MEMBERSHIP'!S$5:S$27=1),'05_FEATURE_MODEL'!K$5:K$27)/MAX(1,COUNTIF('93_TARGET_MEMBERSHIP'!S$5:S$27,1))-SUMPRODUCT(--('93_TARGET_MEMBERSHIP'!S$5:S$27=-1),'05_FEATURE_MODEL'!K$5:K$27)/MAX(1,COUNTIF('93_TARGET_MEMBERSHIP'!S$5:S$27,-1))))</f>
        <v/>
      </c>
      <c r="K22" s="34">
        <f>IF($B22="ABSOLUTE SEMANTIC",ABS('06_ITEM_POLE_MODEL'!T22),ABS('06_ITEM_POLE_MODEL'!T22)*ABS(SUMPRODUCT(--('93_TARGET_MEMBERSHIP'!S$5:S$27=1),'05_FEATURE_MODEL'!L$5:L$27)/MAX(1,COUNTIF('93_TARGET_MEMBERSHIP'!S$5:S$27,1))-SUMPRODUCT(--('93_TARGET_MEMBERSHIP'!S$5:S$27=-1),'05_FEATURE_MODEL'!L$5:L$27)/MAX(1,COUNTIF('93_TARGET_MEMBERSHIP'!S$5:S$27,-1))))</f>
        <v/>
      </c>
      <c r="L22" s="34">
        <f>IF($B22="ABSOLUTE SEMANTIC",ABS('06_ITEM_POLE_MODEL'!U22),ABS('06_ITEM_POLE_MODEL'!U22)*ABS(SUMPRODUCT(--('93_TARGET_MEMBERSHIP'!S$5:S$27=1),'05_FEATURE_MODEL'!M$5:M$27)/MAX(1,COUNTIF('93_TARGET_MEMBERSHIP'!S$5:S$27,1))-SUMPRODUCT(--('93_TARGET_MEMBERSHIP'!S$5:S$27=-1),'05_FEATURE_MODEL'!M$5:M$27)/MAX(1,COUNTIF('93_TARGET_MEMBERSHIP'!S$5:S$27,-1))))</f>
        <v/>
      </c>
      <c r="M22" s="34">
        <f>IF($B22="ABSOLUTE SEMANTIC",ABS('06_ITEM_POLE_MODEL'!V22),ABS('06_ITEM_POLE_MODEL'!V22)*ABS(SUMPRODUCT(--('93_TARGET_MEMBERSHIP'!S$5:S$27=1),'05_FEATURE_MODEL'!N$5:N$27)/MAX(1,COUNTIF('93_TARGET_MEMBERSHIP'!S$5:S$27,1))-SUMPRODUCT(--('93_TARGET_MEMBERSHIP'!S$5:S$27=-1),'05_FEATURE_MODEL'!N$5:N$27)/MAX(1,COUNTIF('93_TARGET_MEMBERSHIP'!S$5:S$27,-1))))</f>
        <v/>
      </c>
      <c r="N22" s="34">
        <f>IF($B22="ABSOLUTE SEMANTIC",ABS('06_ITEM_POLE_MODEL'!W22),ABS('06_ITEM_POLE_MODEL'!W22)*ABS(SUMPRODUCT(--('93_TARGET_MEMBERSHIP'!S$5:S$27=1),'05_FEATURE_MODEL'!O$5:O$27)/MAX(1,COUNTIF('93_TARGET_MEMBERSHIP'!S$5:S$27,1))-SUMPRODUCT(--('93_TARGET_MEMBERSHIP'!S$5:S$27=-1),'05_FEATURE_MODEL'!O$5:O$27)/MAX(1,COUNTIF('93_TARGET_MEMBERSHIP'!S$5:S$27,-1))))</f>
        <v/>
      </c>
      <c r="O22" s="34">
        <f>IF($B22="ABSOLUTE SEMANTIC",ABS('06_ITEM_POLE_MODEL'!X22),ABS('06_ITEM_POLE_MODEL'!X22)*ABS(SUMPRODUCT(--('93_TARGET_MEMBERSHIP'!S$5:S$27=1),'05_FEATURE_MODEL'!P$5:P$27)/MAX(1,COUNTIF('93_TARGET_MEMBERSHIP'!S$5:S$27,1))-SUMPRODUCT(--('93_TARGET_MEMBERSHIP'!S$5:S$27=-1),'05_FEATURE_MODEL'!P$5:P$27)/MAX(1,COUNTIF('93_TARGET_MEMBERSHIP'!S$5:S$27,-1))))</f>
        <v/>
      </c>
      <c r="P22" s="34">
        <f>IF($B22="ABSOLUTE SEMANTIC",ABS('06_ITEM_POLE_MODEL'!Y22),ABS('06_ITEM_POLE_MODEL'!Y22)*ABS(SUMPRODUCT(--('93_TARGET_MEMBERSHIP'!S$5:S$27=1),'05_FEATURE_MODEL'!Q$5:Q$27)/MAX(1,COUNTIF('93_TARGET_MEMBERSHIP'!S$5:S$27,1))-SUMPRODUCT(--('93_TARGET_MEMBERSHIP'!S$5:S$27=-1),'05_FEATURE_MODEL'!Q$5:Q$27)/MAX(1,COUNTIF('93_TARGET_MEMBERSHIP'!S$5:S$27,-1))))</f>
        <v/>
      </c>
      <c r="Q22" s="34">
        <f>IF($B22="ABSOLUTE SEMANTIC",ABS('06_ITEM_POLE_MODEL'!Z22),ABS('06_ITEM_POLE_MODEL'!Z22)*ABS(SUMPRODUCT(--('93_TARGET_MEMBERSHIP'!S$5:S$27=1),'05_FEATURE_MODEL'!R$5:R$27)/MAX(1,COUNTIF('93_TARGET_MEMBERSHIP'!S$5:S$27,1))-SUMPRODUCT(--('93_TARGET_MEMBERSHIP'!S$5:S$27=-1),'05_FEATURE_MODEL'!R$5:R$27)/MAX(1,COUNTIF('93_TARGET_MEMBERSHIP'!S$5:S$27,-1))))</f>
        <v/>
      </c>
      <c r="R22" s="34">
        <f>IF($B22="ABSOLUTE SEMANTIC",ABS('06_ITEM_POLE_MODEL'!AA22),ABS('06_ITEM_POLE_MODEL'!AA22)*ABS(SUMPRODUCT(--('93_TARGET_MEMBERSHIP'!S$5:S$27=1),'05_FEATURE_MODEL'!S$5:S$27)/MAX(1,COUNTIF('93_TARGET_MEMBERSHIP'!S$5:S$27,1))-SUMPRODUCT(--('93_TARGET_MEMBERSHIP'!S$5:S$27=-1),'05_FEATURE_MODEL'!S$5:S$27)/MAX(1,COUNTIF('93_TARGET_MEMBERSHIP'!S$5:S$27,-1))))</f>
        <v/>
      </c>
      <c r="S22" s="34">
        <f>IF($B22="ABSOLUTE SEMANTIC",ABS('06_ITEM_POLE_MODEL'!AB22),ABS('06_ITEM_POLE_MODEL'!AB22)*ABS(SUMPRODUCT(--('93_TARGET_MEMBERSHIP'!S$5:S$27=1),'05_FEATURE_MODEL'!T$5:T$27)/MAX(1,COUNTIF('93_TARGET_MEMBERSHIP'!S$5:S$27,1))-SUMPRODUCT(--('93_TARGET_MEMBERSHIP'!S$5:S$27=-1),'05_FEATURE_MODEL'!T$5:T$27)/MAX(1,COUNTIF('93_TARGET_MEMBERSHIP'!S$5:S$27,-1))))</f>
        <v/>
      </c>
      <c r="T22" s="34">
        <f>IF($B22="ABSOLUTE SEMANTIC",ABS('06_ITEM_POLE_MODEL'!AC22),ABS('06_ITEM_POLE_MODEL'!AC22)*ABS(SUMPRODUCT(--('93_TARGET_MEMBERSHIP'!S$5:S$27=1),'05_FEATURE_MODEL'!U$5:U$27)/MAX(1,COUNTIF('93_TARGET_MEMBERSHIP'!S$5:S$27,1))-SUMPRODUCT(--('93_TARGET_MEMBERSHIP'!S$5:S$27=-1),'05_FEATURE_MODEL'!U$5:U$27)/MAX(1,COUNTIF('93_TARGET_MEMBERSHIP'!S$5:S$27,-1))))</f>
        <v/>
      </c>
      <c r="U22" s="34">
        <f>IF($B22="ABSOLUTE SEMANTIC",ABS('06_ITEM_POLE_MODEL'!AD22),ABS('06_ITEM_POLE_MODEL'!AD22)*ABS(SUMPRODUCT(--('93_TARGET_MEMBERSHIP'!S$5:S$27=1),'05_FEATURE_MODEL'!V$5:V$27)/MAX(1,COUNTIF('93_TARGET_MEMBERSHIP'!S$5:S$27,1))-SUMPRODUCT(--('93_TARGET_MEMBERSHIP'!S$5:S$27=-1),'05_FEATURE_MODEL'!V$5:V$27)/MAX(1,COUNTIF('93_TARGET_MEMBERSHIP'!S$5:S$27,-1))))</f>
        <v/>
      </c>
      <c r="V22" s="34">
        <f>IF($B22="ABSOLUTE SEMANTIC",ABS('06_ITEM_POLE_MODEL'!AE22),ABS('06_ITEM_POLE_MODEL'!AE22)*ABS(SUMPRODUCT(--('93_TARGET_MEMBERSHIP'!S$5:S$27=1),'05_FEATURE_MODEL'!W$5:W$27)/MAX(1,COUNTIF('93_TARGET_MEMBERSHIP'!S$5:S$27,1))-SUMPRODUCT(--('93_TARGET_MEMBERSHIP'!S$5:S$27=-1),'05_FEATURE_MODEL'!W$5:W$27)/MAX(1,COUNTIF('93_TARGET_MEMBERSHIP'!S$5:S$27,-1))))</f>
        <v/>
      </c>
      <c r="W22" s="34">
        <f>IF($B22="ABSOLUTE SEMANTIC",ABS('06_ITEM_POLE_MODEL'!AF22),ABS('06_ITEM_POLE_MODEL'!AF22)*ABS(SUMPRODUCT(--('93_TARGET_MEMBERSHIP'!S$5:S$27=1),'05_FEATURE_MODEL'!X$5:X$27)/MAX(1,COUNTIF('93_TARGET_MEMBERSHIP'!S$5:S$27,1))-SUMPRODUCT(--('93_TARGET_MEMBERSHIP'!S$5:S$27=-1),'05_FEATURE_MODEL'!X$5:X$27)/MAX(1,COUNTIF('93_TARGET_MEMBERSHIP'!S$5:S$27,-1))))</f>
        <v/>
      </c>
      <c r="X22" s="34">
        <f>IF($B22="ABSOLUTE SEMANTIC",ABS('06_ITEM_POLE_MODEL'!AG22),ABS('06_ITEM_POLE_MODEL'!AG22)*ABS(SUMPRODUCT(--('93_TARGET_MEMBERSHIP'!S$5:S$27=1),'05_FEATURE_MODEL'!Y$5:Y$27)/MAX(1,COUNTIF('93_TARGET_MEMBERSHIP'!S$5:S$27,1))-SUMPRODUCT(--('93_TARGET_MEMBERSHIP'!S$5:S$27=-1),'05_FEATURE_MODEL'!Y$5:Y$27)/MAX(1,COUNTIF('93_TARGET_MEMBERSHIP'!S$5:S$27,-1))))</f>
        <v/>
      </c>
      <c r="Y22" s="34">
        <f>IF($B22="ABSOLUTE SEMANTIC",ABS('06_ITEM_POLE_MODEL'!AH22),ABS('06_ITEM_POLE_MODEL'!AH22)*ABS(SUMPRODUCT(--('93_TARGET_MEMBERSHIP'!S$5:S$27=1),'05_FEATURE_MODEL'!Z$5:Z$27)/MAX(1,COUNTIF('93_TARGET_MEMBERSHIP'!S$5:S$27,1))-SUMPRODUCT(--('93_TARGET_MEMBERSHIP'!S$5:S$27=-1),'05_FEATURE_MODEL'!Z$5:Z$27)/MAX(1,COUNTIF('93_TARGET_MEMBERSHIP'!S$5:S$27,-1))))</f>
        <v/>
      </c>
      <c r="Z22" s="34">
        <f>IF($B22="ABSOLUTE SEMANTIC",ABS('06_ITEM_POLE_MODEL'!AI22),ABS('06_ITEM_POLE_MODEL'!AI22)*ABS(SUMPRODUCT(--('93_TARGET_MEMBERSHIP'!S$5:S$27=1),'05_FEATURE_MODEL'!AA$5:AA$27)/MAX(1,COUNTIF('93_TARGET_MEMBERSHIP'!S$5:S$27,1))-SUMPRODUCT(--('93_TARGET_MEMBERSHIP'!S$5:S$27=-1),'05_FEATURE_MODEL'!AA$5:AA$27)/MAX(1,COUNTIF('93_TARGET_MEMBERSHIP'!S$5:S$27,-1))))</f>
        <v/>
      </c>
      <c r="AA22" s="34">
        <f>IF($B22="ABSOLUTE SEMANTIC",ABS('06_ITEM_POLE_MODEL'!AJ22),ABS('06_ITEM_POLE_MODEL'!AJ22)*ABS(SUMPRODUCT(--('93_TARGET_MEMBERSHIP'!S$5:S$27=1),'05_FEATURE_MODEL'!AB$5:AB$27)/MAX(1,COUNTIF('93_TARGET_MEMBERSHIP'!S$5:S$27,1))-SUMPRODUCT(--('93_TARGET_MEMBERSHIP'!S$5:S$27=-1),'05_FEATURE_MODEL'!AB$5:AB$27)/MAX(1,COUNTIF('93_TARGET_MEMBERSHIP'!S$5:S$27,-1))))</f>
        <v/>
      </c>
      <c r="AB22" s="34">
        <f>IF($B22="ABSOLUTE SEMANTIC",ABS('06_ITEM_POLE_MODEL'!AK22),ABS('06_ITEM_POLE_MODEL'!AK22)*ABS(SUMPRODUCT(--('93_TARGET_MEMBERSHIP'!S$5:S$27=1),'05_FEATURE_MODEL'!AC$5:AC$27)/MAX(1,COUNTIF('93_TARGET_MEMBERSHIP'!S$5:S$27,1))-SUMPRODUCT(--('93_TARGET_MEMBERSHIP'!S$5:S$27=-1),'05_FEATURE_MODEL'!AC$5:AC$27)/MAX(1,COUNTIF('93_TARGET_MEMBERSHIP'!S$5:S$27,-1))))</f>
        <v/>
      </c>
      <c r="AC22" s="34">
        <f>IF($B22="ABSOLUTE SEMANTIC",ABS('06_ITEM_POLE_MODEL'!AL22),ABS('06_ITEM_POLE_MODEL'!AL22)*ABS(SUMPRODUCT(--('93_TARGET_MEMBERSHIP'!S$5:S$27=1),'05_FEATURE_MODEL'!AD$5:AD$27)/MAX(1,COUNTIF('93_TARGET_MEMBERSHIP'!S$5:S$27,1))-SUMPRODUCT(--('93_TARGET_MEMBERSHIP'!S$5:S$27=-1),'05_FEATURE_MODEL'!AD$5:AD$27)/MAX(1,COUNTIF('93_TARGET_MEMBERSHIP'!S$5:S$27,-1))))</f>
        <v/>
      </c>
      <c r="AD22" s="34">
        <f>IF($B22="ABSOLUTE SEMANTIC",ABS('06_ITEM_POLE_MODEL'!AM22),ABS('06_ITEM_POLE_MODEL'!AM22)*ABS(SUMPRODUCT(--('93_TARGET_MEMBERSHIP'!S$5:S$27=1),'05_FEATURE_MODEL'!AE$5:AE$27)/MAX(1,COUNTIF('93_TARGET_MEMBERSHIP'!S$5:S$27,1))-SUMPRODUCT(--('93_TARGET_MEMBERSHIP'!S$5:S$27=-1),'05_FEATURE_MODEL'!AE$5:AE$27)/MAX(1,COUNTIF('93_TARGET_MEMBERSHIP'!S$5:S$27,-1))))</f>
        <v/>
      </c>
      <c r="AE22" s="34">
        <f>IF($B22="ABSOLUTE SEMANTIC",ABS('06_ITEM_POLE_MODEL'!AN22),ABS('06_ITEM_POLE_MODEL'!AN22)*ABS(SUMPRODUCT(--('93_TARGET_MEMBERSHIP'!S$5:S$27=1),'05_FEATURE_MODEL'!AF$5:AF$27)/MAX(1,COUNTIF('93_TARGET_MEMBERSHIP'!S$5:S$27,1))-SUMPRODUCT(--('93_TARGET_MEMBERSHIP'!S$5:S$27=-1),'05_FEATURE_MODEL'!AF$5:AF$27)/MAX(1,COUNTIF('93_TARGET_MEMBERSHIP'!S$5:S$27,-1))))</f>
        <v/>
      </c>
      <c r="AF22" s="34">
        <f>IF($B22="ABSOLUTE SEMANTIC",ABS('06_ITEM_POLE_MODEL'!AO22),ABS('06_ITEM_POLE_MODEL'!AO22)*ABS(SUMPRODUCT(--('93_TARGET_MEMBERSHIP'!S$5:S$27=1),'05_FEATURE_MODEL'!AG$5:AG$27)/MAX(1,COUNTIF('93_TARGET_MEMBERSHIP'!S$5:S$27,1))-SUMPRODUCT(--('93_TARGET_MEMBERSHIP'!S$5:S$27=-1),'05_FEATURE_MODEL'!AG$5:AG$27)/MAX(1,COUNTIF('93_TARGET_MEMBERSHIP'!S$5:S$27,-1))))</f>
        <v/>
      </c>
      <c r="AG22" s="34">
        <f>IF($B22="ABSOLUTE SEMANTIC",ABS('06_ITEM_POLE_MODEL'!AP22),ABS('06_ITEM_POLE_MODEL'!AP22)*ABS(SUMPRODUCT(--('93_TARGET_MEMBERSHIP'!S$5:S$27=1),'05_FEATURE_MODEL'!AH$5:AH$27)/MAX(1,COUNTIF('93_TARGET_MEMBERSHIP'!S$5:S$27,1))-SUMPRODUCT(--('93_TARGET_MEMBERSHIP'!S$5:S$27=-1),'05_FEATURE_MODEL'!AH$5:AH$27)/MAX(1,COUNTIF('93_TARGET_MEMBERSHIP'!S$5:S$27,-1))))</f>
        <v/>
      </c>
      <c r="AH22" s="34">
        <f>IF($B22="ABSOLUTE SEMANTIC",ABS('06_ITEM_POLE_MODEL'!AQ22),ABS('06_ITEM_POLE_MODEL'!AQ22)*ABS(SUMPRODUCT(--('93_TARGET_MEMBERSHIP'!S$5:S$27=1),'05_FEATURE_MODEL'!AI$5:AI$27)/MAX(1,COUNTIF('93_TARGET_MEMBERSHIP'!S$5:S$27,1))-SUMPRODUCT(--('93_TARGET_MEMBERSHIP'!S$5:S$27=-1),'05_FEATURE_MODEL'!AI$5:AI$27)/MAX(1,COUNTIF('93_TARGET_MEMBERSHIP'!S$5:S$27,-1))))</f>
        <v/>
      </c>
      <c r="AI22" s="34">
        <f>IF($B22="ABSOLUTE SEMANTIC",ABS('06_ITEM_POLE_MODEL'!AR22),ABS('06_ITEM_POLE_MODEL'!AR22)*ABS(SUMPRODUCT(--('93_TARGET_MEMBERSHIP'!S$5:S$27=1),'05_FEATURE_MODEL'!AJ$5:AJ$27)/MAX(1,COUNTIF('93_TARGET_MEMBERSHIP'!S$5:S$27,1))-SUMPRODUCT(--('93_TARGET_MEMBERSHIP'!S$5:S$27=-1),'05_FEATURE_MODEL'!AJ$5:AJ$27)/MAX(1,COUNTIF('93_TARGET_MEMBERSHIP'!S$5:S$27,-1))))</f>
        <v/>
      </c>
      <c r="AJ22" s="34">
        <f>IF($B22="ABSOLUTE SEMANTIC",ABS('06_ITEM_POLE_MODEL'!AS22),ABS('06_ITEM_POLE_MODEL'!AS22)*ABS(SUMPRODUCT(--('93_TARGET_MEMBERSHIP'!S$5:S$27=1),'05_FEATURE_MODEL'!AK$5:AK$27)/MAX(1,COUNTIF('93_TARGET_MEMBERSHIP'!S$5:S$27,1))-SUMPRODUCT(--('93_TARGET_MEMBERSHIP'!S$5:S$27=-1),'05_FEATURE_MODEL'!AK$5:AK$27)/MAX(1,COUNTIF('93_TARGET_MEMBERSHIP'!S$5:S$27,-1))))</f>
        <v/>
      </c>
      <c r="AK22" s="34">
        <f>IF($B22="ABSOLUTE SEMANTIC",ABS('06_ITEM_POLE_MODEL'!AT22),ABS('06_ITEM_POLE_MODEL'!AT22)*ABS(SUMPRODUCT(--('93_TARGET_MEMBERSHIP'!S$5:S$27=1),'05_FEATURE_MODEL'!AL$5:AL$27)/MAX(1,COUNTIF('93_TARGET_MEMBERSHIP'!S$5:S$27,1))-SUMPRODUCT(--('93_TARGET_MEMBERSHIP'!S$5:S$27=-1),'05_FEATURE_MODEL'!AL$5:AL$27)/MAX(1,COUNTIF('93_TARGET_MEMBERSHIP'!S$5:S$27,-1))))</f>
        <v/>
      </c>
      <c r="AL22" s="34">
        <f>IF($B22="ABSOLUTE SEMANTIC",ABS('06_ITEM_POLE_MODEL'!AU22),ABS('06_ITEM_POLE_MODEL'!AU22)*ABS(SUMPRODUCT(--('93_TARGET_MEMBERSHIP'!S$5:S$27=1),'05_FEATURE_MODEL'!AM$5:AM$27)/MAX(1,COUNTIF('93_TARGET_MEMBERSHIP'!S$5:S$27,1))-SUMPRODUCT(--('93_TARGET_MEMBERSHIP'!S$5:S$27=-1),'05_FEATURE_MODEL'!AM$5:AM$27)/MAX(1,COUNTIF('93_TARGET_MEMBERSHIP'!S$5:S$27,-1))))</f>
        <v/>
      </c>
      <c r="AM22" s="34">
        <f>IF($B22="ABSOLUTE SEMANTIC",ABS('06_ITEM_POLE_MODEL'!AV22),ABS('06_ITEM_POLE_MODEL'!AV22)*ABS(SUMPRODUCT(--('93_TARGET_MEMBERSHIP'!S$5:S$27=1),'05_FEATURE_MODEL'!AN$5:AN$27)/MAX(1,COUNTIF('93_TARGET_MEMBERSHIP'!S$5:S$27,1))-SUMPRODUCT(--('93_TARGET_MEMBERSHIP'!S$5:S$27=-1),'05_FEATURE_MODEL'!AN$5:AN$27)/MAX(1,COUNTIF('93_TARGET_MEMBERSHIP'!S$5:S$27,-1))))</f>
        <v/>
      </c>
      <c r="AN22" s="34">
        <f>IF($B22="ABSOLUTE SEMANTIC",ABS('06_ITEM_POLE_MODEL'!AW22),ABS('06_ITEM_POLE_MODEL'!AW22)*ABS(SUMPRODUCT(--('93_TARGET_MEMBERSHIP'!S$5:S$27=1),'05_FEATURE_MODEL'!AO$5:AO$27)/MAX(1,COUNTIF('93_TARGET_MEMBERSHIP'!S$5:S$27,1))-SUMPRODUCT(--('93_TARGET_MEMBERSHIP'!S$5:S$27=-1),'05_FEATURE_MODEL'!AO$5:AO$27)/MAX(1,COUNTIF('93_TARGET_MEMBERSHIP'!S$5:S$27,-1))))</f>
        <v/>
      </c>
      <c r="AO22" s="34">
        <f>IF($B22="ABSOLUTE SEMANTIC",ABS('06_ITEM_POLE_MODEL'!AX22),ABS('06_ITEM_POLE_MODEL'!AX22)*ABS(SUMPRODUCT(--('93_TARGET_MEMBERSHIP'!S$5:S$27=1),'05_FEATURE_MODEL'!AP$5:AP$27)/MAX(1,COUNTIF('93_TARGET_MEMBERSHIP'!S$5:S$27,1))-SUMPRODUCT(--('93_TARGET_MEMBERSHIP'!S$5:S$27=-1),'05_FEATURE_MODEL'!AP$5:AP$27)/MAX(1,COUNTIF('93_TARGET_MEMBERSHIP'!S$5:S$27,-1))))</f>
        <v/>
      </c>
      <c r="AP22" s="34">
        <f>IF($B22="ABSOLUTE SEMANTIC",ABS('06_ITEM_POLE_MODEL'!AY22),ABS('06_ITEM_POLE_MODEL'!AY22)*ABS(SUMPRODUCT(--('93_TARGET_MEMBERSHIP'!S$5:S$27=1),'05_FEATURE_MODEL'!AQ$5:AQ$27)/MAX(1,COUNTIF('93_TARGET_MEMBERSHIP'!S$5:S$27,1))-SUMPRODUCT(--('93_TARGET_MEMBERSHIP'!S$5:S$27=-1),'05_FEATURE_MODEL'!AQ$5:AQ$27)/MAX(1,COUNTIF('93_TARGET_MEMBERSHIP'!S$5:S$27,-1))))</f>
        <v/>
      </c>
      <c r="AQ22" s="34">
        <f>IF($B22="ABSOLUTE SEMANTIC",ABS('06_ITEM_POLE_MODEL'!AZ22),ABS('06_ITEM_POLE_MODEL'!AZ22)*ABS(SUMPRODUCT(--('93_TARGET_MEMBERSHIP'!S$5:S$27=1),'05_FEATURE_MODEL'!AR$5:AR$27)/MAX(1,COUNTIF('93_TARGET_MEMBERSHIP'!S$5:S$27,1))-SUMPRODUCT(--('93_TARGET_MEMBERSHIP'!S$5:S$27=-1),'05_FEATURE_MODEL'!AR$5:AR$27)/MAX(1,COUNTIF('93_TARGET_MEMBERSHIP'!S$5:S$27,-1))))</f>
        <v/>
      </c>
    </row>
    <row r="23" ht="36" customHeight="1">
      <c r="A23" s="34">
        <f>'06_ITEM_POLE_MODEL'!A23</f>
        <v/>
      </c>
      <c r="B23" s="34">
        <f>'06_ITEM_POLE_MODEL'!E23</f>
        <v/>
      </c>
      <c r="C23" s="34">
        <f>IF($B23="ABSOLUTE SEMANTIC",ABS('06_ITEM_POLE_MODEL'!L23),ABS('06_ITEM_POLE_MODEL'!L23)*ABS(SUMPRODUCT(--('93_TARGET_MEMBERSHIP'!T$5:T$27=1),'05_FEATURE_MODEL'!D$5:D$27)/MAX(1,COUNTIF('93_TARGET_MEMBERSHIP'!T$5:T$27,1))-SUMPRODUCT(--('93_TARGET_MEMBERSHIP'!T$5:T$27=-1),'05_FEATURE_MODEL'!D$5:D$27)/MAX(1,COUNTIF('93_TARGET_MEMBERSHIP'!T$5:T$27,-1))))</f>
        <v/>
      </c>
      <c r="D23" s="34">
        <f>IF($B23="ABSOLUTE SEMANTIC",ABS('06_ITEM_POLE_MODEL'!M23),ABS('06_ITEM_POLE_MODEL'!M23)*ABS(SUMPRODUCT(--('93_TARGET_MEMBERSHIP'!T$5:T$27=1),'05_FEATURE_MODEL'!E$5:E$27)/MAX(1,COUNTIF('93_TARGET_MEMBERSHIP'!T$5:T$27,1))-SUMPRODUCT(--('93_TARGET_MEMBERSHIP'!T$5:T$27=-1),'05_FEATURE_MODEL'!E$5:E$27)/MAX(1,COUNTIF('93_TARGET_MEMBERSHIP'!T$5:T$27,-1))))</f>
        <v/>
      </c>
      <c r="E23" s="34">
        <f>IF($B23="ABSOLUTE SEMANTIC",ABS('06_ITEM_POLE_MODEL'!N23),ABS('06_ITEM_POLE_MODEL'!N23)*ABS(SUMPRODUCT(--('93_TARGET_MEMBERSHIP'!T$5:T$27=1),'05_FEATURE_MODEL'!F$5:F$27)/MAX(1,COUNTIF('93_TARGET_MEMBERSHIP'!T$5:T$27,1))-SUMPRODUCT(--('93_TARGET_MEMBERSHIP'!T$5:T$27=-1),'05_FEATURE_MODEL'!F$5:F$27)/MAX(1,COUNTIF('93_TARGET_MEMBERSHIP'!T$5:T$27,-1))))</f>
        <v/>
      </c>
      <c r="F23" s="34">
        <f>IF($B23="ABSOLUTE SEMANTIC",ABS('06_ITEM_POLE_MODEL'!O23),ABS('06_ITEM_POLE_MODEL'!O23)*ABS(SUMPRODUCT(--('93_TARGET_MEMBERSHIP'!T$5:T$27=1),'05_FEATURE_MODEL'!G$5:G$27)/MAX(1,COUNTIF('93_TARGET_MEMBERSHIP'!T$5:T$27,1))-SUMPRODUCT(--('93_TARGET_MEMBERSHIP'!T$5:T$27=-1),'05_FEATURE_MODEL'!G$5:G$27)/MAX(1,COUNTIF('93_TARGET_MEMBERSHIP'!T$5:T$27,-1))))</f>
        <v/>
      </c>
      <c r="G23" s="34">
        <f>IF($B23="ABSOLUTE SEMANTIC",ABS('06_ITEM_POLE_MODEL'!P23),ABS('06_ITEM_POLE_MODEL'!P23)*ABS(SUMPRODUCT(--('93_TARGET_MEMBERSHIP'!T$5:T$27=1),'05_FEATURE_MODEL'!H$5:H$27)/MAX(1,COUNTIF('93_TARGET_MEMBERSHIP'!T$5:T$27,1))-SUMPRODUCT(--('93_TARGET_MEMBERSHIP'!T$5:T$27=-1),'05_FEATURE_MODEL'!H$5:H$27)/MAX(1,COUNTIF('93_TARGET_MEMBERSHIP'!T$5:T$27,-1))))</f>
        <v/>
      </c>
      <c r="H23" s="34">
        <f>IF($B23="ABSOLUTE SEMANTIC",ABS('06_ITEM_POLE_MODEL'!Q23),ABS('06_ITEM_POLE_MODEL'!Q23)*ABS(SUMPRODUCT(--('93_TARGET_MEMBERSHIP'!T$5:T$27=1),'05_FEATURE_MODEL'!I$5:I$27)/MAX(1,COUNTIF('93_TARGET_MEMBERSHIP'!T$5:T$27,1))-SUMPRODUCT(--('93_TARGET_MEMBERSHIP'!T$5:T$27=-1),'05_FEATURE_MODEL'!I$5:I$27)/MAX(1,COUNTIF('93_TARGET_MEMBERSHIP'!T$5:T$27,-1))))</f>
        <v/>
      </c>
      <c r="I23" s="34">
        <f>IF($B23="ABSOLUTE SEMANTIC",ABS('06_ITEM_POLE_MODEL'!R23),ABS('06_ITEM_POLE_MODEL'!R23)*ABS(SUMPRODUCT(--('93_TARGET_MEMBERSHIP'!T$5:T$27=1),'05_FEATURE_MODEL'!J$5:J$27)/MAX(1,COUNTIF('93_TARGET_MEMBERSHIP'!T$5:T$27,1))-SUMPRODUCT(--('93_TARGET_MEMBERSHIP'!T$5:T$27=-1),'05_FEATURE_MODEL'!J$5:J$27)/MAX(1,COUNTIF('93_TARGET_MEMBERSHIP'!T$5:T$27,-1))))</f>
        <v/>
      </c>
      <c r="J23" s="34">
        <f>IF($B23="ABSOLUTE SEMANTIC",ABS('06_ITEM_POLE_MODEL'!S23),ABS('06_ITEM_POLE_MODEL'!S23)*ABS(SUMPRODUCT(--('93_TARGET_MEMBERSHIP'!T$5:T$27=1),'05_FEATURE_MODEL'!K$5:K$27)/MAX(1,COUNTIF('93_TARGET_MEMBERSHIP'!T$5:T$27,1))-SUMPRODUCT(--('93_TARGET_MEMBERSHIP'!T$5:T$27=-1),'05_FEATURE_MODEL'!K$5:K$27)/MAX(1,COUNTIF('93_TARGET_MEMBERSHIP'!T$5:T$27,-1))))</f>
        <v/>
      </c>
      <c r="K23" s="34">
        <f>IF($B23="ABSOLUTE SEMANTIC",ABS('06_ITEM_POLE_MODEL'!T23),ABS('06_ITEM_POLE_MODEL'!T23)*ABS(SUMPRODUCT(--('93_TARGET_MEMBERSHIP'!T$5:T$27=1),'05_FEATURE_MODEL'!L$5:L$27)/MAX(1,COUNTIF('93_TARGET_MEMBERSHIP'!T$5:T$27,1))-SUMPRODUCT(--('93_TARGET_MEMBERSHIP'!T$5:T$27=-1),'05_FEATURE_MODEL'!L$5:L$27)/MAX(1,COUNTIF('93_TARGET_MEMBERSHIP'!T$5:T$27,-1))))</f>
        <v/>
      </c>
      <c r="L23" s="34">
        <f>IF($B23="ABSOLUTE SEMANTIC",ABS('06_ITEM_POLE_MODEL'!U23),ABS('06_ITEM_POLE_MODEL'!U23)*ABS(SUMPRODUCT(--('93_TARGET_MEMBERSHIP'!T$5:T$27=1),'05_FEATURE_MODEL'!M$5:M$27)/MAX(1,COUNTIF('93_TARGET_MEMBERSHIP'!T$5:T$27,1))-SUMPRODUCT(--('93_TARGET_MEMBERSHIP'!T$5:T$27=-1),'05_FEATURE_MODEL'!M$5:M$27)/MAX(1,COUNTIF('93_TARGET_MEMBERSHIP'!T$5:T$27,-1))))</f>
        <v/>
      </c>
      <c r="M23" s="34">
        <f>IF($B23="ABSOLUTE SEMANTIC",ABS('06_ITEM_POLE_MODEL'!V23),ABS('06_ITEM_POLE_MODEL'!V23)*ABS(SUMPRODUCT(--('93_TARGET_MEMBERSHIP'!T$5:T$27=1),'05_FEATURE_MODEL'!N$5:N$27)/MAX(1,COUNTIF('93_TARGET_MEMBERSHIP'!T$5:T$27,1))-SUMPRODUCT(--('93_TARGET_MEMBERSHIP'!T$5:T$27=-1),'05_FEATURE_MODEL'!N$5:N$27)/MAX(1,COUNTIF('93_TARGET_MEMBERSHIP'!T$5:T$27,-1))))</f>
        <v/>
      </c>
      <c r="N23" s="34">
        <f>IF($B23="ABSOLUTE SEMANTIC",ABS('06_ITEM_POLE_MODEL'!W23),ABS('06_ITEM_POLE_MODEL'!W23)*ABS(SUMPRODUCT(--('93_TARGET_MEMBERSHIP'!T$5:T$27=1),'05_FEATURE_MODEL'!O$5:O$27)/MAX(1,COUNTIF('93_TARGET_MEMBERSHIP'!T$5:T$27,1))-SUMPRODUCT(--('93_TARGET_MEMBERSHIP'!T$5:T$27=-1),'05_FEATURE_MODEL'!O$5:O$27)/MAX(1,COUNTIF('93_TARGET_MEMBERSHIP'!T$5:T$27,-1))))</f>
        <v/>
      </c>
      <c r="O23" s="34">
        <f>IF($B23="ABSOLUTE SEMANTIC",ABS('06_ITEM_POLE_MODEL'!X23),ABS('06_ITEM_POLE_MODEL'!X23)*ABS(SUMPRODUCT(--('93_TARGET_MEMBERSHIP'!T$5:T$27=1),'05_FEATURE_MODEL'!P$5:P$27)/MAX(1,COUNTIF('93_TARGET_MEMBERSHIP'!T$5:T$27,1))-SUMPRODUCT(--('93_TARGET_MEMBERSHIP'!T$5:T$27=-1),'05_FEATURE_MODEL'!P$5:P$27)/MAX(1,COUNTIF('93_TARGET_MEMBERSHIP'!T$5:T$27,-1))))</f>
        <v/>
      </c>
      <c r="P23" s="34">
        <f>IF($B23="ABSOLUTE SEMANTIC",ABS('06_ITEM_POLE_MODEL'!Y23),ABS('06_ITEM_POLE_MODEL'!Y23)*ABS(SUMPRODUCT(--('93_TARGET_MEMBERSHIP'!T$5:T$27=1),'05_FEATURE_MODEL'!Q$5:Q$27)/MAX(1,COUNTIF('93_TARGET_MEMBERSHIP'!T$5:T$27,1))-SUMPRODUCT(--('93_TARGET_MEMBERSHIP'!T$5:T$27=-1),'05_FEATURE_MODEL'!Q$5:Q$27)/MAX(1,COUNTIF('93_TARGET_MEMBERSHIP'!T$5:T$27,-1))))</f>
        <v/>
      </c>
      <c r="Q23" s="34">
        <f>IF($B23="ABSOLUTE SEMANTIC",ABS('06_ITEM_POLE_MODEL'!Z23),ABS('06_ITEM_POLE_MODEL'!Z23)*ABS(SUMPRODUCT(--('93_TARGET_MEMBERSHIP'!T$5:T$27=1),'05_FEATURE_MODEL'!R$5:R$27)/MAX(1,COUNTIF('93_TARGET_MEMBERSHIP'!T$5:T$27,1))-SUMPRODUCT(--('93_TARGET_MEMBERSHIP'!T$5:T$27=-1),'05_FEATURE_MODEL'!R$5:R$27)/MAX(1,COUNTIF('93_TARGET_MEMBERSHIP'!T$5:T$27,-1))))</f>
        <v/>
      </c>
      <c r="R23" s="34">
        <f>IF($B23="ABSOLUTE SEMANTIC",ABS('06_ITEM_POLE_MODEL'!AA23),ABS('06_ITEM_POLE_MODEL'!AA23)*ABS(SUMPRODUCT(--('93_TARGET_MEMBERSHIP'!T$5:T$27=1),'05_FEATURE_MODEL'!S$5:S$27)/MAX(1,COUNTIF('93_TARGET_MEMBERSHIP'!T$5:T$27,1))-SUMPRODUCT(--('93_TARGET_MEMBERSHIP'!T$5:T$27=-1),'05_FEATURE_MODEL'!S$5:S$27)/MAX(1,COUNTIF('93_TARGET_MEMBERSHIP'!T$5:T$27,-1))))</f>
        <v/>
      </c>
      <c r="S23" s="34">
        <f>IF($B23="ABSOLUTE SEMANTIC",ABS('06_ITEM_POLE_MODEL'!AB23),ABS('06_ITEM_POLE_MODEL'!AB23)*ABS(SUMPRODUCT(--('93_TARGET_MEMBERSHIP'!T$5:T$27=1),'05_FEATURE_MODEL'!T$5:T$27)/MAX(1,COUNTIF('93_TARGET_MEMBERSHIP'!T$5:T$27,1))-SUMPRODUCT(--('93_TARGET_MEMBERSHIP'!T$5:T$27=-1),'05_FEATURE_MODEL'!T$5:T$27)/MAX(1,COUNTIF('93_TARGET_MEMBERSHIP'!T$5:T$27,-1))))</f>
        <v/>
      </c>
      <c r="T23" s="34">
        <f>IF($B23="ABSOLUTE SEMANTIC",ABS('06_ITEM_POLE_MODEL'!AC23),ABS('06_ITEM_POLE_MODEL'!AC23)*ABS(SUMPRODUCT(--('93_TARGET_MEMBERSHIP'!T$5:T$27=1),'05_FEATURE_MODEL'!U$5:U$27)/MAX(1,COUNTIF('93_TARGET_MEMBERSHIP'!T$5:T$27,1))-SUMPRODUCT(--('93_TARGET_MEMBERSHIP'!T$5:T$27=-1),'05_FEATURE_MODEL'!U$5:U$27)/MAX(1,COUNTIF('93_TARGET_MEMBERSHIP'!T$5:T$27,-1))))</f>
        <v/>
      </c>
      <c r="U23" s="34">
        <f>IF($B23="ABSOLUTE SEMANTIC",ABS('06_ITEM_POLE_MODEL'!AD23),ABS('06_ITEM_POLE_MODEL'!AD23)*ABS(SUMPRODUCT(--('93_TARGET_MEMBERSHIP'!T$5:T$27=1),'05_FEATURE_MODEL'!V$5:V$27)/MAX(1,COUNTIF('93_TARGET_MEMBERSHIP'!T$5:T$27,1))-SUMPRODUCT(--('93_TARGET_MEMBERSHIP'!T$5:T$27=-1),'05_FEATURE_MODEL'!V$5:V$27)/MAX(1,COUNTIF('93_TARGET_MEMBERSHIP'!T$5:T$27,-1))))</f>
        <v/>
      </c>
      <c r="V23" s="34">
        <f>IF($B23="ABSOLUTE SEMANTIC",ABS('06_ITEM_POLE_MODEL'!AE23),ABS('06_ITEM_POLE_MODEL'!AE23)*ABS(SUMPRODUCT(--('93_TARGET_MEMBERSHIP'!T$5:T$27=1),'05_FEATURE_MODEL'!W$5:W$27)/MAX(1,COUNTIF('93_TARGET_MEMBERSHIP'!T$5:T$27,1))-SUMPRODUCT(--('93_TARGET_MEMBERSHIP'!T$5:T$27=-1),'05_FEATURE_MODEL'!W$5:W$27)/MAX(1,COUNTIF('93_TARGET_MEMBERSHIP'!T$5:T$27,-1))))</f>
        <v/>
      </c>
      <c r="W23" s="34">
        <f>IF($B23="ABSOLUTE SEMANTIC",ABS('06_ITEM_POLE_MODEL'!AF23),ABS('06_ITEM_POLE_MODEL'!AF23)*ABS(SUMPRODUCT(--('93_TARGET_MEMBERSHIP'!T$5:T$27=1),'05_FEATURE_MODEL'!X$5:X$27)/MAX(1,COUNTIF('93_TARGET_MEMBERSHIP'!T$5:T$27,1))-SUMPRODUCT(--('93_TARGET_MEMBERSHIP'!T$5:T$27=-1),'05_FEATURE_MODEL'!X$5:X$27)/MAX(1,COUNTIF('93_TARGET_MEMBERSHIP'!T$5:T$27,-1))))</f>
        <v/>
      </c>
      <c r="X23" s="34">
        <f>IF($B23="ABSOLUTE SEMANTIC",ABS('06_ITEM_POLE_MODEL'!AG23),ABS('06_ITEM_POLE_MODEL'!AG23)*ABS(SUMPRODUCT(--('93_TARGET_MEMBERSHIP'!T$5:T$27=1),'05_FEATURE_MODEL'!Y$5:Y$27)/MAX(1,COUNTIF('93_TARGET_MEMBERSHIP'!T$5:T$27,1))-SUMPRODUCT(--('93_TARGET_MEMBERSHIP'!T$5:T$27=-1),'05_FEATURE_MODEL'!Y$5:Y$27)/MAX(1,COUNTIF('93_TARGET_MEMBERSHIP'!T$5:T$27,-1))))</f>
        <v/>
      </c>
      <c r="Y23" s="34">
        <f>IF($B23="ABSOLUTE SEMANTIC",ABS('06_ITEM_POLE_MODEL'!AH23),ABS('06_ITEM_POLE_MODEL'!AH23)*ABS(SUMPRODUCT(--('93_TARGET_MEMBERSHIP'!T$5:T$27=1),'05_FEATURE_MODEL'!Z$5:Z$27)/MAX(1,COUNTIF('93_TARGET_MEMBERSHIP'!T$5:T$27,1))-SUMPRODUCT(--('93_TARGET_MEMBERSHIP'!T$5:T$27=-1),'05_FEATURE_MODEL'!Z$5:Z$27)/MAX(1,COUNTIF('93_TARGET_MEMBERSHIP'!T$5:T$27,-1))))</f>
        <v/>
      </c>
      <c r="Z23" s="34">
        <f>IF($B23="ABSOLUTE SEMANTIC",ABS('06_ITEM_POLE_MODEL'!AI23),ABS('06_ITEM_POLE_MODEL'!AI23)*ABS(SUMPRODUCT(--('93_TARGET_MEMBERSHIP'!T$5:T$27=1),'05_FEATURE_MODEL'!AA$5:AA$27)/MAX(1,COUNTIF('93_TARGET_MEMBERSHIP'!T$5:T$27,1))-SUMPRODUCT(--('93_TARGET_MEMBERSHIP'!T$5:T$27=-1),'05_FEATURE_MODEL'!AA$5:AA$27)/MAX(1,COUNTIF('93_TARGET_MEMBERSHIP'!T$5:T$27,-1))))</f>
        <v/>
      </c>
      <c r="AA23" s="34">
        <f>IF($B23="ABSOLUTE SEMANTIC",ABS('06_ITEM_POLE_MODEL'!AJ23),ABS('06_ITEM_POLE_MODEL'!AJ23)*ABS(SUMPRODUCT(--('93_TARGET_MEMBERSHIP'!T$5:T$27=1),'05_FEATURE_MODEL'!AB$5:AB$27)/MAX(1,COUNTIF('93_TARGET_MEMBERSHIP'!T$5:T$27,1))-SUMPRODUCT(--('93_TARGET_MEMBERSHIP'!T$5:T$27=-1),'05_FEATURE_MODEL'!AB$5:AB$27)/MAX(1,COUNTIF('93_TARGET_MEMBERSHIP'!T$5:T$27,-1))))</f>
        <v/>
      </c>
      <c r="AB23" s="34">
        <f>IF($B23="ABSOLUTE SEMANTIC",ABS('06_ITEM_POLE_MODEL'!AK23),ABS('06_ITEM_POLE_MODEL'!AK23)*ABS(SUMPRODUCT(--('93_TARGET_MEMBERSHIP'!T$5:T$27=1),'05_FEATURE_MODEL'!AC$5:AC$27)/MAX(1,COUNTIF('93_TARGET_MEMBERSHIP'!T$5:T$27,1))-SUMPRODUCT(--('93_TARGET_MEMBERSHIP'!T$5:T$27=-1),'05_FEATURE_MODEL'!AC$5:AC$27)/MAX(1,COUNTIF('93_TARGET_MEMBERSHIP'!T$5:T$27,-1))))</f>
        <v/>
      </c>
      <c r="AC23" s="34">
        <f>IF($B23="ABSOLUTE SEMANTIC",ABS('06_ITEM_POLE_MODEL'!AL23),ABS('06_ITEM_POLE_MODEL'!AL23)*ABS(SUMPRODUCT(--('93_TARGET_MEMBERSHIP'!T$5:T$27=1),'05_FEATURE_MODEL'!AD$5:AD$27)/MAX(1,COUNTIF('93_TARGET_MEMBERSHIP'!T$5:T$27,1))-SUMPRODUCT(--('93_TARGET_MEMBERSHIP'!T$5:T$27=-1),'05_FEATURE_MODEL'!AD$5:AD$27)/MAX(1,COUNTIF('93_TARGET_MEMBERSHIP'!T$5:T$27,-1))))</f>
        <v/>
      </c>
      <c r="AD23" s="34">
        <f>IF($B23="ABSOLUTE SEMANTIC",ABS('06_ITEM_POLE_MODEL'!AM23),ABS('06_ITEM_POLE_MODEL'!AM23)*ABS(SUMPRODUCT(--('93_TARGET_MEMBERSHIP'!T$5:T$27=1),'05_FEATURE_MODEL'!AE$5:AE$27)/MAX(1,COUNTIF('93_TARGET_MEMBERSHIP'!T$5:T$27,1))-SUMPRODUCT(--('93_TARGET_MEMBERSHIP'!T$5:T$27=-1),'05_FEATURE_MODEL'!AE$5:AE$27)/MAX(1,COUNTIF('93_TARGET_MEMBERSHIP'!T$5:T$27,-1))))</f>
        <v/>
      </c>
      <c r="AE23" s="34">
        <f>IF($B23="ABSOLUTE SEMANTIC",ABS('06_ITEM_POLE_MODEL'!AN23),ABS('06_ITEM_POLE_MODEL'!AN23)*ABS(SUMPRODUCT(--('93_TARGET_MEMBERSHIP'!T$5:T$27=1),'05_FEATURE_MODEL'!AF$5:AF$27)/MAX(1,COUNTIF('93_TARGET_MEMBERSHIP'!T$5:T$27,1))-SUMPRODUCT(--('93_TARGET_MEMBERSHIP'!T$5:T$27=-1),'05_FEATURE_MODEL'!AF$5:AF$27)/MAX(1,COUNTIF('93_TARGET_MEMBERSHIP'!T$5:T$27,-1))))</f>
        <v/>
      </c>
      <c r="AF23" s="34">
        <f>IF($B23="ABSOLUTE SEMANTIC",ABS('06_ITEM_POLE_MODEL'!AO23),ABS('06_ITEM_POLE_MODEL'!AO23)*ABS(SUMPRODUCT(--('93_TARGET_MEMBERSHIP'!T$5:T$27=1),'05_FEATURE_MODEL'!AG$5:AG$27)/MAX(1,COUNTIF('93_TARGET_MEMBERSHIP'!T$5:T$27,1))-SUMPRODUCT(--('93_TARGET_MEMBERSHIP'!T$5:T$27=-1),'05_FEATURE_MODEL'!AG$5:AG$27)/MAX(1,COUNTIF('93_TARGET_MEMBERSHIP'!T$5:T$27,-1))))</f>
        <v/>
      </c>
      <c r="AG23" s="34">
        <f>IF($B23="ABSOLUTE SEMANTIC",ABS('06_ITEM_POLE_MODEL'!AP23),ABS('06_ITEM_POLE_MODEL'!AP23)*ABS(SUMPRODUCT(--('93_TARGET_MEMBERSHIP'!T$5:T$27=1),'05_FEATURE_MODEL'!AH$5:AH$27)/MAX(1,COUNTIF('93_TARGET_MEMBERSHIP'!T$5:T$27,1))-SUMPRODUCT(--('93_TARGET_MEMBERSHIP'!T$5:T$27=-1),'05_FEATURE_MODEL'!AH$5:AH$27)/MAX(1,COUNTIF('93_TARGET_MEMBERSHIP'!T$5:T$27,-1))))</f>
        <v/>
      </c>
      <c r="AH23" s="34">
        <f>IF($B23="ABSOLUTE SEMANTIC",ABS('06_ITEM_POLE_MODEL'!AQ23),ABS('06_ITEM_POLE_MODEL'!AQ23)*ABS(SUMPRODUCT(--('93_TARGET_MEMBERSHIP'!T$5:T$27=1),'05_FEATURE_MODEL'!AI$5:AI$27)/MAX(1,COUNTIF('93_TARGET_MEMBERSHIP'!T$5:T$27,1))-SUMPRODUCT(--('93_TARGET_MEMBERSHIP'!T$5:T$27=-1),'05_FEATURE_MODEL'!AI$5:AI$27)/MAX(1,COUNTIF('93_TARGET_MEMBERSHIP'!T$5:T$27,-1))))</f>
        <v/>
      </c>
      <c r="AI23" s="34">
        <f>IF($B23="ABSOLUTE SEMANTIC",ABS('06_ITEM_POLE_MODEL'!AR23),ABS('06_ITEM_POLE_MODEL'!AR23)*ABS(SUMPRODUCT(--('93_TARGET_MEMBERSHIP'!T$5:T$27=1),'05_FEATURE_MODEL'!AJ$5:AJ$27)/MAX(1,COUNTIF('93_TARGET_MEMBERSHIP'!T$5:T$27,1))-SUMPRODUCT(--('93_TARGET_MEMBERSHIP'!T$5:T$27=-1),'05_FEATURE_MODEL'!AJ$5:AJ$27)/MAX(1,COUNTIF('93_TARGET_MEMBERSHIP'!T$5:T$27,-1))))</f>
        <v/>
      </c>
      <c r="AJ23" s="34">
        <f>IF($B23="ABSOLUTE SEMANTIC",ABS('06_ITEM_POLE_MODEL'!AS23),ABS('06_ITEM_POLE_MODEL'!AS23)*ABS(SUMPRODUCT(--('93_TARGET_MEMBERSHIP'!T$5:T$27=1),'05_FEATURE_MODEL'!AK$5:AK$27)/MAX(1,COUNTIF('93_TARGET_MEMBERSHIP'!T$5:T$27,1))-SUMPRODUCT(--('93_TARGET_MEMBERSHIP'!T$5:T$27=-1),'05_FEATURE_MODEL'!AK$5:AK$27)/MAX(1,COUNTIF('93_TARGET_MEMBERSHIP'!T$5:T$27,-1))))</f>
        <v/>
      </c>
      <c r="AK23" s="34">
        <f>IF($B23="ABSOLUTE SEMANTIC",ABS('06_ITEM_POLE_MODEL'!AT23),ABS('06_ITEM_POLE_MODEL'!AT23)*ABS(SUMPRODUCT(--('93_TARGET_MEMBERSHIP'!T$5:T$27=1),'05_FEATURE_MODEL'!AL$5:AL$27)/MAX(1,COUNTIF('93_TARGET_MEMBERSHIP'!T$5:T$27,1))-SUMPRODUCT(--('93_TARGET_MEMBERSHIP'!T$5:T$27=-1),'05_FEATURE_MODEL'!AL$5:AL$27)/MAX(1,COUNTIF('93_TARGET_MEMBERSHIP'!T$5:T$27,-1))))</f>
        <v/>
      </c>
      <c r="AL23" s="34">
        <f>IF($B23="ABSOLUTE SEMANTIC",ABS('06_ITEM_POLE_MODEL'!AU23),ABS('06_ITEM_POLE_MODEL'!AU23)*ABS(SUMPRODUCT(--('93_TARGET_MEMBERSHIP'!T$5:T$27=1),'05_FEATURE_MODEL'!AM$5:AM$27)/MAX(1,COUNTIF('93_TARGET_MEMBERSHIP'!T$5:T$27,1))-SUMPRODUCT(--('93_TARGET_MEMBERSHIP'!T$5:T$27=-1),'05_FEATURE_MODEL'!AM$5:AM$27)/MAX(1,COUNTIF('93_TARGET_MEMBERSHIP'!T$5:T$27,-1))))</f>
        <v/>
      </c>
      <c r="AM23" s="34">
        <f>IF($B23="ABSOLUTE SEMANTIC",ABS('06_ITEM_POLE_MODEL'!AV23),ABS('06_ITEM_POLE_MODEL'!AV23)*ABS(SUMPRODUCT(--('93_TARGET_MEMBERSHIP'!T$5:T$27=1),'05_FEATURE_MODEL'!AN$5:AN$27)/MAX(1,COUNTIF('93_TARGET_MEMBERSHIP'!T$5:T$27,1))-SUMPRODUCT(--('93_TARGET_MEMBERSHIP'!T$5:T$27=-1),'05_FEATURE_MODEL'!AN$5:AN$27)/MAX(1,COUNTIF('93_TARGET_MEMBERSHIP'!T$5:T$27,-1))))</f>
        <v/>
      </c>
      <c r="AN23" s="34">
        <f>IF($B23="ABSOLUTE SEMANTIC",ABS('06_ITEM_POLE_MODEL'!AW23),ABS('06_ITEM_POLE_MODEL'!AW23)*ABS(SUMPRODUCT(--('93_TARGET_MEMBERSHIP'!T$5:T$27=1),'05_FEATURE_MODEL'!AO$5:AO$27)/MAX(1,COUNTIF('93_TARGET_MEMBERSHIP'!T$5:T$27,1))-SUMPRODUCT(--('93_TARGET_MEMBERSHIP'!T$5:T$27=-1),'05_FEATURE_MODEL'!AO$5:AO$27)/MAX(1,COUNTIF('93_TARGET_MEMBERSHIP'!T$5:T$27,-1))))</f>
        <v/>
      </c>
      <c r="AO23" s="34">
        <f>IF($B23="ABSOLUTE SEMANTIC",ABS('06_ITEM_POLE_MODEL'!AX23),ABS('06_ITEM_POLE_MODEL'!AX23)*ABS(SUMPRODUCT(--('93_TARGET_MEMBERSHIP'!T$5:T$27=1),'05_FEATURE_MODEL'!AP$5:AP$27)/MAX(1,COUNTIF('93_TARGET_MEMBERSHIP'!T$5:T$27,1))-SUMPRODUCT(--('93_TARGET_MEMBERSHIP'!T$5:T$27=-1),'05_FEATURE_MODEL'!AP$5:AP$27)/MAX(1,COUNTIF('93_TARGET_MEMBERSHIP'!T$5:T$27,-1))))</f>
        <v/>
      </c>
      <c r="AP23" s="34">
        <f>IF($B23="ABSOLUTE SEMANTIC",ABS('06_ITEM_POLE_MODEL'!AY23),ABS('06_ITEM_POLE_MODEL'!AY23)*ABS(SUMPRODUCT(--('93_TARGET_MEMBERSHIP'!T$5:T$27=1),'05_FEATURE_MODEL'!AQ$5:AQ$27)/MAX(1,COUNTIF('93_TARGET_MEMBERSHIP'!T$5:T$27,1))-SUMPRODUCT(--('93_TARGET_MEMBERSHIP'!T$5:T$27=-1),'05_FEATURE_MODEL'!AQ$5:AQ$27)/MAX(1,COUNTIF('93_TARGET_MEMBERSHIP'!T$5:T$27,-1))))</f>
        <v/>
      </c>
      <c r="AQ23" s="34">
        <f>IF($B23="ABSOLUTE SEMANTIC",ABS('06_ITEM_POLE_MODEL'!AZ23),ABS('06_ITEM_POLE_MODEL'!AZ23)*ABS(SUMPRODUCT(--('93_TARGET_MEMBERSHIP'!T$5:T$27=1),'05_FEATURE_MODEL'!AR$5:AR$27)/MAX(1,COUNTIF('93_TARGET_MEMBERSHIP'!T$5:T$27,1))-SUMPRODUCT(--('93_TARGET_MEMBERSHIP'!T$5:T$27=-1),'05_FEATURE_MODEL'!AR$5:AR$27)/MAX(1,COUNTIF('93_TARGET_MEMBERSHIP'!T$5:T$27,-1))))</f>
        <v/>
      </c>
    </row>
    <row r="24" ht="36" customHeight="1">
      <c r="A24" s="34">
        <f>'06_ITEM_POLE_MODEL'!A24</f>
        <v/>
      </c>
      <c r="B24" s="34">
        <f>'06_ITEM_POLE_MODEL'!E24</f>
        <v/>
      </c>
      <c r="C24" s="34">
        <f>IF($B24="ABSOLUTE SEMANTIC",ABS('06_ITEM_POLE_MODEL'!L24),ABS('06_ITEM_POLE_MODEL'!L24)*ABS(SUMPRODUCT(--('93_TARGET_MEMBERSHIP'!U$5:U$27=1),'05_FEATURE_MODEL'!D$5:D$27)/MAX(1,COUNTIF('93_TARGET_MEMBERSHIP'!U$5:U$27,1))-SUMPRODUCT(--('93_TARGET_MEMBERSHIP'!U$5:U$27=-1),'05_FEATURE_MODEL'!D$5:D$27)/MAX(1,COUNTIF('93_TARGET_MEMBERSHIP'!U$5:U$27,-1))))</f>
        <v/>
      </c>
      <c r="D24" s="34">
        <f>IF($B24="ABSOLUTE SEMANTIC",ABS('06_ITEM_POLE_MODEL'!M24),ABS('06_ITEM_POLE_MODEL'!M24)*ABS(SUMPRODUCT(--('93_TARGET_MEMBERSHIP'!U$5:U$27=1),'05_FEATURE_MODEL'!E$5:E$27)/MAX(1,COUNTIF('93_TARGET_MEMBERSHIP'!U$5:U$27,1))-SUMPRODUCT(--('93_TARGET_MEMBERSHIP'!U$5:U$27=-1),'05_FEATURE_MODEL'!E$5:E$27)/MAX(1,COUNTIF('93_TARGET_MEMBERSHIP'!U$5:U$27,-1))))</f>
        <v/>
      </c>
      <c r="E24" s="34">
        <f>IF($B24="ABSOLUTE SEMANTIC",ABS('06_ITEM_POLE_MODEL'!N24),ABS('06_ITEM_POLE_MODEL'!N24)*ABS(SUMPRODUCT(--('93_TARGET_MEMBERSHIP'!U$5:U$27=1),'05_FEATURE_MODEL'!F$5:F$27)/MAX(1,COUNTIF('93_TARGET_MEMBERSHIP'!U$5:U$27,1))-SUMPRODUCT(--('93_TARGET_MEMBERSHIP'!U$5:U$27=-1),'05_FEATURE_MODEL'!F$5:F$27)/MAX(1,COUNTIF('93_TARGET_MEMBERSHIP'!U$5:U$27,-1))))</f>
        <v/>
      </c>
      <c r="F24" s="34">
        <f>IF($B24="ABSOLUTE SEMANTIC",ABS('06_ITEM_POLE_MODEL'!O24),ABS('06_ITEM_POLE_MODEL'!O24)*ABS(SUMPRODUCT(--('93_TARGET_MEMBERSHIP'!U$5:U$27=1),'05_FEATURE_MODEL'!G$5:G$27)/MAX(1,COUNTIF('93_TARGET_MEMBERSHIP'!U$5:U$27,1))-SUMPRODUCT(--('93_TARGET_MEMBERSHIP'!U$5:U$27=-1),'05_FEATURE_MODEL'!G$5:G$27)/MAX(1,COUNTIF('93_TARGET_MEMBERSHIP'!U$5:U$27,-1))))</f>
        <v/>
      </c>
      <c r="G24" s="34">
        <f>IF($B24="ABSOLUTE SEMANTIC",ABS('06_ITEM_POLE_MODEL'!P24),ABS('06_ITEM_POLE_MODEL'!P24)*ABS(SUMPRODUCT(--('93_TARGET_MEMBERSHIP'!U$5:U$27=1),'05_FEATURE_MODEL'!H$5:H$27)/MAX(1,COUNTIF('93_TARGET_MEMBERSHIP'!U$5:U$27,1))-SUMPRODUCT(--('93_TARGET_MEMBERSHIP'!U$5:U$27=-1),'05_FEATURE_MODEL'!H$5:H$27)/MAX(1,COUNTIF('93_TARGET_MEMBERSHIP'!U$5:U$27,-1))))</f>
        <v/>
      </c>
      <c r="H24" s="34">
        <f>IF($B24="ABSOLUTE SEMANTIC",ABS('06_ITEM_POLE_MODEL'!Q24),ABS('06_ITEM_POLE_MODEL'!Q24)*ABS(SUMPRODUCT(--('93_TARGET_MEMBERSHIP'!U$5:U$27=1),'05_FEATURE_MODEL'!I$5:I$27)/MAX(1,COUNTIF('93_TARGET_MEMBERSHIP'!U$5:U$27,1))-SUMPRODUCT(--('93_TARGET_MEMBERSHIP'!U$5:U$27=-1),'05_FEATURE_MODEL'!I$5:I$27)/MAX(1,COUNTIF('93_TARGET_MEMBERSHIP'!U$5:U$27,-1))))</f>
        <v/>
      </c>
      <c r="I24" s="34">
        <f>IF($B24="ABSOLUTE SEMANTIC",ABS('06_ITEM_POLE_MODEL'!R24),ABS('06_ITEM_POLE_MODEL'!R24)*ABS(SUMPRODUCT(--('93_TARGET_MEMBERSHIP'!U$5:U$27=1),'05_FEATURE_MODEL'!J$5:J$27)/MAX(1,COUNTIF('93_TARGET_MEMBERSHIP'!U$5:U$27,1))-SUMPRODUCT(--('93_TARGET_MEMBERSHIP'!U$5:U$27=-1),'05_FEATURE_MODEL'!J$5:J$27)/MAX(1,COUNTIF('93_TARGET_MEMBERSHIP'!U$5:U$27,-1))))</f>
        <v/>
      </c>
      <c r="J24" s="34">
        <f>IF($B24="ABSOLUTE SEMANTIC",ABS('06_ITEM_POLE_MODEL'!S24),ABS('06_ITEM_POLE_MODEL'!S24)*ABS(SUMPRODUCT(--('93_TARGET_MEMBERSHIP'!U$5:U$27=1),'05_FEATURE_MODEL'!K$5:K$27)/MAX(1,COUNTIF('93_TARGET_MEMBERSHIP'!U$5:U$27,1))-SUMPRODUCT(--('93_TARGET_MEMBERSHIP'!U$5:U$27=-1),'05_FEATURE_MODEL'!K$5:K$27)/MAX(1,COUNTIF('93_TARGET_MEMBERSHIP'!U$5:U$27,-1))))</f>
        <v/>
      </c>
      <c r="K24" s="34">
        <f>IF($B24="ABSOLUTE SEMANTIC",ABS('06_ITEM_POLE_MODEL'!T24),ABS('06_ITEM_POLE_MODEL'!T24)*ABS(SUMPRODUCT(--('93_TARGET_MEMBERSHIP'!U$5:U$27=1),'05_FEATURE_MODEL'!L$5:L$27)/MAX(1,COUNTIF('93_TARGET_MEMBERSHIP'!U$5:U$27,1))-SUMPRODUCT(--('93_TARGET_MEMBERSHIP'!U$5:U$27=-1),'05_FEATURE_MODEL'!L$5:L$27)/MAX(1,COUNTIF('93_TARGET_MEMBERSHIP'!U$5:U$27,-1))))</f>
        <v/>
      </c>
      <c r="L24" s="34">
        <f>IF($B24="ABSOLUTE SEMANTIC",ABS('06_ITEM_POLE_MODEL'!U24),ABS('06_ITEM_POLE_MODEL'!U24)*ABS(SUMPRODUCT(--('93_TARGET_MEMBERSHIP'!U$5:U$27=1),'05_FEATURE_MODEL'!M$5:M$27)/MAX(1,COUNTIF('93_TARGET_MEMBERSHIP'!U$5:U$27,1))-SUMPRODUCT(--('93_TARGET_MEMBERSHIP'!U$5:U$27=-1),'05_FEATURE_MODEL'!M$5:M$27)/MAX(1,COUNTIF('93_TARGET_MEMBERSHIP'!U$5:U$27,-1))))</f>
        <v/>
      </c>
      <c r="M24" s="34">
        <f>IF($B24="ABSOLUTE SEMANTIC",ABS('06_ITEM_POLE_MODEL'!V24),ABS('06_ITEM_POLE_MODEL'!V24)*ABS(SUMPRODUCT(--('93_TARGET_MEMBERSHIP'!U$5:U$27=1),'05_FEATURE_MODEL'!N$5:N$27)/MAX(1,COUNTIF('93_TARGET_MEMBERSHIP'!U$5:U$27,1))-SUMPRODUCT(--('93_TARGET_MEMBERSHIP'!U$5:U$27=-1),'05_FEATURE_MODEL'!N$5:N$27)/MAX(1,COUNTIF('93_TARGET_MEMBERSHIP'!U$5:U$27,-1))))</f>
        <v/>
      </c>
      <c r="N24" s="34">
        <f>IF($B24="ABSOLUTE SEMANTIC",ABS('06_ITEM_POLE_MODEL'!W24),ABS('06_ITEM_POLE_MODEL'!W24)*ABS(SUMPRODUCT(--('93_TARGET_MEMBERSHIP'!U$5:U$27=1),'05_FEATURE_MODEL'!O$5:O$27)/MAX(1,COUNTIF('93_TARGET_MEMBERSHIP'!U$5:U$27,1))-SUMPRODUCT(--('93_TARGET_MEMBERSHIP'!U$5:U$27=-1),'05_FEATURE_MODEL'!O$5:O$27)/MAX(1,COUNTIF('93_TARGET_MEMBERSHIP'!U$5:U$27,-1))))</f>
        <v/>
      </c>
      <c r="O24" s="34">
        <f>IF($B24="ABSOLUTE SEMANTIC",ABS('06_ITEM_POLE_MODEL'!X24),ABS('06_ITEM_POLE_MODEL'!X24)*ABS(SUMPRODUCT(--('93_TARGET_MEMBERSHIP'!U$5:U$27=1),'05_FEATURE_MODEL'!P$5:P$27)/MAX(1,COUNTIF('93_TARGET_MEMBERSHIP'!U$5:U$27,1))-SUMPRODUCT(--('93_TARGET_MEMBERSHIP'!U$5:U$27=-1),'05_FEATURE_MODEL'!P$5:P$27)/MAX(1,COUNTIF('93_TARGET_MEMBERSHIP'!U$5:U$27,-1))))</f>
        <v/>
      </c>
      <c r="P24" s="34">
        <f>IF($B24="ABSOLUTE SEMANTIC",ABS('06_ITEM_POLE_MODEL'!Y24),ABS('06_ITEM_POLE_MODEL'!Y24)*ABS(SUMPRODUCT(--('93_TARGET_MEMBERSHIP'!U$5:U$27=1),'05_FEATURE_MODEL'!Q$5:Q$27)/MAX(1,COUNTIF('93_TARGET_MEMBERSHIP'!U$5:U$27,1))-SUMPRODUCT(--('93_TARGET_MEMBERSHIP'!U$5:U$27=-1),'05_FEATURE_MODEL'!Q$5:Q$27)/MAX(1,COUNTIF('93_TARGET_MEMBERSHIP'!U$5:U$27,-1))))</f>
        <v/>
      </c>
      <c r="Q24" s="34">
        <f>IF($B24="ABSOLUTE SEMANTIC",ABS('06_ITEM_POLE_MODEL'!Z24),ABS('06_ITEM_POLE_MODEL'!Z24)*ABS(SUMPRODUCT(--('93_TARGET_MEMBERSHIP'!U$5:U$27=1),'05_FEATURE_MODEL'!R$5:R$27)/MAX(1,COUNTIF('93_TARGET_MEMBERSHIP'!U$5:U$27,1))-SUMPRODUCT(--('93_TARGET_MEMBERSHIP'!U$5:U$27=-1),'05_FEATURE_MODEL'!R$5:R$27)/MAX(1,COUNTIF('93_TARGET_MEMBERSHIP'!U$5:U$27,-1))))</f>
        <v/>
      </c>
      <c r="R24" s="34">
        <f>IF($B24="ABSOLUTE SEMANTIC",ABS('06_ITEM_POLE_MODEL'!AA24),ABS('06_ITEM_POLE_MODEL'!AA24)*ABS(SUMPRODUCT(--('93_TARGET_MEMBERSHIP'!U$5:U$27=1),'05_FEATURE_MODEL'!S$5:S$27)/MAX(1,COUNTIF('93_TARGET_MEMBERSHIP'!U$5:U$27,1))-SUMPRODUCT(--('93_TARGET_MEMBERSHIP'!U$5:U$27=-1),'05_FEATURE_MODEL'!S$5:S$27)/MAX(1,COUNTIF('93_TARGET_MEMBERSHIP'!U$5:U$27,-1))))</f>
        <v/>
      </c>
      <c r="S24" s="34">
        <f>IF($B24="ABSOLUTE SEMANTIC",ABS('06_ITEM_POLE_MODEL'!AB24),ABS('06_ITEM_POLE_MODEL'!AB24)*ABS(SUMPRODUCT(--('93_TARGET_MEMBERSHIP'!U$5:U$27=1),'05_FEATURE_MODEL'!T$5:T$27)/MAX(1,COUNTIF('93_TARGET_MEMBERSHIP'!U$5:U$27,1))-SUMPRODUCT(--('93_TARGET_MEMBERSHIP'!U$5:U$27=-1),'05_FEATURE_MODEL'!T$5:T$27)/MAX(1,COUNTIF('93_TARGET_MEMBERSHIP'!U$5:U$27,-1))))</f>
        <v/>
      </c>
      <c r="T24" s="34">
        <f>IF($B24="ABSOLUTE SEMANTIC",ABS('06_ITEM_POLE_MODEL'!AC24),ABS('06_ITEM_POLE_MODEL'!AC24)*ABS(SUMPRODUCT(--('93_TARGET_MEMBERSHIP'!U$5:U$27=1),'05_FEATURE_MODEL'!U$5:U$27)/MAX(1,COUNTIF('93_TARGET_MEMBERSHIP'!U$5:U$27,1))-SUMPRODUCT(--('93_TARGET_MEMBERSHIP'!U$5:U$27=-1),'05_FEATURE_MODEL'!U$5:U$27)/MAX(1,COUNTIF('93_TARGET_MEMBERSHIP'!U$5:U$27,-1))))</f>
        <v/>
      </c>
      <c r="U24" s="34">
        <f>IF($B24="ABSOLUTE SEMANTIC",ABS('06_ITEM_POLE_MODEL'!AD24),ABS('06_ITEM_POLE_MODEL'!AD24)*ABS(SUMPRODUCT(--('93_TARGET_MEMBERSHIP'!U$5:U$27=1),'05_FEATURE_MODEL'!V$5:V$27)/MAX(1,COUNTIF('93_TARGET_MEMBERSHIP'!U$5:U$27,1))-SUMPRODUCT(--('93_TARGET_MEMBERSHIP'!U$5:U$27=-1),'05_FEATURE_MODEL'!V$5:V$27)/MAX(1,COUNTIF('93_TARGET_MEMBERSHIP'!U$5:U$27,-1))))</f>
        <v/>
      </c>
      <c r="V24" s="34">
        <f>IF($B24="ABSOLUTE SEMANTIC",ABS('06_ITEM_POLE_MODEL'!AE24),ABS('06_ITEM_POLE_MODEL'!AE24)*ABS(SUMPRODUCT(--('93_TARGET_MEMBERSHIP'!U$5:U$27=1),'05_FEATURE_MODEL'!W$5:W$27)/MAX(1,COUNTIF('93_TARGET_MEMBERSHIP'!U$5:U$27,1))-SUMPRODUCT(--('93_TARGET_MEMBERSHIP'!U$5:U$27=-1),'05_FEATURE_MODEL'!W$5:W$27)/MAX(1,COUNTIF('93_TARGET_MEMBERSHIP'!U$5:U$27,-1))))</f>
        <v/>
      </c>
      <c r="W24" s="34">
        <f>IF($B24="ABSOLUTE SEMANTIC",ABS('06_ITEM_POLE_MODEL'!AF24),ABS('06_ITEM_POLE_MODEL'!AF24)*ABS(SUMPRODUCT(--('93_TARGET_MEMBERSHIP'!U$5:U$27=1),'05_FEATURE_MODEL'!X$5:X$27)/MAX(1,COUNTIF('93_TARGET_MEMBERSHIP'!U$5:U$27,1))-SUMPRODUCT(--('93_TARGET_MEMBERSHIP'!U$5:U$27=-1),'05_FEATURE_MODEL'!X$5:X$27)/MAX(1,COUNTIF('93_TARGET_MEMBERSHIP'!U$5:U$27,-1))))</f>
        <v/>
      </c>
      <c r="X24" s="34">
        <f>IF($B24="ABSOLUTE SEMANTIC",ABS('06_ITEM_POLE_MODEL'!AG24),ABS('06_ITEM_POLE_MODEL'!AG24)*ABS(SUMPRODUCT(--('93_TARGET_MEMBERSHIP'!U$5:U$27=1),'05_FEATURE_MODEL'!Y$5:Y$27)/MAX(1,COUNTIF('93_TARGET_MEMBERSHIP'!U$5:U$27,1))-SUMPRODUCT(--('93_TARGET_MEMBERSHIP'!U$5:U$27=-1),'05_FEATURE_MODEL'!Y$5:Y$27)/MAX(1,COUNTIF('93_TARGET_MEMBERSHIP'!U$5:U$27,-1))))</f>
        <v/>
      </c>
      <c r="Y24" s="34">
        <f>IF($B24="ABSOLUTE SEMANTIC",ABS('06_ITEM_POLE_MODEL'!AH24),ABS('06_ITEM_POLE_MODEL'!AH24)*ABS(SUMPRODUCT(--('93_TARGET_MEMBERSHIP'!U$5:U$27=1),'05_FEATURE_MODEL'!Z$5:Z$27)/MAX(1,COUNTIF('93_TARGET_MEMBERSHIP'!U$5:U$27,1))-SUMPRODUCT(--('93_TARGET_MEMBERSHIP'!U$5:U$27=-1),'05_FEATURE_MODEL'!Z$5:Z$27)/MAX(1,COUNTIF('93_TARGET_MEMBERSHIP'!U$5:U$27,-1))))</f>
        <v/>
      </c>
      <c r="Z24" s="34">
        <f>IF($B24="ABSOLUTE SEMANTIC",ABS('06_ITEM_POLE_MODEL'!AI24),ABS('06_ITEM_POLE_MODEL'!AI24)*ABS(SUMPRODUCT(--('93_TARGET_MEMBERSHIP'!U$5:U$27=1),'05_FEATURE_MODEL'!AA$5:AA$27)/MAX(1,COUNTIF('93_TARGET_MEMBERSHIP'!U$5:U$27,1))-SUMPRODUCT(--('93_TARGET_MEMBERSHIP'!U$5:U$27=-1),'05_FEATURE_MODEL'!AA$5:AA$27)/MAX(1,COUNTIF('93_TARGET_MEMBERSHIP'!U$5:U$27,-1))))</f>
        <v/>
      </c>
      <c r="AA24" s="34">
        <f>IF($B24="ABSOLUTE SEMANTIC",ABS('06_ITEM_POLE_MODEL'!AJ24),ABS('06_ITEM_POLE_MODEL'!AJ24)*ABS(SUMPRODUCT(--('93_TARGET_MEMBERSHIP'!U$5:U$27=1),'05_FEATURE_MODEL'!AB$5:AB$27)/MAX(1,COUNTIF('93_TARGET_MEMBERSHIP'!U$5:U$27,1))-SUMPRODUCT(--('93_TARGET_MEMBERSHIP'!U$5:U$27=-1),'05_FEATURE_MODEL'!AB$5:AB$27)/MAX(1,COUNTIF('93_TARGET_MEMBERSHIP'!U$5:U$27,-1))))</f>
        <v/>
      </c>
      <c r="AB24" s="34">
        <f>IF($B24="ABSOLUTE SEMANTIC",ABS('06_ITEM_POLE_MODEL'!AK24),ABS('06_ITEM_POLE_MODEL'!AK24)*ABS(SUMPRODUCT(--('93_TARGET_MEMBERSHIP'!U$5:U$27=1),'05_FEATURE_MODEL'!AC$5:AC$27)/MAX(1,COUNTIF('93_TARGET_MEMBERSHIP'!U$5:U$27,1))-SUMPRODUCT(--('93_TARGET_MEMBERSHIP'!U$5:U$27=-1),'05_FEATURE_MODEL'!AC$5:AC$27)/MAX(1,COUNTIF('93_TARGET_MEMBERSHIP'!U$5:U$27,-1))))</f>
        <v/>
      </c>
      <c r="AC24" s="34">
        <f>IF($B24="ABSOLUTE SEMANTIC",ABS('06_ITEM_POLE_MODEL'!AL24),ABS('06_ITEM_POLE_MODEL'!AL24)*ABS(SUMPRODUCT(--('93_TARGET_MEMBERSHIP'!U$5:U$27=1),'05_FEATURE_MODEL'!AD$5:AD$27)/MAX(1,COUNTIF('93_TARGET_MEMBERSHIP'!U$5:U$27,1))-SUMPRODUCT(--('93_TARGET_MEMBERSHIP'!U$5:U$27=-1),'05_FEATURE_MODEL'!AD$5:AD$27)/MAX(1,COUNTIF('93_TARGET_MEMBERSHIP'!U$5:U$27,-1))))</f>
        <v/>
      </c>
      <c r="AD24" s="34">
        <f>IF($B24="ABSOLUTE SEMANTIC",ABS('06_ITEM_POLE_MODEL'!AM24),ABS('06_ITEM_POLE_MODEL'!AM24)*ABS(SUMPRODUCT(--('93_TARGET_MEMBERSHIP'!U$5:U$27=1),'05_FEATURE_MODEL'!AE$5:AE$27)/MAX(1,COUNTIF('93_TARGET_MEMBERSHIP'!U$5:U$27,1))-SUMPRODUCT(--('93_TARGET_MEMBERSHIP'!U$5:U$27=-1),'05_FEATURE_MODEL'!AE$5:AE$27)/MAX(1,COUNTIF('93_TARGET_MEMBERSHIP'!U$5:U$27,-1))))</f>
        <v/>
      </c>
      <c r="AE24" s="34">
        <f>IF($B24="ABSOLUTE SEMANTIC",ABS('06_ITEM_POLE_MODEL'!AN24),ABS('06_ITEM_POLE_MODEL'!AN24)*ABS(SUMPRODUCT(--('93_TARGET_MEMBERSHIP'!U$5:U$27=1),'05_FEATURE_MODEL'!AF$5:AF$27)/MAX(1,COUNTIF('93_TARGET_MEMBERSHIP'!U$5:U$27,1))-SUMPRODUCT(--('93_TARGET_MEMBERSHIP'!U$5:U$27=-1),'05_FEATURE_MODEL'!AF$5:AF$27)/MAX(1,COUNTIF('93_TARGET_MEMBERSHIP'!U$5:U$27,-1))))</f>
        <v/>
      </c>
      <c r="AF24" s="34">
        <f>IF($B24="ABSOLUTE SEMANTIC",ABS('06_ITEM_POLE_MODEL'!AO24),ABS('06_ITEM_POLE_MODEL'!AO24)*ABS(SUMPRODUCT(--('93_TARGET_MEMBERSHIP'!U$5:U$27=1),'05_FEATURE_MODEL'!AG$5:AG$27)/MAX(1,COUNTIF('93_TARGET_MEMBERSHIP'!U$5:U$27,1))-SUMPRODUCT(--('93_TARGET_MEMBERSHIP'!U$5:U$27=-1),'05_FEATURE_MODEL'!AG$5:AG$27)/MAX(1,COUNTIF('93_TARGET_MEMBERSHIP'!U$5:U$27,-1))))</f>
        <v/>
      </c>
      <c r="AG24" s="34">
        <f>IF($B24="ABSOLUTE SEMANTIC",ABS('06_ITEM_POLE_MODEL'!AP24),ABS('06_ITEM_POLE_MODEL'!AP24)*ABS(SUMPRODUCT(--('93_TARGET_MEMBERSHIP'!U$5:U$27=1),'05_FEATURE_MODEL'!AH$5:AH$27)/MAX(1,COUNTIF('93_TARGET_MEMBERSHIP'!U$5:U$27,1))-SUMPRODUCT(--('93_TARGET_MEMBERSHIP'!U$5:U$27=-1),'05_FEATURE_MODEL'!AH$5:AH$27)/MAX(1,COUNTIF('93_TARGET_MEMBERSHIP'!U$5:U$27,-1))))</f>
        <v/>
      </c>
      <c r="AH24" s="34">
        <f>IF($B24="ABSOLUTE SEMANTIC",ABS('06_ITEM_POLE_MODEL'!AQ24),ABS('06_ITEM_POLE_MODEL'!AQ24)*ABS(SUMPRODUCT(--('93_TARGET_MEMBERSHIP'!U$5:U$27=1),'05_FEATURE_MODEL'!AI$5:AI$27)/MAX(1,COUNTIF('93_TARGET_MEMBERSHIP'!U$5:U$27,1))-SUMPRODUCT(--('93_TARGET_MEMBERSHIP'!U$5:U$27=-1),'05_FEATURE_MODEL'!AI$5:AI$27)/MAX(1,COUNTIF('93_TARGET_MEMBERSHIP'!U$5:U$27,-1))))</f>
        <v/>
      </c>
      <c r="AI24" s="34">
        <f>IF($B24="ABSOLUTE SEMANTIC",ABS('06_ITEM_POLE_MODEL'!AR24),ABS('06_ITEM_POLE_MODEL'!AR24)*ABS(SUMPRODUCT(--('93_TARGET_MEMBERSHIP'!U$5:U$27=1),'05_FEATURE_MODEL'!AJ$5:AJ$27)/MAX(1,COUNTIF('93_TARGET_MEMBERSHIP'!U$5:U$27,1))-SUMPRODUCT(--('93_TARGET_MEMBERSHIP'!U$5:U$27=-1),'05_FEATURE_MODEL'!AJ$5:AJ$27)/MAX(1,COUNTIF('93_TARGET_MEMBERSHIP'!U$5:U$27,-1))))</f>
        <v/>
      </c>
      <c r="AJ24" s="34">
        <f>IF($B24="ABSOLUTE SEMANTIC",ABS('06_ITEM_POLE_MODEL'!AS24),ABS('06_ITEM_POLE_MODEL'!AS24)*ABS(SUMPRODUCT(--('93_TARGET_MEMBERSHIP'!U$5:U$27=1),'05_FEATURE_MODEL'!AK$5:AK$27)/MAX(1,COUNTIF('93_TARGET_MEMBERSHIP'!U$5:U$27,1))-SUMPRODUCT(--('93_TARGET_MEMBERSHIP'!U$5:U$27=-1),'05_FEATURE_MODEL'!AK$5:AK$27)/MAX(1,COUNTIF('93_TARGET_MEMBERSHIP'!U$5:U$27,-1))))</f>
        <v/>
      </c>
      <c r="AK24" s="34">
        <f>IF($B24="ABSOLUTE SEMANTIC",ABS('06_ITEM_POLE_MODEL'!AT24),ABS('06_ITEM_POLE_MODEL'!AT24)*ABS(SUMPRODUCT(--('93_TARGET_MEMBERSHIP'!U$5:U$27=1),'05_FEATURE_MODEL'!AL$5:AL$27)/MAX(1,COUNTIF('93_TARGET_MEMBERSHIP'!U$5:U$27,1))-SUMPRODUCT(--('93_TARGET_MEMBERSHIP'!U$5:U$27=-1),'05_FEATURE_MODEL'!AL$5:AL$27)/MAX(1,COUNTIF('93_TARGET_MEMBERSHIP'!U$5:U$27,-1))))</f>
        <v/>
      </c>
      <c r="AL24" s="34">
        <f>IF($B24="ABSOLUTE SEMANTIC",ABS('06_ITEM_POLE_MODEL'!AU24),ABS('06_ITEM_POLE_MODEL'!AU24)*ABS(SUMPRODUCT(--('93_TARGET_MEMBERSHIP'!U$5:U$27=1),'05_FEATURE_MODEL'!AM$5:AM$27)/MAX(1,COUNTIF('93_TARGET_MEMBERSHIP'!U$5:U$27,1))-SUMPRODUCT(--('93_TARGET_MEMBERSHIP'!U$5:U$27=-1),'05_FEATURE_MODEL'!AM$5:AM$27)/MAX(1,COUNTIF('93_TARGET_MEMBERSHIP'!U$5:U$27,-1))))</f>
        <v/>
      </c>
      <c r="AM24" s="34">
        <f>IF($B24="ABSOLUTE SEMANTIC",ABS('06_ITEM_POLE_MODEL'!AV24),ABS('06_ITEM_POLE_MODEL'!AV24)*ABS(SUMPRODUCT(--('93_TARGET_MEMBERSHIP'!U$5:U$27=1),'05_FEATURE_MODEL'!AN$5:AN$27)/MAX(1,COUNTIF('93_TARGET_MEMBERSHIP'!U$5:U$27,1))-SUMPRODUCT(--('93_TARGET_MEMBERSHIP'!U$5:U$27=-1),'05_FEATURE_MODEL'!AN$5:AN$27)/MAX(1,COUNTIF('93_TARGET_MEMBERSHIP'!U$5:U$27,-1))))</f>
        <v/>
      </c>
      <c r="AN24" s="34">
        <f>IF($B24="ABSOLUTE SEMANTIC",ABS('06_ITEM_POLE_MODEL'!AW24),ABS('06_ITEM_POLE_MODEL'!AW24)*ABS(SUMPRODUCT(--('93_TARGET_MEMBERSHIP'!U$5:U$27=1),'05_FEATURE_MODEL'!AO$5:AO$27)/MAX(1,COUNTIF('93_TARGET_MEMBERSHIP'!U$5:U$27,1))-SUMPRODUCT(--('93_TARGET_MEMBERSHIP'!U$5:U$27=-1),'05_FEATURE_MODEL'!AO$5:AO$27)/MAX(1,COUNTIF('93_TARGET_MEMBERSHIP'!U$5:U$27,-1))))</f>
        <v/>
      </c>
      <c r="AO24" s="34">
        <f>IF($B24="ABSOLUTE SEMANTIC",ABS('06_ITEM_POLE_MODEL'!AX24),ABS('06_ITEM_POLE_MODEL'!AX24)*ABS(SUMPRODUCT(--('93_TARGET_MEMBERSHIP'!U$5:U$27=1),'05_FEATURE_MODEL'!AP$5:AP$27)/MAX(1,COUNTIF('93_TARGET_MEMBERSHIP'!U$5:U$27,1))-SUMPRODUCT(--('93_TARGET_MEMBERSHIP'!U$5:U$27=-1),'05_FEATURE_MODEL'!AP$5:AP$27)/MAX(1,COUNTIF('93_TARGET_MEMBERSHIP'!U$5:U$27,-1))))</f>
        <v/>
      </c>
      <c r="AP24" s="34">
        <f>IF($B24="ABSOLUTE SEMANTIC",ABS('06_ITEM_POLE_MODEL'!AY24),ABS('06_ITEM_POLE_MODEL'!AY24)*ABS(SUMPRODUCT(--('93_TARGET_MEMBERSHIP'!U$5:U$27=1),'05_FEATURE_MODEL'!AQ$5:AQ$27)/MAX(1,COUNTIF('93_TARGET_MEMBERSHIP'!U$5:U$27,1))-SUMPRODUCT(--('93_TARGET_MEMBERSHIP'!U$5:U$27=-1),'05_FEATURE_MODEL'!AQ$5:AQ$27)/MAX(1,COUNTIF('93_TARGET_MEMBERSHIP'!U$5:U$27,-1))))</f>
        <v/>
      </c>
      <c r="AQ24" s="34">
        <f>IF($B24="ABSOLUTE SEMANTIC",ABS('06_ITEM_POLE_MODEL'!AZ24),ABS('06_ITEM_POLE_MODEL'!AZ24)*ABS(SUMPRODUCT(--('93_TARGET_MEMBERSHIP'!U$5:U$27=1),'05_FEATURE_MODEL'!AR$5:AR$27)/MAX(1,COUNTIF('93_TARGET_MEMBERSHIP'!U$5:U$27,1))-SUMPRODUCT(--('93_TARGET_MEMBERSHIP'!U$5:U$27=-1),'05_FEATURE_MODEL'!AR$5:AR$27)/MAX(1,COUNTIF('93_TARGET_MEMBERSHIP'!U$5:U$27,-1))))</f>
        <v/>
      </c>
    </row>
    <row r="25" ht="36" customHeight="1">
      <c r="A25" s="34">
        <f>'06_ITEM_POLE_MODEL'!A25</f>
        <v/>
      </c>
      <c r="B25" s="34">
        <f>'06_ITEM_POLE_MODEL'!E25</f>
        <v/>
      </c>
      <c r="C25" s="34">
        <f>IF($B25="ABSOLUTE SEMANTIC",ABS('06_ITEM_POLE_MODEL'!L25),ABS('06_ITEM_POLE_MODEL'!L25)*ABS(SUMPRODUCT(--('93_TARGET_MEMBERSHIP'!V$5:V$27=1),'05_FEATURE_MODEL'!D$5:D$27)/MAX(1,COUNTIF('93_TARGET_MEMBERSHIP'!V$5:V$27,1))-SUMPRODUCT(--('93_TARGET_MEMBERSHIP'!V$5:V$27=-1),'05_FEATURE_MODEL'!D$5:D$27)/MAX(1,COUNTIF('93_TARGET_MEMBERSHIP'!V$5:V$27,-1))))</f>
        <v/>
      </c>
      <c r="D25" s="34">
        <f>IF($B25="ABSOLUTE SEMANTIC",ABS('06_ITEM_POLE_MODEL'!M25),ABS('06_ITEM_POLE_MODEL'!M25)*ABS(SUMPRODUCT(--('93_TARGET_MEMBERSHIP'!V$5:V$27=1),'05_FEATURE_MODEL'!E$5:E$27)/MAX(1,COUNTIF('93_TARGET_MEMBERSHIP'!V$5:V$27,1))-SUMPRODUCT(--('93_TARGET_MEMBERSHIP'!V$5:V$27=-1),'05_FEATURE_MODEL'!E$5:E$27)/MAX(1,COUNTIF('93_TARGET_MEMBERSHIP'!V$5:V$27,-1))))</f>
        <v/>
      </c>
      <c r="E25" s="34">
        <f>IF($B25="ABSOLUTE SEMANTIC",ABS('06_ITEM_POLE_MODEL'!N25),ABS('06_ITEM_POLE_MODEL'!N25)*ABS(SUMPRODUCT(--('93_TARGET_MEMBERSHIP'!V$5:V$27=1),'05_FEATURE_MODEL'!F$5:F$27)/MAX(1,COUNTIF('93_TARGET_MEMBERSHIP'!V$5:V$27,1))-SUMPRODUCT(--('93_TARGET_MEMBERSHIP'!V$5:V$27=-1),'05_FEATURE_MODEL'!F$5:F$27)/MAX(1,COUNTIF('93_TARGET_MEMBERSHIP'!V$5:V$27,-1))))</f>
        <v/>
      </c>
      <c r="F25" s="34">
        <f>IF($B25="ABSOLUTE SEMANTIC",ABS('06_ITEM_POLE_MODEL'!O25),ABS('06_ITEM_POLE_MODEL'!O25)*ABS(SUMPRODUCT(--('93_TARGET_MEMBERSHIP'!V$5:V$27=1),'05_FEATURE_MODEL'!G$5:G$27)/MAX(1,COUNTIF('93_TARGET_MEMBERSHIP'!V$5:V$27,1))-SUMPRODUCT(--('93_TARGET_MEMBERSHIP'!V$5:V$27=-1),'05_FEATURE_MODEL'!G$5:G$27)/MAX(1,COUNTIF('93_TARGET_MEMBERSHIP'!V$5:V$27,-1))))</f>
        <v/>
      </c>
      <c r="G25" s="34">
        <f>IF($B25="ABSOLUTE SEMANTIC",ABS('06_ITEM_POLE_MODEL'!P25),ABS('06_ITEM_POLE_MODEL'!P25)*ABS(SUMPRODUCT(--('93_TARGET_MEMBERSHIP'!V$5:V$27=1),'05_FEATURE_MODEL'!H$5:H$27)/MAX(1,COUNTIF('93_TARGET_MEMBERSHIP'!V$5:V$27,1))-SUMPRODUCT(--('93_TARGET_MEMBERSHIP'!V$5:V$27=-1),'05_FEATURE_MODEL'!H$5:H$27)/MAX(1,COUNTIF('93_TARGET_MEMBERSHIP'!V$5:V$27,-1))))</f>
        <v/>
      </c>
      <c r="H25" s="34">
        <f>IF($B25="ABSOLUTE SEMANTIC",ABS('06_ITEM_POLE_MODEL'!Q25),ABS('06_ITEM_POLE_MODEL'!Q25)*ABS(SUMPRODUCT(--('93_TARGET_MEMBERSHIP'!V$5:V$27=1),'05_FEATURE_MODEL'!I$5:I$27)/MAX(1,COUNTIF('93_TARGET_MEMBERSHIP'!V$5:V$27,1))-SUMPRODUCT(--('93_TARGET_MEMBERSHIP'!V$5:V$27=-1),'05_FEATURE_MODEL'!I$5:I$27)/MAX(1,COUNTIF('93_TARGET_MEMBERSHIP'!V$5:V$27,-1))))</f>
        <v/>
      </c>
      <c r="I25" s="34">
        <f>IF($B25="ABSOLUTE SEMANTIC",ABS('06_ITEM_POLE_MODEL'!R25),ABS('06_ITEM_POLE_MODEL'!R25)*ABS(SUMPRODUCT(--('93_TARGET_MEMBERSHIP'!V$5:V$27=1),'05_FEATURE_MODEL'!J$5:J$27)/MAX(1,COUNTIF('93_TARGET_MEMBERSHIP'!V$5:V$27,1))-SUMPRODUCT(--('93_TARGET_MEMBERSHIP'!V$5:V$27=-1),'05_FEATURE_MODEL'!J$5:J$27)/MAX(1,COUNTIF('93_TARGET_MEMBERSHIP'!V$5:V$27,-1))))</f>
        <v/>
      </c>
      <c r="J25" s="34">
        <f>IF($B25="ABSOLUTE SEMANTIC",ABS('06_ITEM_POLE_MODEL'!S25),ABS('06_ITEM_POLE_MODEL'!S25)*ABS(SUMPRODUCT(--('93_TARGET_MEMBERSHIP'!V$5:V$27=1),'05_FEATURE_MODEL'!K$5:K$27)/MAX(1,COUNTIF('93_TARGET_MEMBERSHIP'!V$5:V$27,1))-SUMPRODUCT(--('93_TARGET_MEMBERSHIP'!V$5:V$27=-1),'05_FEATURE_MODEL'!K$5:K$27)/MAX(1,COUNTIF('93_TARGET_MEMBERSHIP'!V$5:V$27,-1))))</f>
        <v/>
      </c>
      <c r="K25" s="34">
        <f>IF($B25="ABSOLUTE SEMANTIC",ABS('06_ITEM_POLE_MODEL'!T25),ABS('06_ITEM_POLE_MODEL'!T25)*ABS(SUMPRODUCT(--('93_TARGET_MEMBERSHIP'!V$5:V$27=1),'05_FEATURE_MODEL'!L$5:L$27)/MAX(1,COUNTIF('93_TARGET_MEMBERSHIP'!V$5:V$27,1))-SUMPRODUCT(--('93_TARGET_MEMBERSHIP'!V$5:V$27=-1),'05_FEATURE_MODEL'!L$5:L$27)/MAX(1,COUNTIF('93_TARGET_MEMBERSHIP'!V$5:V$27,-1))))</f>
        <v/>
      </c>
      <c r="L25" s="34">
        <f>IF($B25="ABSOLUTE SEMANTIC",ABS('06_ITEM_POLE_MODEL'!U25),ABS('06_ITEM_POLE_MODEL'!U25)*ABS(SUMPRODUCT(--('93_TARGET_MEMBERSHIP'!V$5:V$27=1),'05_FEATURE_MODEL'!M$5:M$27)/MAX(1,COUNTIF('93_TARGET_MEMBERSHIP'!V$5:V$27,1))-SUMPRODUCT(--('93_TARGET_MEMBERSHIP'!V$5:V$27=-1),'05_FEATURE_MODEL'!M$5:M$27)/MAX(1,COUNTIF('93_TARGET_MEMBERSHIP'!V$5:V$27,-1))))</f>
        <v/>
      </c>
      <c r="M25" s="34">
        <f>IF($B25="ABSOLUTE SEMANTIC",ABS('06_ITEM_POLE_MODEL'!V25),ABS('06_ITEM_POLE_MODEL'!V25)*ABS(SUMPRODUCT(--('93_TARGET_MEMBERSHIP'!V$5:V$27=1),'05_FEATURE_MODEL'!N$5:N$27)/MAX(1,COUNTIF('93_TARGET_MEMBERSHIP'!V$5:V$27,1))-SUMPRODUCT(--('93_TARGET_MEMBERSHIP'!V$5:V$27=-1),'05_FEATURE_MODEL'!N$5:N$27)/MAX(1,COUNTIF('93_TARGET_MEMBERSHIP'!V$5:V$27,-1))))</f>
        <v/>
      </c>
      <c r="N25" s="34">
        <f>IF($B25="ABSOLUTE SEMANTIC",ABS('06_ITEM_POLE_MODEL'!W25),ABS('06_ITEM_POLE_MODEL'!W25)*ABS(SUMPRODUCT(--('93_TARGET_MEMBERSHIP'!V$5:V$27=1),'05_FEATURE_MODEL'!O$5:O$27)/MAX(1,COUNTIF('93_TARGET_MEMBERSHIP'!V$5:V$27,1))-SUMPRODUCT(--('93_TARGET_MEMBERSHIP'!V$5:V$27=-1),'05_FEATURE_MODEL'!O$5:O$27)/MAX(1,COUNTIF('93_TARGET_MEMBERSHIP'!V$5:V$27,-1))))</f>
        <v/>
      </c>
      <c r="O25" s="34">
        <f>IF($B25="ABSOLUTE SEMANTIC",ABS('06_ITEM_POLE_MODEL'!X25),ABS('06_ITEM_POLE_MODEL'!X25)*ABS(SUMPRODUCT(--('93_TARGET_MEMBERSHIP'!V$5:V$27=1),'05_FEATURE_MODEL'!P$5:P$27)/MAX(1,COUNTIF('93_TARGET_MEMBERSHIP'!V$5:V$27,1))-SUMPRODUCT(--('93_TARGET_MEMBERSHIP'!V$5:V$27=-1),'05_FEATURE_MODEL'!P$5:P$27)/MAX(1,COUNTIF('93_TARGET_MEMBERSHIP'!V$5:V$27,-1))))</f>
        <v/>
      </c>
      <c r="P25" s="34">
        <f>IF($B25="ABSOLUTE SEMANTIC",ABS('06_ITEM_POLE_MODEL'!Y25),ABS('06_ITEM_POLE_MODEL'!Y25)*ABS(SUMPRODUCT(--('93_TARGET_MEMBERSHIP'!V$5:V$27=1),'05_FEATURE_MODEL'!Q$5:Q$27)/MAX(1,COUNTIF('93_TARGET_MEMBERSHIP'!V$5:V$27,1))-SUMPRODUCT(--('93_TARGET_MEMBERSHIP'!V$5:V$27=-1),'05_FEATURE_MODEL'!Q$5:Q$27)/MAX(1,COUNTIF('93_TARGET_MEMBERSHIP'!V$5:V$27,-1))))</f>
        <v/>
      </c>
      <c r="Q25" s="34">
        <f>IF($B25="ABSOLUTE SEMANTIC",ABS('06_ITEM_POLE_MODEL'!Z25),ABS('06_ITEM_POLE_MODEL'!Z25)*ABS(SUMPRODUCT(--('93_TARGET_MEMBERSHIP'!V$5:V$27=1),'05_FEATURE_MODEL'!R$5:R$27)/MAX(1,COUNTIF('93_TARGET_MEMBERSHIP'!V$5:V$27,1))-SUMPRODUCT(--('93_TARGET_MEMBERSHIP'!V$5:V$27=-1),'05_FEATURE_MODEL'!R$5:R$27)/MAX(1,COUNTIF('93_TARGET_MEMBERSHIP'!V$5:V$27,-1))))</f>
        <v/>
      </c>
      <c r="R25" s="34">
        <f>IF($B25="ABSOLUTE SEMANTIC",ABS('06_ITEM_POLE_MODEL'!AA25),ABS('06_ITEM_POLE_MODEL'!AA25)*ABS(SUMPRODUCT(--('93_TARGET_MEMBERSHIP'!V$5:V$27=1),'05_FEATURE_MODEL'!S$5:S$27)/MAX(1,COUNTIF('93_TARGET_MEMBERSHIP'!V$5:V$27,1))-SUMPRODUCT(--('93_TARGET_MEMBERSHIP'!V$5:V$27=-1),'05_FEATURE_MODEL'!S$5:S$27)/MAX(1,COUNTIF('93_TARGET_MEMBERSHIP'!V$5:V$27,-1))))</f>
        <v/>
      </c>
      <c r="S25" s="34">
        <f>IF($B25="ABSOLUTE SEMANTIC",ABS('06_ITEM_POLE_MODEL'!AB25),ABS('06_ITEM_POLE_MODEL'!AB25)*ABS(SUMPRODUCT(--('93_TARGET_MEMBERSHIP'!V$5:V$27=1),'05_FEATURE_MODEL'!T$5:T$27)/MAX(1,COUNTIF('93_TARGET_MEMBERSHIP'!V$5:V$27,1))-SUMPRODUCT(--('93_TARGET_MEMBERSHIP'!V$5:V$27=-1),'05_FEATURE_MODEL'!T$5:T$27)/MAX(1,COUNTIF('93_TARGET_MEMBERSHIP'!V$5:V$27,-1))))</f>
        <v/>
      </c>
      <c r="T25" s="34">
        <f>IF($B25="ABSOLUTE SEMANTIC",ABS('06_ITEM_POLE_MODEL'!AC25),ABS('06_ITEM_POLE_MODEL'!AC25)*ABS(SUMPRODUCT(--('93_TARGET_MEMBERSHIP'!V$5:V$27=1),'05_FEATURE_MODEL'!U$5:U$27)/MAX(1,COUNTIF('93_TARGET_MEMBERSHIP'!V$5:V$27,1))-SUMPRODUCT(--('93_TARGET_MEMBERSHIP'!V$5:V$27=-1),'05_FEATURE_MODEL'!U$5:U$27)/MAX(1,COUNTIF('93_TARGET_MEMBERSHIP'!V$5:V$27,-1))))</f>
        <v/>
      </c>
      <c r="U25" s="34">
        <f>IF($B25="ABSOLUTE SEMANTIC",ABS('06_ITEM_POLE_MODEL'!AD25),ABS('06_ITEM_POLE_MODEL'!AD25)*ABS(SUMPRODUCT(--('93_TARGET_MEMBERSHIP'!V$5:V$27=1),'05_FEATURE_MODEL'!V$5:V$27)/MAX(1,COUNTIF('93_TARGET_MEMBERSHIP'!V$5:V$27,1))-SUMPRODUCT(--('93_TARGET_MEMBERSHIP'!V$5:V$27=-1),'05_FEATURE_MODEL'!V$5:V$27)/MAX(1,COUNTIF('93_TARGET_MEMBERSHIP'!V$5:V$27,-1))))</f>
        <v/>
      </c>
      <c r="V25" s="34">
        <f>IF($B25="ABSOLUTE SEMANTIC",ABS('06_ITEM_POLE_MODEL'!AE25),ABS('06_ITEM_POLE_MODEL'!AE25)*ABS(SUMPRODUCT(--('93_TARGET_MEMBERSHIP'!V$5:V$27=1),'05_FEATURE_MODEL'!W$5:W$27)/MAX(1,COUNTIF('93_TARGET_MEMBERSHIP'!V$5:V$27,1))-SUMPRODUCT(--('93_TARGET_MEMBERSHIP'!V$5:V$27=-1),'05_FEATURE_MODEL'!W$5:W$27)/MAX(1,COUNTIF('93_TARGET_MEMBERSHIP'!V$5:V$27,-1))))</f>
        <v/>
      </c>
      <c r="W25" s="34">
        <f>IF($B25="ABSOLUTE SEMANTIC",ABS('06_ITEM_POLE_MODEL'!AF25),ABS('06_ITEM_POLE_MODEL'!AF25)*ABS(SUMPRODUCT(--('93_TARGET_MEMBERSHIP'!V$5:V$27=1),'05_FEATURE_MODEL'!X$5:X$27)/MAX(1,COUNTIF('93_TARGET_MEMBERSHIP'!V$5:V$27,1))-SUMPRODUCT(--('93_TARGET_MEMBERSHIP'!V$5:V$27=-1),'05_FEATURE_MODEL'!X$5:X$27)/MAX(1,COUNTIF('93_TARGET_MEMBERSHIP'!V$5:V$27,-1))))</f>
        <v/>
      </c>
      <c r="X25" s="34">
        <f>IF($B25="ABSOLUTE SEMANTIC",ABS('06_ITEM_POLE_MODEL'!AG25),ABS('06_ITEM_POLE_MODEL'!AG25)*ABS(SUMPRODUCT(--('93_TARGET_MEMBERSHIP'!V$5:V$27=1),'05_FEATURE_MODEL'!Y$5:Y$27)/MAX(1,COUNTIF('93_TARGET_MEMBERSHIP'!V$5:V$27,1))-SUMPRODUCT(--('93_TARGET_MEMBERSHIP'!V$5:V$27=-1),'05_FEATURE_MODEL'!Y$5:Y$27)/MAX(1,COUNTIF('93_TARGET_MEMBERSHIP'!V$5:V$27,-1))))</f>
        <v/>
      </c>
      <c r="Y25" s="34">
        <f>IF($B25="ABSOLUTE SEMANTIC",ABS('06_ITEM_POLE_MODEL'!AH25),ABS('06_ITEM_POLE_MODEL'!AH25)*ABS(SUMPRODUCT(--('93_TARGET_MEMBERSHIP'!V$5:V$27=1),'05_FEATURE_MODEL'!Z$5:Z$27)/MAX(1,COUNTIF('93_TARGET_MEMBERSHIP'!V$5:V$27,1))-SUMPRODUCT(--('93_TARGET_MEMBERSHIP'!V$5:V$27=-1),'05_FEATURE_MODEL'!Z$5:Z$27)/MAX(1,COUNTIF('93_TARGET_MEMBERSHIP'!V$5:V$27,-1))))</f>
        <v/>
      </c>
      <c r="Z25" s="34">
        <f>IF($B25="ABSOLUTE SEMANTIC",ABS('06_ITEM_POLE_MODEL'!AI25),ABS('06_ITEM_POLE_MODEL'!AI25)*ABS(SUMPRODUCT(--('93_TARGET_MEMBERSHIP'!V$5:V$27=1),'05_FEATURE_MODEL'!AA$5:AA$27)/MAX(1,COUNTIF('93_TARGET_MEMBERSHIP'!V$5:V$27,1))-SUMPRODUCT(--('93_TARGET_MEMBERSHIP'!V$5:V$27=-1),'05_FEATURE_MODEL'!AA$5:AA$27)/MAX(1,COUNTIF('93_TARGET_MEMBERSHIP'!V$5:V$27,-1))))</f>
        <v/>
      </c>
      <c r="AA25" s="34">
        <f>IF($B25="ABSOLUTE SEMANTIC",ABS('06_ITEM_POLE_MODEL'!AJ25),ABS('06_ITEM_POLE_MODEL'!AJ25)*ABS(SUMPRODUCT(--('93_TARGET_MEMBERSHIP'!V$5:V$27=1),'05_FEATURE_MODEL'!AB$5:AB$27)/MAX(1,COUNTIF('93_TARGET_MEMBERSHIP'!V$5:V$27,1))-SUMPRODUCT(--('93_TARGET_MEMBERSHIP'!V$5:V$27=-1),'05_FEATURE_MODEL'!AB$5:AB$27)/MAX(1,COUNTIF('93_TARGET_MEMBERSHIP'!V$5:V$27,-1))))</f>
        <v/>
      </c>
      <c r="AB25" s="34">
        <f>IF($B25="ABSOLUTE SEMANTIC",ABS('06_ITEM_POLE_MODEL'!AK25),ABS('06_ITEM_POLE_MODEL'!AK25)*ABS(SUMPRODUCT(--('93_TARGET_MEMBERSHIP'!V$5:V$27=1),'05_FEATURE_MODEL'!AC$5:AC$27)/MAX(1,COUNTIF('93_TARGET_MEMBERSHIP'!V$5:V$27,1))-SUMPRODUCT(--('93_TARGET_MEMBERSHIP'!V$5:V$27=-1),'05_FEATURE_MODEL'!AC$5:AC$27)/MAX(1,COUNTIF('93_TARGET_MEMBERSHIP'!V$5:V$27,-1))))</f>
        <v/>
      </c>
      <c r="AC25" s="34">
        <f>IF($B25="ABSOLUTE SEMANTIC",ABS('06_ITEM_POLE_MODEL'!AL25),ABS('06_ITEM_POLE_MODEL'!AL25)*ABS(SUMPRODUCT(--('93_TARGET_MEMBERSHIP'!V$5:V$27=1),'05_FEATURE_MODEL'!AD$5:AD$27)/MAX(1,COUNTIF('93_TARGET_MEMBERSHIP'!V$5:V$27,1))-SUMPRODUCT(--('93_TARGET_MEMBERSHIP'!V$5:V$27=-1),'05_FEATURE_MODEL'!AD$5:AD$27)/MAX(1,COUNTIF('93_TARGET_MEMBERSHIP'!V$5:V$27,-1))))</f>
        <v/>
      </c>
      <c r="AD25" s="34">
        <f>IF($B25="ABSOLUTE SEMANTIC",ABS('06_ITEM_POLE_MODEL'!AM25),ABS('06_ITEM_POLE_MODEL'!AM25)*ABS(SUMPRODUCT(--('93_TARGET_MEMBERSHIP'!V$5:V$27=1),'05_FEATURE_MODEL'!AE$5:AE$27)/MAX(1,COUNTIF('93_TARGET_MEMBERSHIP'!V$5:V$27,1))-SUMPRODUCT(--('93_TARGET_MEMBERSHIP'!V$5:V$27=-1),'05_FEATURE_MODEL'!AE$5:AE$27)/MAX(1,COUNTIF('93_TARGET_MEMBERSHIP'!V$5:V$27,-1))))</f>
        <v/>
      </c>
      <c r="AE25" s="34">
        <f>IF($B25="ABSOLUTE SEMANTIC",ABS('06_ITEM_POLE_MODEL'!AN25),ABS('06_ITEM_POLE_MODEL'!AN25)*ABS(SUMPRODUCT(--('93_TARGET_MEMBERSHIP'!V$5:V$27=1),'05_FEATURE_MODEL'!AF$5:AF$27)/MAX(1,COUNTIF('93_TARGET_MEMBERSHIP'!V$5:V$27,1))-SUMPRODUCT(--('93_TARGET_MEMBERSHIP'!V$5:V$27=-1),'05_FEATURE_MODEL'!AF$5:AF$27)/MAX(1,COUNTIF('93_TARGET_MEMBERSHIP'!V$5:V$27,-1))))</f>
        <v/>
      </c>
      <c r="AF25" s="34">
        <f>IF($B25="ABSOLUTE SEMANTIC",ABS('06_ITEM_POLE_MODEL'!AO25),ABS('06_ITEM_POLE_MODEL'!AO25)*ABS(SUMPRODUCT(--('93_TARGET_MEMBERSHIP'!V$5:V$27=1),'05_FEATURE_MODEL'!AG$5:AG$27)/MAX(1,COUNTIF('93_TARGET_MEMBERSHIP'!V$5:V$27,1))-SUMPRODUCT(--('93_TARGET_MEMBERSHIP'!V$5:V$27=-1),'05_FEATURE_MODEL'!AG$5:AG$27)/MAX(1,COUNTIF('93_TARGET_MEMBERSHIP'!V$5:V$27,-1))))</f>
        <v/>
      </c>
      <c r="AG25" s="34">
        <f>IF($B25="ABSOLUTE SEMANTIC",ABS('06_ITEM_POLE_MODEL'!AP25),ABS('06_ITEM_POLE_MODEL'!AP25)*ABS(SUMPRODUCT(--('93_TARGET_MEMBERSHIP'!V$5:V$27=1),'05_FEATURE_MODEL'!AH$5:AH$27)/MAX(1,COUNTIF('93_TARGET_MEMBERSHIP'!V$5:V$27,1))-SUMPRODUCT(--('93_TARGET_MEMBERSHIP'!V$5:V$27=-1),'05_FEATURE_MODEL'!AH$5:AH$27)/MAX(1,COUNTIF('93_TARGET_MEMBERSHIP'!V$5:V$27,-1))))</f>
        <v/>
      </c>
      <c r="AH25" s="34">
        <f>IF($B25="ABSOLUTE SEMANTIC",ABS('06_ITEM_POLE_MODEL'!AQ25),ABS('06_ITEM_POLE_MODEL'!AQ25)*ABS(SUMPRODUCT(--('93_TARGET_MEMBERSHIP'!V$5:V$27=1),'05_FEATURE_MODEL'!AI$5:AI$27)/MAX(1,COUNTIF('93_TARGET_MEMBERSHIP'!V$5:V$27,1))-SUMPRODUCT(--('93_TARGET_MEMBERSHIP'!V$5:V$27=-1),'05_FEATURE_MODEL'!AI$5:AI$27)/MAX(1,COUNTIF('93_TARGET_MEMBERSHIP'!V$5:V$27,-1))))</f>
        <v/>
      </c>
      <c r="AI25" s="34">
        <f>IF($B25="ABSOLUTE SEMANTIC",ABS('06_ITEM_POLE_MODEL'!AR25),ABS('06_ITEM_POLE_MODEL'!AR25)*ABS(SUMPRODUCT(--('93_TARGET_MEMBERSHIP'!V$5:V$27=1),'05_FEATURE_MODEL'!AJ$5:AJ$27)/MAX(1,COUNTIF('93_TARGET_MEMBERSHIP'!V$5:V$27,1))-SUMPRODUCT(--('93_TARGET_MEMBERSHIP'!V$5:V$27=-1),'05_FEATURE_MODEL'!AJ$5:AJ$27)/MAX(1,COUNTIF('93_TARGET_MEMBERSHIP'!V$5:V$27,-1))))</f>
        <v/>
      </c>
      <c r="AJ25" s="34">
        <f>IF($B25="ABSOLUTE SEMANTIC",ABS('06_ITEM_POLE_MODEL'!AS25),ABS('06_ITEM_POLE_MODEL'!AS25)*ABS(SUMPRODUCT(--('93_TARGET_MEMBERSHIP'!V$5:V$27=1),'05_FEATURE_MODEL'!AK$5:AK$27)/MAX(1,COUNTIF('93_TARGET_MEMBERSHIP'!V$5:V$27,1))-SUMPRODUCT(--('93_TARGET_MEMBERSHIP'!V$5:V$27=-1),'05_FEATURE_MODEL'!AK$5:AK$27)/MAX(1,COUNTIF('93_TARGET_MEMBERSHIP'!V$5:V$27,-1))))</f>
        <v/>
      </c>
      <c r="AK25" s="34">
        <f>IF($B25="ABSOLUTE SEMANTIC",ABS('06_ITEM_POLE_MODEL'!AT25),ABS('06_ITEM_POLE_MODEL'!AT25)*ABS(SUMPRODUCT(--('93_TARGET_MEMBERSHIP'!V$5:V$27=1),'05_FEATURE_MODEL'!AL$5:AL$27)/MAX(1,COUNTIF('93_TARGET_MEMBERSHIP'!V$5:V$27,1))-SUMPRODUCT(--('93_TARGET_MEMBERSHIP'!V$5:V$27=-1),'05_FEATURE_MODEL'!AL$5:AL$27)/MAX(1,COUNTIF('93_TARGET_MEMBERSHIP'!V$5:V$27,-1))))</f>
        <v/>
      </c>
      <c r="AL25" s="34">
        <f>IF($B25="ABSOLUTE SEMANTIC",ABS('06_ITEM_POLE_MODEL'!AU25),ABS('06_ITEM_POLE_MODEL'!AU25)*ABS(SUMPRODUCT(--('93_TARGET_MEMBERSHIP'!V$5:V$27=1),'05_FEATURE_MODEL'!AM$5:AM$27)/MAX(1,COUNTIF('93_TARGET_MEMBERSHIP'!V$5:V$27,1))-SUMPRODUCT(--('93_TARGET_MEMBERSHIP'!V$5:V$27=-1),'05_FEATURE_MODEL'!AM$5:AM$27)/MAX(1,COUNTIF('93_TARGET_MEMBERSHIP'!V$5:V$27,-1))))</f>
        <v/>
      </c>
      <c r="AM25" s="34">
        <f>IF($B25="ABSOLUTE SEMANTIC",ABS('06_ITEM_POLE_MODEL'!AV25),ABS('06_ITEM_POLE_MODEL'!AV25)*ABS(SUMPRODUCT(--('93_TARGET_MEMBERSHIP'!V$5:V$27=1),'05_FEATURE_MODEL'!AN$5:AN$27)/MAX(1,COUNTIF('93_TARGET_MEMBERSHIP'!V$5:V$27,1))-SUMPRODUCT(--('93_TARGET_MEMBERSHIP'!V$5:V$27=-1),'05_FEATURE_MODEL'!AN$5:AN$27)/MAX(1,COUNTIF('93_TARGET_MEMBERSHIP'!V$5:V$27,-1))))</f>
        <v/>
      </c>
      <c r="AN25" s="34">
        <f>IF($B25="ABSOLUTE SEMANTIC",ABS('06_ITEM_POLE_MODEL'!AW25),ABS('06_ITEM_POLE_MODEL'!AW25)*ABS(SUMPRODUCT(--('93_TARGET_MEMBERSHIP'!V$5:V$27=1),'05_FEATURE_MODEL'!AO$5:AO$27)/MAX(1,COUNTIF('93_TARGET_MEMBERSHIP'!V$5:V$27,1))-SUMPRODUCT(--('93_TARGET_MEMBERSHIP'!V$5:V$27=-1),'05_FEATURE_MODEL'!AO$5:AO$27)/MAX(1,COUNTIF('93_TARGET_MEMBERSHIP'!V$5:V$27,-1))))</f>
        <v/>
      </c>
      <c r="AO25" s="34">
        <f>IF($B25="ABSOLUTE SEMANTIC",ABS('06_ITEM_POLE_MODEL'!AX25),ABS('06_ITEM_POLE_MODEL'!AX25)*ABS(SUMPRODUCT(--('93_TARGET_MEMBERSHIP'!V$5:V$27=1),'05_FEATURE_MODEL'!AP$5:AP$27)/MAX(1,COUNTIF('93_TARGET_MEMBERSHIP'!V$5:V$27,1))-SUMPRODUCT(--('93_TARGET_MEMBERSHIP'!V$5:V$27=-1),'05_FEATURE_MODEL'!AP$5:AP$27)/MAX(1,COUNTIF('93_TARGET_MEMBERSHIP'!V$5:V$27,-1))))</f>
        <v/>
      </c>
      <c r="AP25" s="34">
        <f>IF($B25="ABSOLUTE SEMANTIC",ABS('06_ITEM_POLE_MODEL'!AY25),ABS('06_ITEM_POLE_MODEL'!AY25)*ABS(SUMPRODUCT(--('93_TARGET_MEMBERSHIP'!V$5:V$27=1),'05_FEATURE_MODEL'!AQ$5:AQ$27)/MAX(1,COUNTIF('93_TARGET_MEMBERSHIP'!V$5:V$27,1))-SUMPRODUCT(--('93_TARGET_MEMBERSHIP'!V$5:V$27=-1),'05_FEATURE_MODEL'!AQ$5:AQ$27)/MAX(1,COUNTIF('93_TARGET_MEMBERSHIP'!V$5:V$27,-1))))</f>
        <v/>
      </c>
      <c r="AQ25" s="34">
        <f>IF($B25="ABSOLUTE SEMANTIC",ABS('06_ITEM_POLE_MODEL'!AZ25),ABS('06_ITEM_POLE_MODEL'!AZ25)*ABS(SUMPRODUCT(--('93_TARGET_MEMBERSHIP'!V$5:V$27=1),'05_FEATURE_MODEL'!AR$5:AR$27)/MAX(1,COUNTIF('93_TARGET_MEMBERSHIP'!V$5:V$27,1))-SUMPRODUCT(--('93_TARGET_MEMBERSHIP'!V$5:V$27=-1),'05_FEATURE_MODEL'!AR$5:AR$27)/MAX(1,COUNTIF('93_TARGET_MEMBERSHIP'!V$5:V$27,-1))))</f>
        <v/>
      </c>
    </row>
    <row r="26" ht="36" customHeight="1">
      <c r="A26" s="34">
        <f>'06_ITEM_POLE_MODEL'!A26</f>
        <v/>
      </c>
      <c r="B26" s="34">
        <f>'06_ITEM_POLE_MODEL'!E26</f>
        <v/>
      </c>
      <c r="C26" s="34">
        <f>IF($B26="ABSOLUTE SEMANTIC",ABS('06_ITEM_POLE_MODEL'!L26),ABS('06_ITEM_POLE_MODEL'!L26)*ABS(SUMPRODUCT(--('93_TARGET_MEMBERSHIP'!W$5:W$27=1),'05_FEATURE_MODEL'!D$5:D$27)/MAX(1,COUNTIF('93_TARGET_MEMBERSHIP'!W$5:W$27,1))-SUMPRODUCT(--('93_TARGET_MEMBERSHIP'!W$5:W$27=-1),'05_FEATURE_MODEL'!D$5:D$27)/MAX(1,COUNTIF('93_TARGET_MEMBERSHIP'!W$5:W$27,-1))))</f>
        <v/>
      </c>
      <c r="D26" s="34">
        <f>IF($B26="ABSOLUTE SEMANTIC",ABS('06_ITEM_POLE_MODEL'!M26),ABS('06_ITEM_POLE_MODEL'!M26)*ABS(SUMPRODUCT(--('93_TARGET_MEMBERSHIP'!W$5:W$27=1),'05_FEATURE_MODEL'!E$5:E$27)/MAX(1,COUNTIF('93_TARGET_MEMBERSHIP'!W$5:W$27,1))-SUMPRODUCT(--('93_TARGET_MEMBERSHIP'!W$5:W$27=-1),'05_FEATURE_MODEL'!E$5:E$27)/MAX(1,COUNTIF('93_TARGET_MEMBERSHIP'!W$5:W$27,-1))))</f>
        <v/>
      </c>
      <c r="E26" s="34">
        <f>IF($B26="ABSOLUTE SEMANTIC",ABS('06_ITEM_POLE_MODEL'!N26),ABS('06_ITEM_POLE_MODEL'!N26)*ABS(SUMPRODUCT(--('93_TARGET_MEMBERSHIP'!W$5:W$27=1),'05_FEATURE_MODEL'!F$5:F$27)/MAX(1,COUNTIF('93_TARGET_MEMBERSHIP'!W$5:W$27,1))-SUMPRODUCT(--('93_TARGET_MEMBERSHIP'!W$5:W$27=-1),'05_FEATURE_MODEL'!F$5:F$27)/MAX(1,COUNTIF('93_TARGET_MEMBERSHIP'!W$5:W$27,-1))))</f>
        <v/>
      </c>
      <c r="F26" s="34">
        <f>IF($B26="ABSOLUTE SEMANTIC",ABS('06_ITEM_POLE_MODEL'!O26),ABS('06_ITEM_POLE_MODEL'!O26)*ABS(SUMPRODUCT(--('93_TARGET_MEMBERSHIP'!W$5:W$27=1),'05_FEATURE_MODEL'!G$5:G$27)/MAX(1,COUNTIF('93_TARGET_MEMBERSHIP'!W$5:W$27,1))-SUMPRODUCT(--('93_TARGET_MEMBERSHIP'!W$5:W$27=-1),'05_FEATURE_MODEL'!G$5:G$27)/MAX(1,COUNTIF('93_TARGET_MEMBERSHIP'!W$5:W$27,-1))))</f>
        <v/>
      </c>
      <c r="G26" s="34">
        <f>IF($B26="ABSOLUTE SEMANTIC",ABS('06_ITEM_POLE_MODEL'!P26),ABS('06_ITEM_POLE_MODEL'!P26)*ABS(SUMPRODUCT(--('93_TARGET_MEMBERSHIP'!W$5:W$27=1),'05_FEATURE_MODEL'!H$5:H$27)/MAX(1,COUNTIF('93_TARGET_MEMBERSHIP'!W$5:W$27,1))-SUMPRODUCT(--('93_TARGET_MEMBERSHIP'!W$5:W$27=-1),'05_FEATURE_MODEL'!H$5:H$27)/MAX(1,COUNTIF('93_TARGET_MEMBERSHIP'!W$5:W$27,-1))))</f>
        <v/>
      </c>
      <c r="H26" s="34">
        <f>IF($B26="ABSOLUTE SEMANTIC",ABS('06_ITEM_POLE_MODEL'!Q26),ABS('06_ITEM_POLE_MODEL'!Q26)*ABS(SUMPRODUCT(--('93_TARGET_MEMBERSHIP'!W$5:W$27=1),'05_FEATURE_MODEL'!I$5:I$27)/MAX(1,COUNTIF('93_TARGET_MEMBERSHIP'!W$5:W$27,1))-SUMPRODUCT(--('93_TARGET_MEMBERSHIP'!W$5:W$27=-1),'05_FEATURE_MODEL'!I$5:I$27)/MAX(1,COUNTIF('93_TARGET_MEMBERSHIP'!W$5:W$27,-1))))</f>
        <v/>
      </c>
      <c r="I26" s="34">
        <f>IF($B26="ABSOLUTE SEMANTIC",ABS('06_ITEM_POLE_MODEL'!R26),ABS('06_ITEM_POLE_MODEL'!R26)*ABS(SUMPRODUCT(--('93_TARGET_MEMBERSHIP'!W$5:W$27=1),'05_FEATURE_MODEL'!J$5:J$27)/MAX(1,COUNTIF('93_TARGET_MEMBERSHIP'!W$5:W$27,1))-SUMPRODUCT(--('93_TARGET_MEMBERSHIP'!W$5:W$27=-1),'05_FEATURE_MODEL'!J$5:J$27)/MAX(1,COUNTIF('93_TARGET_MEMBERSHIP'!W$5:W$27,-1))))</f>
        <v/>
      </c>
      <c r="J26" s="34">
        <f>IF($B26="ABSOLUTE SEMANTIC",ABS('06_ITEM_POLE_MODEL'!S26),ABS('06_ITEM_POLE_MODEL'!S26)*ABS(SUMPRODUCT(--('93_TARGET_MEMBERSHIP'!W$5:W$27=1),'05_FEATURE_MODEL'!K$5:K$27)/MAX(1,COUNTIF('93_TARGET_MEMBERSHIP'!W$5:W$27,1))-SUMPRODUCT(--('93_TARGET_MEMBERSHIP'!W$5:W$27=-1),'05_FEATURE_MODEL'!K$5:K$27)/MAX(1,COUNTIF('93_TARGET_MEMBERSHIP'!W$5:W$27,-1))))</f>
        <v/>
      </c>
      <c r="K26" s="34">
        <f>IF($B26="ABSOLUTE SEMANTIC",ABS('06_ITEM_POLE_MODEL'!T26),ABS('06_ITEM_POLE_MODEL'!T26)*ABS(SUMPRODUCT(--('93_TARGET_MEMBERSHIP'!W$5:W$27=1),'05_FEATURE_MODEL'!L$5:L$27)/MAX(1,COUNTIF('93_TARGET_MEMBERSHIP'!W$5:W$27,1))-SUMPRODUCT(--('93_TARGET_MEMBERSHIP'!W$5:W$27=-1),'05_FEATURE_MODEL'!L$5:L$27)/MAX(1,COUNTIF('93_TARGET_MEMBERSHIP'!W$5:W$27,-1))))</f>
        <v/>
      </c>
      <c r="L26" s="34">
        <f>IF($B26="ABSOLUTE SEMANTIC",ABS('06_ITEM_POLE_MODEL'!U26),ABS('06_ITEM_POLE_MODEL'!U26)*ABS(SUMPRODUCT(--('93_TARGET_MEMBERSHIP'!W$5:W$27=1),'05_FEATURE_MODEL'!M$5:M$27)/MAX(1,COUNTIF('93_TARGET_MEMBERSHIP'!W$5:W$27,1))-SUMPRODUCT(--('93_TARGET_MEMBERSHIP'!W$5:W$27=-1),'05_FEATURE_MODEL'!M$5:M$27)/MAX(1,COUNTIF('93_TARGET_MEMBERSHIP'!W$5:W$27,-1))))</f>
        <v/>
      </c>
      <c r="M26" s="34">
        <f>IF($B26="ABSOLUTE SEMANTIC",ABS('06_ITEM_POLE_MODEL'!V26),ABS('06_ITEM_POLE_MODEL'!V26)*ABS(SUMPRODUCT(--('93_TARGET_MEMBERSHIP'!W$5:W$27=1),'05_FEATURE_MODEL'!N$5:N$27)/MAX(1,COUNTIF('93_TARGET_MEMBERSHIP'!W$5:W$27,1))-SUMPRODUCT(--('93_TARGET_MEMBERSHIP'!W$5:W$27=-1),'05_FEATURE_MODEL'!N$5:N$27)/MAX(1,COUNTIF('93_TARGET_MEMBERSHIP'!W$5:W$27,-1))))</f>
        <v/>
      </c>
      <c r="N26" s="34">
        <f>IF($B26="ABSOLUTE SEMANTIC",ABS('06_ITEM_POLE_MODEL'!W26),ABS('06_ITEM_POLE_MODEL'!W26)*ABS(SUMPRODUCT(--('93_TARGET_MEMBERSHIP'!W$5:W$27=1),'05_FEATURE_MODEL'!O$5:O$27)/MAX(1,COUNTIF('93_TARGET_MEMBERSHIP'!W$5:W$27,1))-SUMPRODUCT(--('93_TARGET_MEMBERSHIP'!W$5:W$27=-1),'05_FEATURE_MODEL'!O$5:O$27)/MAX(1,COUNTIF('93_TARGET_MEMBERSHIP'!W$5:W$27,-1))))</f>
        <v/>
      </c>
      <c r="O26" s="34">
        <f>IF($B26="ABSOLUTE SEMANTIC",ABS('06_ITEM_POLE_MODEL'!X26),ABS('06_ITEM_POLE_MODEL'!X26)*ABS(SUMPRODUCT(--('93_TARGET_MEMBERSHIP'!W$5:W$27=1),'05_FEATURE_MODEL'!P$5:P$27)/MAX(1,COUNTIF('93_TARGET_MEMBERSHIP'!W$5:W$27,1))-SUMPRODUCT(--('93_TARGET_MEMBERSHIP'!W$5:W$27=-1),'05_FEATURE_MODEL'!P$5:P$27)/MAX(1,COUNTIF('93_TARGET_MEMBERSHIP'!W$5:W$27,-1))))</f>
        <v/>
      </c>
      <c r="P26" s="34">
        <f>IF($B26="ABSOLUTE SEMANTIC",ABS('06_ITEM_POLE_MODEL'!Y26),ABS('06_ITEM_POLE_MODEL'!Y26)*ABS(SUMPRODUCT(--('93_TARGET_MEMBERSHIP'!W$5:W$27=1),'05_FEATURE_MODEL'!Q$5:Q$27)/MAX(1,COUNTIF('93_TARGET_MEMBERSHIP'!W$5:W$27,1))-SUMPRODUCT(--('93_TARGET_MEMBERSHIP'!W$5:W$27=-1),'05_FEATURE_MODEL'!Q$5:Q$27)/MAX(1,COUNTIF('93_TARGET_MEMBERSHIP'!W$5:W$27,-1))))</f>
        <v/>
      </c>
      <c r="Q26" s="34">
        <f>IF($B26="ABSOLUTE SEMANTIC",ABS('06_ITEM_POLE_MODEL'!Z26),ABS('06_ITEM_POLE_MODEL'!Z26)*ABS(SUMPRODUCT(--('93_TARGET_MEMBERSHIP'!W$5:W$27=1),'05_FEATURE_MODEL'!R$5:R$27)/MAX(1,COUNTIF('93_TARGET_MEMBERSHIP'!W$5:W$27,1))-SUMPRODUCT(--('93_TARGET_MEMBERSHIP'!W$5:W$27=-1),'05_FEATURE_MODEL'!R$5:R$27)/MAX(1,COUNTIF('93_TARGET_MEMBERSHIP'!W$5:W$27,-1))))</f>
        <v/>
      </c>
      <c r="R26" s="34">
        <f>IF($B26="ABSOLUTE SEMANTIC",ABS('06_ITEM_POLE_MODEL'!AA26),ABS('06_ITEM_POLE_MODEL'!AA26)*ABS(SUMPRODUCT(--('93_TARGET_MEMBERSHIP'!W$5:W$27=1),'05_FEATURE_MODEL'!S$5:S$27)/MAX(1,COUNTIF('93_TARGET_MEMBERSHIP'!W$5:W$27,1))-SUMPRODUCT(--('93_TARGET_MEMBERSHIP'!W$5:W$27=-1),'05_FEATURE_MODEL'!S$5:S$27)/MAX(1,COUNTIF('93_TARGET_MEMBERSHIP'!W$5:W$27,-1))))</f>
        <v/>
      </c>
      <c r="S26" s="34">
        <f>IF($B26="ABSOLUTE SEMANTIC",ABS('06_ITEM_POLE_MODEL'!AB26),ABS('06_ITEM_POLE_MODEL'!AB26)*ABS(SUMPRODUCT(--('93_TARGET_MEMBERSHIP'!W$5:W$27=1),'05_FEATURE_MODEL'!T$5:T$27)/MAX(1,COUNTIF('93_TARGET_MEMBERSHIP'!W$5:W$27,1))-SUMPRODUCT(--('93_TARGET_MEMBERSHIP'!W$5:W$27=-1),'05_FEATURE_MODEL'!T$5:T$27)/MAX(1,COUNTIF('93_TARGET_MEMBERSHIP'!W$5:W$27,-1))))</f>
        <v/>
      </c>
      <c r="T26" s="34">
        <f>IF($B26="ABSOLUTE SEMANTIC",ABS('06_ITEM_POLE_MODEL'!AC26),ABS('06_ITEM_POLE_MODEL'!AC26)*ABS(SUMPRODUCT(--('93_TARGET_MEMBERSHIP'!W$5:W$27=1),'05_FEATURE_MODEL'!U$5:U$27)/MAX(1,COUNTIF('93_TARGET_MEMBERSHIP'!W$5:W$27,1))-SUMPRODUCT(--('93_TARGET_MEMBERSHIP'!W$5:W$27=-1),'05_FEATURE_MODEL'!U$5:U$27)/MAX(1,COUNTIF('93_TARGET_MEMBERSHIP'!W$5:W$27,-1))))</f>
        <v/>
      </c>
      <c r="U26" s="34">
        <f>IF($B26="ABSOLUTE SEMANTIC",ABS('06_ITEM_POLE_MODEL'!AD26),ABS('06_ITEM_POLE_MODEL'!AD26)*ABS(SUMPRODUCT(--('93_TARGET_MEMBERSHIP'!W$5:W$27=1),'05_FEATURE_MODEL'!V$5:V$27)/MAX(1,COUNTIF('93_TARGET_MEMBERSHIP'!W$5:W$27,1))-SUMPRODUCT(--('93_TARGET_MEMBERSHIP'!W$5:W$27=-1),'05_FEATURE_MODEL'!V$5:V$27)/MAX(1,COUNTIF('93_TARGET_MEMBERSHIP'!W$5:W$27,-1))))</f>
        <v/>
      </c>
      <c r="V26" s="34">
        <f>IF($B26="ABSOLUTE SEMANTIC",ABS('06_ITEM_POLE_MODEL'!AE26),ABS('06_ITEM_POLE_MODEL'!AE26)*ABS(SUMPRODUCT(--('93_TARGET_MEMBERSHIP'!W$5:W$27=1),'05_FEATURE_MODEL'!W$5:W$27)/MAX(1,COUNTIF('93_TARGET_MEMBERSHIP'!W$5:W$27,1))-SUMPRODUCT(--('93_TARGET_MEMBERSHIP'!W$5:W$27=-1),'05_FEATURE_MODEL'!W$5:W$27)/MAX(1,COUNTIF('93_TARGET_MEMBERSHIP'!W$5:W$27,-1))))</f>
        <v/>
      </c>
      <c r="W26" s="34">
        <f>IF($B26="ABSOLUTE SEMANTIC",ABS('06_ITEM_POLE_MODEL'!AF26),ABS('06_ITEM_POLE_MODEL'!AF26)*ABS(SUMPRODUCT(--('93_TARGET_MEMBERSHIP'!W$5:W$27=1),'05_FEATURE_MODEL'!X$5:X$27)/MAX(1,COUNTIF('93_TARGET_MEMBERSHIP'!W$5:W$27,1))-SUMPRODUCT(--('93_TARGET_MEMBERSHIP'!W$5:W$27=-1),'05_FEATURE_MODEL'!X$5:X$27)/MAX(1,COUNTIF('93_TARGET_MEMBERSHIP'!W$5:W$27,-1))))</f>
        <v/>
      </c>
      <c r="X26" s="34">
        <f>IF($B26="ABSOLUTE SEMANTIC",ABS('06_ITEM_POLE_MODEL'!AG26),ABS('06_ITEM_POLE_MODEL'!AG26)*ABS(SUMPRODUCT(--('93_TARGET_MEMBERSHIP'!W$5:W$27=1),'05_FEATURE_MODEL'!Y$5:Y$27)/MAX(1,COUNTIF('93_TARGET_MEMBERSHIP'!W$5:W$27,1))-SUMPRODUCT(--('93_TARGET_MEMBERSHIP'!W$5:W$27=-1),'05_FEATURE_MODEL'!Y$5:Y$27)/MAX(1,COUNTIF('93_TARGET_MEMBERSHIP'!W$5:W$27,-1))))</f>
        <v/>
      </c>
      <c r="Y26" s="34">
        <f>IF($B26="ABSOLUTE SEMANTIC",ABS('06_ITEM_POLE_MODEL'!AH26),ABS('06_ITEM_POLE_MODEL'!AH26)*ABS(SUMPRODUCT(--('93_TARGET_MEMBERSHIP'!W$5:W$27=1),'05_FEATURE_MODEL'!Z$5:Z$27)/MAX(1,COUNTIF('93_TARGET_MEMBERSHIP'!W$5:W$27,1))-SUMPRODUCT(--('93_TARGET_MEMBERSHIP'!W$5:W$27=-1),'05_FEATURE_MODEL'!Z$5:Z$27)/MAX(1,COUNTIF('93_TARGET_MEMBERSHIP'!W$5:W$27,-1))))</f>
        <v/>
      </c>
      <c r="Z26" s="34">
        <f>IF($B26="ABSOLUTE SEMANTIC",ABS('06_ITEM_POLE_MODEL'!AI26),ABS('06_ITEM_POLE_MODEL'!AI26)*ABS(SUMPRODUCT(--('93_TARGET_MEMBERSHIP'!W$5:W$27=1),'05_FEATURE_MODEL'!AA$5:AA$27)/MAX(1,COUNTIF('93_TARGET_MEMBERSHIP'!W$5:W$27,1))-SUMPRODUCT(--('93_TARGET_MEMBERSHIP'!W$5:W$27=-1),'05_FEATURE_MODEL'!AA$5:AA$27)/MAX(1,COUNTIF('93_TARGET_MEMBERSHIP'!W$5:W$27,-1))))</f>
        <v/>
      </c>
      <c r="AA26" s="34">
        <f>IF($B26="ABSOLUTE SEMANTIC",ABS('06_ITEM_POLE_MODEL'!AJ26),ABS('06_ITEM_POLE_MODEL'!AJ26)*ABS(SUMPRODUCT(--('93_TARGET_MEMBERSHIP'!W$5:W$27=1),'05_FEATURE_MODEL'!AB$5:AB$27)/MAX(1,COUNTIF('93_TARGET_MEMBERSHIP'!W$5:W$27,1))-SUMPRODUCT(--('93_TARGET_MEMBERSHIP'!W$5:W$27=-1),'05_FEATURE_MODEL'!AB$5:AB$27)/MAX(1,COUNTIF('93_TARGET_MEMBERSHIP'!W$5:W$27,-1))))</f>
        <v/>
      </c>
      <c r="AB26" s="34">
        <f>IF($B26="ABSOLUTE SEMANTIC",ABS('06_ITEM_POLE_MODEL'!AK26),ABS('06_ITEM_POLE_MODEL'!AK26)*ABS(SUMPRODUCT(--('93_TARGET_MEMBERSHIP'!W$5:W$27=1),'05_FEATURE_MODEL'!AC$5:AC$27)/MAX(1,COUNTIF('93_TARGET_MEMBERSHIP'!W$5:W$27,1))-SUMPRODUCT(--('93_TARGET_MEMBERSHIP'!W$5:W$27=-1),'05_FEATURE_MODEL'!AC$5:AC$27)/MAX(1,COUNTIF('93_TARGET_MEMBERSHIP'!W$5:W$27,-1))))</f>
        <v/>
      </c>
      <c r="AC26" s="34">
        <f>IF($B26="ABSOLUTE SEMANTIC",ABS('06_ITEM_POLE_MODEL'!AL26),ABS('06_ITEM_POLE_MODEL'!AL26)*ABS(SUMPRODUCT(--('93_TARGET_MEMBERSHIP'!W$5:W$27=1),'05_FEATURE_MODEL'!AD$5:AD$27)/MAX(1,COUNTIF('93_TARGET_MEMBERSHIP'!W$5:W$27,1))-SUMPRODUCT(--('93_TARGET_MEMBERSHIP'!W$5:W$27=-1),'05_FEATURE_MODEL'!AD$5:AD$27)/MAX(1,COUNTIF('93_TARGET_MEMBERSHIP'!W$5:W$27,-1))))</f>
        <v/>
      </c>
      <c r="AD26" s="34">
        <f>IF($B26="ABSOLUTE SEMANTIC",ABS('06_ITEM_POLE_MODEL'!AM26),ABS('06_ITEM_POLE_MODEL'!AM26)*ABS(SUMPRODUCT(--('93_TARGET_MEMBERSHIP'!W$5:W$27=1),'05_FEATURE_MODEL'!AE$5:AE$27)/MAX(1,COUNTIF('93_TARGET_MEMBERSHIP'!W$5:W$27,1))-SUMPRODUCT(--('93_TARGET_MEMBERSHIP'!W$5:W$27=-1),'05_FEATURE_MODEL'!AE$5:AE$27)/MAX(1,COUNTIF('93_TARGET_MEMBERSHIP'!W$5:W$27,-1))))</f>
        <v/>
      </c>
      <c r="AE26" s="34">
        <f>IF($B26="ABSOLUTE SEMANTIC",ABS('06_ITEM_POLE_MODEL'!AN26),ABS('06_ITEM_POLE_MODEL'!AN26)*ABS(SUMPRODUCT(--('93_TARGET_MEMBERSHIP'!W$5:W$27=1),'05_FEATURE_MODEL'!AF$5:AF$27)/MAX(1,COUNTIF('93_TARGET_MEMBERSHIP'!W$5:W$27,1))-SUMPRODUCT(--('93_TARGET_MEMBERSHIP'!W$5:W$27=-1),'05_FEATURE_MODEL'!AF$5:AF$27)/MAX(1,COUNTIF('93_TARGET_MEMBERSHIP'!W$5:W$27,-1))))</f>
        <v/>
      </c>
      <c r="AF26" s="34">
        <f>IF($B26="ABSOLUTE SEMANTIC",ABS('06_ITEM_POLE_MODEL'!AO26),ABS('06_ITEM_POLE_MODEL'!AO26)*ABS(SUMPRODUCT(--('93_TARGET_MEMBERSHIP'!W$5:W$27=1),'05_FEATURE_MODEL'!AG$5:AG$27)/MAX(1,COUNTIF('93_TARGET_MEMBERSHIP'!W$5:W$27,1))-SUMPRODUCT(--('93_TARGET_MEMBERSHIP'!W$5:W$27=-1),'05_FEATURE_MODEL'!AG$5:AG$27)/MAX(1,COUNTIF('93_TARGET_MEMBERSHIP'!W$5:W$27,-1))))</f>
        <v/>
      </c>
      <c r="AG26" s="34">
        <f>IF($B26="ABSOLUTE SEMANTIC",ABS('06_ITEM_POLE_MODEL'!AP26),ABS('06_ITEM_POLE_MODEL'!AP26)*ABS(SUMPRODUCT(--('93_TARGET_MEMBERSHIP'!W$5:W$27=1),'05_FEATURE_MODEL'!AH$5:AH$27)/MAX(1,COUNTIF('93_TARGET_MEMBERSHIP'!W$5:W$27,1))-SUMPRODUCT(--('93_TARGET_MEMBERSHIP'!W$5:W$27=-1),'05_FEATURE_MODEL'!AH$5:AH$27)/MAX(1,COUNTIF('93_TARGET_MEMBERSHIP'!W$5:W$27,-1))))</f>
        <v/>
      </c>
      <c r="AH26" s="34">
        <f>IF($B26="ABSOLUTE SEMANTIC",ABS('06_ITEM_POLE_MODEL'!AQ26),ABS('06_ITEM_POLE_MODEL'!AQ26)*ABS(SUMPRODUCT(--('93_TARGET_MEMBERSHIP'!W$5:W$27=1),'05_FEATURE_MODEL'!AI$5:AI$27)/MAX(1,COUNTIF('93_TARGET_MEMBERSHIP'!W$5:W$27,1))-SUMPRODUCT(--('93_TARGET_MEMBERSHIP'!W$5:W$27=-1),'05_FEATURE_MODEL'!AI$5:AI$27)/MAX(1,COUNTIF('93_TARGET_MEMBERSHIP'!W$5:W$27,-1))))</f>
        <v/>
      </c>
      <c r="AI26" s="34">
        <f>IF($B26="ABSOLUTE SEMANTIC",ABS('06_ITEM_POLE_MODEL'!AR26),ABS('06_ITEM_POLE_MODEL'!AR26)*ABS(SUMPRODUCT(--('93_TARGET_MEMBERSHIP'!W$5:W$27=1),'05_FEATURE_MODEL'!AJ$5:AJ$27)/MAX(1,COUNTIF('93_TARGET_MEMBERSHIP'!W$5:W$27,1))-SUMPRODUCT(--('93_TARGET_MEMBERSHIP'!W$5:W$27=-1),'05_FEATURE_MODEL'!AJ$5:AJ$27)/MAX(1,COUNTIF('93_TARGET_MEMBERSHIP'!W$5:W$27,-1))))</f>
        <v/>
      </c>
      <c r="AJ26" s="34">
        <f>IF($B26="ABSOLUTE SEMANTIC",ABS('06_ITEM_POLE_MODEL'!AS26),ABS('06_ITEM_POLE_MODEL'!AS26)*ABS(SUMPRODUCT(--('93_TARGET_MEMBERSHIP'!W$5:W$27=1),'05_FEATURE_MODEL'!AK$5:AK$27)/MAX(1,COUNTIF('93_TARGET_MEMBERSHIP'!W$5:W$27,1))-SUMPRODUCT(--('93_TARGET_MEMBERSHIP'!W$5:W$27=-1),'05_FEATURE_MODEL'!AK$5:AK$27)/MAX(1,COUNTIF('93_TARGET_MEMBERSHIP'!W$5:W$27,-1))))</f>
        <v/>
      </c>
      <c r="AK26" s="34">
        <f>IF($B26="ABSOLUTE SEMANTIC",ABS('06_ITEM_POLE_MODEL'!AT26),ABS('06_ITEM_POLE_MODEL'!AT26)*ABS(SUMPRODUCT(--('93_TARGET_MEMBERSHIP'!W$5:W$27=1),'05_FEATURE_MODEL'!AL$5:AL$27)/MAX(1,COUNTIF('93_TARGET_MEMBERSHIP'!W$5:W$27,1))-SUMPRODUCT(--('93_TARGET_MEMBERSHIP'!W$5:W$27=-1),'05_FEATURE_MODEL'!AL$5:AL$27)/MAX(1,COUNTIF('93_TARGET_MEMBERSHIP'!W$5:W$27,-1))))</f>
        <v/>
      </c>
      <c r="AL26" s="34">
        <f>IF($B26="ABSOLUTE SEMANTIC",ABS('06_ITEM_POLE_MODEL'!AU26),ABS('06_ITEM_POLE_MODEL'!AU26)*ABS(SUMPRODUCT(--('93_TARGET_MEMBERSHIP'!W$5:W$27=1),'05_FEATURE_MODEL'!AM$5:AM$27)/MAX(1,COUNTIF('93_TARGET_MEMBERSHIP'!W$5:W$27,1))-SUMPRODUCT(--('93_TARGET_MEMBERSHIP'!W$5:W$27=-1),'05_FEATURE_MODEL'!AM$5:AM$27)/MAX(1,COUNTIF('93_TARGET_MEMBERSHIP'!W$5:W$27,-1))))</f>
        <v/>
      </c>
      <c r="AM26" s="34">
        <f>IF($B26="ABSOLUTE SEMANTIC",ABS('06_ITEM_POLE_MODEL'!AV26),ABS('06_ITEM_POLE_MODEL'!AV26)*ABS(SUMPRODUCT(--('93_TARGET_MEMBERSHIP'!W$5:W$27=1),'05_FEATURE_MODEL'!AN$5:AN$27)/MAX(1,COUNTIF('93_TARGET_MEMBERSHIP'!W$5:W$27,1))-SUMPRODUCT(--('93_TARGET_MEMBERSHIP'!W$5:W$27=-1),'05_FEATURE_MODEL'!AN$5:AN$27)/MAX(1,COUNTIF('93_TARGET_MEMBERSHIP'!W$5:W$27,-1))))</f>
        <v/>
      </c>
      <c r="AN26" s="34">
        <f>IF($B26="ABSOLUTE SEMANTIC",ABS('06_ITEM_POLE_MODEL'!AW26),ABS('06_ITEM_POLE_MODEL'!AW26)*ABS(SUMPRODUCT(--('93_TARGET_MEMBERSHIP'!W$5:W$27=1),'05_FEATURE_MODEL'!AO$5:AO$27)/MAX(1,COUNTIF('93_TARGET_MEMBERSHIP'!W$5:W$27,1))-SUMPRODUCT(--('93_TARGET_MEMBERSHIP'!W$5:W$27=-1),'05_FEATURE_MODEL'!AO$5:AO$27)/MAX(1,COUNTIF('93_TARGET_MEMBERSHIP'!W$5:W$27,-1))))</f>
        <v/>
      </c>
      <c r="AO26" s="34">
        <f>IF($B26="ABSOLUTE SEMANTIC",ABS('06_ITEM_POLE_MODEL'!AX26),ABS('06_ITEM_POLE_MODEL'!AX26)*ABS(SUMPRODUCT(--('93_TARGET_MEMBERSHIP'!W$5:W$27=1),'05_FEATURE_MODEL'!AP$5:AP$27)/MAX(1,COUNTIF('93_TARGET_MEMBERSHIP'!W$5:W$27,1))-SUMPRODUCT(--('93_TARGET_MEMBERSHIP'!W$5:W$27=-1),'05_FEATURE_MODEL'!AP$5:AP$27)/MAX(1,COUNTIF('93_TARGET_MEMBERSHIP'!W$5:W$27,-1))))</f>
        <v/>
      </c>
      <c r="AP26" s="34">
        <f>IF($B26="ABSOLUTE SEMANTIC",ABS('06_ITEM_POLE_MODEL'!AY26),ABS('06_ITEM_POLE_MODEL'!AY26)*ABS(SUMPRODUCT(--('93_TARGET_MEMBERSHIP'!W$5:W$27=1),'05_FEATURE_MODEL'!AQ$5:AQ$27)/MAX(1,COUNTIF('93_TARGET_MEMBERSHIP'!W$5:W$27,1))-SUMPRODUCT(--('93_TARGET_MEMBERSHIP'!W$5:W$27=-1),'05_FEATURE_MODEL'!AQ$5:AQ$27)/MAX(1,COUNTIF('93_TARGET_MEMBERSHIP'!W$5:W$27,-1))))</f>
        <v/>
      </c>
      <c r="AQ26" s="34">
        <f>IF($B26="ABSOLUTE SEMANTIC",ABS('06_ITEM_POLE_MODEL'!AZ26),ABS('06_ITEM_POLE_MODEL'!AZ26)*ABS(SUMPRODUCT(--('93_TARGET_MEMBERSHIP'!W$5:W$27=1),'05_FEATURE_MODEL'!AR$5:AR$27)/MAX(1,COUNTIF('93_TARGET_MEMBERSHIP'!W$5:W$27,1))-SUMPRODUCT(--('93_TARGET_MEMBERSHIP'!W$5:W$27=-1),'05_FEATURE_MODEL'!AR$5:AR$27)/MAX(1,COUNTIF('93_TARGET_MEMBERSHIP'!W$5:W$27,-1))))</f>
        <v/>
      </c>
    </row>
    <row r="27" ht="36" customHeight="1">
      <c r="A27" s="34">
        <f>'06_ITEM_POLE_MODEL'!A27</f>
        <v/>
      </c>
      <c r="B27" s="34">
        <f>'06_ITEM_POLE_MODEL'!E27</f>
        <v/>
      </c>
      <c r="C27" s="34">
        <f>IF($B27="ABSOLUTE SEMANTIC",ABS('06_ITEM_POLE_MODEL'!L27),ABS('06_ITEM_POLE_MODEL'!L27)*ABS(SUMPRODUCT(--('93_TARGET_MEMBERSHIP'!X$5:X$27=1),'05_FEATURE_MODEL'!D$5:D$27)/MAX(1,COUNTIF('93_TARGET_MEMBERSHIP'!X$5:X$27,1))-SUMPRODUCT(--('93_TARGET_MEMBERSHIP'!X$5:X$27=-1),'05_FEATURE_MODEL'!D$5:D$27)/MAX(1,COUNTIF('93_TARGET_MEMBERSHIP'!X$5:X$27,-1))))</f>
        <v/>
      </c>
      <c r="D27" s="34">
        <f>IF($B27="ABSOLUTE SEMANTIC",ABS('06_ITEM_POLE_MODEL'!M27),ABS('06_ITEM_POLE_MODEL'!M27)*ABS(SUMPRODUCT(--('93_TARGET_MEMBERSHIP'!X$5:X$27=1),'05_FEATURE_MODEL'!E$5:E$27)/MAX(1,COUNTIF('93_TARGET_MEMBERSHIP'!X$5:X$27,1))-SUMPRODUCT(--('93_TARGET_MEMBERSHIP'!X$5:X$27=-1),'05_FEATURE_MODEL'!E$5:E$27)/MAX(1,COUNTIF('93_TARGET_MEMBERSHIP'!X$5:X$27,-1))))</f>
        <v/>
      </c>
      <c r="E27" s="34">
        <f>IF($B27="ABSOLUTE SEMANTIC",ABS('06_ITEM_POLE_MODEL'!N27),ABS('06_ITEM_POLE_MODEL'!N27)*ABS(SUMPRODUCT(--('93_TARGET_MEMBERSHIP'!X$5:X$27=1),'05_FEATURE_MODEL'!F$5:F$27)/MAX(1,COUNTIF('93_TARGET_MEMBERSHIP'!X$5:X$27,1))-SUMPRODUCT(--('93_TARGET_MEMBERSHIP'!X$5:X$27=-1),'05_FEATURE_MODEL'!F$5:F$27)/MAX(1,COUNTIF('93_TARGET_MEMBERSHIP'!X$5:X$27,-1))))</f>
        <v/>
      </c>
      <c r="F27" s="34">
        <f>IF($B27="ABSOLUTE SEMANTIC",ABS('06_ITEM_POLE_MODEL'!O27),ABS('06_ITEM_POLE_MODEL'!O27)*ABS(SUMPRODUCT(--('93_TARGET_MEMBERSHIP'!X$5:X$27=1),'05_FEATURE_MODEL'!G$5:G$27)/MAX(1,COUNTIF('93_TARGET_MEMBERSHIP'!X$5:X$27,1))-SUMPRODUCT(--('93_TARGET_MEMBERSHIP'!X$5:X$27=-1),'05_FEATURE_MODEL'!G$5:G$27)/MAX(1,COUNTIF('93_TARGET_MEMBERSHIP'!X$5:X$27,-1))))</f>
        <v/>
      </c>
      <c r="G27" s="34">
        <f>IF($B27="ABSOLUTE SEMANTIC",ABS('06_ITEM_POLE_MODEL'!P27),ABS('06_ITEM_POLE_MODEL'!P27)*ABS(SUMPRODUCT(--('93_TARGET_MEMBERSHIP'!X$5:X$27=1),'05_FEATURE_MODEL'!H$5:H$27)/MAX(1,COUNTIF('93_TARGET_MEMBERSHIP'!X$5:X$27,1))-SUMPRODUCT(--('93_TARGET_MEMBERSHIP'!X$5:X$27=-1),'05_FEATURE_MODEL'!H$5:H$27)/MAX(1,COUNTIF('93_TARGET_MEMBERSHIP'!X$5:X$27,-1))))</f>
        <v/>
      </c>
      <c r="H27" s="34">
        <f>IF($B27="ABSOLUTE SEMANTIC",ABS('06_ITEM_POLE_MODEL'!Q27),ABS('06_ITEM_POLE_MODEL'!Q27)*ABS(SUMPRODUCT(--('93_TARGET_MEMBERSHIP'!X$5:X$27=1),'05_FEATURE_MODEL'!I$5:I$27)/MAX(1,COUNTIF('93_TARGET_MEMBERSHIP'!X$5:X$27,1))-SUMPRODUCT(--('93_TARGET_MEMBERSHIP'!X$5:X$27=-1),'05_FEATURE_MODEL'!I$5:I$27)/MAX(1,COUNTIF('93_TARGET_MEMBERSHIP'!X$5:X$27,-1))))</f>
        <v/>
      </c>
      <c r="I27" s="34">
        <f>IF($B27="ABSOLUTE SEMANTIC",ABS('06_ITEM_POLE_MODEL'!R27),ABS('06_ITEM_POLE_MODEL'!R27)*ABS(SUMPRODUCT(--('93_TARGET_MEMBERSHIP'!X$5:X$27=1),'05_FEATURE_MODEL'!J$5:J$27)/MAX(1,COUNTIF('93_TARGET_MEMBERSHIP'!X$5:X$27,1))-SUMPRODUCT(--('93_TARGET_MEMBERSHIP'!X$5:X$27=-1),'05_FEATURE_MODEL'!J$5:J$27)/MAX(1,COUNTIF('93_TARGET_MEMBERSHIP'!X$5:X$27,-1))))</f>
        <v/>
      </c>
      <c r="J27" s="34">
        <f>IF($B27="ABSOLUTE SEMANTIC",ABS('06_ITEM_POLE_MODEL'!S27),ABS('06_ITEM_POLE_MODEL'!S27)*ABS(SUMPRODUCT(--('93_TARGET_MEMBERSHIP'!X$5:X$27=1),'05_FEATURE_MODEL'!K$5:K$27)/MAX(1,COUNTIF('93_TARGET_MEMBERSHIP'!X$5:X$27,1))-SUMPRODUCT(--('93_TARGET_MEMBERSHIP'!X$5:X$27=-1),'05_FEATURE_MODEL'!K$5:K$27)/MAX(1,COUNTIF('93_TARGET_MEMBERSHIP'!X$5:X$27,-1))))</f>
        <v/>
      </c>
      <c r="K27" s="34">
        <f>IF($B27="ABSOLUTE SEMANTIC",ABS('06_ITEM_POLE_MODEL'!T27),ABS('06_ITEM_POLE_MODEL'!T27)*ABS(SUMPRODUCT(--('93_TARGET_MEMBERSHIP'!X$5:X$27=1),'05_FEATURE_MODEL'!L$5:L$27)/MAX(1,COUNTIF('93_TARGET_MEMBERSHIP'!X$5:X$27,1))-SUMPRODUCT(--('93_TARGET_MEMBERSHIP'!X$5:X$27=-1),'05_FEATURE_MODEL'!L$5:L$27)/MAX(1,COUNTIF('93_TARGET_MEMBERSHIP'!X$5:X$27,-1))))</f>
        <v/>
      </c>
      <c r="L27" s="34">
        <f>IF($B27="ABSOLUTE SEMANTIC",ABS('06_ITEM_POLE_MODEL'!U27),ABS('06_ITEM_POLE_MODEL'!U27)*ABS(SUMPRODUCT(--('93_TARGET_MEMBERSHIP'!X$5:X$27=1),'05_FEATURE_MODEL'!M$5:M$27)/MAX(1,COUNTIF('93_TARGET_MEMBERSHIP'!X$5:X$27,1))-SUMPRODUCT(--('93_TARGET_MEMBERSHIP'!X$5:X$27=-1),'05_FEATURE_MODEL'!M$5:M$27)/MAX(1,COUNTIF('93_TARGET_MEMBERSHIP'!X$5:X$27,-1))))</f>
        <v/>
      </c>
      <c r="M27" s="34">
        <f>IF($B27="ABSOLUTE SEMANTIC",ABS('06_ITEM_POLE_MODEL'!V27),ABS('06_ITEM_POLE_MODEL'!V27)*ABS(SUMPRODUCT(--('93_TARGET_MEMBERSHIP'!X$5:X$27=1),'05_FEATURE_MODEL'!N$5:N$27)/MAX(1,COUNTIF('93_TARGET_MEMBERSHIP'!X$5:X$27,1))-SUMPRODUCT(--('93_TARGET_MEMBERSHIP'!X$5:X$27=-1),'05_FEATURE_MODEL'!N$5:N$27)/MAX(1,COUNTIF('93_TARGET_MEMBERSHIP'!X$5:X$27,-1))))</f>
        <v/>
      </c>
      <c r="N27" s="34">
        <f>IF($B27="ABSOLUTE SEMANTIC",ABS('06_ITEM_POLE_MODEL'!W27),ABS('06_ITEM_POLE_MODEL'!W27)*ABS(SUMPRODUCT(--('93_TARGET_MEMBERSHIP'!X$5:X$27=1),'05_FEATURE_MODEL'!O$5:O$27)/MAX(1,COUNTIF('93_TARGET_MEMBERSHIP'!X$5:X$27,1))-SUMPRODUCT(--('93_TARGET_MEMBERSHIP'!X$5:X$27=-1),'05_FEATURE_MODEL'!O$5:O$27)/MAX(1,COUNTIF('93_TARGET_MEMBERSHIP'!X$5:X$27,-1))))</f>
        <v/>
      </c>
      <c r="O27" s="34">
        <f>IF($B27="ABSOLUTE SEMANTIC",ABS('06_ITEM_POLE_MODEL'!X27),ABS('06_ITEM_POLE_MODEL'!X27)*ABS(SUMPRODUCT(--('93_TARGET_MEMBERSHIP'!X$5:X$27=1),'05_FEATURE_MODEL'!P$5:P$27)/MAX(1,COUNTIF('93_TARGET_MEMBERSHIP'!X$5:X$27,1))-SUMPRODUCT(--('93_TARGET_MEMBERSHIP'!X$5:X$27=-1),'05_FEATURE_MODEL'!P$5:P$27)/MAX(1,COUNTIF('93_TARGET_MEMBERSHIP'!X$5:X$27,-1))))</f>
        <v/>
      </c>
      <c r="P27" s="34">
        <f>IF($B27="ABSOLUTE SEMANTIC",ABS('06_ITEM_POLE_MODEL'!Y27),ABS('06_ITEM_POLE_MODEL'!Y27)*ABS(SUMPRODUCT(--('93_TARGET_MEMBERSHIP'!X$5:X$27=1),'05_FEATURE_MODEL'!Q$5:Q$27)/MAX(1,COUNTIF('93_TARGET_MEMBERSHIP'!X$5:X$27,1))-SUMPRODUCT(--('93_TARGET_MEMBERSHIP'!X$5:X$27=-1),'05_FEATURE_MODEL'!Q$5:Q$27)/MAX(1,COUNTIF('93_TARGET_MEMBERSHIP'!X$5:X$27,-1))))</f>
        <v/>
      </c>
      <c r="Q27" s="34">
        <f>IF($B27="ABSOLUTE SEMANTIC",ABS('06_ITEM_POLE_MODEL'!Z27),ABS('06_ITEM_POLE_MODEL'!Z27)*ABS(SUMPRODUCT(--('93_TARGET_MEMBERSHIP'!X$5:X$27=1),'05_FEATURE_MODEL'!R$5:R$27)/MAX(1,COUNTIF('93_TARGET_MEMBERSHIP'!X$5:X$27,1))-SUMPRODUCT(--('93_TARGET_MEMBERSHIP'!X$5:X$27=-1),'05_FEATURE_MODEL'!R$5:R$27)/MAX(1,COUNTIF('93_TARGET_MEMBERSHIP'!X$5:X$27,-1))))</f>
        <v/>
      </c>
      <c r="R27" s="34">
        <f>IF($B27="ABSOLUTE SEMANTIC",ABS('06_ITEM_POLE_MODEL'!AA27),ABS('06_ITEM_POLE_MODEL'!AA27)*ABS(SUMPRODUCT(--('93_TARGET_MEMBERSHIP'!X$5:X$27=1),'05_FEATURE_MODEL'!S$5:S$27)/MAX(1,COUNTIF('93_TARGET_MEMBERSHIP'!X$5:X$27,1))-SUMPRODUCT(--('93_TARGET_MEMBERSHIP'!X$5:X$27=-1),'05_FEATURE_MODEL'!S$5:S$27)/MAX(1,COUNTIF('93_TARGET_MEMBERSHIP'!X$5:X$27,-1))))</f>
        <v/>
      </c>
      <c r="S27" s="34">
        <f>IF($B27="ABSOLUTE SEMANTIC",ABS('06_ITEM_POLE_MODEL'!AB27),ABS('06_ITEM_POLE_MODEL'!AB27)*ABS(SUMPRODUCT(--('93_TARGET_MEMBERSHIP'!X$5:X$27=1),'05_FEATURE_MODEL'!T$5:T$27)/MAX(1,COUNTIF('93_TARGET_MEMBERSHIP'!X$5:X$27,1))-SUMPRODUCT(--('93_TARGET_MEMBERSHIP'!X$5:X$27=-1),'05_FEATURE_MODEL'!T$5:T$27)/MAX(1,COUNTIF('93_TARGET_MEMBERSHIP'!X$5:X$27,-1))))</f>
        <v/>
      </c>
      <c r="T27" s="34">
        <f>IF($B27="ABSOLUTE SEMANTIC",ABS('06_ITEM_POLE_MODEL'!AC27),ABS('06_ITEM_POLE_MODEL'!AC27)*ABS(SUMPRODUCT(--('93_TARGET_MEMBERSHIP'!X$5:X$27=1),'05_FEATURE_MODEL'!U$5:U$27)/MAX(1,COUNTIF('93_TARGET_MEMBERSHIP'!X$5:X$27,1))-SUMPRODUCT(--('93_TARGET_MEMBERSHIP'!X$5:X$27=-1),'05_FEATURE_MODEL'!U$5:U$27)/MAX(1,COUNTIF('93_TARGET_MEMBERSHIP'!X$5:X$27,-1))))</f>
        <v/>
      </c>
      <c r="U27" s="34">
        <f>IF($B27="ABSOLUTE SEMANTIC",ABS('06_ITEM_POLE_MODEL'!AD27),ABS('06_ITEM_POLE_MODEL'!AD27)*ABS(SUMPRODUCT(--('93_TARGET_MEMBERSHIP'!X$5:X$27=1),'05_FEATURE_MODEL'!V$5:V$27)/MAX(1,COUNTIF('93_TARGET_MEMBERSHIP'!X$5:X$27,1))-SUMPRODUCT(--('93_TARGET_MEMBERSHIP'!X$5:X$27=-1),'05_FEATURE_MODEL'!V$5:V$27)/MAX(1,COUNTIF('93_TARGET_MEMBERSHIP'!X$5:X$27,-1))))</f>
        <v/>
      </c>
      <c r="V27" s="34">
        <f>IF($B27="ABSOLUTE SEMANTIC",ABS('06_ITEM_POLE_MODEL'!AE27),ABS('06_ITEM_POLE_MODEL'!AE27)*ABS(SUMPRODUCT(--('93_TARGET_MEMBERSHIP'!X$5:X$27=1),'05_FEATURE_MODEL'!W$5:W$27)/MAX(1,COUNTIF('93_TARGET_MEMBERSHIP'!X$5:X$27,1))-SUMPRODUCT(--('93_TARGET_MEMBERSHIP'!X$5:X$27=-1),'05_FEATURE_MODEL'!W$5:W$27)/MAX(1,COUNTIF('93_TARGET_MEMBERSHIP'!X$5:X$27,-1))))</f>
        <v/>
      </c>
      <c r="W27" s="34">
        <f>IF($B27="ABSOLUTE SEMANTIC",ABS('06_ITEM_POLE_MODEL'!AF27),ABS('06_ITEM_POLE_MODEL'!AF27)*ABS(SUMPRODUCT(--('93_TARGET_MEMBERSHIP'!X$5:X$27=1),'05_FEATURE_MODEL'!X$5:X$27)/MAX(1,COUNTIF('93_TARGET_MEMBERSHIP'!X$5:X$27,1))-SUMPRODUCT(--('93_TARGET_MEMBERSHIP'!X$5:X$27=-1),'05_FEATURE_MODEL'!X$5:X$27)/MAX(1,COUNTIF('93_TARGET_MEMBERSHIP'!X$5:X$27,-1))))</f>
        <v/>
      </c>
      <c r="X27" s="34">
        <f>IF($B27="ABSOLUTE SEMANTIC",ABS('06_ITEM_POLE_MODEL'!AG27),ABS('06_ITEM_POLE_MODEL'!AG27)*ABS(SUMPRODUCT(--('93_TARGET_MEMBERSHIP'!X$5:X$27=1),'05_FEATURE_MODEL'!Y$5:Y$27)/MAX(1,COUNTIF('93_TARGET_MEMBERSHIP'!X$5:X$27,1))-SUMPRODUCT(--('93_TARGET_MEMBERSHIP'!X$5:X$27=-1),'05_FEATURE_MODEL'!Y$5:Y$27)/MAX(1,COUNTIF('93_TARGET_MEMBERSHIP'!X$5:X$27,-1))))</f>
        <v/>
      </c>
      <c r="Y27" s="34">
        <f>IF($B27="ABSOLUTE SEMANTIC",ABS('06_ITEM_POLE_MODEL'!AH27),ABS('06_ITEM_POLE_MODEL'!AH27)*ABS(SUMPRODUCT(--('93_TARGET_MEMBERSHIP'!X$5:X$27=1),'05_FEATURE_MODEL'!Z$5:Z$27)/MAX(1,COUNTIF('93_TARGET_MEMBERSHIP'!X$5:X$27,1))-SUMPRODUCT(--('93_TARGET_MEMBERSHIP'!X$5:X$27=-1),'05_FEATURE_MODEL'!Z$5:Z$27)/MAX(1,COUNTIF('93_TARGET_MEMBERSHIP'!X$5:X$27,-1))))</f>
        <v/>
      </c>
      <c r="Z27" s="34">
        <f>IF($B27="ABSOLUTE SEMANTIC",ABS('06_ITEM_POLE_MODEL'!AI27),ABS('06_ITEM_POLE_MODEL'!AI27)*ABS(SUMPRODUCT(--('93_TARGET_MEMBERSHIP'!X$5:X$27=1),'05_FEATURE_MODEL'!AA$5:AA$27)/MAX(1,COUNTIF('93_TARGET_MEMBERSHIP'!X$5:X$27,1))-SUMPRODUCT(--('93_TARGET_MEMBERSHIP'!X$5:X$27=-1),'05_FEATURE_MODEL'!AA$5:AA$27)/MAX(1,COUNTIF('93_TARGET_MEMBERSHIP'!X$5:X$27,-1))))</f>
        <v/>
      </c>
      <c r="AA27" s="34">
        <f>IF($B27="ABSOLUTE SEMANTIC",ABS('06_ITEM_POLE_MODEL'!AJ27),ABS('06_ITEM_POLE_MODEL'!AJ27)*ABS(SUMPRODUCT(--('93_TARGET_MEMBERSHIP'!X$5:X$27=1),'05_FEATURE_MODEL'!AB$5:AB$27)/MAX(1,COUNTIF('93_TARGET_MEMBERSHIP'!X$5:X$27,1))-SUMPRODUCT(--('93_TARGET_MEMBERSHIP'!X$5:X$27=-1),'05_FEATURE_MODEL'!AB$5:AB$27)/MAX(1,COUNTIF('93_TARGET_MEMBERSHIP'!X$5:X$27,-1))))</f>
        <v/>
      </c>
      <c r="AB27" s="34">
        <f>IF($B27="ABSOLUTE SEMANTIC",ABS('06_ITEM_POLE_MODEL'!AK27),ABS('06_ITEM_POLE_MODEL'!AK27)*ABS(SUMPRODUCT(--('93_TARGET_MEMBERSHIP'!X$5:X$27=1),'05_FEATURE_MODEL'!AC$5:AC$27)/MAX(1,COUNTIF('93_TARGET_MEMBERSHIP'!X$5:X$27,1))-SUMPRODUCT(--('93_TARGET_MEMBERSHIP'!X$5:X$27=-1),'05_FEATURE_MODEL'!AC$5:AC$27)/MAX(1,COUNTIF('93_TARGET_MEMBERSHIP'!X$5:X$27,-1))))</f>
        <v/>
      </c>
      <c r="AC27" s="34">
        <f>IF($B27="ABSOLUTE SEMANTIC",ABS('06_ITEM_POLE_MODEL'!AL27),ABS('06_ITEM_POLE_MODEL'!AL27)*ABS(SUMPRODUCT(--('93_TARGET_MEMBERSHIP'!X$5:X$27=1),'05_FEATURE_MODEL'!AD$5:AD$27)/MAX(1,COUNTIF('93_TARGET_MEMBERSHIP'!X$5:X$27,1))-SUMPRODUCT(--('93_TARGET_MEMBERSHIP'!X$5:X$27=-1),'05_FEATURE_MODEL'!AD$5:AD$27)/MAX(1,COUNTIF('93_TARGET_MEMBERSHIP'!X$5:X$27,-1))))</f>
        <v/>
      </c>
      <c r="AD27" s="34">
        <f>IF($B27="ABSOLUTE SEMANTIC",ABS('06_ITEM_POLE_MODEL'!AM27),ABS('06_ITEM_POLE_MODEL'!AM27)*ABS(SUMPRODUCT(--('93_TARGET_MEMBERSHIP'!X$5:X$27=1),'05_FEATURE_MODEL'!AE$5:AE$27)/MAX(1,COUNTIF('93_TARGET_MEMBERSHIP'!X$5:X$27,1))-SUMPRODUCT(--('93_TARGET_MEMBERSHIP'!X$5:X$27=-1),'05_FEATURE_MODEL'!AE$5:AE$27)/MAX(1,COUNTIF('93_TARGET_MEMBERSHIP'!X$5:X$27,-1))))</f>
        <v/>
      </c>
      <c r="AE27" s="34">
        <f>IF($B27="ABSOLUTE SEMANTIC",ABS('06_ITEM_POLE_MODEL'!AN27),ABS('06_ITEM_POLE_MODEL'!AN27)*ABS(SUMPRODUCT(--('93_TARGET_MEMBERSHIP'!X$5:X$27=1),'05_FEATURE_MODEL'!AF$5:AF$27)/MAX(1,COUNTIF('93_TARGET_MEMBERSHIP'!X$5:X$27,1))-SUMPRODUCT(--('93_TARGET_MEMBERSHIP'!X$5:X$27=-1),'05_FEATURE_MODEL'!AF$5:AF$27)/MAX(1,COUNTIF('93_TARGET_MEMBERSHIP'!X$5:X$27,-1))))</f>
        <v/>
      </c>
      <c r="AF27" s="34">
        <f>IF($B27="ABSOLUTE SEMANTIC",ABS('06_ITEM_POLE_MODEL'!AO27),ABS('06_ITEM_POLE_MODEL'!AO27)*ABS(SUMPRODUCT(--('93_TARGET_MEMBERSHIP'!X$5:X$27=1),'05_FEATURE_MODEL'!AG$5:AG$27)/MAX(1,COUNTIF('93_TARGET_MEMBERSHIP'!X$5:X$27,1))-SUMPRODUCT(--('93_TARGET_MEMBERSHIP'!X$5:X$27=-1),'05_FEATURE_MODEL'!AG$5:AG$27)/MAX(1,COUNTIF('93_TARGET_MEMBERSHIP'!X$5:X$27,-1))))</f>
        <v/>
      </c>
      <c r="AG27" s="34">
        <f>IF($B27="ABSOLUTE SEMANTIC",ABS('06_ITEM_POLE_MODEL'!AP27),ABS('06_ITEM_POLE_MODEL'!AP27)*ABS(SUMPRODUCT(--('93_TARGET_MEMBERSHIP'!X$5:X$27=1),'05_FEATURE_MODEL'!AH$5:AH$27)/MAX(1,COUNTIF('93_TARGET_MEMBERSHIP'!X$5:X$27,1))-SUMPRODUCT(--('93_TARGET_MEMBERSHIP'!X$5:X$27=-1),'05_FEATURE_MODEL'!AH$5:AH$27)/MAX(1,COUNTIF('93_TARGET_MEMBERSHIP'!X$5:X$27,-1))))</f>
        <v/>
      </c>
      <c r="AH27" s="34">
        <f>IF($B27="ABSOLUTE SEMANTIC",ABS('06_ITEM_POLE_MODEL'!AQ27),ABS('06_ITEM_POLE_MODEL'!AQ27)*ABS(SUMPRODUCT(--('93_TARGET_MEMBERSHIP'!X$5:X$27=1),'05_FEATURE_MODEL'!AI$5:AI$27)/MAX(1,COUNTIF('93_TARGET_MEMBERSHIP'!X$5:X$27,1))-SUMPRODUCT(--('93_TARGET_MEMBERSHIP'!X$5:X$27=-1),'05_FEATURE_MODEL'!AI$5:AI$27)/MAX(1,COUNTIF('93_TARGET_MEMBERSHIP'!X$5:X$27,-1))))</f>
        <v/>
      </c>
      <c r="AI27" s="34">
        <f>IF($B27="ABSOLUTE SEMANTIC",ABS('06_ITEM_POLE_MODEL'!AR27),ABS('06_ITEM_POLE_MODEL'!AR27)*ABS(SUMPRODUCT(--('93_TARGET_MEMBERSHIP'!X$5:X$27=1),'05_FEATURE_MODEL'!AJ$5:AJ$27)/MAX(1,COUNTIF('93_TARGET_MEMBERSHIP'!X$5:X$27,1))-SUMPRODUCT(--('93_TARGET_MEMBERSHIP'!X$5:X$27=-1),'05_FEATURE_MODEL'!AJ$5:AJ$27)/MAX(1,COUNTIF('93_TARGET_MEMBERSHIP'!X$5:X$27,-1))))</f>
        <v/>
      </c>
      <c r="AJ27" s="34">
        <f>IF($B27="ABSOLUTE SEMANTIC",ABS('06_ITEM_POLE_MODEL'!AS27),ABS('06_ITEM_POLE_MODEL'!AS27)*ABS(SUMPRODUCT(--('93_TARGET_MEMBERSHIP'!X$5:X$27=1),'05_FEATURE_MODEL'!AK$5:AK$27)/MAX(1,COUNTIF('93_TARGET_MEMBERSHIP'!X$5:X$27,1))-SUMPRODUCT(--('93_TARGET_MEMBERSHIP'!X$5:X$27=-1),'05_FEATURE_MODEL'!AK$5:AK$27)/MAX(1,COUNTIF('93_TARGET_MEMBERSHIP'!X$5:X$27,-1))))</f>
        <v/>
      </c>
      <c r="AK27" s="34">
        <f>IF($B27="ABSOLUTE SEMANTIC",ABS('06_ITEM_POLE_MODEL'!AT27),ABS('06_ITEM_POLE_MODEL'!AT27)*ABS(SUMPRODUCT(--('93_TARGET_MEMBERSHIP'!X$5:X$27=1),'05_FEATURE_MODEL'!AL$5:AL$27)/MAX(1,COUNTIF('93_TARGET_MEMBERSHIP'!X$5:X$27,1))-SUMPRODUCT(--('93_TARGET_MEMBERSHIP'!X$5:X$27=-1),'05_FEATURE_MODEL'!AL$5:AL$27)/MAX(1,COUNTIF('93_TARGET_MEMBERSHIP'!X$5:X$27,-1))))</f>
        <v/>
      </c>
      <c r="AL27" s="34">
        <f>IF($B27="ABSOLUTE SEMANTIC",ABS('06_ITEM_POLE_MODEL'!AU27),ABS('06_ITEM_POLE_MODEL'!AU27)*ABS(SUMPRODUCT(--('93_TARGET_MEMBERSHIP'!X$5:X$27=1),'05_FEATURE_MODEL'!AM$5:AM$27)/MAX(1,COUNTIF('93_TARGET_MEMBERSHIP'!X$5:X$27,1))-SUMPRODUCT(--('93_TARGET_MEMBERSHIP'!X$5:X$27=-1),'05_FEATURE_MODEL'!AM$5:AM$27)/MAX(1,COUNTIF('93_TARGET_MEMBERSHIP'!X$5:X$27,-1))))</f>
        <v/>
      </c>
      <c r="AM27" s="34">
        <f>IF($B27="ABSOLUTE SEMANTIC",ABS('06_ITEM_POLE_MODEL'!AV27),ABS('06_ITEM_POLE_MODEL'!AV27)*ABS(SUMPRODUCT(--('93_TARGET_MEMBERSHIP'!X$5:X$27=1),'05_FEATURE_MODEL'!AN$5:AN$27)/MAX(1,COUNTIF('93_TARGET_MEMBERSHIP'!X$5:X$27,1))-SUMPRODUCT(--('93_TARGET_MEMBERSHIP'!X$5:X$27=-1),'05_FEATURE_MODEL'!AN$5:AN$27)/MAX(1,COUNTIF('93_TARGET_MEMBERSHIP'!X$5:X$27,-1))))</f>
        <v/>
      </c>
      <c r="AN27" s="34">
        <f>IF($B27="ABSOLUTE SEMANTIC",ABS('06_ITEM_POLE_MODEL'!AW27),ABS('06_ITEM_POLE_MODEL'!AW27)*ABS(SUMPRODUCT(--('93_TARGET_MEMBERSHIP'!X$5:X$27=1),'05_FEATURE_MODEL'!AO$5:AO$27)/MAX(1,COUNTIF('93_TARGET_MEMBERSHIP'!X$5:X$27,1))-SUMPRODUCT(--('93_TARGET_MEMBERSHIP'!X$5:X$27=-1),'05_FEATURE_MODEL'!AO$5:AO$27)/MAX(1,COUNTIF('93_TARGET_MEMBERSHIP'!X$5:X$27,-1))))</f>
        <v/>
      </c>
      <c r="AO27" s="34">
        <f>IF($B27="ABSOLUTE SEMANTIC",ABS('06_ITEM_POLE_MODEL'!AX27),ABS('06_ITEM_POLE_MODEL'!AX27)*ABS(SUMPRODUCT(--('93_TARGET_MEMBERSHIP'!X$5:X$27=1),'05_FEATURE_MODEL'!AP$5:AP$27)/MAX(1,COUNTIF('93_TARGET_MEMBERSHIP'!X$5:X$27,1))-SUMPRODUCT(--('93_TARGET_MEMBERSHIP'!X$5:X$27=-1),'05_FEATURE_MODEL'!AP$5:AP$27)/MAX(1,COUNTIF('93_TARGET_MEMBERSHIP'!X$5:X$27,-1))))</f>
        <v/>
      </c>
      <c r="AP27" s="34">
        <f>IF($B27="ABSOLUTE SEMANTIC",ABS('06_ITEM_POLE_MODEL'!AY27),ABS('06_ITEM_POLE_MODEL'!AY27)*ABS(SUMPRODUCT(--('93_TARGET_MEMBERSHIP'!X$5:X$27=1),'05_FEATURE_MODEL'!AQ$5:AQ$27)/MAX(1,COUNTIF('93_TARGET_MEMBERSHIP'!X$5:X$27,1))-SUMPRODUCT(--('93_TARGET_MEMBERSHIP'!X$5:X$27=-1),'05_FEATURE_MODEL'!AQ$5:AQ$27)/MAX(1,COUNTIF('93_TARGET_MEMBERSHIP'!X$5:X$27,-1))))</f>
        <v/>
      </c>
      <c r="AQ27" s="34">
        <f>IF($B27="ABSOLUTE SEMANTIC",ABS('06_ITEM_POLE_MODEL'!AZ27),ABS('06_ITEM_POLE_MODEL'!AZ27)*ABS(SUMPRODUCT(--('93_TARGET_MEMBERSHIP'!X$5:X$27=1),'05_FEATURE_MODEL'!AR$5:AR$27)/MAX(1,COUNTIF('93_TARGET_MEMBERSHIP'!X$5:X$27,1))-SUMPRODUCT(--('93_TARGET_MEMBERSHIP'!X$5:X$27=-1),'05_FEATURE_MODEL'!AR$5:AR$27)/MAX(1,COUNTIF('93_TARGET_MEMBERSHIP'!X$5:X$27,-1))))</f>
        <v/>
      </c>
    </row>
    <row r="28" ht="36" customHeight="1">
      <c r="A28" s="34">
        <f>'06_ITEM_POLE_MODEL'!A28</f>
        <v/>
      </c>
      <c r="B28" s="34">
        <f>'06_ITEM_POLE_MODEL'!E28</f>
        <v/>
      </c>
      <c r="C28" s="34">
        <f>IF($B28="ABSOLUTE SEMANTIC",ABS('06_ITEM_POLE_MODEL'!L28),ABS('06_ITEM_POLE_MODEL'!L28)*ABS(SUMPRODUCT(--('93_TARGET_MEMBERSHIP'!Y$5:Y$27=1),'05_FEATURE_MODEL'!D$5:D$27)/MAX(1,COUNTIF('93_TARGET_MEMBERSHIP'!Y$5:Y$27,1))-SUMPRODUCT(--('93_TARGET_MEMBERSHIP'!Y$5:Y$27=-1),'05_FEATURE_MODEL'!D$5:D$27)/MAX(1,COUNTIF('93_TARGET_MEMBERSHIP'!Y$5:Y$27,-1))))</f>
        <v/>
      </c>
      <c r="D28" s="34">
        <f>IF($B28="ABSOLUTE SEMANTIC",ABS('06_ITEM_POLE_MODEL'!M28),ABS('06_ITEM_POLE_MODEL'!M28)*ABS(SUMPRODUCT(--('93_TARGET_MEMBERSHIP'!Y$5:Y$27=1),'05_FEATURE_MODEL'!E$5:E$27)/MAX(1,COUNTIF('93_TARGET_MEMBERSHIP'!Y$5:Y$27,1))-SUMPRODUCT(--('93_TARGET_MEMBERSHIP'!Y$5:Y$27=-1),'05_FEATURE_MODEL'!E$5:E$27)/MAX(1,COUNTIF('93_TARGET_MEMBERSHIP'!Y$5:Y$27,-1))))</f>
        <v/>
      </c>
      <c r="E28" s="34">
        <f>IF($B28="ABSOLUTE SEMANTIC",ABS('06_ITEM_POLE_MODEL'!N28),ABS('06_ITEM_POLE_MODEL'!N28)*ABS(SUMPRODUCT(--('93_TARGET_MEMBERSHIP'!Y$5:Y$27=1),'05_FEATURE_MODEL'!F$5:F$27)/MAX(1,COUNTIF('93_TARGET_MEMBERSHIP'!Y$5:Y$27,1))-SUMPRODUCT(--('93_TARGET_MEMBERSHIP'!Y$5:Y$27=-1),'05_FEATURE_MODEL'!F$5:F$27)/MAX(1,COUNTIF('93_TARGET_MEMBERSHIP'!Y$5:Y$27,-1))))</f>
        <v/>
      </c>
      <c r="F28" s="34">
        <f>IF($B28="ABSOLUTE SEMANTIC",ABS('06_ITEM_POLE_MODEL'!O28),ABS('06_ITEM_POLE_MODEL'!O28)*ABS(SUMPRODUCT(--('93_TARGET_MEMBERSHIP'!Y$5:Y$27=1),'05_FEATURE_MODEL'!G$5:G$27)/MAX(1,COUNTIF('93_TARGET_MEMBERSHIP'!Y$5:Y$27,1))-SUMPRODUCT(--('93_TARGET_MEMBERSHIP'!Y$5:Y$27=-1),'05_FEATURE_MODEL'!G$5:G$27)/MAX(1,COUNTIF('93_TARGET_MEMBERSHIP'!Y$5:Y$27,-1))))</f>
        <v/>
      </c>
      <c r="G28" s="34">
        <f>IF($B28="ABSOLUTE SEMANTIC",ABS('06_ITEM_POLE_MODEL'!P28),ABS('06_ITEM_POLE_MODEL'!P28)*ABS(SUMPRODUCT(--('93_TARGET_MEMBERSHIP'!Y$5:Y$27=1),'05_FEATURE_MODEL'!H$5:H$27)/MAX(1,COUNTIF('93_TARGET_MEMBERSHIP'!Y$5:Y$27,1))-SUMPRODUCT(--('93_TARGET_MEMBERSHIP'!Y$5:Y$27=-1),'05_FEATURE_MODEL'!H$5:H$27)/MAX(1,COUNTIF('93_TARGET_MEMBERSHIP'!Y$5:Y$27,-1))))</f>
        <v/>
      </c>
      <c r="H28" s="34">
        <f>IF($B28="ABSOLUTE SEMANTIC",ABS('06_ITEM_POLE_MODEL'!Q28),ABS('06_ITEM_POLE_MODEL'!Q28)*ABS(SUMPRODUCT(--('93_TARGET_MEMBERSHIP'!Y$5:Y$27=1),'05_FEATURE_MODEL'!I$5:I$27)/MAX(1,COUNTIF('93_TARGET_MEMBERSHIP'!Y$5:Y$27,1))-SUMPRODUCT(--('93_TARGET_MEMBERSHIP'!Y$5:Y$27=-1),'05_FEATURE_MODEL'!I$5:I$27)/MAX(1,COUNTIF('93_TARGET_MEMBERSHIP'!Y$5:Y$27,-1))))</f>
        <v/>
      </c>
      <c r="I28" s="34">
        <f>IF($B28="ABSOLUTE SEMANTIC",ABS('06_ITEM_POLE_MODEL'!R28),ABS('06_ITEM_POLE_MODEL'!R28)*ABS(SUMPRODUCT(--('93_TARGET_MEMBERSHIP'!Y$5:Y$27=1),'05_FEATURE_MODEL'!J$5:J$27)/MAX(1,COUNTIF('93_TARGET_MEMBERSHIP'!Y$5:Y$27,1))-SUMPRODUCT(--('93_TARGET_MEMBERSHIP'!Y$5:Y$27=-1),'05_FEATURE_MODEL'!J$5:J$27)/MAX(1,COUNTIF('93_TARGET_MEMBERSHIP'!Y$5:Y$27,-1))))</f>
        <v/>
      </c>
      <c r="J28" s="34">
        <f>IF($B28="ABSOLUTE SEMANTIC",ABS('06_ITEM_POLE_MODEL'!S28),ABS('06_ITEM_POLE_MODEL'!S28)*ABS(SUMPRODUCT(--('93_TARGET_MEMBERSHIP'!Y$5:Y$27=1),'05_FEATURE_MODEL'!K$5:K$27)/MAX(1,COUNTIF('93_TARGET_MEMBERSHIP'!Y$5:Y$27,1))-SUMPRODUCT(--('93_TARGET_MEMBERSHIP'!Y$5:Y$27=-1),'05_FEATURE_MODEL'!K$5:K$27)/MAX(1,COUNTIF('93_TARGET_MEMBERSHIP'!Y$5:Y$27,-1))))</f>
        <v/>
      </c>
      <c r="K28" s="34">
        <f>IF($B28="ABSOLUTE SEMANTIC",ABS('06_ITEM_POLE_MODEL'!T28),ABS('06_ITEM_POLE_MODEL'!T28)*ABS(SUMPRODUCT(--('93_TARGET_MEMBERSHIP'!Y$5:Y$27=1),'05_FEATURE_MODEL'!L$5:L$27)/MAX(1,COUNTIF('93_TARGET_MEMBERSHIP'!Y$5:Y$27,1))-SUMPRODUCT(--('93_TARGET_MEMBERSHIP'!Y$5:Y$27=-1),'05_FEATURE_MODEL'!L$5:L$27)/MAX(1,COUNTIF('93_TARGET_MEMBERSHIP'!Y$5:Y$27,-1))))</f>
        <v/>
      </c>
      <c r="L28" s="34">
        <f>IF($B28="ABSOLUTE SEMANTIC",ABS('06_ITEM_POLE_MODEL'!U28),ABS('06_ITEM_POLE_MODEL'!U28)*ABS(SUMPRODUCT(--('93_TARGET_MEMBERSHIP'!Y$5:Y$27=1),'05_FEATURE_MODEL'!M$5:M$27)/MAX(1,COUNTIF('93_TARGET_MEMBERSHIP'!Y$5:Y$27,1))-SUMPRODUCT(--('93_TARGET_MEMBERSHIP'!Y$5:Y$27=-1),'05_FEATURE_MODEL'!M$5:M$27)/MAX(1,COUNTIF('93_TARGET_MEMBERSHIP'!Y$5:Y$27,-1))))</f>
        <v/>
      </c>
      <c r="M28" s="34">
        <f>IF($B28="ABSOLUTE SEMANTIC",ABS('06_ITEM_POLE_MODEL'!V28),ABS('06_ITEM_POLE_MODEL'!V28)*ABS(SUMPRODUCT(--('93_TARGET_MEMBERSHIP'!Y$5:Y$27=1),'05_FEATURE_MODEL'!N$5:N$27)/MAX(1,COUNTIF('93_TARGET_MEMBERSHIP'!Y$5:Y$27,1))-SUMPRODUCT(--('93_TARGET_MEMBERSHIP'!Y$5:Y$27=-1),'05_FEATURE_MODEL'!N$5:N$27)/MAX(1,COUNTIF('93_TARGET_MEMBERSHIP'!Y$5:Y$27,-1))))</f>
        <v/>
      </c>
      <c r="N28" s="34">
        <f>IF($B28="ABSOLUTE SEMANTIC",ABS('06_ITEM_POLE_MODEL'!W28),ABS('06_ITEM_POLE_MODEL'!W28)*ABS(SUMPRODUCT(--('93_TARGET_MEMBERSHIP'!Y$5:Y$27=1),'05_FEATURE_MODEL'!O$5:O$27)/MAX(1,COUNTIF('93_TARGET_MEMBERSHIP'!Y$5:Y$27,1))-SUMPRODUCT(--('93_TARGET_MEMBERSHIP'!Y$5:Y$27=-1),'05_FEATURE_MODEL'!O$5:O$27)/MAX(1,COUNTIF('93_TARGET_MEMBERSHIP'!Y$5:Y$27,-1))))</f>
        <v/>
      </c>
      <c r="O28" s="34">
        <f>IF($B28="ABSOLUTE SEMANTIC",ABS('06_ITEM_POLE_MODEL'!X28),ABS('06_ITEM_POLE_MODEL'!X28)*ABS(SUMPRODUCT(--('93_TARGET_MEMBERSHIP'!Y$5:Y$27=1),'05_FEATURE_MODEL'!P$5:P$27)/MAX(1,COUNTIF('93_TARGET_MEMBERSHIP'!Y$5:Y$27,1))-SUMPRODUCT(--('93_TARGET_MEMBERSHIP'!Y$5:Y$27=-1),'05_FEATURE_MODEL'!P$5:P$27)/MAX(1,COUNTIF('93_TARGET_MEMBERSHIP'!Y$5:Y$27,-1))))</f>
        <v/>
      </c>
      <c r="P28" s="34">
        <f>IF($B28="ABSOLUTE SEMANTIC",ABS('06_ITEM_POLE_MODEL'!Y28),ABS('06_ITEM_POLE_MODEL'!Y28)*ABS(SUMPRODUCT(--('93_TARGET_MEMBERSHIP'!Y$5:Y$27=1),'05_FEATURE_MODEL'!Q$5:Q$27)/MAX(1,COUNTIF('93_TARGET_MEMBERSHIP'!Y$5:Y$27,1))-SUMPRODUCT(--('93_TARGET_MEMBERSHIP'!Y$5:Y$27=-1),'05_FEATURE_MODEL'!Q$5:Q$27)/MAX(1,COUNTIF('93_TARGET_MEMBERSHIP'!Y$5:Y$27,-1))))</f>
        <v/>
      </c>
      <c r="Q28" s="34">
        <f>IF($B28="ABSOLUTE SEMANTIC",ABS('06_ITEM_POLE_MODEL'!Z28),ABS('06_ITEM_POLE_MODEL'!Z28)*ABS(SUMPRODUCT(--('93_TARGET_MEMBERSHIP'!Y$5:Y$27=1),'05_FEATURE_MODEL'!R$5:R$27)/MAX(1,COUNTIF('93_TARGET_MEMBERSHIP'!Y$5:Y$27,1))-SUMPRODUCT(--('93_TARGET_MEMBERSHIP'!Y$5:Y$27=-1),'05_FEATURE_MODEL'!R$5:R$27)/MAX(1,COUNTIF('93_TARGET_MEMBERSHIP'!Y$5:Y$27,-1))))</f>
        <v/>
      </c>
      <c r="R28" s="34">
        <f>IF($B28="ABSOLUTE SEMANTIC",ABS('06_ITEM_POLE_MODEL'!AA28),ABS('06_ITEM_POLE_MODEL'!AA28)*ABS(SUMPRODUCT(--('93_TARGET_MEMBERSHIP'!Y$5:Y$27=1),'05_FEATURE_MODEL'!S$5:S$27)/MAX(1,COUNTIF('93_TARGET_MEMBERSHIP'!Y$5:Y$27,1))-SUMPRODUCT(--('93_TARGET_MEMBERSHIP'!Y$5:Y$27=-1),'05_FEATURE_MODEL'!S$5:S$27)/MAX(1,COUNTIF('93_TARGET_MEMBERSHIP'!Y$5:Y$27,-1))))</f>
        <v/>
      </c>
      <c r="S28" s="34">
        <f>IF($B28="ABSOLUTE SEMANTIC",ABS('06_ITEM_POLE_MODEL'!AB28),ABS('06_ITEM_POLE_MODEL'!AB28)*ABS(SUMPRODUCT(--('93_TARGET_MEMBERSHIP'!Y$5:Y$27=1),'05_FEATURE_MODEL'!T$5:T$27)/MAX(1,COUNTIF('93_TARGET_MEMBERSHIP'!Y$5:Y$27,1))-SUMPRODUCT(--('93_TARGET_MEMBERSHIP'!Y$5:Y$27=-1),'05_FEATURE_MODEL'!T$5:T$27)/MAX(1,COUNTIF('93_TARGET_MEMBERSHIP'!Y$5:Y$27,-1))))</f>
        <v/>
      </c>
      <c r="T28" s="34">
        <f>IF($B28="ABSOLUTE SEMANTIC",ABS('06_ITEM_POLE_MODEL'!AC28),ABS('06_ITEM_POLE_MODEL'!AC28)*ABS(SUMPRODUCT(--('93_TARGET_MEMBERSHIP'!Y$5:Y$27=1),'05_FEATURE_MODEL'!U$5:U$27)/MAX(1,COUNTIF('93_TARGET_MEMBERSHIP'!Y$5:Y$27,1))-SUMPRODUCT(--('93_TARGET_MEMBERSHIP'!Y$5:Y$27=-1),'05_FEATURE_MODEL'!U$5:U$27)/MAX(1,COUNTIF('93_TARGET_MEMBERSHIP'!Y$5:Y$27,-1))))</f>
        <v/>
      </c>
      <c r="U28" s="34">
        <f>IF($B28="ABSOLUTE SEMANTIC",ABS('06_ITEM_POLE_MODEL'!AD28),ABS('06_ITEM_POLE_MODEL'!AD28)*ABS(SUMPRODUCT(--('93_TARGET_MEMBERSHIP'!Y$5:Y$27=1),'05_FEATURE_MODEL'!V$5:V$27)/MAX(1,COUNTIF('93_TARGET_MEMBERSHIP'!Y$5:Y$27,1))-SUMPRODUCT(--('93_TARGET_MEMBERSHIP'!Y$5:Y$27=-1),'05_FEATURE_MODEL'!V$5:V$27)/MAX(1,COUNTIF('93_TARGET_MEMBERSHIP'!Y$5:Y$27,-1))))</f>
        <v/>
      </c>
      <c r="V28" s="34">
        <f>IF($B28="ABSOLUTE SEMANTIC",ABS('06_ITEM_POLE_MODEL'!AE28),ABS('06_ITEM_POLE_MODEL'!AE28)*ABS(SUMPRODUCT(--('93_TARGET_MEMBERSHIP'!Y$5:Y$27=1),'05_FEATURE_MODEL'!W$5:W$27)/MAX(1,COUNTIF('93_TARGET_MEMBERSHIP'!Y$5:Y$27,1))-SUMPRODUCT(--('93_TARGET_MEMBERSHIP'!Y$5:Y$27=-1),'05_FEATURE_MODEL'!W$5:W$27)/MAX(1,COUNTIF('93_TARGET_MEMBERSHIP'!Y$5:Y$27,-1))))</f>
        <v/>
      </c>
      <c r="W28" s="34">
        <f>IF($B28="ABSOLUTE SEMANTIC",ABS('06_ITEM_POLE_MODEL'!AF28),ABS('06_ITEM_POLE_MODEL'!AF28)*ABS(SUMPRODUCT(--('93_TARGET_MEMBERSHIP'!Y$5:Y$27=1),'05_FEATURE_MODEL'!X$5:X$27)/MAX(1,COUNTIF('93_TARGET_MEMBERSHIP'!Y$5:Y$27,1))-SUMPRODUCT(--('93_TARGET_MEMBERSHIP'!Y$5:Y$27=-1),'05_FEATURE_MODEL'!X$5:X$27)/MAX(1,COUNTIF('93_TARGET_MEMBERSHIP'!Y$5:Y$27,-1))))</f>
        <v/>
      </c>
      <c r="X28" s="34">
        <f>IF($B28="ABSOLUTE SEMANTIC",ABS('06_ITEM_POLE_MODEL'!AG28),ABS('06_ITEM_POLE_MODEL'!AG28)*ABS(SUMPRODUCT(--('93_TARGET_MEMBERSHIP'!Y$5:Y$27=1),'05_FEATURE_MODEL'!Y$5:Y$27)/MAX(1,COUNTIF('93_TARGET_MEMBERSHIP'!Y$5:Y$27,1))-SUMPRODUCT(--('93_TARGET_MEMBERSHIP'!Y$5:Y$27=-1),'05_FEATURE_MODEL'!Y$5:Y$27)/MAX(1,COUNTIF('93_TARGET_MEMBERSHIP'!Y$5:Y$27,-1))))</f>
        <v/>
      </c>
      <c r="Y28" s="34">
        <f>IF($B28="ABSOLUTE SEMANTIC",ABS('06_ITEM_POLE_MODEL'!AH28),ABS('06_ITEM_POLE_MODEL'!AH28)*ABS(SUMPRODUCT(--('93_TARGET_MEMBERSHIP'!Y$5:Y$27=1),'05_FEATURE_MODEL'!Z$5:Z$27)/MAX(1,COUNTIF('93_TARGET_MEMBERSHIP'!Y$5:Y$27,1))-SUMPRODUCT(--('93_TARGET_MEMBERSHIP'!Y$5:Y$27=-1),'05_FEATURE_MODEL'!Z$5:Z$27)/MAX(1,COUNTIF('93_TARGET_MEMBERSHIP'!Y$5:Y$27,-1))))</f>
        <v/>
      </c>
      <c r="Z28" s="34">
        <f>IF($B28="ABSOLUTE SEMANTIC",ABS('06_ITEM_POLE_MODEL'!AI28),ABS('06_ITEM_POLE_MODEL'!AI28)*ABS(SUMPRODUCT(--('93_TARGET_MEMBERSHIP'!Y$5:Y$27=1),'05_FEATURE_MODEL'!AA$5:AA$27)/MAX(1,COUNTIF('93_TARGET_MEMBERSHIP'!Y$5:Y$27,1))-SUMPRODUCT(--('93_TARGET_MEMBERSHIP'!Y$5:Y$27=-1),'05_FEATURE_MODEL'!AA$5:AA$27)/MAX(1,COUNTIF('93_TARGET_MEMBERSHIP'!Y$5:Y$27,-1))))</f>
        <v/>
      </c>
      <c r="AA28" s="34">
        <f>IF($B28="ABSOLUTE SEMANTIC",ABS('06_ITEM_POLE_MODEL'!AJ28),ABS('06_ITEM_POLE_MODEL'!AJ28)*ABS(SUMPRODUCT(--('93_TARGET_MEMBERSHIP'!Y$5:Y$27=1),'05_FEATURE_MODEL'!AB$5:AB$27)/MAX(1,COUNTIF('93_TARGET_MEMBERSHIP'!Y$5:Y$27,1))-SUMPRODUCT(--('93_TARGET_MEMBERSHIP'!Y$5:Y$27=-1),'05_FEATURE_MODEL'!AB$5:AB$27)/MAX(1,COUNTIF('93_TARGET_MEMBERSHIP'!Y$5:Y$27,-1))))</f>
        <v/>
      </c>
      <c r="AB28" s="34">
        <f>IF($B28="ABSOLUTE SEMANTIC",ABS('06_ITEM_POLE_MODEL'!AK28),ABS('06_ITEM_POLE_MODEL'!AK28)*ABS(SUMPRODUCT(--('93_TARGET_MEMBERSHIP'!Y$5:Y$27=1),'05_FEATURE_MODEL'!AC$5:AC$27)/MAX(1,COUNTIF('93_TARGET_MEMBERSHIP'!Y$5:Y$27,1))-SUMPRODUCT(--('93_TARGET_MEMBERSHIP'!Y$5:Y$27=-1),'05_FEATURE_MODEL'!AC$5:AC$27)/MAX(1,COUNTIF('93_TARGET_MEMBERSHIP'!Y$5:Y$27,-1))))</f>
        <v/>
      </c>
      <c r="AC28" s="34">
        <f>IF($B28="ABSOLUTE SEMANTIC",ABS('06_ITEM_POLE_MODEL'!AL28),ABS('06_ITEM_POLE_MODEL'!AL28)*ABS(SUMPRODUCT(--('93_TARGET_MEMBERSHIP'!Y$5:Y$27=1),'05_FEATURE_MODEL'!AD$5:AD$27)/MAX(1,COUNTIF('93_TARGET_MEMBERSHIP'!Y$5:Y$27,1))-SUMPRODUCT(--('93_TARGET_MEMBERSHIP'!Y$5:Y$27=-1),'05_FEATURE_MODEL'!AD$5:AD$27)/MAX(1,COUNTIF('93_TARGET_MEMBERSHIP'!Y$5:Y$27,-1))))</f>
        <v/>
      </c>
      <c r="AD28" s="34">
        <f>IF($B28="ABSOLUTE SEMANTIC",ABS('06_ITEM_POLE_MODEL'!AM28),ABS('06_ITEM_POLE_MODEL'!AM28)*ABS(SUMPRODUCT(--('93_TARGET_MEMBERSHIP'!Y$5:Y$27=1),'05_FEATURE_MODEL'!AE$5:AE$27)/MAX(1,COUNTIF('93_TARGET_MEMBERSHIP'!Y$5:Y$27,1))-SUMPRODUCT(--('93_TARGET_MEMBERSHIP'!Y$5:Y$27=-1),'05_FEATURE_MODEL'!AE$5:AE$27)/MAX(1,COUNTIF('93_TARGET_MEMBERSHIP'!Y$5:Y$27,-1))))</f>
        <v/>
      </c>
      <c r="AE28" s="34">
        <f>IF($B28="ABSOLUTE SEMANTIC",ABS('06_ITEM_POLE_MODEL'!AN28),ABS('06_ITEM_POLE_MODEL'!AN28)*ABS(SUMPRODUCT(--('93_TARGET_MEMBERSHIP'!Y$5:Y$27=1),'05_FEATURE_MODEL'!AF$5:AF$27)/MAX(1,COUNTIF('93_TARGET_MEMBERSHIP'!Y$5:Y$27,1))-SUMPRODUCT(--('93_TARGET_MEMBERSHIP'!Y$5:Y$27=-1),'05_FEATURE_MODEL'!AF$5:AF$27)/MAX(1,COUNTIF('93_TARGET_MEMBERSHIP'!Y$5:Y$27,-1))))</f>
        <v/>
      </c>
      <c r="AF28" s="34">
        <f>IF($B28="ABSOLUTE SEMANTIC",ABS('06_ITEM_POLE_MODEL'!AO28),ABS('06_ITEM_POLE_MODEL'!AO28)*ABS(SUMPRODUCT(--('93_TARGET_MEMBERSHIP'!Y$5:Y$27=1),'05_FEATURE_MODEL'!AG$5:AG$27)/MAX(1,COUNTIF('93_TARGET_MEMBERSHIP'!Y$5:Y$27,1))-SUMPRODUCT(--('93_TARGET_MEMBERSHIP'!Y$5:Y$27=-1),'05_FEATURE_MODEL'!AG$5:AG$27)/MAX(1,COUNTIF('93_TARGET_MEMBERSHIP'!Y$5:Y$27,-1))))</f>
        <v/>
      </c>
      <c r="AG28" s="34">
        <f>IF($B28="ABSOLUTE SEMANTIC",ABS('06_ITEM_POLE_MODEL'!AP28),ABS('06_ITEM_POLE_MODEL'!AP28)*ABS(SUMPRODUCT(--('93_TARGET_MEMBERSHIP'!Y$5:Y$27=1),'05_FEATURE_MODEL'!AH$5:AH$27)/MAX(1,COUNTIF('93_TARGET_MEMBERSHIP'!Y$5:Y$27,1))-SUMPRODUCT(--('93_TARGET_MEMBERSHIP'!Y$5:Y$27=-1),'05_FEATURE_MODEL'!AH$5:AH$27)/MAX(1,COUNTIF('93_TARGET_MEMBERSHIP'!Y$5:Y$27,-1))))</f>
        <v/>
      </c>
      <c r="AH28" s="34">
        <f>IF($B28="ABSOLUTE SEMANTIC",ABS('06_ITEM_POLE_MODEL'!AQ28),ABS('06_ITEM_POLE_MODEL'!AQ28)*ABS(SUMPRODUCT(--('93_TARGET_MEMBERSHIP'!Y$5:Y$27=1),'05_FEATURE_MODEL'!AI$5:AI$27)/MAX(1,COUNTIF('93_TARGET_MEMBERSHIP'!Y$5:Y$27,1))-SUMPRODUCT(--('93_TARGET_MEMBERSHIP'!Y$5:Y$27=-1),'05_FEATURE_MODEL'!AI$5:AI$27)/MAX(1,COUNTIF('93_TARGET_MEMBERSHIP'!Y$5:Y$27,-1))))</f>
        <v/>
      </c>
      <c r="AI28" s="34">
        <f>IF($B28="ABSOLUTE SEMANTIC",ABS('06_ITEM_POLE_MODEL'!AR28),ABS('06_ITEM_POLE_MODEL'!AR28)*ABS(SUMPRODUCT(--('93_TARGET_MEMBERSHIP'!Y$5:Y$27=1),'05_FEATURE_MODEL'!AJ$5:AJ$27)/MAX(1,COUNTIF('93_TARGET_MEMBERSHIP'!Y$5:Y$27,1))-SUMPRODUCT(--('93_TARGET_MEMBERSHIP'!Y$5:Y$27=-1),'05_FEATURE_MODEL'!AJ$5:AJ$27)/MAX(1,COUNTIF('93_TARGET_MEMBERSHIP'!Y$5:Y$27,-1))))</f>
        <v/>
      </c>
      <c r="AJ28" s="34">
        <f>IF($B28="ABSOLUTE SEMANTIC",ABS('06_ITEM_POLE_MODEL'!AS28),ABS('06_ITEM_POLE_MODEL'!AS28)*ABS(SUMPRODUCT(--('93_TARGET_MEMBERSHIP'!Y$5:Y$27=1),'05_FEATURE_MODEL'!AK$5:AK$27)/MAX(1,COUNTIF('93_TARGET_MEMBERSHIP'!Y$5:Y$27,1))-SUMPRODUCT(--('93_TARGET_MEMBERSHIP'!Y$5:Y$27=-1),'05_FEATURE_MODEL'!AK$5:AK$27)/MAX(1,COUNTIF('93_TARGET_MEMBERSHIP'!Y$5:Y$27,-1))))</f>
        <v/>
      </c>
      <c r="AK28" s="34">
        <f>IF($B28="ABSOLUTE SEMANTIC",ABS('06_ITEM_POLE_MODEL'!AT28),ABS('06_ITEM_POLE_MODEL'!AT28)*ABS(SUMPRODUCT(--('93_TARGET_MEMBERSHIP'!Y$5:Y$27=1),'05_FEATURE_MODEL'!AL$5:AL$27)/MAX(1,COUNTIF('93_TARGET_MEMBERSHIP'!Y$5:Y$27,1))-SUMPRODUCT(--('93_TARGET_MEMBERSHIP'!Y$5:Y$27=-1),'05_FEATURE_MODEL'!AL$5:AL$27)/MAX(1,COUNTIF('93_TARGET_MEMBERSHIP'!Y$5:Y$27,-1))))</f>
        <v/>
      </c>
      <c r="AL28" s="34">
        <f>IF($B28="ABSOLUTE SEMANTIC",ABS('06_ITEM_POLE_MODEL'!AU28),ABS('06_ITEM_POLE_MODEL'!AU28)*ABS(SUMPRODUCT(--('93_TARGET_MEMBERSHIP'!Y$5:Y$27=1),'05_FEATURE_MODEL'!AM$5:AM$27)/MAX(1,COUNTIF('93_TARGET_MEMBERSHIP'!Y$5:Y$27,1))-SUMPRODUCT(--('93_TARGET_MEMBERSHIP'!Y$5:Y$27=-1),'05_FEATURE_MODEL'!AM$5:AM$27)/MAX(1,COUNTIF('93_TARGET_MEMBERSHIP'!Y$5:Y$27,-1))))</f>
        <v/>
      </c>
      <c r="AM28" s="34">
        <f>IF($B28="ABSOLUTE SEMANTIC",ABS('06_ITEM_POLE_MODEL'!AV28),ABS('06_ITEM_POLE_MODEL'!AV28)*ABS(SUMPRODUCT(--('93_TARGET_MEMBERSHIP'!Y$5:Y$27=1),'05_FEATURE_MODEL'!AN$5:AN$27)/MAX(1,COUNTIF('93_TARGET_MEMBERSHIP'!Y$5:Y$27,1))-SUMPRODUCT(--('93_TARGET_MEMBERSHIP'!Y$5:Y$27=-1),'05_FEATURE_MODEL'!AN$5:AN$27)/MAX(1,COUNTIF('93_TARGET_MEMBERSHIP'!Y$5:Y$27,-1))))</f>
        <v/>
      </c>
      <c r="AN28" s="34">
        <f>IF($B28="ABSOLUTE SEMANTIC",ABS('06_ITEM_POLE_MODEL'!AW28),ABS('06_ITEM_POLE_MODEL'!AW28)*ABS(SUMPRODUCT(--('93_TARGET_MEMBERSHIP'!Y$5:Y$27=1),'05_FEATURE_MODEL'!AO$5:AO$27)/MAX(1,COUNTIF('93_TARGET_MEMBERSHIP'!Y$5:Y$27,1))-SUMPRODUCT(--('93_TARGET_MEMBERSHIP'!Y$5:Y$27=-1),'05_FEATURE_MODEL'!AO$5:AO$27)/MAX(1,COUNTIF('93_TARGET_MEMBERSHIP'!Y$5:Y$27,-1))))</f>
        <v/>
      </c>
      <c r="AO28" s="34">
        <f>IF($B28="ABSOLUTE SEMANTIC",ABS('06_ITEM_POLE_MODEL'!AX28),ABS('06_ITEM_POLE_MODEL'!AX28)*ABS(SUMPRODUCT(--('93_TARGET_MEMBERSHIP'!Y$5:Y$27=1),'05_FEATURE_MODEL'!AP$5:AP$27)/MAX(1,COUNTIF('93_TARGET_MEMBERSHIP'!Y$5:Y$27,1))-SUMPRODUCT(--('93_TARGET_MEMBERSHIP'!Y$5:Y$27=-1),'05_FEATURE_MODEL'!AP$5:AP$27)/MAX(1,COUNTIF('93_TARGET_MEMBERSHIP'!Y$5:Y$27,-1))))</f>
        <v/>
      </c>
      <c r="AP28" s="34">
        <f>IF($B28="ABSOLUTE SEMANTIC",ABS('06_ITEM_POLE_MODEL'!AY28),ABS('06_ITEM_POLE_MODEL'!AY28)*ABS(SUMPRODUCT(--('93_TARGET_MEMBERSHIP'!Y$5:Y$27=1),'05_FEATURE_MODEL'!AQ$5:AQ$27)/MAX(1,COUNTIF('93_TARGET_MEMBERSHIP'!Y$5:Y$27,1))-SUMPRODUCT(--('93_TARGET_MEMBERSHIP'!Y$5:Y$27=-1),'05_FEATURE_MODEL'!AQ$5:AQ$27)/MAX(1,COUNTIF('93_TARGET_MEMBERSHIP'!Y$5:Y$27,-1))))</f>
        <v/>
      </c>
      <c r="AQ28" s="34">
        <f>IF($B28="ABSOLUTE SEMANTIC",ABS('06_ITEM_POLE_MODEL'!AZ28),ABS('06_ITEM_POLE_MODEL'!AZ28)*ABS(SUMPRODUCT(--('93_TARGET_MEMBERSHIP'!Y$5:Y$27=1),'05_FEATURE_MODEL'!AR$5:AR$27)/MAX(1,COUNTIF('93_TARGET_MEMBERSHIP'!Y$5:Y$27,1))-SUMPRODUCT(--('93_TARGET_MEMBERSHIP'!Y$5:Y$27=-1),'05_FEATURE_MODEL'!AR$5:AR$27)/MAX(1,COUNTIF('93_TARGET_MEMBERSHIP'!Y$5:Y$27,-1))))</f>
        <v/>
      </c>
    </row>
    <row r="29" ht="36" customHeight="1">
      <c r="A29" s="34">
        <f>'06_ITEM_POLE_MODEL'!A29</f>
        <v/>
      </c>
      <c r="B29" s="34">
        <f>'06_ITEM_POLE_MODEL'!E29</f>
        <v/>
      </c>
      <c r="C29" s="34">
        <f>IF($B29="ABSOLUTE SEMANTIC",ABS('06_ITEM_POLE_MODEL'!L29),ABS('06_ITEM_POLE_MODEL'!L29)*ABS(SUMPRODUCT(--('93_TARGET_MEMBERSHIP'!Z$5:Z$27=1),'05_FEATURE_MODEL'!D$5:D$27)/MAX(1,COUNTIF('93_TARGET_MEMBERSHIP'!Z$5:Z$27,1))-SUMPRODUCT(--('93_TARGET_MEMBERSHIP'!Z$5:Z$27=-1),'05_FEATURE_MODEL'!D$5:D$27)/MAX(1,COUNTIF('93_TARGET_MEMBERSHIP'!Z$5:Z$27,-1))))</f>
        <v/>
      </c>
      <c r="D29" s="34">
        <f>IF($B29="ABSOLUTE SEMANTIC",ABS('06_ITEM_POLE_MODEL'!M29),ABS('06_ITEM_POLE_MODEL'!M29)*ABS(SUMPRODUCT(--('93_TARGET_MEMBERSHIP'!Z$5:Z$27=1),'05_FEATURE_MODEL'!E$5:E$27)/MAX(1,COUNTIF('93_TARGET_MEMBERSHIP'!Z$5:Z$27,1))-SUMPRODUCT(--('93_TARGET_MEMBERSHIP'!Z$5:Z$27=-1),'05_FEATURE_MODEL'!E$5:E$27)/MAX(1,COUNTIF('93_TARGET_MEMBERSHIP'!Z$5:Z$27,-1))))</f>
        <v/>
      </c>
      <c r="E29" s="34">
        <f>IF($B29="ABSOLUTE SEMANTIC",ABS('06_ITEM_POLE_MODEL'!N29),ABS('06_ITEM_POLE_MODEL'!N29)*ABS(SUMPRODUCT(--('93_TARGET_MEMBERSHIP'!Z$5:Z$27=1),'05_FEATURE_MODEL'!F$5:F$27)/MAX(1,COUNTIF('93_TARGET_MEMBERSHIP'!Z$5:Z$27,1))-SUMPRODUCT(--('93_TARGET_MEMBERSHIP'!Z$5:Z$27=-1),'05_FEATURE_MODEL'!F$5:F$27)/MAX(1,COUNTIF('93_TARGET_MEMBERSHIP'!Z$5:Z$27,-1))))</f>
        <v/>
      </c>
      <c r="F29" s="34">
        <f>IF($B29="ABSOLUTE SEMANTIC",ABS('06_ITEM_POLE_MODEL'!O29),ABS('06_ITEM_POLE_MODEL'!O29)*ABS(SUMPRODUCT(--('93_TARGET_MEMBERSHIP'!Z$5:Z$27=1),'05_FEATURE_MODEL'!G$5:G$27)/MAX(1,COUNTIF('93_TARGET_MEMBERSHIP'!Z$5:Z$27,1))-SUMPRODUCT(--('93_TARGET_MEMBERSHIP'!Z$5:Z$27=-1),'05_FEATURE_MODEL'!G$5:G$27)/MAX(1,COUNTIF('93_TARGET_MEMBERSHIP'!Z$5:Z$27,-1))))</f>
        <v/>
      </c>
      <c r="G29" s="34">
        <f>IF($B29="ABSOLUTE SEMANTIC",ABS('06_ITEM_POLE_MODEL'!P29),ABS('06_ITEM_POLE_MODEL'!P29)*ABS(SUMPRODUCT(--('93_TARGET_MEMBERSHIP'!Z$5:Z$27=1),'05_FEATURE_MODEL'!H$5:H$27)/MAX(1,COUNTIF('93_TARGET_MEMBERSHIP'!Z$5:Z$27,1))-SUMPRODUCT(--('93_TARGET_MEMBERSHIP'!Z$5:Z$27=-1),'05_FEATURE_MODEL'!H$5:H$27)/MAX(1,COUNTIF('93_TARGET_MEMBERSHIP'!Z$5:Z$27,-1))))</f>
        <v/>
      </c>
      <c r="H29" s="34">
        <f>IF($B29="ABSOLUTE SEMANTIC",ABS('06_ITEM_POLE_MODEL'!Q29),ABS('06_ITEM_POLE_MODEL'!Q29)*ABS(SUMPRODUCT(--('93_TARGET_MEMBERSHIP'!Z$5:Z$27=1),'05_FEATURE_MODEL'!I$5:I$27)/MAX(1,COUNTIF('93_TARGET_MEMBERSHIP'!Z$5:Z$27,1))-SUMPRODUCT(--('93_TARGET_MEMBERSHIP'!Z$5:Z$27=-1),'05_FEATURE_MODEL'!I$5:I$27)/MAX(1,COUNTIF('93_TARGET_MEMBERSHIP'!Z$5:Z$27,-1))))</f>
        <v/>
      </c>
      <c r="I29" s="34">
        <f>IF($B29="ABSOLUTE SEMANTIC",ABS('06_ITEM_POLE_MODEL'!R29),ABS('06_ITEM_POLE_MODEL'!R29)*ABS(SUMPRODUCT(--('93_TARGET_MEMBERSHIP'!Z$5:Z$27=1),'05_FEATURE_MODEL'!J$5:J$27)/MAX(1,COUNTIF('93_TARGET_MEMBERSHIP'!Z$5:Z$27,1))-SUMPRODUCT(--('93_TARGET_MEMBERSHIP'!Z$5:Z$27=-1),'05_FEATURE_MODEL'!J$5:J$27)/MAX(1,COUNTIF('93_TARGET_MEMBERSHIP'!Z$5:Z$27,-1))))</f>
        <v/>
      </c>
      <c r="J29" s="34">
        <f>IF($B29="ABSOLUTE SEMANTIC",ABS('06_ITEM_POLE_MODEL'!S29),ABS('06_ITEM_POLE_MODEL'!S29)*ABS(SUMPRODUCT(--('93_TARGET_MEMBERSHIP'!Z$5:Z$27=1),'05_FEATURE_MODEL'!K$5:K$27)/MAX(1,COUNTIF('93_TARGET_MEMBERSHIP'!Z$5:Z$27,1))-SUMPRODUCT(--('93_TARGET_MEMBERSHIP'!Z$5:Z$27=-1),'05_FEATURE_MODEL'!K$5:K$27)/MAX(1,COUNTIF('93_TARGET_MEMBERSHIP'!Z$5:Z$27,-1))))</f>
        <v/>
      </c>
      <c r="K29" s="34">
        <f>IF($B29="ABSOLUTE SEMANTIC",ABS('06_ITEM_POLE_MODEL'!T29),ABS('06_ITEM_POLE_MODEL'!T29)*ABS(SUMPRODUCT(--('93_TARGET_MEMBERSHIP'!Z$5:Z$27=1),'05_FEATURE_MODEL'!L$5:L$27)/MAX(1,COUNTIF('93_TARGET_MEMBERSHIP'!Z$5:Z$27,1))-SUMPRODUCT(--('93_TARGET_MEMBERSHIP'!Z$5:Z$27=-1),'05_FEATURE_MODEL'!L$5:L$27)/MAX(1,COUNTIF('93_TARGET_MEMBERSHIP'!Z$5:Z$27,-1))))</f>
        <v/>
      </c>
      <c r="L29" s="34">
        <f>IF($B29="ABSOLUTE SEMANTIC",ABS('06_ITEM_POLE_MODEL'!U29),ABS('06_ITEM_POLE_MODEL'!U29)*ABS(SUMPRODUCT(--('93_TARGET_MEMBERSHIP'!Z$5:Z$27=1),'05_FEATURE_MODEL'!M$5:M$27)/MAX(1,COUNTIF('93_TARGET_MEMBERSHIP'!Z$5:Z$27,1))-SUMPRODUCT(--('93_TARGET_MEMBERSHIP'!Z$5:Z$27=-1),'05_FEATURE_MODEL'!M$5:M$27)/MAX(1,COUNTIF('93_TARGET_MEMBERSHIP'!Z$5:Z$27,-1))))</f>
        <v/>
      </c>
      <c r="M29" s="34">
        <f>IF($B29="ABSOLUTE SEMANTIC",ABS('06_ITEM_POLE_MODEL'!V29),ABS('06_ITEM_POLE_MODEL'!V29)*ABS(SUMPRODUCT(--('93_TARGET_MEMBERSHIP'!Z$5:Z$27=1),'05_FEATURE_MODEL'!N$5:N$27)/MAX(1,COUNTIF('93_TARGET_MEMBERSHIP'!Z$5:Z$27,1))-SUMPRODUCT(--('93_TARGET_MEMBERSHIP'!Z$5:Z$27=-1),'05_FEATURE_MODEL'!N$5:N$27)/MAX(1,COUNTIF('93_TARGET_MEMBERSHIP'!Z$5:Z$27,-1))))</f>
        <v/>
      </c>
      <c r="N29" s="34">
        <f>IF($B29="ABSOLUTE SEMANTIC",ABS('06_ITEM_POLE_MODEL'!W29),ABS('06_ITEM_POLE_MODEL'!W29)*ABS(SUMPRODUCT(--('93_TARGET_MEMBERSHIP'!Z$5:Z$27=1),'05_FEATURE_MODEL'!O$5:O$27)/MAX(1,COUNTIF('93_TARGET_MEMBERSHIP'!Z$5:Z$27,1))-SUMPRODUCT(--('93_TARGET_MEMBERSHIP'!Z$5:Z$27=-1),'05_FEATURE_MODEL'!O$5:O$27)/MAX(1,COUNTIF('93_TARGET_MEMBERSHIP'!Z$5:Z$27,-1))))</f>
        <v/>
      </c>
      <c r="O29" s="34">
        <f>IF($B29="ABSOLUTE SEMANTIC",ABS('06_ITEM_POLE_MODEL'!X29),ABS('06_ITEM_POLE_MODEL'!X29)*ABS(SUMPRODUCT(--('93_TARGET_MEMBERSHIP'!Z$5:Z$27=1),'05_FEATURE_MODEL'!P$5:P$27)/MAX(1,COUNTIF('93_TARGET_MEMBERSHIP'!Z$5:Z$27,1))-SUMPRODUCT(--('93_TARGET_MEMBERSHIP'!Z$5:Z$27=-1),'05_FEATURE_MODEL'!P$5:P$27)/MAX(1,COUNTIF('93_TARGET_MEMBERSHIP'!Z$5:Z$27,-1))))</f>
        <v/>
      </c>
      <c r="P29" s="34">
        <f>IF($B29="ABSOLUTE SEMANTIC",ABS('06_ITEM_POLE_MODEL'!Y29),ABS('06_ITEM_POLE_MODEL'!Y29)*ABS(SUMPRODUCT(--('93_TARGET_MEMBERSHIP'!Z$5:Z$27=1),'05_FEATURE_MODEL'!Q$5:Q$27)/MAX(1,COUNTIF('93_TARGET_MEMBERSHIP'!Z$5:Z$27,1))-SUMPRODUCT(--('93_TARGET_MEMBERSHIP'!Z$5:Z$27=-1),'05_FEATURE_MODEL'!Q$5:Q$27)/MAX(1,COUNTIF('93_TARGET_MEMBERSHIP'!Z$5:Z$27,-1))))</f>
        <v/>
      </c>
      <c r="Q29" s="34">
        <f>IF($B29="ABSOLUTE SEMANTIC",ABS('06_ITEM_POLE_MODEL'!Z29),ABS('06_ITEM_POLE_MODEL'!Z29)*ABS(SUMPRODUCT(--('93_TARGET_MEMBERSHIP'!Z$5:Z$27=1),'05_FEATURE_MODEL'!R$5:R$27)/MAX(1,COUNTIF('93_TARGET_MEMBERSHIP'!Z$5:Z$27,1))-SUMPRODUCT(--('93_TARGET_MEMBERSHIP'!Z$5:Z$27=-1),'05_FEATURE_MODEL'!R$5:R$27)/MAX(1,COUNTIF('93_TARGET_MEMBERSHIP'!Z$5:Z$27,-1))))</f>
        <v/>
      </c>
      <c r="R29" s="34">
        <f>IF($B29="ABSOLUTE SEMANTIC",ABS('06_ITEM_POLE_MODEL'!AA29),ABS('06_ITEM_POLE_MODEL'!AA29)*ABS(SUMPRODUCT(--('93_TARGET_MEMBERSHIP'!Z$5:Z$27=1),'05_FEATURE_MODEL'!S$5:S$27)/MAX(1,COUNTIF('93_TARGET_MEMBERSHIP'!Z$5:Z$27,1))-SUMPRODUCT(--('93_TARGET_MEMBERSHIP'!Z$5:Z$27=-1),'05_FEATURE_MODEL'!S$5:S$27)/MAX(1,COUNTIF('93_TARGET_MEMBERSHIP'!Z$5:Z$27,-1))))</f>
        <v/>
      </c>
      <c r="S29" s="34">
        <f>IF($B29="ABSOLUTE SEMANTIC",ABS('06_ITEM_POLE_MODEL'!AB29),ABS('06_ITEM_POLE_MODEL'!AB29)*ABS(SUMPRODUCT(--('93_TARGET_MEMBERSHIP'!Z$5:Z$27=1),'05_FEATURE_MODEL'!T$5:T$27)/MAX(1,COUNTIF('93_TARGET_MEMBERSHIP'!Z$5:Z$27,1))-SUMPRODUCT(--('93_TARGET_MEMBERSHIP'!Z$5:Z$27=-1),'05_FEATURE_MODEL'!T$5:T$27)/MAX(1,COUNTIF('93_TARGET_MEMBERSHIP'!Z$5:Z$27,-1))))</f>
        <v/>
      </c>
      <c r="T29" s="34">
        <f>IF($B29="ABSOLUTE SEMANTIC",ABS('06_ITEM_POLE_MODEL'!AC29),ABS('06_ITEM_POLE_MODEL'!AC29)*ABS(SUMPRODUCT(--('93_TARGET_MEMBERSHIP'!Z$5:Z$27=1),'05_FEATURE_MODEL'!U$5:U$27)/MAX(1,COUNTIF('93_TARGET_MEMBERSHIP'!Z$5:Z$27,1))-SUMPRODUCT(--('93_TARGET_MEMBERSHIP'!Z$5:Z$27=-1),'05_FEATURE_MODEL'!U$5:U$27)/MAX(1,COUNTIF('93_TARGET_MEMBERSHIP'!Z$5:Z$27,-1))))</f>
        <v/>
      </c>
      <c r="U29" s="34">
        <f>IF($B29="ABSOLUTE SEMANTIC",ABS('06_ITEM_POLE_MODEL'!AD29),ABS('06_ITEM_POLE_MODEL'!AD29)*ABS(SUMPRODUCT(--('93_TARGET_MEMBERSHIP'!Z$5:Z$27=1),'05_FEATURE_MODEL'!V$5:V$27)/MAX(1,COUNTIF('93_TARGET_MEMBERSHIP'!Z$5:Z$27,1))-SUMPRODUCT(--('93_TARGET_MEMBERSHIP'!Z$5:Z$27=-1),'05_FEATURE_MODEL'!V$5:V$27)/MAX(1,COUNTIF('93_TARGET_MEMBERSHIP'!Z$5:Z$27,-1))))</f>
        <v/>
      </c>
      <c r="V29" s="34">
        <f>IF($B29="ABSOLUTE SEMANTIC",ABS('06_ITEM_POLE_MODEL'!AE29),ABS('06_ITEM_POLE_MODEL'!AE29)*ABS(SUMPRODUCT(--('93_TARGET_MEMBERSHIP'!Z$5:Z$27=1),'05_FEATURE_MODEL'!W$5:W$27)/MAX(1,COUNTIF('93_TARGET_MEMBERSHIP'!Z$5:Z$27,1))-SUMPRODUCT(--('93_TARGET_MEMBERSHIP'!Z$5:Z$27=-1),'05_FEATURE_MODEL'!W$5:W$27)/MAX(1,COUNTIF('93_TARGET_MEMBERSHIP'!Z$5:Z$27,-1))))</f>
        <v/>
      </c>
      <c r="W29" s="34">
        <f>IF($B29="ABSOLUTE SEMANTIC",ABS('06_ITEM_POLE_MODEL'!AF29),ABS('06_ITEM_POLE_MODEL'!AF29)*ABS(SUMPRODUCT(--('93_TARGET_MEMBERSHIP'!Z$5:Z$27=1),'05_FEATURE_MODEL'!X$5:X$27)/MAX(1,COUNTIF('93_TARGET_MEMBERSHIP'!Z$5:Z$27,1))-SUMPRODUCT(--('93_TARGET_MEMBERSHIP'!Z$5:Z$27=-1),'05_FEATURE_MODEL'!X$5:X$27)/MAX(1,COUNTIF('93_TARGET_MEMBERSHIP'!Z$5:Z$27,-1))))</f>
        <v/>
      </c>
      <c r="X29" s="34">
        <f>IF($B29="ABSOLUTE SEMANTIC",ABS('06_ITEM_POLE_MODEL'!AG29),ABS('06_ITEM_POLE_MODEL'!AG29)*ABS(SUMPRODUCT(--('93_TARGET_MEMBERSHIP'!Z$5:Z$27=1),'05_FEATURE_MODEL'!Y$5:Y$27)/MAX(1,COUNTIF('93_TARGET_MEMBERSHIP'!Z$5:Z$27,1))-SUMPRODUCT(--('93_TARGET_MEMBERSHIP'!Z$5:Z$27=-1),'05_FEATURE_MODEL'!Y$5:Y$27)/MAX(1,COUNTIF('93_TARGET_MEMBERSHIP'!Z$5:Z$27,-1))))</f>
        <v/>
      </c>
      <c r="Y29" s="34">
        <f>IF($B29="ABSOLUTE SEMANTIC",ABS('06_ITEM_POLE_MODEL'!AH29),ABS('06_ITEM_POLE_MODEL'!AH29)*ABS(SUMPRODUCT(--('93_TARGET_MEMBERSHIP'!Z$5:Z$27=1),'05_FEATURE_MODEL'!Z$5:Z$27)/MAX(1,COUNTIF('93_TARGET_MEMBERSHIP'!Z$5:Z$27,1))-SUMPRODUCT(--('93_TARGET_MEMBERSHIP'!Z$5:Z$27=-1),'05_FEATURE_MODEL'!Z$5:Z$27)/MAX(1,COUNTIF('93_TARGET_MEMBERSHIP'!Z$5:Z$27,-1))))</f>
        <v/>
      </c>
      <c r="Z29" s="34">
        <f>IF($B29="ABSOLUTE SEMANTIC",ABS('06_ITEM_POLE_MODEL'!AI29),ABS('06_ITEM_POLE_MODEL'!AI29)*ABS(SUMPRODUCT(--('93_TARGET_MEMBERSHIP'!Z$5:Z$27=1),'05_FEATURE_MODEL'!AA$5:AA$27)/MAX(1,COUNTIF('93_TARGET_MEMBERSHIP'!Z$5:Z$27,1))-SUMPRODUCT(--('93_TARGET_MEMBERSHIP'!Z$5:Z$27=-1),'05_FEATURE_MODEL'!AA$5:AA$27)/MAX(1,COUNTIF('93_TARGET_MEMBERSHIP'!Z$5:Z$27,-1))))</f>
        <v/>
      </c>
      <c r="AA29" s="34">
        <f>IF($B29="ABSOLUTE SEMANTIC",ABS('06_ITEM_POLE_MODEL'!AJ29),ABS('06_ITEM_POLE_MODEL'!AJ29)*ABS(SUMPRODUCT(--('93_TARGET_MEMBERSHIP'!Z$5:Z$27=1),'05_FEATURE_MODEL'!AB$5:AB$27)/MAX(1,COUNTIF('93_TARGET_MEMBERSHIP'!Z$5:Z$27,1))-SUMPRODUCT(--('93_TARGET_MEMBERSHIP'!Z$5:Z$27=-1),'05_FEATURE_MODEL'!AB$5:AB$27)/MAX(1,COUNTIF('93_TARGET_MEMBERSHIP'!Z$5:Z$27,-1))))</f>
        <v/>
      </c>
      <c r="AB29" s="34">
        <f>IF($B29="ABSOLUTE SEMANTIC",ABS('06_ITEM_POLE_MODEL'!AK29),ABS('06_ITEM_POLE_MODEL'!AK29)*ABS(SUMPRODUCT(--('93_TARGET_MEMBERSHIP'!Z$5:Z$27=1),'05_FEATURE_MODEL'!AC$5:AC$27)/MAX(1,COUNTIF('93_TARGET_MEMBERSHIP'!Z$5:Z$27,1))-SUMPRODUCT(--('93_TARGET_MEMBERSHIP'!Z$5:Z$27=-1),'05_FEATURE_MODEL'!AC$5:AC$27)/MAX(1,COUNTIF('93_TARGET_MEMBERSHIP'!Z$5:Z$27,-1))))</f>
        <v/>
      </c>
      <c r="AC29" s="34">
        <f>IF($B29="ABSOLUTE SEMANTIC",ABS('06_ITEM_POLE_MODEL'!AL29),ABS('06_ITEM_POLE_MODEL'!AL29)*ABS(SUMPRODUCT(--('93_TARGET_MEMBERSHIP'!Z$5:Z$27=1),'05_FEATURE_MODEL'!AD$5:AD$27)/MAX(1,COUNTIF('93_TARGET_MEMBERSHIP'!Z$5:Z$27,1))-SUMPRODUCT(--('93_TARGET_MEMBERSHIP'!Z$5:Z$27=-1),'05_FEATURE_MODEL'!AD$5:AD$27)/MAX(1,COUNTIF('93_TARGET_MEMBERSHIP'!Z$5:Z$27,-1))))</f>
        <v/>
      </c>
      <c r="AD29" s="34">
        <f>IF($B29="ABSOLUTE SEMANTIC",ABS('06_ITEM_POLE_MODEL'!AM29),ABS('06_ITEM_POLE_MODEL'!AM29)*ABS(SUMPRODUCT(--('93_TARGET_MEMBERSHIP'!Z$5:Z$27=1),'05_FEATURE_MODEL'!AE$5:AE$27)/MAX(1,COUNTIF('93_TARGET_MEMBERSHIP'!Z$5:Z$27,1))-SUMPRODUCT(--('93_TARGET_MEMBERSHIP'!Z$5:Z$27=-1),'05_FEATURE_MODEL'!AE$5:AE$27)/MAX(1,COUNTIF('93_TARGET_MEMBERSHIP'!Z$5:Z$27,-1))))</f>
        <v/>
      </c>
      <c r="AE29" s="34">
        <f>IF($B29="ABSOLUTE SEMANTIC",ABS('06_ITEM_POLE_MODEL'!AN29),ABS('06_ITEM_POLE_MODEL'!AN29)*ABS(SUMPRODUCT(--('93_TARGET_MEMBERSHIP'!Z$5:Z$27=1),'05_FEATURE_MODEL'!AF$5:AF$27)/MAX(1,COUNTIF('93_TARGET_MEMBERSHIP'!Z$5:Z$27,1))-SUMPRODUCT(--('93_TARGET_MEMBERSHIP'!Z$5:Z$27=-1),'05_FEATURE_MODEL'!AF$5:AF$27)/MAX(1,COUNTIF('93_TARGET_MEMBERSHIP'!Z$5:Z$27,-1))))</f>
        <v/>
      </c>
      <c r="AF29" s="34">
        <f>IF($B29="ABSOLUTE SEMANTIC",ABS('06_ITEM_POLE_MODEL'!AO29),ABS('06_ITEM_POLE_MODEL'!AO29)*ABS(SUMPRODUCT(--('93_TARGET_MEMBERSHIP'!Z$5:Z$27=1),'05_FEATURE_MODEL'!AG$5:AG$27)/MAX(1,COUNTIF('93_TARGET_MEMBERSHIP'!Z$5:Z$27,1))-SUMPRODUCT(--('93_TARGET_MEMBERSHIP'!Z$5:Z$27=-1),'05_FEATURE_MODEL'!AG$5:AG$27)/MAX(1,COUNTIF('93_TARGET_MEMBERSHIP'!Z$5:Z$27,-1))))</f>
        <v/>
      </c>
      <c r="AG29" s="34">
        <f>IF($B29="ABSOLUTE SEMANTIC",ABS('06_ITEM_POLE_MODEL'!AP29),ABS('06_ITEM_POLE_MODEL'!AP29)*ABS(SUMPRODUCT(--('93_TARGET_MEMBERSHIP'!Z$5:Z$27=1),'05_FEATURE_MODEL'!AH$5:AH$27)/MAX(1,COUNTIF('93_TARGET_MEMBERSHIP'!Z$5:Z$27,1))-SUMPRODUCT(--('93_TARGET_MEMBERSHIP'!Z$5:Z$27=-1),'05_FEATURE_MODEL'!AH$5:AH$27)/MAX(1,COUNTIF('93_TARGET_MEMBERSHIP'!Z$5:Z$27,-1))))</f>
        <v/>
      </c>
      <c r="AH29" s="34">
        <f>IF($B29="ABSOLUTE SEMANTIC",ABS('06_ITEM_POLE_MODEL'!AQ29),ABS('06_ITEM_POLE_MODEL'!AQ29)*ABS(SUMPRODUCT(--('93_TARGET_MEMBERSHIP'!Z$5:Z$27=1),'05_FEATURE_MODEL'!AI$5:AI$27)/MAX(1,COUNTIF('93_TARGET_MEMBERSHIP'!Z$5:Z$27,1))-SUMPRODUCT(--('93_TARGET_MEMBERSHIP'!Z$5:Z$27=-1),'05_FEATURE_MODEL'!AI$5:AI$27)/MAX(1,COUNTIF('93_TARGET_MEMBERSHIP'!Z$5:Z$27,-1))))</f>
        <v/>
      </c>
      <c r="AI29" s="34">
        <f>IF($B29="ABSOLUTE SEMANTIC",ABS('06_ITEM_POLE_MODEL'!AR29),ABS('06_ITEM_POLE_MODEL'!AR29)*ABS(SUMPRODUCT(--('93_TARGET_MEMBERSHIP'!Z$5:Z$27=1),'05_FEATURE_MODEL'!AJ$5:AJ$27)/MAX(1,COUNTIF('93_TARGET_MEMBERSHIP'!Z$5:Z$27,1))-SUMPRODUCT(--('93_TARGET_MEMBERSHIP'!Z$5:Z$27=-1),'05_FEATURE_MODEL'!AJ$5:AJ$27)/MAX(1,COUNTIF('93_TARGET_MEMBERSHIP'!Z$5:Z$27,-1))))</f>
        <v/>
      </c>
      <c r="AJ29" s="34">
        <f>IF($B29="ABSOLUTE SEMANTIC",ABS('06_ITEM_POLE_MODEL'!AS29),ABS('06_ITEM_POLE_MODEL'!AS29)*ABS(SUMPRODUCT(--('93_TARGET_MEMBERSHIP'!Z$5:Z$27=1),'05_FEATURE_MODEL'!AK$5:AK$27)/MAX(1,COUNTIF('93_TARGET_MEMBERSHIP'!Z$5:Z$27,1))-SUMPRODUCT(--('93_TARGET_MEMBERSHIP'!Z$5:Z$27=-1),'05_FEATURE_MODEL'!AK$5:AK$27)/MAX(1,COUNTIF('93_TARGET_MEMBERSHIP'!Z$5:Z$27,-1))))</f>
        <v/>
      </c>
      <c r="AK29" s="34">
        <f>IF($B29="ABSOLUTE SEMANTIC",ABS('06_ITEM_POLE_MODEL'!AT29),ABS('06_ITEM_POLE_MODEL'!AT29)*ABS(SUMPRODUCT(--('93_TARGET_MEMBERSHIP'!Z$5:Z$27=1),'05_FEATURE_MODEL'!AL$5:AL$27)/MAX(1,COUNTIF('93_TARGET_MEMBERSHIP'!Z$5:Z$27,1))-SUMPRODUCT(--('93_TARGET_MEMBERSHIP'!Z$5:Z$27=-1),'05_FEATURE_MODEL'!AL$5:AL$27)/MAX(1,COUNTIF('93_TARGET_MEMBERSHIP'!Z$5:Z$27,-1))))</f>
        <v/>
      </c>
      <c r="AL29" s="34">
        <f>IF($B29="ABSOLUTE SEMANTIC",ABS('06_ITEM_POLE_MODEL'!AU29),ABS('06_ITEM_POLE_MODEL'!AU29)*ABS(SUMPRODUCT(--('93_TARGET_MEMBERSHIP'!Z$5:Z$27=1),'05_FEATURE_MODEL'!AM$5:AM$27)/MAX(1,COUNTIF('93_TARGET_MEMBERSHIP'!Z$5:Z$27,1))-SUMPRODUCT(--('93_TARGET_MEMBERSHIP'!Z$5:Z$27=-1),'05_FEATURE_MODEL'!AM$5:AM$27)/MAX(1,COUNTIF('93_TARGET_MEMBERSHIP'!Z$5:Z$27,-1))))</f>
        <v/>
      </c>
      <c r="AM29" s="34">
        <f>IF($B29="ABSOLUTE SEMANTIC",ABS('06_ITEM_POLE_MODEL'!AV29),ABS('06_ITEM_POLE_MODEL'!AV29)*ABS(SUMPRODUCT(--('93_TARGET_MEMBERSHIP'!Z$5:Z$27=1),'05_FEATURE_MODEL'!AN$5:AN$27)/MAX(1,COUNTIF('93_TARGET_MEMBERSHIP'!Z$5:Z$27,1))-SUMPRODUCT(--('93_TARGET_MEMBERSHIP'!Z$5:Z$27=-1),'05_FEATURE_MODEL'!AN$5:AN$27)/MAX(1,COUNTIF('93_TARGET_MEMBERSHIP'!Z$5:Z$27,-1))))</f>
        <v/>
      </c>
      <c r="AN29" s="34">
        <f>IF($B29="ABSOLUTE SEMANTIC",ABS('06_ITEM_POLE_MODEL'!AW29),ABS('06_ITEM_POLE_MODEL'!AW29)*ABS(SUMPRODUCT(--('93_TARGET_MEMBERSHIP'!Z$5:Z$27=1),'05_FEATURE_MODEL'!AO$5:AO$27)/MAX(1,COUNTIF('93_TARGET_MEMBERSHIP'!Z$5:Z$27,1))-SUMPRODUCT(--('93_TARGET_MEMBERSHIP'!Z$5:Z$27=-1),'05_FEATURE_MODEL'!AO$5:AO$27)/MAX(1,COUNTIF('93_TARGET_MEMBERSHIP'!Z$5:Z$27,-1))))</f>
        <v/>
      </c>
      <c r="AO29" s="34">
        <f>IF($B29="ABSOLUTE SEMANTIC",ABS('06_ITEM_POLE_MODEL'!AX29),ABS('06_ITEM_POLE_MODEL'!AX29)*ABS(SUMPRODUCT(--('93_TARGET_MEMBERSHIP'!Z$5:Z$27=1),'05_FEATURE_MODEL'!AP$5:AP$27)/MAX(1,COUNTIF('93_TARGET_MEMBERSHIP'!Z$5:Z$27,1))-SUMPRODUCT(--('93_TARGET_MEMBERSHIP'!Z$5:Z$27=-1),'05_FEATURE_MODEL'!AP$5:AP$27)/MAX(1,COUNTIF('93_TARGET_MEMBERSHIP'!Z$5:Z$27,-1))))</f>
        <v/>
      </c>
      <c r="AP29" s="34">
        <f>IF($B29="ABSOLUTE SEMANTIC",ABS('06_ITEM_POLE_MODEL'!AY29),ABS('06_ITEM_POLE_MODEL'!AY29)*ABS(SUMPRODUCT(--('93_TARGET_MEMBERSHIP'!Z$5:Z$27=1),'05_FEATURE_MODEL'!AQ$5:AQ$27)/MAX(1,COUNTIF('93_TARGET_MEMBERSHIP'!Z$5:Z$27,1))-SUMPRODUCT(--('93_TARGET_MEMBERSHIP'!Z$5:Z$27=-1),'05_FEATURE_MODEL'!AQ$5:AQ$27)/MAX(1,COUNTIF('93_TARGET_MEMBERSHIP'!Z$5:Z$27,-1))))</f>
        <v/>
      </c>
      <c r="AQ29" s="34">
        <f>IF($B29="ABSOLUTE SEMANTIC",ABS('06_ITEM_POLE_MODEL'!AZ29),ABS('06_ITEM_POLE_MODEL'!AZ29)*ABS(SUMPRODUCT(--('93_TARGET_MEMBERSHIP'!Z$5:Z$27=1),'05_FEATURE_MODEL'!AR$5:AR$27)/MAX(1,COUNTIF('93_TARGET_MEMBERSHIP'!Z$5:Z$27,1))-SUMPRODUCT(--('93_TARGET_MEMBERSHIP'!Z$5:Z$27=-1),'05_FEATURE_MODEL'!AR$5:AR$27)/MAX(1,COUNTIF('93_TARGET_MEMBERSHIP'!Z$5:Z$27,-1))))</f>
        <v/>
      </c>
    </row>
    <row r="30" ht="36" customHeight="1">
      <c r="A30" s="34">
        <f>'06_ITEM_POLE_MODEL'!A30</f>
        <v/>
      </c>
      <c r="B30" s="34">
        <f>'06_ITEM_POLE_MODEL'!E30</f>
        <v/>
      </c>
      <c r="C30" s="34">
        <f>IF($B30="ABSOLUTE SEMANTIC",ABS('06_ITEM_POLE_MODEL'!L30),ABS('06_ITEM_POLE_MODEL'!L30)*ABS(SUMPRODUCT(--('93_TARGET_MEMBERSHIP'!AA$5:AA$27=1),'05_FEATURE_MODEL'!D$5:D$27)/MAX(1,COUNTIF('93_TARGET_MEMBERSHIP'!AA$5:AA$27,1))-SUMPRODUCT(--('93_TARGET_MEMBERSHIP'!AA$5:AA$27=-1),'05_FEATURE_MODEL'!D$5:D$27)/MAX(1,COUNTIF('93_TARGET_MEMBERSHIP'!AA$5:AA$27,-1))))</f>
        <v/>
      </c>
      <c r="D30" s="34">
        <f>IF($B30="ABSOLUTE SEMANTIC",ABS('06_ITEM_POLE_MODEL'!M30),ABS('06_ITEM_POLE_MODEL'!M30)*ABS(SUMPRODUCT(--('93_TARGET_MEMBERSHIP'!AA$5:AA$27=1),'05_FEATURE_MODEL'!E$5:E$27)/MAX(1,COUNTIF('93_TARGET_MEMBERSHIP'!AA$5:AA$27,1))-SUMPRODUCT(--('93_TARGET_MEMBERSHIP'!AA$5:AA$27=-1),'05_FEATURE_MODEL'!E$5:E$27)/MAX(1,COUNTIF('93_TARGET_MEMBERSHIP'!AA$5:AA$27,-1))))</f>
        <v/>
      </c>
      <c r="E30" s="34">
        <f>IF($B30="ABSOLUTE SEMANTIC",ABS('06_ITEM_POLE_MODEL'!N30),ABS('06_ITEM_POLE_MODEL'!N30)*ABS(SUMPRODUCT(--('93_TARGET_MEMBERSHIP'!AA$5:AA$27=1),'05_FEATURE_MODEL'!F$5:F$27)/MAX(1,COUNTIF('93_TARGET_MEMBERSHIP'!AA$5:AA$27,1))-SUMPRODUCT(--('93_TARGET_MEMBERSHIP'!AA$5:AA$27=-1),'05_FEATURE_MODEL'!F$5:F$27)/MAX(1,COUNTIF('93_TARGET_MEMBERSHIP'!AA$5:AA$27,-1))))</f>
        <v/>
      </c>
      <c r="F30" s="34">
        <f>IF($B30="ABSOLUTE SEMANTIC",ABS('06_ITEM_POLE_MODEL'!O30),ABS('06_ITEM_POLE_MODEL'!O30)*ABS(SUMPRODUCT(--('93_TARGET_MEMBERSHIP'!AA$5:AA$27=1),'05_FEATURE_MODEL'!G$5:G$27)/MAX(1,COUNTIF('93_TARGET_MEMBERSHIP'!AA$5:AA$27,1))-SUMPRODUCT(--('93_TARGET_MEMBERSHIP'!AA$5:AA$27=-1),'05_FEATURE_MODEL'!G$5:G$27)/MAX(1,COUNTIF('93_TARGET_MEMBERSHIP'!AA$5:AA$27,-1))))</f>
        <v/>
      </c>
      <c r="G30" s="34">
        <f>IF($B30="ABSOLUTE SEMANTIC",ABS('06_ITEM_POLE_MODEL'!P30),ABS('06_ITEM_POLE_MODEL'!P30)*ABS(SUMPRODUCT(--('93_TARGET_MEMBERSHIP'!AA$5:AA$27=1),'05_FEATURE_MODEL'!H$5:H$27)/MAX(1,COUNTIF('93_TARGET_MEMBERSHIP'!AA$5:AA$27,1))-SUMPRODUCT(--('93_TARGET_MEMBERSHIP'!AA$5:AA$27=-1),'05_FEATURE_MODEL'!H$5:H$27)/MAX(1,COUNTIF('93_TARGET_MEMBERSHIP'!AA$5:AA$27,-1))))</f>
        <v/>
      </c>
      <c r="H30" s="34">
        <f>IF($B30="ABSOLUTE SEMANTIC",ABS('06_ITEM_POLE_MODEL'!Q30),ABS('06_ITEM_POLE_MODEL'!Q30)*ABS(SUMPRODUCT(--('93_TARGET_MEMBERSHIP'!AA$5:AA$27=1),'05_FEATURE_MODEL'!I$5:I$27)/MAX(1,COUNTIF('93_TARGET_MEMBERSHIP'!AA$5:AA$27,1))-SUMPRODUCT(--('93_TARGET_MEMBERSHIP'!AA$5:AA$27=-1),'05_FEATURE_MODEL'!I$5:I$27)/MAX(1,COUNTIF('93_TARGET_MEMBERSHIP'!AA$5:AA$27,-1))))</f>
        <v/>
      </c>
      <c r="I30" s="34">
        <f>IF($B30="ABSOLUTE SEMANTIC",ABS('06_ITEM_POLE_MODEL'!R30),ABS('06_ITEM_POLE_MODEL'!R30)*ABS(SUMPRODUCT(--('93_TARGET_MEMBERSHIP'!AA$5:AA$27=1),'05_FEATURE_MODEL'!J$5:J$27)/MAX(1,COUNTIF('93_TARGET_MEMBERSHIP'!AA$5:AA$27,1))-SUMPRODUCT(--('93_TARGET_MEMBERSHIP'!AA$5:AA$27=-1),'05_FEATURE_MODEL'!J$5:J$27)/MAX(1,COUNTIF('93_TARGET_MEMBERSHIP'!AA$5:AA$27,-1))))</f>
        <v/>
      </c>
      <c r="J30" s="34">
        <f>IF($B30="ABSOLUTE SEMANTIC",ABS('06_ITEM_POLE_MODEL'!S30),ABS('06_ITEM_POLE_MODEL'!S30)*ABS(SUMPRODUCT(--('93_TARGET_MEMBERSHIP'!AA$5:AA$27=1),'05_FEATURE_MODEL'!K$5:K$27)/MAX(1,COUNTIF('93_TARGET_MEMBERSHIP'!AA$5:AA$27,1))-SUMPRODUCT(--('93_TARGET_MEMBERSHIP'!AA$5:AA$27=-1),'05_FEATURE_MODEL'!K$5:K$27)/MAX(1,COUNTIF('93_TARGET_MEMBERSHIP'!AA$5:AA$27,-1))))</f>
        <v/>
      </c>
      <c r="K30" s="34">
        <f>IF($B30="ABSOLUTE SEMANTIC",ABS('06_ITEM_POLE_MODEL'!T30),ABS('06_ITEM_POLE_MODEL'!T30)*ABS(SUMPRODUCT(--('93_TARGET_MEMBERSHIP'!AA$5:AA$27=1),'05_FEATURE_MODEL'!L$5:L$27)/MAX(1,COUNTIF('93_TARGET_MEMBERSHIP'!AA$5:AA$27,1))-SUMPRODUCT(--('93_TARGET_MEMBERSHIP'!AA$5:AA$27=-1),'05_FEATURE_MODEL'!L$5:L$27)/MAX(1,COUNTIF('93_TARGET_MEMBERSHIP'!AA$5:AA$27,-1))))</f>
        <v/>
      </c>
      <c r="L30" s="34">
        <f>IF($B30="ABSOLUTE SEMANTIC",ABS('06_ITEM_POLE_MODEL'!U30),ABS('06_ITEM_POLE_MODEL'!U30)*ABS(SUMPRODUCT(--('93_TARGET_MEMBERSHIP'!AA$5:AA$27=1),'05_FEATURE_MODEL'!M$5:M$27)/MAX(1,COUNTIF('93_TARGET_MEMBERSHIP'!AA$5:AA$27,1))-SUMPRODUCT(--('93_TARGET_MEMBERSHIP'!AA$5:AA$27=-1),'05_FEATURE_MODEL'!M$5:M$27)/MAX(1,COUNTIF('93_TARGET_MEMBERSHIP'!AA$5:AA$27,-1))))</f>
        <v/>
      </c>
      <c r="M30" s="34">
        <f>IF($B30="ABSOLUTE SEMANTIC",ABS('06_ITEM_POLE_MODEL'!V30),ABS('06_ITEM_POLE_MODEL'!V30)*ABS(SUMPRODUCT(--('93_TARGET_MEMBERSHIP'!AA$5:AA$27=1),'05_FEATURE_MODEL'!N$5:N$27)/MAX(1,COUNTIF('93_TARGET_MEMBERSHIP'!AA$5:AA$27,1))-SUMPRODUCT(--('93_TARGET_MEMBERSHIP'!AA$5:AA$27=-1),'05_FEATURE_MODEL'!N$5:N$27)/MAX(1,COUNTIF('93_TARGET_MEMBERSHIP'!AA$5:AA$27,-1))))</f>
        <v/>
      </c>
      <c r="N30" s="34">
        <f>IF($B30="ABSOLUTE SEMANTIC",ABS('06_ITEM_POLE_MODEL'!W30),ABS('06_ITEM_POLE_MODEL'!W30)*ABS(SUMPRODUCT(--('93_TARGET_MEMBERSHIP'!AA$5:AA$27=1),'05_FEATURE_MODEL'!O$5:O$27)/MAX(1,COUNTIF('93_TARGET_MEMBERSHIP'!AA$5:AA$27,1))-SUMPRODUCT(--('93_TARGET_MEMBERSHIP'!AA$5:AA$27=-1),'05_FEATURE_MODEL'!O$5:O$27)/MAX(1,COUNTIF('93_TARGET_MEMBERSHIP'!AA$5:AA$27,-1))))</f>
        <v/>
      </c>
      <c r="O30" s="34">
        <f>IF($B30="ABSOLUTE SEMANTIC",ABS('06_ITEM_POLE_MODEL'!X30),ABS('06_ITEM_POLE_MODEL'!X30)*ABS(SUMPRODUCT(--('93_TARGET_MEMBERSHIP'!AA$5:AA$27=1),'05_FEATURE_MODEL'!P$5:P$27)/MAX(1,COUNTIF('93_TARGET_MEMBERSHIP'!AA$5:AA$27,1))-SUMPRODUCT(--('93_TARGET_MEMBERSHIP'!AA$5:AA$27=-1),'05_FEATURE_MODEL'!P$5:P$27)/MAX(1,COUNTIF('93_TARGET_MEMBERSHIP'!AA$5:AA$27,-1))))</f>
        <v/>
      </c>
      <c r="P30" s="34">
        <f>IF($B30="ABSOLUTE SEMANTIC",ABS('06_ITEM_POLE_MODEL'!Y30),ABS('06_ITEM_POLE_MODEL'!Y30)*ABS(SUMPRODUCT(--('93_TARGET_MEMBERSHIP'!AA$5:AA$27=1),'05_FEATURE_MODEL'!Q$5:Q$27)/MAX(1,COUNTIF('93_TARGET_MEMBERSHIP'!AA$5:AA$27,1))-SUMPRODUCT(--('93_TARGET_MEMBERSHIP'!AA$5:AA$27=-1),'05_FEATURE_MODEL'!Q$5:Q$27)/MAX(1,COUNTIF('93_TARGET_MEMBERSHIP'!AA$5:AA$27,-1))))</f>
        <v/>
      </c>
      <c r="Q30" s="34">
        <f>IF($B30="ABSOLUTE SEMANTIC",ABS('06_ITEM_POLE_MODEL'!Z30),ABS('06_ITEM_POLE_MODEL'!Z30)*ABS(SUMPRODUCT(--('93_TARGET_MEMBERSHIP'!AA$5:AA$27=1),'05_FEATURE_MODEL'!R$5:R$27)/MAX(1,COUNTIF('93_TARGET_MEMBERSHIP'!AA$5:AA$27,1))-SUMPRODUCT(--('93_TARGET_MEMBERSHIP'!AA$5:AA$27=-1),'05_FEATURE_MODEL'!R$5:R$27)/MAX(1,COUNTIF('93_TARGET_MEMBERSHIP'!AA$5:AA$27,-1))))</f>
        <v/>
      </c>
      <c r="R30" s="34">
        <f>IF($B30="ABSOLUTE SEMANTIC",ABS('06_ITEM_POLE_MODEL'!AA30),ABS('06_ITEM_POLE_MODEL'!AA30)*ABS(SUMPRODUCT(--('93_TARGET_MEMBERSHIP'!AA$5:AA$27=1),'05_FEATURE_MODEL'!S$5:S$27)/MAX(1,COUNTIF('93_TARGET_MEMBERSHIP'!AA$5:AA$27,1))-SUMPRODUCT(--('93_TARGET_MEMBERSHIP'!AA$5:AA$27=-1),'05_FEATURE_MODEL'!S$5:S$27)/MAX(1,COUNTIF('93_TARGET_MEMBERSHIP'!AA$5:AA$27,-1))))</f>
        <v/>
      </c>
      <c r="S30" s="34">
        <f>IF($B30="ABSOLUTE SEMANTIC",ABS('06_ITEM_POLE_MODEL'!AB30),ABS('06_ITEM_POLE_MODEL'!AB30)*ABS(SUMPRODUCT(--('93_TARGET_MEMBERSHIP'!AA$5:AA$27=1),'05_FEATURE_MODEL'!T$5:T$27)/MAX(1,COUNTIF('93_TARGET_MEMBERSHIP'!AA$5:AA$27,1))-SUMPRODUCT(--('93_TARGET_MEMBERSHIP'!AA$5:AA$27=-1),'05_FEATURE_MODEL'!T$5:T$27)/MAX(1,COUNTIF('93_TARGET_MEMBERSHIP'!AA$5:AA$27,-1))))</f>
        <v/>
      </c>
      <c r="T30" s="34">
        <f>IF($B30="ABSOLUTE SEMANTIC",ABS('06_ITEM_POLE_MODEL'!AC30),ABS('06_ITEM_POLE_MODEL'!AC30)*ABS(SUMPRODUCT(--('93_TARGET_MEMBERSHIP'!AA$5:AA$27=1),'05_FEATURE_MODEL'!U$5:U$27)/MAX(1,COUNTIF('93_TARGET_MEMBERSHIP'!AA$5:AA$27,1))-SUMPRODUCT(--('93_TARGET_MEMBERSHIP'!AA$5:AA$27=-1),'05_FEATURE_MODEL'!U$5:U$27)/MAX(1,COUNTIF('93_TARGET_MEMBERSHIP'!AA$5:AA$27,-1))))</f>
        <v/>
      </c>
      <c r="U30" s="34">
        <f>IF($B30="ABSOLUTE SEMANTIC",ABS('06_ITEM_POLE_MODEL'!AD30),ABS('06_ITEM_POLE_MODEL'!AD30)*ABS(SUMPRODUCT(--('93_TARGET_MEMBERSHIP'!AA$5:AA$27=1),'05_FEATURE_MODEL'!V$5:V$27)/MAX(1,COUNTIF('93_TARGET_MEMBERSHIP'!AA$5:AA$27,1))-SUMPRODUCT(--('93_TARGET_MEMBERSHIP'!AA$5:AA$27=-1),'05_FEATURE_MODEL'!V$5:V$27)/MAX(1,COUNTIF('93_TARGET_MEMBERSHIP'!AA$5:AA$27,-1))))</f>
        <v/>
      </c>
      <c r="V30" s="34">
        <f>IF($B30="ABSOLUTE SEMANTIC",ABS('06_ITEM_POLE_MODEL'!AE30),ABS('06_ITEM_POLE_MODEL'!AE30)*ABS(SUMPRODUCT(--('93_TARGET_MEMBERSHIP'!AA$5:AA$27=1),'05_FEATURE_MODEL'!W$5:W$27)/MAX(1,COUNTIF('93_TARGET_MEMBERSHIP'!AA$5:AA$27,1))-SUMPRODUCT(--('93_TARGET_MEMBERSHIP'!AA$5:AA$27=-1),'05_FEATURE_MODEL'!W$5:W$27)/MAX(1,COUNTIF('93_TARGET_MEMBERSHIP'!AA$5:AA$27,-1))))</f>
        <v/>
      </c>
      <c r="W30" s="34">
        <f>IF($B30="ABSOLUTE SEMANTIC",ABS('06_ITEM_POLE_MODEL'!AF30),ABS('06_ITEM_POLE_MODEL'!AF30)*ABS(SUMPRODUCT(--('93_TARGET_MEMBERSHIP'!AA$5:AA$27=1),'05_FEATURE_MODEL'!X$5:X$27)/MAX(1,COUNTIF('93_TARGET_MEMBERSHIP'!AA$5:AA$27,1))-SUMPRODUCT(--('93_TARGET_MEMBERSHIP'!AA$5:AA$27=-1),'05_FEATURE_MODEL'!X$5:X$27)/MAX(1,COUNTIF('93_TARGET_MEMBERSHIP'!AA$5:AA$27,-1))))</f>
        <v/>
      </c>
      <c r="X30" s="34">
        <f>IF($B30="ABSOLUTE SEMANTIC",ABS('06_ITEM_POLE_MODEL'!AG30),ABS('06_ITEM_POLE_MODEL'!AG30)*ABS(SUMPRODUCT(--('93_TARGET_MEMBERSHIP'!AA$5:AA$27=1),'05_FEATURE_MODEL'!Y$5:Y$27)/MAX(1,COUNTIF('93_TARGET_MEMBERSHIP'!AA$5:AA$27,1))-SUMPRODUCT(--('93_TARGET_MEMBERSHIP'!AA$5:AA$27=-1),'05_FEATURE_MODEL'!Y$5:Y$27)/MAX(1,COUNTIF('93_TARGET_MEMBERSHIP'!AA$5:AA$27,-1))))</f>
        <v/>
      </c>
      <c r="Y30" s="34">
        <f>IF($B30="ABSOLUTE SEMANTIC",ABS('06_ITEM_POLE_MODEL'!AH30),ABS('06_ITEM_POLE_MODEL'!AH30)*ABS(SUMPRODUCT(--('93_TARGET_MEMBERSHIP'!AA$5:AA$27=1),'05_FEATURE_MODEL'!Z$5:Z$27)/MAX(1,COUNTIF('93_TARGET_MEMBERSHIP'!AA$5:AA$27,1))-SUMPRODUCT(--('93_TARGET_MEMBERSHIP'!AA$5:AA$27=-1),'05_FEATURE_MODEL'!Z$5:Z$27)/MAX(1,COUNTIF('93_TARGET_MEMBERSHIP'!AA$5:AA$27,-1))))</f>
        <v/>
      </c>
      <c r="Z30" s="34">
        <f>IF($B30="ABSOLUTE SEMANTIC",ABS('06_ITEM_POLE_MODEL'!AI30),ABS('06_ITEM_POLE_MODEL'!AI30)*ABS(SUMPRODUCT(--('93_TARGET_MEMBERSHIP'!AA$5:AA$27=1),'05_FEATURE_MODEL'!AA$5:AA$27)/MAX(1,COUNTIF('93_TARGET_MEMBERSHIP'!AA$5:AA$27,1))-SUMPRODUCT(--('93_TARGET_MEMBERSHIP'!AA$5:AA$27=-1),'05_FEATURE_MODEL'!AA$5:AA$27)/MAX(1,COUNTIF('93_TARGET_MEMBERSHIP'!AA$5:AA$27,-1))))</f>
        <v/>
      </c>
      <c r="AA30" s="34">
        <f>IF($B30="ABSOLUTE SEMANTIC",ABS('06_ITEM_POLE_MODEL'!AJ30),ABS('06_ITEM_POLE_MODEL'!AJ30)*ABS(SUMPRODUCT(--('93_TARGET_MEMBERSHIP'!AA$5:AA$27=1),'05_FEATURE_MODEL'!AB$5:AB$27)/MAX(1,COUNTIF('93_TARGET_MEMBERSHIP'!AA$5:AA$27,1))-SUMPRODUCT(--('93_TARGET_MEMBERSHIP'!AA$5:AA$27=-1),'05_FEATURE_MODEL'!AB$5:AB$27)/MAX(1,COUNTIF('93_TARGET_MEMBERSHIP'!AA$5:AA$27,-1))))</f>
        <v/>
      </c>
      <c r="AB30" s="34">
        <f>IF($B30="ABSOLUTE SEMANTIC",ABS('06_ITEM_POLE_MODEL'!AK30),ABS('06_ITEM_POLE_MODEL'!AK30)*ABS(SUMPRODUCT(--('93_TARGET_MEMBERSHIP'!AA$5:AA$27=1),'05_FEATURE_MODEL'!AC$5:AC$27)/MAX(1,COUNTIF('93_TARGET_MEMBERSHIP'!AA$5:AA$27,1))-SUMPRODUCT(--('93_TARGET_MEMBERSHIP'!AA$5:AA$27=-1),'05_FEATURE_MODEL'!AC$5:AC$27)/MAX(1,COUNTIF('93_TARGET_MEMBERSHIP'!AA$5:AA$27,-1))))</f>
        <v/>
      </c>
      <c r="AC30" s="34">
        <f>IF($B30="ABSOLUTE SEMANTIC",ABS('06_ITEM_POLE_MODEL'!AL30),ABS('06_ITEM_POLE_MODEL'!AL30)*ABS(SUMPRODUCT(--('93_TARGET_MEMBERSHIP'!AA$5:AA$27=1),'05_FEATURE_MODEL'!AD$5:AD$27)/MAX(1,COUNTIF('93_TARGET_MEMBERSHIP'!AA$5:AA$27,1))-SUMPRODUCT(--('93_TARGET_MEMBERSHIP'!AA$5:AA$27=-1),'05_FEATURE_MODEL'!AD$5:AD$27)/MAX(1,COUNTIF('93_TARGET_MEMBERSHIP'!AA$5:AA$27,-1))))</f>
        <v/>
      </c>
      <c r="AD30" s="34">
        <f>IF($B30="ABSOLUTE SEMANTIC",ABS('06_ITEM_POLE_MODEL'!AM30),ABS('06_ITEM_POLE_MODEL'!AM30)*ABS(SUMPRODUCT(--('93_TARGET_MEMBERSHIP'!AA$5:AA$27=1),'05_FEATURE_MODEL'!AE$5:AE$27)/MAX(1,COUNTIF('93_TARGET_MEMBERSHIP'!AA$5:AA$27,1))-SUMPRODUCT(--('93_TARGET_MEMBERSHIP'!AA$5:AA$27=-1),'05_FEATURE_MODEL'!AE$5:AE$27)/MAX(1,COUNTIF('93_TARGET_MEMBERSHIP'!AA$5:AA$27,-1))))</f>
        <v/>
      </c>
      <c r="AE30" s="34">
        <f>IF($B30="ABSOLUTE SEMANTIC",ABS('06_ITEM_POLE_MODEL'!AN30),ABS('06_ITEM_POLE_MODEL'!AN30)*ABS(SUMPRODUCT(--('93_TARGET_MEMBERSHIP'!AA$5:AA$27=1),'05_FEATURE_MODEL'!AF$5:AF$27)/MAX(1,COUNTIF('93_TARGET_MEMBERSHIP'!AA$5:AA$27,1))-SUMPRODUCT(--('93_TARGET_MEMBERSHIP'!AA$5:AA$27=-1),'05_FEATURE_MODEL'!AF$5:AF$27)/MAX(1,COUNTIF('93_TARGET_MEMBERSHIP'!AA$5:AA$27,-1))))</f>
        <v/>
      </c>
      <c r="AF30" s="34">
        <f>IF($B30="ABSOLUTE SEMANTIC",ABS('06_ITEM_POLE_MODEL'!AO30),ABS('06_ITEM_POLE_MODEL'!AO30)*ABS(SUMPRODUCT(--('93_TARGET_MEMBERSHIP'!AA$5:AA$27=1),'05_FEATURE_MODEL'!AG$5:AG$27)/MAX(1,COUNTIF('93_TARGET_MEMBERSHIP'!AA$5:AA$27,1))-SUMPRODUCT(--('93_TARGET_MEMBERSHIP'!AA$5:AA$27=-1),'05_FEATURE_MODEL'!AG$5:AG$27)/MAX(1,COUNTIF('93_TARGET_MEMBERSHIP'!AA$5:AA$27,-1))))</f>
        <v/>
      </c>
      <c r="AG30" s="34">
        <f>IF($B30="ABSOLUTE SEMANTIC",ABS('06_ITEM_POLE_MODEL'!AP30),ABS('06_ITEM_POLE_MODEL'!AP30)*ABS(SUMPRODUCT(--('93_TARGET_MEMBERSHIP'!AA$5:AA$27=1),'05_FEATURE_MODEL'!AH$5:AH$27)/MAX(1,COUNTIF('93_TARGET_MEMBERSHIP'!AA$5:AA$27,1))-SUMPRODUCT(--('93_TARGET_MEMBERSHIP'!AA$5:AA$27=-1),'05_FEATURE_MODEL'!AH$5:AH$27)/MAX(1,COUNTIF('93_TARGET_MEMBERSHIP'!AA$5:AA$27,-1))))</f>
        <v/>
      </c>
      <c r="AH30" s="34">
        <f>IF($B30="ABSOLUTE SEMANTIC",ABS('06_ITEM_POLE_MODEL'!AQ30),ABS('06_ITEM_POLE_MODEL'!AQ30)*ABS(SUMPRODUCT(--('93_TARGET_MEMBERSHIP'!AA$5:AA$27=1),'05_FEATURE_MODEL'!AI$5:AI$27)/MAX(1,COUNTIF('93_TARGET_MEMBERSHIP'!AA$5:AA$27,1))-SUMPRODUCT(--('93_TARGET_MEMBERSHIP'!AA$5:AA$27=-1),'05_FEATURE_MODEL'!AI$5:AI$27)/MAX(1,COUNTIF('93_TARGET_MEMBERSHIP'!AA$5:AA$27,-1))))</f>
        <v/>
      </c>
      <c r="AI30" s="34">
        <f>IF($B30="ABSOLUTE SEMANTIC",ABS('06_ITEM_POLE_MODEL'!AR30),ABS('06_ITEM_POLE_MODEL'!AR30)*ABS(SUMPRODUCT(--('93_TARGET_MEMBERSHIP'!AA$5:AA$27=1),'05_FEATURE_MODEL'!AJ$5:AJ$27)/MAX(1,COUNTIF('93_TARGET_MEMBERSHIP'!AA$5:AA$27,1))-SUMPRODUCT(--('93_TARGET_MEMBERSHIP'!AA$5:AA$27=-1),'05_FEATURE_MODEL'!AJ$5:AJ$27)/MAX(1,COUNTIF('93_TARGET_MEMBERSHIP'!AA$5:AA$27,-1))))</f>
        <v/>
      </c>
      <c r="AJ30" s="34">
        <f>IF($B30="ABSOLUTE SEMANTIC",ABS('06_ITEM_POLE_MODEL'!AS30),ABS('06_ITEM_POLE_MODEL'!AS30)*ABS(SUMPRODUCT(--('93_TARGET_MEMBERSHIP'!AA$5:AA$27=1),'05_FEATURE_MODEL'!AK$5:AK$27)/MAX(1,COUNTIF('93_TARGET_MEMBERSHIP'!AA$5:AA$27,1))-SUMPRODUCT(--('93_TARGET_MEMBERSHIP'!AA$5:AA$27=-1),'05_FEATURE_MODEL'!AK$5:AK$27)/MAX(1,COUNTIF('93_TARGET_MEMBERSHIP'!AA$5:AA$27,-1))))</f>
        <v/>
      </c>
      <c r="AK30" s="34">
        <f>IF($B30="ABSOLUTE SEMANTIC",ABS('06_ITEM_POLE_MODEL'!AT30),ABS('06_ITEM_POLE_MODEL'!AT30)*ABS(SUMPRODUCT(--('93_TARGET_MEMBERSHIP'!AA$5:AA$27=1),'05_FEATURE_MODEL'!AL$5:AL$27)/MAX(1,COUNTIF('93_TARGET_MEMBERSHIP'!AA$5:AA$27,1))-SUMPRODUCT(--('93_TARGET_MEMBERSHIP'!AA$5:AA$27=-1),'05_FEATURE_MODEL'!AL$5:AL$27)/MAX(1,COUNTIF('93_TARGET_MEMBERSHIP'!AA$5:AA$27,-1))))</f>
        <v/>
      </c>
      <c r="AL30" s="34">
        <f>IF($B30="ABSOLUTE SEMANTIC",ABS('06_ITEM_POLE_MODEL'!AU30),ABS('06_ITEM_POLE_MODEL'!AU30)*ABS(SUMPRODUCT(--('93_TARGET_MEMBERSHIP'!AA$5:AA$27=1),'05_FEATURE_MODEL'!AM$5:AM$27)/MAX(1,COUNTIF('93_TARGET_MEMBERSHIP'!AA$5:AA$27,1))-SUMPRODUCT(--('93_TARGET_MEMBERSHIP'!AA$5:AA$27=-1),'05_FEATURE_MODEL'!AM$5:AM$27)/MAX(1,COUNTIF('93_TARGET_MEMBERSHIP'!AA$5:AA$27,-1))))</f>
        <v/>
      </c>
      <c r="AM30" s="34">
        <f>IF($B30="ABSOLUTE SEMANTIC",ABS('06_ITEM_POLE_MODEL'!AV30),ABS('06_ITEM_POLE_MODEL'!AV30)*ABS(SUMPRODUCT(--('93_TARGET_MEMBERSHIP'!AA$5:AA$27=1),'05_FEATURE_MODEL'!AN$5:AN$27)/MAX(1,COUNTIF('93_TARGET_MEMBERSHIP'!AA$5:AA$27,1))-SUMPRODUCT(--('93_TARGET_MEMBERSHIP'!AA$5:AA$27=-1),'05_FEATURE_MODEL'!AN$5:AN$27)/MAX(1,COUNTIF('93_TARGET_MEMBERSHIP'!AA$5:AA$27,-1))))</f>
        <v/>
      </c>
      <c r="AN30" s="34">
        <f>IF($B30="ABSOLUTE SEMANTIC",ABS('06_ITEM_POLE_MODEL'!AW30),ABS('06_ITEM_POLE_MODEL'!AW30)*ABS(SUMPRODUCT(--('93_TARGET_MEMBERSHIP'!AA$5:AA$27=1),'05_FEATURE_MODEL'!AO$5:AO$27)/MAX(1,COUNTIF('93_TARGET_MEMBERSHIP'!AA$5:AA$27,1))-SUMPRODUCT(--('93_TARGET_MEMBERSHIP'!AA$5:AA$27=-1),'05_FEATURE_MODEL'!AO$5:AO$27)/MAX(1,COUNTIF('93_TARGET_MEMBERSHIP'!AA$5:AA$27,-1))))</f>
        <v/>
      </c>
      <c r="AO30" s="34">
        <f>IF($B30="ABSOLUTE SEMANTIC",ABS('06_ITEM_POLE_MODEL'!AX30),ABS('06_ITEM_POLE_MODEL'!AX30)*ABS(SUMPRODUCT(--('93_TARGET_MEMBERSHIP'!AA$5:AA$27=1),'05_FEATURE_MODEL'!AP$5:AP$27)/MAX(1,COUNTIF('93_TARGET_MEMBERSHIP'!AA$5:AA$27,1))-SUMPRODUCT(--('93_TARGET_MEMBERSHIP'!AA$5:AA$27=-1),'05_FEATURE_MODEL'!AP$5:AP$27)/MAX(1,COUNTIF('93_TARGET_MEMBERSHIP'!AA$5:AA$27,-1))))</f>
        <v/>
      </c>
      <c r="AP30" s="34">
        <f>IF($B30="ABSOLUTE SEMANTIC",ABS('06_ITEM_POLE_MODEL'!AY30),ABS('06_ITEM_POLE_MODEL'!AY30)*ABS(SUMPRODUCT(--('93_TARGET_MEMBERSHIP'!AA$5:AA$27=1),'05_FEATURE_MODEL'!AQ$5:AQ$27)/MAX(1,COUNTIF('93_TARGET_MEMBERSHIP'!AA$5:AA$27,1))-SUMPRODUCT(--('93_TARGET_MEMBERSHIP'!AA$5:AA$27=-1),'05_FEATURE_MODEL'!AQ$5:AQ$27)/MAX(1,COUNTIF('93_TARGET_MEMBERSHIP'!AA$5:AA$27,-1))))</f>
        <v/>
      </c>
      <c r="AQ30" s="34">
        <f>IF($B30="ABSOLUTE SEMANTIC",ABS('06_ITEM_POLE_MODEL'!AZ30),ABS('06_ITEM_POLE_MODEL'!AZ30)*ABS(SUMPRODUCT(--('93_TARGET_MEMBERSHIP'!AA$5:AA$27=1),'05_FEATURE_MODEL'!AR$5:AR$27)/MAX(1,COUNTIF('93_TARGET_MEMBERSHIP'!AA$5:AA$27,1))-SUMPRODUCT(--('93_TARGET_MEMBERSHIP'!AA$5:AA$27=-1),'05_FEATURE_MODEL'!AR$5:AR$27)/MAX(1,COUNTIF('93_TARGET_MEMBERSHIP'!AA$5:AA$27,-1))))</f>
        <v/>
      </c>
    </row>
    <row r="31" ht="36" customHeight="1">
      <c r="A31" s="34">
        <f>'06_ITEM_POLE_MODEL'!A31</f>
        <v/>
      </c>
      <c r="B31" s="34">
        <f>'06_ITEM_POLE_MODEL'!E31</f>
        <v/>
      </c>
      <c r="C31" s="34">
        <f>IF($B31="ABSOLUTE SEMANTIC",ABS('06_ITEM_POLE_MODEL'!L31),ABS('06_ITEM_POLE_MODEL'!L31)*ABS(SUMPRODUCT(--('93_TARGET_MEMBERSHIP'!AB$5:AB$27=1),'05_FEATURE_MODEL'!D$5:D$27)/MAX(1,COUNTIF('93_TARGET_MEMBERSHIP'!AB$5:AB$27,1))-SUMPRODUCT(--('93_TARGET_MEMBERSHIP'!AB$5:AB$27=-1),'05_FEATURE_MODEL'!D$5:D$27)/MAX(1,COUNTIF('93_TARGET_MEMBERSHIP'!AB$5:AB$27,-1))))</f>
        <v/>
      </c>
      <c r="D31" s="34">
        <f>IF($B31="ABSOLUTE SEMANTIC",ABS('06_ITEM_POLE_MODEL'!M31),ABS('06_ITEM_POLE_MODEL'!M31)*ABS(SUMPRODUCT(--('93_TARGET_MEMBERSHIP'!AB$5:AB$27=1),'05_FEATURE_MODEL'!E$5:E$27)/MAX(1,COUNTIF('93_TARGET_MEMBERSHIP'!AB$5:AB$27,1))-SUMPRODUCT(--('93_TARGET_MEMBERSHIP'!AB$5:AB$27=-1),'05_FEATURE_MODEL'!E$5:E$27)/MAX(1,COUNTIF('93_TARGET_MEMBERSHIP'!AB$5:AB$27,-1))))</f>
        <v/>
      </c>
      <c r="E31" s="34">
        <f>IF($B31="ABSOLUTE SEMANTIC",ABS('06_ITEM_POLE_MODEL'!N31),ABS('06_ITEM_POLE_MODEL'!N31)*ABS(SUMPRODUCT(--('93_TARGET_MEMBERSHIP'!AB$5:AB$27=1),'05_FEATURE_MODEL'!F$5:F$27)/MAX(1,COUNTIF('93_TARGET_MEMBERSHIP'!AB$5:AB$27,1))-SUMPRODUCT(--('93_TARGET_MEMBERSHIP'!AB$5:AB$27=-1),'05_FEATURE_MODEL'!F$5:F$27)/MAX(1,COUNTIF('93_TARGET_MEMBERSHIP'!AB$5:AB$27,-1))))</f>
        <v/>
      </c>
      <c r="F31" s="34">
        <f>IF($B31="ABSOLUTE SEMANTIC",ABS('06_ITEM_POLE_MODEL'!O31),ABS('06_ITEM_POLE_MODEL'!O31)*ABS(SUMPRODUCT(--('93_TARGET_MEMBERSHIP'!AB$5:AB$27=1),'05_FEATURE_MODEL'!G$5:G$27)/MAX(1,COUNTIF('93_TARGET_MEMBERSHIP'!AB$5:AB$27,1))-SUMPRODUCT(--('93_TARGET_MEMBERSHIP'!AB$5:AB$27=-1),'05_FEATURE_MODEL'!G$5:G$27)/MAX(1,COUNTIF('93_TARGET_MEMBERSHIP'!AB$5:AB$27,-1))))</f>
        <v/>
      </c>
      <c r="G31" s="34">
        <f>IF($B31="ABSOLUTE SEMANTIC",ABS('06_ITEM_POLE_MODEL'!P31),ABS('06_ITEM_POLE_MODEL'!P31)*ABS(SUMPRODUCT(--('93_TARGET_MEMBERSHIP'!AB$5:AB$27=1),'05_FEATURE_MODEL'!H$5:H$27)/MAX(1,COUNTIF('93_TARGET_MEMBERSHIP'!AB$5:AB$27,1))-SUMPRODUCT(--('93_TARGET_MEMBERSHIP'!AB$5:AB$27=-1),'05_FEATURE_MODEL'!H$5:H$27)/MAX(1,COUNTIF('93_TARGET_MEMBERSHIP'!AB$5:AB$27,-1))))</f>
        <v/>
      </c>
      <c r="H31" s="34">
        <f>IF($B31="ABSOLUTE SEMANTIC",ABS('06_ITEM_POLE_MODEL'!Q31),ABS('06_ITEM_POLE_MODEL'!Q31)*ABS(SUMPRODUCT(--('93_TARGET_MEMBERSHIP'!AB$5:AB$27=1),'05_FEATURE_MODEL'!I$5:I$27)/MAX(1,COUNTIF('93_TARGET_MEMBERSHIP'!AB$5:AB$27,1))-SUMPRODUCT(--('93_TARGET_MEMBERSHIP'!AB$5:AB$27=-1),'05_FEATURE_MODEL'!I$5:I$27)/MAX(1,COUNTIF('93_TARGET_MEMBERSHIP'!AB$5:AB$27,-1))))</f>
        <v/>
      </c>
      <c r="I31" s="34">
        <f>IF($B31="ABSOLUTE SEMANTIC",ABS('06_ITEM_POLE_MODEL'!R31),ABS('06_ITEM_POLE_MODEL'!R31)*ABS(SUMPRODUCT(--('93_TARGET_MEMBERSHIP'!AB$5:AB$27=1),'05_FEATURE_MODEL'!J$5:J$27)/MAX(1,COUNTIF('93_TARGET_MEMBERSHIP'!AB$5:AB$27,1))-SUMPRODUCT(--('93_TARGET_MEMBERSHIP'!AB$5:AB$27=-1),'05_FEATURE_MODEL'!J$5:J$27)/MAX(1,COUNTIF('93_TARGET_MEMBERSHIP'!AB$5:AB$27,-1))))</f>
        <v/>
      </c>
      <c r="J31" s="34">
        <f>IF($B31="ABSOLUTE SEMANTIC",ABS('06_ITEM_POLE_MODEL'!S31),ABS('06_ITEM_POLE_MODEL'!S31)*ABS(SUMPRODUCT(--('93_TARGET_MEMBERSHIP'!AB$5:AB$27=1),'05_FEATURE_MODEL'!K$5:K$27)/MAX(1,COUNTIF('93_TARGET_MEMBERSHIP'!AB$5:AB$27,1))-SUMPRODUCT(--('93_TARGET_MEMBERSHIP'!AB$5:AB$27=-1),'05_FEATURE_MODEL'!K$5:K$27)/MAX(1,COUNTIF('93_TARGET_MEMBERSHIP'!AB$5:AB$27,-1))))</f>
        <v/>
      </c>
      <c r="K31" s="34">
        <f>IF($B31="ABSOLUTE SEMANTIC",ABS('06_ITEM_POLE_MODEL'!T31),ABS('06_ITEM_POLE_MODEL'!T31)*ABS(SUMPRODUCT(--('93_TARGET_MEMBERSHIP'!AB$5:AB$27=1),'05_FEATURE_MODEL'!L$5:L$27)/MAX(1,COUNTIF('93_TARGET_MEMBERSHIP'!AB$5:AB$27,1))-SUMPRODUCT(--('93_TARGET_MEMBERSHIP'!AB$5:AB$27=-1),'05_FEATURE_MODEL'!L$5:L$27)/MAX(1,COUNTIF('93_TARGET_MEMBERSHIP'!AB$5:AB$27,-1))))</f>
        <v/>
      </c>
      <c r="L31" s="34">
        <f>IF($B31="ABSOLUTE SEMANTIC",ABS('06_ITEM_POLE_MODEL'!U31),ABS('06_ITEM_POLE_MODEL'!U31)*ABS(SUMPRODUCT(--('93_TARGET_MEMBERSHIP'!AB$5:AB$27=1),'05_FEATURE_MODEL'!M$5:M$27)/MAX(1,COUNTIF('93_TARGET_MEMBERSHIP'!AB$5:AB$27,1))-SUMPRODUCT(--('93_TARGET_MEMBERSHIP'!AB$5:AB$27=-1),'05_FEATURE_MODEL'!M$5:M$27)/MAX(1,COUNTIF('93_TARGET_MEMBERSHIP'!AB$5:AB$27,-1))))</f>
        <v/>
      </c>
      <c r="M31" s="34">
        <f>IF($B31="ABSOLUTE SEMANTIC",ABS('06_ITEM_POLE_MODEL'!V31),ABS('06_ITEM_POLE_MODEL'!V31)*ABS(SUMPRODUCT(--('93_TARGET_MEMBERSHIP'!AB$5:AB$27=1),'05_FEATURE_MODEL'!N$5:N$27)/MAX(1,COUNTIF('93_TARGET_MEMBERSHIP'!AB$5:AB$27,1))-SUMPRODUCT(--('93_TARGET_MEMBERSHIP'!AB$5:AB$27=-1),'05_FEATURE_MODEL'!N$5:N$27)/MAX(1,COUNTIF('93_TARGET_MEMBERSHIP'!AB$5:AB$27,-1))))</f>
        <v/>
      </c>
      <c r="N31" s="34">
        <f>IF($B31="ABSOLUTE SEMANTIC",ABS('06_ITEM_POLE_MODEL'!W31),ABS('06_ITEM_POLE_MODEL'!W31)*ABS(SUMPRODUCT(--('93_TARGET_MEMBERSHIP'!AB$5:AB$27=1),'05_FEATURE_MODEL'!O$5:O$27)/MAX(1,COUNTIF('93_TARGET_MEMBERSHIP'!AB$5:AB$27,1))-SUMPRODUCT(--('93_TARGET_MEMBERSHIP'!AB$5:AB$27=-1),'05_FEATURE_MODEL'!O$5:O$27)/MAX(1,COUNTIF('93_TARGET_MEMBERSHIP'!AB$5:AB$27,-1))))</f>
        <v/>
      </c>
      <c r="O31" s="34">
        <f>IF($B31="ABSOLUTE SEMANTIC",ABS('06_ITEM_POLE_MODEL'!X31),ABS('06_ITEM_POLE_MODEL'!X31)*ABS(SUMPRODUCT(--('93_TARGET_MEMBERSHIP'!AB$5:AB$27=1),'05_FEATURE_MODEL'!P$5:P$27)/MAX(1,COUNTIF('93_TARGET_MEMBERSHIP'!AB$5:AB$27,1))-SUMPRODUCT(--('93_TARGET_MEMBERSHIP'!AB$5:AB$27=-1),'05_FEATURE_MODEL'!P$5:P$27)/MAX(1,COUNTIF('93_TARGET_MEMBERSHIP'!AB$5:AB$27,-1))))</f>
        <v/>
      </c>
      <c r="P31" s="34">
        <f>IF($B31="ABSOLUTE SEMANTIC",ABS('06_ITEM_POLE_MODEL'!Y31),ABS('06_ITEM_POLE_MODEL'!Y31)*ABS(SUMPRODUCT(--('93_TARGET_MEMBERSHIP'!AB$5:AB$27=1),'05_FEATURE_MODEL'!Q$5:Q$27)/MAX(1,COUNTIF('93_TARGET_MEMBERSHIP'!AB$5:AB$27,1))-SUMPRODUCT(--('93_TARGET_MEMBERSHIP'!AB$5:AB$27=-1),'05_FEATURE_MODEL'!Q$5:Q$27)/MAX(1,COUNTIF('93_TARGET_MEMBERSHIP'!AB$5:AB$27,-1))))</f>
        <v/>
      </c>
      <c r="Q31" s="34">
        <f>IF($B31="ABSOLUTE SEMANTIC",ABS('06_ITEM_POLE_MODEL'!Z31),ABS('06_ITEM_POLE_MODEL'!Z31)*ABS(SUMPRODUCT(--('93_TARGET_MEMBERSHIP'!AB$5:AB$27=1),'05_FEATURE_MODEL'!R$5:R$27)/MAX(1,COUNTIF('93_TARGET_MEMBERSHIP'!AB$5:AB$27,1))-SUMPRODUCT(--('93_TARGET_MEMBERSHIP'!AB$5:AB$27=-1),'05_FEATURE_MODEL'!R$5:R$27)/MAX(1,COUNTIF('93_TARGET_MEMBERSHIP'!AB$5:AB$27,-1))))</f>
        <v/>
      </c>
      <c r="R31" s="34">
        <f>IF($B31="ABSOLUTE SEMANTIC",ABS('06_ITEM_POLE_MODEL'!AA31),ABS('06_ITEM_POLE_MODEL'!AA31)*ABS(SUMPRODUCT(--('93_TARGET_MEMBERSHIP'!AB$5:AB$27=1),'05_FEATURE_MODEL'!S$5:S$27)/MAX(1,COUNTIF('93_TARGET_MEMBERSHIP'!AB$5:AB$27,1))-SUMPRODUCT(--('93_TARGET_MEMBERSHIP'!AB$5:AB$27=-1),'05_FEATURE_MODEL'!S$5:S$27)/MAX(1,COUNTIF('93_TARGET_MEMBERSHIP'!AB$5:AB$27,-1))))</f>
        <v/>
      </c>
      <c r="S31" s="34">
        <f>IF($B31="ABSOLUTE SEMANTIC",ABS('06_ITEM_POLE_MODEL'!AB31),ABS('06_ITEM_POLE_MODEL'!AB31)*ABS(SUMPRODUCT(--('93_TARGET_MEMBERSHIP'!AB$5:AB$27=1),'05_FEATURE_MODEL'!T$5:T$27)/MAX(1,COUNTIF('93_TARGET_MEMBERSHIP'!AB$5:AB$27,1))-SUMPRODUCT(--('93_TARGET_MEMBERSHIP'!AB$5:AB$27=-1),'05_FEATURE_MODEL'!T$5:T$27)/MAX(1,COUNTIF('93_TARGET_MEMBERSHIP'!AB$5:AB$27,-1))))</f>
        <v/>
      </c>
      <c r="T31" s="34">
        <f>IF($B31="ABSOLUTE SEMANTIC",ABS('06_ITEM_POLE_MODEL'!AC31),ABS('06_ITEM_POLE_MODEL'!AC31)*ABS(SUMPRODUCT(--('93_TARGET_MEMBERSHIP'!AB$5:AB$27=1),'05_FEATURE_MODEL'!U$5:U$27)/MAX(1,COUNTIF('93_TARGET_MEMBERSHIP'!AB$5:AB$27,1))-SUMPRODUCT(--('93_TARGET_MEMBERSHIP'!AB$5:AB$27=-1),'05_FEATURE_MODEL'!U$5:U$27)/MAX(1,COUNTIF('93_TARGET_MEMBERSHIP'!AB$5:AB$27,-1))))</f>
        <v/>
      </c>
      <c r="U31" s="34">
        <f>IF($B31="ABSOLUTE SEMANTIC",ABS('06_ITEM_POLE_MODEL'!AD31),ABS('06_ITEM_POLE_MODEL'!AD31)*ABS(SUMPRODUCT(--('93_TARGET_MEMBERSHIP'!AB$5:AB$27=1),'05_FEATURE_MODEL'!V$5:V$27)/MAX(1,COUNTIF('93_TARGET_MEMBERSHIP'!AB$5:AB$27,1))-SUMPRODUCT(--('93_TARGET_MEMBERSHIP'!AB$5:AB$27=-1),'05_FEATURE_MODEL'!V$5:V$27)/MAX(1,COUNTIF('93_TARGET_MEMBERSHIP'!AB$5:AB$27,-1))))</f>
        <v/>
      </c>
      <c r="V31" s="34">
        <f>IF($B31="ABSOLUTE SEMANTIC",ABS('06_ITEM_POLE_MODEL'!AE31),ABS('06_ITEM_POLE_MODEL'!AE31)*ABS(SUMPRODUCT(--('93_TARGET_MEMBERSHIP'!AB$5:AB$27=1),'05_FEATURE_MODEL'!W$5:W$27)/MAX(1,COUNTIF('93_TARGET_MEMBERSHIP'!AB$5:AB$27,1))-SUMPRODUCT(--('93_TARGET_MEMBERSHIP'!AB$5:AB$27=-1),'05_FEATURE_MODEL'!W$5:W$27)/MAX(1,COUNTIF('93_TARGET_MEMBERSHIP'!AB$5:AB$27,-1))))</f>
        <v/>
      </c>
      <c r="W31" s="34">
        <f>IF($B31="ABSOLUTE SEMANTIC",ABS('06_ITEM_POLE_MODEL'!AF31),ABS('06_ITEM_POLE_MODEL'!AF31)*ABS(SUMPRODUCT(--('93_TARGET_MEMBERSHIP'!AB$5:AB$27=1),'05_FEATURE_MODEL'!X$5:X$27)/MAX(1,COUNTIF('93_TARGET_MEMBERSHIP'!AB$5:AB$27,1))-SUMPRODUCT(--('93_TARGET_MEMBERSHIP'!AB$5:AB$27=-1),'05_FEATURE_MODEL'!X$5:X$27)/MAX(1,COUNTIF('93_TARGET_MEMBERSHIP'!AB$5:AB$27,-1))))</f>
        <v/>
      </c>
      <c r="X31" s="34">
        <f>IF($B31="ABSOLUTE SEMANTIC",ABS('06_ITEM_POLE_MODEL'!AG31),ABS('06_ITEM_POLE_MODEL'!AG31)*ABS(SUMPRODUCT(--('93_TARGET_MEMBERSHIP'!AB$5:AB$27=1),'05_FEATURE_MODEL'!Y$5:Y$27)/MAX(1,COUNTIF('93_TARGET_MEMBERSHIP'!AB$5:AB$27,1))-SUMPRODUCT(--('93_TARGET_MEMBERSHIP'!AB$5:AB$27=-1),'05_FEATURE_MODEL'!Y$5:Y$27)/MAX(1,COUNTIF('93_TARGET_MEMBERSHIP'!AB$5:AB$27,-1))))</f>
        <v/>
      </c>
      <c r="Y31" s="34">
        <f>IF($B31="ABSOLUTE SEMANTIC",ABS('06_ITEM_POLE_MODEL'!AH31),ABS('06_ITEM_POLE_MODEL'!AH31)*ABS(SUMPRODUCT(--('93_TARGET_MEMBERSHIP'!AB$5:AB$27=1),'05_FEATURE_MODEL'!Z$5:Z$27)/MAX(1,COUNTIF('93_TARGET_MEMBERSHIP'!AB$5:AB$27,1))-SUMPRODUCT(--('93_TARGET_MEMBERSHIP'!AB$5:AB$27=-1),'05_FEATURE_MODEL'!Z$5:Z$27)/MAX(1,COUNTIF('93_TARGET_MEMBERSHIP'!AB$5:AB$27,-1))))</f>
        <v/>
      </c>
      <c r="Z31" s="34">
        <f>IF($B31="ABSOLUTE SEMANTIC",ABS('06_ITEM_POLE_MODEL'!AI31),ABS('06_ITEM_POLE_MODEL'!AI31)*ABS(SUMPRODUCT(--('93_TARGET_MEMBERSHIP'!AB$5:AB$27=1),'05_FEATURE_MODEL'!AA$5:AA$27)/MAX(1,COUNTIF('93_TARGET_MEMBERSHIP'!AB$5:AB$27,1))-SUMPRODUCT(--('93_TARGET_MEMBERSHIP'!AB$5:AB$27=-1),'05_FEATURE_MODEL'!AA$5:AA$27)/MAX(1,COUNTIF('93_TARGET_MEMBERSHIP'!AB$5:AB$27,-1))))</f>
        <v/>
      </c>
      <c r="AA31" s="34">
        <f>IF($B31="ABSOLUTE SEMANTIC",ABS('06_ITEM_POLE_MODEL'!AJ31),ABS('06_ITEM_POLE_MODEL'!AJ31)*ABS(SUMPRODUCT(--('93_TARGET_MEMBERSHIP'!AB$5:AB$27=1),'05_FEATURE_MODEL'!AB$5:AB$27)/MAX(1,COUNTIF('93_TARGET_MEMBERSHIP'!AB$5:AB$27,1))-SUMPRODUCT(--('93_TARGET_MEMBERSHIP'!AB$5:AB$27=-1),'05_FEATURE_MODEL'!AB$5:AB$27)/MAX(1,COUNTIF('93_TARGET_MEMBERSHIP'!AB$5:AB$27,-1))))</f>
        <v/>
      </c>
      <c r="AB31" s="34">
        <f>IF($B31="ABSOLUTE SEMANTIC",ABS('06_ITEM_POLE_MODEL'!AK31),ABS('06_ITEM_POLE_MODEL'!AK31)*ABS(SUMPRODUCT(--('93_TARGET_MEMBERSHIP'!AB$5:AB$27=1),'05_FEATURE_MODEL'!AC$5:AC$27)/MAX(1,COUNTIF('93_TARGET_MEMBERSHIP'!AB$5:AB$27,1))-SUMPRODUCT(--('93_TARGET_MEMBERSHIP'!AB$5:AB$27=-1),'05_FEATURE_MODEL'!AC$5:AC$27)/MAX(1,COUNTIF('93_TARGET_MEMBERSHIP'!AB$5:AB$27,-1))))</f>
        <v/>
      </c>
      <c r="AC31" s="34">
        <f>IF($B31="ABSOLUTE SEMANTIC",ABS('06_ITEM_POLE_MODEL'!AL31),ABS('06_ITEM_POLE_MODEL'!AL31)*ABS(SUMPRODUCT(--('93_TARGET_MEMBERSHIP'!AB$5:AB$27=1),'05_FEATURE_MODEL'!AD$5:AD$27)/MAX(1,COUNTIF('93_TARGET_MEMBERSHIP'!AB$5:AB$27,1))-SUMPRODUCT(--('93_TARGET_MEMBERSHIP'!AB$5:AB$27=-1),'05_FEATURE_MODEL'!AD$5:AD$27)/MAX(1,COUNTIF('93_TARGET_MEMBERSHIP'!AB$5:AB$27,-1))))</f>
        <v/>
      </c>
      <c r="AD31" s="34">
        <f>IF($B31="ABSOLUTE SEMANTIC",ABS('06_ITEM_POLE_MODEL'!AM31),ABS('06_ITEM_POLE_MODEL'!AM31)*ABS(SUMPRODUCT(--('93_TARGET_MEMBERSHIP'!AB$5:AB$27=1),'05_FEATURE_MODEL'!AE$5:AE$27)/MAX(1,COUNTIF('93_TARGET_MEMBERSHIP'!AB$5:AB$27,1))-SUMPRODUCT(--('93_TARGET_MEMBERSHIP'!AB$5:AB$27=-1),'05_FEATURE_MODEL'!AE$5:AE$27)/MAX(1,COUNTIF('93_TARGET_MEMBERSHIP'!AB$5:AB$27,-1))))</f>
        <v/>
      </c>
      <c r="AE31" s="34">
        <f>IF($B31="ABSOLUTE SEMANTIC",ABS('06_ITEM_POLE_MODEL'!AN31),ABS('06_ITEM_POLE_MODEL'!AN31)*ABS(SUMPRODUCT(--('93_TARGET_MEMBERSHIP'!AB$5:AB$27=1),'05_FEATURE_MODEL'!AF$5:AF$27)/MAX(1,COUNTIF('93_TARGET_MEMBERSHIP'!AB$5:AB$27,1))-SUMPRODUCT(--('93_TARGET_MEMBERSHIP'!AB$5:AB$27=-1),'05_FEATURE_MODEL'!AF$5:AF$27)/MAX(1,COUNTIF('93_TARGET_MEMBERSHIP'!AB$5:AB$27,-1))))</f>
        <v/>
      </c>
      <c r="AF31" s="34">
        <f>IF($B31="ABSOLUTE SEMANTIC",ABS('06_ITEM_POLE_MODEL'!AO31),ABS('06_ITEM_POLE_MODEL'!AO31)*ABS(SUMPRODUCT(--('93_TARGET_MEMBERSHIP'!AB$5:AB$27=1),'05_FEATURE_MODEL'!AG$5:AG$27)/MAX(1,COUNTIF('93_TARGET_MEMBERSHIP'!AB$5:AB$27,1))-SUMPRODUCT(--('93_TARGET_MEMBERSHIP'!AB$5:AB$27=-1),'05_FEATURE_MODEL'!AG$5:AG$27)/MAX(1,COUNTIF('93_TARGET_MEMBERSHIP'!AB$5:AB$27,-1))))</f>
        <v/>
      </c>
      <c r="AG31" s="34">
        <f>IF($B31="ABSOLUTE SEMANTIC",ABS('06_ITEM_POLE_MODEL'!AP31),ABS('06_ITEM_POLE_MODEL'!AP31)*ABS(SUMPRODUCT(--('93_TARGET_MEMBERSHIP'!AB$5:AB$27=1),'05_FEATURE_MODEL'!AH$5:AH$27)/MAX(1,COUNTIF('93_TARGET_MEMBERSHIP'!AB$5:AB$27,1))-SUMPRODUCT(--('93_TARGET_MEMBERSHIP'!AB$5:AB$27=-1),'05_FEATURE_MODEL'!AH$5:AH$27)/MAX(1,COUNTIF('93_TARGET_MEMBERSHIP'!AB$5:AB$27,-1))))</f>
        <v/>
      </c>
      <c r="AH31" s="34">
        <f>IF($B31="ABSOLUTE SEMANTIC",ABS('06_ITEM_POLE_MODEL'!AQ31),ABS('06_ITEM_POLE_MODEL'!AQ31)*ABS(SUMPRODUCT(--('93_TARGET_MEMBERSHIP'!AB$5:AB$27=1),'05_FEATURE_MODEL'!AI$5:AI$27)/MAX(1,COUNTIF('93_TARGET_MEMBERSHIP'!AB$5:AB$27,1))-SUMPRODUCT(--('93_TARGET_MEMBERSHIP'!AB$5:AB$27=-1),'05_FEATURE_MODEL'!AI$5:AI$27)/MAX(1,COUNTIF('93_TARGET_MEMBERSHIP'!AB$5:AB$27,-1))))</f>
        <v/>
      </c>
      <c r="AI31" s="34">
        <f>IF($B31="ABSOLUTE SEMANTIC",ABS('06_ITEM_POLE_MODEL'!AR31),ABS('06_ITEM_POLE_MODEL'!AR31)*ABS(SUMPRODUCT(--('93_TARGET_MEMBERSHIP'!AB$5:AB$27=1),'05_FEATURE_MODEL'!AJ$5:AJ$27)/MAX(1,COUNTIF('93_TARGET_MEMBERSHIP'!AB$5:AB$27,1))-SUMPRODUCT(--('93_TARGET_MEMBERSHIP'!AB$5:AB$27=-1),'05_FEATURE_MODEL'!AJ$5:AJ$27)/MAX(1,COUNTIF('93_TARGET_MEMBERSHIP'!AB$5:AB$27,-1))))</f>
        <v/>
      </c>
      <c r="AJ31" s="34">
        <f>IF($B31="ABSOLUTE SEMANTIC",ABS('06_ITEM_POLE_MODEL'!AS31),ABS('06_ITEM_POLE_MODEL'!AS31)*ABS(SUMPRODUCT(--('93_TARGET_MEMBERSHIP'!AB$5:AB$27=1),'05_FEATURE_MODEL'!AK$5:AK$27)/MAX(1,COUNTIF('93_TARGET_MEMBERSHIP'!AB$5:AB$27,1))-SUMPRODUCT(--('93_TARGET_MEMBERSHIP'!AB$5:AB$27=-1),'05_FEATURE_MODEL'!AK$5:AK$27)/MAX(1,COUNTIF('93_TARGET_MEMBERSHIP'!AB$5:AB$27,-1))))</f>
        <v/>
      </c>
      <c r="AK31" s="34">
        <f>IF($B31="ABSOLUTE SEMANTIC",ABS('06_ITEM_POLE_MODEL'!AT31),ABS('06_ITEM_POLE_MODEL'!AT31)*ABS(SUMPRODUCT(--('93_TARGET_MEMBERSHIP'!AB$5:AB$27=1),'05_FEATURE_MODEL'!AL$5:AL$27)/MAX(1,COUNTIF('93_TARGET_MEMBERSHIP'!AB$5:AB$27,1))-SUMPRODUCT(--('93_TARGET_MEMBERSHIP'!AB$5:AB$27=-1),'05_FEATURE_MODEL'!AL$5:AL$27)/MAX(1,COUNTIF('93_TARGET_MEMBERSHIP'!AB$5:AB$27,-1))))</f>
        <v/>
      </c>
      <c r="AL31" s="34">
        <f>IF($B31="ABSOLUTE SEMANTIC",ABS('06_ITEM_POLE_MODEL'!AU31),ABS('06_ITEM_POLE_MODEL'!AU31)*ABS(SUMPRODUCT(--('93_TARGET_MEMBERSHIP'!AB$5:AB$27=1),'05_FEATURE_MODEL'!AM$5:AM$27)/MAX(1,COUNTIF('93_TARGET_MEMBERSHIP'!AB$5:AB$27,1))-SUMPRODUCT(--('93_TARGET_MEMBERSHIP'!AB$5:AB$27=-1),'05_FEATURE_MODEL'!AM$5:AM$27)/MAX(1,COUNTIF('93_TARGET_MEMBERSHIP'!AB$5:AB$27,-1))))</f>
        <v/>
      </c>
      <c r="AM31" s="34">
        <f>IF($B31="ABSOLUTE SEMANTIC",ABS('06_ITEM_POLE_MODEL'!AV31),ABS('06_ITEM_POLE_MODEL'!AV31)*ABS(SUMPRODUCT(--('93_TARGET_MEMBERSHIP'!AB$5:AB$27=1),'05_FEATURE_MODEL'!AN$5:AN$27)/MAX(1,COUNTIF('93_TARGET_MEMBERSHIP'!AB$5:AB$27,1))-SUMPRODUCT(--('93_TARGET_MEMBERSHIP'!AB$5:AB$27=-1),'05_FEATURE_MODEL'!AN$5:AN$27)/MAX(1,COUNTIF('93_TARGET_MEMBERSHIP'!AB$5:AB$27,-1))))</f>
        <v/>
      </c>
      <c r="AN31" s="34">
        <f>IF($B31="ABSOLUTE SEMANTIC",ABS('06_ITEM_POLE_MODEL'!AW31),ABS('06_ITEM_POLE_MODEL'!AW31)*ABS(SUMPRODUCT(--('93_TARGET_MEMBERSHIP'!AB$5:AB$27=1),'05_FEATURE_MODEL'!AO$5:AO$27)/MAX(1,COUNTIF('93_TARGET_MEMBERSHIP'!AB$5:AB$27,1))-SUMPRODUCT(--('93_TARGET_MEMBERSHIP'!AB$5:AB$27=-1),'05_FEATURE_MODEL'!AO$5:AO$27)/MAX(1,COUNTIF('93_TARGET_MEMBERSHIP'!AB$5:AB$27,-1))))</f>
        <v/>
      </c>
      <c r="AO31" s="34">
        <f>IF($B31="ABSOLUTE SEMANTIC",ABS('06_ITEM_POLE_MODEL'!AX31),ABS('06_ITEM_POLE_MODEL'!AX31)*ABS(SUMPRODUCT(--('93_TARGET_MEMBERSHIP'!AB$5:AB$27=1),'05_FEATURE_MODEL'!AP$5:AP$27)/MAX(1,COUNTIF('93_TARGET_MEMBERSHIP'!AB$5:AB$27,1))-SUMPRODUCT(--('93_TARGET_MEMBERSHIP'!AB$5:AB$27=-1),'05_FEATURE_MODEL'!AP$5:AP$27)/MAX(1,COUNTIF('93_TARGET_MEMBERSHIP'!AB$5:AB$27,-1))))</f>
        <v/>
      </c>
      <c r="AP31" s="34">
        <f>IF($B31="ABSOLUTE SEMANTIC",ABS('06_ITEM_POLE_MODEL'!AY31),ABS('06_ITEM_POLE_MODEL'!AY31)*ABS(SUMPRODUCT(--('93_TARGET_MEMBERSHIP'!AB$5:AB$27=1),'05_FEATURE_MODEL'!AQ$5:AQ$27)/MAX(1,COUNTIF('93_TARGET_MEMBERSHIP'!AB$5:AB$27,1))-SUMPRODUCT(--('93_TARGET_MEMBERSHIP'!AB$5:AB$27=-1),'05_FEATURE_MODEL'!AQ$5:AQ$27)/MAX(1,COUNTIF('93_TARGET_MEMBERSHIP'!AB$5:AB$27,-1))))</f>
        <v/>
      </c>
      <c r="AQ31" s="34">
        <f>IF($B31="ABSOLUTE SEMANTIC",ABS('06_ITEM_POLE_MODEL'!AZ31),ABS('06_ITEM_POLE_MODEL'!AZ31)*ABS(SUMPRODUCT(--('93_TARGET_MEMBERSHIP'!AB$5:AB$27=1),'05_FEATURE_MODEL'!AR$5:AR$27)/MAX(1,COUNTIF('93_TARGET_MEMBERSHIP'!AB$5:AB$27,1))-SUMPRODUCT(--('93_TARGET_MEMBERSHIP'!AB$5:AB$27=-1),'05_FEATURE_MODEL'!AR$5:AR$27)/MAX(1,COUNTIF('93_TARGET_MEMBERSHIP'!AB$5:AB$27,-1))))</f>
        <v/>
      </c>
    </row>
    <row r="32" ht="36" customHeight="1">
      <c r="A32" s="34">
        <f>'06_ITEM_POLE_MODEL'!A32</f>
        <v/>
      </c>
      <c r="B32" s="34">
        <f>'06_ITEM_POLE_MODEL'!E32</f>
        <v/>
      </c>
      <c r="C32" s="34">
        <f>IF($B32="ABSOLUTE SEMANTIC",ABS('06_ITEM_POLE_MODEL'!L32),ABS('06_ITEM_POLE_MODEL'!L32)*ABS(SUMPRODUCT(--('93_TARGET_MEMBERSHIP'!AC$5:AC$27=1),'05_FEATURE_MODEL'!D$5:D$27)/MAX(1,COUNTIF('93_TARGET_MEMBERSHIP'!AC$5:AC$27,1))-SUMPRODUCT(--('93_TARGET_MEMBERSHIP'!AC$5:AC$27=-1),'05_FEATURE_MODEL'!D$5:D$27)/MAX(1,COUNTIF('93_TARGET_MEMBERSHIP'!AC$5:AC$27,-1))))</f>
        <v/>
      </c>
      <c r="D32" s="34">
        <f>IF($B32="ABSOLUTE SEMANTIC",ABS('06_ITEM_POLE_MODEL'!M32),ABS('06_ITEM_POLE_MODEL'!M32)*ABS(SUMPRODUCT(--('93_TARGET_MEMBERSHIP'!AC$5:AC$27=1),'05_FEATURE_MODEL'!E$5:E$27)/MAX(1,COUNTIF('93_TARGET_MEMBERSHIP'!AC$5:AC$27,1))-SUMPRODUCT(--('93_TARGET_MEMBERSHIP'!AC$5:AC$27=-1),'05_FEATURE_MODEL'!E$5:E$27)/MAX(1,COUNTIF('93_TARGET_MEMBERSHIP'!AC$5:AC$27,-1))))</f>
        <v/>
      </c>
      <c r="E32" s="34">
        <f>IF($B32="ABSOLUTE SEMANTIC",ABS('06_ITEM_POLE_MODEL'!N32),ABS('06_ITEM_POLE_MODEL'!N32)*ABS(SUMPRODUCT(--('93_TARGET_MEMBERSHIP'!AC$5:AC$27=1),'05_FEATURE_MODEL'!F$5:F$27)/MAX(1,COUNTIF('93_TARGET_MEMBERSHIP'!AC$5:AC$27,1))-SUMPRODUCT(--('93_TARGET_MEMBERSHIP'!AC$5:AC$27=-1),'05_FEATURE_MODEL'!F$5:F$27)/MAX(1,COUNTIF('93_TARGET_MEMBERSHIP'!AC$5:AC$27,-1))))</f>
        <v/>
      </c>
      <c r="F32" s="34">
        <f>IF($B32="ABSOLUTE SEMANTIC",ABS('06_ITEM_POLE_MODEL'!O32),ABS('06_ITEM_POLE_MODEL'!O32)*ABS(SUMPRODUCT(--('93_TARGET_MEMBERSHIP'!AC$5:AC$27=1),'05_FEATURE_MODEL'!G$5:G$27)/MAX(1,COUNTIF('93_TARGET_MEMBERSHIP'!AC$5:AC$27,1))-SUMPRODUCT(--('93_TARGET_MEMBERSHIP'!AC$5:AC$27=-1),'05_FEATURE_MODEL'!G$5:G$27)/MAX(1,COUNTIF('93_TARGET_MEMBERSHIP'!AC$5:AC$27,-1))))</f>
        <v/>
      </c>
      <c r="G32" s="34">
        <f>IF($B32="ABSOLUTE SEMANTIC",ABS('06_ITEM_POLE_MODEL'!P32),ABS('06_ITEM_POLE_MODEL'!P32)*ABS(SUMPRODUCT(--('93_TARGET_MEMBERSHIP'!AC$5:AC$27=1),'05_FEATURE_MODEL'!H$5:H$27)/MAX(1,COUNTIF('93_TARGET_MEMBERSHIP'!AC$5:AC$27,1))-SUMPRODUCT(--('93_TARGET_MEMBERSHIP'!AC$5:AC$27=-1),'05_FEATURE_MODEL'!H$5:H$27)/MAX(1,COUNTIF('93_TARGET_MEMBERSHIP'!AC$5:AC$27,-1))))</f>
        <v/>
      </c>
      <c r="H32" s="34">
        <f>IF($B32="ABSOLUTE SEMANTIC",ABS('06_ITEM_POLE_MODEL'!Q32),ABS('06_ITEM_POLE_MODEL'!Q32)*ABS(SUMPRODUCT(--('93_TARGET_MEMBERSHIP'!AC$5:AC$27=1),'05_FEATURE_MODEL'!I$5:I$27)/MAX(1,COUNTIF('93_TARGET_MEMBERSHIP'!AC$5:AC$27,1))-SUMPRODUCT(--('93_TARGET_MEMBERSHIP'!AC$5:AC$27=-1),'05_FEATURE_MODEL'!I$5:I$27)/MAX(1,COUNTIF('93_TARGET_MEMBERSHIP'!AC$5:AC$27,-1))))</f>
        <v/>
      </c>
      <c r="I32" s="34">
        <f>IF($B32="ABSOLUTE SEMANTIC",ABS('06_ITEM_POLE_MODEL'!R32),ABS('06_ITEM_POLE_MODEL'!R32)*ABS(SUMPRODUCT(--('93_TARGET_MEMBERSHIP'!AC$5:AC$27=1),'05_FEATURE_MODEL'!J$5:J$27)/MAX(1,COUNTIF('93_TARGET_MEMBERSHIP'!AC$5:AC$27,1))-SUMPRODUCT(--('93_TARGET_MEMBERSHIP'!AC$5:AC$27=-1),'05_FEATURE_MODEL'!J$5:J$27)/MAX(1,COUNTIF('93_TARGET_MEMBERSHIP'!AC$5:AC$27,-1))))</f>
        <v/>
      </c>
      <c r="J32" s="34">
        <f>IF($B32="ABSOLUTE SEMANTIC",ABS('06_ITEM_POLE_MODEL'!S32),ABS('06_ITEM_POLE_MODEL'!S32)*ABS(SUMPRODUCT(--('93_TARGET_MEMBERSHIP'!AC$5:AC$27=1),'05_FEATURE_MODEL'!K$5:K$27)/MAX(1,COUNTIF('93_TARGET_MEMBERSHIP'!AC$5:AC$27,1))-SUMPRODUCT(--('93_TARGET_MEMBERSHIP'!AC$5:AC$27=-1),'05_FEATURE_MODEL'!K$5:K$27)/MAX(1,COUNTIF('93_TARGET_MEMBERSHIP'!AC$5:AC$27,-1))))</f>
        <v/>
      </c>
      <c r="K32" s="34">
        <f>IF($B32="ABSOLUTE SEMANTIC",ABS('06_ITEM_POLE_MODEL'!T32),ABS('06_ITEM_POLE_MODEL'!T32)*ABS(SUMPRODUCT(--('93_TARGET_MEMBERSHIP'!AC$5:AC$27=1),'05_FEATURE_MODEL'!L$5:L$27)/MAX(1,COUNTIF('93_TARGET_MEMBERSHIP'!AC$5:AC$27,1))-SUMPRODUCT(--('93_TARGET_MEMBERSHIP'!AC$5:AC$27=-1),'05_FEATURE_MODEL'!L$5:L$27)/MAX(1,COUNTIF('93_TARGET_MEMBERSHIP'!AC$5:AC$27,-1))))</f>
        <v/>
      </c>
      <c r="L32" s="34">
        <f>IF($B32="ABSOLUTE SEMANTIC",ABS('06_ITEM_POLE_MODEL'!U32),ABS('06_ITEM_POLE_MODEL'!U32)*ABS(SUMPRODUCT(--('93_TARGET_MEMBERSHIP'!AC$5:AC$27=1),'05_FEATURE_MODEL'!M$5:M$27)/MAX(1,COUNTIF('93_TARGET_MEMBERSHIP'!AC$5:AC$27,1))-SUMPRODUCT(--('93_TARGET_MEMBERSHIP'!AC$5:AC$27=-1),'05_FEATURE_MODEL'!M$5:M$27)/MAX(1,COUNTIF('93_TARGET_MEMBERSHIP'!AC$5:AC$27,-1))))</f>
        <v/>
      </c>
      <c r="M32" s="34">
        <f>IF($B32="ABSOLUTE SEMANTIC",ABS('06_ITEM_POLE_MODEL'!V32),ABS('06_ITEM_POLE_MODEL'!V32)*ABS(SUMPRODUCT(--('93_TARGET_MEMBERSHIP'!AC$5:AC$27=1),'05_FEATURE_MODEL'!N$5:N$27)/MAX(1,COUNTIF('93_TARGET_MEMBERSHIP'!AC$5:AC$27,1))-SUMPRODUCT(--('93_TARGET_MEMBERSHIP'!AC$5:AC$27=-1),'05_FEATURE_MODEL'!N$5:N$27)/MAX(1,COUNTIF('93_TARGET_MEMBERSHIP'!AC$5:AC$27,-1))))</f>
        <v/>
      </c>
      <c r="N32" s="34">
        <f>IF($B32="ABSOLUTE SEMANTIC",ABS('06_ITEM_POLE_MODEL'!W32),ABS('06_ITEM_POLE_MODEL'!W32)*ABS(SUMPRODUCT(--('93_TARGET_MEMBERSHIP'!AC$5:AC$27=1),'05_FEATURE_MODEL'!O$5:O$27)/MAX(1,COUNTIF('93_TARGET_MEMBERSHIP'!AC$5:AC$27,1))-SUMPRODUCT(--('93_TARGET_MEMBERSHIP'!AC$5:AC$27=-1),'05_FEATURE_MODEL'!O$5:O$27)/MAX(1,COUNTIF('93_TARGET_MEMBERSHIP'!AC$5:AC$27,-1))))</f>
        <v/>
      </c>
      <c r="O32" s="34">
        <f>IF($B32="ABSOLUTE SEMANTIC",ABS('06_ITEM_POLE_MODEL'!X32),ABS('06_ITEM_POLE_MODEL'!X32)*ABS(SUMPRODUCT(--('93_TARGET_MEMBERSHIP'!AC$5:AC$27=1),'05_FEATURE_MODEL'!P$5:P$27)/MAX(1,COUNTIF('93_TARGET_MEMBERSHIP'!AC$5:AC$27,1))-SUMPRODUCT(--('93_TARGET_MEMBERSHIP'!AC$5:AC$27=-1),'05_FEATURE_MODEL'!P$5:P$27)/MAX(1,COUNTIF('93_TARGET_MEMBERSHIP'!AC$5:AC$27,-1))))</f>
        <v/>
      </c>
      <c r="P32" s="34">
        <f>IF($B32="ABSOLUTE SEMANTIC",ABS('06_ITEM_POLE_MODEL'!Y32),ABS('06_ITEM_POLE_MODEL'!Y32)*ABS(SUMPRODUCT(--('93_TARGET_MEMBERSHIP'!AC$5:AC$27=1),'05_FEATURE_MODEL'!Q$5:Q$27)/MAX(1,COUNTIF('93_TARGET_MEMBERSHIP'!AC$5:AC$27,1))-SUMPRODUCT(--('93_TARGET_MEMBERSHIP'!AC$5:AC$27=-1),'05_FEATURE_MODEL'!Q$5:Q$27)/MAX(1,COUNTIF('93_TARGET_MEMBERSHIP'!AC$5:AC$27,-1))))</f>
        <v/>
      </c>
      <c r="Q32" s="34">
        <f>IF($B32="ABSOLUTE SEMANTIC",ABS('06_ITEM_POLE_MODEL'!Z32),ABS('06_ITEM_POLE_MODEL'!Z32)*ABS(SUMPRODUCT(--('93_TARGET_MEMBERSHIP'!AC$5:AC$27=1),'05_FEATURE_MODEL'!R$5:R$27)/MAX(1,COUNTIF('93_TARGET_MEMBERSHIP'!AC$5:AC$27,1))-SUMPRODUCT(--('93_TARGET_MEMBERSHIP'!AC$5:AC$27=-1),'05_FEATURE_MODEL'!R$5:R$27)/MAX(1,COUNTIF('93_TARGET_MEMBERSHIP'!AC$5:AC$27,-1))))</f>
        <v/>
      </c>
      <c r="R32" s="34">
        <f>IF($B32="ABSOLUTE SEMANTIC",ABS('06_ITEM_POLE_MODEL'!AA32),ABS('06_ITEM_POLE_MODEL'!AA32)*ABS(SUMPRODUCT(--('93_TARGET_MEMBERSHIP'!AC$5:AC$27=1),'05_FEATURE_MODEL'!S$5:S$27)/MAX(1,COUNTIF('93_TARGET_MEMBERSHIP'!AC$5:AC$27,1))-SUMPRODUCT(--('93_TARGET_MEMBERSHIP'!AC$5:AC$27=-1),'05_FEATURE_MODEL'!S$5:S$27)/MAX(1,COUNTIF('93_TARGET_MEMBERSHIP'!AC$5:AC$27,-1))))</f>
        <v/>
      </c>
      <c r="S32" s="34">
        <f>IF($B32="ABSOLUTE SEMANTIC",ABS('06_ITEM_POLE_MODEL'!AB32),ABS('06_ITEM_POLE_MODEL'!AB32)*ABS(SUMPRODUCT(--('93_TARGET_MEMBERSHIP'!AC$5:AC$27=1),'05_FEATURE_MODEL'!T$5:T$27)/MAX(1,COUNTIF('93_TARGET_MEMBERSHIP'!AC$5:AC$27,1))-SUMPRODUCT(--('93_TARGET_MEMBERSHIP'!AC$5:AC$27=-1),'05_FEATURE_MODEL'!T$5:T$27)/MAX(1,COUNTIF('93_TARGET_MEMBERSHIP'!AC$5:AC$27,-1))))</f>
        <v/>
      </c>
      <c r="T32" s="34">
        <f>IF($B32="ABSOLUTE SEMANTIC",ABS('06_ITEM_POLE_MODEL'!AC32),ABS('06_ITEM_POLE_MODEL'!AC32)*ABS(SUMPRODUCT(--('93_TARGET_MEMBERSHIP'!AC$5:AC$27=1),'05_FEATURE_MODEL'!U$5:U$27)/MAX(1,COUNTIF('93_TARGET_MEMBERSHIP'!AC$5:AC$27,1))-SUMPRODUCT(--('93_TARGET_MEMBERSHIP'!AC$5:AC$27=-1),'05_FEATURE_MODEL'!U$5:U$27)/MAX(1,COUNTIF('93_TARGET_MEMBERSHIP'!AC$5:AC$27,-1))))</f>
        <v/>
      </c>
      <c r="U32" s="34">
        <f>IF($B32="ABSOLUTE SEMANTIC",ABS('06_ITEM_POLE_MODEL'!AD32),ABS('06_ITEM_POLE_MODEL'!AD32)*ABS(SUMPRODUCT(--('93_TARGET_MEMBERSHIP'!AC$5:AC$27=1),'05_FEATURE_MODEL'!V$5:V$27)/MAX(1,COUNTIF('93_TARGET_MEMBERSHIP'!AC$5:AC$27,1))-SUMPRODUCT(--('93_TARGET_MEMBERSHIP'!AC$5:AC$27=-1),'05_FEATURE_MODEL'!V$5:V$27)/MAX(1,COUNTIF('93_TARGET_MEMBERSHIP'!AC$5:AC$27,-1))))</f>
        <v/>
      </c>
      <c r="V32" s="34">
        <f>IF($B32="ABSOLUTE SEMANTIC",ABS('06_ITEM_POLE_MODEL'!AE32),ABS('06_ITEM_POLE_MODEL'!AE32)*ABS(SUMPRODUCT(--('93_TARGET_MEMBERSHIP'!AC$5:AC$27=1),'05_FEATURE_MODEL'!W$5:W$27)/MAX(1,COUNTIF('93_TARGET_MEMBERSHIP'!AC$5:AC$27,1))-SUMPRODUCT(--('93_TARGET_MEMBERSHIP'!AC$5:AC$27=-1),'05_FEATURE_MODEL'!W$5:W$27)/MAX(1,COUNTIF('93_TARGET_MEMBERSHIP'!AC$5:AC$27,-1))))</f>
        <v/>
      </c>
      <c r="W32" s="34">
        <f>IF($B32="ABSOLUTE SEMANTIC",ABS('06_ITEM_POLE_MODEL'!AF32),ABS('06_ITEM_POLE_MODEL'!AF32)*ABS(SUMPRODUCT(--('93_TARGET_MEMBERSHIP'!AC$5:AC$27=1),'05_FEATURE_MODEL'!X$5:X$27)/MAX(1,COUNTIF('93_TARGET_MEMBERSHIP'!AC$5:AC$27,1))-SUMPRODUCT(--('93_TARGET_MEMBERSHIP'!AC$5:AC$27=-1),'05_FEATURE_MODEL'!X$5:X$27)/MAX(1,COUNTIF('93_TARGET_MEMBERSHIP'!AC$5:AC$27,-1))))</f>
        <v/>
      </c>
      <c r="X32" s="34">
        <f>IF($B32="ABSOLUTE SEMANTIC",ABS('06_ITEM_POLE_MODEL'!AG32),ABS('06_ITEM_POLE_MODEL'!AG32)*ABS(SUMPRODUCT(--('93_TARGET_MEMBERSHIP'!AC$5:AC$27=1),'05_FEATURE_MODEL'!Y$5:Y$27)/MAX(1,COUNTIF('93_TARGET_MEMBERSHIP'!AC$5:AC$27,1))-SUMPRODUCT(--('93_TARGET_MEMBERSHIP'!AC$5:AC$27=-1),'05_FEATURE_MODEL'!Y$5:Y$27)/MAX(1,COUNTIF('93_TARGET_MEMBERSHIP'!AC$5:AC$27,-1))))</f>
        <v/>
      </c>
      <c r="Y32" s="34">
        <f>IF($B32="ABSOLUTE SEMANTIC",ABS('06_ITEM_POLE_MODEL'!AH32),ABS('06_ITEM_POLE_MODEL'!AH32)*ABS(SUMPRODUCT(--('93_TARGET_MEMBERSHIP'!AC$5:AC$27=1),'05_FEATURE_MODEL'!Z$5:Z$27)/MAX(1,COUNTIF('93_TARGET_MEMBERSHIP'!AC$5:AC$27,1))-SUMPRODUCT(--('93_TARGET_MEMBERSHIP'!AC$5:AC$27=-1),'05_FEATURE_MODEL'!Z$5:Z$27)/MAX(1,COUNTIF('93_TARGET_MEMBERSHIP'!AC$5:AC$27,-1))))</f>
        <v/>
      </c>
      <c r="Z32" s="34">
        <f>IF($B32="ABSOLUTE SEMANTIC",ABS('06_ITEM_POLE_MODEL'!AI32),ABS('06_ITEM_POLE_MODEL'!AI32)*ABS(SUMPRODUCT(--('93_TARGET_MEMBERSHIP'!AC$5:AC$27=1),'05_FEATURE_MODEL'!AA$5:AA$27)/MAX(1,COUNTIF('93_TARGET_MEMBERSHIP'!AC$5:AC$27,1))-SUMPRODUCT(--('93_TARGET_MEMBERSHIP'!AC$5:AC$27=-1),'05_FEATURE_MODEL'!AA$5:AA$27)/MAX(1,COUNTIF('93_TARGET_MEMBERSHIP'!AC$5:AC$27,-1))))</f>
        <v/>
      </c>
      <c r="AA32" s="34">
        <f>IF($B32="ABSOLUTE SEMANTIC",ABS('06_ITEM_POLE_MODEL'!AJ32),ABS('06_ITEM_POLE_MODEL'!AJ32)*ABS(SUMPRODUCT(--('93_TARGET_MEMBERSHIP'!AC$5:AC$27=1),'05_FEATURE_MODEL'!AB$5:AB$27)/MAX(1,COUNTIF('93_TARGET_MEMBERSHIP'!AC$5:AC$27,1))-SUMPRODUCT(--('93_TARGET_MEMBERSHIP'!AC$5:AC$27=-1),'05_FEATURE_MODEL'!AB$5:AB$27)/MAX(1,COUNTIF('93_TARGET_MEMBERSHIP'!AC$5:AC$27,-1))))</f>
        <v/>
      </c>
      <c r="AB32" s="34">
        <f>IF($B32="ABSOLUTE SEMANTIC",ABS('06_ITEM_POLE_MODEL'!AK32),ABS('06_ITEM_POLE_MODEL'!AK32)*ABS(SUMPRODUCT(--('93_TARGET_MEMBERSHIP'!AC$5:AC$27=1),'05_FEATURE_MODEL'!AC$5:AC$27)/MAX(1,COUNTIF('93_TARGET_MEMBERSHIP'!AC$5:AC$27,1))-SUMPRODUCT(--('93_TARGET_MEMBERSHIP'!AC$5:AC$27=-1),'05_FEATURE_MODEL'!AC$5:AC$27)/MAX(1,COUNTIF('93_TARGET_MEMBERSHIP'!AC$5:AC$27,-1))))</f>
        <v/>
      </c>
      <c r="AC32" s="34">
        <f>IF($B32="ABSOLUTE SEMANTIC",ABS('06_ITEM_POLE_MODEL'!AL32),ABS('06_ITEM_POLE_MODEL'!AL32)*ABS(SUMPRODUCT(--('93_TARGET_MEMBERSHIP'!AC$5:AC$27=1),'05_FEATURE_MODEL'!AD$5:AD$27)/MAX(1,COUNTIF('93_TARGET_MEMBERSHIP'!AC$5:AC$27,1))-SUMPRODUCT(--('93_TARGET_MEMBERSHIP'!AC$5:AC$27=-1),'05_FEATURE_MODEL'!AD$5:AD$27)/MAX(1,COUNTIF('93_TARGET_MEMBERSHIP'!AC$5:AC$27,-1))))</f>
        <v/>
      </c>
      <c r="AD32" s="34">
        <f>IF($B32="ABSOLUTE SEMANTIC",ABS('06_ITEM_POLE_MODEL'!AM32),ABS('06_ITEM_POLE_MODEL'!AM32)*ABS(SUMPRODUCT(--('93_TARGET_MEMBERSHIP'!AC$5:AC$27=1),'05_FEATURE_MODEL'!AE$5:AE$27)/MAX(1,COUNTIF('93_TARGET_MEMBERSHIP'!AC$5:AC$27,1))-SUMPRODUCT(--('93_TARGET_MEMBERSHIP'!AC$5:AC$27=-1),'05_FEATURE_MODEL'!AE$5:AE$27)/MAX(1,COUNTIF('93_TARGET_MEMBERSHIP'!AC$5:AC$27,-1))))</f>
        <v/>
      </c>
      <c r="AE32" s="34">
        <f>IF($B32="ABSOLUTE SEMANTIC",ABS('06_ITEM_POLE_MODEL'!AN32),ABS('06_ITEM_POLE_MODEL'!AN32)*ABS(SUMPRODUCT(--('93_TARGET_MEMBERSHIP'!AC$5:AC$27=1),'05_FEATURE_MODEL'!AF$5:AF$27)/MAX(1,COUNTIF('93_TARGET_MEMBERSHIP'!AC$5:AC$27,1))-SUMPRODUCT(--('93_TARGET_MEMBERSHIP'!AC$5:AC$27=-1),'05_FEATURE_MODEL'!AF$5:AF$27)/MAX(1,COUNTIF('93_TARGET_MEMBERSHIP'!AC$5:AC$27,-1))))</f>
        <v/>
      </c>
      <c r="AF32" s="34">
        <f>IF($B32="ABSOLUTE SEMANTIC",ABS('06_ITEM_POLE_MODEL'!AO32),ABS('06_ITEM_POLE_MODEL'!AO32)*ABS(SUMPRODUCT(--('93_TARGET_MEMBERSHIP'!AC$5:AC$27=1),'05_FEATURE_MODEL'!AG$5:AG$27)/MAX(1,COUNTIF('93_TARGET_MEMBERSHIP'!AC$5:AC$27,1))-SUMPRODUCT(--('93_TARGET_MEMBERSHIP'!AC$5:AC$27=-1),'05_FEATURE_MODEL'!AG$5:AG$27)/MAX(1,COUNTIF('93_TARGET_MEMBERSHIP'!AC$5:AC$27,-1))))</f>
        <v/>
      </c>
      <c r="AG32" s="34">
        <f>IF($B32="ABSOLUTE SEMANTIC",ABS('06_ITEM_POLE_MODEL'!AP32),ABS('06_ITEM_POLE_MODEL'!AP32)*ABS(SUMPRODUCT(--('93_TARGET_MEMBERSHIP'!AC$5:AC$27=1),'05_FEATURE_MODEL'!AH$5:AH$27)/MAX(1,COUNTIF('93_TARGET_MEMBERSHIP'!AC$5:AC$27,1))-SUMPRODUCT(--('93_TARGET_MEMBERSHIP'!AC$5:AC$27=-1),'05_FEATURE_MODEL'!AH$5:AH$27)/MAX(1,COUNTIF('93_TARGET_MEMBERSHIP'!AC$5:AC$27,-1))))</f>
        <v/>
      </c>
      <c r="AH32" s="34">
        <f>IF($B32="ABSOLUTE SEMANTIC",ABS('06_ITEM_POLE_MODEL'!AQ32),ABS('06_ITEM_POLE_MODEL'!AQ32)*ABS(SUMPRODUCT(--('93_TARGET_MEMBERSHIP'!AC$5:AC$27=1),'05_FEATURE_MODEL'!AI$5:AI$27)/MAX(1,COUNTIF('93_TARGET_MEMBERSHIP'!AC$5:AC$27,1))-SUMPRODUCT(--('93_TARGET_MEMBERSHIP'!AC$5:AC$27=-1),'05_FEATURE_MODEL'!AI$5:AI$27)/MAX(1,COUNTIF('93_TARGET_MEMBERSHIP'!AC$5:AC$27,-1))))</f>
        <v/>
      </c>
      <c r="AI32" s="34">
        <f>IF($B32="ABSOLUTE SEMANTIC",ABS('06_ITEM_POLE_MODEL'!AR32),ABS('06_ITEM_POLE_MODEL'!AR32)*ABS(SUMPRODUCT(--('93_TARGET_MEMBERSHIP'!AC$5:AC$27=1),'05_FEATURE_MODEL'!AJ$5:AJ$27)/MAX(1,COUNTIF('93_TARGET_MEMBERSHIP'!AC$5:AC$27,1))-SUMPRODUCT(--('93_TARGET_MEMBERSHIP'!AC$5:AC$27=-1),'05_FEATURE_MODEL'!AJ$5:AJ$27)/MAX(1,COUNTIF('93_TARGET_MEMBERSHIP'!AC$5:AC$27,-1))))</f>
        <v/>
      </c>
      <c r="AJ32" s="34">
        <f>IF($B32="ABSOLUTE SEMANTIC",ABS('06_ITEM_POLE_MODEL'!AS32),ABS('06_ITEM_POLE_MODEL'!AS32)*ABS(SUMPRODUCT(--('93_TARGET_MEMBERSHIP'!AC$5:AC$27=1),'05_FEATURE_MODEL'!AK$5:AK$27)/MAX(1,COUNTIF('93_TARGET_MEMBERSHIP'!AC$5:AC$27,1))-SUMPRODUCT(--('93_TARGET_MEMBERSHIP'!AC$5:AC$27=-1),'05_FEATURE_MODEL'!AK$5:AK$27)/MAX(1,COUNTIF('93_TARGET_MEMBERSHIP'!AC$5:AC$27,-1))))</f>
        <v/>
      </c>
      <c r="AK32" s="34">
        <f>IF($B32="ABSOLUTE SEMANTIC",ABS('06_ITEM_POLE_MODEL'!AT32),ABS('06_ITEM_POLE_MODEL'!AT32)*ABS(SUMPRODUCT(--('93_TARGET_MEMBERSHIP'!AC$5:AC$27=1),'05_FEATURE_MODEL'!AL$5:AL$27)/MAX(1,COUNTIF('93_TARGET_MEMBERSHIP'!AC$5:AC$27,1))-SUMPRODUCT(--('93_TARGET_MEMBERSHIP'!AC$5:AC$27=-1),'05_FEATURE_MODEL'!AL$5:AL$27)/MAX(1,COUNTIF('93_TARGET_MEMBERSHIP'!AC$5:AC$27,-1))))</f>
        <v/>
      </c>
      <c r="AL32" s="34">
        <f>IF($B32="ABSOLUTE SEMANTIC",ABS('06_ITEM_POLE_MODEL'!AU32),ABS('06_ITEM_POLE_MODEL'!AU32)*ABS(SUMPRODUCT(--('93_TARGET_MEMBERSHIP'!AC$5:AC$27=1),'05_FEATURE_MODEL'!AM$5:AM$27)/MAX(1,COUNTIF('93_TARGET_MEMBERSHIP'!AC$5:AC$27,1))-SUMPRODUCT(--('93_TARGET_MEMBERSHIP'!AC$5:AC$27=-1),'05_FEATURE_MODEL'!AM$5:AM$27)/MAX(1,COUNTIF('93_TARGET_MEMBERSHIP'!AC$5:AC$27,-1))))</f>
        <v/>
      </c>
      <c r="AM32" s="34">
        <f>IF($B32="ABSOLUTE SEMANTIC",ABS('06_ITEM_POLE_MODEL'!AV32),ABS('06_ITEM_POLE_MODEL'!AV32)*ABS(SUMPRODUCT(--('93_TARGET_MEMBERSHIP'!AC$5:AC$27=1),'05_FEATURE_MODEL'!AN$5:AN$27)/MAX(1,COUNTIF('93_TARGET_MEMBERSHIP'!AC$5:AC$27,1))-SUMPRODUCT(--('93_TARGET_MEMBERSHIP'!AC$5:AC$27=-1),'05_FEATURE_MODEL'!AN$5:AN$27)/MAX(1,COUNTIF('93_TARGET_MEMBERSHIP'!AC$5:AC$27,-1))))</f>
        <v/>
      </c>
      <c r="AN32" s="34">
        <f>IF($B32="ABSOLUTE SEMANTIC",ABS('06_ITEM_POLE_MODEL'!AW32),ABS('06_ITEM_POLE_MODEL'!AW32)*ABS(SUMPRODUCT(--('93_TARGET_MEMBERSHIP'!AC$5:AC$27=1),'05_FEATURE_MODEL'!AO$5:AO$27)/MAX(1,COUNTIF('93_TARGET_MEMBERSHIP'!AC$5:AC$27,1))-SUMPRODUCT(--('93_TARGET_MEMBERSHIP'!AC$5:AC$27=-1),'05_FEATURE_MODEL'!AO$5:AO$27)/MAX(1,COUNTIF('93_TARGET_MEMBERSHIP'!AC$5:AC$27,-1))))</f>
        <v/>
      </c>
      <c r="AO32" s="34">
        <f>IF($B32="ABSOLUTE SEMANTIC",ABS('06_ITEM_POLE_MODEL'!AX32),ABS('06_ITEM_POLE_MODEL'!AX32)*ABS(SUMPRODUCT(--('93_TARGET_MEMBERSHIP'!AC$5:AC$27=1),'05_FEATURE_MODEL'!AP$5:AP$27)/MAX(1,COUNTIF('93_TARGET_MEMBERSHIP'!AC$5:AC$27,1))-SUMPRODUCT(--('93_TARGET_MEMBERSHIP'!AC$5:AC$27=-1),'05_FEATURE_MODEL'!AP$5:AP$27)/MAX(1,COUNTIF('93_TARGET_MEMBERSHIP'!AC$5:AC$27,-1))))</f>
        <v/>
      </c>
      <c r="AP32" s="34">
        <f>IF($B32="ABSOLUTE SEMANTIC",ABS('06_ITEM_POLE_MODEL'!AY32),ABS('06_ITEM_POLE_MODEL'!AY32)*ABS(SUMPRODUCT(--('93_TARGET_MEMBERSHIP'!AC$5:AC$27=1),'05_FEATURE_MODEL'!AQ$5:AQ$27)/MAX(1,COUNTIF('93_TARGET_MEMBERSHIP'!AC$5:AC$27,1))-SUMPRODUCT(--('93_TARGET_MEMBERSHIP'!AC$5:AC$27=-1),'05_FEATURE_MODEL'!AQ$5:AQ$27)/MAX(1,COUNTIF('93_TARGET_MEMBERSHIP'!AC$5:AC$27,-1))))</f>
        <v/>
      </c>
      <c r="AQ32" s="34">
        <f>IF($B32="ABSOLUTE SEMANTIC",ABS('06_ITEM_POLE_MODEL'!AZ32),ABS('06_ITEM_POLE_MODEL'!AZ32)*ABS(SUMPRODUCT(--('93_TARGET_MEMBERSHIP'!AC$5:AC$27=1),'05_FEATURE_MODEL'!AR$5:AR$27)/MAX(1,COUNTIF('93_TARGET_MEMBERSHIP'!AC$5:AC$27,1))-SUMPRODUCT(--('93_TARGET_MEMBERSHIP'!AC$5:AC$27=-1),'05_FEATURE_MODEL'!AR$5:AR$27)/MAX(1,COUNTIF('93_TARGET_MEMBERSHIP'!AC$5:AC$27,-1))))</f>
        <v/>
      </c>
    </row>
    <row r="33" ht="36" customHeight="1">
      <c r="A33" s="34">
        <f>'06_ITEM_POLE_MODEL'!A33</f>
        <v/>
      </c>
      <c r="B33" s="34">
        <f>'06_ITEM_POLE_MODEL'!E33</f>
        <v/>
      </c>
      <c r="C33" s="34">
        <f>IF($B33="ABSOLUTE SEMANTIC",ABS('06_ITEM_POLE_MODEL'!L33),ABS('06_ITEM_POLE_MODEL'!L33)*ABS(SUMPRODUCT(--('93_TARGET_MEMBERSHIP'!AD$5:AD$27=1),'05_FEATURE_MODEL'!D$5:D$27)/MAX(1,COUNTIF('93_TARGET_MEMBERSHIP'!AD$5:AD$27,1))-SUMPRODUCT(--('93_TARGET_MEMBERSHIP'!AD$5:AD$27=-1),'05_FEATURE_MODEL'!D$5:D$27)/MAX(1,COUNTIF('93_TARGET_MEMBERSHIP'!AD$5:AD$27,-1))))</f>
        <v/>
      </c>
      <c r="D33" s="34">
        <f>IF($B33="ABSOLUTE SEMANTIC",ABS('06_ITEM_POLE_MODEL'!M33),ABS('06_ITEM_POLE_MODEL'!M33)*ABS(SUMPRODUCT(--('93_TARGET_MEMBERSHIP'!AD$5:AD$27=1),'05_FEATURE_MODEL'!E$5:E$27)/MAX(1,COUNTIF('93_TARGET_MEMBERSHIP'!AD$5:AD$27,1))-SUMPRODUCT(--('93_TARGET_MEMBERSHIP'!AD$5:AD$27=-1),'05_FEATURE_MODEL'!E$5:E$27)/MAX(1,COUNTIF('93_TARGET_MEMBERSHIP'!AD$5:AD$27,-1))))</f>
        <v/>
      </c>
      <c r="E33" s="34">
        <f>IF($B33="ABSOLUTE SEMANTIC",ABS('06_ITEM_POLE_MODEL'!N33),ABS('06_ITEM_POLE_MODEL'!N33)*ABS(SUMPRODUCT(--('93_TARGET_MEMBERSHIP'!AD$5:AD$27=1),'05_FEATURE_MODEL'!F$5:F$27)/MAX(1,COUNTIF('93_TARGET_MEMBERSHIP'!AD$5:AD$27,1))-SUMPRODUCT(--('93_TARGET_MEMBERSHIP'!AD$5:AD$27=-1),'05_FEATURE_MODEL'!F$5:F$27)/MAX(1,COUNTIF('93_TARGET_MEMBERSHIP'!AD$5:AD$27,-1))))</f>
        <v/>
      </c>
      <c r="F33" s="34">
        <f>IF($B33="ABSOLUTE SEMANTIC",ABS('06_ITEM_POLE_MODEL'!O33),ABS('06_ITEM_POLE_MODEL'!O33)*ABS(SUMPRODUCT(--('93_TARGET_MEMBERSHIP'!AD$5:AD$27=1),'05_FEATURE_MODEL'!G$5:G$27)/MAX(1,COUNTIF('93_TARGET_MEMBERSHIP'!AD$5:AD$27,1))-SUMPRODUCT(--('93_TARGET_MEMBERSHIP'!AD$5:AD$27=-1),'05_FEATURE_MODEL'!G$5:G$27)/MAX(1,COUNTIF('93_TARGET_MEMBERSHIP'!AD$5:AD$27,-1))))</f>
        <v/>
      </c>
      <c r="G33" s="34">
        <f>IF($B33="ABSOLUTE SEMANTIC",ABS('06_ITEM_POLE_MODEL'!P33),ABS('06_ITEM_POLE_MODEL'!P33)*ABS(SUMPRODUCT(--('93_TARGET_MEMBERSHIP'!AD$5:AD$27=1),'05_FEATURE_MODEL'!H$5:H$27)/MAX(1,COUNTIF('93_TARGET_MEMBERSHIP'!AD$5:AD$27,1))-SUMPRODUCT(--('93_TARGET_MEMBERSHIP'!AD$5:AD$27=-1),'05_FEATURE_MODEL'!H$5:H$27)/MAX(1,COUNTIF('93_TARGET_MEMBERSHIP'!AD$5:AD$27,-1))))</f>
        <v/>
      </c>
      <c r="H33" s="34">
        <f>IF($B33="ABSOLUTE SEMANTIC",ABS('06_ITEM_POLE_MODEL'!Q33),ABS('06_ITEM_POLE_MODEL'!Q33)*ABS(SUMPRODUCT(--('93_TARGET_MEMBERSHIP'!AD$5:AD$27=1),'05_FEATURE_MODEL'!I$5:I$27)/MAX(1,COUNTIF('93_TARGET_MEMBERSHIP'!AD$5:AD$27,1))-SUMPRODUCT(--('93_TARGET_MEMBERSHIP'!AD$5:AD$27=-1),'05_FEATURE_MODEL'!I$5:I$27)/MAX(1,COUNTIF('93_TARGET_MEMBERSHIP'!AD$5:AD$27,-1))))</f>
        <v/>
      </c>
      <c r="I33" s="34">
        <f>IF($B33="ABSOLUTE SEMANTIC",ABS('06_ITEM_POLE_MODEL'!R33),ABS('06_ITEM_POLE_MODEL'!R33)*ABS(SUMPRODUCT(--('93_TARGET_MEMBERSHIP'!AD$5:AD$27=1),'05_FEATURE_MODEL'!J$5:J$27)/MAX(1,COUNTIF('93_TARGET_MEMBERSHIP'!AD$5:AD$27,1))-SUMPRODUCT(--('93_TARGET_MEMBERSHIP'!AD$5:AD$27=-1),'05_FEATURE_MODEL'!J$5:J$27)/MAX(1,COUNTIF('93_TARGET_MEMBERSHIP'!AD$5:AD$27,-1))))</f>
        <v/>
      </c>
      <c r="J33" s="34">
        <f>IF($B33="ABSOLUTE SEMANTIC",ABS('06_ITEM_POLE_MODEL'!S33),ABS('06_ITEM_POLE_MODEL'!S33)*ABS(SUMPRODUCT(--('93_TARGET_MEMBERSHIP'!AD$5:AD$27=1),'05_FEATURE_MODEL'!K$5:K$27)/MAX(1,COUNTIF('93_TARGET_MEMBERSHIP'!AD$5:AD$27,1))-SUMPRODUCT(--('93_TARGET_MEMBERSHIP'!AD$5:AD$27=-1),'05_FEATURE_MODEL'!K$5:K$27)/MAX(1,COUNTIF('93_TARGET_MEMBERSHIP'!AD$5:AD$27,-1))))</f>
        <v/>
      </c>
      <c r="K33" s="34">
        <f>IF($B33="ABSOLUTE SEMANTIC",ABS('06_ITEM_POLE_MODEL'!T33),ABS('06_ITEM_POLE_MODEL'!T33)*ABS(SUMPRODUCT(--('93_TARGET_MEMBERSHIP'!AD$5:AD$27=1),'05_FEATURE_MODEL'!L$5:L$27)/MAX(1,COUNTIF('93_TARGET_MEMBERSHIP'!AD$5:AD$27,1))-SUMPRODUCT(--('93_TARGET_MEMBERSHIP'!AD$5:AD$27=-1),'05_FEATURE_MODEL'!L$5:L$27)/MAX(1,COUNTIF('93_TARGET_MEMBERSHIP'!AD$5:AD$27,-1))))</f>
        <v/>
      </c>
      <c r="L33" s="34">
        <f>IF($B33="ABSOLUTE SEMANTIC",ABS('06_ITEM_POLE_MODEL'!U33),ABS('06_ITEM_POLE_MODEL'!U33)*ABS(SUMPRODUCT(--('93_TARGET_MEMBERSHIP'!AD$5:AD$27=1),'05_FEATURE_MODEL'!M$5:M$27)/MAX(1,COUNTIF('93_TARGET_MEMBERSHIP'!AD$5:AD$27,1))-SUMPRODUCT(--('93_TARGET_MEMBERSHIP'!AD$5:AD$27=-1),'05_FEATURE_MODEL'!M$5:M$27)/MAX(1,COUNTIF('93_TARGET_MEMBERSHIP'!AD$5:AD$27,-1))))</f>
        <v/>
      </c>
      <c r="M33" s="34">
        <f>IF($B33="ABSOLUTE SEMANTIC",ABS('06_ITEM_POLE_MODEL'!V33),ABS('06_ITEM_POLE_MODEL'!V33)*ABS(SUMPRODUCT(--('93_TARGET_MEMBERSHIP'!AD$5:AD$27=1),'05_FEATURE_MODEL'!N$5:N$27)/MAX(1,COUNTIF('93_TARGET_MEMBERSHIP'!AD$5:AD$27,1))-SUMPRODUCT(--('93_TARGET_MEMBERSHIP'!AD$5:AD$27=-1),'05_FEATURE_MODEL'!N$5:N$27)/MAX(1,COUNTIF('93_TARGET_MEMBERSHIP'!AD$5:AD$27,-1))))</f>
        <v/>
      </c>
      <c r="N33" s="34">
        <f>IF($B33="ABSOLUTE SEMANTIC",ABS('06_ITEM_POLE_MODEL'!W33),ABS('06_ITEM_POLE_MODEL'!W33)*ABS(SUMPRODUCT(--('93_TARGET_MEMBERSHIP'!AD$5:AD$27=1),'05_FEATURE_MODEL'!O$5:O$27)/MAX(1,COUNTIF('93_TARGET_MEMBERSHIP'!AD$5:AD$27,1))-SUMPRODUCT(--('93_TARGET_MEMBERSHIP'!AD$5:AD$27=-1),'05_FEATURE_MODEL'!O$5:O$27)/MAX(1,COUNTIF('93_TARGET_MEMBERSHIP'!AD$5:AD$27,-1))))</f>
        <v/>
      </c>
      <c r="O33" s="34">
        <f>IF($B33="ABSOLUTE SEMANTIC",ABS('06_ITEM_POLE_MODEL'!X33),ABS('06_ITEM_POLE_MODEL'!X33)*ABS(SUMPRODUCT(--('93_TARGET_MEMBERSHIP'!AD$5:AD$27=1),'05_FEATURE_MODEL'!P$5:P$27)/MAX(1,COUNTIF('93_TARGET_MEMBERSHIP'!AD$5:AD$27,1))-SUMPRODUCT(--('93_TARGET_MEMBERSHIP'!AD$5:AD$27=-1),'05_FEATURE_MODEL'!P$5:P$27)/MAX(1,COUNTIF('93_TARGET_MEMBERSHIP'!AD$5:AD$27,-1))))</f>
        <v/>
      </c>
      <c r="P33" s="34">
        <f>IF($B33="ABSOLUTE SEMANTIC",ABS('06_ITEM_POLE_MODEL'!Y33),ABS('06_ITEM_POLE_MODEL'!Y33)*ABS(SUMPRODUCT(--('93_TARGET_MEMBERSHIP'!AD$5:AD$27=1),'05_FEATURE_MODEL'!Q$5:Q$27)/MAX(1,COUNTIF('93_TARGET_MEMBERSHIP'!AD$5:AD$27,1))-SUMPRODUCT(--('93_TARGET_MEMBERSHIP'!AD$5:AD$27=-1),'05_FEATURE_MODEL'!Q$5:Q$27)/MAX(1,COUNTIF('93_TARGET_MEMBERSHIP'!AD$5:AD$27,-1))))</f>
        <v/>
      </c>
      <c r="Q33" s="34">
        <f>IF($B33="ABSOLUTE SEMANTIC",ABS('06_ITEM_POLE_MODEL'!Z33),ABS('06_ITEM_POLE_MODEL'!Z33)*ABS(SUMPRODUCT(--('93_TARGET_MEMBERSHIP'!AD$5:AD$27=1),'05_FEATURE_MODEL'!R$5:R$27)/MAX(1,COUNTIF('93_TARGET_MEMBERSHIP'!AD$5:AD$27,1))-SUMPRODUCT(--('93_TARGET_MEMBERSHIP'!AD$5:AD$27=-1),'05_FEATURE_MODEL'!R$5:R$27)/MAX(1,COUNTIF('93_TARGET_MEMBERSHIP'!AD$5:AD$27,-1))))</f>
        <v/>
      </c>
      <c r="R33" s="34">
        <f>IF($B33="ABSOLUTE SEMANTIC",ABS('06_ITEM_POLE_MODEL'!AA33),ABS('06_ITEM_POLE_MODEL'!AA33)*ABS(SUMPRODUCT(--('93_TARGET_MEMBERSHIP'!AD$5:AD$27=1),'05_FEATURE_MODEL'!S$5:S$27)/MAX(1,COUNTIF('93_TARGET_MEMBERSHIP'!AD$5:AD$27,1))-SUMPRODUCT(--('93_TARGET_MEMBERSHIP'!AD$5:AD$27=-1),'05_FEATURE_MODEL'!S$5:S$27)/MAX(1,COUNTIF('93_TARGET_MEMBERSHIP'!AD$5:AD$27,-1))))</f>
        <v/>
      </c>
      <c r="S33" s="34">
        <f>IF($B33="ABSOLUTE SEMANTIC",ABS('06_ITEM_POLE_MODEL'!AB33),ABS('06_ITEM_POLE_MODEL'!AB33)*ABS(SUMPRODUCT(--('93_TARGET_MEMBERSHIP'!AD$5:AD$27=1),'05_FEATURE_MODEL'!T$5:T$27)/MAX(1,COUNTIF('93_TARGET_MEMBERSHIP'!AD$5:AD$27,1))-SUMPRODUCT(--('93_TARGET_MEMBERSHIP'!AD$5:AD$27=-1),'05_FEATURE_MODEL'!T$5:T$27)/MAX(1,COUNTIF('93_TARGET_MEMBERSHIP'!AD$5:AD$27,-1))))</f>
        <v/>
      </c>
      <c r="T33" s="34">
        <f>IF($B33="ABSOLUTE SEMANTIC",ABS('06_ITEM_POLE_MODEL'!AC33),ABS('06_ITEM_POLE_MODEL'!AC33)*ABS(SUMPRODUCT(--('93_TARGET_MEMBERSHIP'!AD$5:AD$27=1),'05_FEATURE_MODEL'!U$5:U$27)/MAX(1,COUNTIF('93_TARGET_MEMBERSHIP'!AD$5:AD$27,1))-SUMPRODUCT(--('93_TARGET_MEMBERSHIP'!AD$5:AD$27=-1),'05_FEATURE_MODEL'!U$5:U$27)/MAX(1,COUNTIF('93_TARGET_MEMBERSHIP'!AD$5:AD$27,-1))))</f>
        <v/>
      </c>
      <c r="U33" s="34">
        <f>IF($B33="ABSOLUTE SEMANTIC",ABS('06_ITEM_POLE_MODEL'!AD33),ABS('06_ITEM_POLE_MODEL'!AD33)*ABS(SUMPRODUCT(--('93_TARGET_MEMBERSHIP'!AD$5:AD$27=1),'05_FEATURE_MODEL'!V$5:V$27)/MAX(1,COUNTIF('93_TARGET_MEMBERSHIP'!AD$5:AD$27,1))-SUMPRODUCT(--('93_TARGET_MEMBERSHIP'!AD$5:AD$27=-1),'05_FEATURE_MODEL'!V$5:V$27)/MAX(1,COUNTIF('93_TARGET_MEMBERSHIP'!AD$5:AD$27,-1))))</f>
        <v/>
      </c>
      <c r="V33" s="34">
        <f>IF($B33="ABSOLUTE SEMANTIC",ABS('06_ITEM_POLE_MODEL'!AE33),ABS('06_ITEM_POLE_MODEL'!AE33)*ABS(SUMPRODUCT(--('93_TARGET_MEMBERSHIP'!AD$5:AD$27=1),'05_FEATURE_MODEL'!W$5:W$27)/MAX(1,COUNTIF('93_TARGET_MEMBERSHIP'!AD$5:AD$27,1))-SUMPRODUCT(--('93_TARGET_MEMBERSHIP'!AD$5:AD$27=-1),'05_FEATURE_MODEL'!W$5:W$27)/MAX(1,COUNTIF('93_TARGET_MEMBERSHIP'!AD$5:AD$27,-1))))</f>
        <v/>
      </c>
      <c r="W33" s="34">
        <f>IF($B33="ABSOLUTE SEMANTIC",ABS('06_ITEM_POLE_MODEL'!AF33),ABS('06_ITEM_POLE_MODEL'!AF33)*ABS(SUMPRODUCT(--('93_TARGET_MEMBERSHIP'!AD$5:AD$27=1),'05_FEATURE_MODEL'!X$5:X$27)/MAX(1,COUNTIF('93_TARGET_MEMBERSHIP'!AD$5:AD$27,1))-SUMPRODUCT(--('93_TARGET_MEMBERSHIP'!AD$5:AD$27=-1),'05_FEATURE_MODEL'!X$5:X$27)/MAX(1,COUNTIF('93_TARGET_MEMBERSHIP'!AD$5:AD$27,-1))))</f>
        <v/>
      </c>
      <c r="X33" s="34">
        <f>IF($B33="ABSOLUTE SEMANTIC",ABS('06_ITEM_POLE_MODEL'!AG33),ABS('06_ITEM_POLE_MODEL'!AG33)*ABS(SUMPRODUCT(--('93_TARGET_MEMBERSHIP'!AD$5:AD$27=1),'05_FEATURE_MODEL'!Y$5:Y$27)/MAX(1,COUNTIF('93_TARGET_MEMBERSHIP'!AD$5:AD$27,1))-SUMPRODUCT(--('93_TARGET_MEMBERSHIP'!AD$5:AD$27=-1),'05_FEATURE_MODEL'!Y$5:Y$27)/MAX(1,COUNTIF('93_TARGET_MEMBERSHIP'!AD$5:AD$27,-1))))</f>
        <v/>
      </c>
      <c r="Y33" s="34">
        <f>IF($B33="ABSOLUTE SEMANTIC",ABS('06_ITEM_POLE_MODEL'!AH33),ABS('06_ITEM_POLE_MODEL'!AH33)*ABS(SUMPRODUCT(--('93_TARGET_MEMBERSHIP'!AD$5:AD$27=1),'05_FEATURE_MODEL'!Z$5:Z$27)/MAX(1,COUNTIF('93_TARGET_MEMBERSHIP'!AD$5:AD$27,1))-SUMPRODUCT(--('93_TARGET_MEMBERSHIP'!AD$5:AD$27=-1),'05_FEATURE_MODEL'!Z$5:Z$27)/MAX(1,COUNTIF('93_TARGET_MEMBERSHIP'!AD$5:AD$27,-1))))</f>
        <v/>
      </c>
      <c r="Z33" s="34">
        <f>IF($B33="ABSOLUTE SEMANTIC",ABS('06_ITEM_POLE_MODEL'!AI33),ABS('06_ITEM_POLE_MODEL'!AI33)*ABS(SUMPRODUCT(--('93_TARGET_MEMBERSHIP'!AD$5:AD$27=1),'05_FEATURE_MODEL'!AA$5:AA$27)/MAX(1,COUNTIF('93_TARGET_MEMBERSHIP'!AD$5:AD$27,1))-SUMPRODUCT(--('93_TARGET_MEMBERSHIP'!AD$5:AD$27=-1),'05_FEATURE_MODEL'!AA$5:AA$27)/MAX(1,COUNTIF('93_TARGET_MEMBERSHIP'!AD$5:AD$27,-1))))</f>
        <v/>
      </c>
      <c r="AA33" s="34">
        <f>IF($B33="ABSOLUTE SEMANTIC",ABS('06_ITEM_POLE_MODEL'!AJ33),ABS('06_ITEM_POLE_MODEL'!AJ33)*ABS(SUMPRODUCT(--('93_TARGET_MEMBERSHIP'!AD$5:AD$27=1),'05_FEATURE_MODEL'!AB$5:AB$27)/MAX(1,COUNTIF('93_TARGET_MEMBERSHIP'!AD$5:AD$27,1))-SUMPRODUCT(--('93_TARGET_MEMBERSHIP'!AD$5:AD$27=-1),'05_FEATURE_MODEL'!AB$5:AB$27)/MAX(1,COUNTIF('93_TARGET_MEMBERSHIP'!AD$5:AD$27,-1))))</f>
        <v/>
      </c>
      <c r="AB33" s="34">
        <f>IF($B33="ABSOLUTE SEMANTIC",ABS('06_ITEM_POLE_MODEL'!AK33),ABS('06_ITEM_POLE_MODEL'!AK33)*ABS(SUMPRODUCT(--('93_TARGET_MEMBERSHIP'!AD$5:AD$27=1),'05_FEATURE_MODEL'!AC$5:AC$27)/MAX(1,COUNTIF('93_TARGET_MEMBERSHIP'!AD$5:AD$27,1))-SUMPRODUCT(--('93_TARGET_MEMBERSHIP'!AD$5:AD$27=-1),'05_FEATURE_MODEL'!AC$5:AC$27)/MAX(1,COUNTIF('93_TARGET_MEMBERSHIP'!AD$5:AD$27,-1))))</f>
        <v/>
      </c>
      <c r="AC33" s="34">
        <f>IF($B33="ABSOLUTE SEMANTIC",ABS('06_ITEM_POLE_MODEL'!AL33),ABS('06_ITEM_POLE_MODEL'!AL33)*ABS(SUMPRODUCT(--('93_TARGET_MEMBERSHIP'!AD$5:AD$27=1),'05_FEATURE_MODEL'!AD$5:AD$27)/MAX(1,COUNTIF('93_TARGET_MEMBERSHIP'!AD$5:AD$27,1))-SUMPRODUCT(--('93_TARGET_MEMBERSHIP'!AD$5:AD$27=-1),'05_FEATURE_MODEL'!AD$5:AD$27)/MAX(1,COUNTIF('93_TARGET_MEMBERSHIP'!AD$5:AD$27,-1))))</f>
        <v/>
      </c>
      <c r="AD33" s="34">
        <f>IF($B33="ABSOLUTE SEMANTIC",ABS('06_ITEM_POLE_MODEL'!AM33),ABS('06_ITEM_POLE_MODEL'!AM33)*ABS(SUMPRODUCT(--('93_TARGET_MEMBERSHIP'!AD$5:AD$27=1),'05_FEATURE_MODEL'!AE$5:AE$27)/MAX(1,COUNTIF('93_TARGET_MEMBERSHIP'!AD$5:AD$27,1))-SUMPRODUCT(--('93_TARGET_MEMBERSHIP'!AD$5:AD$27=-1),'05_FEATURE_MODEL'!AE$5:AE$27)/MAX(1,COUNTIF('93_TARGET_MEMBERSHIP'!AD$5:AD$27,-1))))</f>
        <v/>
      </c>
      <c r="AE33" s="34">
        <f>IF($B33="ABSOLUTE SEMANTIC",ABS('06_ITEM_POLE_MODEL'!AN33),ABS('06_ITEM_POLE_MODEL'!AN33)*ABS(SUMPRODUCT(--('93_TARGET_MEMBERSHIP'!AD$5:AD$27=1),'05_FEATURE_MODEL'!AF$5:AF$27)/MAX(1,COUNTIF('93_TARGET_MEMBERSHIP'!AD$5:AD$27,1))-SUMPRODUCT(--('93_TARGET_MEMBERSHIP'!AD$5:AD$27=-1),'05_FEATURE_MODEL'!AF$5:AF$27)/MAX(1,COUNTIF('93_TARGET_MEMBERSHIP'!AD$5:AD$27,-1))))</f>
        <v/>
      </c>
      <c r="AF33" s="34">
        <f>IF($B33="ABSOLUTE SEMANTIC",ABS('06_ITEM_POLE_MODEL'!AO33),ABS('06_ITEM_POLE_MODEL'!AO33)*ABS(SUMPRODUCT(--('93_TARGET_MEMBERSHIP'!AD$5:AD$27=1),'05_FEATURE_MODEL'!AG$5:AG$27)/MAX(1,COUNTIF('93_TARGET_MEMBERSHIP'!AD$5:AD$27,1))-SUMPRODUCT(--('93_TARGET_MEMBERSHIP'!AD$5:AD$27=-1),'05_FEATURE_MODEL'!AG$5:AG$27)/MAX(1,COUNTIF('93_TARGET_MEMBERSHIP'!AD$5:AD$27,-1))))</f>
        <v/>
      </c>
      <c r="AG33" s="34">
        <f>IF($B33="ABSOLUTE SEMANTIC",ABS('06_ITEM_POLE_MODEL'!AP33),ABS('06_ITEM_POLE_MODEL'!AP33)*ABS(SUMPRODUCT(--('93_TARGET_MEMBERSHIP'!AD$5:AD$27=1),'05_FEATURE_MODEL'!AH$5:AH$27)/MAX(1,COUNTIF('93_TARGET_MEMBERSHIP'!AD$5:AD$27,1))-SUMPRODUCT(--('93_TARGET_MEMBERSHIP'!AD$5:AD$27=-1),'05_FEATURE_MODEL'!AH$5:AH$27)/MAX(1,COUNTIF('93_TARGET_MEMBERSHIP'!AD$5:AD$27,-1))))</f>
        <v/>
      </c>
      <c r="AH33" s="34">
        <f>IF($B33="ABSOLUTE SEMANTIC",ABS('06_ITEM_POLE_MODEL'!AQ33),ABS('06_ITEM_POLE_MODEL'!AQ33)*ABS(SUMPRODUCT(--('93_TARGET_MEMBERSHIP'!AD$5:AD$27=1),'05_FEATURE_MODEL'!AI$5:AI$27)/MAX(1,COUNTIF('93_TARGET_MEMBERSHIP'!AD$5:AD$27,1))-SUMPRODUCT(--('93_TARGET_MEMBERSHIP'!AD$5:AD$27=-1),'05_FEATURE_MODEL'!AI$5:AI$27)/MAX(1,COUNTIF('93_TARGET_MEMBERSHIP'!AD$5:AD$27,-1))))</f>
        <v/>
      </c>
      <c r="AI33" s="34">
        <f>IF($B33="ABSOLUTE SEMANTIC",ABS('06_ITEM_POLE_MODEL'!AR33),ABS('06_ITEM_POLE_MODEL'!AR33)*ABS(SUMPRODUCT(--('93_TARGET_MEMBERSHIP'!AD$5:AD$27=1),'05_FEATURE_MODEL'!AJ$5:AJ$27)/MAX(1,COUNTIF('93_TARGET_MEMBERSHIP'!AD$5:AD$27,1))-SUMPRODUCT(--('93_TARGET_MEMBERSHIP'!AD$5:AD$27=-1),'05_FEATURE_MODEL'!AJ$5:AJ$27)/MAX(1,COUNTIF('93_TARGET_MEMBERSHIP'!AD$5:AD$27,-1))))</f>
        <v/>
      </c>
      <c r="AJ33" s="34">
        <f>IF($B33="ABSOLUTE SEMANTIC",ABS('06_ITEM_POLE_MODEL'!AS33),ABS('06_ITEM_POLE_MODEL'!AS33)*ABS(SUMPRODUCT(--('93_TARGET_MEMBERSHIP'!AD$5:AD$27=1),'05_FEATURE_MODEL'!AK$5:AK$27)/MAX(1,COUNTIF('93_TARGET_MEMBERSHIP'!AD$5:AD$27,1))-SUMPRODUCT(--('93_TARGET_MEMBERSHIP'!AD$5:AD$27=-1),'05_FEATURE_MODEL'!AK$5:AK$27)/MAX(1,COUNTIF('93_TARGET_MEMBERSHIP'!AD$5:AD$27,-1))))</f>
        <v/>
      </c>
      <c r="AK33" s="34">
        <f>IF($B33="ABSOLUTE SEMANTIC",ABS('06_ITEM_POLE_MODEL'!AT33),ABS('06_ITEM_POLE_MODEL'!AT33)*ABS(SUMPRODUCT(--('93_TARGET_MEMBERSHIP'!AD$5:AD$27=1),'05_FEATURE_MODEL'!AL$5:AL$27)/MAX(1,COUNTIF('93_TARGET_MEMBERSHIP'!AD$5:AD$27,1))-SUMPRODUCT(--('93_TARGET_MEMBERSHIP'!AD$5:AD$27=-1),'05_FEATURE_MODEL'!AL$5:AL$27)/MAX(1,COUNTIF('93_TARGET_MEMBERSHIP'!AD$5:AD$27,-1))))</f>
        <v/>
      </c>
      <c r="AL33" s="34">
        <f>IF($B33="ABSOLUTE SEMANTIC",ABS('06_ITEM_POLE_MODEL'!AU33),ABS('06_ITEM_POLE_MODEL'!AU33)*ABS(SUMPRODUCT(--('93_TARGET_MEMBERSHIP'!AD$5:AD$27=1),'05_FEATURE_MODEL'!AM$5:AM$27)/MAX(1,COUNTIF('93_TARGET_MEMBERSHIP'!AD$5:AD$27,1))-SUMPRODUCT(--('93_TARGET_MEMBERSHIP'!AD$5:AD$27=-1),'05_FEATURE_MODEL'!AM$5:AM$27)/MAX(1,COUNTIF('93_TARGET_MEMBERSHIP'!AD$5:AD$27,-1))))</f>
        <v/>
      </c>
      <c r="AM33" s="34">
        <f>IF($B33="ABSOLUTE SEMANTIC",ABS('06_ITEM_POLE_MODEL'!AV33),ABS('06_ITEM_POLE_MODEL'!AV33)*ABS(SUMPRODUCT(--('93_TARGET_MEMBERSHIP'!AD$5:AD$27=1),'05_FEATURE_MODEL'!AN$5:AN$27)/MAX(1,COUNTIF('93_TARGET_MEMBERSHIP'!AD$5:AD$27,1))-SUMPRODUCT(--('93_TARGET_MEMBERSHIP'!AD$5:AD$27=-1),'05_FEATURE_MODEL'!AN$5:AN$27)/MAX(1,COUNTIF('93_TARGET_MEMBERSHIP'!AD$5:AD$27,-1))))</f>
        <v/>
      </c>
      <c r="AN33" s="34">
        <f>IF($B33="ABSOLUTE SEMANTIC",ABS('06_ITEM_POLE_MODEL'!AW33),ABS('06_ITEM_POLE_MODEL'!AW33)*ABS(SUMPRODUCT(--('93_TARGET_MEMBERSHIP'!AD$5:AD$27=1),'05_FEATURE_MODEL'!AO$5:AO$27)/MAX(1,COUNTIF('93_TARGET_MEMBERSHIP'!AD$5:AD$27,1))-SUMPRODUCT(--('93_TARGET_MEMBERSHIP'!AD$5:AD$27=-1),'05_FEATURE_MODEL'!AO$5:AO$27)/MAX(1,COUNTIF('93_TARGET_MEMBERSHIP'!AD$5:AD$27,-1))))</f>
        <v/>
      </c>
      <c r="AO33" s="34">
        <f>IF($B33="ABSOLUTE SEMANTIC",ABS('06_ITEM_POLE_MODEL'!AX33),ABS('06_ITEM_POLE_MODEL'!AX33)*ABS(SUMPRODUCT(--('93_TARGET_MEMBERSHIP'!AD$5:AD$27=1),'05_FEATURE_MODEL'!AP$5:AP$27)/MAX(1,COUNTIF('93_TARGET_MEMBERSHIP'!AD$5:AD$27,1))-SUMPRODUCT(--('93_TARGET_MEMBERSHIP'!AD$5:AD$27=-1),'05_FEATURE_MODEL'!AP$5:AP$27)/MAX(1,COUNTIF('93_TARGET_MEMBERSHIP'!AD$5:AD$27,-1))))</f>
        <v/>
      </c>
      <c r="AP33" s="34">
        <f>IF($B33="ABSOLUTE SEMANTIC",ABS('06_ITEM_POLE_MODEL'!AY33),ABS('06_ITEM_POLE_MODEL'!AY33)*ABS(SUMPRODUCT(--('93_TARGET_MEMBERSHIP'!AD$5:AD$27=1),'05_FEATURE_MODEL'!AQ$5:AQ$27)/MAX(1,COUNTIF('93_TARGET_MEMBERSHIP'!AD$5:AD$27,1))-SUMPRODUCT(--('93_TARGET_MEMBERSHIP'!AD$5:AD$27=-1),'05_FEATURE_MODEL'!AQ$5:AQ$27)/MAX(1,COUNTIF('93_TARGET_MEMBERSHIP'!AD$5:AD$27,-1))))</f>
        <v/>
      </c>
      <c r="AQ33" s="34">
        <f>IF($B33="ABSOLUTE SEMANTIC",ABS('06_ITEM_POLE_MODEL'!AZ33),ABS('06_ITEM_POLE_MODEL'!AZ33)*ABS(SUMPRODUCT(--('93_TARGET_MEMBERSHIP'!AD$5:AD$27=1),'05_FEATURE_MODEL'!AR$5:AR$27)/MAX(1,COUNTIF('93_TARGET_MEMBERSHIP'!AD$5:AD$27,1))-SUMPRODUCT(--('93_TARGET_MEMBERSHIP'!AD$5:AD$27=-1),'05_FEATURE_MODEL'!AR$5:AR$27)/MAX(1,COUNTIF('93_TARGET_MEMBERSHIP'!AD$5:AD$27,-1))))</f>
        <v/>
      </c>
    </row>
    <row r="34" ht="36" customHeight="1">
      <c r="A34" s="34">
        <f>'06_ITEM_POLE_MODEL'!A34</f>
        <v/>
      </c>
      <c r="B34" s="34">
        <f>'06_ITEM_POLE_MODEL'!E34</f>
        <v/>
      </c>
      <c r="C34" s="34">
        <f>IF($B34="ABSOLUTE SEMANTIC",ABS('06_ITEM_POLE_MODEL'!L34),ABS('06_ITEM_POLE_MODEL'!L34)*ABS(SUMPRODUCT(--('93_TARGET_MEMBERSHIP'!AE$5:AE$27=1),'05_FEATURE_MODEL'!D$5:D$27)/MAX(1,COUNTIF('93_TARGET_MEMBERSHIP'!AE$5:AE$27,1))-SUMPRODUCT(--('93_TARGET_MEMBERSHIP'!AE$5:AE$27=-1),'05_FEATURE_MODEL'!D$5:D$27)/MAX(1,COUNTIF('93_TARGET_MEMBERSHIP'!AE$5:AE$27,-1))))</f>
        <v/>
      </c>
      <c r="D34" s="34">
        <f>IF($B34="ABSOLUTE SEMANTIC",ABS('06_ITEM_POLE_MODEL'!M34),ABS('06_ITEM_POLE_MODEL'!M34)*ABS(SUMPRODUCT(--('93_TARGET_MEMBERSHIP'!AE$5:AE$27=1),'05_FEATURE_MODEL'!E$5:E$27)/MAX(1,COUNTIF('93_TARGET_MEMBERSHIP'!AE$5:AE$27,1))-SUMPRODUCT(--('93_TARGET_MEMBERSHIP'!AE$5:AE$27=-1),'05_FEATURE_MODEL'!E$5:E$27)/MAX(1,COUNTIF('93_TARGET_MEMBERSHIP'!AE$5:AE$27,-1))))</f>
        <v/>
      </c>
      <c r="E34" s="34">
        <f>IF($B34="ABSOLUTE SEMANTIC",ABS('06_ITEM_POLE_MODEL'!N34),ABS('06_ITEM_POLE_MODEL'!N34)*ABS(SUMPRODUCT(--('93_TARGET_MEMBERSHIP'!AE$5:AE$27=1),'05_FEATURE_MODEL'!F$5:F$27)/MAX(1,COUNTIF('93_TARGET_MEMBERSHIP'!AE$5:AE$27,1))-SUMPRODUCT(--('93_TARGET_MEMBERSHIP'!AE$5:AE$27=-1),'05_FEATURE_MODEL'!F$5:F$27)/MAX(1,COUNTIF('93_TARGET_MEMBERSHIP'!AE$5:AE$27,-1))))</f>
        <v/>
      </c>
      <c r="F34" s="34">
        <f>IF($B34="ABSOLUTE SEMANTIC",ABS('06_ITEM_POLE_MODEL'!O34),ABS('06_ITEM_POLE_MODEL'!O34)*ABS(SUMPRODUCT(--('93_TARGET_MEMBERSHIP'!AE$5:AE$27=1),'05_FEATURE_MODEL'!G$5:G$27)/MAX(1,COUNTIF('93_TARGET_MEMBERSHIP'!AE$5:AE$27,1))-SUMPRODUCT(--('93_TARGET_MEMBERSHIP'!AE$5:AE$27=-1),'05_FEATURE_MODEL'!G$5:G$27)/MAX(1,COUNTIF('93_TARGET_MEMBERSHIP'!AE$5:AE$27,-1))))</f>
        <v/>
      </c>
      <c r="G34" s="34">
        <f>IF($B34="ABSOLUTE SEMANTIC",ABS('06_ITEM_POLE_MODEL'!P34),ABS('06_ITEM_POLE_MODEL'!P34)*ABS(SUMPRODUCT(--('93_TARGET_MEMBERSHIP'!AE$5:AE$27=1),'05_FEATURE_MODEL'!H$5:H$27)/MAX(1,COUNTIF('93_TARGET_MEMBERSHIP'!AE$5:AE$27,1))-SUMPRODUCT(--('93_TARGET_MEMBERSHIP'!AE$5:AE$27=-1),'05_FEATURE_MODEL'!H$5:H$27)/MAX(1,COUNTIF('93_TARGET_MEMBERSHIP'!AE$5:AE$27,-1))))</f>
        <v/>
      </c>
      <c r="H34" s="34">
        <f>IF($B34="ABSOLUTE SEMANTIC",ABS('06_ITEM_POLE_MODEL'!Q34),ABS('06_ITEM_POLE_MODEL'!Q34)*ABS(SUMPRODUCT(--('93_TARGET_MEMBERSHIP'!AE$5:AE$27=1),'05_FEATURE_MODEL'!I$5:I$27)/MAX(1,COUNTIF('93_TARGET_MEMBERSHIP'!AE$5:AE$27,1))-SUMPRODUCT(--('93_TARGET_MEMBERSHIP'!AE$5:AE$27=-1),'05_FEATURE_MODEL'!I$5:I$27)/MAX(1,COUNTIF('93_TARGET_MEMBERSHIP'!AE$5:AE$27,-1))))</f>
        <v/>
      </c>
      <c r="I34" s="34">
        <f>IF($B34="ABSOLUTE SEMANTIC",ABS('06_ITEM_POLE_MODEL'!R34),ABS('06_ITEM_POLE_MODEL'!R34)*ABS(SUMPRODUCT(--('93_TARGET_MEMBERSHIP'!AE$5:AE$27=1),'05_FEATURE_MODEL'!J$5:J$27)/MAX(1,COUNTIF('93_TARGET_MEMBERSHIP'!AE$5:AE$27,1))-SUMPRODUCT(--('93_TARGET_MEMBERSHIP'!AE$5:AE$27=-1),'05_FEATURE_MODEL'!J$5:J$27)/MAX(1,COUNTIF('93_TARGET_MEMBERSHIP'!AE$5:AE$27,-1))))</f>
        <v/>
      </c>
      <c r="J34" s="34">
        <f>IF($B34="ABSOLUTE SEMANTIC",ABS('06_ITEM_POLE_MODEL'!S34),ABS('06_ITEM_POLE_MODEL'!S34)*ABS(SUMPRODUCT(--('93_TARGET_MEMBERSHIP'!AE$5:AE$27=1),'05_FEATURE_MODEL'!K$5:K$27)/MAX(1,COUNTIF('93_TARGET_MEMBERSHIP'!AE$5:AE$27,1))-SUMPRODUCT(--('93_TARGET_MEMBERSHIP'!AE$5:AE$27=-1),'05_FEATURE_MODEL'!K$5:K$27)/MAX(1,COUNTIF('93_TARGET_MEMBERSHIP'!AE$5:AE$27,-1))))</f>
        <v/>
      </c>
      <c r="K34" s="34">
        <f>IF($B34="ABSOLUTE SEMANTIC",ABS('06_ITEM_POLE_MODEL'!T34),ABS('06_ITEM_POLE_MODEL'!T34)*ABS(SUMPRODUCT(--('93_TARGET_MEMBERSHIP'!AE$5:AE$27=1),'05_FEATURE_MODEL'!L$5:L$27)/MAX(1,COUNTIF('93_TARGET_MEMBERSHIP'!AE$5:AE$27,1))-SUMPRODUCT(--('93_TARGET_MEMBERSHIP'!AE$5:AE$27=-1),'05_FEATURE_MODEL'!L$5:L$27)/MAX(1,COUNTIF('93_TARGET_MEMBERSHIP'!AE$5:AE$27,-1))))</f>
        <v/>
      </c>
      <c r="L34" s="34">
        <f>IF($B34="ABSOLUTE SEMANTIC",ABS('06_ITEM_POLE_MODEL'!U34),ABS('06_ITEM_POLE_MODEL'!U34)*ABS(SUMPRODUCT(--('93_TARGET_MEMBERSHIP'!AE$5:AE$27=1),'05_FEATURE_MODEL'!M$5:M$27)/MAX(1,COUNTIF('93_TARGET_MEMBERSHIP'!AE$5:AE$27,1))-SUMPRODUCT(--('93_TARGET_MEMBERSHIP'!AE$5:AE$27=-1),'05_FEATURE_MODEL'!M$5:M$27)/MAX(1,COUNTIF('93_TARGET_MEMBERSHIP'!AE$5:AE$27,-1))))</f>
        <v/>
      </c>
      <c r="M34" s="34">
        <f>IF($B34="ABSOLUTE SEMANTIC",ABS('06_ITEM_POLE_MODEL'!V34),ABS('06_ITEM_POLE_MODEL'!V34)*ABS(SUMPRODUCT(--('93_TARGET_MEMBERSHIP'!AE$5:AE$27=1),'05_FEATURE_MODEL'!N$5:N$27)/MAX(1,COUNTIF('93_TARGET_MEMBERSHIP'!AE$5:AE$27,1))-SUMPRODUCT(--('93_TARGET_MEMBERSHIP'!AE$5:AE$27=-1),'05_FEATURE_MODEL'!N$5:N$27)/MAX(1,COUNTIF('93_TARGET_MEMBERSHIP'!AE$5:AE$27,-1))))</f>
        <v/>
      </c>
      <c r="N34" s="34">
        <f>IF($B34="ABSOLUTE SEMANTIC",ABS('06_ITEM_POLE_MODEL'!W34),ABS('06_ITEM_POLE_MODEL'!W34)*ABS(SUMPRODUCT(--('93_TARGET_MEMBERSHIP'!AE$5:AE$27=1),'05_FEATURE_MODEL'!O$5:O$27)/MAX(1,COUNTIF('93_TARGET_MEMBERSHIP'!AE$5:AE$27,1))-SUMPRODUCT(--('93_TARGET_MEMBERSHIP'!AE$5:AE$27=-1),'05_FEATURE_MODEL'!O$5:O$27)/MAX(1,COUNTIF('93_TARGET_MEMBERSHIP'!AE$5:AE$27,-1))))</f>
        <v/>
      </c>
      <c r="O34" s="34">
        <f>IF($B34="ABSOLUTE SEMANTIC",ABS('06_ITEM_POLE_MODEL'!X34),ABS('06_ITEM_POLE_MODEL'!X34)*ABS(SUMPRODUCT(--('93_TARGET_MEMBERSHIP'!AE$5:AE$27=1),'05_FEATURE_MODEL'!P$5:P$27)/MAX(1,COUNTIF('93_TARGET_MEMBERSHIP'!AE$5:AE$27,1))-SUMPRODUCT(--('93_TARGET_MEMBERSHIP'!AE$5:AE$27=-1),'05_FEATURE_MODEL'!P$5:P$27)/MAX(1,COUNTIF('93_TARGET_MEMBERSHIP'!AE$5:AE$27,-1))))</f>
        <v/>
      </c>
      <c r="P34" s="34">
        <f>IF($B34="ABSOLUTE SEMANTIC",ABS('06_ITEM_POLE_MODEL'!Y34),ABS('06_ITEM_POLE_MODEL'!Y34)*ABS(SUMPRODUCT(--('93_TARGET_MEMBERSHIP'!AE$5:AE$27=1),'05_FEATURE_MODEL'!Q$5:Q$27)/MAX(1,COUNTIF('93_TARGET_MEMBERSHIP'!AE$5:AE$27,1))-SUMPRODUCT(--('93_TARGET_MEMBERSHIP'!AE$5:AE$27=-1),'05_FEATURE_MODEL'!Q$5:Q$27)/MAX(1,COUNTIF('93_TARGET_MEMBERSHIP'!AE$5:AE$27,-1))))</f>
        <v/>
      </c>
      <c r="Q34" s="34">
        <f>IF($B34="ABSOLUTE SEMANTIC",ABS('06_ITEM_POLE_MODEL'!Z34),ABS('06_ITEM_POLE_MODEL'!Z34)*ABS(SUMPRODUCT(--('93_TARGET_MEMBERSHIP'!AE$5:AE$27=1),'05_FEATURE_MODEL'!R$5:R$27)/MAX(1,COUNTIF('93_TARGET_MEMBERSHIP'!AE$5:AE$27,1))-SUMPRODUCT(--('93_TARGET_MEMBERSHIP'!AE$5:AE$27=-1),'05_FEATURE_MODEL'!R$5:R$27)/MAX(1,COUNTIF('93_TARGET_MEMBERSHIP'!AE$5:AE$27,-1))))</f>
        <v/>
      </c>
      <c r="R34" s="34">
        <f>IF($B34="ABSOLUTE SEMANTIC",ABS('06_ITEM_POLE_MODEL'!AA34),ABS('06_ITEM_POLE_MODEL'!AA34)*ABS(SUMPRODUCT(--('93_TARGET_MEMBERSHIP'!AE$5:AE$27=1),'05_FEATURE_MODEL'!S$5:S$27)/MAX(1,COUNTIF('93_TARGET_MEMBERSHIP'!AE$5:AE$27,1))-SUMPRODUCT(--('93_TARGET_MEMBERSHIP'!AE$5:AE$27=-1),'05_FEATURE_MODEL'!S$5:S$27)/MAX(1,COUNTIF('93_TARGET_MEMBERSHIP'!AE$5:AE$27,-1))))</f>
        <v/>
      </c>
      <c r="S34" s="34">
        <f>IF($B34="ABSOLUTE SEMANTIC",ABS('06_ITEM_POLE_MODEL'!AB34),ABS('06_ITEM_POLE_MODEL'!AB34)*ABS(SUMPRODUCT(--('93_TARGET_MEMBERSHIP'!AE$5:AE$27=1),'05_FEATURE_MODEL'!T$5:T$27)/MAX(1,COUNTIF('93_TARGET_MEMBERSHIP'!AE$5:AE$27,1))-SUMPRODUCT(--('93_TARGET_MEMBERSHIP'!AE$5:AE$27=-1),'05_FEATURE_MODEL'!T$5:T$27)/MAX(1,COUNTIF('93_TARGET_MEMBERSHIP'!AE$5:AE$27,-1))))</f>
        <v/>
      </c>
      <c r="T34" s="34">
        <f>IF($B34="ABSOLUTE SEMANTIC",ABS('06_ITEM_POLE_MODEL'!AC34),ABS('06_ITEM_POLE_MODEL'!AC34)*ABS(SUMPRODUCT(--('93_TARGET_MEMBERSHIP'!AE$5:AE$27=1),'05_FEATURE_MODEL'!U$5:U$27)/MAX(1,COUNTIF('93_TARGET_MEMBERSHIP'!AE$5:AE$27,1))-SUMPRODUCT(--('93_TARGET_MEMBERSHIP'!AE$5:AE$27=-1),'05_FEATURE_MODEL'!U$5:U$27)/MAX(1,COUNTIF('93_TARGET_MEMBERSHIP'!AE$5:AE$27,-1))))</f>
        <v/>
      </c>
      <c r="U34" s="34">
        <f>IF($B34="ABSOLUTE SEMANTIC",ABS('06_ITEM_POLE_MODEL'!AD34),ABS('06_ITEM_POLE_MODEL'!AD34)*ABS(SUMPRODUCT(--('93_TARGET_MEMBERSHIP'!AE$5:AE$27=1),'05_FEATURE_MODEL'!V$5:V$27)/MAX(1,COUNTIF('93_TARGET_MEMBERSHIP'!AE$5:AE$27,1))-SUMPRODUCT(--('93_TARGET_MEMBERSHIP'!AE$5:AE$27=-1),'05_FEATURE_MODEL'!V$5:V$27)/MAX(1,COUNTIF('93_TARGET_MEMBERSHIP'!AE$5:AE$27,-1))))</f>
        <v/>
      </c>
      <c r="V34" s="34">
        <f>IF($B34="ABSOLUTE SEMANTIC",ABS('06_ITEM_POLE_MODEL'!AE34),ABS('06_ITEM_POLE_MODEL'!AE34)*ABS(SUMPRODUCT(--('93_TARGET_MEMBERSHIP'!AE$5:AE$27=1),'05_FEATURE_MODEL'!W$5:W$27)/MAX(1,COUNTIF('93_TARGET_MEMBERSHIP'!AE$5:AE$27,1))-SUMPRODUCT(--('93_TARGET_MEMBERSHIP'!AE$5:AE$27=-1),'05_FEATURE_MODEL'!W$5:W$27)/MAX(1,COUNTIF('93_TARGET_MEMBERSHIP'!AE$5:AE$27,-1))))</f>
        <v/>
      </c>
      <c r="W34" s="34">
        <f>IF($B34="ABSOLUTE SEMANTIC",ABS('06_ITEM_POLE_MODEL'!AF34),ABS('06_ITEM_POLE_MODEL'!AF34)*ABS(SUMPRODUCT(--('93_TARGET_MEMBERSHIP'!AE$5:AE$27=1),'05_FEATURE_MODEL'!X$5:X$27)/MAX(1,COUNTIF('93_TARGET_MEMBERSHIP'!AE$5:AE$27,1))-SUMPRODUCT(--('93_TARGET_MEMBERSHIP'!AE$5:AE$27=-1),'05_FEATURE_MODEL'!X$5:X$27)/MAX(1,COUNTIF('93_TARGET_MEMBERSHIP'!AE$5:AE$27,-1))))</f>
        <v/>
      </c>
      <c r="X34" s="34">
        <f>IF($B34="ABSOLUTE SEMANTIC",ABS('06_ITEM_POLE_MODEL'!AG34),ABS('06_ITEM_POLE_MODEL'!AG34)*ABS(SUMPRODUCT(--('93_TARGET_MEMBERSHIP'!AE$5:AE$27=1),'05_FEATURE_MODEL'!Y$5:Y$27)/MAX(1,COUNTIF('93_TARGET_MEMBERSHIP'!AE$5:AE$27,1))-SUMPRODUCT(--('93_TARGET_MEMBERSHIP'!AE$5:AE$27=-1),'05_FEATURE_MODEL'!Y$5:Y$27)/MAX(1,COUNTIF('93_TARGET_MEMBERSHIP'!AE$5:AE$27,-1))))</f>
        <v/>
      </c>
      <c r="Y34" s="34">
        <f>IF($B34="ABSOLUTE SEMANTIC",ABS('06_ITEM_POLE_MODEL'!AH34),ABS('06_ITEM_POLE_MODEL'!AH34)*ABS(SUMPRODUCT(--('93_TARGET_MEMBERSHIP'!AE$5:AE$27=1),'05_FEATURE_MODEL'!Z$5:Z$27)/MAX(1,COUNTIF('93_TARGET_MEMBERSHIP'!AE$5:AE$27,1))-SUMPRODUCT(--('93_TARGET_MEMBERSHIP'!AE$5:AE$27=-1),'05_FEATURE_MODEL'!Z$5:Z$27)/MAX(1,COUNTIF('93_TARGET_MEMBERSHIP'!AE$5:AE$27,-1))))</f>
        <v/>
      </c>
      <c r="Z34" s="34">
        <f>IF($B34="ABSOLUTE SEMANTIC",ABS('06_ITEM_POLE_MODEL'!AI34),ABS('06_ITEM_POLE_MODEL'!AI34)*ABS(SUMPRODUCT(--('93_TARGET_MEMBERSHIP'!AE$5:AE$27=1),'05_FEATURE_MODEL'!AA$5:AA$27)/MAX(1,COUNTIF('93_TARGET_MEMBERSHIP'!AE$5:AE$27,1))-SUMPRODUCT(--('93_TARGET_MEMBERSHIP'!AE$5:AE$27=-1),'05_FEATURE_MODEL'!AA$5:AA$27)/MAX(1,COUNTIF('93_TARGET_MEMBERSHIP'!AE$5:AE$27,-1))))</f>
        <v/>
      </c>
      <c r="AA34" s="34">
        <f>IF($B34="ABSOLUTE SEMANTIC",ABS('06_ITEM_POLE_MODEL'!AJ34),ABS('06_ITEM_POLE_MODEL'!AJ34)*ABS(SUMPRODUCT(--('93_TARGET_MEMBERSHIP'!AE$5:AE$27=1),'05_FEATURE_MODEL'!AB$5:AB$27)/MAX(1,COUNTIF('93_TARGET_MEMBERSHIP'!AE$5:AE$27,1))-SUMPRODUCT(--('93_TARGET_MEMBERSHIP'!AE$5:AE$27=-1),'05_FEATURE_MODEL'!AB$5:AB$27)/MAX(1,COUNTIF('93_TARGET_MEMBERSHIP'!AE$5:AE$27,-1))))</f>
        <v/>
      </c>
      <c r="AB34" s="34">
        <f>IF($B34="ABSOLUTE SEMANTIC",ABS('06_ITEM_POLE_MODEL'!AK34),ABS('06_ITEM_POLE_MODEL'!AK34)*ABS(SUMPRODUCT(--('93_TARGET_MEMBERSHIP'!AE$5:AE$27=1),'05_FEATURE_MODEL'!AC$5:AC$27)/MAX(1,COUNTIF('93_TARGET_MEMBERSHIP'!AE$5:AE$27,1))-SUMPRODUCT(--('93_TARGET_MEMBERSHIP'!AE$5:AE$27=-1),'05_FEATURE_MODEL'!AC$5:AC$27)/MAX(1,COUNTIF('93_TARGET_MEMBERSHIP'!AE$5:AE$27,-1))))</f>
        <v/>
      </c>
      <c r="AC34" s="34">
        <f>IF($B34="ABSOLUTE SEMANTIC",ABS('06_ITEM_POLE_MODEL'!AL34),ABS('06_ITEM_POLE_MODEL'!AL34)*ABS(SUMPRODUCT(--('93_TARGET_MEMBERSHIP'!AE$5:AE$27=1),'05_FEATURE_MODEL'!AD$5:AD$27)/MAX(1,COUNTIF('93_TARGET_MEMBERSHIP'!AE$5:AE$27,1))-SUMPRODUCT(--('93_TARGET_MEMBERSHIP'!AE$5:AE$27=-1),'05_FEATURE_MODEL'!AD$5:AD$27)/MAX(1,COUNTIF('93_TARGET_MEMBERSHIP'!AE$5:AE$27,-1))))</f>
        <v/>
      </c>
      <c r="AD34" s="34">
        <f>IF($B34="ABSOLUTE SEMANTIC",ABS('06_ITEM_POLE_MODEL'!AM34),ABS('06_ITEM_POLE_MODEL'!AM34)*ABS(SUMPRODUCT(--('93_TARGET_MEMBERSHIP'!AE$5:AE$27=1),'05_FEATURE_MODEL'!AE$5:AE$27)/MAX(1,COUNTIF('93_TARGET_MEMBERSHIP'!AE$5:AE$27,1))-SUMPRODUCT(--('93_TARGET_MEMBERSHIP'!AE$5:AE$27=-1),'05_FEATURE_MODEL'!AE$5:AE$27)/MAX(1,COUNTIF('93_TARGET_MEMBERSHIP'!AE$5:AE$27,-1))))</f>
        <v/>
      </c>
      <c r="AE34" s="34">
        <f>IF($B34="ABSOLUTE SEMANTIC",ABS('06_ITEM_POLE_MODEL'!AN34),ABS('06_ITEM_POLE_MODEL'!AN34)*ABS(SUMPRODUCT(--('93_TARGET_MEMBERSHIP'!AE$5:AE$27=1),'05_FEATURE_MODEL'!AF$5:AF$27)/MAX(1,COUNTIF('93_TARGET_MEMBERSHIP'!AE$5:AE$27,1))-SUMPRODUCT(--('93_TARGET_MEMBERSHIP'!AE$5:AE$27=-1),'05_FEATURE_MODEL'!AF$5:AF$27)/MAX(1,COUNTIF('93_TARGET_MEMBERSHIP'!AE$5:AE$27,-1))))</f>
        <v/>
      </c>
      <c r="AF34" s="34">
        <f>IF($B34="ABSOLUTE SEMANTIC",ABS('06_ITEM_POLE_MODEL'!AO34),ABS('06_ITEM_POLE_MODEL'!AO34)*ABS(SUMPRODUCT(--('93_TARGET_MEMBERSHIP'!AE$5:AE$27=1),'05_FEATURE_MODEL'!AG$5:AG$27)/MAX(1,COUNTIF('93_TARGET_MEMBERSHIP'!AE$5:AE$27,1))-SUMPRODUCT(--('93_TARGET_MEMBERSHIP'!AE$5:AE$27=-1),'05_FEATURE_MODEL'!AG$5:AG$27)/MAX(1,COUNTIF('93_TARGET_MEMBERSHIP'!AE$5:AE$27,-1))))</f>
        <v/>
      </c>
      <c r="AG34" s="34">
        <f>IF($B34="ABSOLUTE SEMANTIC",ABS('06_ITEM_POLE_MODEL'!AP34),ABS('06_ITEM_POLE_MODEL'!AP34)*ABS(SUMPRODUCT(--('93_TARGET_MEMBERSHIP'!AE$5:AE$27=1),'05_FEATURE_MODEL'!AH$5:AH$27)/MAX(1,COUNTIF('93_TARGET_MEMBERSHIP'!AE$5:AE$27,1))-SUMPRODUCT(--('93_TARGET_MEMBERSHIP'!AE$5:AE$27=-1),'05_FEATURE_MODEL'!AH$5:AH$27)/MAX(1,COUNTIF('93_TARGET_MEMBERSHIP'!AE$5:AE$27,-1))))</f>
        <v/>
      </c>
      <c r="AH34" s="34">
        <f>IF($B34="ABSOLUTE SEMANTIC",ABS('06_ITEM_POLE_MODEL'!AQ34),ABS('06_ITEM_POLE_MODEL'!AQ34)*ABS(SUMPRODUCT(--('93_TARGET_MEMBERSHIP'!AE$5:AE$27=1),'05_FEATURE_MODEL'!AI$5:AI$27)/MAX(1,COUNTIF('93_TARGET_MEMBERSHIP'!AE$5:AE$27,1))-SUMPRODUCT(--('93_TARGET_MEMBERSHIP'!AE$5:AE$27=-1),'05_FEATURE_MODEL'!AI$5:AI$27)/MAX(1,COUNTIF('93_TARGET_MEMBERSHIP'!AE$5:AE$27,-1))))</f>
        <v/>
      </c>
      <c r="AI34" s="34">
        <f>IF($B34="ABSOLUTE SEMANTIC",ABS('06_ITEM_POLE_MODEL'!AR34),ABS('06_ITEM_POLE_MODEL'!AR34)*ABS(SUMPRODUCT(--('93_TARGET_MEMBERSHIP'!AE$5:AE$27=1),'05_FEATURE_MODEL'!AJ$5:AJ$27)/MAX(1,COUNTIF('93_TARGET_MEMBERSHIP'!AE$5:AE$27,1))-SUMPRODUCT(--('93_TARGET_MEMBERSHIP'!AE$5:AE$27=-1),'05_FEATURE_MODEL'!AJ$5:AJ$27)/MAX(1,COUNTIF('93_TARGET_MEMBERSHIP'!AE$5:AE$27,-1))))</f>
        <v/>
      </c>
      <c r="AJ34" s="34">
        <f>IF($B34="ABSOLUTE SEMANTIC",ABS('06_ITEM_POLE_MODEL'!AS34),ABS('06_ITEM_POLE_MODEL'!AS34)*ABS(SUMPRODUCT(--('93_TARGET_MEMBERSHIP'!AE$5:AE$27=1),'05_FEATURE_MODEL'!AK$5:AK$27)/MAX(1,COUNTIF('93_TARGET_MEMBERSHIP'!AE$5:AE$27,1))-SUMPRODUCT(--('93_TARGET_MEMBERSHIP'!AE$5:AE$27=-1),'05_FEATURE_MODEL'!AK$5:AK$27)/MAX(1,COUNTIF('93_TARGET_MEMBERSHIP'!AE$5:AE$27,-1))))</f>
        <v/>
      </c>
      <c r="AK34" s="34">
        <f>IF($B34="ABSOLUTE SEMANTIC",ABS('06_ITEM_POLE_MODEL'!AT34),ABS('06_ITEM_POLE_MODEL'!AT34)*ABS(SUMPRODUCT(--('93_TARGET_MEMBERSHIP'!AE$5:AE$27=1),'05_FEATURE_MODEL'!AL$5:AL$27)/MAX(1,COUNTIF('93_TARGET_MEMBERSHIP'!AE$5:AE$27,1))-SUMPRODUCT(--('93_TARGET_MEMBERSHIP'!AE$5:AE$27=-1),'05_FEATURE_MODEL'!AL$5:AL$27)/MAX(1,COUNTIF('93_TARGET_MEMBERSHIP'!AE$5:AE$27,-1))))</f>
        <v/>
      </c>
      <c r="AL34" s="34">
        <f>IF($B34="ABSOLUTE SEMANTIC",ABS('06_ITEM_POLE_MODEL'!AU34),ABS('06_ITEM_POLE_MODEL'!AU34)*ABS(SUMPRODUCT(--('93_TARGET_MEMBERSHIP'!AE$5:AE$27=1),'05_FEATURE_MODEL'!AM$5:AM$27)/MAX(1,COUNTIF('93_TARGET_MEMBERSHIP'!AE$5:AE$27,1))-SUMPRODUCT(--('93_TARGET_MEMBERSHIP'!AE$5:AE$27=-1),'05_FEATURE_MODEL'!AM$5:AM$27)/MAX(1,COUNTIF('93_TARGET_MEMBERSHIP'!AE$5:AE$27,-1))))</f>
        <v/>
      </c>
      <c r="AM34" s="34">
        <f>IF($B34="ABSOLUTE SEMANTIC",ABS('06_ITEM_POLE_MODEL'!AV34),ABS('06_ITEM_POLE_MODEL'!AV34)*ABS(SUMPRODUCT(--('93_TARGET_MEMBERSHIP'!AE$5:AE$27=1),'05_FEATURE_MODEL'!AN$5:AN$27)/MAX(1,COUNTIF('93_TARGET_MEMBERSHIP'!AE$5:AE$27,1))-SUMPRODUCT(--('93_TARGET_MEMBERSHIP'!AE$5:AE$27=-1),'05_FEATURE_MODEL'!AN$5:AN$27)/MAX(1,COUNTIF('93_TARGET_MEMBERSHIP'!AE$5:AE$27,-1))))</f>
        <v/>
      </c>
      <c r="AN34" s="34">
        <f>IF($B34="ABSOLUTE SEMANTIC",ABS('06_ITEM_POLE_MODEL'!AW34),ABS('06_ITEM_POLE_MODEL'!AW34)*ABS(SUMPRODUCT(--('93_TARGET_MEMBERSHIP'!AE$5:AE$27=1),'05_FEATURE_MODEL'!AO$5:AO$27)/MAX(1,COUNTIF('93_TARGET_MEMBERSHIP'!AE$5:AE$27,1))-SUMPRODUCT(--('93_TARGET_MEMBERSHIP'!AE$5:AE$27=-1),'05_FEATURE_MODEL'!AO$5:AO$27)/MAX(1,COUNTIF('93_TARGET_MEMBERSHIP'!AE$5:AE$27,-1))))</f>
        <v/>
      </c>
      <c r="AO34" s="34">
        <f>IF($B34="ABSOLUTE SEMANTIC",ABS('06_ITEM_POLE_MODEL'!AX34),ABS('06_ITEM_POLE_MODEL'!AX34)*ABS(SUMPRODUCT(--('93_TARGET_MEMBERSHIP'!AE$5:AE$27=1),'05_FEATURE_MODEL'!AP$5:AP$27)/MAX(1,COUNTIF('93_TARGET_MEMBERSHIP'!AE$5:AE$27,1))-SUMPRODUCT(--('93_TARGET_MEMBERSHIP'!AE$5:AE$27=-1),'05_FEATURE_MODEL'!AP$5:AP$27)/MAX(1,COUNTIF('93_TARGET_MEMBERSHIP'!AE$5:AE$27,-1))))</f>
        <v/>
      </c>
      <c r="AP34" s="34">
        <f>IF($B34="ABSOLUTE SEMANTIC",ABS('06_ITEM_POLE_MODEL'!AY34),ABS('06_ITEM_POLE_MODEL'!AY34)*ABS(SUMPRODUCT(--('93_TARGET_MEMBERSHIP'!AE$5:AE$27=1),'05_FEATURE_MODEL'!AQ$5:AQ$27)/MAX(1,COUNTIF('93_TARGET_MEMBERSHIP'!AE$5:AE$27,1))-SUMPRODUCT(--('93_TARGET_MEMBERSHIP'!AE$5:AE$27=-1),'05_FEATURE_MODEL'!AQ$5:AQ$27)/MAX(1,COUNTIF('93_TARGET_MEMBERSHIP'!AE$5:AE$27,-1))))</f>
        <v/>
      </c>
      <c r="AQ34" s="34">
        <f>IF($B34="ABSOLUTE SEMANTIC",ABS('06_ITEM_POLE_MODEL'!AZ34),ABS('06_ITEM_POLE_MODEL'!AZ34)*ABS(SUMPRODUCT(--('93_TARGET_MEMBERSHIP'!AE$5:AE$27=1),'05_FEATURE_MODEL'!AR$5:AR$27)/MAX(1,COUNTIF('93_TARGET_MEMBERSHIP'!AE$5:AE$27,1))-SUMPRODUCT(--('93_TARGET_MEMBERSHIP'!AE$5:AE$27=-1),'05_FEATURE_MODEL'!AR$5:AR$27)/MAX(1,COUNTIF('93_TARGET_MEMBERSHIP'!AE$5:AE$27,-1))))</f>
        <v/>
      </c>
    </row>
    <row r="35" ht="36" customHeight="1">
      <c r="A35" s="34">
        <f>'06_ITEM_POLE_MODEL'!A35</f>
        <v/>
      </c>
      <c r="B35" s="34">
        <f>'06_ITEM_POLE_MODEL'!E35</f>
        <v/>
      </c>
      <c r="C35" s="34">
        <f>IF($B35="ABSOLUTE SEMANTIC",ABS('06_ITEM_POLE_MODEL'!L35),ABS('06_ITEM_POLE_MODEL'!L35)*ABS(SUMPRODUCT(--('93_TARGET_MEMBERSHIP'!AF$5:AF$27=1),'05_FEATURE_MODEL'!D$5:D$27)/MAX(1,COUNTIF('93_TARGET_MEMBERSHIP'!AF$5:AF$27,1))-SUMPRODUCT(--('93_TARGET_MEMBERSHIP'!AF$5:AF$27=-1),'05_FEATURE_MODEL'!D$5:D$27)/MAX(1,COUNTIF('93_TARGET_MEMBERSHIP'!AF$5:AF$27,-1))))</f>
        <v/>
      </c>
      <c r="D35" s="34">
        <f>IF($B35="ABSOLUTE SEMANTIC",ABS('06_ITEM_POLE_MODEL'!M35),ABS('06_ITEM_POLE_MODEL'!M35)*ABS(SUMPRODUCT(--('93_TARGET_MEMBERSHIP'!AF$5:AF$27=1),'05_FEATURE_MODEL'!E$5:E$27)/MAX(1,COUNTIF('93_TARGET_MEMBERSHIP'!AF$5:AF$27,1))-SUMPRODUCT(--('93_TARGET_MEMBERSHIP'!AF$5:AF$27=-1),'05_FEATURE_MODEL'!E$5:E$27)/MAX(1,COUNTIF('93_TARGET_MEMBERSHIP'!AF$5:AF$27,-1))))</f>
        <v/>
      </c>
      <c r="E35" s="34">
        <f>IF($B35="ABSOLUTE SEMANTIC",ABS('06_ITEM_POLE_MODEL'!N35),ABS('06_ITEM_POLE_MODEL'!N35)*ABS(SUMPRODUCT(--('93_TARGET_MEMBERSHIP'!AF$5:AF$27=1),'05_FEATURE_MODEL'!F$5:F$27)/MAX(1,COUNTIF('93_TARGET_MEMBERSHIP'!AF$5:AF$27,1))-SUMPRODUCT(--('93_TARGET_MEMBERSHIP'!AF$5:AF$27=-1),'05_FEATURE_MODEL'!F$5:F$27)/MAX(1,COUNTIF('93_TARGET_MEMBERSHIP'!AF$5:AF$27,-1))))</f>
        <v/>
      </c>
      <c r="F35" s="34">
        <f>IF($B35="ABSOLUTE SEMANTIC",ABS('06_ITEM_POLE_MODEL'!O35),ABS('06_ITEM_POLE_MODEL'!O35)*ABS(SUMPRODUCT(--('93_TARGET_MEMBERSHIP'!AF$5:AF$27=1),'05_FEATURE_MODEL'!G$5:G$27)/MAX(1,COUNTIF('93_TARGET_MEMBERSHIP'!AF$5:AF$27,1))-SUMPRODUCT(--('93_TARGET_MEMBERSHIP'!AF$5:AF$27=-1),'05_FEATURE_MODEL'!G$5:G$27)/MAX(1,COUNTIF('93_TARGET_MEMBERSHIP'!AF$5:AF$27,-1))))</f>
        <v/>
      </c>
      <c r="G35" s="34">
        <f>IF($B35="ABSOLUTE SEMANTIC",ABS('06_ITEM_POLE_MODEL'!P35),ABS('06_ITEM_POLE_MODEL'!P35)*ABS(SUMPRODUCT(--('93_TARGET_MEMBERSHIP'!AF$5:AF$27=1),'05_FEATURE_MODEL'!H$5:H$27)/MAX(1,COUNTIF('93_TARGET_MEMBERSHIP'!AF$5:AF$27,1))-SUMPRODUCT(--('93_TARGET_MEMBERSHIP'!AF$5:AF$27=-1),'05_FEATURE_MODEL'!H$5:H$27)/MAX(1,COUNTIF('93_TARGET_MEMBERSHIP'!AF$5:AF$27,-1))))</f>
        <v/>
      </c>
      <c r="H35" s="34">
        <f>IF($B35="ABSOLUTE SEMANTIC",ABS('06_ITEM_POLE_MODEL'!Q35),ABS('06_ITEM_POLE_MODEL'!Q35)*ABS(SUMPRODUCT(--('93_TARGET_MEMBERSHIP'!AF$5:AF$27=1),'05_FEATURE_MODEL'!I$5:I$27)/MAX(1,COUNTIF('93_TARGET_MEMBERSHIP'!AF$5:AF$27,1))-SUMPRODUCT(--('93_TARGET_MEMBERSHIP'!AF$5:AF$27=-1),'05_FEATURE_MODEL'!I$5:I$27)/MAX(1,COUNTIF('93_TARGET_MEMBERSHIP'!AF$5:AF$27,-1))))</f>
        <v/>
      </c>
      <c r="I35" s="34">
        <f>IF($B35="ABSOLUTE SEMANTIC",ABS('06_ITEM_POLE_MODEL'!R35),ABS('06_ITEM_POLE_MODEL'!R35)*ABS(SUMPRODUCT(--('93_TARGET_MEMBERSHIP'!AF$5:AF$27=1),'05_FEATURE_MODEL'!J$5:J$27)/MAX(1,COUNTIF('93_TARGET_MEMBERSHIP'!AF$5:AF$27,1))-SUMPRODUCT(--('93_TARGET_MEMBERSHIP'!AF$5:AF$27=-1),'05_FEATURE_MODEL'!J$5:J$27)/MAX(1,COUNTIF('93_TARGET_MEMBERSHIP'!AF$5:AF$27,-1))))</f>
        <v/>
      </c>
      <c r="J35" s="34">
        <f>IF($B35="ABSOLUTE SEMANTIC",ABS('06_ITEM_POLE_MODEL'!S35),ABS('06_ITEM_POLE_MODEL'!S35)*ABS(SUMPRODUCT(--('93_TARGET_MEMBERSHIP'!AF$5:AF$27=1),'05_FEATURE_MODEL'!K$5:K$27)/MAX(1,COUNTIF('93_TARGET_MEMBERSHIP'!AF$5:AF$27,1))-SUMPRODUCT(--('93_TARGET_MEMBERSHIP'!AF$5:AF$27=-1),'05_FEATURE_MODEL'!K$5:K$27)/MAX(1,COUNTIF('93_TARGET_MEMBERSHIP'!AF$5:AF$27,-1))))</f>
        <v/>
      </c>
      <c r="K35" s="34">
        <f>IF($B35="ABSOLUTE SEMANTIC",ABS('06_ITEM_POLE_MODEL'!T35),ABS('06_ITEM_POLE_MODEL'!T35)*ABS(SUMPRODUCT(--('93_TARGET_MEMBERSHIP'!AF$5:AF$27=1),'05_FEATURE_MODEL'!L$5:L$27)/MAX(1,COUNTIF('93_TARGET_MEMBERSHIP'!AF$5:AF$27,1))-SUMPRODUCT(--('93_TARGET_MEMBERSHIP'!AF$5:AF$27=-1),'05_FEATURE_MODEL'!L$5:L$27)/MAX(1,COUNTIF('93_TARGET_MEMBERSHIP'!AF$5:AF$27,-1))))</f>
        <v/>
      </c>
      <c r="L35" s="34">
        <f>IF($B35="ABSOLUTE SEMANTIC",ABS('06_ITEM_POLE_MODEL'!U35),ABS('06_ITEM_POLE_MODEL'!U35)*ABS(SUMPRODUCT(--('93_TARGET_MEMBERSHIP'!AF$5:AF$27=1),'05_FEATURE_MODEL'!M$5:M$27)/MAX(1,COUNTIF('93_TARGET_MEMBERSHIP'!AF$5:AF$27,1))-SUMPRODUCT(--('93_TARGET_MEMBERSHIP'!AF$5:AF$27=-1),'05_FEATURE_MODEL'!M$5:M$27)/MAX(1,COUNTIF('93_TARGET_MEMBERSHIP'!AF$5:AF$27,-1))))</f>
        <v/>
      </c>
      <c r="M35" s="34">
        <f>IF($B35="ABSOLUTE SEMANTIC",ABS('06_ITEM_POLE_MODEL'!V35),ABS('06_ITEM_POLE_MODEL'!V35)*ABS(SUMPRODUCT(--('93_TARGET_MEMBERSHIP'!AF$5:AF$27=1),'05_FEATURE_MODEL'!N$5:N$27)/MAX(1,COUNTIF('93_TARGET_MEMBERSHIP'!AF$5:AF$27,1))-SUMPRODUCT(--('93_TARGET_MEMBERSHIP'!AF$5:AF$27=-1),'05_FEATURE_MODEL'!N$5:N$27)/MAX(1,COUNTIF('93_TARGET_MEMBERSHIP'!AF$5:AF$27,-1))))</f>
        <v/>
      </c>
      <c r="N35" s="34">
        <f>IF($B35="ABSOLUTE SEMANTIC",ABS('06_ITEM_POLE_MODEL'!W35),ABS('06_ITEM_POLE_MODEL'!W35)*ABS(SUMPRODUCT(--('93_TARGET_MEMBERSHIP'!AF$5:AF$27=1),'05_FEATURE_MODEL'!O$5:O$27)/MAX(1,COUNTIF('93_TARGET_MEMBERSHIP'!AF$5:AF$27,1))-SUMPRODUCT(--('93_TARGET_MEMBERSHIP'!AF$5:AF$27=-1),'05_FEATURE_MODEL'!O$5:O$27)/MAX(1,COUNTIF('93_TARGET_MEMBERSHIP'!AF$5:AF$27,-1))))</f>
        <v/>
      </c>
      <c r="O35" s="34">
        <f>IF($B35="ABSOLUTE SEMANTIC",ABS('06_ITEM_POLE_MODEL'!X35),ABS('06_ITEM_POLE_MODEL'!X35)*ABS(SUMPRODUCT(--('93_TARGET_MEMBERSHIP'!AF$5:AF$27=1),'05_FEATURE_MODEL'!P$5:P$27)/MAX(1,COUNTIF('93_TARGET_MEMBERSHIP'!AF$5:AF$27,1))-SUMPRODUCT(--('93_TARGET_MEMBERSHIP'!AF$5:AF$27=-1),'05_FEATURE_MODEL'!P$5:P$27)/MAX(1,COUNTIF('93_TARGET_MEMBERSHIP'!AF$5:AF$27,-1))))</f>
        <v/>
      </c>
      <c r="P35" s="34">
        <f>IF($B35="ABSOLUTE SEMANTIC",ABS('06_ITEM_POLE_MODEL'!Y35),ABS('06_ITEM_POLE_MODEL'!Y35)*ABS(SUMPRODUCT(--('93_TARGET_MEMBERSHIP'!AF$5:AF$27=1),'05_FEATURE_MODEL'!Q$5:Q$27)/MAX(1,COUNTIF('93_TARGET_MEMBERSHIP'!AF$5:AF$27,1))-SUMPRODUCT(--('93_TARGET_MEMBERSHIP'!AF$5:AF$27=-1),'05_FEATURE_MODEL'!Q$5:Q$27)/MAX(1,COUNTIF('93_TARGET_MEMBERSHIP'!AF$5:AF$27,-1))))</f>
        <v/>
      </c>
      <c r="Q35" s="34">
        <f>IF($B35="ABSOLUTE SEMANTIC",ABS('06_ITEM_POLE_MODEL'!Z35),ABS('06_ITEM_POLE_MODEL'!Z35)*ABS(SUMPRODUCT(--('93_TARGET_MEMBERSHIP'!AF$5:AF$27=1),'05_FEATURE_MODEL'!R$5:R$27)/MAX(1,COUNTIF('93_TARGET_MEMBERSHIP'!AF$5:AF$27,1))-SUMPRODUCT(--('93_TARGET_MEMBERSHIP'!AF$5:AF$27=-1),'05_FEATURE_MODEL'!R$5:R$27)/MAX(1,COUNTIF('93_TARGET_MEMBERSHIP'!AF$5:AF$27,-1))))</f>
        <v/>
      </c>
      <c r="R35" s="34">
        <f>IF($B35="ABSOLUTE SEMANTIC",ABS('06_ITEM_POLE_MODEL'!AA35),ABS('06_ITEM_POLE_MODEL'!AA35)*ABS(SUMPRODUCT(--('93_TARGET_MEMBERSHIP'!AF$5:AF$27=1),'05_FEATURE_MODEL'!S$5:S$27)/MAX(1,COUNTIF('93_TARGET_MEMBERSHIP'!AF$5:AF$27,1))-SUMPRODUCT(--('93_TARGET_MEMBERSHIP'!AF$5:AF$27=-1),'05_FEATURE_MODEL'!S$5:S$27)/MAX(1,COUNTIF('93_TARGET_MEMBERSHIP'!AF$5:AF$27,-1))))</f>
        <v/>
      </c>
      <c r="S35" s="34">
        <f>IF($B35="ABSOLUTE SEMANTIC",ABS('06_ITEM_POLE_MODEL'!AB35),ABS('06_ITEM_POLE_MODEL'!AB35)*ABS(SUMPRODUCT(--('93_TARGET_MEMBERSHIP'!AF$5:AF$27=1),'05_FEATURE_MODEL'!T$5:T$27)/MAX(1,COUNTIF('93_TARGET_MEMBERSHIP'!AF$5:AF$27,1))-SUMPRODUCT(--('93_TARGET_MEMBERSHIP'!AF$5:AF$27=-1),'05_FEATURE_MODEL'!T$5:T$27)/MAX(1,COUNTIF('93_TARGET_MEMBERSHIP'!AF$5:AF$27,-1))))</f>
        <v/>
      </c>
      <c r="T35" s="34">
        <f>IF($B35="ABSOLUTE SEMANTIC",ABS('06_ITEM_POLE_MODEL'!AC35),ABS('06_ITEM_POLE_MODEL'!AC35)*ABS(SUMPRODUCT(--('93_TARGET_MEMBERSHIP'!AF$5:AF$27=1),'05_FEATURE_MODEL'!U$5:U$27)/MAX(1,COUNTIF('93_TARGET_MEMBERSHIP'!AF$5:AF$27,1))-SUMPRODUCT(--('93_TARGET_MEMBERSHIP'!AF$5:AF$27=-1),'05_FEATURE_MODEL'!U$5:U$27)/MAX(1,COUNTIF('93_TARGET_MEMBERSHIP'!AF$5:AF$27,-1))))</f>
        <v/>
      </c>
      <c r="U35" s="34">
        <f>IF($B35="ABSOLUTE SEMANTIC",ABS('06_ITEM_POLE_MODEL'!AD35),ABS('06_ITEM_POLE_MODEL'!AD35)*ABS(SUMPRODUCT(--('93_TARGET_MEMBERSHIP'!AF$5:AF$27=1),'05_FEATURE_MODEL'!V$5:V$27)/MAX(1,COUNTIF('93_TARGET_MEMBERSHIP'!AF$5:AF$27,1))-SUMPRODUCT(--('93_TARGET_MEMBERSHIP'!AF$5:AF$27=-1),'05_FEATURE_MODEL'!V$5:V$27)/MAX(1,COUNTIF('93_TARGET_MEMBERSHIP'!AF$5:AF$27,-1))))</f>
        <v/>
      </c>
      <c r="V35" s="34">
        <f>IF($B35="ABSOLUTE SEMANTIC",ABS('06_ITEM_POLE_MODEL'!AE35),ABS('06_ITEM_POLE_MODEL'!AE35)*ABS(SUMPRODUCT(--('93_TARGET_MEMBERSHIP'!AF$5:AF$27=1),'05_FEATURE_MODEL'!W$5:W$27)/MAX(1,COUNTIF('93_TARGET_MEMBERSHIP'!AF$5:AF$27,1))-SUMPRODUCT(--('93_TARGET_MEMBERSHIP'!AF$5:AF$27=-1),'05_FEATURE_MODEL'!W$5:W$27)/MAX(1,COUNTIF('93_TARGET_MEMBERSHIP'!AF$5:AF$27,-1))))</f>
        <v/>
      </c>
      <c r="W35" s="34">
        <f>IF($B35="ABSOLUTE SEMANTIC",ABS('06_ITEM_POLE_MODEL'!AF35),ABS('06_ITEM_POLE_MODEL'!AF35)*ABS(SUMPRODUCT(--('93_TARGET_MEMBERSHIP'!AF$5:AF$27=1),'05_FEATURE_MODEL'!X$5:X$27)/MAX(1,COUNTIF('93_TARGET_MEMBERSHIP'!AF$5:AF$27,1))-SUMPRODUCT(--('93_TARGET_MEMBERSHIP'!AF$5:AF$27=-1),'05_FEATURE_MODEL'!X$5:X$27)/MAX(1,COUNTIF('93_TARGET_MEMBERSHIP'!AF$5:AF$27,-1))))</f>
        <v/>
      </c>
      <c r="X35" s="34">
        <f>IF($B35="ABSOLUTE SEMANTIC",ABS('06_ITEM_POLE_MODEL'!AG35),ABS('06_ITEM_POLE_MODEL'!AG35)*ABS(SUMPRODUCT(--('93_TARGET_MEMBERSHIP'!AF$5:AF$27=1),'05_FEATURE_MODEL'!Y$5:Y$27)/MAX(1,COUNTIF('93_TARGET_MEMBERSHIP'!AF$5:AF$27,1))-SUMPRODUCT(--('93_TARGET_MEMBERSHIP'!AF$5:AF$27=-1),'05_FEATURE_MODEL'!Y$5:Y$27)/MAX(1,COUNTIF('93_TARGET_MEMBERSHIP'!AF$5:AF$27,-1))))</f>
        <v/>
      </c>
      <c r="Y35" s="34">
        <f>IF($B35="ABSOLUTE SEMANTIC",ABS('06_ITEM_POLE_MODEL'!AH35),ABS('06_ITEM_POLE_MODEL'!AH35)*ABS(SUMPRODUCT(--('93_TARGET_MEMBERSHIP'!AF$5:AF$27=1),'05_FEATURE_MODEL'!Z$5:Z$27)/MAX(1,COUNTIF('93_TARGET_MEMBERSHIP'!AF$5:AF$27,1))-SUMPRODUCT(--('93_TARGET_MEMBERSHIP'!AF$5:AF$27=-1),'05_FEATURE_MODEL'!Z$5:Z$27)/MAX(1,COUNTIF('93_TARGET_MEMBERSHIP'!AF$5:AF$27,-1))))</f>
        <v/>
      </c>
      <c r="Z35" s="34">
        <f>IF($B35="ABSOLUTE SEMANTIC",ABS('06_ITEM_POLE_MODEL'!AI35),ABS('06_ITEM_POLE_MODEL'!AI35)*ABS(SUMPRODUCT(--('93_TARGET_MEMBERSHIP'!AF$5:AF$27=1),'05_FEATURE_MODEL'!AA$5:AA$27)/MAX(1,COUNTIF('93_TARGET_MEMBERSHIP'!AF$5:AF$27,1))-SUMPRODUCT(--('93_TARGET_MEMBERSHIP'!AF$5:AF$27=-1),'05_FEATURE_MODEL'!AA$5:AA$27)/MAX(1,COUNTIF('93_TARGET_MEMBERSHIP'!AF$5:AF$27,-1))))</f>
        <v/>
      </c>
      <c r="AA35" s="34">
        <f>IF($B35="ABSOLUTE SEMANTIC",ABS('06_ITEM_POLE_MODEL'!AJ35),ABS('06_ITEM_POLE_MODEL'!AJ35)*ABS(SUMPRODUCT(--('93_TARGET_MEMBERSHIP'!AF$5:AF$27=1),'05_FEATURE_MODEL'!AB$5:AB$27)/MAX(1,COUNTIF('93_TARGET_MEMBERSHIP'!AF$5:AF$27,1))-SUMPRODUCT(--('93_TARGET_MEMBERSHIP'!AF$5:AF$27=-1),'05_FEATURE_MODEL'!AB$5:AB$27)/MAX(1,COUNTIF('93_TARGET_MEMBERSHIP'!AF$5:AF$27,-1))))</f>
        <v/>
      </c>
      <c r="AB35" s="34">
        <f>IF($B35="ABSOLUTE SEMANTIC",ABS('06_ITEM_POLE_MODEL'!AK35),ABS('06_ITEM_POLE_MODEL'!AK35)*ABS(SUMPRODUCT(--('93_TARGET_MEMBERSHIP'!AF$5:AF$27=1),'05_FEATURE_MODEL'!AC$5:AC$27)/MAX(1,COUNTIF('93_TARGET_MEMBERSHIP'!AF$5:AF$27,1))-SUMPRODUCT(--('93_TARGET_MEMBERSHIP'!AF$5:AF$27=-1),'05_FEATURE_MODEL'!AC$5:AC$27)/MAX(1,COUNTIF('93_TARGET_MEMBERSHIP'!AF$5:AF$27,-1))))</f>
        <v/>
      </c>
      <c r="AC35" s="34">
        <f>IF($B35="ABSOLUTE SEMANTIC",ABS('06_ITEM_POLE_MODEL'!AL35),ABS('06_ITEM_POLE_MODEL'!AL35)*ABS(SUMPRODUCT(--('93_TARGET_MEMBERSHIP'!AF$5:AF$27=1),'05_FEATURE_MODEL'!AD$5:AD$27)/MAX(1,COUNTIF('93_TARGET_MEMBERSHIP'!AF$5:AF$27,1))-SUMPRODUCT(--('93_TARGET_MEMBERSHIP'!AF$5:AF$27=-1),'05_FEATURE_MODEL'!AD$5:AD$27)/MAX(1,COUNTIF('93_TARGET_MEMBERSHIP'!AF$5:AF$27,-1))))</f>
        <v/>
      </c>
      <c r="AD35" s="34">
        <f>IF($B35="ABSOLUTE SEMANTIC",ABS('06_ITEM_POLE_MODEL'!AM35),ABS('06_ITEM_POLE_MODEL'!AM35)*ABS(SUMPRODUCT(--('93_TARGET_MEMBERSHIP'!AF$5:AF$27=1),'05_FEATURE_MODEL'!AE$5:AE$27)/MAX(1,COUNTIF('93_TARGET_MEMBERSHIP'!AF$5:AF$27,1))-SUMPRODUCT(--('93_TARGET_MEMBERSHIP'!AF$5:AF$27=-1),'05_FEATURE_MODEL'!AE$5:AE$27)/MAX(1,COUNTIF('93_TARGET_MEMBERSHIP'!AF$5:AF$27,-1))))</f>
        <v/>
      </c>
      <c r="AE35" s="34">
        <f>IF($B35="ABSOLUTE SEMANTIC",ABS('06_ITEM_POLE_MODEL'!AN35),ABS('06_ITEM_POLE_MODEL'!AN35)*ABS(SUMPRODUCT(--('93_TARGET_MEMBERSHIP'!AF$5:AF$27=1),'05_FEATURE_MODEL'!AF$5:AF$27)/MAX(1,COUNTIF('93_TARGET_MEMBERSHIP'!AF$5:AF$27,1))-SUMPRODUCT(--('93_TARGET_MEMBERSHIP'!AF$5:AF$27=-1),'05_FEATURE_MODEL'!AF$5:AF$27)/MAX(1,COUNTIF('93_TARGET_MEMBERSHIP'!AF$5:AF$27,-1))))</f>
        <v/>
      </c>
      <c r="AF35" s="34">
        <f>IF($B35="ABSOLUTE SEMANTIC",ABS('06_ITEM_POLE_MODEL'!AO35),ABS('06_ITEM_POLE_MODEL'!AO35)*ABS(SUMPRODUCT(--('93_TARGET_MEMBERSHIP'!AF$5:AF$27=1),'05_FEATURE_MODEL'!AG$5:AG$27)/MAX(1,COUNTIF('93_TARGET_MEMBERSHIP'!AF$5:AF$27,1))-SUMPRODUCT(--('93_TARGET_MEMBERSHIP'!AF$5:AF$27=-1),'05_FEATURE_MODEL'!AG$5:AG$27)/MAX(1,COUNTIF('93_TARGET_MEMBERSHIP'!AF$5:AF$27,-1))))</f>
        <v/>
      </c>
      <c r="AG35" s="34">
        <f>IF($B35="ABSOLUTE SEMANTIC",ABS('06_ITEM_POLE_MODEL'!AP35),ABS('06_ITEM_POLE_MODEL'!AP35)*ABS(SUMPRODUCT(--('93_TARGET_MEMBERSHIP'!AF$5:AF$27=1),'05_FEATURE_MODEL'!AH$5:AH$27)/MAX(1,COUNTIF('93_TARGET_MEMBERSHIP'!AF$5:AF$27,1))-SUMPRODUCT(--('93_TARGET_MEMBERSHIP'!AF$5:AF$27=-1),'05_FEATURE_MODEL'!AH$5:AH$27)/MAX(1,COUNTIF('93_TARGET_MEMBERSHIP'!AF$5:AF$27,-1))))</f>
        <v/>
      </c>
      <c r="AH35" s="34">
        <f>IF($B35="ABSOLUTE SEMANTIC",ABS('06_ITEM_POLE_MODEL'!AQ35),ABS('06_ITEM_POLE_MODEL'!AQ35)*ABS(SUMPRODUCT(--('93_TARGET_MEMBERSHIP'!AF$5:AF$27=1),'05_FEATURE_MODEL'!AI$5:AI$27)/MAX(1,COUNTIF('93_TARGET_MEMBERSHIP'!AF$5:AF$27,1))-SUMPRODUCT(--('93_TARGET_MEMBERSHIP'!AF$5:AF$27=-1),'05_FEATURE_MODEL'!AI$5:AI$27)/MAX(1,COUNTIF('93_TARGET_MEMBERSHIP'!AF$5:AF$27,-1))))</f>
        <v/>
      </c>
      <c r="AI35" s="34">
        <f>IF($B35="ABSOLUTE SEMANTIC",ABS('06_ITEM_POLE_MODEL'!AR35),ABS('06_ITEM_POLE_MODEL'!AR35)*ABS(SUMPRODUCT(--('93_TARGET_MEMBERSHIP'!AF$5:AF$27=1),'05_FEATURE_MODEL'!AJ$5:AJ$27)/MAX(1,COUNTIF('93_TARGET_MEMBERSHIP'!AF$5:AF$27,1))-SUMPRODUCT(--('93_TARGET_MEMBERSHIP'!AF$5:AF$27=-1),'05_FEATURE_MODEL'!AJ$5:AJ$27)/MAX(1,COUNTIF('93_TARGET_MEMBERSHIP'!AF$5:AF$27,-1))))</f>
        <v/>
      </c>
      <c r="AJ35" s="34">
        <f>IF($B35="ABSOLUTE SEMANTIC",ABS('06_ITEM_POLE_MODEL'!AS35),ABS('06_ITEM_POLE_MODEL'!AS35)*ABS(SUMPRODUCT(--('93_TARGET_MEMBERSHIP'!AF$5:AF$27=1),'05_FEATURE_MODEL'!AK$5:AK$27)/MAX(1,COUNTIF('93_TARGET_MEMBERSHIP'!AF$5:AF$27,1))-SUMPRODUCT(--('93_TARGET_MEMBERSHIP'!AF$5:AF$27=-1),'05_FEATURE_MODEL'!AK$5:AK$27)/MAX(1,COUNTIF('93_TARGET_MEMBERSHIP'!AF$5:AF$27,-1))))</f>
        <v/>
      </c>
      <c r="AK35" s="34">
        <f>IF($B35="ABSOLUTE SEMANTIC",ABS('06_ITEM_POLE_MODEL'!AT35),ABS('06_ITEM_POLE_MODEL'!AT35)*ABS(SUMPRODUCT(--('93_TARGET_MEMBERSHIP'!AF$5:AF$27=1),'05_FEATURE_MODEL'!AL$5:AL$27)/MAX(1,COUNTIF('93_TARGET_MEMBERSHIP'!AF$5:AF$27,1))-SUMPRODUCT(--('93_TARGET_MEMBERSHIP'!AF$5:AF$27=-1),'05_FEATURE_MODEL'!AL$5:AL$27)/MAX(1,COUNTIF('93_TARGET_MEMBERSHIP'!AF$5:AF$27,-1))))</f>
        <v/>
      </c>
      <c r="AL35" s="34">
        <f>IF($B35="ABSOLUTE SEMANTIC",ABS('06_ITEM_POLE_MODEL'!AU35),ABS('06_ITEM_POLE_MODEL'!AU35)*ABS(SUMPRODUCT(--('93_TARGET_MEMBERSHIP'!AF$5:AF$27=1),'05_FEATURE_MODEL'!AM$5:AM$27)/MAX(1,COUNTIF('93_TARGET_MEMBERSHIP'!AF$5:AF$27,1))-SUMPRODUCT(--('93_TARGET_MEMBERSHIP'!AF$5:AF$27=-1),'05_FEATURE_MODEL'!AM$5:AM$27)/MAX(1,COUNTIF('93_TARGET_MEMBERSHIP'!AF$5:AF$27,-1))))</f>
        <v/>
      </c>
      <c r="AM35" s="34">
        <f>IF($B35="ABSOLUTE SEMANTIC",ABS('06_ITEM_POLE_MODEL'!AV35),ABS('06_ITEM_POLE_MODEL'!AV35)*ABS(SUMPRODUCT(--('93_TARGET_MEMBERSHIP'!AF$5:AF$27=1),'05_FEATURE_MODEL'!AN$5:AN$27)/MAX(1,COUNTIF('93_TARGET_MEMBERSHIP'!AF$5:AF$27,1))-SUMPRODUCT(--('93_TARGET_MEMBERSHIP'!AF$5:AF$27=-1),'05_FEATURE_MODEL'!AN$5:AN$27)/MAX(1,COUNTIF('93_TARGET_MEMBERSHIP'!AF$5:AF$27,-1))))</f>
        <v/>
      </c>
      <c r="AN35" s="34">
        <f>IF($B35="ABSOLUTE SEMANTIC",ABS('06_ITEM_POLE_MODEL'!AW35),ABS('06_ITEM_POLE_MODEL'!AW35)*ABS(SUMPRODUCT(--('93_TARGET_MEMBERSHIP'!AF$5:AF$27=1),'05_FEATURE_MODEL'!AO$5:AO$27)/MAX(1,COUNTIF('93_TARGET_MEMBERSHIP'!AF$5:AF$27,1))-SUMPRODUCT(--('93_TARGET_MEMBERSHIP'!AF$5:AF$27=-1),'05_FEATURE_MODEL'!AO$5:AO$27)/MAX(1,COUNTIF('93_TARGET_MEMBERSHIP'!AF$5:AF$27,-1))))</f>
        <v/>
      </c>
      <c r="AO35" s="34">
        <f>IF($B35="ABSOLUTE SEMANTIC",ABS('06_ITEM_POLE_MODEL'!AX35),ABS('06_ITEM_POLE_MODEL'!AX35)*ABS(SUMPRODUCT(--('93_TARGET_MEMBERSHIP'!AF$5:AF$27=1),'05_FEATURE_MODEL'!AP$5:AP$27)/MAX(1,COUNTIF('93_TARGET_MEMBERSHIP'!AF$5:AF$27,1))-SUMPRODUCT(--('93_TARGET_MEMBERSHIP'!AF$5:AF$27=-1),'05_FEATURE_MODEL'!AP$5:AP$27)/MAX(1,COUNTIF('93_TARGET_MEMBERSHIP'!AF$5:AF$27,-1))))</f>
        <v/>
      </c>
      <c r="AP35" s="34">
        <f>IF($B35="ABSOLUTE SEMANTIC",ABS('06_ITEM_POLE_MODEL'!AY35),ABS('06_ITEM_POLE_MODEL'!AY35)*ABS(SUMPRODUCT(--('93_TARGET_MEMBERSHIP'!AF$5:AF$27=1),'05_FEATURE_MODEL'!AQ$5:AQ$27)/MAX(1,COUNTIF('93_TARGET_MEMBERSHIP'!AF$5:AF$27,1))-SUMPRODUCT(--('93_TARGET_MEMBERSHIP'!AF$5:AF$27=-1),'05_FEATURE_MODEL'!AQ$5:AQ$27)/MAX(1,COUNTIF('93_TARGET_MEMBERSHIP'!AF$5:AF$27,-1))))</f>
        <v/>
      </c>
      <c r="AQ35" s="34">
        <f>IF($B35="ABSOLUTE SEMANTIC",ABS('06_ITEM_POLE_MODEL'!AZ35),ABS('06_ITEM_POLE_MODEL'!AZ35)*ABS(SUMPRODUCT(--('93_TARGET_MEMBERSHIP'!AF$5:AF$27=1),'05_FEATURE_MODEL'!AR$5:AR$27)/MAX(1,COUNTIF('93_TARGET_MEMBERSHIP'!AF$5:AF$27,1))-SUMPRODUCT(--('93_TARGET_MEMBERSHIP'!AF$5:AF$27=-1),'05_FEATURE_MODEL'!AR$5:AR$27)/MAX(1,COUNTIF('93_TARGET_MEMBERSHIP'!AF$5:AF$27,-1))))</f>
        <v/>
      </c>
    </row>
    <row r="36" ht="36" customHeight="1">
      <c r="A36" s="34">
        <f>'06_ITEM_POLE_MODEL'!A36</f>
        <v/>
      </c>
      <c r="B36" s="34">
        <f>'06_ITEM_POLE_MODEL'!E36</f>
        <v/>
      </c>
      <c r="C36" s="34">
        <f>IF($B36="ABSOLUTE SEMANTIC",ABS('06_ITEM_POLE_MODEL'!L36),ABS('06_ITEM_POLE_MODEL'!L36)*ABS(SUMPRODUCT(--('93_TARGET_MEMBERSHIP'!AG$5:AG$27=1),'05_FEATURE_MODEL'!D$5:D$27)/MAX(1,COUNTIF('93_TARGET_MEMBERSHIP'!AG$5:AG$27,1))-SUMPRODUCT(--('93_TARGET_MEMBERSHIP'!AG$5:AG$27=-1),'05_FEATURE_MODEL'!D$5:D$27)/MAX(1,COUNTIF('93_TARGET_MEMBERSHIP'!AG$5:AG$27,-1))))</f>
        <v/>
      </c>
      <c r="D36" s="34">
        <f>IF($B36="ABSOLUTE SEMANTIC",ABS('06_ITEM_POLE_MODEL'!M36),ABS('06_ITEM_POLE_MODEL'!M36)*ABS(SUMPRODUCT(--('93_TARGET_MEMBERSHIP'!AG$5:AG$27=1),'05_FEATURE_MODEL'!E$5:E$27)/MAX(1,COUNTIF('93_TARGET_MEMBERSHIP'!AG$5:AG$27,1))-SUMPRODUCT(--('93_TARGET_MEMBERSHIP'!AG$5:AG$27=-1),'05_FEATURE_MODEL'!E$5:E$27)/MAX(1,COUNTIF('93_TARGET_MEMBERSHIP'!AG$5:AG$27,-1))))</f>
        <v/>
      </c>
      <c r="E36" s="34">
        <f>IF($B36="ABSOLUTE SEMANTIC",ABS('06_ITEM_POLE_MODEL'!N36),ABS('06_ITEM_POLE_MODEL'!N36)*ABS(SUMPRODUCT(--('93_TARGET_MEMBERSHIP'!AG$5:AG$27=1),'05_FEATURE_MODEL'!F$5:F$27)/MAX(1,COUNTIF('93_TARGET_MEMBERSHIP'!AG$5:AG$27,1))-SUMPRODUCT(--('93_TARGET_MEMBERSHIP'!AG$5:AG$27=-1),'05_FEATURE_MODEL'!F$5:F$27)/MAX(1,COUNTIF('93_TARGET_MEMBERSHIP'!AG$5:AG$27,-1))))</f>
        <v/>
      </c>
      <c r="F36" s="34">
        <f>IF($B36="ABSOLUTE SEMANTIC",ABS('06_ITEM_POLE_MODEL'!O36),ABS('06_ITEM_POLE_MODEL'!O36)*ABS(SUMPRODUCT(--('93_TARGET_MEMBERSHIP'!AG$5:AG$27=1),'05_FEATURE_MODEL'!G$5:G$27)/MAX(1,COUNTIF('93_TARGET_MEMBERSHIP'!AG$5:AG$27,1))-SUMPRODUCT(--('93_TARGET_MEMBERSHIP'!AG$5:AG$27=-1),'05_FEATURE_MODEL'!G$5:G$27)/MAX(1,COUNTIF('93_TARGET_MEMBERSHIP'!AG$5:AG$27,-1))))</f>
        <v/>
      </c>
      <c r="G36" s="34">
        <f>IF($B36="ABSOLUTE SEMANTIC",ABS('06_ITEM_POLE_MODEL'!P36),ABS('06_ITEM_POLE_MODEL'!P36)*ABS(SUMPRODUCT(--('93_TARGET_MEMBERSHIP'!AG$5:AG$27=1),'05_FEATURE_MODEL'!H$5:H$27)/MAX(1,COUNTIF('93_TARGET_MEMBERSHIP'!AG$5:AG$27,1))-SUMPRODUCT(--('93_TARGET_MEMBERSHIP'!AG$5:AG$27=-1),'05_FEATURE_MODEL'!H$5:H$27)/MAX(1,COUNTIF('93_TARGET_MEMBERSHIP'!AG$5:AG$27,-1))))</f>
        <v/>
      </c>
      <c r="H36" s="34">
        <f>IF($B36="ABSOLUTE SEMANTIC",ABS('06_ITEM_POLE_MODEL'!Q36),ABS('06_ITEM_POLE_MODEL'!Q36)*ABS(SUMPRODUCT(--('93_TARGET_MEMBERSHIP'!AG$5:AG$27=1),'05_FEATURE_MODEL'!I$5:I$27)/MAX(1,COUNTIF('93_TARGET_MEMBERSHIP'!AG$5:AG$27,1))-SUMPRODUCT(--('93_TARGET_MEMBERSHIP'!AG$5:AG$27=-1),'05_FEATURE_MODEL'!I$5:I$27)/MAX(1,COUNTIF('93_TARGET_MEMBERSHIP'!AG$5:AG$27,-1))))</f>
        <v/>
      </c>
      <c r="I36" s="34">
        <f>IF($B36="ABSOLUTE SEMANTIC",ABS('06_ITEM_POLE_MODEL'!R36),ABS('06_ITEM_POLE_MODEL'!R36)*ABS(SUMPRODUCT(--('93_TARGET_MEMBERSHIP'!AG$5:AG$27=1),'05_FEATURE_MODEL'!J$5:J$27)/MAX(1,COUNTIF('93_TARGET_MEMBERSHIP'!AG$5:AG$27,1))-SUMPRODUCT(--('93_TARGET_MEMBERSHIP'!AG$5:AG$27=-1),'05_FEATURE_MODEL'!J$5:J$27)/MAX(1,COUNTIF('93_TARGET_MEMBERSHIP'!AG$5:AG$27,-1))))</f>
        <v/>
      </c>
      <c r="J36" s="34">
        <f>IF($B36="ABSOLUTE SEMANTIC",ABS('06_ITEM_POLE_MODEL'!S36),ABS('06_ITEM_POLE_MODEL'!S36)*ABS(SUMPRODUCT(--('93_TARGET_MEMBERSHIP'!AG$5:AG$27=1),'05_FEATURE_MODEL'!K$5:K$27)/MAX(1,COUNTIF('93_TARGET_MEMBERSHIP'!AG$5:AG$27,1))-SUMPRODUCT(--('93_TARGET_MEMBERSHIP'!AG$5:AG$27=-1),'05_FEATURE_MODEL'!K$5:K$27)/MAX(1,COUNTIF('93_TARGET_MEMBERSHIP'!AG$5:AG$27,-1))))</f>
        <v/>
      </c>
      <c r="K36" s="34">
        <f>IF($B36="ABSOLUTE SEMANTIC",ABS('06_ITEM_POLE_MODEL'!T36),ABS('06_ITEM_POLE_MODEL'!T36)*ABS(SUMPRODUCT(--('93_TARGET_MEMBERSHIP'!AG$5:AG$27=1),'05_FEATURE_MODEL'!L$5:L$27)/MAX(1,COUNTIF('93_TARGET_MEMBERSHIP'!AG$5:AG$27,1))-SUMPRODUCT(--('93_TARGET_MEMBERSHIP'!AG$5:AG$27=-1),'05_FEATURE_MODEL'!L$5:L$27)/MAX(1,COUNTIF('93_TARGET_MEMBERSHIP'!AG$5:AG$27,-1))))</f>
        <v/>
      </c>
      <c r="L36" s="34">
        <f>IF($B36="ABSOLUTE SEMANTIC",ABS('06_ITEM_POLE_MODEL'!U36),ABS('06_ITEM_POLE_MODEL'!U36)*ABS(SUMPRODUCT(--('93_TARGET_MEMBERSHIP'!AG$5:AG$27=1),'05_FEATURE_MODEL'!M$5:M$27)/MAX(1,COUNTIF('93_TARGET_MEMBERSHIP'!AG$5:AG$27,1))-SUMPRODUCT(--('93_TARGET_MEMBERSHIP'!AG$5:AG$27=-1),'05_FEATURE_MODEL'!M$5:M$27)/MAX(1,COUNTIF('93_TARGET_MEMBERSHIP'!AG$5:AG$27,-1))))</f>
        <v/>
      </c>
      <c r="M36" s="34">
        <f>IF($B36="ABSOLUTE SEMANTIC",ABS('06_ITEM_POLE_MODEL'!V36),ABS('06_ITEM_POLE_MODEL'!V36)*ABS(SUMPRODUCT(--('93_TARGET_MEMBERSHIP'!AG$5:AG$27=1),'05_FEATURE_MODEL'!N$5:N$27)/MAX(1,COUNTIF('93_TARGET_MEMBERSHIP'!AG$5:AG$27,1))-SUMPRODUCT(--('93_TARGET_MEMBERSHIP'!AG$5:AG$27=-1),'05_FEATURE_MODEL'!N$5:N$27)/MAX(1,COUNTIF('93_TARGET_MEMBERSHIP'!AG$5:AG$27,-1))))</f>
        <v/>
      </c>
      <c r="N36" s="34">
        <f>IF($B36="ABSOLUTE SEMANTIC",ABS('06_ITEM_POLE_MODEL'!W36),ABS('06_ITEM_POLE_MODEL'!W36)*ABS(SUMPRODUCT(--('93_TARGET_MEMBERSHIP'!AG$5:AG$27=1),'05_FEATURE_MODEL'!O$5:O$27)/MAX(1,COUNTIF('93_TARGET_MEMBERSHIP'!AG$5:AG$27,1))-SUMPRODUCT(--('93_TARGET_MEMBERSHIP'!AG$5:AG$27=-1),'05_FEATURE_MODEL'!O$5:O$27)/MAX(1,COUNTIF('93_TARGET_MEMBERSHIP'!AG$5:AG$27,-1))))</f>
        <v/>
      </c>
      <c r="O36" s="34">
        <f>IF($B36="ABSOLUTE SEMANTIC",ABS('06_ITEM_POLE_MODEL'!X36),ABS('06_ITEM_POLE_MODEL'!X36)*ABS(SUMPRODUCT(--('93_TARGET_MEMBERSHIP'!AG$5:AG$27=1),'05_FEATURE_MODEL'!P$5:P$27)/MAX(1,COUNTIF('93_TARGET_MEMBERSHIP'!AG$5:AG$27,1))-SUMPRODUCT(--('93_TARGET_MEMBERSHIP'!AG$5:AG$27=-1),'05_FEATURE_MODEL'!P$5:P$27)/MAX(1,COUNTIF('93_TARGET_MEMBERSHIP'!AG$5:AG$27,-1))))</f>
        <v/>
      </c>
      <c r="P36" s="34">
        <f>IF($B36="ABSOLUTE SEMANTIC",ABS('06_ITEM_POLE_MODEL'!Y36),ABS('06_ITEM_POLE_MODEL'!Y36)*ABS(SUMPRODUCT(--('93_TARGET_MEMBERSHIP'!AG$5:AG$27=1),'05_FEATURE_MODEL'!Q$5:Q$27)/MAX(1,COUNTIF('93_TARGET_MEMBERSHIP'!AG$5:AG$27,1))-SUMPRODUCT(--('93_TARGET_MEMBERSHIP'!AG$5:AG$27=-1),'05_FEATURE_MODEL'!Q$5:Q$27)/MAX(1,COUNTIF('93_TARGET_MEMBERSHIP'!AG$5:AG$27,-1))))</f>
        <v/>
      </c>
      <c r="Q36" s="34">
        <f>IF($B36="ABSOLUTE SEMANTIC",ABS('06_ITEM_POLE_MODEL'!Z36),ABS('06_ITEM_POLE_MODEL'!Z36)*ABS(SUMPRODUCT(--('93_TARGET_MEMBERSHIP'!AG$5:AG$27=1),'05_FEATURE_MODEL'!R$5:R$27)/MAX(1,COUNTIF('93_TARGET_MEMBERSHIP'!AG$5:AG$27,1))-SUMPRODUCT(--('93_TARGET_MEMBERSHIP'!AG$5:AG$27=-1),'05_FEATURE_MODEL'!R$5:R$27)/MAX(1,COUNTIF('93_TARGET_MEMBERSHIP'!AG$5:AG$27,-1))))</f>
        <v/>
      </c>
      <c r="R36" s="34">
        <f>IF($B36="ABSOLUTE SEMANTIC",ABS('06_ITEM_POLE_MODEL'!AA36),ABS('06_ITEM_POLE_MODEL'!AA36)*ABS(SUMPRODUCT(--('93_TARGET_MEMBERSHIP'!AG$5:AG$27=1),'05_FEATURE_MODEL'!S$5:S$27)/MAX(1,COUNTIF('93_TARGET_MEMBERSHIP'!AG$5:AG$27,1))-SUMPRODUCT(--('93_TARGET_MEMBERSHIP'!AG$5:AG$27=-1),'05_FEATURE_MODEL'!S$5:S$27)/MAX(1,COUNTIF('93_TARGET_MEMBERSHIP'!AG$5:AG$27,-1))))</f>
        <v/>
      </c>
      <c r="S36" s="34">
        <f>IF($B36="ABSOLUTE SEMANTIC",ABS('06_ITEM_POLE_MODEL'!AB36),ABS('06_ITEM_POLE_MODEL'!AB36)*ABS(SUMPRODUCT(--('93_TARGET_MEMBERSHIP'!AG$5:AG$27=1),'05_FEATURE_MODEL'!T$5:T$27)/MAX(1,COUNTIF('93_TARGET_MEMBERSHIP'!AG$5:AG$27,1))-SUMPRODUCT(--('93_TARGET_MEMBERSHIP'!AG$5:AG$27=-1),'05_FEATURE_MODEL'!T$5:T$27)/MAX(1,COUNTIF('93_TARGET_MEMBERSHIP'!AG$5:AG$27,-1))))</f>
        <v/>
      </c>
      <c r="T36" s="34">
        <f>IF($B36="ABSOLUTE SEMANTIC",ABS('06_ITEM_POLE_MODEL'!AC36),ABS('06_ITEM_POLE_MODEL'!AC36)*ABS(SUMPRODUCT(--('93_TARGET_MEMBERSHIP'!AG$5:AG$27=1),'05_FEATURE_MODEL'!U$5:U$27)/MAX(1,COUNTIF('93_TARGET_MEMBERSHIP'!AG$5:AG$27,1))-SUMPRODUCT(--('93_TARGET_MEMBERSHIP'!AG$5:AG$27=-1),'05_FEATURE_MODEL'!U$5:U$27)/MAX(1,COUNTIF('93_TARGET_MEMBERSHIP'!AG$5:AG$27,-1))))</f>
        <v/>
      </c>
      <c r="U36" s="34">
        <f>IF($B36="ABSOLUTE SEMANTIC",ABS('06_ITEM_POLE_MODEL'!AD36),ABS('06_ITEM_POLE_MODEL'!AD36)*ABS(SUMPRODUCT(--('93_TARGET_MEMBERSHIP'!AG$5:AG$27=1),'05_FEATURE_MODEL'!V$5:V$27)/MAX(1,COUNTIF('93_TARGET_MEMBERSHIP'!AG$5:AG$27,1))-SUMPRODUCT(--('93_TARGET_MEMBERSHIP'!AG$5:AG$27=-1),'05_FEATURE_MODEL'!V$5:V$27)/MAX(1,COUNTIF('93_TARGET_MEMBERSHIP'!AG$5:AG$27,-1))))</f>
        <v/>
      </c>
      <c r="V36" s="34">
        <f>IF($B36="ABSOLUTE SEMANTIC",ABS('06_ITEM_POLE_MODEL'!AE36),ABS('06_ITEM_POLE_MODEL'!AE36)*ABS(SUMPRODUCT(--('93_TARGET_MEMBERSHIP'!AG$5:AG$27=1),'05_FEATURE_MODEL'!W$5:W$27)/MAX(1,COUNTIF('93_TARGET_MEMBERSHIP'!AG$5:AG$27,1))-SUMPRODUCT(--('93_TARGET_MEMBERSHIP'!AG$5:AG$27=-1),'05_FEATURE_MODEL'!W$5:W$27)/MAX(1,COUNTIF('93_TARGET_MEMBERSHIP'!AG$5:AG$27,-1))))</f>
        <v/>
      </c>
      <c r="W36" s="34">
        <f>IF($B36="ABSOLUTE SEMANTIC",ABS('06_ITEM_POLE_MODEL'!AF36),ABS('06_ITEM_POLE_MODEL'!AF36)*ABS(SUMPRODUCT(--('93_TARGET_MEMBERSHIP'!AG$5:AG$27=1),'05_FEATURE_MODEL'!X$5:X$27)/MAX(1,COUNTIF('93_TARGET_MEMBERSHIP'!AG$5:AG$27,1))-SUMPRODUCT(--('93_TARGET_MEMBERSHIP'!AG$5:AG$27=-1),'05_FEATURE_MODEL'!X$5:X$27)/MAX(1,COUNTIF('93_TARGET_MEMBERSHIP'!AG$5:AG$27,-1))))</f>
        <v/>
      </c>
      <c r="X36" s="34">
        <f>IF($B36="ABSOLUTE SEMANTIC",ABS('06_ITEM_POLE_MODEL'!AG36),ABS('06_ITEM_POLE_MODEL'!AG36)*ABS(SUMPRODUCT(--('93_TARGET_MEMBERSHIP'!AG$5:AG$27=1),'05_FEATURE_MODEL'!Y$5:Y$27)/MAX(1,COUNTIF('93_TARGET_MEMBERSHIP'!AG$5:AG$27,1))-SUMPRODUCT(--('93_TARGET_MEMBERSHIP'!AG$5:AG$27=-1),'05_FEATURE_MODEL'!Y$5:Y$27)/MAX(1,COUNTIF('93_TARGET_MEMBERSHIP'!AG$5:AG$27,-1))))</f>
        <v/>
      </c>
      <c r="Y36" s="34">
        <f>IF($B36="ABSOLUTE SEMANTIC",ABS('06_ITEM_POLE_MODEL'!AH36),ABS('06_ITEM_POLE_MODEL'!AH36)*ABS(SUMPRODUCT(--('93_TARGET_MEMBERSHIP'!AG$5:AG$27=1),'05_FEATURE_MODEL'!Z$5:Z$27)/MAX(1,COUNTIF('93_TARGET_MEMBERSHIP'!AG$5:AG$27,1))-SUMPRODUCT(--('93_TARGET_MEMBERSHIP'!AG$5:AG$27=-1),'05_FEATURE_MODEL'!Z$5:Z$27)/MAX(1,COUNTIF('93_TARGET_MEMBERSHIP'!AG$5:AG$27,-1))))</f>
        <v/>
      </c>
      <c r="Z36" s="34">
        <f>IF($B36="ABSOLUTE SEMANTIC",ABS('06_ITEM_POLE_MODEL'!AI36),ABS('06_ITEM_POLE_MODEL'!AI36)*ABS(SUMPRODUCT(--('93_TARGET_MEMBERSHIP'!AG$5:AG$27=1),'05_FEATURE_MODEL'!AA$5:AA$27)/MAX(1,COUNTIF('93_TARGET_MEMBERSHIP'!AG$5:AG$27,1))-SUMPRODUCT(--('93_TARGET_MEMBERSHIP'!AG$5:AG$27=-1),'05_FEATURE_MODEL'!AA$5:AA$27)/MAX(1,COUNTIF('93_TARGET_MEMBERSHIP'!AG$5:AG$27,-1))))</f>
        <v/>
      </c>
      <c r="AA36" s="34">
        <f>IF($B36="ABSOLUTE SEMANTIC",ABS('06_ITEM_POLE_MODEL'!AJ36),ABS('06_ITEM_POLE_MODEL'!AJ36)*ABS(SUMPRODUCT(--('93_TARGET_MEMBERSHIP'!AG$5:AG$27=1),'05_FEATURE_MODEL'!AB$5:AB$27)/MAX(1,COUNTIF('93_TARGET_MEMBERSHIP'!AG$5:AG$27,1))-SUMPRODUCT(--('93_TARGET_MEMBERSHIP'!AG$5:AG$27=-1),'05_FEATURE_MODEL'!AB$5:AB$27)/MAX(1,COUNTIF('93_TARGET_MEMBERSHIP'!AG$5:AG$27,-1))))</f>
        <v/>
      </c>
      <c r="AB36" s="34">
        <f>IF($B36="ABSOLUTE SEMANTIC",ABS('06_ITEM_POLE_MODEL'!AK36),ABS('06_ITEM_POLE_MODEL'!AK36)*ABS(SUMPRODUCT(--('93_TARGET_MEMBERSHIP'!AG$5:AG$27=1),'05_FEATURE_MODEL'!AC$5:AC$27)/MAX(1,COUNTIF('93_TARGET_MEMBERSHIP'!AG$5:AG$27,1))-SUMPRODUCT(--('93_TARGET_MEMBERSHIP'!AG$5:AG$27=-1),'05_FEATURE_MODEL'!AC$5:AC$27)/MAX(1,COUNTIF('93_TARGET_MEMBERSHIP'!AG$5:AG$27,-1))))</f>
        <v/>
      </c>
      <c r="AC36" s="34">
        <f>IF($B36="ABSOLUTE SEMANTIC",ABS('06_ITEM_POLE_MODEL'!AL36),ABS('06_ITEM_POLE_MODEL'!AL36)*ABS(SUMPRODUCT(--('93_TARGET_MEMBERSHIP'!AG$5:AG$27=1),'05_FEATURE_MODEL'!AD$5:AD$27)/MAX(1,COUNTIF('93_TARGET_MEMBERSHIP'!AG$5:AG$27,1))-SUMPRODUCT(--('93_TARGET_MEMBERSHIP'!AG$5:AG$27=-1),'05_FEATURE_MODEL'!AD$5:AD$27)/MAX(1,COUNTIF('93_TARGET_MEMBERSHIP'!AG$5:AG$27,-1))))</f>
        <v/>
      </c>
      <c r="AD36" s="34">
        <f>IF($B36="ABSOLUTE SEMANTIC",ABS('06_ITEM_POLE_MODEL'!AM36),ABS('06_ITEM_POLE_MODEL'!AM36)*ABS(SUMPRODUCT(--('93_TARGET_MEMBERSHIP'!AG$5:AG$27=1),'05_FEATURE_MODEL'!AE$5:AE$27)/MAX(1,COUNTIF('93_TARGET_MEMBERSHIP'!AG$5:AG$27,1))-SUMPRODUCT(--('93_TARGET_MEMBERSHIP'!AG$5:AG$27=-1),'05_FEATURE_MODEL'!AE$5:AE$27)/MAX(1,COUNTIF('93_TARGET_MEMBERSHIP'!AG$5:AG$27,-1))))</f>
        <v/>
      </c>
      <c r="AE36" s="34">
        <f>IF($B36="ABSOLUTE SEMANTIC",ABS('06_ITEM_POLE_MODEL'!AN36),ABS('06_ITEM_POLE_MODEL'!AN36)*ABS(SUMPRODUCT(--('93_TARGET_MEMBERSHIP'!AG$5:AG$27=1),'05_FEATURE_MODEL'!AF$5:AF$27)/MAX(1,COUNTIF('93_TARGET_MEMBERSHIP'!AG$5:AG$27,1))-SUMPRODUCT(--('93_TARGET_MEMBERSHIP'!AG$5:AG$27=-1),'05_FEATURE_MODEL'!AF$5:AF$27)/MAX(1,COUNTIF('93_TARGET_MEMBERSHIP'!AG$5:AG$27,-1))))</f>
        <v/>
      </c>
      <c r="AF36" s="34">
        <f>IF($B36="ABSOLUTE SEMANTIC",ABS('06_ITEM_POLE_MODEL'!AO36),ABS('06_ITEM_POLE_MODEL'!AO36)*ABS(SUMPRODUCT(--('93_TARGET_MEMBERSHIP'!AG$5:AG$27=1),'05_FEATURE_MODEL'!AG$5:AG$27)/MAX(1,COUNTIF('93_TARGET_MEMBERSHIP'!AG$5:AG$27,1))-SUMPRODUCT(--('93_TARGET_MEMBERSHIP'!AG$5:AG$27=-1),'05_FEATURE_MODEL'!AG$5:AG$27)/MAX(1,COUNTIF('93_TARGET_MEMBERSHIP'!AG$5:AG$27,-1))))</f>
        <v/>
      </c>
      <c r="AG36" s="34">
        <f>IF($B36="ABSOLUTE SEMANTIC",ABS('06_ITEM_POLE_MODEL'!AP36),ABS('06_ITEM_POLE_MODEL'!AP36)*ABS(SUMPRODUCT(--('93_TARGET_MEMBERSHIP'!AG$5:AG$27=1),'05_FEATURE_MODEL'!AH$5:AH$27)/MAX(1,COUNTIF('93_TARGET_MEMBERSHIP'!AG$5:AG$27,1))-SUMPRODUCT(--('93_TARGET_MEMBERSHIP'!AG$5:AG$27=-1),'05_FEATURE_MODEL'!AH$5:AH$27)/MAX(1,COUNTIF('93_TARGET_MEMBERSHIP'!AG$5:AG$27,-1))))</f>
        <v/>
      </c>
      <c r="AH36" s="34">
        <f>IF($B36="ABSOLUTE SEMANTIC",ABS('06_ITEM_POLE_MODEL'!AQ36),ABS('06_ITEM_POLE_MODEL'!AQ36)*ABS(SUMPRODUCT(--('93_TARGET_MEMBERSHIP'!AG$5:AG$27=1),'05_FEATURE_MODEL'!AI$5:AI$27)/MAX(1,COUNTIF('93_TARGET_MEMBERSHIP'!AG$5:AG$27,1))-SUMPRODUCT(--('93_TARGET_MEMBERSHIP'!AG$5:AG$27=-1),'05_FEATURE_MODEL'!AI$5:AI$27)/MAX(1,COUNTIF('93_TARGET_MEMBERSHIP'!AG$5:AG$27,-1))))</f>
        <v/>
      </c>
      <c r="AI36" s="34">
        <f>IF($B36="ABSOLUTE SEMANTIC",ABS('06_ITEM_POLE_MODEL'!AR36),ABS('06_ITEM_POLE_MODEL'!AR36)*ABS(SUMPRODUCT(--('93_TARGET_MEMBERSHIP'!AG$5:AG$27=1),'05_FEATURE_MODEL'!AJ$5:AJ$27)/MAX(1,COUNTIF('93_TARGET_MEMBERSHIP'!AG$5:AG$27,1))-SUMPRODUCT(--('93_TARGET_MEMBERSHIP'!AG$5:AG$27=-1),'05_FEATURE_MODEL'!AJ$5:AJ$27)/MAX(1,COUNTIF('93_TARGET_MEMBERSHIP'!AG$5:AG$27,-1))))</f>
        <v/>
      </c>
      <c r="AJ36" s="34">
        <f>IF($B36="ABSOLUTE SEMANTIC",ABS('06_ITEM_POLE_MODEL'!AS36),ABS('06_ITEM_POLE_MODEL'!AS36)*ABS(SUMPRODUCT(--('93_TARGET_MEMBERSHIP'!AG$5:AG$27=1),'05_FEATURE_MODEL'!AK$5:AK$27)/MAX(1,COUNTIF('93_TARGET_MEMBERSHIP'!AG$5:AG$27,1))-SUMPRODUCT(--('93_TARGET_MEMBERSHIP'!AG$5:AG$27=-1),'05_FEATURE_MODEL'!AK$5:AK$27)/MAX(1,COUNTIF('93_TARGET_MEMBERSHIP'!AG$5:AG$27,-1))))</f>
        <v/>
      </c>
      <c r="AK36" s="34">
        <f>IF($B36="ABSOLUTE SEMANTIC",ABS('06_ITEM_POLE_MODEL'!AT36),ABS('06_ITEM_POLE_MODEL'!AT36)*ABS(SUMPRODUCT(--('93_TARGET_MEMBERSHIP'!AG$5:AG$27=1),'05_FEATURE_MODEL'!AL$5:AL$27)/MAX(1,COUNTIF('93_TARGET_MEMBERSHIP'!AG$5:AG$27,1))-SUMPRODUCT(--('93_TARGET_MEMBERSHIP'!AG$5:AG$27=-1),'05_FEATURE_MODEL'!AL$5:AL$27)/MAX(1,COUNTIF('93_TARGET_MEMBERSHIP'!AG$5:AG$27,-1))))</f>
        <v/>
      </c>
      <c r="AL36" s="34">
        <f>IF($B36="ABSOLUTE SEMANTIC",ABS('06_ITEM_POLE_MODEL'!AU36),ABS('06_ITEM_POLE_MODEL'!AU36)*ABS(SUMPRODUCT(--('93_TARGET_MEMBERSHIP'!AG$5:AG$27=1),'05_FEATURE_MODEL'!AM$5:AM$27)/MAX(1,COUNTIF('93_TARGET_MEMBERSHIP'!AG$5:AG$27,1))-SUMPRODUCT(--('93_TARGET_MEMBERSHIP'!AG$5:AG$27=-1),'05_FEATURE_MODEL'!AM$5:AM$27)/MAX(1,COUNTIF('93_TARGET_MEMBERSHIP'!AG$5:AG$27,-1))))</f>
        <v/>
      </c>
      <c r="AM36" s="34">
        <f>IF($B36="ABSOLUTE SEMANTIC",ABS('06_ITEM_POLE_MODEL'!AV36),ABS('06_ITEM_POLE_MODEL'!AV36)*ABS(SUMPRODUCT(--('93_TARGET_MEMBERSHIP'!AG$5:AG$27=1),'05_FEATURE_MODEL'!AN$5:AN$27)/MAX(1,COUNTIF('93_TARGET_MEMBERSHIP'!AG$5:AG$27,1))-SUMPRODUCT(--('93_TARGET_MEMBERSHIP'!AG$5:AG$27=-1),'05_FEATURE_MODEL'!AN$5:AN$27)/MAX(1,COUNTIF('93_TARGET_MEMBERSHIP'!AG$5:AG$27,-1))))</f>
        <v/>
      </c>
      <c r="AN36" s="34">
        <f>IF($B36="ABSOLUTE SEMANTIC",ABS('06_ITEM_POLE_MODEL'!AW36),ABS('06_ITEM_POLE_MODEL'!AW36)*ABS(SUMPRODUCT(--('93_TARGET_MEMBERSHIP'!AG$5:AG$27=1),'05_FEATURE_MODEL'!AO$5:AO$27)/MAX(1,COUNTIF('93_TARGET_MEMBERSHIP'!AG$5:AG$27,1))-SUMPRODUCT(--('93_TARGET_MEMBERSHIP'!AG$5:AG$27=-1),'05_FEATURE_MODEL'!AO$5:AO$27)/MAX(1,COUNTIF('93_TARGET_MEMBERSHIP'!AG$5:AG$27,-1))))</f>
        <v/>
      </c>
      <c r="AO36" s="34">
        <f>IF($B36="ABSOLUTE SEMANTIC",ABS('06_ITEM_POLE_MODEL'!AX36),ABS('06_ITEM_POLE_MODEL'!AX36)*ABS(SUMPRODUCT(--('93_TARGET_MEMBERSHIP'!AG$5:AG$27=1),'05_FEATURE_MODEL'!AP$5:AP$27)/MAX(1,COUNTIF('93_TARGET_MEMBERSHIP'!AG$5:AG$27,1))-SUMPRODUCT(--('93_TARGET_MEMBERSHIP'!AG$5:AG$27=-1),'05_FEATURE_MODEL'!AP$5:AP$27)/MAX(1,COUNTIF('93_TARGET_MEMBERSHIP'!AG$5:AG$27,-1))))</f>
        <v/>
      </c>
      <c r="AP36" s="34">
        <f>IF($B36="ABSOLUTE SEMANTIC",ABS('06_ITEM_POLE_MODEL'!AY36),ABS('06_ITEM_POLE_MODEL'!AY36)*ABS(SUMPRODUCT(--('93_TARGET_MEMBERSHIP'!AG$5:AG$27=1),'05_FEATURE_MODEL'!AQ$5:AQ$27)/MAX(1,COUNTIF('93_TARGET_MEMBERSHIP'!AG$5:AG$27,1))-SUMPRODUCT(--('93_TARGET_MEMBERSHIP'!AG$5:AG$27=-1),'05_FEATURE_MODEL'!AQ$5:AQ$27)/MAX(1,COUNTIF('93_TARGET_MEMBERSHIP'!AG$5:AG$27,-1))))</f>
        <v/>
      </c>
      <c r="AQ36" s="34">
        <f>IF($B36="ABSOLUTE SEMANTIC",ABS('06_ITEM_POLE_MODEL'!AZ36),ABS('06_ITEM_POLE_MODEL'!AZ36)*ABS(SUMPRODUCT(--('93_TARGET_MEMBERSHIP'!AG$5:AG$27=1),'05_FEATURE_MODEL'!AR$5:AR$27)/MAX(1,COUNTIF('93_TARGET_MEMBERSHIP'!AG$5:AG$27,1))-SUMPRODUCT(--('93_TARGET_MEMBERSHIP'!AG$5:AG$27=-1),'05_FEATURE_MODEL'!AR$5:AR$27)/MAX(1,COUNTIF('93_TARGET_MEMBERSHIP'!AG$5:AG$27,-1))))</f>
        <v/>
      </c>
    </row>
    <row r="37" ht="36" customHeight="1">
      <c r="A37" s="34">
        <f>'06_ITEM_POLE_MODEL'!A37</f>
        <v/>
      </c>
      <c r="B37" s="34">
        <f>'06_ITEM_POLE_MODEL'!E37</f>
        <v/>
      </c>
      <c r="C37" s="34">
        <f>IF($B37="ABSOLUTE SEMANTIC",ABS('06_ITEM_POLE_MODEL'!L37),ABS('06_ITEM_POLE_MODEL'!L37)*ABS(SUMPRODUCT(--('93_TARGET_MEMBERSHIP'!AH$5:AH$27=1),'05_FEATURE_MODEL'!D$5:D$27)/MAX(1,COUNTIF('93_TARGET_MEMBERSHIP'!AH$5:AH$27,1))-SUMPRODUCT(--('93_TARGET_MEMBERSHIP'!AH$5:AH$27=-1),'05_FEATURE_MODEL'!D$5:D$27)/MAX(1,COUNTIF('93_TARGET_MEMBERSHIP'!AH$5:AH$27,-1))))</f>
        <v/>
      </c>
      <c r="D37" s="34">
        <f>IF($B37="ABSOLUTE SEMANTIC",ABS('06_ITEM_POLE_MODEL'!M37),ABS('06_ITEM_POLE_MODEL'!M37)*ABS(SUMPRODUCT(--('93_TARGET_MEMBERSHIP'!AH$5:AH$27=1),'05_FEATURE_MODEL'!E$5:E$27)/MAX(1,COUNTIF('93_TARGET_MEMBERSHIP'!AH$5:AH$27,1))-SUMPRODUCT(--('93_TARGET_MEMBERSHIP'!AH$5:AH$27=-1),'05_FEATURE_MODEL'!E$5:E$27)/MAX(1,COUNTIF('93_TARGET_MEMBERSHIP'!AH$5:AH$27,-1))))</f>
        <v/>
      </c>
      <c r="E37" s="34">
        <f>IF($B37="ABSOLUTE SEMANTIC",ABS('06_ITEM_POLE_MODEL'!N37),ABS('06_ITEM_POLE_MODEL'!N37)*ABS(SUMPRODUCT(--('93_TARGET_MEMBERSHIP'!AH$5:AH$27=1),'05_FEATURE_MODEL'!F$5:F$27)/MAX(1,COUNTIF('93_TARGET_MEMBERSHIP'!AH$5:AH$27,1))-SUMPRODUCT(--('93_TARGET_MEMBERSHIP'!AH$5:AH$27=-1),'05_FEATURE_MODEL'!F$5:F$27)/MAX(1,COUNTIF('93_TARGET_MEMBERSHIP'!AH$5:AH$27,-1))))</f>
        <v/>
      </c>
      <c r="F37" s="34">
        <f>IF($B37="ABSOLUTE SEMANTIC",ABS('06_ITEM_POLE_MODEL'!O37),ABS('06_ITEM_POLE_MODEL'!O37)*ABS(SUMPRODUCT(--('93_TARGET_MEMBERSHIP'!AH$5:AH$27=1),'05_FEATURE_MODEL'!G$5:G$27)/MAX(1,COUNTIF('93_TARGET_MEMBERSHIP'!AH$5:AH$27,1))-SUMPRODUCT(--('93_TARGET_MEMBERSHIP'!AH$5:AH$27=-1),'05_FEATURE_MODEL'!G$5:G$27)/MAX(1,COUNTIF('93_TARGET_MEMBERSHIP'!AH$5:AH$27,-1))))</f>
        <v/>
      </c>
      <c r="G37" s="34">
        <f>IF($B37="ABSOLUTE SEMANTIC",ABS('06_ITEM_POLE_MODEL'!P37),ABS('06_ITEM_POLE_MODEL'!P37)*ABS(SUMPRODUCT(--('93_TARGET_MEMBERSHIP'!AH$5:AH$27=1),'05_FEATURE_MODEL'!H$5:H$27)/MAX(1,COUNTIF('93_TARGET_MEMBERSHIP'!AH$5:AH$27,1))-SUMPRODUCT(--('93_TARGET_MEMBERSHIP'!AH$5:AH$27=-1),'05_FEATURE_MODEL'!H$5:H$27)/MAX(1,COUNTIF('93_TARGET_MEMBERSHIP'!AH$5:AH$27,-1))))</f>
        <v/>
      </c>
      <c r="H37" s="34">
        <f>IF($B37="ABSOLUTE SEMANTIC",ABS('06_ITEM_POLE_MODEL'!Q37),ABS('06_ITEM_POLE_MODEL'!Q37)*ABS(SUMPRODUCT(--('93_TARGET_MEMBERSHIP'!AH$5:AH$27=1),'05_FEATURE_MODEL'!I$5:I$27)/MAX(1,COUNTIF('93_TARGET_MEMBERSHIP'!AH$5:AH$27,1))-SUMPRODUCT(--('93_TARGET_MEMBERSHIP'!AH$5:AH$27=-1),'05_FEATURE_MODEL'!I$5:I$27)/MAX(1,COUNTIF('93_TARGET_MEMBERSHIP'!AH$5:AH$27,-1))))</f>
        <v/>
      </c>
      <c r="I37" s="34">
        <f>IF($B37="ABSOLUTE SEMANTIC",ABS('06_ITEM_POLE_MODEL'!R37),ABS('06_ITEM_POLE_MODEL'!R37)*ABS(SUMPRODUCT(--('93_TARGET_MEMBERSHIP'!AH$5:AH$27=1),'05_FEATURE_MODEL'!J$5:J$27)/MAX(1,COUNTIF('93_TARGET_MEMBERSHIP'!AH$5:AH$27,1))-SUMPRODUCT(--('93_TARGET_MEMBERSHIP'!AH$5:AH$27=-1),'05_FEATURE_MODEL'!J$5:J$27)/MAX(1,COUNTIF('93_TARGET_MEMBERSHIP'!AH$5:AH$27,-1))))</f>
        <v/>
      </c>
      <c r="J37" s="34">
        <f>IF($B37="ABSOLUTE SEMANTIC",ABS('06_ITEM_POLE_MODEL'!S37),ABS('06_ITEM_POLE_MODEL'!S37)*ABS(SUMPRODUCT(--('93_TARGET_MEMBERSHIP'!AH$5:AH$27=1),'05_FEATURE_MODEL'!K$5:K$27)/MAX(1,COUNTIF('93_TARGET_MEMBERSHIP'!AH$5:AH$27,1))-SUMPRODUCT(--('93_TARGET_MEMBERSHIP'!AH$5:AH$27=-1),'05_FEATURE_MODEL'!K$5:K$27)/MAX(1,COUNTIF('93_TARGET_MEMBERSHIP'!AH$5:AH$27,-1))))</f>
        <v/>
      </c>
      <c r="K37" s="34">
        <f>IF($B37="ABSOLUTE SEMANTIC",ABS('06_ITEM_POLE_MODEL'!T37),ABS('06_ITEM_POLE_MODEL'!T37)*ABS(SUMPRODUCT(--('93_TARGET_MEMBERSHIP'!AH$5:AH$27=1),'05_FEATURE_MODEL'!L$5:L$27)/MAX(1,COUNTIF('93_TARGET_MEMBERSHIP'!AH$5:AH$27,1))-SUMPRODUCT(--('93_TARGET_MEMBERSHIP'!AH$5:AH$27=-1),'05_FEATURE_MODEL'!L$5:L$27)/MAX(1,COUNTIF('93_TARGET_MEMBERSHIP'!AH$5:AH$27,-1))))</f>
        <v/>
      </c>
      <c r="L37" s="34">
        <f>IF($B37="ABSOLUTE SEMANTIC",ABS('06_ITEM_POLE_MODEL'!U37),ABS('06_ITEM_POLE_MODEL'!U37)*ABS(SUMPRODUCT(--('93_TARGET_MEMBERSHIP'!AH$5:AH$27=1),'05_FEATURE_MODEL'!M$5:M$27)/MAX(1,COUNTIF('93_TARGET_MEMBERSHIP'!AH$5:AH$27,1))-SUMPRODUCT(--('93_TARGET_MEMBERSHIP'!AH$5:AH$27=-1),'05_FEATURE_MODEL'!M$5:M$27)/MAX(1,COUNTIF('93_TARGET_MEMBERSHIP'!AH$5:AH$27,-1))))</f>
        <v/>
      </c>
      <c r="M37" s="34">
        <f>IF($B37="ABSOLUTE SEMANTIC",ABS('06_ITEM_POLE_MODEL'!V37),ABS('06_ITEM_POLE_MODEL'!V37)*ABS(SUMPRODUCT(--('93_TARGET_MEMBERSHIP'!AH$5:AH$27=1),'05_FEATURE_MODEL'!N$5:N$27)/MAX(1,COUNTIF('93_TARGET_MEMBERSHIP'!AH$5:AH$27,1))-SUMPRODUCT(--('93_TARGET_MEMBERSHIP'!AH$5:AH$27=-1),'05_FEATURE_MODEL'!N$5:N$27)/MAX(1,COUNTIF('93_TARGET_MEMBERSHIP'!AH$5:AH$27,-1))))</f>
        <v/>
      </c>
      <c r="N37" s="34">
        <f>IF($B37="ABSOLUTE SEMANTIC",ABS('06_ITEM_POLE_MODEL'!W37),ABS('06_ITEM_POLE_MODEL'!W37)*ABS(SUMPRODUCT(--('93_TARGET_MEMBERSHIP'!AH$5:AH$27=1),'05_FEATURE_MODEL'!O$5:O$27)/MAX(1,COUNTIF('93_TARGET_MEMBERSHIP'!AH$5:AH$27,1))-SUMPRODUCT(--('93_TARGET_MEMBERSHIP'!AH$5:AH$27=-1),'05_FEATURE_MODEL'!O$5:O$27)/MAX(1,COUNTIF('93_TARGET_MEMBERSHIP'!AH$5:AH$27,-1))))</f>
        <v/>
      </c>
      <c r="O37" s="34">
        <f>IF($B37="ABSOLUTE SEMANTIC",ABS('06_ITEM_POLE_MODEL'!X37),ABS('06_ITEM_POLE_MODEL'!X37)*ABS(SUMPRODUCT(--('93_TARGET_MEMBERSHIP'!AH$5:AH$27=1),'05_FEATURE_MODEL'!P$5:P$27)/MAX(1,COUNTIF('93_TARGET_MEMBERSHIP'!AH$5:AH$27,1))-SUMPRODUCT(--('93_TARGET_MEMBERSHIP'!AH$5:AH$27=-1),'05_FEATURE_MODEL'!P$5:P$27)/MAX(1,COUNTIF('93_TARGET_MEMBERSHIP'!AH$5:AH$27,-1))))</f>
        <v/>
      </c>
      <c r="P37" s="34">
        <f>IF($B37="ABSOLUTE SEMANTIC",ABS('06_ITEM_POLE_MODEL'!Y37),ABS('06_ITEM_POLE_MODEL'!Y37)*ABS(SUMPRODUCT(--('93_TARGET_MEMBERSHIP'!AH$5:AH$27=1),'05_FEATURE_MODEL'!Q$5:Q$27)/MAX(1,COUNTIF('93_TARGET_MEMBERSHIP'!AH$5:AH$27,1))-SUMPRODUCT(--('93_TARGET_MEMBERSHIP'!AH$5:AH$27=-1),'05_FEATURE_MODEL'!Q$5:Q$27)/MAX(1,COUNTIF('93_TARGET_MEMBERSHIP'!AH$5:AH$27,-1))))</f>
        <v/>
      </c>
      <c r="Q37" s="34">
        <f>IF($B37="ABSOLUTE SEMANTIC",ABS('06_ITEM_POLE_MODEL'!Z37),ABS('06_ITEM_POLE_MODEL'!Z37)*ABS(SUMPRODUCT(--('93_TARGET_MEMBERSHIP'!AH$5:AH$27=1),'05_FEATURE_MODEL'!R$5:R$27)/MAX(1,COUNTIF('93_TARGET_MEMBERSHIP'!AH$5:AH$27,1))-SUMPRODUCT(--('93_TARGET_MEMBERSHIP'!AH$5:AH$27=-1),'05_FEATURE_MODEL'!R$5:R$27)/MAX(1,COUNTIF('93_TARGET_MEMBERSHIP'!AH$5:AH$27,-1))))</f>
        <v/>
      </c>
      <c r="R37" s="34">
        <f>IF($B37="ABSOLUTE SEMANTIC",ABS('06_ITEM_POLE_MODEL'!AA37),ABS('06_ITEM_POLE_MODEL'!AA37)*ABS(SUMPRODUCT(--('93_TARGET_MEMBERSHIP'!AH$5:AH$27=1),'05_FEATURE_MODEL'!S$5:S$27)/MAX(1,COUNTIF('93_TARGET_MEMBERSHIP'!AH$5:AH$27,1))-SUMPRODUCT(--('93_TARGET_MEMBERSHIP'!AH$5:AH$27=-1),'05_FEATURE_MODEL'!S$5:S$27)/MAX(1,COUNTIF('93_TARGET_MEMBERSHIP'!AH$5:AH$27,-1))))</f>
        <v/>
      </c>
      <c r="S37" s="34">
        <f>IF($B37="ABSOLUTE SEMANTIC",ABS('06_ITEM_POLE_MODEL'!AB37),ABS('06_ITEM_POLE_MODEL'!AB37)*ABS(SUMPRODUCT(--('93_TARGET_MEMBERSHIP'!AH$5:AH$27=1),'05_FEATURE_MODEL'!T$5:T$27)/MAX(1,COUNTIF('93_TARGET_MEMBERSHIP'!AH$5:AH$27,1))-SUMPRODUCT(--('93_TARGET_MEMBERSHIP'!AH$5:AH$27=-1),'05_FEATURE_MODEL'!T$5:T$27)/MAX(1,COUNTIF('93_TARGET_MEMBERSHIP'!AH$5:AH$27,-1))))</f>
        <v/>
      </c>
      <c r="T37" s="34">
        <f>IF($B37="ABSOLUTE SEMANTIC",ABS('06_ITEM_POLE_MODEL'!AC37),ABS('06_ITEM_POLE_MODEL'!AC37)*ABS(SUMPRODUCT(--('93_TARGET_MEMBERSHIP'!AH$5:AH$27=1),'05_FEATURE_MODEL'!U$5:U$27)/MAX(1,COUNTIF('93_TARGET_MEMBERSHIP'!AH$5:AH$27,1))-SUMPRODUCT(--('93_TARGET_MEMBERSHIP'!AH$5:AH$27=-1),'05_FEATURE_MODEL'!U$5:U$27)/MAX(1,COUNTIF('93_TARGET_MEMBERSHIP'!AH$5:AH$27,-1))))</f>
        <v/>
      </c>
      <c r="U37" s="34">
        <f>IF($B37="ABSOLUTE SEMANTIC",ABS('06_ITEM_POLE_MODEL'!AD37),ABS('06_ITEM_POLE_MODEL'!AD37)*ABS(SUMPRODUCT(--('93_TARGET_MEMBERSHIP'!AH$5:AH$27=1),'05_FEATURE_MODEL'!V$5:V$27)/MAX(1,COUNTIF('93_TARGET_MEMBERSHIP'!AH$5:AH$27,1))-SUMPRODUCT(--('93_TARGET_MEMBERSHIP'!AH$5:AH$27=-1),'05_FEATURE_MODEL'!V$5:V$27)/MAX(1,COUNTIF('93_TARGET_MEMBERSHIP'!AH$5:AH$27,-1))))</f>
        <v/>
      </c>
      <c r="V37" s="34">
        <f>IF($B37="ABSOLUTE SEMANTIC",ABS('06_ITEM_POLE_MODEL'!AE37),ABS('06_ITEM_POLE_MODEL'!AE37)*ABS(SUMPRODUCT(--('93_TARGET_MEMBERSHIP'!AH$5:AH$27=1),'05_FEATURE_MODEL'!W$5:W$27)/MAX(1,COUNTIF('93_TARGET_MEMBERSHIP'!AH$5:AH$27,1))-SUMPRODUCT(--('93_TARGET_MEMBERSHIP'!AH$5:AH$27=-1),'05_FEATURE_MODEL'!W$5:W$27)/MAX(1,COUNTIF('93_TARGET_MEMBERSHIP'!AH$5:AH$27,-1))))</f>
        <v/>
      </c>
      <c r="W37" s="34">
        <f>IF($B37="ABSOLUTE SEMANTIC",ABS('06_ITEM_POLE_MODEL'!AF37),ABS('06_ITEM_POLE_MODEL'!AF37)*ABS(SUMPRODUCT(--('93_TARGET_MEMBERSHIP'!AH$5:AH$27=1),'05_FEATURE_MODEL'!X$5:X$27)/MAX(1,COUNTIF('93_TARGET_MEMBERSHIP'!AH$5:AH$27,1))-SUMPRODUCT(--('93_TARGET_MEMBERSHIP'!AH$5:AH$27=-1),'05_FEATURE_MODEL'!X$5:X$27)/MAX(1,COUNTIF('93_TARGET_MEMBERSHIP'!AH$5:AH$27,-1))))</f>
        <v/>
      </c>
      <c r="X37" s="34">
        <f>IF($B37="ABSOLUTE SEMANTIC",ABS('06_ITEM_POLE_MODEL'!AG37),ABS('06_ITEM_POLE_MODEL'!AG37)*ABS(SUMPRODUCT(--('93_TARGET_MEMBERSHIP'!AH$5:AH$27=1),'05_FEATURE_MODEL'!Y$5:Y$27)/MAX(1,COUNTIF('93_TARGET_MEMBERSHIP'!AH$5:AH$27,1))-SUMPRODUCT(--('93_TARGET_MEMBERSHIP'!AH$5:AH$27=-1),'05_FEATURE_MODEL'!Y$5:Y$27)/MAX(1,COUNTIF('93_TARGET_MEMBERSHIP'!AH$5:AH$27,-1))))</f>
        <v/>
      </c>
      <c r="Y37" s="34">
        <f>IF($B37="ABSOLUTE SEMANTIC",ABS('06_ITEM_POLE_MODEL'!AH37),ABS('06_ITEM_POLE_MODEL'!AH37)*ABS(SUMPRODUCT(--('93_TARGET_MEMBERSHIP'!AH$5:AH$27=1),'05_FEATURE_MODEL'!Z$5:Z$27)/MAX(1,COUNTIF('93_TARGET_MEMBERSHIP'!AH$5:AH$27,1))-SUMPRODUCT(--('93_TARGET_MEMBERSHIP'!AH$5:AH$27=-1),'05_FEATURE_MODEL'!Z$5:Z$27)/MAX(1,COUNTIF('93_TARGET_MEMBERSHIP'!AH$5:AH$27,-1))))</f>
        <v/>
      </c>
      <c r="Z37" s="34">
        <f>IF($B37="ABSOLUTE SEMANTIC",ABS('06_ITEM_POLE_MODEL'!AI37),ABS('06_ITEM_POLE_MODEL'!AI37)*ABS(SUMPRODUCT(--('93_TARGET_MEMBERSHIP'!AH$5:AH$27=1),'05_FEATURE_MODEL'!AA$5:AA$27)/MAX(1,COUNTIF('93_TARGET_MEMBERSHIP'!AH$5:AH$27,1))-SUMPRODUCT(--('93_TARGET_MEMBERSHIP'!AH$5:AH$27=-1),'05_FEATURE_MODEL'!AA$5:AA$27)/MAX(1,COUNTIF('93_TARGET_MEMBERSHIP'!AH$5:AH$27,-1))))</f>
        <v/>
      </c>
      <c r="AA37" s="34">
        <f>IF($B37="ABSOLUTE SEMANTIC",ABS('06_ITEM_POLE_MODEL'!AJ37),ABS('06_ITEM_POLE_MODEL'!AJ37)*ABS(SUMPRODUCT(--('93_TARGET_MEMBERSHIP'!AH$5:AH$27=1),'05_FEATURE_MODEL'!AB$5:AB$27)/MAX(1,COUNTIF('93_TARGET_MEMBERSHIP'!AH$5:AH$27,1))-SUMPRODUCT(--('93_TARGET_MEMBERSHIP'!AH$5:AH$27=-1),'05_FEATURE_MODEL'!AB$5:AB$27)/MAX(1,COUNTIF('93_TARGET_MEMBERSHIP'!AH$5:AH$27,-1))))</f>
        <v/>
      </c>
      <c r="AB37" s="34">
        <f>IF($B37="ABSOLUTE SEMANTIC",ABS('06_ITEM_POLE_MODEL'!AK37),ABS('06_ITEM_POLE_MODEL'!AK37)*ABS(SUMPRODUCT(--('93_TARGET_MEMBERSHIP'!AH$5:AH$27=1),'05_FEATURE_MODEL'!AC$5:AC$27)/MAX(1,COUNTIF('93_TARGET_MEMBERSHIP'!AH$5:AH$27,1))-SUMPRODUCT(--('93_TARGET_MEMBERSHIP'!AH$5:AH$27=-1),'05_FEATURE_MODEL'!AC$5:AC$27)/MAX(1,COUNTIF('93_TARGET_MEMBERSHIP'!AH$5:AH$27,-1))))</f>
        <v/>
      </c>
      <c r="AC37" s="34">
        <f>IF($B37="ABSOLUTE SEMANTIC",ABS('06_ITEM_POLE_MODEL'!AL37),ABS('06_ITEM_POLE_MODEL'!AL37)*ABS(SUMPRODUCT(--('93_TARGET_MEMBERSHIP'!AH$5:AH$27=1),'05_FEATURE_MODEL'!AD$5:AD$27)/MAX(1,COUNTIF('93_TARGET_MEMBERSHIP'!AH$5:AH$27,1))-SUMPRODUCT(--('93_TARGET_MEMBERSHIP'!AH$5:AH$27=-1),'05_FEATURE_MODEL'!AD$5:AD$27)/MAX(1,COUNTIF('93_TARGET_MEMBERSHIP'!AH$5:AH$27,-1))))</f>
        <v/>
      </c>
      <c r="AD37" s="34">
        <f>IF($B37="ABSOLUTE SEMANTIC",ABS('06_ITEM_POLE_MODEL'!AM37),ABS('06_ITEM_POLE_MODEL'!AM37)*ABS(SUMPRODUCT(--('93_TARGET_MEMBERSHIP'!AH$5:AH$27=1),'05_FEATURE_MODEL'!AE$5:AE$27)/MAX(1,COUNTIF('93_TARGET_MEMBERSHIP'!AH$5:AH$27,1))-SUMPRODUCT(--('93_TARGET_MEMBERSHIP'!AH$5:AH$27=-1),'05_FEATURE_MODEL'!AE$5:AE$27)/MAX(1,COUNTIF('93_TARGET_MEMBERSHIP'!AH$5:AH$27,-1))))</f>
        <v/>
      </c>
      <c r="AE37" s="34">
        <f>IF($B37="ABSOLUTE SEMANTIC",ABS('06_ITEM_POLE_MODEL'!AN37),ABS('06_ITEM_POLE_MODEL'!AN37)*ABS(SUMPRODUCT(--('93_TARGET_MEMBERSHIP'!AH$5:AH$27=1),'05_FEATURE_MODEL'!AF$5:AF$27)/MAX(1,COUNTIF('93_TARGET_MEMBERSHIP'!AH$5:AH$27,1))-SUMPRODUCT(--('93_TARGET_MEMBERSHIP'!AH$5:AH$27=-1),'05_FEATURE_MODEL'!AF$5:AF$27)/MAX(1,COUNTIF('93_TARGET_MEMBERSHIP'!AH$5:AH$27,-1))))</f>
        <v/>
      </c>
      <c r="AF37" s="34">
        <f>IF($B37="ABSOLUTE SEMANTIC",ABS('06_ITEM_POLE_MODEL'!AO37),ABS('06_ITEM_POLE_MODEL'!AO37)*ABS(SUMPRODUCT(--('93_TARGET_MEMBERSHIP'!AH$5:AH$27=1),'05_FEATURE_MODEL'!AG$5:AG$27)/MAX(1,COUNTIF('93_TARGET_MEMBERSHIP'!AH$5:AH$27,1))-SUMPRODUCT(--('93_TARGET_MEMBERSHIP'!AH$5:AH$27=-1),'05_FEATURE_MODEL'!AG$5:AG$27)/MAX(1,COUNTIF('93_TARGET_MEMBERSHIP'!AH$5:AH$27,-1))))</f>
        <v/>
      </c>
      <c r="AG37" s="34">
        <f>IF($B37="ABSOLUTE SEMANTIC",ABS('06_ITEM_POLE_MODEL'!AP37),ABS('06_ITEM_POLE_MODEL'!AP37)*ABS(SUMPRODUCT(--('93_TARGET_MEMBERSHIP'!AH$5:AH$27=1),'05_FEATURE_MODEL'!AH$5:AH$27)/MAX(1,COUNTIF('93_TARGET_MEMBERSHIP'!AH$5:AH$27,1))-SUMPRODUCT(--('93_TARGET_MEMBERSHIP'!AH$5:AH$27=-1),'05_FEATURE_MODEL'!AH$5:AH$27)/MAX(1,COUNTIF('93_TARGET_MEMBERSHIP'!AH$5:AH$27,-1))))</f>
        <v/>
      </c>
      <c r="AH37" s="34">
        <f>IF($B37="ABSOLUTE SEMANTIC",ABS('06_ITEM_POLE_MODEL'!AQ37),ABS('06_ITEM_POLE_MODEL'!AQ37)*ABS(SUMPRODUCT(--('93_TARGET_MEMBERSHIP'!AH$5:AH$27=1),'05_FEATURE_MODEL'!AI$5:AI$27)/MAX(1,COUNTIF('93_TARGET_MEMBERSHIP'!AH$5:AH$27,1))-SUMPRODUCT(--('93_TARGET_MEMBERSHIP'!AH$5:AH$27=-1),'05_FEATURE_MODEL'!AI$5:AI$27)/MAX(1,COUNTIF('93_TARGET_MEMBERSHIP'!AH$5:AH$27,-1))))</f>
        <v/>
      </c>
      <c r="AI37" s="34">
        <f>IF($B37="ABSOLUTE SEMANTIC",ABS('06_ITEM_POLE_MODEL'!AR37),ABS('06_ITEM_POLE_MODEL'!AR37)*ABS(SUMPRODUCT(--('93_TARGET_MEMBERSHIP'!AH$5:AH$27=1),'05_FEATURE_MODEL'!AJ$5:AJ$27)/MAX(1,COUNTIF('93_TARGET_MEMBERSHIP'!AH$5:AH$27,1))-SUMPRODUCT(--('93_TARGET_MEMBERSHIP'!AH$5:AH$27=-1),'05_FEATURE_MODEL'!AJ$5:AJ$27)/MAX(1,COUNTIF('93_TARGET_MEMBERSHIP'!AH$5:AH$27,-1))))</f>
        <v/>
      </c>
      <c r="AJ37" s="34">
        <f>IF($B37="ABSOLUTE SEMANTIC",ABS('06_ITEM_POLE_MODEL'!AS37),ABS('06_ITEM_POLE_MODEL'!AS37)*ABS(SUMPRODUCT(--('93_TARGET_MEMBERSHIP'!AH$5:AH$27=1),'05_FEATURE_MODEL'!AK$5:AK$27)/MAX(1,COUNTIF('93_TARGET_MEMBERSHIP'!AH$5:AH$27,1))-SUMPRODUCT(--('93_TARGET_MEMBERSHIP'!AH$5:AH$27=-1),'05_FEATURE_MODEL'!AK$5:AK$27)/MAX(1,COUNTIF('93_TARGET_MEMBERSHIP'!AH$5:AH$27,-1))))</f>
        <v/>
      </c>
      <c r="AK37" s="34">
        <f>IF($B37="ABSOLUTE SEMANTIC",ABS('06_ITEM_POLE_MODEL'!AT37),ABS('06_ITEM_POLE_MODEL'!AT37)*ABS(SUMPRODUCT(--('93_TARGET_MEMBERSHIP'!AH$5:AH$27=1),'05_FEATURE_MODEL'!AL$5:AL$27)/MAX(1,COUNTIF('93_TARGET_MEMBERSHIP'!AH$5:AH$27,1))-SUMPRODUCT(--('93_TARGET_MEMBERSHIP'!AH$5:AH$27=-1),'05_FEATURE_MODEL'!AL$5:AL$27)/MAX(1,COUNTIF('93_TARGET_MEMBERSHIP'!AH$5:AH$27,-1))))</f>
        <v/>
      </c>
      <c r="AL37" s="34">
        <f>IF($B37="ABSOLUTE SEMANTIC",ABS('06_ITEM_POLE_MODEL'!AU37),ABS('06_ITEM_POLE_MODEL'!AU37)*ABS(SUMPRODUCT(--('93_TARGET_MEMBERSHIP'!AH$5:AH$27=1),'05_FEATURE_MODEL'!AM$5:AM$27)/MAX(1,COUNTIF('93_TARGET_MEMBERSHIP'!AH$5:AH$27,1))-SUMPRODUCT(--('93_TARGET_MEMBERSHIP'!AH$5:AH$27=-1),'05_FEATURE_MODEL'!AM$5:AM$27)/MAX(1,COUNTIF('93_TARGET_MEMBERSHIP'!AH$5:AH$27,-1))))</f>
        <v/>
      </c>
      <c r="AM37" s="34">
        <f>IF($B37="ABSOLUTE SEMANTIC",ABS('06_ITEM_POLE_MODEL'!AV37),ABS('06_ITEM_POLE_MODEL'!AV37)*ABS(SUMPRODUCT(--('93_TARGET_MEMBERSHIP'!AH$5:AH$27=1),'05_FEATURE_MODEL'!AN$5:AN$27)/MAX(1,COUNTIF('93_TARGET_MEMBERSHIP'!AH$5:AH$27,1))-SUMPRODUCT(--('93_TARGET_MEMBERSHIP'!AH$5:AH$27=-1),'05_FEATURE_MODEL'!AN$5:AN$27)/MAX(1,COUNTIF('93_TARGET_MEMBERSHIP'!AH$5:AH$27,-1))))</f>
        <v/>
      </c>
      <c r="AN37" s="34">
        <f>IF($B37="ABSOLUTE SEMANTIC",ABS('06_ITEM_POLE_MODEL'!AW37),ABS('06_ITEM_POLE_MODEL'!AW37)*ABS(SUMPRODUCT(--('93_TARGET_MEMBERSHIP'!AH$5:AH$27=1),'05_FEATURE_MODEL'!AO$5:AO$27)/MAX(1,COUNTIF('93_TARGET_MEMBERSHIP'!AH$5:AH$27,1))-SUMPRODUCT(--('93_TARGET_MEMBERSHIP'!AH$5:AH$27=-1),'05_FEATURE_MODEL'!AO$5:AO$27)/MAX(1,COUNTIF('93_TARGET_MEMBERSHIP'!AH$5:AH$27,-1))))</f>
        <v/>
      </c>
      <c r="AO37" s="34">
        <f>IF($B37="ABSOLUTE SEMANTIC",ABS('06_ITEM_POLE_MODEL'!AX37),ABS('06_ITEM_POLE_MODEL'!AX37)*ABS(SUMPRODUCT(--('93_TARGET_MEMBERSHIP'!AH$5:AH$27=1),'05_FEATURE_MODEL'!AP$5:AP$27)/MAX(1,COUNTIF('93_TARGET_MEMBERSHIP'!AH$5:AH$27,1))-SUMPRODUCT(--('93_TARGET_MEMBERSHIP'!AH$5:AH$27=-1),'05_FEATURE_MODEL'!AP$5:AP$27)/MAX(1,COUNTIF('93_TARGET_MEMBERSHIP'!AH$5:AH$27,-1))))</f>
        <v/>
      </c>
      <c r="AP37" s="34">
        <f>IF($B37="ABSOLUTE SEMANTIC",ABS('06_ITEM_POLE_MODEL'!AY37),ABS('06_ITEM_POLE_MODEL'!AY37)*ABS(SUMPRODUCT(--('93_TARGET_MEMBERSHIP'!AH$5:AH$27=1),'05_FEATURE_MODEL'!AQ$5:AQ$27)/MAX(1,COUNTIF('93_TARGET_MEMBERSHIP'!AH$5:AH$27,1))-SUMPRODUCT(--('93_TARGET_MEMBERSHIP'!AH$5:AH$27=-1),'05_FEATURE_MODEL'!AQ$5:AQ$27)/MAX(1,COUNTIF('93_TARGET_MEMBERSHIP'!AH$5:AH$27,-1))))</f>
        <v/>
      </c>
      <c r="AQ37" s="34">
        <f>IF($B37="ABSOLUTE SEMANTIC",ABS('06_ITEM_POLE_MODEL'!AZ37),ABS('06_ITEM_POLE_MODEL'!AZ37)*ABS(SUMPRODUCT(--('93_TARGET_MEMBERSHIP'!AH$5:AH$27=1),'05_FEATURE_MODEL'!AR$5:AR$27)/MAX(1,COUNTIF('93_TARGET_MEMBERSHIP'!AH$5:AH$27,1))-SUMPRODUCT(--('93_TARGET_MEMBERSHIP'!AH$5:AH$27=-1),'05_FEATURE_MODEL'!AR$5:AR$27)/MAX(1,COUNTIF('93_TARGET_MEMBERSHIP'!AH$5:AH$27,-1))))</f>
        <v/>
      </c>
    </row>
    <row r="38" ht="36" customHeight="1">
      <c r="A38" s="34">
        <f>'06_ITEM_POLE_MODEL'!A38</f>
        <v/>
      </c>
      <c r="B38" s="34">
        <f>'06_ITEM_POLE_MODEL'!E38</f>
        <v/>
      </c>
      <c r="C38" s="34">
        <f>IF($B38="ABSOLUTE SEMANTIC",ABS('06_ITEM_POLE_MODEL'!L38),ABS('06_ITEM_POLE_MODEL'!L38)*ABS(SUMPRODUCT(--('93_TARGET_MEMBERSHIP'!AI$5:AI$27=1),'05_FEATURE_MODEL'!D$5:D$27)/MAX(1,COUNTIF('93_TARGET_MEMBERSHIP'!AI$5:AI$27,1))-SUMPRODUCT(--('93_TARGET_MEMBERSHIP'!AI$5:AI$27=-1),'05_FEATURE_MODEL'!D$5:D$27)/MAX(1,COUNTIF('93_TARGET_MEMBERSHIP'!AI$5:AI$27,-1))))</f>
        <v/>
      </c>
      <c r="D38" s="34">
        <f>IF($B38="ABSOLUTE SEMANTIC",ABS('06_ITEM_POLE_MODEL'!M38),ABS('06_ITEM_POLE_MODEL'!M38)*ABS(SUMPRODUCT(--('93_TARGET_MEMBERSHIP'!AI$5:AI$27=1),'05_FEATURE_MODEL'!E$5:E$27)/MAX(1,COUNTIF('93_TARGET_MEMBERSHIP'!AI$5:AI$27,1))-SUMPRODUCT(--('93_TARGET_MEMBERSHIP'!AI$5:AI$27=-1),'05_FEATURE_MODEL'!E$5:E$27)/MAX(1,COUNTIF('93_TARGET_MEMBERSHIP'!AI$5:AI$27,-1))))</f>
        <v/>
      </c>
      <c r="E38" s="34">
        <f>IF($B38="ABSOLUTE SEMANTIC",ABS('06_ITEM_POLE_MODEL'!N38),ABS('06_ITEM_POLE_MODEL'!N38)*ABS(SUMPRODUCT(--('93_TARGET_MEMBERSHIP'!AI$5:AI$27=1),'05_FEATURE_MODEL'!F$5:F$27)/MAX(1,COUNTIF('93_TARGET_MEMBERSHIP'!AI$5:AI$27,1))-SUMPRODUCT(--('93_TARGET_MEMBERSHIP'!AI$5:AI$27=-1),'05_FEATURE_MODEL'!F$5:F$27)/MAX(1,COUNTIF('93_TARGET_MEMBERSHIP'!AI$5:AI$27,-1))))</f>
        <v/>
      </c>
      <c r="F38" s="34">
        <f>IF($B38="ABSOLUTE SEMANTIC",ABS('06_ITEM_POLE_MODEL'!O38),ABS('06_ITEM_POLE_MODEL'!O38)*ABS(SUMPRODUCT(--('93_TARGET_MEMBERSHIP'!AI$5:AI$27=1),'05_FEATURE_MODEL'!G$5:G$27)/MAX(1,COUNTIF('93_TARGET_MEMBERSHIP'!AI$5:AI$27,1))-SUMPRODUCT(--('93_TARGET_MEMBERSHIP'!AI$5:AI$27=-1),'05_FEATURE_MODEL'!G$5:G$27)/MAX(1,COUNTIF('93_TARGET_MEMBERSHIP'!AI$5:AI$27,-1))))</f>
        <v/>
      </c>
      <c r="G38" s="34">
        <f>IF($B38="ABSOLUTE SEMANTIC",ABS('06_ITEM_POLE_MODEL'!P38),ABS('06_ITEM_POLE_MODEL'!P38)*ABS(SUMPRODUCT(--('93_TARGET_MEMBERSHIP'!AI$5:AI$27=1),'05_FEATURE_MODEL'!H$5:H$27)/MAX(1,COUNTIF('93_TARGET_MEMBERSHIP'!AI$5:AI$27,1))-SUMPRODUCT(--('93_TARGET_MEMBERSHIP'!AI$5:AI$27=-1),'05_FEATURE_MODEL'!H$5:H$27)/MAX(1,COUNTIF('93_TARGET_MEMBERSHIP'!AI$5:AI$27,-1))))</f>
        <v/>
      </c>
      <c r="H38" s="34">
        <f>IF($B38="ABSOLUTE SEMANTIC",ABS('06_ITEM_POLE_MODEL'!Q38),ABS('06_ITEM_POLE_MODEL'!Q38)*ABS(SUMPRODUCT(--('93_TARGET_MEMBERSHIP'!AI$5:AI$27=1),'05_FEATURE_MODEL'!I$5:I$27)/MAX(1,COUNTIF('93_TARGET_MEMBERSHIP'!AI$5:AI$27,1))-SUMPRODUCT(--('93_TARGET_MEMBERSHIP'!AI$5:AI$27=-1),'05_FEATURE_MODEL'!I$5:I$27)/MAX(1,COUNTIF('93_TARGET_MEMBERSHIP'!AI$5:AI$27,-1))))</f>
        <v/>
      </c>
      <c r="I38" s="34">
        <f>IF($B38="ABSOLUTE SEMANTIC",ABS('06_ITEM_POLE_MODEL'!R38),ABS('06_ITEM_POLE_MODEL'!R38)*ABS(SUMPRODUCT(--('93_TARGET_MEMBERSHIP'!AI$5:AI$27=1),'05_FEATURE_MODEL'!J$5:J$27)/MAX(1,COUNTIF('93_TARGET_MEMBERSHIP'!AI$5:AI$27,1))-SUMPRODUCT(--('93_TARGET_MEMBERSHIP'!AI$5:AI$27=-1),'05_FEATURE_MODEL'!J$5:J$27)/MAX(1,COUNTIF('93_TARGET_MEMBERSHIP'!AI$5:AI$27,-1))))</f>
        <v/>
      </c>
      <c r="J38" s="34">
        <f>IF($B38="ABSOLUTE SEMANTIC",ABS('06_ITEM_POLE_MODEL'!S38),ABS('06_ITEM_POLE_MODEL'!S38)*ABS(SUMPRODUCT(--('93_TARGET_MEMBERSHIP'!AI$5:AI$27=1),'05_FEATURE_MODEL'!K$5:K$27)/MAX(1,COUNTIF('93_TARGET_MEMBERSHIP'!AI$5:AI$27,1))-SUMPRODUCT(--('93_TARGET_MEMBERSHIP'!AI$5:AI$27=-1),'05_FEATURE_MODEL'!K$5:K$27)/MAX(1,COUNTIF('93_TARGET_MEMBERSHIP'!AI$5:AI$27,-1))))</f>
        <v/>
      </c>
      <c r="K38" s="34">
        <f>IF($B38="ABSOLUTE SEMANTIC",ABS('06_ITEM_POLE_MODEL'!T38),ABS('06_ITEM_POLE_MODEL'!T38)*ABS(SUMPRODUCT(--('93_TARGET_MEMBERSHIP'!AI$5:AI$27=1),'05_FEATURE_MODEL'!L$5:L$27)/MAX(1,COUNTIF('93_TARGET_MEMBERSHIP'!AI$5:AI$27,1))-SUMPRODUCT(--('93_TARGET_MEMBERSHIP'!AI$5:AI$27=-1),'05_FEATURE_MODEL'!L$5:L$27)/MAX(1,COUNTIF('93_TARGET_MEMBERSHIP'!AI$5:AI$27,-1))))</f>
        <v/>
      </c>
      <c r="L38" s="34">
        <f>IF($B38="ABSOLUTE SEMANTIC",ABS('06_ITEM_POLE_MODEL'!U38),ABS('06_ITEM_POLE_MODEL'!U38)*ABS(SUMPRODUCT(--('93_TARGET_MEMBERSHIP'!AI$5:AI$27=1),'05_FEATURE_MODEL'!M$5:M$27)/MAX(1,COUNTIF('93_TARGET_MEMBERSHIP'!AI$5:AI$27,1))-SUMPRODUCT(--('93_TARGET_MEMBERSHIP'!AI$5:AI$27=-1),'05_FEATURE_MODEL'!M$5:M$27)/MAX(1,COUNTIF('93_TARGET_MEMBERSHIP'!AI$5:AI$27,-1))))</f>
        <v/>
      </c>
      <c r="M38" s="34">
        <f>IF($B38="ABSOLUTE SEMANTIC",ABS('06_ITEM_POLE_MODEL'!V38),ABS('06_ITEM_POLE_MODEL'!V38)*ABS(SUMPRODUCT(--('93_TARGET_MEMBERSHIP'!AI$5:AI$27=1),'05_FEATURE_MODEL'!N$5:N$27)/MAX(1,COUNTIF('93_TARGET_MEMBERSHIP'!AI$5:AI$27,1))-SUMPRODUCT(--('93_TARGET_MEMBERSHIP'!AI$5:AI$27=-1),'05_FEATURE_MODEL'!N$5:N$27)/MAX(1,COUNTIF('93_TARGET_MEMBERSHIP'!AI$5:AI$27,-1))))</f>
        <v/>
      </c>
      <c r="N38" s="34">
        <f>IF($B38="ABSOLUTE SEMANTIC",ABS('06_ITEM_POLE_MODEL'!W38),ABS('06_ITEM_POLE_MODEL'!W38)*ABS(SUMPRODUCT(--('93_TARGET_MEMBERSHIP'!AI$5:AI$27=1),'05_FEATURE_MODEL'!O$5:O$27)/MAX(1,COUNTIF('93_TARGET_MEMBERSHIP'!AI$5:AI$27,1))-SUMPRODUCT(--('93_TARGET_MEMBERSHIP'!AI$5:AI$27=-1),'05_FEATURE_MODEL'!O$5:O$27)/MAX(1,COUNTIF('93_TARGET_MEMBERSHIP'!AI$5:AI$27,-1))))</f>
        <v/>
      </c>
      <c r="O38" s="34">
        <f>IF($B38="ABSOLUTE SEMANTIC",ABS('06_ITEM_POLE_MODEL'!X38),ABS('06_ITEM_POLE_MODEL'!X38)*ABS(SUMPRODUCT(--('93_TARGET_MEMBERSHIP'!AI$5:AI$27=1),'05_FEATURE_MODEL'!P$5:P$27)/MAX(1,COUNTIF('93_TARGET_MEMBERSHIP'!AI$5:AI$27,1))-SUMPRODUCT(--('93_TARGET_MEMBERSHIP'!AI$5:AI$27=-1),'05_FEATURE_MODEL'!P$5:P$27)/MAX(1,COUNTIF('93_TARGET_MEMBERSHIP'!AI$5:AI$27,-1))))</f>
        <v/>
      </c>
      <c r="P38" s="34">
        <f>IF($B38="ABSOLUTE SEMANTIC",ABS('06_ITEM_POLE_MODEL'!Y38),ABS('06_ITEM_POLE_MODEL'!Y38)*ABS(SUMPRODUCT(--('93_TARGET_MEMBERSHIP'!AI$5:AI$27=1),'05_FEATURE_MODEL'!Q$5:Q$27)/MAX(1,COUNTIF('93_TARGET_MEMBERSHIP'!AI$5:AI$27,1))-SUMPRODUCT(--('93_TARGET_MEMBERSHIP'!AI$5:AI$27=-1),'05_FEATURE_MODEL'!Q$5:Q$27)/MAX(1,COUNTIF('93_TARGET_MEMBERSHIP'!AI$5:AI$27,-1))))</f>
        <v/>
      </c>
      <c r="Q38" s="34">
        <f>IF($B38="ABSOLUTE SEMANTIC",ABS('06_ITEM_POLE_MODEL'!Z38),ABS('06_ITEM_POLE_MODEL'!Z38)*ABS(SUMPRODUCT(--('93_TARGET_MEMBERSHIP'!AI$5:AI$27=1),'05_FEATURE_MODEL'!R$5:R$27)/MAX(1,COUNTIF('93_TARGET_MEMBERSHIP'!AI$5:AI$27,1))-SUMPRODUCT(--('93_TARGET_MEMBERSHIP'!AI$5:AI$27=-1),'05_FEATURE_MODEL'!R$5:R$27)/MAX(1,COUNTIF('93_TARGET_MEMBERSHIP'!AI$5:AI$27,-1))))</f>
        <v/>
      </c>
      <c r="R38" s="34">
        <f>IF($B38="ABSOLUTE SEMANTIC",ABS('06_ITEM_POLE_MODEL'!AA38),ABS('06_ITEM_POLE_MODEL'!AA38)*ABS(SUMPRODUCT(--('93_TARGET_MEMBERSHIP'!AI$5:AI$27=1),'05_FEATURE_MODEL'!S$5:S$27)/MAX(1,COUNTIF('93_TARGET_MEMBERSHIP'!AI$5:AI$27,1))-SUMPRODUCT(--('93_TARGET_MEMBERSHIP'!AI$5:AI$27=-1),'05_FEATURE_MODEL'!S$5:S$27)/MAX(1,COUNTIF('93_TARGET_MEMBERSHIP'!AI$5:AI$27,-1))))</f>
        <v/>
      </c>
      <c r="S38" s="34">
        <f>IF($B38="ABSOLUTE SEMANTIC",ABS('06_ITEM_POLE_MODEL'!AB38),ABS('06_ITEM_POLE_MODEL'!AB38)*ABS(SUMPRODUCT(--('93_TARGET_MEMBERSHIP'!AI$5:AI$27=1),'05_FEATURE_MODEL'!T$5:T$27)/MAX(1,COUNTIF('93_TARGET_MEMBERSHIP'!AI$5:AI$27,1))-SUMPRODUCT(--('93_TARGET_MEMBERSHIP'!AI$5:AI$27=-1),'05_FEATURE_MODEL'!T$5:T$27)/MAX(1,COUNTIF('93_TARGET_MEMBERSHIP'!AI$5:AI$27,-1))))</f>
        <v/>
      </c>
      <c r="T38" s="34">
        <f>IF($B38="ABSOLUTE SEMANTIC",ABS('06_ITEM_POLE_MODEL'!AC38),ABS('06_ITEM_POLE_MODEL'!AC38)*ABS(SUMPRODUCT(--('93_TARGET_MEMBERSHIP'!AI$5:AI$27=1),'05_FEATURE_MODEL'!U$5:U$27)/MAX(1,COUNTIF('93_TARGET_MEMBERSHIP'!AI$5:AI$27,1))-SUMPRODUCT(--('93_TARGET_MEMBERSHIP'!AI$5:AI$27=-1),'05_FEATURE_MODEL'!U$5:U$27)/MAX(1,COUNTIF('93_TARGET_MEMBERSHIP'!AI$5:AI$27,-1))))</f>
        <v/>
      </c>
      <c r="U38" s="34">
        <f>IF($B38="ABSOLUTE SEMANTIC",ABS('06_ITEM_POLE_MODEL'!AD38),ABS('06_ITEM_POLE_MODEL'!AD38)*ABS(SUMPRODUCT(--('93_TARGET_MEMBERSHIP'!AI$5:AI$27=1),'05_FEATURE_MODEL'!V$5:V$27)/MAX(1,COUNTIF('93_TARGET_MEMBERSHIP'!AI$5:AI$27,1))-SUMPRODUCT(--('93_TARGET_MEMBERSHIP'!AI$5:AI$27=-1),'05_FEATURE_MODEL'!V$5:V$27)/MAX(1,COUNTIF('93_TARGET_MEMBERSHIP'!AI$5:AI$27,-1))))</f>
        <v/>
      </c>
      <c r="V38" s="34">
        <f>IF($B38="ABSOLUTE SEMANTIC",ABS('06_ITEM_POLE_MODEL'!AE38),ABS('06_ITEM_POLE_MODEL'!AE38)*ABS(SUMPRODUCT(--('93_TARGET_MEMBERSHIP'!AI$5:AI$27=1),'05_FEATURE_MODEL'!W$5:W$27)/MAX(1,COUNTIF('93_TARGET_MEMBERSHIP'!AI$5:AI$27,1))-SUMPRODUCT(--('93_TARGET_MEMBERSHIP'!AI$5:AI$27=-1),'05_FEATURE_MODEL'!W$5:W$27)/MAX(1,COUNTIF('93_TARGET_MEMBERSHIP'!AI$5:AI$27,-1))))</f>
        <v/>
      </c>
      <c r="W38" s="34">
        <f>IF($B38="ABSOLUTE SEMANTIC",ABS('06_ITEM_POLE_MODEL'!AF38),ABS('06_ITEM_POLE_MODEL'!AF38)*ABS(SUMPRODUCT(--('93_TARGET_MEMBERSHIP'!AI$5:AI$27=1),'05_FEATURE_MODEL'!X$5:X$27)/MAX(1,COUNTIF('93_TARGET_MEMBERSHIP'!AI$5:AI$27,1))-SUMPRODUCT(--('93_TARGET_MEMBERSHIP'!AI$5:AI$27=-1),'05_FEATURE_MODEL'!X$5:X$27)/MAX(1,COUNTIF('93_TARGET_MEMBERSHIP'!AI$5:AI$27,-1))))</f>
        <v/>
      </c>
      <c r="X38" s="34">
        <f>IF($B38="ABSOLUTE SEMANTIC",ABS('06_ITEM_POLE_MODEL'!AG38),ABS('06_ITEM_POLE_MODEL'!AG38)*ABS(SUMPRODUCT(--('93_TARGET_MEMBERSHIP'!AI$5:AI$27=1),'05_FEATURE_MODEL'!Y$5:Y$27)/MAX(1,COUNTIF('93_TARGET_MEMBERSHIP'!AI$5:AI$27,1))-SUMPRODUCT(--('93_TARGET_MEMBERSHIP'!AI$5:AI$27=-1),'05_FEATURE_MODEL'!Y$5:Y$27)/MAX(1,COUNTIF('93_TARGET_MEMBERSHIP'!AI$5:AI$27,-1))))</f>
        <v/>
      </c>
      <c r="Y38" s="34">
        <f>IF($B38="ABSOLUTE SEMANTIC",ABS('06_ITEM_POLE_MODEL'!AH38),ABS('06_ITEM_POLE_MODEL'!AH38)*ABS(SUMPRODUCT(--('93_TARGET_MEMBERSHIP'!AI$5:AI$27=1),'05_FEATURE_MODEL'!Z$5:Z$27)/MAX(1,COUNTIF('93_TARGET_MEMBERSHIP'!AI$5:AI$27,1))-SUMPRODUCT(--('93_TARGET_MEMBERSHIP'!AI$5:AI$27=-1),'05_FEATURE_MODEL'!Z$5:Z$27)/MAX(1,COUNTIF('93_TARGET_MEMBERSHIP'!AI$5:AI$27,-1))))</f>
        <v/>
      </c>
      <c r="Z38" s="34">
        <f>IF($B38="ABSOLUTE SEMANTIC",ABS('06_ITEM_POLE_MODEL'!AI38),ABS('06_ITEM_POLE_MODEL'!AI38)*ABS(SUMPRODUCT(--('93_TARGET_MEMBERSHIP'!AI$5:AI$27=1),'05_FEATURE_MODEL'!AA$5:AA$27)/MAX(1,COUNTIF('93_TARGET_MEMBERSHIP'!AI$5:AI$27,1))-SUMPRODUCT(--('93_TARGET_MEMBERSHIP'!AI$5:AI$27=-1),'05_FEATURE_MODEL'!AA$5:AA$27)/MAX(1,COUNTIF('93_TARGET_MEMBERSHIP'!AI$5:AI$27,-1))))</f>
        <v/>
      </c>
      <c r="AA38" s="34">
        <f>IF($B38="ABSOLUTE SEMANTIC",ABS('06_ITEM_POLE_MODEL'!AJ38),ABS('06_ITEM_POLE_MODEL'!AJ38)*ABS(SUMPRODUCT(--('93_TARGET_MEMBERSHIP'!AI$5:AI$27=1),'05_FEATURE_MODEL'!AB$5:AB$27)/MAX(1,COUNTIF('93_TARGET_MEMBERSHIP'!AI$5:AI$27,1))-SUMPRODUCT(--('93_TARGET_MEMBERSHIP'!AI$5:AI$27=-1),'05_FEATURE_MODEL'!AB$5:AB$27)/MAX(1,COUNTIF('93_TARGET_MEMBERSHIP'!AI$5:AI$27,-1))))</f>
        <v/>
      </c>
      <c r="AB38" s="34">
        <f>IF($B38="ABSOLUTE SEMANTIC",ABS('06_ITEM_POLE_MODEL'!AK38),ABS('06_ITEM_POLE_MODEL'!AK38)*ABS(SUMPRODUCT(--('93_TARGET_MEMBERSHIP'!AI$5:AI$27=1),'05_FEATURE_MODEL'!AC$5:AC$27)/MAX(1,COUNTIF('93_TARGET_MEMBERSHIP'!AI$5:AI$27,1))-SUMPRODUCT(--('93_TARGET_MEMBERSHIP'!AI$5:AI$27=-1),'05_FEATURE_MODEL'!AC$5:AC$27)/MAX(1,COUNTIF('93_TARGET_MEMBERSHIP'!AI$5:AI$27,-1))))</f>
        <v/>
      </c>
      <c r="AC38" s="34">
        <f>IF($B38="ABSOLUTE SEMANTIC",ABS('06_ITEM_POLE_MODEL'!AL38),ABS('06_ITEM_POLE_MODEL'!AL38)*ABS(SUMPRODUCT(--('93_TARGET_MEMBERSHIP'!AI$5:AI$27=1),'05_FEATURE_MODEL'!AD$5:AD$27)/MAX(1,COUNTIF('93_TARGET_MEMBERSHIP'!AI$5:AI$27,1))-SUMPRODUCT(--('93_TARGET_MEMBERSHIP'!AI$5:AI$27=-1),'05_FEATURE_MODEL'!AD$5:AD$27)/MAX(1,COUNTIF('93_TARGET_MEMBERSHIP'!AI$5:AI$27,-1))))</f>
        <v/>
      </c>
      <c r="AD38" s="34">
        <f>IF($B38="ABSOLUTE SEMANTIC",ABS('06_ITEM_POLE_MODEL'!AM38),ABS('06_ITEM_POLE_MODEL'!AM38)*ABS(SUMPRODUCT(--('93_TARGET_MEMBERSHIP'!AI$5:AI$27=1),'05_FEATURE_MODEL'!AE$5:AE$27)/MAX(1,COUNTIF('93_TARGET_MEMBERSHIP'!AI$5:AI$27,1))-SUMPRODUCT(--('93_TARGET_MEMBERSHIP'!AI$5:AI$27=-1),'05_FEATURE_MODEL'!AE$5:AE$27)/MAX(1,COUNTIF('93_TARGET_MEMBERSHIP'!AI$5:AI$27,-1))))</f>
        <v/>
      </c>
      <c r="AE38" s="34">
        <f>IF($B38="ABSOLUTE SEMANTIC",ABS('06_ITEM_POLE_MODEL'!AN38),ABS('06_ITEM_POLE_MODEL'!AN38)*ABS(SUMPRODUCT(--('93_TARGET_MEMBERSHIP'!AI$5:AI$27=1),'05_FEATURE_MODEL'!AF$5:AF$27)/MAX(1,COUNTIF('93_TARGET_MEMBERSHIP'!AI$5:AI$27,1))-SUMPRODUCT(--('93_TARGET_MEMBERSHIP'!AI$5:AI$27=-1),'05_FEATURE_MODEL'!AF$5:AF$27)/MAX(1,COUNTIF('93_TARGET_MEMBERSHIP'!AI$5:AI$27,-1))))</f>
        <v/>
      </c>
      <c r="AF38" s="34">
        <f>IF($B38="ABSOLUTE SEMANTIC",ABS('06_ITEM_POLE_MODEL'!AO38),ABS('06_ITEM_POLE_MODEL'!AO38)*ABS(SUMPRODUCT(--('93_TARGET_MEMBERSHIP'!AI$5:AI$27=1),'05_FEATURE_MODEL'!AG$5:AG$27)/MAX(1,COUNTIF('93_TARGET_MEMBERSHIP'!AI$5:AI$27,1))-SUMPRODUCT(--('93_TARGET_MEMBERSHIP'!AI$5:AI$27=-1),'05_FEATURE_MODEL'!AG$5:AG$27)/MAX(1,COUNTIF('93_TARGET_MEMBERSHIP'!AI$5:AI$27,-1))))</f>
        <v/>
      </c>
      <c r="AG38" s="34">
        <f>IF($B38="ABSOLUTE SEMANTIC",ABS('06_ITEM_POLE_MODEL'!AP38),ABS('06_ITEM_POLE_MODEL'!AP38)*ABS(SUMPRODUCT(--('93_TARGET_MEMBERSHIP'!AI$5:AI$27=1),'05_FEATURE_MODEL'!AH$5:AH$27)/MAX(1,COUNTIF('93_TARGET_MEMBERSHIP'!AI$5:AI$27,1))-SUMPRODUCT(--('93_TARGET_MEMBERSHIP'!AI$5:AI$27=-1),'05_FEATURE_MODEL'!AH$5:AH$27)/MAX(1,COUNTIF('93_TARGET_MEMBERSHIP'!AI$5:AI$27,-1))))</f>
        <v/>
      </c>
      <c r="AH38" s="34">
        <f>IF($B38="ABSOLUTE SEMANTIC",ABS('06_ITEM_POLE_MODEL'!AQ38),ABS('06_ITEM_POLE_MODEL'!AQ38)*ABS(SUMPRODUCT(--('93_TARGET_MEMBERSHIP'!AI$5:AI$27=1),'05_FEATURE_MODEL'!AI$5:AI$27)/MAX(1,COUNTIF('93_TARGET_MEMBERSHIP'!AI$5:AI$27,1))-SUMPRODUCT(--('93_TARGET_MEMBERSHIP'!AI$5:AI$27=-1),'05_FEATURE_MODEL'!AI$5:AI$27)/MAX(1,COUNTIF('93_TARGET_MEMBERSHIP'!AI$5:AI$27,-1))))</f>
        <v/>
      </c>
      <c r="AI38" s="34">
        <f>IF($B38="ABSOLUTE SEMANTIC",ABS('06_ITEM_POLE_MODEL'!AR38),ABS('06_ITEM_POLE_MODEL'!AR38)*ABS(SUMPRODUCT(--('93_TARGET_MEMBERSHIP'!AI$5:AI$27=1),'05_FEATURE_MODEL'!AJ$5:AJ$27)/MAX(1,COUNTIF('93_TARGET_MEMBERSHIP'!AI$5:AI$27,1))-SUMPRODUCT(--('93_TARGET_MEMBERSHIP'!AI$5:AI$27=-1),'05_FEATURE_MODEL'!AJ$5:AJ$27)/MAX(1,COUNTIF('93_TARGET_MEMBERSHIP'!AI$5:AI$27,-1))))</f>
        <v/>
      </c>
      <c r="AJ38" s="34">
        <f>IF($B38="ABSOLUTE SEMANTIC",ABS('06_ITEM_POLE_MODEL'!AS38),ABS('06_ITEM_POLE_MODEL'!AS38)*ABS(SUMPRODUCT(--('93_TARGET_MEMBERSHIP'!AI$5:AI$27=1),'05_FEATURE_MODEL'!AK$5:AK$27)/MAX(1,COUNTIF('93_TARGET_MEMBERSHIP'!AI$5:AI$27,1))-SUMPRODUCT(--('93_TARGET_MEMBERSHIP'!AI$5:AI$27=-1),'05_FEATURE_MODEL'!AK$5:AK$27)/MAX(1,COUNTIF('93_TARGET_MEMBERSHIP'!AI$5:AI$27,-1))))</f>
        <v/>
      </c>
      <c r="AK38" s="34">
        <f>IF($B38="ABSOLUTE SEMANTIC",ABS('06_ITEM_POLE_MODEL'!AT38),ABS('06_ITEM_POLE_MODEL'!AT38)*ABS(SUMPRODUCT(--('93_TARGET_MEMBERSHIP'!AI$5:AI$27=1),'05_FEATURE_MODEL'!AL$5:AL$27)/MAX(1,COUNTIF('93_TARGET_MEMBERSHIP'!AI$5:AI$27,1))-SUMPRODUCT(--('93_TARGET_MEMBERSHIP'!AI$5:AI$27=-1),'05_FEATURE_MODEL'!AL$5:AL$27)/MAX(1,COUNTIF('93_TARGET_MEMBERSHIP'!AI$5:AI$27,-1))))</f>
        <v/>
      </c>
      <c r="AL38" s="34">
        <f>IF($B38="ABSOLUTE SEMANTIC",ABS('06_ITEM_POLE_MODEL'!AU38),ABS('06_ITEM_POLE_MODEL'!AU38)*ABS(SUMPRODUCT(--('93_TARGET_MEMBERSHIP'!AI$5:AI$27=1),'05_FEATURE_MODEL'!AM$5:AM$27)/MAX(1,COUNTIF('93_TARGET_MEMBERSHIP'!AI$5:AI$27,1))-SUMPRODUCT(--('93_TARGET_MEMBERSHIP'!AI$5:AI$27=-1),'05_FEATURE_MODEL'!AM$5:AM$27)/MAX(1,COUNTIF('93_TARGET_MEMBERSHIP'!AI$5:AI$27,-1))))</f>
        <v/>
      </c>
      <c r="AM38" s="34">
        <f>IF($B38="ABSOLUTE SEMANTIC",ABS('06_ITEM_POLE_MODEL'!AV38),ABS('06_ITEM_POLE_MODEL'!AV38)*ABS(SUMPRODUCT(--('93_TARGET_MEMBERSHIP'!AI$5:AI$27=1),'05_FEATURE_MODEL'!AN$5:AN$27)/MAX(1,COUNTIF('93_TARGET_MEMBERSHIP'!AI$5:AI$27,1))-SUMPRODUCT(--('93_TARGET_MEMBERSHIP'!AI$5:AI$27=-1),'05_FEATURE_MODEL'!AN$5:AN$27)/MAX(1,COUNTIF('93_TARGET_MEMBERSHIP'!AI$5:AI$27,-1))))</f>
        <v/>
      </c>
      <c r="AN38" s="34">
        <f>IF($B38="ABSOLUTE SEMANTIC",ABS('06_ITEM_POLE_MODEL'!AW38),ABS('06_ITEM_POLE_MODEL'!AW38)*ABS(SUMPRODUCT(--('93_TARGET_MEMBERSHIP'!AI$5:AI$27=1),'05_FEATURE_MODEL'!AO$5:AO$27)/MAX(1,COUNTIF('93_TARGET_MEMBERSHIP'!AI$5:AI$27,1))-SUMPRODUCT(--('93_TARGET_MEMBERSHIP'!AI$5:AI$27=-1),'05_FEATURE_MODEL'!AO$5:AO$27)/MAX(1,COUNTIF('93_TARGET_MEMBERSHIP'!AI$5:AI$27,-1))))</f>
        <v/>
      </c>
      <c r="AO38" s="34">
        <f>IF($B38="ABSOLUTE SEMANTIC",ABS('06_ITEM_POLE_MODEL'!AX38),ABS('06_ITEM_POLE_MODEL'!AX38)*ABS(SUMPRODUCT(--('93_TARGET_MEMBERSHIP'!AI$5:AI$27=1),'05_FEATURE_MODEL'!AP$5:AP$27)/MAX(1,COUNTIF('93_TARGET_MEMBERSHIP'!AI$5:AI$27,1))-SUMPRODUCT(--('93_TARGET_MEMBERSHIP'!AI$5:AI$27=-1),'05_FEATURE_MODEL'!AP$5:AP$27)/MAX(1,COUNTIF('93_TARGET_MEMBERSHIP'!AI$5:AI$27,-1))))</f>
        <v/>
      </c>
      <c r="AP38" s="34">
        <f>IF($B38="ABSOLUTE SEMANTIC",ABS('06_ITEM_POLE_MODEL'!AY38),ABS('06_ITEM_POLE_MODEL'!AY38)*ABS(SUMPRODUCT(--('93_TARGET_MEMBERSHIP'!AI$5:AI$27=1),'05_FEATURE_MODEL'!AQ$5:AQ$27)/MAX(1,COUNTIF('93_TARGET_MEMBERSHIP'!AI$5:AI$27,1))-SUMPRODUCT(--('93_TARGET_MEMBERSHIP'!AI$5:AI$27=-1),'05_FEATURE_MODEL'!AQ$5:AQ$27)/MAX(1,COUNTIF('93_TARGET_MEMBERSHIP'!AI$5:AI$27,-1))))</f>
        <v/>
      </c>
      <c r="AQ38" s="34">
        <f>IF($B38="ABSOLUTE SEMANTIC",ABS('06_ITEM_POLE_MODEL'!AZ38),ABS('06_ITEM_POLE_MODEL'!AZ38)*ABS(SUMPRODUCT(--('93_TARGET_MEMBERSHIP'!AI$5:AI$27=1),'05_FEATURE_MODEL'!AR$5:AR$27)/MAX(1,COUNTIF('93_TARGET_MEMBERSHIP'!AI$5:AI$27,1))-SUMPRODUCT(--('93_TARGET_MEMBERSHIP'!AI$5:AI$27=-1),'05_FEATURE_MODEL'!AR$5:AR$27)/MAX(1,COUNTIF('93_TARGET_MEMBERSHIP'!AI$5:AI$27,-1))))</f>
        <v/>
      </c>
    </row>
    <row r="39" ht="36" customHeight="1">
      <c r="A39" s="34">
        <f>'06_ITEM_POLE_MODEL'!A39</f>
        <v/>
      </c>
      <c r="B39" s="34">
        <f>'06_ITEM_POLE_MODEL'!E39</f>
        <v/>
      </c>
      <c r="C39" s="34">
        <f>IF($B39="ABSOLUTE SEMANTIC",ABS('06_ITEM_POLE_MODEL'!L39),ABS('06_ITEM_POLE_MODEL'!L39)*ABS(SUMPRODUCT(--('93_TARGET_MEMBERSHIP'!AJ$5:AJ$27=1),'05_FEATURE_MODEL'!D$5:D$27)/MAX(1,COUNTIF('93_TARGET_MEMBERSHIP'!AJ$5:AJ$27,1))-SUMPRODUCT(--('93_TARGET_MEMBERSHIP'!AJ$5:AJ$27=-1),'05_FEATURE_MODEL'!D$5:D$27)/MAX(1,COUNTIF('93_TARGET_MEMBERSHIP'!AJ$5:AJ$27,-1))))</f>
        <v/>
      </c>
      <c r="D39" s="34">
        <f>IF($B39="ABSOLUTE SEMANTIC",ABS('06_ITEM_POLE_MODEL'!M39),ABS('06_ITEM_POLE_MODEL'!M39)*ABS(SUMPRODUCT(--('93_TARGET_MEMBERSHIP'!AJ$5:AJ$27=1),'05_FEATURE_MODEL'!E$5:E$27)/MAX(1,COUNTIF('93_TARGET_MEMBERSHIP'!AJ$5:AJ$27,1))-SUMPRODUCT(--('93_TARGET_MEMBERSHIP'!AJ$5:AJ$27=-1),'05_FEATURE_MODEL'!E$5:E$27)/MAX(1,COUNTIF('93_TARGET_MEMBERSHIP'!AJ$5:AJ$27,-1))))</f>
        <v/>
      </c>
      <c r="E39" s="34">
        <f>IF($B39="ABSOLUTE SEMANTIC",ABS('06_ITEM_POLE_MODEL'!N39),ABS('06_ITEM_POLE_MODEL'!N39)*ABS(SUMPRODUCT(--('93_TARGET_MEMBERSHIP'!AJ$5:AJ$27=1),'05_FEATURE_MODEL'!F$5:F$27)/MAX(1,COUNTIF('93_TARGET_MEMBERSHIP'!AJ$5:AJ$27,1))-SUMPRODUCT(--('93_TARGET_MEMBERSHIP'!AJ$5:AJ$27=-1),'05_FEATURE_MODEL'!F$5:F$27)/MAX(1,COUNTIF('93_TARGET_MEMBERSHIP'!AJ$5:AJ$27,-1))))</f>
        <v/>
      </c>
      <c r="F39" s="34">
        <f>IF($B39="ABSOLUTE SEMANTIC",ABS('06_ITEM_POLE_MODEL'!O39),ABS('06_ITEM_POLE_MODEL'!O39)*ABS(SUMPRODUCT(--('93_TARGET_MEMBERSHIP'!AJ$5:AJ$27=1),'05_FEATURE_MODEL'!G$5:G$27)/MAX(1,COUNTIF('93_TARGET_MEMBERSHIP'!AJ$5:AJ$27,1))-SUMPRODUCT(--('93_TARGET_MEMBERSHIP'!AJ$5:AJ$27=-1),'05_FEATURE_MODEL'!G$5:G$27)/MAX(1,COUNTIF('93_TARGET_MEMBERSHIP'!AJ$5:AJ$27,-1))))</f>
        <v/>
      </c>
      <c r="G39" s="34">
        <f>IF($B39="ABSOLUTE SEMANTIC",ABS('06_ITEM_POLE_MODEL'!P39),ABS('06_ITEM_POLE_MODEL'!P39)*ABS(SUMPRODUCT(--('93_TARGET_MEMBERSHIP'!AJ$5:AJ$27=1),'05_FEATURE_MODEL'!H$5:H$27)/MAX(1,COUNTIF('93_TARGET_MEMBERSHIP'!AJ$5:AJ$27,1))-SUMPRODUCT(--('93_TARGET_MEMBERSHIP'!AJ$5:AJ$27=-1),'05_FEATURE_MODEL'!H$5:H$27)/MAX(1,COUNTIF('93_TARGET_MEMBERSHIP'!AJ$5:AJ$27,-1))))</f>
        <v/>
      </c>
      <c r="H39" s="34">
        <f>IF($B39="ABSOLUTE SEMANTIC",ABS('06_ITEM_POLE_MODEL'!Q39),ABS('06_ITEM_POLE_MODEL'!Q39)*ABS(SUMPRODUCT(--('93_TARGET_MEMBERSHIP'!AJ$5:AJ$27=1),'05_FEATURE_MODEL'!I$5:I$27)/MAX(1,COUNTIF('93_TARGET_MEMBERSHIP'!AJ$5:AJ$27,1))-SUMPRODUCT(--('93_TARGET_MEMBERSHIP'!AJ$5:AJ$27=-1),'05_FEATURE_MODEL'!I$5:I$27)/MAX(1,COUNTIF('93_TARGET_MEMBERSHIP'!AJ$5:AJ$27,-1))))</f>
        <v/>
      </c>
      <c r="I39" s="34">
        <f>IF($B39="ABSOLUTE SEMANTIC",ABS('06_ITEM_POLE_MODEL'!R39),ABS('06_ITEM_POLE_MODEL'!R39)*ABS(SUMPRODUCT(--('93_TARGET_MEMBERSHIP'!AJ$5:AJ$27=1),'05_FEATURE_MODEL'!J$5:J$27)/MAX(1,COUNTIF('93_TARGET_MEMBERSHIP'!AJ$5:AJ$27,1))-SUMPRODUCT(--('93_TARGET_MEMBERSHIP'!AJ$5:AJ$27=-1),'05_FEATURE_MODEL'!J$5:J$27)/MAX(1,COUNTIF('93_TARGET_MEMBERSHIP'!AJ$5:AJ$27,-1))))</f>
        <v/>
      </c>
      <c r="J39" s="34">
        <f>IF($B39="ABSOLUTE SEMANTIC",ABS('06_ITEM_POLE_MODEL'!S39),ABS('06_ITEM_POLE_MODEL'!S39)*ABS(SUMPRODUCT(--('93_TARGET_MEMBERSHIP'!AJ$5:AJ$27=1),'05_FEATURE_MODEL'!K$5:K$27)/MAX(1,COUNTIF('93_TARGET_MEMBERSHIP'!AJ$5:AJ$27,1))-SUMPRODUCT(--('93_TARGET_MEMBERSHIP'!AJ$5:AJ$27=-1),'05_FEATURE_MODEL'!K$5:K$27)/MAX(1,COUNTIF('93_TARGET_MEMBERSHIP'!AJ$5:AJ$27,-1))))</f>
        <v/>
      </c>
      <c r="K39" s="34">
        <f>IF($B39="ABSOLUTE SEMANTIC",ABS('06_ITEM_POLE_MODEL'!T39),ABS('06_ITEM_POLE_MODEL'!T39)*ABS(SUMPRODUCT(--('93_TARGET_MEMBERSHIP'!AJ$5:AJ$27=1),'05_FEATURE_MODEL'!L$5:L$27)/MAX(1,COUNTIF('93_TARGET_MEMBERSHIP'!AJ$5:AJ$27,1))-SUMPRODUCT(--('93_TARGET_MEMBERSHIP'!AJ$5:AJ$27=-1),'05_FEATURE_MODEL'!L$5:L$27)/MAX(1,COUNTIF('93_TARGET_MEMBERSHIP'!AJ$5:AJ$27,-1))))</f>
        <v/>
      </c>
      <c r="L39" s="34">
        <f>IF($B39="ABSOLUTE SEMANTIC",ABS('06_ITEM_POLE_MODEL'!U39),ABS('06_ITEM_POLE_MODEL'!U39)*ABS(SUMPRODUCT(--('93_TARGET_MEMBERSHIP'!AJ$5:AJ$27=1),'05_FEATURE_MODEL'!M$5:M$27)/MAX(1,COUNTIF('93_TARGET_MEMBERSHIP'!AJ$5:AJ$27,1))-SUMPRODUCT(--('93_TARGET_MEMBERSHIP'!AJ$5:AJ$27=-1),'05_FEATURE_MODEL'!M$5:M$27)/MAX(1,COUNTIF('93_TARGET_MEMBERSHIP'!AJ$5:AJ$27,-1))))</f>
        <v/>
      </c>
      <c r="M39" s="34">
        <f>IF($B39="ABSOLUTE SEMANTIC",ABS('06_ITEM_POLE_MODEL'!V39),ABS('06_ITEM_POLE_MODEL'!V39)*ABS(SUMPRODUCT(--('93_TARGET_MEMBERSHIP'!AJ$5:AJ$27=1),'05_FEATURE_MODEL'!N$5:N$27)/MAX(1,COUNTIF('93_TARGET_MEMBERSHIP'!AJ$5:AJ$27,1))-SUMPRODUCT(--('93_TARGET_MEMBERSHIP'!AJ$5:AJ$27=-1),'05_FEATURE_MODEL'!N$5:N$27)/MAX(1,COUNTIF('93_TARGET_MEMBERSHIP'!AJ$5:AJ$27,-1))))</f>
        <v/>
      </c>
      <c r="N39" s="34">
        <f>IF($B39="ABSOLUTE SEMANTIC",ABS('06_ITEM_POLE_MODEL'!W39),ABS('06_ITEM_POLE_MODEL'!W39)*ABS(SUMPRODUCT(--('93_TARGET_MEMBERSHIP'!AJ$5:AJ$27=1),'05_FEATURE_MODEL'!O$5:O$27)/MAX(1,COUNTIF('93_TARGET_MEMBERSHIP'!AJ$5:AJ$27,1))-SUMPRODUCT(--('93_TARGET_MEMBERSHIP'!AJ$5:AJ$27=-1),'05_FEATURE_MODEL'!O$5:O$27)/MAX(1,COUNTIF('93_TARGET_MEMBERSHIP'!AJ$5:AJ$27,-1))))</f>
        <v/>
      </c>
      <c r="O39" s="34">
        <f>IF($B39="ABSOLUTE SEMANTIC",ABS('06_ITEM_POLE_MODEL'!X39),ABS('06_ITEM_POLE_MODEL'!X39)*ABS(SUMPRODUCT(--('93_TARGET_MEMBERSHIP'!AJ$5:AJ$27=1),'05_FEATURE_MODEL'!P$5:P$27)/MAX(1,COUNTIF('93_TARGET_MEMBERSHIP'!AJ$5:AJ$27,1))-SUMPRODUCT(--('93_TARGET_MEMBERSHIP'!AJ$5:AJ$27=-1),'05_FEATURE_MODEL'!P$5:P$27)/MAX(1,COUNTIF('93_TARGET_MEMBERSHIP'!AJ$5:AJ$27,-1))))</f>
        <v/>
      </c>
      <c r="P39" s="34">
        <f>IF($B39="ABSOLUTE SEMANTIC",ABS('06_ITEM_POLE_MODEL'!Y39),ABS('06_ITEM_POLE_MODEL'!Y39)*ABS(SUMPRODUCT(--('93_TARGET_MEMBERSHIP'!AJ$5:AJ$27=1),'05_FEATURE_MODEL'!Q$5:Q$27)/MAX(1,COUNTIF('93_TARGET_MEMBERSHIP'!AJ$5:AJ$27,1))-SUMPRODUCT(--('93_TARGET_MEMBERSHIP'!AJ$5:AJ$27=-1),'05_FEATURE_MODEL'!Q$5:Q$27)/MAX(1,COUNTIF('93_TARGET_MEMBERSHIP'!AJ$5:AJ$27,-1))))</f>
        <v/>
      </c>
      <c r="Q39" s="34">
        <f>IF($B39="ABSOLUTE SEMANTIC",ABS('06_ITEM_POLE_MODEL'!Z39),ABS('06_ITEM_POLE_MODEL'!Z39)*ABS(SUMPRODUCT(--('93_TARGET_MEMBERSHIP'!AJ$5:AJ$27=1),'05_FEATURE_MODEL'!R$5:R$27)/MAX(1,COUNTIF('93_TARGET_MEMBERSHIP'!AJ$5:AJ$27,1))-SUMPRODUCT(--('93_TARGET_MEMBERSHIP'!AJ$5:AJ$27=-1),'05_FEATURE_MODEL'!R$5:R$27)/MAX(1,COUNTIF('93_TARGET_MEMBERSHIP'!AJ$5:AJ$27,-1))))</f>
        <v/>
      </c>
      <c r="R39" s="34">
        <f>IF($B39="ABSOLUTE SEMANTIC",ABS('06_ITEM_POLE_MODEL'!AA39),ABS('06_ITEM_POLE_MODEL'!AA39)*ABS(SUMPRODUCT(--('93_TARGET_MEMBERSHIP'!AJ$5:AJ$27=1),'05_FEATURE_MODEL'!S$5:S$27)/MAX(1,COUNTIF('93_TARGET_MEMBERSHIP'!AJ$5:AJ$27,1))-SUMPRODUCT(--('93_TARGET_MEMBERSHIP'!AJ$5:AJ$27=-1),'05_FEATURE_MODEL'!S$5:S$27)/MAX(1,COUNTIF('93_TARGET_MEMBERSHIP'!AJ$5:AJ$27,-1))))</f>
        <v/>
      </c>
      <c r="S39" s="34">
        <f>IF($B39="ABSOLUTE SEMANTIC",ABS('06_ITEM_POLE_MODEL'!AB39),ABS('06_ITEM_POLE_MODEL'!AB39)*ABS(SUMPRODUCT(--('93_TARGET_MEMBERSHIP'!AJ$5:AJ$27=1),'05_FEATURE_MODEL'!T$5:T$27)/MAX(1,COUNTIF('93_TARGET_MEMBERSHIP'!AJ$5:AJ$27,1))-SUMPRODUCT(--('93_TARGET_MEMBERSHIP'!AJ$5:AJ$27=-1),'05_FEATURE_MODEL'!T$5:T$27)/MAX(1,COUNTIF('93_TARGET_MEMBERSHIP'!AJ$5:AJ$27,-1))))</f>
        <v/>
      </c>
      <c r="T39" s="34">
        <f>IF($B39="ABSOLUTE SEMANTIC",ABS('06_ITEM_POLE_MODEL'!AC39),ABS('06_ITEM_POLE_MODEL'!AC39)*ABS(SUMPRODUCT(--('93_TARGET_MEMBERSHIP'!AJ$5:AJ$27=1),'05_FEATURE_MODEL'!U$5:U$27)/MAX(1,COUNTIF('93_TARGET_MEMBERSHIP'!AJ$5:AJ$27,1))-SUMPRODUCT(--('93_TARGET_MEMBERSHIP'!AJ$5:AJ$27=-1),'05_FEATURE_MODEL'!U$5:U$27)/MAX(1,COUNTIF('93_TARGET_MEMBERSHIP'!AJ$5:AJ$27,-1))))</f>
        <v/>
      </c>
      <c r="U39" s="34">
        <f>IF($B39="ABSOLUTE SEMANTIC",ABS('06_ITEM_POLE_MODEL'!AD39),ABS('06_ITEM_POLE_MODEL'!AD39)*ABS(SUMPRODUCT(--('93_TARGET_MEMBERSHIP'!AJ$5:AJ$27=1),'05_FEATURE_MODEL'!V$5:V$27)/MAX(1,COUNTIF('93_TARGET_MEMBERSHIP'!AJ$5:AJ$27,1))-SUMPRODUCT(--('93_TARGET_MEMBERSHIP'!AJ$5:AJ$27=-1),'05_FEATURE_MODEL'!V$5:V$27)/MAX(1,COUNTIF('93_TARGET_MEMBERSHIP'!AJ$5:AJ$27,-1))))</f>
        <v/>
      </c>
      <c r="V39" s="34">
        <f>IF($B39="ABSOLUTE SEMANTIC",ABS('06_ITEM_POLE_MODEL'!AE39),ABS('06_ITEM_POLE_MODEL'!AE39)*ABS(SUMPRODUCT(--('93_TARGET_MEMBERSHIP'!AJ$5:AJ$27=1),'05_FEATURE_MODEL'!W$5:W$27)/MAX(1,COUNTIF('93_TARGET_MEMBERSHIP'!AJ$5:AJ$27,1))-SUMPRODUCT(--('93_TARGET_MEMBERSHIP'!AJ$5:AJ$27=-1),'05_FEATURE_MODEL'!W$5:W$27)/MAX(1,COUNTIF('93_TARGET_MEMBERSHIP'!AJ$5:AJ$27,-1))))</f>
        <v/>
      </c>
      <c r="W39" s="34">
        <f>IF($B39="ABSOLUTE SEMANTIC",ABS('06_ITEM_POLE_MODEL'!AF39),ABS('06_ITEM_POLE_MODEL'!AF39)*ABS(SUMPRODUCT(--('93_TARGET_MEMBERSHIP'!AJ$5:AJ$27=1),'05_FEATURE_MODEL'!X$5:X$27)/MAX(1,COUNTIF('93_TARGET_MEMBERSHIP'!AJ$5:AJ$27,1))-SUMPRODUCT(--('93_TARGET_MEMBERSHIP'!AJ$5:AJ$27=-1),'05_FEATURE_MODEL'!X$5:X$27)/MAX(1,COUNTIF('93_TARGET_MEMBERSHIP'!AJ$5:AJ$27,-1))))</f>
        <v/>
      </c>
      <c r="X39" s="34">
        <f>IF($B39="ABSOLUTE SEMANTIC",ABS('06_ITEM_POLE_MODEL'!AG39),ABS('06_ITEM_POLE_MODEL'!AG39)*ABS(SUMPRODUCT(--('93_TARGET_MEMBERSHIP'!AJ$5:AJ$27=1),'05_FEATURE_MODEL'!Y$5:Y$27)/MAX(1,COUNTIF('93_TARGET_MEMBERSHIP'!AJ$5:AJ$27,1))-SUMPRODUCT(--('93_TARGET_MEMBERSHIP'!AJ$5:AJ$27=-1),'05_FEATURE_MODEL'!Y$5:Y$27)/MAX(1,COUNTIF('93_TARGET_MEMBERSHIP'!AJ$5:AJ$27,-1))))</f>
        <v/>
      </c>
      <c r="Y39" s="34">
        <f>IF($B39="ABSOLUTE SEMANTIC",ABS('06_ITEM_POLE_MODEL'!AH39),ABS('06_ITEM_POLE_MODEL'!AH39)*ABS(SUMPRODUCT(--('93_TARGET_MEMBERSHIP'!AJ$5:AJ$27=1),'05_FEATURE_MODEL'!Z$5:Z$27)/MAX(1,COUNTIF('93_TARGET_MEMBERSHIP'!AJ$5:AJ$27,1))-SUMPRODUCT(--('93_TARGET_MEMBERSHIP'!AJ$5:AJ$27=-1),'05_FEATURE_MODEL'!Z$5:Z$27)/MAX(1,COUNTIF('93_TARGET_MEMBERSHIP'!AJ$5:AJ$27,-1))))</f>
        <v/>
      </c>
      <c r="Z39" s="34">
        <f>IF($B39="ABSOLUTE SEMANTIC",ABS('06_ITEM_POLE_MODEL'!AI39),ABS('06_ITEM_POLE_MODEL'!AI39)*ABS(SUMPRODUCT(--('93_TARGET_MEMBERSHIP'!AJ$5:AJ$27=1),'05_FEATURE_MODEL'!AA$5:AA$27)/MAX(1,COUNTIF('93_TARGET_MEMBERSHIP'!AJ$5:AJ$27,1))-SUMPRODUCT(--('93_TARGET_MEMBERSHIP'!AJ$5:AJ$27=-1),'05_FEATURE_MODEL'!AA$5:AA$27)/MAX(1,COUNTIF('93_TARGET_MEMBERSHIP'!AJ$5:AJ$27,-1))))</f>
        <v/>
      </c>
      <c r="AA39" s="34">
        <f>IF($B39="ABSOLUTE SEMANTIC",ABS('06_ITEM_POLE_MODEL'!AJ39),ABS('06_ITEM_POLE_MODEL'!AJ39)*ABS(SUMPRODUCT(--('93_TARGET_MEMBERSHIP'!AJ$5:AJ$27=1),'05_FEATURE_MODEL'!AB$5:AB$27)/MAX(1,COUNTIF('93_TARGET_MEMBERSHIP'!AJ$5:AJ$27,1))-SUMPRODUCT(--('93_TARGET_MEMBERSHIP'!AJ$5:AJ$27=-1),'05_FEATURE_MODEL'!AB$5:AB$27)/MAX(1,COUNTIF('93_TARGET_MEMBERSHIP'!AJ$5:AJ$27,-1))))</f>
        <v/>
      </c>
      <c r="AB39" s="34">
        <f>IF($B39="ABSOLUTE SEMANTIC",ABS('06_ITEM_POLE_MODEL'!AK39),ABS('06_ITEM_POLE_MODEL'!AK39)*ABS(SUMPRODUCT(--('93_TARGET_MEMBERSHIP'!AJ$5:AJ$27=1),'05_FEATURE_MODEL'!AC$5:AC$27)/MAX(1,COUNTIF('93_TARGET_MEMBERSHIP'!AJ$5:AJ$27,1))-SUMPRODUCT(--('93_TARGET_MEMBERSHIP'!AJ$5:AJ$27=-1),'05_FEATURE_MODEL'!AC$5:AC$27)/MAX(1,COUNTIF('93_TARGET_MEMBERSHIP'!AJ$5:AJ$27,-1))))</f>
        <v/>
      </c>
      <c r="AC39" s="34">
        <f>IF($B39="ABSOLUTE SEMANTIC",ABS('06_ITEM_POLE_MODEL'!AL39),ABS('06_ITEM_POLE_MODEL'!AL39)*ABS(SUMPRODUCT(--('93_TARGET_MEMBERSHIP'!AJ$5:AJ$27=1),'05_FEATURE_MODEL'!AD$5:AD$27)/MAX(1,COUNTIF('93_TARGET_MEMBERSHIP'!AJ$5:AJ$27,1))-SUMPRODUCT(--('93_TARGET_MEMBERSHIP'!AJ$5:AJ$27=-1),'05_FEATURE_MODEL'!AD$5:AD$27)/MAX(1,COUNTIF('93_TARGET_MEMBERSHIP'!AJ$5:AJ$27,-1))))</f>
        <v/>
      </c>
      <c r="AD39" s="34">
        <f>IF($B39="ABSOLUTE SEMANTIC",ABS('06_ITEM_POLE_MODEL'!AM39),ABS('06_ITEM_POLE_MODEL'!AM39)*ABS(SUMPRODUCT(--('93_TARGET_MEMBERSHIP'!AJ$5:AJ$27=1),'05_FEATURE_MODEL'!AE$5:AE$27)/MAX(1,COUNTIF('93_TARGET_MEMBERSHIP'!AJ$5:AJ$27,1))-SUMPRODUCT(--('93_TARGET_MEMBERSHIP'!AJ$5:AJ$27=-1),'05_FEATURE_MODEL'!AE$5:AE$27)/MAX(1,COUNTIF('93_TARGET_MEMBERSHIP'!AJ$5:AJ$27,-1))))</f>
        <v/>
      </c>
      <c r="AE39" s="34">
        <f>IF($B39="ABSOLUTE SEMANTIC",ABS('06_ITEM_POLE_MODEL'!AN39),ABS('06_ITEM_POLE_MODEL'!AN39)*ABS(SUMPRODUCT(--('93_TARGET_MEMBERSHIP'!AJ$5:AJ$27=1),'05_FEATURE_MODEL'!AF$5:AF$27)/MAX(1,COUNTIF('93_TARGET_MEMBERSHIP'!AJ$5:AJ$27,1))-SUMPRODUCT(--('93_TARGET_MEMBERSHIP'!AJ$5:AJ$27=-1),'05_FEATURE_MODEL'!AF$5:AF$27)/MAX(1,COUNTIF('93_TARGET_MEMBERSHIP'!AJ$5:AJ$27,-1))))</f>
        <v/>
      </c>
      <c r="AF39" s="34">
        <f>IF($B39="ABSOLUTE SEMANTIC",ABS('06_ITEM_POLE_MODEL'!AO39),ABS('06_ITEM_POLE_MODEL'!AO39)*ABS(SUMPRODUCT(--('93_TARGET_MEMBERSHIP'!AJ$5:AJ$27=1),'05_FEATURE_MODEL'!AG$5:AG$27)/MAX(1,COUNTIF('93_TARGET_MEMBERSHIP'!AJ$5:AJ$27,1))-SUMPRODUCT(--('93_TARGET_MEMBERSHIP'!AJ$5:AJ$27=-1),'05_FEATURE_MODEL'!AG$5:AG$27)/MAX(1,COUNTIF('93_TARGET_MEMBERSHIP'!AJ$5:AJ$27,-1))))</f>
        <v/>
      </c>
      <c r="AG39" s="34">
        <f>IF($B39="ABSOLUTE SEMANTIC",ABS('06_ITEM_POLE_MODEL'!AP39),ABS('06_ITEM_POLE_MODEL'!AP39)*ABS(SUMPRODUCT(--('93_TARGET_MEMBERSHIP'!AJ$5:AJ$27=1),'05_FEATURE_MODEL'!AH$5:AH$27)/MAX(1,COUNTIF('93_TARGET_MEMBERSHIP'!AJ$5:AJ$27,1))-SUMPRODUCT(--('93_TARGET_MEMBERSHIP'!AJ$5:AJ$27=-1),'05_FEATURE_MODEL'!AH$5:AH$27)/MAX(1,COUNTIF('93_TARGET_MEMBERSHIP'!AJ$5:AJ$27,-1))))</f>
        <v/>
      </c>
      <c r="AH39" s="34">
        <f>IF($B39="ABSOLUTE SEMANTIC",ABS('06_ITEM_POLE_MODEL'!AQ39),ABS('06_ITEM_POLE_MODEL'!AQ39)*ABS(SUMPRODUCT(--('93_TARGET_MEMBERSHIP'!AJ$5:AJ$27=1),'05_FEATURE_MODEL'!AI$5:AI$27)/MAX(1,COUNTIF('93_TARGET_MEMBERSHIP'!AJ$5:AJ$27,1))-SUMPRODUCT(--('93_TARGET_MEMBERSHIP'!AJ$5:AJ$27=-1),'05_FEATURE_MODEL'!AI$5:AI$27)/MAX(1,COUNTIF('93_TARGET_MEMBERSHIP'!AJ$5:AJ$27,-1))))</f>
        <v/>
      </c>
      <c r="AI39" s="34">
        <f>IF($B39="ABSOLUTE SEMANTIC",ABS('06_ITEM_POLE_MODEL'!AR39),ABS('06_ITEM_POLE_MODEL'!AR39)*ABS(SUMPRODUCT(--('93_TARGET_MEMBERSHIP'!AJ$5:AJ$27=1),'05_FEATURE_MODEL'!AJ$5:AJ$27)/MAX(1,COUNTIF('93_TARGET_MEMBERSHIP'!AJ$5:AJ$27,1))-SUMPRODUCT(--('93_TARGET_MEMBERSHIP'!AJ$5:AJ$27=-1),'05_FEATURE_MODEL'!AJ$5:AJ$27)/MAX(1,COUNTIF('93_TARGET_MEMBERSHIP'!AJ$5:AJ$27,-1))))</f>
        <v/>
      </c>
      <c r="AJ39" s="34">
        <f>IF($B39="ABSOLUTE SEMANTIC",ABS('06_ITEM_POLE_MODEL'!AS39),ABS('06_ITEM_POLE_MODEL'!AS39)*ABS(SUMPRODUCT(--('93_TARGET_MEMBERSHIP'!AJ$5:AJ$27=1),'05_FEATURE_MODEL'!AK$5:AK$27)/MAX(1,COUNTIF('93_TARGET_MEMBERSHIP'!AJ$5:AJ$27,1))-SUMPRODUCT(--('93_TARGET_MEMBERSHIP'!AJ$5:AJ$27=-1),'05_FEATURE_MODEL'!AK$5:AK$27)/MAX(1,COUNTIF('93_TARGET_MEMBERSHIP'!AJ$5:AJ$27,-1))))</f>
        <v/>
      </c>
      <c r="AK39" s="34">
        <f>IF($B39="ABSOLUTE SEMANTIC",ABS('06_ITEM_POLE_MODEL'!AT39),ABS('06_ITEM_POLE_MODEL'!AT39)*ABS(SUMPRODUCT(--('93_TARGET_MEMBERSHIP'!AJ$5:AJ$27=1),'05_FEATURE_MODEL'!AL$5:AL$27)/MAX(1,COUNTIF('93_TARGET_MEMBERSHIP'!AJ$5:AJ$27,1))-SUMPRODUCT(--('93_TARGET_MEMBERSHIP'!AJ$5:AJ$27=-1),'05_FEATURE_MODEL'!AL$5:AL$27)/MAX(1,COUNTIF('93_TARGET_MEMBERSHIP'!AJ$5:AJ$27,-1))))</f>
        <v/>
      </c>
      <c r="AL39" s="34">
        <f>IF($B39="ABSOLUTE SEMANTIC",ABS('06_ITEM_POLE_MODEL'!AU39),ABS('06_ITEM_POLE_MODEL'!AU39)*ABS(SUMPRODUCT(--('93_TARGET_MEMBERSHIP'!AJ$5:AJ$27=1),'05_FEATURE_MODEL'!AM$5:AM$27)/MAX(1,COUNTIF('93_TARGET_MEMBERSHIP'!AJ$5:AJ$27,1))-SUMPRODUCT(--('93_TARGET_MEMBERSHIP'!AJ$5:AJ$27=-1),'05_FEATURE_MODEL'!AM$5:AM$27)/MAX(1,COUNTIF('93_TARGET_MEMBERSHIP'!AJ$5:AJ$27,-1))))</f>
        <v/>
      </c>
      <c r="AM39" s="34">
        <f>IF($B39="ABSOLUTE SEMANTIC",ABS('06_ITEM_POLE_MODEL'!AV39),ABS('06_ITEM_POLE_MODEL'!AV39)*ABS(SUMPRODUCT(--('93_TARGET_MEMBERSHIP'!AJ$5:AJ$27=1),'05_FEATURE_MODEL'!AN$5:AN$27)/MAX(1,COUNTIF('93_TARGET_MEMBERSHIP'!AJ$5:AJ$27,1))-SUMPRODUCT(--('93_TARGET_MEMBERSHIP'!AJ$5:AJ$27=-1),'05_FEATURE_MODEL'!AN$5:AN$27)/MAX(1,COUNTIF('93_TARGET_MEMBERSHIP'!AJ$5:AJ$27,-1))))</f>
        <v/>
      </c>
      <c r="AN39" s="34">
        <f>IF($B39="ABSOLUTE SEMANTIC",ABS('06_ITEM_POLE_MODEL'!AW39),ABS('06_ITEM_POLE_MODEL'!AW39)*ABS(SUMPRODUCT(--('93_TARGET_MEMBERSHIP'!AJ$5:AJ$27=1),'05_FEATURE_MODEL'!AO$5:AO$27)/MAX(1,COUNTIF('93_TARGET_MEMBERSHIP'!AJ$5:AJ$27,1))-SUMPRODUCT(--('93_TARGET_MEMBERSHIP'!AJ$5:AJ$27=-1),'05_FEATURE_MODEL'!AO$5:AO$27)/MAX(1,COUNTIF('93_TARGET_MEMBERSHIP'!AJ$5:AJ$27,-1))))</f>
        <v/>
      </c>
      <c r="AO39" s="34">
        <f>IF($B39="ABSOLUTE SEMANTIC",ABS('06_ITEM_POLE_MODEL'!AX39),ABS('06_ITEM_POLE_MODEL'!AX39)*ABS(SUMPRODUCT(--('93_TARGET_MEMBERSHIP'!AJ$5:AJ$27=1),'05_FEATURE_MODEL'!AP$5:AP$27)/MAX(1,COUNTIF('93_TARGET_MEMBERSHIP'!AJ$5:AJ$27,1))-SUMPRODUCT(--('93_TARGET_MEMBERSHIP'!AJ$5:AJ$27=-1),'05_FEATURE_MODEL'!AP$5:AP$27)/MAX(1,COUNTIF('93_TARGET_MEMBERSHIP'!AJ$5:AJ$27,-1))))</f>
        <v/>
      </c>
      <c r="AP39" s="34">
        <f>IF($B39="ABSOLUTE SEMANTIC",ABS('06_ITEM_POLE_MODEL'!AY39),ABS('06_ITEM_POLE_MODEL'!AY39)*ABS(SUMPRODUCT(--('93_TARGET_MEMBERSHIP'!AJ$5:AJ$27=1),'05_FEATURE_MODEL'!AQ$5:AQ$27)/MAX(1,COUNTIF('93_TARGET_MEMBERSHIP'!AJ$5:AJ$27,1))-SUMPRODUCT(--('93_TARGET_MEMBERSHIP'!AJ$5:AJ$27=-1),'05_FEATURE_MODEL'!AQ$5:AQ$27)/MAX(1,COUNTIF('93_TARGET_MEMBERSHIP'!AJ$5:AJ$27,-1))))</f>
        <v/>
      </c>
      <c r="AQ39" s="34">
        <f>IF($B39="ABSOLUTE SEMANTIC",ABS('06_ITEM_POLE_MODEL'!AZ39),ABS('06_ITEM_POLE_MODEL'!AZ39)*ABS(SUMPRODUCT(--('93_TARGET_MEMBERSHIP'!AJ$5:AJ$27=1),'05_FEATURE_MODEL'!AR$5:AR$27)/MAX(1,COUNTIF('93_TARGET_MEMBERSHIP'!AJ$5:AJ$27,1))-SUMPRODUCT(--('93_TARGET_MEMBERSHIP'!AJ$5:AJ$27=-1),'05_FEATURE_MODEL'!AR$5:AR$27)/MAX(1,COUNTIF('93_TARGET_MEMBERSHIP'!AJ$5:AJ$27,-1))))</f>
        <v/>
      </c>
    </row>
    <row r="40" ht="36" customHeight="1">
      <c r="A40" s="34">
        <f>'06_ITEM_POLE_MODEL'!A40</f>
        <v/>
      </c>
      <c r="B40" s="34">
        <f>'06_ITEM_POLE_MODEL'!E40</f>
        <v/>
      </c>
      <c r="C40" s="34">
        <f>IF($B40="ABSOLUTE SEMANTIC",ABS('06_ITEM_POLE_MODEL'!L40),ABS('06_ITEM_POLE_MODEL'!L40)*ABS(SUMPRODUCT(--('93_TARGET_MEMBERSHIP'!AK$5:AK$27=1),'05_FEATURE_MODEL'!D$5:D$27)/MAX(1,COUNTIF('93_TARGET_MEMBERSHIP'!AK$5:AK$27,1))-SUMPRODUCT(--('93_TARGET_MEMBERSHIP'!AK$5:AK$27=-1),'05_FEATURE_MODEL'!D$5:D$27)/MAX(1,COUNTIF('93_TARGET_MEMBERSHIP'!AK$5:AK$27,-1))))</f>
        <v/>
      </c>
      <c r="D40" s="34">
        <f>IF($B40="ABSOLUTE SEMANTIC",ABS('06_ITEM_POLE_MODEL'!M40),ABS('06_ITEM_POLE_MODEL'!M40)*ABS(SUMPRODUCT(--('93_TARGET_MEMBERSHIP'!AK$5:AK$27=1),'05_FEATURE_MODEL'!E$5:E$27)/MAX(1,COUNTIF('93_TARGET_MEMBERSHIP'!AK$5:AK$27,1))-SUMPRODUCT(--('93_TARGET_MEMBERSHIP'!AK$5:AK$27=-1),'05_FEATURE_MODEL'!E$5:E$27)/MAX(1,COUNTIF('93_TARGET_MEMBERSHIP'!AK$5:AK$27,-1))))</f>
        <v/>
      </c>
      <c r="E40" s="34">
        <f>IF($B40="ABSOLUTE SEMANTIC",ABS('06_ITEM_POLE_MODEL'!N40),ABS('06_ITEM_POLE_MODEL'!N40)*ABS(SUMPRODUCT(--('93_TARGET_MEMBERSHIP'!AK$5:AK$27=1),'05_FEATURE_MODEL'!F$5:F$27)/MAX(1,COUNTIF('93_TARGET_MEMBERSHIP'!AK$5:AK$27,1))-SUMPRODUCT(--('93_TARGET_MEMBERSHIP'!AK$5:AK$27=-1),'05_FEATURE_MODEL'!F$5:F$27)/MAX(1,COUNTIF('93_TARGET_MEMBERSHIP'!AK$5:AK$27,-1))))</f>
        <v/>
      </c>
      <c r="F40" s="34">
        <f>IF($B40="ABSOLUTE SEMANTIC",ABS('06_ITEM_POLE_MODEL'!O40),ABS('06_ITEM_POLE_MODEL'!O40)*ABS(SUMPRODUCT(--('93_TARGET_MEMBERSHIP'!AK$5:AK$27=1),'05_FEATURE_MODEL'!G$5:G$27)/MAX(1,COUNTIF('93_TARGET_MEMBERSHIP'!AK$5:AK$27,1))-SUMPRODUCT(--('93_TARGET_MEMBERSHIP'!AK$5:AK$27=-1),'05_FEATURE_MODEL'!G$5:G$27)/MAX(1,COUNTIF('93_TARGET_MEMBERSHIP'!AK$5:AK$27,-1))))</f>
        <v/>
      </c>
      <c r="G40" s="34">
        <f>IF($B40="ABSOLUTE SEMANTIC",ABS('06_ITEM_POLE_MODEL'!P40),ABS('06_ITEM_POLE_MODEL'!P40)*ABS(SUMPRODUCT(--('93_TARGET_MEMBERSHIP'!AK$5:AK$27=1),'05_FEATURE_MODEL'!H$5:H$27)/MAX(1,COUNTIF('93_TARGET_MEMBERSHIP'!AK$5:AK$27,1))-SUMPRODUCT(--('93_TARGET_MEMBERSHIP'!AK$5:AK$27=-1),'05_FEATURE_MODEL'!H$5:H$27)/MAX(1,COUNTIF('93_TARGET_MEMBERSHIP'!AK$5:AK$27,-1))))</f>
        <v/>
      </c>
      <c r="H40" s="34">
        <f>IF($B40="ABSOLUTE SEMANTIC",ABS('06_ITEM_POLE_MODEL'!Q40),ABS('06_ITEM_POLE_MODEL'!Q40)*ABS(SUMPRODUCT(--('93_TARGET_MEMBERSHIP'!AK$5:AK$27=1),'05_FEATURE_MODEL'!I$5:I$27)/MAX(1,COUNTIF('93_TARGET_MEMBERSHIP'!AK$5:AK$27,1))-SUMPRODUCT(--('93_TARGET_MEMBERSHIP'!AK$5:AK$27=-1),'05_FEATURE_MODEL'!I$5:I$27)/MAX(1,COUNTIF('93_TARGET_MEMBERSHIP'!AK$5:AK$27,-1))))</f>
        <v/>
      </c>
      <c r="I40" s="34">
        <f>IF($B40="ABSOLUTE SEMANTIC",ABS('06_ITEM_POLE_MODEL'!R40),ABS('06_ITEM_POLE_MODEL'!R40)*ABS(SUMPRODUCT(--('93_TARGET_MEMBERSHIP'!AK$5:AK$27=1),'05_FEATURE_MODEL'!J$5:J$27)/MAX(1,COUNTIF('93_TARGET_MEMBERSHIP'!AK$5:AK$27,1))-SUMPRODUCT(--('93_TARGET_MEMBERSHIP'!AK$5:AK$27=-1),'05_FEATURE_MODEL'!J$5:J$27)/MAX(1,COUNTIF('93_TARGET_MEMBERSHIP'!AK$5:AK$27,-1))))</f>
        <v/>
      </c>
      <c r="J40" s="34">
        <f>IF($B40="ABSOLUTE SEMANTIC",ABS('06_ITEM_POLE_MODEL'!S40),ABS('06_ITEM_POLE_MODEL'!S40)*ABS(SUMPRODUCT(--('93_TARGET_MEMBERSHIP'!AK$5:AK$27=1),'05_FEATURE_MODEL'!K$5:K$27)/MAX(1,COUNTIF('93_TARGET_MEMBERSHIP'!AK$5:AK$27,1))-SUMPRODUCT(--('93_TARGET_MEMBERSHIP'!AK$5:AK$27=-1),'05_FEATURE_MODEL'!K$5:K$27)/MAX(1,COUNTIF('93_TARGET_MEMBERSHIP'!AK$5:AK$27,-1))))</f>
        <v/>
      </c>
      <c r="K40" s="34">
        <f>IF($B40="ABSOLUTE SEMANTIC",ABS('06_ITEM_POLE_MODEL'!T40),ABS('06_ITEM_POLE_MODEL'!T40)*ABS(SUMPRODUCT(--('93_TARGET_MEMBERSHIP'!AK$5:AK$27=1),'05_FEATURE_MODEL'!L$5:L$27)/MAX(1,COUNTIF('93_TARGET_MEMBERSHIP'!AK$5:AK$27,1))-SUMPRODUCT(--('93_TARGET_MEMBERSHIP'!AK$5:AK$27=-1),'05_FEATURE_MODEL'!L$5:L$27)/MAX(1,COUNTIF('93_TARGET_MEMBERSHIP'!AK$5:AK$27,-1))))</f>
        <v/>
      </c>
      <c r="L40" s="34">
        <f>IF($B40="ABSOLUTE SEMANTIC",ABS('06_ITEM_POLE_MODEL'!U40),ABS('06_ITEM_POLE_MODEL'!U40)*ABS(SUMPRODUCT(--('93_TARGET_MEMBERSHIP'!AK$5:AK$27=1),'05_FEATURE_MODEL'!M$5:M$27)/MAX(1,COUNTIF('93_TARGET_MEMBERSHIP'!AK$5:AK$27,1))-SUMPRODUCT(--('93_TARGET_MEMBERSHIP'!AK$5:AK$27=-1),'05_FEATURE_MODEL'!M$5:M$27)/MAX(1,COUNTIF('93_TARGET_MEMBERSHIP'!AK$5:AK$27,-1))))</f>
        <v/>
      </c>
      <c r="M40" s="34">
        <f>IF($B40="ABSOLUTE SEMANTIC",ABS('06_ITEM_POLE_MODEL'!V40),ABS('06_ITEM_POLE_MODEL'!V40)*ABS(SUMPRODUCT(--('93_TARGET_MEMBERSHIP'!AK$5:AK$27=1),'05_FEATURE_MODEL'!N$5:N$27)/MAX(1,COUNTIF('93_TARGET_MEMBERSHIP'!AK$5:AK$27,1))-SUMPRODUCT(--('93_TARGET_MEMBERSHIP'!AK$5:AK$27=-1),'05_FEATURE_MODEL'!N$5:N$27)/MAX(1,COUNTIF('93_TARGET_MEMBERSHIP'!AK$5:AK$27,-1))))</f>
        <v/>
      </c>
      <c r="N40" s="34">
        <f>IF($B40="ABSOLUTE SEMANTIC",ABS('06_ITEM_POLE_MODEL'!W40),ABS('06_ITEM_POLE_MODEL'!W40)*ABS(SUMPRODUCT(--('93_TARGET_MEMBERSHIP'!AK$5:AK$27=1),'05_FEATURE_MODEL'!O$5:O$27)/MAX(1,COUNTIF('93_TARGET_MEMBERSHIP'!AK$5:AK$27,1))-SUMPRODUCT(--('93_TARGET_MEMBERSHIP'!AK$5:AK$27=-1),'05_FEATURE_MODEL'!O$5:O$27)/MAX(1,COUNTIF('93_TARGET_MEMBERSHIP'!AK$5:AK$27,-1))))</f>
        <v/>
      </c>
      <c r="O40" s="34">
        <f>IF($B40="ABSOLUTE SEMANTIC",ABS('06_ITEM_POLE_MODEL'!X40),ABS('06_ITEM_POLE_MODEL'!X40)*ABS(SUMPRODUCT(--('93_TARGET_MEMBERSHIP'!AK$5:AK$27=1),'05_FEATURE_MODEL'!P$5:P$27)/MAX(1,COUNTIF('93_TARGET_MEMBERSHIP'!AK$5:AK$27,1))-SUMPRODUCT(--('93_TARGET_MEMBERSHIP'!AK$5:AK$27=-1),'05_FEATURE_MODEL'!P$5:P$27)/MAX(1,COUNTIF('93_TARGET_MEMBERSHIP'!AK$5:AK$27,-1))))</f>
        <v/>
      </c>
      <c r="P40" s="34">
        <f>IF($B40="ABSOLUTE SEMANTIC",ABS('06_ITEM_POLE_MODEL'!Y40),ABS('06_ITEM_POLE_MODEL'!Y40)*ABS(SUMPRODUCT(--('93_TARGET_MEMBERSHIP'!AK$5:AK$27=1),'05_FEATURE_MODEL'!Q$5:Q$27)/MAX(1,COUNTIF('93_TARGET_MEMBERSHIP'!AK$5:AK$27,1))-SUMPRODUCT(--('93_TARGET_MEMBERSHIP'!AK$5:AK$27=-1),'05_FEATURE_MODEL'!Q$5:Q$27)/MAX(1,COUNTIF('93_TARGET_MEMBERSHIP'!AK$5:AK$27,-1))))</f>
        <v/>
      </c>
      <c r="Q40" s="34">
        <f>IF($B40="ABSOLUTE SEMANTIC",ABS('06_ITEM_POLE_MODEL'!Z40),ABS('06_ITEM_POLE_MODEL'!Z40)*ABS(SUMPRODUCT(--('93_TARGET_MEMBERSHIP'!AK$5:AK$27=1),'05_FEATURE_MODEL'!R$5:R$27)/MAX(1,COUNTIF('93_TARGET_MEMBERSHIP'!AK$5:AK$27,1))-SUMPRODUCT(--('93_TARGET_MEMBERSHIP'!AK$5:AK$27=-1),'05_FEATURE_MODEL'!R$5:R$27)/MAX(1,COUNTIF('93_TARGET_MEMBERSHIP'!AK$5:AK$27,-1))))</f>
        <v/>
      </c>
      <c r="R40" s="34">
        <f>IF($B40="ABSOLUTE SEMANTIC",ABS('06_ITEM_POLE_MODEL'!AA40),ABS('06_ITEM_POLE_MODEL'!AA40)*ABS(SUMPRODUCT(--('93_TARGET_MEMBERSHIP'!AK$5:AK$27=1),'05_FEATURE_MODEL'!S$5:S$27)/MAX(1,COUNTIF('93_TARGET_MEMBERSHIP'!AK$5:AK$27,1))-SUMPRODUCT(--('93_TARGET_MEMBERSHIP'!AK$5:AK$27=-1),'05_FEATURE_MODEL'!S$5:S$27)/MAX(1,COUNTIF('93_TARGET_MEMBERSHIP'!AK$5:AK$27,-1))))</f>
        <v/>
      </c>
      <c r="S40" s="34">
        <f>IF($B40="ABSOLUTE SEMANTIC",ABS('06_ITEM_POLE_MODEL'!AB40),ABS('06_ITEM_POLE_MODEL'!AB40)*ABS(SUMPRODUCT(--('93_TARGET_MEMBERSHIP'!AK$5:AK$27=1),'05_FEATURE_MODEL'!T$5:T$27)/MAX(1,COUNTIF('93_TARGET_MEMBERSHIP'!AK$5:AK$27,1))-SUMPRODUCT(--('93_TARGET_MEMBERSHIP'!AK$5:AK$27=-1),'05_FEATURE_MODEL'!T$5:T$27)/MAX(1,COUNTIF('93_TARGET_MEMBERSHIP'!AK$5:AK$27,-1))))</f>
        <v/>
      </c>
      <c r="T40" s="34">
        <f>IF($B40="ABSOLUTE SEMANTIC",ABS('06_ITEM_POLE_MODEL'!AC40),ABS('06_ITEM_POLE_MODEL'!AC40)*ABS(SUMPRODUCT(--('93_TARGET_MEMBERSHIP'!AK$5:AK$27=1),'05_FEATURE_MODEL'!U$5:U$27)/MAX(1,COUNTIF('93_TARGET_MEMBERSHIP'!AK$5:AK$27,1))-SUMPRODUCT(--('93_TARGET_MEMBERSHIP'!AK$5:AK$27=-1),'05_FEATURE_MODEL'!U$5:U$27)/MAX(1,COUNTIF('93_TARGET_MEMBERSHIP'!AK$5:AK$27,-1))))</f>
        <v/>
      </c>
      <c r="U40" s="34">
        <f>IF($B40="ABSOLUTE SEMANTIC",ABS('06_ITEM_POLE_MODEL'!AD40),ABS('06_ITEM_POLE_MODEL'!AD40)*ABS(SUMPRODUCT(--('93_TARGET_MEMBERSHIP'!AK$5:AK$27=1),'05_FEATURE_MODEL'!V$5:V$27)/MAX(1,COUNTIF('93_TARGET_MEMBERSHIP'!AK$5:AK$27,1))-SUMPRODUCT(--('93_TARGET_MEMBERSHIP'!AK$5:AK$27=-1),'05_FEATURE_MODEL'!V$5:V$27)/MAX(1,COUNTIF('93_TARGET_MEMBERSHIP'!AK$5:AK$27,-1))))</f>
        <v/>
      </c>
      <c r="V40" s="34">
        <f>IF($B40="ABSOLUTE SEMANTIC",ABS('06_ITEM_POLE_MODEL'!AE40),ABS('06_ITEM_POLE_MODEL'!AE40)*ABS(SUMPRODUCT(--('93_TARGET_MEMBERSHIP'!AK$5:AK$27=1),'05_FEATURE_MODEL'!W$5:W$27)/MAX(1,COUNTIF('93_TARGET_MEMBERSHIP'!AK$5:AK$27,1))-SUMPRODUCT(--('93_TARGET_MEMBERSHIP'!AK$5:AK$27=-1),'05_FEATURE_MODEL'!W$5:W$27)/MAX(1,COUNTIF('93_TARGET_MEMBERSHIP'!AK$5:AK$27,-1))))</f>
        <v/>
      </c>
      <c r="W40" s="34">
        <f>IF($B40="ABSOLUTE SEMANTIC",ABS('06_ITEM_POLE_MODEL'!AF40),ABS('06_ITEM_POLE_MODEL'!AF40)*ABS(SUMPRODUCT(--('93_TARGET_MEMBERSHIP'!AK$5:AK$27=1),'05_FEATURE_MODEL'!X$5:X$27)/MAX(1,COUNTIF('93_TARGET_MEMBERSHIP'!AK$5:AK$27,1))-SUMPRODUCT(--('93_TARGET_MEMBERSHIP'!AK$5:AK$27=-1),'05_FEATURE_MODEL'!X$5:X$27)/MAX(1,COUNTIF('93_TARGET_MEMBERSHIP'!AK$5:AK$27,-1))))</f>
        <v/>
      </c>
      <c r="X40" s="34">
        <f>IF($B40="ABSOLUTE SEMANTIC",ABS('06_ITEM_POLE_MODEL'!AG40),ABS('06_ITEM_POLE_MODEL'!AG40)*ABS(SUMPRODUCT(--('93_TARGET_MEMBERSHIP'!AK$5:AK$27=1),'05_FEATURE_MODEL'!Y$5:Y$27)/MAX(1,COUNTIF('93_TARGET_MEMBERSHIP'!AK$5:AK$27,1))-SUMPRODUCT(--('93_TARGET_MEMBERSHIP'!AK$5:AK$27=-1),'05_FEATURE_MODEL'!Y$5:Y$27)/MAX(1,COUNTIF('93_TARGET_MEMBERSHIP'!AK$5:AK$27,-1))))</f>
        <v/>
      </c>
      <c r="Y40" s="34">
        <f>IF($B40="ABSOLUTE SEMANTIC",ABS('06_ITEM_POLE_MODEL'!AH40),ABS('06_ITEM_POLE_MODEL'!AH40)*ABS(SUMPRODUCT(--('93_TARGET_MEMBERSHIP'!AK$5:AK$27=1),'05_FEATURE_MODEL'!Z$5:Z$27)/MAX(1,COUNTIF('93_TARGET_MEMBERSHIP'!AK$5:AK$27,1))-SUMPRODUCT(--('93_TARGET_MEMBERSHIP'!AK$5:AK$27=-1),'05_FEATURE_MODEL'!Z$5:Z$27)/MAX(1,COUNTIF('93_TARGET_MEMBERSHIP'!AK$5:AK$27,-1))))</f>
        <v/>
      </c>
      <c r="Z40" s="34">
        <f>IF($B40="ABSOLUTE SEMANTIC",ABS('06_ITEM_POLE_MODEL'!AI40),ABS('06_ITEM_POLE_MODEL'!AI40)*ABS(SUMPRODUCT(--('93_TARGET_MEMBERSHIP'!AK$5:AK$27=1),'05_FEATURE_MODEL'!AA$5:AA$27)/MAX(1,COUNTIF('93_TARGET_MEMBERSHIP'!AK$5:AK$27,1))-SUMPRODUCT(--('93_TARGET_MEMBERSHIP'!AK$5:AK$27=-1),'05_FEATURE_MODEL'!AA$5:AA$27)/MAX(1,COUNTIF('93_TARGET_MEMBERSHIP'!AK$5:AK$27,-1))))</f>
        <v/>
      </c>
      <c r="AA40" s="34">
        <f>IF($B40="ABSOLUTE SEMANTIC",ABS('06_ITEM_POLE_MODEL'!AJ40),ABS('06_ITEM_POLE_MODEL'!AJ40)*ABS(SUMPRODUCT(--('93_TARGET_MEMBERSHIP'!AK$5:AK$27=1),'05_FEATURE_MODEL'!AB$5:AB$27)/MAX(1,COUNTIF('93_TARGET_MEMBERSHIP'!AK$5:AK$27,1))-SUMPRODUCT(--('93_TARGET_MEMBERSHIP'!AK$5:AK$27=-1),'05_FEATURE_MODEL'!AB$5:AB$27)/MAX(1,COUNTIF('93_TARGET_MEMBERSHIP'!AK$5:AK$27,-1))))</f>
        <v/>
      </c>
      <c r="AB40" s="34">
        <f>IF($B40="ABSOLUTE SEMANTIC",ABS('06_ITEM_POLE_MODEL'!AK40),ABS('06_ITEM_POLE_MODEL'!AK40)*ABS(SUMPRODUCT(--('93_TARGET_MEMBERSHIP'!AK$5:AK$27=1),'05_FEATURE_MODEL'!AC$5:AC$27)/MAX(1,COUNTIF('93_TARGET_MEMBERSHIP'!AK$5:AK$27,1))-SUMPRODUCT(--('93_TARGET_MEMBERSHIP'!AK$5:AK$27=-1),'05_FEATURE_MODEL'!AC$5:AC$27)/MAX(1,COUNTIF('93_TARGET_MEMBERSHIP'!AK$5:AK$27,-1))))</f>
        <v/>
      </c>
      <c r="AC40" s="34">
        <f>IF($B40="ABSOLUTE SEMANTIC",ABS('06_ITEM_POLE_MODEL'!AL40),ABS('06_ITEM_POLE_MODEL'!AL40)*ABS(SUMPRODUCT(--('93_TARGET_MEMBERSHIP'!AK$5:AK$27=1),'05_FEATURE_MODEL'!AD$5:AD$27)/MAX(1,COUNTIF('93_TARGET_MEMBERSHIP'!AK$5:AK$27,1))-SUMPRODUCT(--('93_TARGET_MEMBERSHIP'!AK$5:AK$27=-1),'05_FEATURE_MODEL'!AD$5:AD$27)/MAX(1,COUNTIF('93_TARGET_MEMBERSHIP'!AK$5:AK$27,-1))))</f>
        <v/>
      </c>
      <c r="AD40" s="34">
        <f>IF($B40="ABSOLUTE SEMANTIC",ABS('06_ITEM_POLE_MODEL'!AM40),ABS('06_ITEM_POLE_MODEL'!AM40)*ABS(SUMPRODUCT(--('93_TARGET_MEMBERSHIP'!AK$5:AK$27=1),'05_FEATURE_MODEL'!AE$5:AE$27)/MAX(1,COUNTIF('93_TARGET_MEMBERSHIP'!AK$5:AK$27,1))-SUMPRODUCT(--('93_TARGET_MEMBERSHIP'!AK$5:AK$27=-1),'05_FEATURE_MODEL'!AE$5:AE$27)/MAX(1,COUNTIF('93_TARGET_MEMBERSHIP'!AK$5:AK$27,-1))))</f>
        <v/>
      </c>
      <c r="AE40" s="34">
        <f>IF($B40="ABSOLUTE SEMANTIC",ABS('06_ITEM_POLE_MODEL'!AN40),ABS('06_ITEM_POLE_MODEL'!AN40)*ABS(SUMPRODUCT(--('93_TARGET_MEMBERSHIP'!AK$5:AK$27=1),'05_FEATURE_MODEL'!AF$5:AF$27)/MAX(1,COUNTIF('93_TARGET_MEMBERSHIP'!AK$5:AK$27,1))-SUMPRODUCT(--('93_TARGET_MEMBERSHIP'!AK$5:AK$27=-1),'05_FEATURE_MODEL'!AF$5:AF$27)/MAX(1,COUNTIF('93_TARGET_MEMBERSHIP'!AK$5:AK$27,-1))))</f>
        <v/>
      </c>
      <c r="AF40" s="34">
        <f>IF($B40="ABSOLUTE SEMANTIC",ABS('06_ITEM_POLE_MODEL'!AO40),ABS('06_ITEM_POLE_MODEL'!AO40)*ABS(SUMPRODUCT(--('93_TARGET_MEMBERSHIP'!AK$5:AK$27=1),'05_FEATURE_MODEL'!AG$5:AG$27)/MAX(1,COUNTIF('93_TARGET_MEMBERSHIP'!AK$5:AK$27,1))-SUMPRODUCT(--('93_TARGET_MEMBERSHIP'!AK$5:AK$27=-1),'05_FEATURE_MODEL'!AG$5:AG$27)/MAX(1,COUNTIF('93_TARGET_MEMBERSHIP'!AK$5:AK$27,-1))))</f>
        <v/>
      </c>
      <c r="AG40" s="34">
        <f>IF($B40="ABSOLUTE SEMANTIC",ABS('06_ITEM_POLE_MODEL'!AP40),ABS('06_ITEM_POLE_MODEL'!AP40)*ABS(SUMPRODUCT(--('93_TARGET_MEMBERSHIP'!AK$5:AK$27=1),'05_FEATURE_MODEL'!AH$5:AH$27)/MAX(1,COUNTIF('93_TARGET_MEMBERSHIP'!AK$5:AK$27,1))-SUMPRODUCT(--('93_TARGET_MEMBERSHIP'!AK$5:AK$27=-1),'05_FEATURE_MODEL'!AH$5:AH$27)/MAX(1,COUNTIF('93_TARGET_MEMBERSHIP'!AK$5:AK$27,-1))))</f>
        <v/>
      </c>
      <c r="AH40" s="34">
        <f>IF($B40="ABSOLUTE SEMANTIC",ABS('06_ITEM_POLE_MODEL'!AQ40),ABS('06_ITEM_POLE_MODEL'!AQ40)*ABS(SUMPRODUCT(--('93_TARGET_MEMBERSHIP'!AK$5:AK$27=1),'05_FEATURE_MODEL'!AI$5:AI$27)/MAX(1,COUNTIF('93_TARGET_MEMBERSHIP'!AK$5:AK$27,1))-SUMPRODUCT(--('93_TARGET_MEMBERSHIP'!AK$5:AK$27=-1),'05_FEATURE_MODEL'!AI$5:AI$27)/MAX(1,COUNTIF('93_TARGET_MEMBERSHIP'!AK$5:AK$27,-1))))</f>
        <v/>
      </c>
      <c r="AI40" s="34">
        <f>IF($B40="ABSOLUTE SEMANTIC",ABS('06_ITEM_POLE_MODEL'!AR40),ABS('06_ITEM_POLE_MODEL'!AR40)*ABS(SUMPRODUCT(--('93_TARGET_MEMBERSHIP'!AK$5:AK$27=1),'05_FEATURE_MODEL'!AJ$5:AJ$27)/MAX(1,COUNTIF('93_TARGET_MEMBERSHIP'!AK$5:AK$27,1))-SUMPRODUCT(--('93_TARGET_MEMBERSHIP'!AK$5:AK$27=-1),'05_FEATURE_MODEL'!AJ$5:AJ$27)/MAX(1,COUNTIF('93_TARGET_MEMBERSHIP'!AK$5:AK$27,-1))))</f>
        <v/>
      </c>
      <c r="AJ40" s="34">
        <f>IF($B40="ABSOLUTE SEMANTIC",ABS('06_ITEM_POLE_MODEL'!AS40),ABS('06_ITEM_POLE_MODEL'!AS40)*ABS(SUMPRODUCT(--('93_TARGET_MEMBERSHIP'!AK$5:AK$27=1),'05_FEATURE_MODEL'!AK$5:AK$27)/MAX(1,COUNTIF('93_TARGET_MEMBERSHIP'!AK$5:AK$27,1))-SUMPRODUCT(--('93_TARGET_MEMBERSHIP'!AK$5:AK$27=-1),'05_FEATURE_MODEL'!AK$5:AK$27)/MAX(1,COUNTIF('93_TARGET_MEMBERSHIP'!AK$5:AK$27,-1))))</f>
        <v/>
      </c>
      <c r="AK40" s="34">
        <f>IF($B40="ABSOLUTE SEMANTIC",ABS('06_ITEM_POLE_MODEL'!AT40),ABS('06_ITEM_POLE_MODEL'!AT40)*ABS(SUMPRODUCT(--('93_TARGET_MEMBERSHIP'!AK$5:AK$27=1),'05_FEATURE_MODEL'!AL$5:AL$27)/MAX(1,COUNTIF('93_TARGET_MEMBERSHIP'!AK$5:AK$27,1))-SUMPRODUCT(--('93_TARGET_MEMBERSHIP'!AK$5:AK$27=-1),'05_FEATURE_MODEL'!AL$5:AL$27)/MAX(1,COUNTIF('93_TARGET_MEMBERSHIP'!AK$5:AK$27,-1))))</f>
        <v/>
      </c>
      <c r="AL40" s="34">
        <f>IF($B40="ABSOLUTE SEMANTIC",ABS('06_ITEM_POLE_MODEL'!AU40),ABS('06_ITEM_POLE_MODEL'!AU40)*ABS(SUMPRODUCT(--('93_TARGET_MEMBERSHIP'!AK$5:AK$27=1),'05_FEATURE_MODEL'!AM$5:AM$27)/MAX(1,COUNTIF('93_TARGET_MEMBERSHIP'!AK$5:AK$27,1))-SUMPRODUCT(--('93_TARGET_MEMBERSHIP'!AK$5:AK$27=-1),'05_FEATURE_MODEL'!AM$5:AM$27)/MAX(1,COUNTIF('93_TARGET_MEMBERSHIP'!AK$5:AK$27,-1))))</f>
        <v/>
      </c>
      <c r="AM40" s="34">
        <f>IF($B40="ABSOLUTE SEMANTIC",ABS('06_ITEM_POLE_MODEL'!AV40),ABS('06_ITEM_POLE_MODEL'!AV40)*ABS(SUMPRODUCT(--('93_TARGET_MEMBERSHIP'!AK$5:AK$27=1),'05_FEATURE_MODEL'!AN$5:AN$27)/MAX(1,COUNTIF('93_TARGET_MEMBERSHIP'!AK$5:AK$27,1))-SUMPRODUCT(--('93_TARGET_MEMBERSHIP'!AK$5:AK$27=-1),'05_FEATURE_MODEL'!AN$5:AN$27)/MAX(1,COUNTIF('93_TARGET_MEMBERSHIP'!AK$5:AK$27,-1))))</f>
        <v/>
      </c>
      <c r="AN40" s="34">
        <f>IF($B40="ABSOLUTE SEMANTIC",ABS('06_ITEM_POLE_MODEL'!AW40),ABS('06_ITEM_POLE_MODEL'!AW40)*ABS(SUMPRODUCT(--('93_TARGET_MEMBERSHIP'!AK$5:AK$27=1),'05_FEATURE_MODEL'!AO$5:AO$27)/MAX(1,COUNTIF('93_TARGET_MEMBERSHIP'!AK$5:AK$27,1))-SUMPRODUCT(--('93_TARGET_MEMBERSHIP'!AK$5:AK$27=-1),'05_FEATURE_MODEL'!AO$5:AO$27)/MAX(1,COUNTIF('93_TARGET_MEMBERSHIP'!AK$5:AK$27,-1))))</f>
        <v/>
      </c>
      <c r="AO40" s="34">
        <f>IF($B40="ABSOLUTE SEMANTIC",ABS('06_ITEM_POLE_MODEL'!AX40),ABS('06_ITEM_POLE_MODEL'!AX40)*ABS(SUMPRODUCT(--('93_TARGET_MEMBERSHIP'!AK$5:AK$27=1),'05_FEATURE_MODEL'!AP$5:AP$27)/MAX(1,COUNTIF('93_TARGET_MEMBERSHIP'!AK$5:AK$27,1))-SUMPRODUCT(--('93_TARGET_MEMBERSHIP'!AK$5:AK$27=-1),'05_FEATURE_MODEL'!AP$5:AP$27)/MAX(1,COUNTIF('93_TARGET_MEMBERSHIP'!AK$5:AK$27,-1))))</f>
        <v/>
      </c>
      <c r="AP40" s="34">
        <f>IF($B40="ABSOLUTE SEMANTIC",ABS('06_ITEM_POLE_MODEL'!AY40),ABS('06_ITEM_POLE_MODEL'!AY40)*ABS(SUMPRODUCT(--('93_TARGET_MEMBERSHIP'!AK$5:AK$27=1),'05_FEATURE_MODEL'!AQ$5:AQ$27)/MAX(1,COUNTIF('93_TARGET_MEMBERSHIP'!AK$5:AK$27,1))-SUMPRODUCT(--('93_TARGET_MEMBERSHIP'!AK$5:AK$27=-1),'05_FEATURE_MODEL'!AQ$5:AQ$27)/MAX(1,COUNTIF('93_TARGET_MEMBERSHIP'!AK$5:AK$27,-1))))</f>
        <v/>
      </c>
      <c r="AQ40" s="34">
        <f>IF($B40="ABSOLUTE SEMANTIC",ABS('06_ITEM_POLE_MODEL'!AZ40),ABS('06_ITEM_POLE_MODEL'!AZ40)*ABS(SUMPRODUCT(--('93_TARGET_MEMBERSHIP'!AK$5:AK$27=1),'05_FEATURE_MODEL'!AR$5:AR$27)/MAX(1,COUNTIF('93_TARGET_MEMBERSHIP'!AK$5:AK$27,1))-SUMPRODUCT(--('93_TARGET_MEMBERSHIP'!AK$5:AK$27=-1),'05_FEATURE_MODEL'!AR$5:AR$27)/MAX(1,COUNTIF('93_TARGET_MEMBERSHIP'!AK$5:AK$27,-1))))</f>
        <v/>
      </c>
    </row>
    <row r="41" ht="36" customHeight="1">
      <c r="A41" s="34">
        <f>'06_ITEM_POLE_MODEL'!A41</f>
        <v/>
      </c>
      <c r="B41" s="34">
        <f>'06_ITEM_POLE_MODEL'!E41</f>
        <v/>
      </c>
      <c r="C41" s="34">
        <f>IF($B41="ABSOLUTE SEMANTIC",ABS('06_ITEM_POLE_MODEL'!L41),ABS('06_ITEM_POLE_MODEL'!L41)*ABS(SUMPRODUCT(--('93_TARGET_MEMBERSHIP'!AL$5:AL$27=1),'05_FEATURE_MODEL'!D$5:D$27)/MAX(1,COUNTIF('93_TARGET_MEMBERSHIP'!AL$5:AL$27,1))-SUMPRODUCT(--('93_TARGET_MEMBERSHIP'!AL$5:AL$27=-1),'05_FEATURE_MODEL'!D$5:D$27)/MAX(1,COUNTIF('93_TARGET_MEMBERSHIP'!AL$5:AL$27,-1))))</f>
        <v/>
      </c>
      <c r="D41" s="34">
        <f>IF($B41="ABSOLUTE SEMANTIC",ABS('06_ITEM_POLE_MODEL'!M41),ABS('06_ITEM_POLE_MODEL'!M41)*ABS(SUMPRODUCT(--('93_TARGET_MEMBERSHIP'!AL$5:AL$27=1),'05_FEATURE_MODEL'!E$5:E$27)/MAX(1,COUNTIF('93_TARGET_MEMBERSHIP'!AL$5:AL$27,1))-SUMPRODUCT(--('93_TARGET_MEMBERSHIP'!AL$5:AL$27=-1),'05_FEATURE_MODEL'!E$5:E$27)/MAX(1,COUNTIF('93_TARGET_MEMBERSHIP'!AL$5:AL$27,-1))))</f>
        <v/>
      </c>
      <c r="E41" s="34">
        <f>IF($B41="ABSOLUTE SEMANTIC",ABS('06_ITEM_POLE_MODEL'!N41),ABS('06_ITEM_POLE_MODEL'!N41)*ABS(SUMPRODUCT(--('93_TARGET_MEMBERSHIP'!AL$5:AL$27=1),'05_FEATURE_MODEL'!F$5:F$27)/MAX(1,COUNTIF('93_TARGET_MEMBERSHIP'!AL$5:AL$27,1))-SUMPRODUCT(--('93_TARGET_MEMBERSHIP'!AL$5:AL$27=-1),'05_FEATURE_MODEL'!F$5:F$27)/MAX(1,COUNTIF('93_TARGET_MEMBERSHIP'!AL$5:AL$27,-1))))</f>
        <v/>
      </c>
      <c r="F41" s="34">
        <f>IF($B41="ABSOLUTE SEMANTIC",ABS('06_ITEM_POLE_MODEL'!O41),ABS('06_ITEM_POLE_MODEL'!O41)*ABS(SUMPRODUCT(--('93_TARGET_MEMBERSHIP'!AL$5:AL$27=1),'05_FEATURE_MODEL'!G$5:G$27)/MAX(1,COUNTIF('93_TARGET_MEMBERSHIP'!AL$5:AL$27,1))-SUMPRODUCT(--('93_TARGET_MEMBERSHIP'!AL$5:AL$27=-1),'05_FEATURE_MODEL'!G$5:G$27)/MAX(1,COUNTIF('93_TARGET_MEMBERSHIP'!AL$5:AL$27,-1))))</f>
        <v/>
      </c>
      <c r="G41" s="34">
        <f>IF($B41="ABSOLUTE SEMANTIC",ABS('06_ITEM_POLE_MODEL'!P41),ABS('06_ITEM_POLE_MODEL'!P41)*ABS(SUMPRODUCT(--('93_TARGET_MEMBERSHIP'!AL$5:AL$27=1),'05_FEATURE_MODEL'!H$5:H$27)/MAX(1,COUNTIF('93_TARGET_MEMBERSHIP'!AL$5:AL$27,1))-SUMPRODUCT(--('93_TARGET_MEMBERSHIP'!AL$5:AL$27=-1),'05_FEATURE_MODEL'!H$5:H$27)/MAX(1,COUNTIF('93_TARGET_MEMBERSHIP'!AL$5:AL$27,-1))))</f>
        <v/>
      </c>
      <c r="H41" s="34">
        <f>IF($B41="ABSOLUTE SEMANTIC",ABS('06_ITEM_POLE_MODEL'!Q41),ABS('06_ITEM_POLE_MODEL'!Q41)*ABS(SUMPRODUCT(--('93_TARGET_MEMBERSHIP'!AL$5:AL$27=1),'05_FEATURE_MODEL'!I$5:I$27)/MAX(1,COUNTIF('93_TARGET_MEMBERSHIP'!AL$5:AL$27,1))-SUMPRODUCT(--('93_TARGET_MEMBERSHIP'!AL$5:AL$27=-1),'05_FEATURE_MODEL'!I$5:I$27)/MAX(1,COUNTIF('93_TARGET_MEMBERSHIP'!AL$5:AL$27,-1))))</f>
        <v/>
      </c>
      <c r="I41" s="34">
        <f>IF($B41="ABSOLUTE SEMANTIC",ABS('06_ITEM_POLE_MODEL'!R41),ABS('06_ITEM_POLE_MODEL'!R41)*ABS(SUMPRODUCT(--('93_TARGET_MEMBERSHIP'!AL$5:AL$27=1),'05_FEATURE_MODEL'!J$5:J$27)/MAX(1,COUNTIF('93_TARGET_MEMBERSHIP'!AL$5:AL$27,1))-SUMPRODUCT(--('93_TARGET_MEMBERSHIP'!AL$5:AL$27=-1),'05_FEATURE_MODEL'!J$5:J$27)/MAX(1,COUNTIF('93_TARGET_MEMBERSHIP'!AL$5:AL$27,-1))))</f>
        <v/>
      </c>
      <c r="J41" s="34">
        <f>IF($B41="ABSOLUTE SEMANTIC",ABS('06_ITEM_POLE_MODEL'!S41),ABS('06_ITEM_POLE_MODEL'!S41)*ABS(SUMPRODUCT(--('93_TARGET_MEMBERSHIP'!AL$5:AL$27=1),'05_FEATURE_MODEL'!K$5:K$27)/MAX(1,COUNTIF('93_TARGET_MEMBERSHIP'!AL$5:AL$27,1))-SUMPRODUCT(--('93_TARGET_MEMBERSHIP'!AL$5:AL$27=-1),'05_FEATURE_MODEL'!K$5:K$27)/MAX(1,COUNTIF('93_TARGET_MEMBERSHIP'!AL$5:AL$27,-1))))</f>
        <v/>
      </c>
      <c r="K41" s="34">
        <f>IF($B41="ABSOLUTE SEMANTIC",ABS('06_ITEM_POLE_MODEL'!T41),ABS('06_ITEM_POLE_MODEL'!T41)*ABS(SUMPRODUCT(--('93_TARGET_MEMBERSHIP'!AL$5:AL$27=1),'05_FEATURE_MODEL'!L$5:L$27)/MAX(1,COUNTIF('93_TARGET_MEMBERSHIP'!AL$5:AL$27,1))-SUMPRODUCT(--('93_TARGET_MEMBERSHIP'!AL$5:AL$27=-1),'05_FEATURE_MODEL'!L$5:L$27)/MAX(1,COUNTIF('93_TARGET_MEMBERSHIP'!AL$5:AL$27,-1))))</f>
        <v/>
      </c>
      <c r="L41" s="34">
        <f>IF($B41="ABSOLUTE SEMANTIC",ABS('06_ITEM_POLE_MODEL'!U41),ABS('06_ITEM_POLE_MODEL'!U41)*ABS(SUMPRODUCT(--('93_TARGET_MEMBERSHIP'!AL$5:AL$27=1),'05_FEATURE_MODEL'!M$5:M$27)/MAX(1,COUNTIF('93_TARGET_MEMBERSHIP'!AL$5:AL$27,1))-SUMPRODUCT(--('93_TARGET_MEMBERSHIP'!AL$5:AL$27=-1),'05_FEATURE_MODEL'!M$5:M$27)/MAX(1,COUNTIF('93_TARGET_MEMBERSHIP'!AL$5:AL$27,-1))))</f>
        <v/>
      </c>
      <c r="M41" s="34">
        <f>IF($B41="ABSOLUTE SEMANTIC",ABS('06_ITEM_POLE_MODEL'!V41),ABS('06_ITEM_POLE_MODEL'!V41)*ABS(SUMPRODUCT(--('93_TARGET_MEMBERSHIP'!AL$5:AL$27=1),'05_FEATURE_MODEL'!N$5:N$27)/MAX(1,COUNTIF('93_TARGET_MEMBERSHIP'!AL$5:AL$27,1))-SUMPRODUCT(--('93_TARGET_MEMBERSHIP'!AL$5:AL$27=-1),'05_FEATURE_MODEL'!N$5:N$27)/MAX(1,COUNTIF('93_TARGET_MEMBERSHIP'!AL$5:AL$27,-1))))</f>
        <v/>
      </c>
      <c r="N41" s="34">
        <f>IF($B41="ABSOLUTE SEMANTIC",ABS('06_ITEM_POLE_MODEL'!W41),ABS('06_ITEM_POLE_MODEL'!W41)*ABS(SUMPRODUCT(--('93_TARGET_MEMBERSHIP'!AL$5:AL$27=1),'05_FEATURE_MODEL'!O$5:O$27)/MAX(1,COUNTIF('93_TARGET_MEMBERSHIP'!AL$5:AL$27,1))-SUMPRODUCT(--('93_TARGET_MEMBERSHIP'!AL$5:AL$27=-1),'05_FEATURE_MODEL'!O$5:O$27)/MAX(1,COUNTIF('93_TARGET_MEMBERSHIP'!AL$5:AL$27,-1))))</f>
        <v/>
      </c>
      <c r="O41" s="34">
        <f>IF($B41="ABSOLUTE SEMANTIC",ABS('06_ITEM_POLE_MODEL'!X41),ABS('06_ITEM_POLE_MODEL'!X41)*ABS(SUMPRODUCT(--('93_TARGET_MEMBERSHIP'!AL$5:AL$27=1),'05_FEATURE_MODEL'!P$5:P$27)/MAX(1,COUNTIF('93_TARGET_MEMBERSHIP'!AL$5:AL$27,1))-SUMPRODUCT(--('93_TARGET_MEMBERSHIP'!AL$5:AL$27=-1),'05_FEATURE_MODEL'!P$5:P$27)/MAX(1,COUNTIF('93_TARGET_MEMBERSHIP'!AL$5:AL$27,-1))))</f>
        <v/>
      </c>
      <c r="P41" s="34">
        <f>IF($B41="ABSOLUTE SEMANTIC",ABS('06_ITEM_POLE_MODEL'!Y41),ABS('06_ITEM_POLE_MODEL'!Y41)*ABS(SUMPRODUCT(--('93_TARGET_MEMBERSHIP'!AL$5:AL$27=1),'05_FEATURE_MODEL'!Q$5:Q$27)/MAX(1,COUNTIF('93_TARGET_MEMBERSHIP'!AL$5:AL$27,1))-SUMPRODUCT(--('93_TARGET_MEMBERSHIP'!AL$5:AL$27=-1),'05_FEATURE_MODEL'!Q$5:Q$27)/MAX(1,COUNTIF('93_TARGET_MEMBERSHIP'!AL$5:AL$27,-1))))</f>
        <v/>
      </c>
      <c r="Q41" s="34">
        <f>IF($B41="ABSOLUTE SEMANTIC",ABS('06_ITEM_POLE_MODEL'!Z41),ABS('06_ITEM_POLE_MODEL'!Z41)*ABS(SUMPRODUCT(--('93_TARGET_MEMBERSHIP'!AL$5:AL$27=1),'05_FEATURE_MODEL'!R$5:R$27)/MAX(1,COUNTIF('93_TARGET_MEMBERSHIP'!AL$5:AL$27,1))-SUMPRODUCT(--('93_TARGET_MEMBERSHIP'!AL$5:AL$27=-1),'05_FEATURE_MODEL'!R$5:R$27)/MAX(1,COUNTIF('93_TARGET_MEMBERSHIP'!AL$5:AL$27,-1))))</f>
        <v/>
      </c>
      <c r="R41" s="34">
        <f>IF($B41="ABSOLUTE SEMANTIC",ABS('06_ITEM_POLE_MODEL'!AA41),ABS('06_ITEM_POLE_MODEL'!AA41)*ABS(SUMPRODUCT(--('93_TARGET_MEMBERSHIP'!AL$5:AL$27=1),'05_FEATURE_MODEL'!S$5:S$27)/MAX(1,COUNTIF('93_TARGET_MEMBERSHIP'!AL$5:AL$27,1))-SUMPRODUCT(--('93_TARGET_MEMBERSHIP'!AL$5:AL$27=-1),'05_FEATURE_MODEL'!S$5:S$27)/MAX(1,COUNTIF('93_TARGET_MEMBERSHIP'!AL$5:AL$27,-1))))</f>
        <v/>
      </c>
      <c r="S41" s="34">
        <f>IF($B41="ABSOLUTE SEMANTIC",ABS('06_ITEM_POLE_MODEL'!AB41),ABS('06_ITEM_POLE_MODEL'!AB41)*ABS(SUMPRODUCT(--('93_TARGET_MEMBERSHIP'!AL$5:AL$27=1),'05_FEATURE_MODEL'!T$5:T$27)/MAX(1,COUNTIF('93_TARGET_MEMBERSHIP'!AL$5:AL$27,1))-SUMPRODUCT(--('93_TARGET_MEMBERSHIP'!AL$5:AL$27=-1),'05_FEATURE_MODEL'!T$5:T$27)/MAX(1,COUNTIF('93_TARGET_MEMBERSHIP'!AL$5:AL$27,-1))))</f>
        <v/>
      </c>
      <c r="T41" s="34">
        <f>IF($B41="ABSOLUTE SEMANTIC",ABS('06_ITEM_POLE_MODEL'!AC41),ABS('06_ITEM_POLE_MODEL'!AC41)*ABS(SUMPRODUCT(--('93_TARGET_MEMBERSHIP'!AL$5:AL$27=1),'05_FEATURE_MODEL'!U$5:U$27)/MAX(1,COUNTIF('93_TARGET_MEMBERSHIP'!AL$5:AL$27,1))-SUMPRODUCT(--('93_TARGET_MEMBERSHIP'!AL$5:AL$27=-1),'05_FEATURE_MODEL'!U$5:U$27)/MAX(1,COUNTIF('93_TARGET_MEMBERSHIP'!AL$5:AL$27,-1))))</f>
        <v/>
      </c>
      <c r="U41" s="34">
        <f>IF($B41="ABSOLUTE SEMANTIC",ABS('06_ITEM_POLE_MODEL'!AD41),ABS('06_ITEM_POLE_MODEL'!AD41)*ABS(SUMPRODUCT(--('93_TARGET_MEMBERSHIP'!AL$5:AL$27=1),'05_FEATURE_MODEL'!V$5:V$27)/MAX(1,COUNTIF('93_TARGET_MEMBERSHIP'!AL$5:AL$27,1))-SUMPRODUCT(--('93_TARGET_MEMBERSHIP'!AL$5:AL$27=-1),'05_FEATURE_MODEL'!V$5:V$27)/MAX(1,COUNTIF('93_TARGET_MEMBERSHIP'!AL$5:AL$27,-1))))</f>
        <v/>
      </c>
      <c r="V41" s="34">
        <f>IF($B41="ABSOLUTE SEMANTIC",ABS('06_ITEM_POLE_MODEL'!AE41),ABS('06_ITEM_POLE_MODEL'!AE41)*ABS(SUMPRODUCT(--('93_TARGET_MEMBERSHIP'!AL$5:AL$27=1),'05_FEATURE_MODEL'!W$5:W$27)/MAX(1,COUNTIF('93_TARGET_MEMBERSHIP'!AL$5:AL$27,1))-SUMPRODUCT(--('93_TARGET_MEMBERSHIP'!AL$5:AL$27=-1),'05_FEATURE_MODEL'!W$5:W$27)/MAX(1,COUNTIF('93_TARGET_MEMBERSHIP'!AL$5:AL$27,-1))))</f>
        <v/>
      </c>
      <c r="W41" s="34">
        <f>IF($B41="ABSOLUTE SEMANTIC",ABS('06_ITEM_POLE_MODEL'!AF41),ABS('06_ITEM_POLE_MODEL'!AF41)*ABS(SUMPRODUCT(--('93_TARGET_MEMBERSHIP'!AL$5:AL$27=1),'05_FEATURE_MODEL'!X$5:X$27)/MAX(1,COUNTIF('93_TARGET_MEMBERSHIP'!AL$5:AL$27,1))-SUMPRODUCT(--('93_TARGET_MEMBERSHIP'!AL$5:AL$27=-1),'05_FEATURE_MODEL'!X$5:X$27)/MAX(1,COUNTIF('93_TARGET_MEMBERSHIP'!AL$5:AL$27,-1))))</f>
        <v/>
      </c>
      <c r="X41" s="34">
        <f>IF($B41="ABSOLUTE SEMANTIC",ABS('06_ITEM_POLE_MODEL'!AG41),ABS('06_ITEM_POLE_MODEL'!AG41)*ABS(SUMPRODUCT(--('93_TARGET_MEMBERSHIP'!AL$5:AL$27=1),'05_FEATURE_MODEL'!Y$5:Y$27)/MAX(1,COUNTIF('93_TARGET_MEMBERSHIP'!AL$5:AL$27,1))-SUMPRODUCT(--('93_TARGET_MEMBERSHIP'!AL$5:AL$27=-1),'05_FEATURE_MODEL'!Y$5:Y$27)/MAX(1,COUNTIF('93_TARGET_MEMBERSHIP'!AL$5:AL$27,-1))))</f>
        <v/>
      </c>
      <c r="Y41" s="34">
        <f>IF($B41="ABSOLUTE SEMANTIC",ABS('06_ITEM_POLE_MODEL'!AH41),ABS('06_ITEM_POLE_MODEL'!AH41)*ABS(SUMPRODUCT(--('93_TARGET_MEMBERSHIP'!AL$5:AL$27=1),'05_FEATURE_MODEL'!Z$5:Z$27)/MAX(1,COUNTIF('93_TARGET_MEMBERSHIP'!AL$5:AL$27,1))-SUMPRODUCT(--('93_TARGET_MEMBERSHIP'!AL$5:AL$27=-1),'05_FEATURE_MODEL'!Z$5:Z$27)/MAX(1,COUNTIF('93_TARGET_MEMBERSHIP'!AL$5:AL$27,-1))))</f>
        <v/>
      </c>
      <c r="Z41" s="34">
        <f>IF($B41="ABSOLUTE SEMANTIC",ABS('06_ITEM_POLE_MODEL'!AI41),ABS('06_ITEM_POLE_MODEL'!AI41)*ABS(SUMPRODUCT(--('93_TARGET_MEMBERSHIP'!AL$5:AL$27=1),'05_FEATURE_MODEL'!AA$5:AA$27)/MAX(1,COUNTIF('93_TARGET_MEMBERSHIP'!AL$5:AL$27,1))-SUMPRODUCT(--('93_TARGET_MEMBERSHIP'!AL$5:AL$27=-1),'05_FEATURE_MODEL'!AA$5:AA$27)/MAX(1,COUNTIF('93_TARGET_MEMBERSHIP'!AL$5:AL$27,-1))))</f>
        <v/>
      </c>
      <c r="AA41" s="34">
        <f>IF($B41="ABSOLUTE SEMANTIC",ABS('06_ITEM_POLE_MODEL'!AJ41),ABS('06_ITEM_POLE_MODEL'!AJ41)*ABS(SUMPRODUCT(--('93_TARGET_MEMBERSHIP'!AL$5:AL$27=1),'05_FEATURE_MODEL'!AB$5:AB$27)/MAX(1,COUNTIF('93_TARGET_MEMBERSHIP'!AL$5:AL$27,1))-SUMPRODUCT(--('93_TARGET_MEMBERSHIP'!AL$5:AL$27=-1),'05_FEATURE_MODEL'!AB$5:AB$27)/MAX(1,COUNTIF('93_TARGET_MEMBERSHIP'!AL$5:AL$27,-1))))</f>
        <v/>
      </c>
      <c r="AB41" s="34">
        <f>IF($B41="ABSOLUTE SEMANTIC",ABS('06_ITEM_POLE_MODEL'!AK41),ABS('06_ITEM_POLE_MODEL'!AK41)*ABS(SUMPRODUCT(--('93_TARGET_MEMBERSHIP'!AL$5:AL$27=1),'05_FEATURE_MODEL'!AC$5:AC$27)/MAX(1,COUNTIF('93_TARGET_MEMBERSHIP'!AL$5:AL$27,1))-SUMPRODUCT(--('93_TARGET_MEMBERSHIP'!AL$5:AL$27=-1),'05_FEATURE_MODEL'!AC$5:AC$27)/MAX(1,COUNTIF('93_TARGET_MEMBERSHIP'!AL$5:AL$27,-1))))</f>
        <v/>
      </c>
      <c r="AC41" s="34">
        <f>IF($B41="ABSOLUTE SEMANTIC",ABS('06_ITEM_POLE_MODEL'!AL41),ABS('06_ITEM_POLE_MODEL'!AL41)*ABS(SUMPRODUCT(--('93_TARGET_MEMBERSHIP'!AL$5:AL$27=1),'05_FEATURE_MODEL'!AD$5:AD$27)/MAX(1,COUNTIF('93_TARGET_MEMBERSHIP'!AL$5:AL$27,1))-SUMPRODUCT(--('93_TARGET_MEMBERSHIP'!AL$5:AL$27=-1),'05_FEATURE_MODEL'!AD$5:AD$27)/MAX(1,COUNTIF('93_TARGET_MEMBERSHIP'!AL$5:AL$27,-1))))</f>
        <v/>
      </c>
      <c r="AD41" s="34">
        <f>IF($B41="ABSOLUTE SEMANTIC",ABS('06_ITEM_POLE_MODEL'!AM41),ABS('06_ITEM_POLE_MODEL'!AM41)*ABS(SUMPRODUCT(--('93_TARGET_MEMBERSHIP'!AL$5:AL$27=1),'05_FEATURE_MODEL'!AE$5:AE$27)/MAX(1,COUNTIF('93_TARGET_MEMBERSHIP'!AL$5:AL$27,1))-SUMPRODUCT(--('93_TARGET_MEMBERSHIP'!AL$5:AL$27=-1),'05_FEATURE_MODEL'!AE$5:AE$27)/MAX(1,COUNTIF('93_TARGET_MEMBERSHIP'!AL$5:AL$27,-1))))</f>
        <v/>
      </c>
      <c r="AE41" s="34">
        <f>IF($B41="ABSOLUTE SEMANTIC",ABS('06_ITEM_POLE_MODEL'!AN41),ABS('06_ITEM_POLE_MODEL'!AN41)*ABS(SUMPRODUCT(--('93_TARGET_MEMBERSHIP'!AL$5:AL$27=1),'05_FEATURE_MODEL'!AF$5:AF$27)/MAX(1,COUNTIF('93_TARGET_MEMBERSHIP'!AL$5:AL$27,1))-SUMPRODUCT(--('93_TARGET_MEMBERSHIP'!AL$5:AL$27=-1),'05_FEATURE_MODEL'!AF$5:AF$27)/MAX(1,COUNTIF('93_TARGET_MEMBERSHIP'!AL$5:AL$27,-1))))</f>
        <v/>
      </c>
      <c r="AF41" s="34">
        <f>IF($B41="ABSOLUTE SEMANTIC",ABS('06_ITEM_POLE_MODEL'!AO41),ABS('06_ITEM_POLE_MODEL'!AO41)*ABS(SUMPRODUCT(--('93_TARGET_MEMBERSHIP'!AL$5:AL$27=1),'05_FEATURE_MODEL'!AG$5:AG$27)/MAX(1,COUNTIF('93_TARGET_MEMBERSHIP'!AL$5:AL$27,1))-SUMPRODUCT(--('93_TARGET_MEMBERSHIP'!AL$5:AL$27=-1),'05_FEATURE_MODEL'!AG$5:AG$27)/MAX(1,COUNTIF('93_TARGET_MEMBERSHIP'!AL$5:AL$27,-1))))</f>
        <v/>
      </c>
      <c r="AG41" s="34">
        <f>IF($B41="ABSOLUTE SEMANTIC",ABS('06_ITEM_POLE_MODEL'!AP41),ABS('06_ITEM_POLE_MODEL'!AP41)*ABS(SUMPRODUCT(--('93_TARGET_MEMBERSHIP'!AL$5:AL$27=1),'05_FEATURE_MODEL'!AH$5:AH$27)/MAX(1,COUNTIF('93_TARGET_MEMBERSHIP'!AL$5:AL$27,1))-SUMPRODUCT(--('93_TARGET_MEMBERSHIP'!AL$5:AL$27=-1),'05_FEATURE_MODEL'!AH$5:AH$27)/MAX(1,COUNTIF('93_TARGET_MEMBERSHIP'!AL$5:AL$27,-1))))</f>
        <v/>
      </c>
      <c r="AH41" s="34">
        <f>IF($B41="ABSOLUTE SEMANTIC",ABS('06_ITEM_POLE_MODEL'!AQ41),ABS('06_ITEM_POLE_MODEL'!AQ41)*ABS(SUMPRODUCT(--('93_TARGET_MEMBERSHIP'!AL$5:AL$27=1),'05_FEATURE_MODEL'!AI$5:AI$27)/MAX(1,COUNTIF('93_TARGET_MEMBERSHIP'!AL$5:AL$27,1))-SUMPRODUCT(--('93_TARGET_MEMBERSHIP'!AL$5:AL$27=-1),'05_FEATURE_MODEL'!AI$5:AI$27)/MAX(1,COUNTIF('93_TARGET_MEMBERSHIP'!AL$5:AL$27,-1))))</f>
        <v/>
      </c>
      <c r="AI41" s="34">
        <f>IF($B41="ABSOLUTE SEMANTIC",ABS('06_ITEM_POLE_MODEL'!AR41),ABS('06_ITEM_POLE_MODEL'!AR41)*ABS(SUMPRODUCT(--('93_TARGET_MEMBERSHIP'!AL$5:AL$27=1),'05_FEATURE_MODEL'!AJ$5:AJ$27)/MAX(1,COUNTIF('93_TARGET_MEMBERSHIP'!AL$5:AL$27,1))-SUMPRODUCT(--('93_TARGET_MEMBERSHIP'!AL$5:AL$27=-1),'05_FEATURE_MODEL'!AJ$5:AJ$27)/MAX(1,COUNTIF('93_TARGET_MEMBERSHIP'!AL$5:AL$27,-1))))</f>
        <v/>
      </c>
      <c r="AJ41" s="34">
        <f>IF($B41="ABSOLUTE SEMANTIC",ABS('06_ITEM_POLE_MODEL'!AS41),ABS('06_ITEM_POLE_MODEL'!AS41)*ABS(SUMPRODUCT(--('93_TARGET_MEMBERSHIP'!AL$5:AL$27=1),'05_FEATURE_MODEL'!AK$5:AK$27)/MAX(1,COUNTIF('93_TARGET_MEMBERSHIP'!AL$5:AL$27,1))-SUMPRODUCT(--('93_TARGET_MEMBERSHIP'!AL$5:AL$27=-1),'05_FEATURE_MODEL'!AK$5:AK$27)/MAX(1,COUNTIF('93_TARGET_MEMBERSHIP'!AL$5:AL$27,-1))))</f>
        <v/>
      </c>
      <c r="AK41" s="34">
        <f>IF($B41="ABSOLUTE SEMANTIC",ABS('06_ITEM_POLE_MODEL'!AT41),ABS('06_ITEM_POLE_MODEL'!AT41)*ABS(SUMPRODUCT(--('93_TARGET_MEMBERSHIP'!AL$5:AL$27=1),'05_FEATURE_MODEL'!AL$5:AL$27)/MAX(1,COUNTIF('93_TARGET_MEMBERSHIP'!AL$5:AL$27,1))-SUMPRODUCT(--('93_TARGET_MEMBERSHIP'!AL$5:AL$27=-1),'05_FEATURE_MODEL'!AL$5:AL$27)/MAX(1,COUNTIF('93_TARGET_MEMBERSHIP'!AL$5:AL$27,-1))))</f>
        <v/>
      </c>
      <c r="AL41" s="34">
        <f>IF($B41="ABSOLUTE SEMANTIC",ABS('06_ITEM_POLE_MODEL'!AU41),ABS('06_ITEM_POLE_MODEL'!AU41)*ABS(SUMPRODUCT(--('93_TARGET_MEMBERSHIP'!AL$5:AL$27=1),'05_FEATURE_MODEL'!AM$5:AM$27)/MAX(1,COUNTIF('93_TARGET_MEMBERSHIP'!AL$5:AL$27,1))-SUMPRODUCT(--('93_TARGET_MEMBERSHIP'!AL$5:AL$27=-1),'05_FEATURE_MODEL'!AM$5:AM$27)/MAX(1,COUNTIF('93_TARGET_MEMBERSHIP'!AL$5:AL$27,-1))))</f>
        <v/>
      </c>
      <c r="AM41" s="34">
        <f>IF($B41="ABSOLUTE SEMANTIC",ABS('06_ITEM_POLE_MODEL'!AV41),ABS('06_ITEM_POLE_MODEL'!AV41)*ABS(SUMPRODUCT(--('93_TARGET_MEMBERSHIP'!AL$5:AL$27=1),'05_FEATURE_MODEL'!AN$5:AN$27)/MAX(1,COUNTIF('93_TARGET_MEMBERSHIP'!AL$5:AL$27,1))-SUMPRODUCT(--('93_TARGET_MEMBERSHIP'!AL$5:AL$27=-1),'05_FEATURE_MODEL'!AN$5:AN$27)/MAX(1,COUNTIF('93_TARGET_MEMBERSHIP'!AL$5:AL$27,-1))))</f>
        <v/>
      </c>
      <c r="AN41" s="34">
        <f>IF($B41="ABSOLUTE SEMANTIC",ABS('06_ITEM_POLE_MODEL'!AW41),ABS('06_ITEM_POLE_MODEL'!AW41)*ABS(SUMPRODUCT(--('93_TARGET_MEMBERSHIP'!AL$5:AL$27=1),'05_FEATURE_MODEL'!AO$5:AO$27)/MAX(1,COUNTIF('93_TARGET_MEMBERSHIP'!AL$5:AL$27,1))-SUMPRODUCT(--('93_TARGET_MEMBERSHIP'!AL$5:AL$27=-1),'05_FEATURE_MODEL'!AO$5:AO$27)/MAX(1,COUNTIF('93_TARGET_MEMBERSHIP'!AL$5:AL$27,-1))))</f>
        <v/>
      </c>
      <c r="AO41" s="34">
        <f>IF($B41="ABSOLUTE SEMANTIC",ABS('06_ITEM_POLE_MODEL'!AX41),ABS('06_ITEM_POLE_MODEL'!AX41)*ABS(SUMPRODUCT(--('93_TARGET_MEMBERSHIP'!AL$5:AL$27=1),'05_FEATURE_MODEL'!AP$5:AP$27)/MAX(1,COUNTIF('93_TARGET_MEMBERSHIP'!AL$5:AL$27,1))-SUMPRODUCT(--('93_TARGET_MEMBERSHIP'!AL$5:AL$27=-1),'05_FEATURE_MODEL'!AP$5:AP$27)/MAX(1,COUNTIF('93_TARGET_MEMBERSHIP'!AL$5:AL$27,-1))))</f>
        <v/>
      </c>
      <c r="AP41" s="34">
        <f>IF($B41="ABSOLUTE SEMANTIC",ABS('06_ITEM_POLE_MODEL'!AY41),ABS('06_ITEM_POLE_MODEL'!AY41)*ABS(SUMPRODUCT(--('93_TARGET_MEMBERSHIP'!AL$5:AL$27=1),'05_FEATURE_MODEL'!AQ$5:AQ$27)/MAX(1,COUNTIF('93_TARGET_MEMBERSHIP'!AL$5:AL$27,1))-SUMPRODUCT(--('93_TARGET_MEMBERSHIP'!AL$5:AL$27=-1),'05_FEATURE_MODEL'!AQ$5:AQ$27)/MAX(1,COUNTIF('93_TARGET_MEMBERSHIP'!AL$5:AL$27,-1))))</f>
        <v/>
      </c>
      <c r="AQ41" s="34">
        <f>IF($B41="ABSOLUTE SEMANTIC",ABS('06_ITEM_POLE_MODEL'!AZ41),ABS('06_ITEM_POLE_MODEL'!AZ41)*ABS(SUMPRODUCT(--('93_TARGET_MEMBERSHIP'!AL$5:AL$27=1),'05_FEATURE_MODEL'!AR$5:AR$27)/MAX(1,COUNTIF('93_TARGET_MEMBERSHIP'!AL$5:AL$27,1))-SUMPRODUCT(--('93_TARGET_MEMBERSHIP'!AL$5:AL$27=-1),'05_FEATURE_MODEL'!AR$5:AR$27)/MAX(1,COUNTIF('93_TARGET_MEMBERSHIP'!AL$5:AL$27,-1))))</f>
        <v/>
      </c>
    </row>
    <row r="42" ht="36" customHeight="1">
      <c r="A42" s="34">
        <f>'06_ITEM_POLE_MODEL'!A42</f>
        <v/>
      </c>
      <c r="B42" s="34">
        <f>'06_ITEM_POLE_MODEL'!E42</f>
        <v/>
      </c>
      <c r="C42" s="34">
        <f>IF($B42="ABSOLUTE SEMANTIC",ABS('06_ITEM_POLE_MODEL'!L42),ABS('06_ITEM_POLE_MODEL'!L42)*ABS(SUMPRODUCT(--('93_TARGET_MEMBERSHIP'!AM$5:AM$27=1),'05_FEATURE_MODEL'!D$5:D$27)/MAX(1,COUNTIF('93_TARGET_MEMBERSHIP'!AM$5:AM$27,1))-SUMPRODUCT(--('93_TARGET_MEMBERSHIP'!AM$5:AM$27=-1),'05_FEATURE_MODEL'!D$5:D$27)/MAX(1,COUNTIF('93_TARGET_MEMBERSHIP'!AM$5:AM$27,-1))))</f>
        <v/>
      </c>
      <c r="D42" s="34">
        <f>IF($B42="ABSOLUTE SEMANTIC",ABS('06_ITEM_POLE_MODEL'!M42),ABS('06_ITEM_POLE_MODEL'!M42)*ABS(SUMPRODUCT(--('93_TARGET_MEMBERSHIP'!AM$5:AM$27=1),'05_FEATURE_MODEL'!E$5:E$27)/MAX(1,COUNTIF('93_TARGET_MEMBERSHIP'!AM$5:AM$27,1))-SUMPRODUCT(--('93_TARGET_MEMBERSHIP'!AM$5:AM$27=-1),'05_FEATURE_MODEL'!E$5:E$27)/MAX(1,COUNTIF('93_TARGET_MEMBERSHIP'!AM$5:AM$27,-1))))</f>
        <v/>
      </c>
      <c r="E42" s="34">
        <f>IF($B42="ABSOLUTE SEMANTIC",ABS('06_ITEM_POLE_MODEL'!N42),ABS('06_ITEM_POLE_MODEL'!N42)*ABS(SUMPRODUCT(--('93_TARGET_MEMBERSHIP'!AM$5:AM$27=1),'05_FEATURE_MODEL'!F$5:F$27)/MAX(1,COUNTIF('93_TARGET_MEMBERSHIP'!AM$5:AM$27,1))-SUMPRODUCT(--('93_TARGET_MEMBERSHIP'!AM$5:AM$27=-1),'05_FEATURE_MODEL'!F$5:F$27)/MAX(1,COUNTIF('93_TARGET_MEMBERSHIP'!AM$5:AM$27,-1))))</f>
        <v/>
      </c>
      <c r="F42" s="34">
        <f>IF($B42="ABSOLUTE SEMANTIC",ABS('06_ITEM_POLE_MODEL'!O42),ABS('06_ITEM_POLE_MODEL'!O42)*ABS(SUMPRODUCT(--('93_TARGET_MEMBERSHIP'!AM$5:AM$27=1),'05_FEATURE_MODEL'!G$5:G$27)/MAX(1,COUNTIF('93_TARGET_MEMBERSHIP'!AM$5:AM$27,1))-SUMPRODUCT(--('93_TARGET_MEMBERSHIP'!AM$5:AM$27=-1),'05_FEATURE_MODEL'!G$5:G$27)/MAX(1,COUNTIF('93_TARGET_MEMBERSHIP'!AM$5:AM$27,-1))))</f>
        <v/>
      </c>
      <c r="G42" s="34">
        <f>IF($B42="ABSOLUTE SEMANTIC",ABS('06_ITEM_POLE_MODEL'!P42),ABS('06_ITEM_POLE_MODEL'!P42)*ABS(SUMPRODUCT(--('93_TARGET_MEMBERSHIP'!AM$5:AM$27=1),'05_FEATURE_MODEL'!H$5:H$27)/MAX(1,COUNTIF('93_TARGET_MEMBERSHIP'!AM$5:AM$27,1))-SUMPRODUCT(--('93_TARGET_MEMBERSHIP'!AM$5:AM$27=-1),'05_FEATURE_MODEL'!H$5:H$27)/MAX(1,COUNTIF('93_TARGET_MEMBERSHIP'!AM$5:AM$27,-1))))</f>
        <v/>
      </c>
      <c r="H42" s="34">
        <f>IF($B42="ABSOLUTE SEMANTIC",ABS('06_ITEM_POLE_MODEL'!Q42),ABS('06_ITEM_POLE_MODEL'!Q42)*ABS(SUMPRODUCT(--('93_TARGET_MEMBERSHIP'!AM$5:AM$27=1),'05_FEATURE_MODEL'!I$5:I$27)/MAX(1,COUNTIF('93_TARGET_MEMBERSHIP'!AM$5:AM$27,1))-SUMPRODUCT(--('93_TARGET_MEMBERSHIP'!AM$5:AM$27=-1),'05_FEATURE_MODEL'!I$5:I$27)/MAX(1,COUNTIF('93_TARGET_MEMBERSHIP'!AM$5:AM$27,-1))))</f>
        <v/>
      </c>
      <c r="I42" s="34">
        <f>IF($B42="ABSOLUTE SEMANTIC",ABS('06_ITEM_POLE_MODEL'!R42),ABS('06_ITEM_POLE_MODEL'!R42)*ABS(SUMPRODUCT(--('93_TARGET_MEMBERSHIP'!AM$5:AM$27=1),'05_FEATURE_MODEL'!J$5:J$27)/MAX(1,COUNTIF('93_TARGET_MEMBERSHIP'!AM$5:AM$27,1))-SUMPRODUCT(--('93_TARGET_MEMBERSHIP'!AM$5:AM$27=-1),'05_FEATURE_MODEL'!J$5:J$27)/MAX(1,COUNTIF('93_TARGET_MEMBERSHIP'!AM$5:AM$27,-1))))</f>
        <v/>
      </c>
      <c r="J42" s="34">
        <f>IF($B42="ABSOLUTE SEMANTIC",ABS('06_ITEM_POLE_MODEL'!S42),ABS('06_ITEM_POLE_MODEL'!S42)*ABS(SUMPRODUCT(--('93_TARGET_MEMBERSHIP'!AM$5:AM$27=1),'05_FEATURE_MODEL'!K$5:K$27)/MAX(1,COUNTIF('93_TARGET_MEMBERSHIP'!AM$5:AM$27,1))-SUMPRODUCT(--('93_TARGET_MEMBERSHIP'!AM$5:AM$27=-1),'05_FEATURE_MODEL'!K$5:K$27)/MAX(1,COUNTIF('93_TARGET_MEMBERSHIP'!AM$5:AM$27,-1))))</f>
        <v/>
      </c>
      <c r="K42" s="34">
        <f>IF($B42="ABSOLUTE SEMANTIC",ABS('06_ITEM_POLE_MODEL'!T42),ABS('06_ITEM_POLE_MODEL'!T42)*ABS(SUMPRODUCT(--('93_TARGET_MEMBERSHIP'!AM$5:AM$27=1),'05_FEATURE_MODEL'!L$5:L$27)/MAX(1,COUNTIF('93_TARGET_MEMBERSHIP'!AM$5:AM$27,1))-SUMPRODUCT(--('93_TARGET_MEMBERSHIP'!AM$5:AM$27=-1),'05_FEATURE_MODEL'!L$5:L$27)/MAX(1,COUNTIF('93_TARGET_MEMBERSHIP'!AM$5:AM$27,-1))))</f>
        <v/>
      </c>
      <c r="L42" s="34">
        <f>IF($B42="ABSOLUTE SEMANTIC",ABS('06_ITEM_POLE_MODEL'!U42),ABS('06_ITEM_POLE_MODEL'!U42)*ABS(SUMPRODUCT(--('93_TARGET_MEMBERSHIP'!AM$5:AM$27=1),'05_FEATURE_MODEL'!M$5:M$27)/MAX(1,COUNTIF('93_TARGET_MEMBERSHIP'!AM$5:AM$27,1))-SUMPRODUCT(--('93_TARGET_MEMBERSHIP'!AM$5:AM$27=-1),'05_FEATURE_MODEL'!M$5:M$27)/MAX(1,COUNTIF('93_TARGET_MEMBERSHIP'!AM$5:AM$27,-1))))</f>
        <v/>
      </c>
      <c r="M42" s="34">
        <f>IF($B42="ABSOLUTE SEMANTIC",ABS('06_ITEM_POLE_MODEL'!V42),ABS('06_ITEM_POLE_MODEL'!V42)*ABS(SUMPRODUCT(--('93_TARGET_MEMBERSHIP'!AM$5:AM$27=1),'05_FEATURE_MODEL'!N$5:N$27)/MAX(1,COUNTIF('93_TARGET_MEMBERSHIP'!AM$5:AM$27,1))-SUMPRODUCT(--('93_TARGET_MEMBERSHIP'!AM$5:AM$27=-1),'05_FEATURE_MODEL'!N$5:N$27)/MAX(1,COUNTIF('93_TARGET_MEMBERSHIP'!AM$5:AM$27,-1))))</f>
        <v/>
      </c>
      <c r="N42" s="34">
        <f>IF($B42="ABSOLUTE SEMANTIC",ABS('06_ITEM_POLE_MODEL'!W42),ABS('06_ITEM_POLE_MODEL'!W42)*ABS(SUMPRODUCT(--('93_TARGET_MEMBERSHIP'!AM$5:AM$27=1),'05_FEATURE_MODEL'!O$5:O$27)/MAX(1,COUNTIF('93_TARGET_MEMBERSHIP'!AM$5:AM$27,1))-SUMPRODUCT(--('93_TARGET_MEMBERSHIP'!AM$5:AM$27=-1),'05_FEATURE_MODEL'!O$5:O$27)/MAX(1,COUNTIF('93_TARGET_MEMBERSHIP'!AM$5:AM$27,-1))))</f>
        <v/>
      </c>
      <c r="O42" s="34">
        <f>IF($B42="ABSOLUTE SEMANTIC",ABS('06_ITEM_POLE_MODEL'!X42),ABS('06_ITEM_POLE_MODEL'!X42)*ABS(SUMPRODUCT(--('93_TARGET_MEMBERSHIP'!AM$5:AM$27=1),'05_FEATURE_MODEL'!P$5:P$27)/MAX(1,COUNTIF('93_TARGET_MEMBERSHIP'!AM$5:AM$27,1))-SUMPRODUCT(--('93_TARGET_MEMBERSHIP'!AM$5:AM$27=-1),'05_FEATURE_MODEL'!P$5:P$27)/MAX(1,COUNTIF('93_TARGET_MEMBERSHIP'!AM$5:AM$27,-1))))</f>
        <v/>
      </c>
      <c r="P42" s="34">
        <f>IF($B42="ABSOLUTE SEMANTIC",ABS('06_ITEM_POLE_MODEL'!Y42),ABS('06_ITEM_POLE_MODEL'!Y42)*ABS(SUMPRODUCT(--('93_TARGET_MEMBERSHIP'!AM$5:AM$27=1),'05_FEATURE_MODEL'!Q$5:Q$27)/MAX(1,COUNTIF('93_TARGET_MEMBERSHIP'!AM$5:AM$27,1))-SUMPRODUCT(--('93_TARGET_MEMBERSHIP'!AM$5:AM$27=-1),'05_FEATURE_MODEL'!Q$5:Q$27)/MAX(1,COUNTIF('93_TARGET_MEMBERSHIP'!AM$5:AM$27,-1))))</f>
        <v/>
      </c>
      <c r="Q42" s="34">
        <f>IF($B42="ABSOLUTE SEMANTIC",ABS('06_ITEM_POLE_MODEL'!Z42),ABS('06_ITEM_POLE_MODEL'!Z42)*ABS(SUMPRODUCT(--('93_TARGET_MEMBERSHIP'!AM$5:AM$27=1),'05_FEATURE_MODEL'!R$5:R$27)/MAX(1,COUNTIF('93_TARGET_MEMBERSHIP'!AM$5:AM$27,1))-SUMPRODUCT(--('93_TARGET_MEMBERSHIP'!AM$5:AM$27=-1),'05_FEATURE_MODEL'!R$5:R$27)/MAX(1,COUNTIF('93_TARGET_MEMBERSHIP'!AM$5:AM$27,-1))))</f>
        <v/>
      </c>
      <c r="R42" s="34">
        <f>IF($B42="ABSOLUTE SEMANTIC",ABS('06_ITEM_POLE_MODEL'!AA42),ABS('06_ITEM_POLE_MODEL'!AA42)*ABS(SUMPRODUCT(--('93_TARGET_MEMBERSHIP'!AM$5:AM$27=1),'05_FEATURE_MODEL'!S$5:S$27)/MAX(1,COUNTIF('93_TARGET_MEMBERSHIP'!AM$5:AM$27,1))-SUMPRODUCT(--('93_TARGET_MEMBERSHIP'!AM$5:AM$27=-1),'05_FEATURE_MODEL'!S$5:S$27)/MAX(1,COUNTIF('93_TARGET_MEMBERSHIP'!AM$5:AM$27,-1))))</f>
        <v/>
      </c>
      <c r="S42" s="34">
        <f>IF($B42="ABSOLUTE SEMANTIC",ABS('06_ITEM_POLE_MODEL'!AB42),ABS('06_ITEM_POLE_MODEL'!AB42)*ABS(SUMPRODUCT(--('93_TARGET_MEMBERSHIP'!AM$5:AM$27=1),'05_FEATURE_MODEL'!T$5:T$27)/MAX(1,COUNTIF('93_TARGET_MEMBERSHIP'!AM$5:AM$27,1))-SUMPRODUCT(--('93_TARGET_MEMBERSHIP'!AM$5:AM$27=-1),'05_FEATURE_MODEL'!T$5:T$27)/MAX(1,COUNTIF('93_TARGET_MEMBERSHIP'!AM$5:AM$27,-1))))</f>
        <v/>
      </c>
      <c r="T42" s="34">
        <f>IF($B42="ABSOLUTE SEMANTIC",ABS('06_ITEM_POLE_MODEL'!AC42),ABS('06_ITEM_POLE_MODEL'!AC42)*ABS(SUMPRODUCT(--('93_TARGET_MEMBERSHIP'!AM$5:AM$27=1),'05_FEATURE_MODEL'!U$5:U$27)/MAX(1,COUNTIF('93_TARGET_MEMBERSHIP'!AM$5:AM$27,1))-SUMPRODUCT(--('93_TARGET_MEMBERSHIP'!AM$5:AM$27=-1),'05_FEATURE_MODEL'!U$5:U$27)/MAX(1,COUNTIF('93_TARGET_MEMBERSHIP'!AM$5:AM$27,-1))))</f>
        <v/>
      </c>
      <c r="U42" s="34">
        <f>IF($B42="ABSOLUTE SEMANTIC",ABS('06_ITEM_POLE_MODEL'!AD42),ABS('06_ITEM_POLE_MODEL'!AD42)*ABS(SUMPRODUCT(--('93_TARGET_MEMBERSHIP'!AM$5:AM$27=1),'05_FEATURE_MODEL'!V$5:V$27)/MAX(1,COUNTIF('93_TARGET_MEMBERSHIP'!AM$5:AM$27,1))-SUMPRODUCT(--('93_TARGET_MEMBERSHIP'!AM$5:AM$27=-1),'05_FEATURE_MODEL'!V$5:V$27)/MAX(1,COUNTIF('93_TARGET_MEMBERSHIP'!AM$5:AM$27,-1))))</f>
        <v/>
      </c>
      <c r="V42" s="34">
        <f>IF($B42="ABSOLUTE SEMANTIC",ABS('06_ITEM_POLE_MODEL'!AE42),ABS('06_ITEM_POLE_MODEL'!AE42)*ABS(SUMPRODUCT(--('93_TARGET_MEMBERSHIP'!AM$5:AM$27=1),'05_FEATURE_MODEL'!W$5:W$27)/MAX(1,COUNTIF('93_TARGET_MEMBERSHIP'!AM$5:AM$27,1))-SUMPRODUCT(--('93_TARGET_MEMBERSHIP'!AM$5:AM$27=-1),'05_FEATURE_MODEL'!W$5:W$27)/MAX(1,COUNTIF('93_TARGET_MEMBERSHIP'!AM$5:AM$27,-1))))</f>
        <v/>
      </c>
      <c r="W42" s="34">
        <f>IF($B42="ABSOLUTE SEMANTIC",ABS('06_ITEM_POLE_MODEL'!AF42),ABS('06_ITEM_POLE_MODEL'!AF42)*ABS(SUMPRODUCT(--('93_TARGET_MEMBERSHIP'!AM$5:AM$27=1),'05_FEATURE_MODEL'!X$5:X$27)/MAX(1,COUNTIF('93_TARGET_MEMBERSHIP'!AM$5:AM$27,1))-SUMPRODUCT(--('93_TARGET_MEMBERSHIP'!AM$5:AM$27=-1),'05_FEATURE_MODEL'!X$5:X$27)/MAX(1,COUNTIF('93_TARGET_MEMBERSHIP'!AM$5:AM$27,-1))))</f>
        <v/>
      </c>
      <c r="X42" s="34">
        <f>IF($B42="ABSOLUTE SEMANTIC",ABS('06_ITEM_POLE_MODEL'!AG42),ABS('06_ITEM_POLE_MODEL'!AG42)*ABS(SUMPRODUCT(--('93_TARGET_MEMBERSHIP'!AM$5:AM$27=1),'05_FEATURE_MODEL'!Y$5:Y$27)/MAX(1,COUNTIF('93_TARGET_MEMBERSHIP'!AM$5:AM$27,1))-SUMPRODUCT(--('93_TARGET_MEMBERSHIP'!AM$5:AM$27=-1),'05_FEATURE_MODEL'!Y$5:Y$27)/MAX(1,COUNTIF('93_TARGET_MEMBERSHIP'!AM$5:AM$27,-1))))</f>
        <v/>
      </c>
      <c r="Y42" s="34">
        <f>IF($B42="ABSOLUTE SEMANTIC",ABS('06_ITEM_POLE_MODEL'!AH42),ABS('06_ITEM_POLE_MODEL'!AH42)*ABS(SUMPRODUCT(--('93_TARGET_MEMBERSHIP'!AM$5:AM$27=1),'05_FEATURE_MODEL'!Z$5:Z$27)/MAX(1,COUNTIF('93_TARGET_MEMBERSHIP'!AM$5:AM$27,1))-SUMPRODUCT(--('93_TARGET_MEMBERSHIP'!AM$5:AM$27=-1),'05_FEATURE_MODEL'!Z$5:Z$27)/MAX(1,COUNTIF('93_TARGET_MEMBERSHIP'!AM$5:AM$27,-1))))</f>
        <v/>
      </c>
      <c r="Z42" s="34">
        <f>IF($B42="ABSOLUTE SEMANTIC",ABS('06_ITEM_POLE_MODEL'!AI42),ABS('06_ITEM_POLE_MODEL'!AI42)*ABS(SUMPRODUCT(--('93_TARGET_MEMBERSHIP'!AM$5:AM$27=1),'05_FEATURE_MODEL'!AA$5:AA$27)/MAX(1,COUNTIF('93_TARGET_MEMBERSHIP'!AM$5:AM$27,1))-SUMPRODUCT(--('93_TARGET_MEMBERSHIP'!AM$5:AM$27=-1),'05_FEATURE_MODEL'!AA$5:AA$27)/MAX(1,COUNTIF('93_TARGET_MEMBERSHIP'!AM$5:AM$27,-1))))</f>
        <v/>
      </c>
      <c r="AA42" s="34">
        <f>IF($B42="ABSOLUTE SEMANTIC",ABS('06_ITEM_POLE_MODEL'!AJ42),ABS('06_ITEM_POLE_MODEL'!AJ42)*ABS(SUMPRODUCT(--('93_TARGET_MEMBERSHIP'!AM$5:AM$27=1),'05_FEATURE_MODEL'!AB$5:AB$27)/MAX(1,COUNTIF('93_TARGET_MEMBERSHIP'!AM$5:AM$27,1))-SUMPRODUCT(--('93_TARGET_MEMBERSHIP'!AM$5:AM$27=-1),'05_FEATURE_MODEL'!AB$5:AB$27)/MAX(1,COUNTIF('93_TARGET_MEMBERSHIP'!AM$5:AM$27,-1))))</f>
        <v/>
      </c>
      <c r="AB42" s="34">
        <f>IF($B42="ABSOLUTE SEMANTIC",ABS('06_ITEM_POLE_MODEL'!AK42),ABS('06_ITEM_POLE_MODEL'!AK42)*ABS(SUMPRODUCT(--('93_TARGET_MEMBERSHIP'!AM$5:AM$27=1),'05_FEATURE_MODEL'!AC$5:AC$27)/MAX(1,COUNTIF('93_TARGET_MEMBERSHIP'!AM$5:AM$27,1))-SUMPRODUCT(--('93_TARGET_MEMBERSHIP'!AM$5:AM$27=-1),'05_FEATURE_MODEL'!AC$5:AC$27)/MAX(1,COUNTIF('93_TARGET_MEMBERSHIP'!AM$5:AM$27,-1))))</f>
        <v/>
      </c>
      <c r="AC42" s="34">
        <f>IF($B42="ABSOLUTE SEMANTIC",ABS('06_ITEM_POLE_MODEL'!AL42),ABS('06_ITEM_POLE_MODEL'!AL42)*ABS(SUMPRODUCT(--('93_TARGET_MEMBERSHIP'!AM$5:AM$27=1),'05_FEATURE_MODEL'!AD$5:AD$27)/MAX(1,COUNTIF('93_TARGET_MEMBERSHIP'!AM$5:AM$27,1))-SUMPRODUCT(--('93_TARGET_MEMBERSHIP'!AM$5:AM$27=-1),'05_FEATURE_MODEL'!AD$5:AD$27)/MAX(1,COUNTIF('93_TARGET_MEMBERSHIP'!AM$5:AM$27,-1))))</f>
        <v/>
      </c>
      <c r="AD42" s="34">
        <f>IF($B42="ABSOLUTE SEMANTIC",ABS('06_ITEM_POLE_MODEL'!AM42),ABS('06_ITEM_POLE_MODEL'!AM42)*ABS(SUMPRODUCT(--('93_TARGET_MEMBERSHIP'!AM$5:AM$27=1),'05_FEATURE_MODEL'!AE$5:AE$27)/MAX(1,COUNTIF('93_TARGET_MEMBERSHIP'!AM$5:AM$27,1))-SUMPRODUCT(--('93_TARGET_MEMBERSHIP'!AM$5:AM$27=-1),'05_FEATURE_MODEL'!AE$5:AE$27)/MAX(1,COUNTIF('93_TARGET_MEMBERSHIP'!AM$5:AM$27,-1))))</f>
        <v/>
      </c>
      <c r="AE42" s="34">
        <f>IF($B42="ABSOLUTE SEMANTIC",ABS('06_ITEM_POLE_MODEL'!AN42),ABS('06_ITEM_POLE_MODEL'!AN42)*ABS(SUMPRODUCT(--('93_TARGET_MEMBERSHIP'!AM$5:AM$27=1),'05_FEATURE_MODEL'!AF$5:AF$27)/MAX(1,COUNTIF('93_TARGET_MEMBERSHIP'!AM$5:AM$27,1))-SUMPRODUCT(--('93_TARGET_MEMBERSHIP'!AM$5:AM$27=-1),'05_FEATURE_MODEL'!AF$5:AF$27)/MAX(1,COUNTIF('93_TARGET_MEMBERSHIP'!AM$5:AM$27,-1))))</f>
        <v/>
      </c>
      <c r="AF42" s="34">
        <f>IF($B42="ABSOLUTE SEMANTIC",ABS('06_ITEM_POLE_MODEL'!AO42),ABS('06_ITEM_POLE_MODEL'!AO42)*ABS(SUMPRODUCT(--('93_TARGET_MEMBERSHIP'!AM$5:AM$27=1),'05_FEATURE_MODEL'!AG$5:AG$27)/MAX(1,COUNTIF('93_TARGET_MEMBERSHIP'!AM$5:AM$27,1))-SUMPRODUCT(--('93_TARGET_MEMBERSHIP'!AM$5:AM$27=-1),'05_FEATURE_MODEL'!AG$5:AG$27)/MAX(1,COUNTIF('93_TARGET_MEMBERSHIP'!AM$5:AM$27,-1))))</f>
        <v/>
      </c>
      <c r="AG42" s="34">
        <f>IF($B42="ABSOLUTE SEMANTIC",ABS('06_ITEM_POLE_MODEL'!AP42),ABS('06_ITEM_POLE_MODEL'!AP42)*ABS(SUMPRODUCT(--('93_TARGET_MEMBERSHIP'!AM$5:AM$27=1),'05_FEATURE_MODEL'!AH$5:AH$27)/MAX(1,COUNTIF('93_TARGET_MEMBERSHIP'!AM$5:AM$27,1))-SUMPRODUCT(--('93_TARGET_MEMBERSHIP'!AM$5:AM$27=-1),'05_FEATURE_MODEL'!AH$5:AH$27)/MAX(1,COUNTIF('93_TARGET_MEMBERSHIP'!AM$5:AM$27,-1))))</f>
        <v/>
      </c>
      <c r="AH42" s="34">
        <f>IF($B42="ABSOLUTE SEMANTIC",ABS('06_ITEM_POLE_MODEL'!AQ42),ABS('06_ITEM_POLE_MODEL'!AQ42)*ABS(SUMPRODUCT(--('93_TARGET_MEMBERSHIP'!AM$5:AM$27=1),'05_FEATURE_MODEL'!AI$5:AI$27)/MAX(1,COUNTIF('93_TARGET_MEMBERSHIP'!AM$5:AM$27,1))-SUMPRODUCT(--('93_TARGET_MEMBERSHIP'!AM$5:AM$27=-1),'05_FEATURE_MODEL'!AI$5:AI$27)/MAX(1,COUNTIF('93_TARGET_MEMBERSHIP'!AM$5:AM$27,-1))))</f>
        <v/>
      </c>
      <c r="AI42" s="34">
        <f>IF($B42="ABSOLUTE SEMANTIC",ABS('06_ITEM_POLE_MODEL'!AR42),ABS('06_ITEM_POLE_MODEL'!AR42)*ABS(SUMPRODUCT(--('93_TARGET_MEMBERSHIP'!AM$5:AM$27=1),'05_FEATURE_MODEL'!AJ$5:AJ$27)/MAX(1,COUNTIF('93_TARGET_MEMBERSHIP'!AM$5:AM$27,1))-SUMPRODUCT(--('93_TARGET_MEMBERSHIP'!AM$5:AM$27=-1),'05_FEATURE_MODEL'!AJ$5:AJ$27)/MAX(1,COUNTIF('93_TARGET_MEMBERSHIP'!AM$5:AM$27,-1))))</f>
        <v/>
      </c>
      <c r="AJ42" s="34">
        <f>IF($B42="ABSOLUTE SEMANTIC",ABS('06_ITEM_POLE_MODEL'!AS42),ABS('06_ITEM_POLE_MODEL'!AS42)*ABS(SUMPRODUCT(--('93_TARGET_MEMBERSHIP'!AM$5:AM$27=1),'05_FEATURE_MODEL'!AK$5:AK$27)/MAX(1,COUNTIF('93_TARGET_MEMBERSHIP'!AM$5:AM$27,1))-SUMPRODUCT(--('93_TARGET_MEMBERSHIP'!AM$5:AM$27=-1),'05_FEATURE_MODEL'!AK$5:AK$27)/MAX(1,COUNTIF('93_TARGET_MEMBERSHIP'!AM$5:AM$27,-1))))</f>
        <v/>
      </c>
      <c r="AK42" s="34">
        <f>IF($B42="ABSOLUTE SEMANTIC",ABS('06_ITEM_POLE_MODEL'!AT42),ABS('06_ITEM_POLE_MODEL'!AT42)*ABS(SUMPRODUCT(--('93_TARGET_MEMBERSHIP'!AM$5:AM$27=1),'05_FEATURE_MODEL'!AL$5:AL$27)/MAX(1,COUNTIF('93_TARGET_MEMBERSHIP'!AM$5:AM$27,1))-SUMPRODUCT(--('93_TARGET_MEMBERSHIP'!AM$5:AM$27=-1),'05_FEATURE_MODEL'!AL$5:AL$27)/MAX(1,COUNTIF('93_TARGET_MEMBERSHIP'!AM$5:AM$27,-1))))</f>
        <v/>
      </c>
      <c r="AL42" s="34">
        <f>IF($B42="ABSOLUTE SEMANTIC",ABS('06_ITEM_POLE_MODEL'!AU42),ABS('06_ITEM_POLE_MODEL'!AU42)*ABS(SUMPRODUCT(--('93_TARGET_MEMBERSHIP'!AM$5:AM$27=1),'05_FEATURE_MODEL'!AM$5:AM$27)/MAX(1,COUNTIF('93_TARGET_MEMBERSHIP'!AM$5:AM$27,1))-SUMPRODUCT(--('93_TARGET_MEMBERSHIP'!AM$5:AM$27=-1),'05_FEATURE_MODEL'!AM$5:AM$27)/MAX(1,COUNTIF('93_TARGET_MEMBERSHIP'!AM$5:AM$27,-1))))</f>
        <v/>
      </c>
      <c r="AM42" s="34">
        <f>IF($B42="ABSOLUTE SEMANTIC",ABS('06_ITEM_POLE_MODEL'!AV42),ABS('06_ITEM_POLE_MODEL'!AV42)*ABS(SUMPRODUCT(--('93_TARGET_MEMBERSHIP'!AM$5:AM$27=1),'05_FEATURE_MODEL'!AN$5:AN$27)/MAX(1,COUNTIF('93_TARGET_MEMBERSHIP'!AM$5:AM$27,1))-SUMPRODUCT(--('93_TARGET_MEMBERSHIP'!AM$5:AM$27=-1),'05_FEATURE_MODEL'!AN$5:AN$27)/MAX(1,COUNTIF('93_TARGET_MEMBERSHIP'!AM$5:AM$27,-1))))</f>
        <v/>
      </c>
      <c r="AN42" s="34">
        <f>IF($B42="ABSOLUTE SEMANTIC",ABS('06_ITEM_POLE_MODEL'!AW42),ABS('06_ITEM_POLE_MODEL'!AW42)*ABS(SUMPRODUCT(--('93_TARGET_MEMBERSHIP'!AM$5:AM$27=1),'05_FEATURE_MODEL'!AO$5:AO$27)/MAX(1,COUNTIF('93_TARGET_MEMBERSHIP'!AM$5:AM$27,1))-SUMPRODUCT(--('93_TARGET_MEMBERSHIP'!AM$5:AM$27=-1),'05_FEATURE_MODEL'!AO$5:AO$27)/MAX(1,COUNTIF('93_TARGET_MEMBERSHIP'!AM$5:AM$27,-1))))</f>
        <v/>
      </c>
      <c r="AO42" s="34">
        <f>IF($B42="ABSOLUTE SEMANTIC",ABS('06_ITEM_POLE_MODEL'!AX42),ABS('06_ITEM_POLE_MODEL'!AX42)*ABS(SUMPRODUCT(--('93_TARGET_MEMBERSHIP'!AM$5:AM$27=1),'05_FEATURE_MODEL'!AP$5:AP$27)/MAX(1,COUNTIF('93_TARGET_MEMBERSHIP'!AM$5:AM$27,1))-SUMPRODUCT(--('93_TARGET_MEMBERSHIP'!AM$5:AM$27=-1),'05_FEATURE_MODEL'!AP$5:AP$27)/MAX(1,COUNTIF('93_TARGET_MEMBERSHIP'!AM$5:AM$27,-1))))</f>
        <v/>
      </c>
      <c r="AP42" s="34">
        <f>IF($B42="ABSOLUTE SEMANTIC",ABS('06_ITEM_POLE_MODEL'!AY42),ABS('06_ITEM_POLE_MODEL'!AY42)*ABS(SUMPRODUCT(--('93_TARGET_MEMBERSHIP'!AM$5:AM$27=1),'05_FEATURE_MODEL'!AQ$5:AQ$27)/MAX(1,COUNTIF('93_TARGET_MEMBERSHIP'!AM$5:AM$27,1))-SUMPRODUCT(--('93_TARGET_MEMBERSHIP'!AM$5:AM$27=-1),'05_FEATURE_MODEL'!AQ$5:AQ$27)/MAX(1,COUNTIF('93_TARGET_MEMBERSHIP'!AM$5:AM$27,-1))))</f>
        <v/>
      </c>
      <c r="AQ42" s="34">
        <f>IF($B42="ABSOLUTE SEMANTIC",ABS('06_ITEM_POLE_MODEL'!AZ42),ABS('06_ITEM_POLE_MODEL'!AZ42)*ABS(SUMPRODUCT(--('93_TARGET_MEMBERSHIP'!AM$5:AM$27=1),'05_FEATURE_MODEL'!AR$5:AR$27)/MAX(1,COUNTIF('93_TARGET_MEMBERSHIP'!AM$5:AM$27,1))-SUMPRODUCT(--('93_TARGET_MEMBERSHIP'!AM$5:AM$27=-1),'05_FEATURE_MODEL'!AR$5:AR$27)/MAX(1,COUNTIF('93_TARGET_MEMBERSHIP'!AM$5:AM$27,-1))))</f>
        <v/>
      </c>
    </row>
    <row r="43" ht="36" customHeight="1">
      <c r="A43" s="34">
        <f>'06_ITEM_POLE_MODEL'!A43</f>
        <v/>
      </c>
      <c r="B43" s="34">
        <f>'06_ITEM_POLE_MODEL'!E43</f>
        <v/>
      </c>
      <c r="C43" s="34">
        <f>IF($B43="ABSOLUTE SEMANTIC",ABS('06_ITEM_POLE_MODEL'!L43),ABS('06_ITEM_POLE_MODEL'!L43)*ABS(SUMPRODUCT(--('93_TARGET_MEMBERSHIP'!AN$5:AN$27=1),'05_FEATURE_MODEL'!D$5:D$27)/MAX(1,COUNTIF('93_TARGET_MEMBERSHIP'!AN$5:AN$27,1))-SUMPRODUCT(--('93_TARGET_MEMBERSHIP'!AN$5:AN$27=-1),'05_FEATURE_MODEL'!D$5:D$27)/MAX(1,COUNTIF('93_TARGET_MEMBERSHIP'!AN$5:AN$27,-1))))</f>
        <v/>
      </c>
      <c r="D43" s="34">
        <f>IF($B43="ABSOLUTE SEMANTIC",ABS('06_ITEM_POLE_MODEL'!M43),ABS('06_ITEM_POLE_MODEL'!M43)*ABS(SUMPRODUCT(--('93_TARGET_MEMBERSHIP'!AN$5:AN$27=1),'05_FEATURE_MODEL'!E$5:E$27)/MAX(1,COUNTIF('93_TARGET_MEMBERSHIP'!AN$5:AN$27,1))-SUMPRODUCT(--('93_TARGET_MEMBERSHIP'!AN$5:AN$27=-1),'05_FEATURE_MODEL'!E$5:E$27)/MAX(1,COUNTIF('93_TARGET_MEMBERSHIP'!AN$5:AN$27,-1))))</f>
        <v/>
      </c>
      <c r="E43" s="34">
        <f>IF($B43="ABSOLUTE SEMANTIC",ABS('06_ITEM_POLE_MODEL'!N43),ABS('06_ITEM_POLE_MODEL'!N43)*ABS(SUMPRODUCT(--('93_TARGET_MEMBERSHIP'!AN$5:AN$27=1),'05_FEATURE_MODEL'!F$5:F$27)/MAX(1,COUNTIF('93_TARGET_MEMBERSHIP'!AN$5:AN$27,1))-SUMPRODUCT(--('93_TARGET_MEMBERSHIP'!AN$5:AN$27=-1),'05_FEATURE_MODEL'!F$5:F$27)/MAX(1,COUNTIF('93_TARGET_MEMBERSHIP'!AN$5:AN$27,-1))))</f>
        <v/>
      </c>
      <c r="F43" s="34">
        <f>IF($B43="ABSOLUTE SEMANTIC",ABS('06_ITEM_POLE_MODEL'!O43),ABS('06_ITEM_POLE_MODEL'!O43)*ABS(SUMPRODUCT(--('93_TARGET_MEMBERSHIP'!AN$5:AN$27=1),'05_FEATURE_MODEL'!G$5:G$27)/MAX(1,COUNTIF('93_TARGET_MEMBERSHIP'!AN$5:AN$27,1))-SUMPRODUCT(--('93_TARGET_MEMBERSHIP'!AN$5:AN$27=-1),'05_FEATURE_MODEL'!G$5:G$27)/MAX(1,COUNTIF('93_TARGET_MEMBERSHIP'!AN$5:AN$27,-1))))</f>
        <v/>
      </c>
      <c r="G43" s="34">
        <f>IF($B43="ABSOLUTE SEMANTIC",ABS('06_ITEM_POLE_MODEL'!P43),ABS('06_ITEM_POLE_MODEL'!P43)*ABS(SUMPRODUCT(--('93_TARGET_MEMBERSHIP'!AN$5:AN$27=1),'05_FEATURE_MODEL'!H$5:H$27)/MAX(1,COUNTIF('93_TARGET_MEMBERSHIP'!AN$5:AN$27,1))-SUMPRODUCT(--('93_TARGET_MEMBERSHIP'!AN$5:AN$27=-1),'05_FEATURE_MODEL'!H$5:H$27)/MAX(1,COUNTIF('93_TARGET_MEMBERSHIP'!AN$5:AN$27,-1))))</f>
        <v/>
      </c>
      <c r="H43" s="34">
        <f>IF($B43="ABSOLUTE SEMANTIC",ABS('06_ITEM_POLE_MODEL'!Q43),ABS('06_ITEM_POLE_MODEL'!Q43)*ABS(SUMPRODUCT(--('93_TARGET_MEMBERSHIP'!AN$5:AN$27=1),'05_FEATURE_MODEL'!I$5:I$27)/MAX(1,COUNTIF('93_TARGET_MEMBERSHIP'!AN$5:AN$27,1))-SUMPRODUCT(--('93_TARGET_MEMBERSHIP'!AN$5:AN$27=-1),'05_FEATURE_MODEL'!I$5:I$27)/MAX(1,COUNTIF('93_TARGET_MEMBERSHIP'!AN$5:AN$27,-1))))</f>
        <v/>
      </c>
      <c r="I43" s="34">
        <f>IF($B43="ABSOLUTE SEMANTIC",ABS('06_ITEM_POLE_MODEL'!R43),ABS('06_ITEM_POLE_MODEL'!R43)*ABS(SUMPRODUCT(--('93_TARGET_MEMBERSHIP'!AN$5:AN$27=1),'05_FEATURE_MODEL'!J$5:J$27)/MAX(1,COUNTIF('93_TARGET_MEMBERSHIP'!AN$5:AN$27,1))-SUMPRODUCT(--('93_TARGET_MEMBERSHIP'!AN$5:AN$27=-1),'05_FEATURE_MODEL'!J$5:J$27)/MAX(1,COUNTIF('93_TARGET_MEMBERSHIP'!AN$5:AN$27,-1))))</f>
        <v/>
      </c>
      <c r="J43" s="34">
        <f>IF($B43="ABSOLUTE SEMANTIC",ABS('06_ITEM_POLE_MODEL'!S43),ABS('06_ITEM_POLE_MODEL'!S43)*ABS(SUMPRODUCT(--('93_TARGET_MEMBERSHIP'!AN$5:AN$27=1),'05_FEATURE_MODEL'!K$5:K$27)/MAX(1,COUNTIF('93_TARGET_MEMBERSHIP'!AN$5:AN$27,1))-SUMPRODUCT(--('93_TARGET_MEMBERSHIP'!AN$5:AN$27=-1),'05_FEATURE_MODEL'!K$5:K$27)/MAX(1,COUNTIF('93_TARGET_MEMBERSHIP'!AN$5:AN$27,-1))))</f>
        <v/>
      </c>
      <c r="K43" s="34">
        <f>IF($B43="ABSOLUTE SEMANTIC",ABS('06_ITEM_POLE_MODEL'!T43),ABS('06_ITEM_POLE_MODEL'!T43)*ABS(SUMPRODUCT(--('93_TARGET_MEMBERSHIP'!AN$5:AN$27=1),'05_FEATURE_MODEL'!L$5:L$27)/MAX(1,COUNTIF('93_TARGET_MEMBERSHIP'!AN$5:AN$27,1))-SUMPRODUCT(--('93_TARGET_MEMBERSHIP'!AN$5:AN$27=-1),'05_FEATURE_MODEL'!L$5:L$27)/MAX(1,COUNTIF('93_TARGET_MEMBERSHIP'!AN$5:AN$27,-1))))</f>
        <v/>
      </c>
      <c r="L43" s="34">
        <f>IF($B43="ABSOLUTE SEMANTIC",ABS('06_ITEM_POLE_MODEL'!U43),ABS('06_ITEM_POLE_MODEL'!U43)*ABS(SUMPRODUCT(--('93_TARGET_MEMBERSHIP'!AN$5:AN$27=1),'05_FEATURE_MODEL'!M$5:M$27)/MAX(1,COUNTIF('93_TARGET_MEMBERSHIP'!AN$5:AN$27,1))-SUMPRODUCT(--('93_TARGET_MEMBERSHIP'!AN$5:AN$27=-1),'05_FEATURE_MODEL'!M$5:M$27)/MAX(1,COUNTIF('93_TARGET_MEMBERSHIP'!AN$5:AN$27,-1))))</f>
        <v/>
      </c>
      <c r="M43" s="34">
        <f>IF($B43="ABSOLUTE SEMANTIC",ABS('06_ITEM_POLE_MODEL'!V43),ABS('06_ITEM_POLE_MODEL'!V43)*ABS(SUMPRODUCT(--('93_TARGET_MEMBERSHIP'!AN$5:AN$27=1),'05_FEATURE_MODEL'!N$5:N$27)/MAX(1,COUNTIF('93_TARGET_MEMBERSHIP'!AN$5:AN$27,1))-SUMPRODUCT(--('93_TARGET_MEMBERSHIP'!AN$5:AN$27=-1),'05_FEATURE_MODEL'!N$5:N$27)/MAX(1,COUNTIF('93_TARGET_MEMBERSHIP'!AN$5:AN$27,-1))))</f>
        <v/>
      </c>
      <c r="N43" s="34">
        <f>IF($B43="ABSOLUTE SEMANTIC",ABS('06_ITEM_POLE_MODEL'!W43),ABS('06_ITEM_POLE_MODEL'!W43)*ABS(SUMPRODUCT(--('93_TARGET_MEMBERSHIP'!AN$5:AN$27=1),'05_FEATURE_MODEL'!O$5:O$27)/MAX(1,COUNTIF('93_TARGET_MEMBERSHIP'!AN$5:AN$27,1))-SUMPRODUCT(--('93_TARGET_MEMBERSHIP'!AN$5:AN$27=-1),'05_FEATURE_MODEL'!O$5:O$27)/MAX(1,COUNTIF('93_TARGET_MEMBERSHIP'!AN$5:AN$27,-1))))</f>
        <v/>
      </c>
      <c r="O43" s="34">
        <f>IF($B43="ABSOLUTE SEMANTIC",ABS('06_ITEM_POLE_MODEL'!X43),ABS('06_ITEM_POLE_MODEL'!X43)*ABS(SUMPRODUCT(--('93_TARGET_MEMBERSHIP'!AN$5:AN$27=1),'05_FEATURE_MODEL'!P$5:P$27)/MAX(1,COUNTIF('93_TARGET_MEMBERSHIP'!AN$5:AN$27,1))-SUMPRODUCT(--('93_TARGET_MEMBERSHIP'!AN$5:AN$27=-1),'05_FEATURE_MODEL'!P$5:P$27)/MAX(1,COUNTIF('93_TARGET_MEMBERSHIP'!AN$5:AN$27,-1))))</f>
        <v/>
      </c>
      <c r="P43" s="34">
        <f>IF($B43="ABSOLUTE SEMANTIC",ABS('06_ITEM_POLE_MODEL'!Y43),ABS('06_ITEM_POLE_MODEL'!Y43)*ABS(SUMPRODUCT(--('93_TARGET_MEMBERSHIP'!AN$5:AN$27=1),'05_FEATURE_MODEL'!Q$5:Q$27)/MAX(1,COUNTIF('93_TARGET_MEMBERSHIP'!AN$5:AN$27,1))-SUMPRODUCT(--('93_TARGET_MEMBERSHIP'!AN$5:AN$27=-1),'05_FEATURE_MODEL'!Q$5:Q$27)/MAX(1,COUNTIF('93_TARGET_MEMBERSHIP'!AN$5:AN$27,-1))))</f>
        <v/>
      </c>
      <c r="Q43" s="34">
        <f>IF($B43="ABSOLUTE SEMANTIC",ABS('06_ITEM_POLE_MODEL'!Z43),ABS('06_ITEM_POLE_MODEL'!Z43)*ABS(SUMPRODUCT(--('93_TARGET_MEMBERSHIP'!AN$5:AN$27=1),'05_FEATURE_MODEL'!R$5:R$27)/MAX(1,COUNTIF('93_TARGET_MEMBERSHIP'!AN$5:AN$27,1))-SUMPRODUCT(--('93_TARGET_MEMBERSHIP'!AN$5:AN$27=-1),'05_FEATURE_MODEL'!R$5:R$27)/MAX(1,COUNTIF('93_TARGET_MEMBERSHIP'!AN$5:AN$27,-1))))</f>
        <v/>
      </c>
      <c r="R43" s="34">
        <f>IF($B43="ABSOLUTE SEMANTIC",ABS('06_ITEM_POLE_MODEL'!AA43),ABS('06_ITEM_POLE_MODEL'!AA43)*ABS(SUMPRODUCT(--('93_TARGET_MEMBERSHIP'!AN$5:AN$27=1),'05_FEATURE_MODEL'!S$5:S$27)/MAX(1,COUNTIF('93_TARGET_MEMBERSHIP'!AN$5:AN$27,1))-SUMPRODUCT(--('93_TARGET_MEMBERSHIP'!AN$5:AN$27=-1),'05_FEATURE_MODEL'!S$5:S$27)/MAX(1,COUNTIF('93_TARGET_MEMBERSHIP'!AN$5:AN$27,-1))))</f>
        <v/>
      </c>
      <c r="S43" s="34">
        <f>IF($B43="ABSOLUTE SEMANTIC",ABS('06_ITEM_POLE_MODEL'!AB43),ABS('06_ITEM_POLE_MODEL'!AB43)*ABS(SUMPRODUCT(--('93_TARGET_MEMBERSHIP'!AN$5:AN$27=1),'05_FEATURE_MODEL'!T$5:T$27)/MAX(1,COUNTIF('93_TARGET_MEMBERSHIP'!AN$5:AN$27,1))-SUMPRODUCT(--('93_TARGET_MEMBERSHIP'!AN$5:AN$27=-1),'05_FEATURE_MODEL'!T$5:T$27)/MAX(1,COUNTIF('93_TARGET_MEMBERSHIP'!AN$5:AN$27,-1))))</f>
        <v/>
      </c>
      <c r="T43" s="34">
        <f>IF($B43="ABSOLUTE SEMANTIC",ABS('06_ITEM_POLE_MODEL'!AC43),ABS('06_ITEM_POLE_MODEL'!AC43)*ABS(SUMPRODUCT(--('93_TARGET_MEMBERSHIP'!AN$5:AN$27=1),'05_FEATURE_MODEL'!U$5:U$27)/MAX(1,COUNTIF('93_TARGET_MEMBERSHIP'!AN$5:AN$27,1))-SUMPRODUCT(--('93_TARGET_MEMBERSHIP'!AN$5:AN$27=-1),'05_FEATURE_MODEL'!U$5:U$27)/MAX(1,COUNTIF('93_TARGET_MEMBERSHIP'!AN$5:AN$27,-1))))</f>
        <v/>
      </c>
      <c r="U43" s="34">
        <f>IF($B43="ABSOLUTE SEMANTIC",ABS('06_ITEM_POLE_MODEL'!AD43),ABS('06_ITEM_POLE_MODEL'!AD43)*ABS(SUMPRODUCT(--('93_TARGET_MEMBERSHIP'!AN$5:AN$27=1),'05_FEATURE_MODEL'!V$5:V$27)/MAX(1,COUNTIF('93_TARGET_MEMBERSHIP'!AN$5:AN$27,1))-SUMPRODUCT(--('93_TARGET_MEMBERSHIP'!AN$5:AN$27=-1),'05_FEATURE_MODEL'!V$5:V$27)/MAX(1,COUNTIF('93_TARGET_MEMBERSHIP'!AN$5:AN$27,-1))))</f>
        <v/>
      </c>
      <c r="V43" s="34">
        <f>IF($B43="ABSOLUTE SEMANTIC",ABS('06_ITEM_POLE_MODEL'!AE43),ABS('06_ITEM_POLE_MODEL'!AE43)*ABS(SUMPRODUCT(--('93_TARGET_MEMBERSHIP'!AN$5:AN$27=1),'05_FEATURE_MODEL'!W$5:W$27)/MAX(1,COUNTIF('93_TARGET_MEMBERSHIP'!AN$5:AN$27,1))-SUMPRODUCT(--('93_TARGET_MEMBERSHIP'!AN$5:AN$27=-1),'05_FEATURE_MODEL'!W$5:W$27)/MAX(1,COUNTIF('93_TARGET_MEMBERSHIP'!AN$5:AN$27,-1))))</f>
        <v/>
      </c>
      <c r="W43" s="34">
        <f>IF($B43="ABSOLUTE SEMANTIC",ABS('06_ITEM_POLE_MODEL'!AF43),ABS('06_ITEM_POLE_MODEL'!AF43)*ABS(SUMPRODUCT(--('93_TARGET_MEMBERSHIP'!AN$5:AN$27=1),'05_FEATURE_MODEL'!X$5:X$27)/MAX(1,COUNTIF('93_TARGET_MEMBERSHIP'!AN$5:AN$27,1))-SUMPRODUCT(--('93_TARGET_MEMBERSHIP'!AN$5:AN$27=-1),'05_FEATURE_MODEL'!X$5:X$27)/MAX(1,COUNTIF('93_TARGET_MEMBERSHIP'!AN$5:AN$27,-1))))</f>
        <v/>
      </c>
      <c r="X43" s="34">
        <f>IF($B43="ABSOLUTE SEMANTIC",ABS('06_ITEM_POLE_MODEL'!AG43),ABS('06_ITEM_POLE_MODEL'!AG43)*ABS(SUMPRODUCT(--('93_TARGET_MEMBERSHIP'!AN$5:AN$27=1),'05_FEATURE_MODEL'!Y$5:Y$27)/MAX(1,COUNTIF('93_TARGET_MEMBERSHIP'!AN$5:AN$27,1))-SUMPRODUCT(--('93_TARGET_MEMBERSHIP'!AN$5:AN$27=-1),'05_FEATURE_MODEL'!Y$5:Y$27)/MAX(1,COUNTIF('93_TARGET_MEMBERSHIP'!AN$5:AN$27,-1))))</f>
        <v/>
      </c>
      <c r="Y43" s="34">
        <f>IF($B43="ABSOLUTE SEMANTIC",ABS('06_ITEM_POLE_MODEL'!AH43),ABS('06_ITEM_POLE_MODEL'!AH43)*ABS(SUMPRODUCT(--('93_TARGET_MEMBERSHIP'!AN$5:AN$27=1),'05_FEATURE_MODEL'!Z$5:Z$27)/MAX(1,COUNTIF('93_TARGET_MEMBERSHIP'!AN$5:AN$27,1))-SUMPRODUCT(--('93_TARGET_MEMBERSHIP'!AN$5:AN$27=-1),'05_FEATURE_MODEL'!Z$5:Z$27)/MAX(1,COUNTIF('93_TARGET_MEMBERSHIP'!AN$5:AN$27,-1))))</f>
        <v/>
      </c>
      <c r="Z43" s="34">
        <f>IF($B43="ABSOLUTE SEMANTIC",ABS('06_ITEM_POLE_MODEL'!AI43),ABS('06_ITEM_POLE_MODEL'!AI43)*ABS(SUMPRODUCT(--('93_TARGET_MEMBERSHIP'!AN$5:AN$27=1),'05_FEATURE_MODEL'!AA$5:AA$27)/MAX(1,COUNTIF('93_TARGET_MEMBERSHIP'!AN$5:AN$27,1))-SUMPRODUCT(--('93_TARGET_MEMBERSHIP'!AN$5:AN$27=-1),'05_FEATURE_MODEL'!AA$5:AA$27)/MAX(1,COUNTIF('93_TARGET_MEMBERSHIP'!AN$5:AN$27,-1))))</f>
        <v/>
      </c>
      <c r="AA43" s="34">
        <f>IF($B43="ABSOLUTE SEMANTIC",ABS('06_ITEM_POLE_MODEL'!AJ43),ABS('06_ITEM_POLE_MODEL'!AJ43)*ABS(SUMPRODUCT(--('93_TARGET_MEMBERSHIP'!AN$5:AN$27=1),'05_FEATURE_MODEL'!AB$5:AB$27)/MAX(1,COUNTIF('93_TARGET_MEMBERSHIP'!AN$5:AN$27,1))-SUMPRODUCT(--('93_TARGET_MEMBERSHIP'!AN$5:AN$27=-1),'05_FEATURE_MODEL'!AB$5:AB$27)/MAX(1,COUNTIF('93_TARGET_MEMBERSHIP'!AN$5:AN$27,-1))))</f>
        <v/>
      </c>
      <c r="AB43" s="34">
        <f>IF($B43="ABSOLUTE SEMANTIC",ABS('06_ITEM_POLE_MODEL'!AK43),ABS('06_ITEM_POLE_MODEL'!AK43)*ABS(SUMPRODUCT(--('93_TARGET_MEMBERSHIP'!AN$5:AN$27=1),'05_FEATURE_MODEL'!AC$5:AC$27)/MAX(1,COUNTIF('93_TARGET_MEMBERSHIP'!AN$5:AN$27,1))-SUMPRODUCT(--('93_TARGET_MEMBERSHIP'!AN$5:AN$27=-1),'05_FEATURE_MODEL'!AC$5:AC$27)/MAX(1,COUNTIF('93_TARGET_MEMBERSHIP'!AN$5:AN$27,-1))))</f>
        <v/>
      </c>
      <c r="AC43" s="34">
        <f>IF($B43="ABSOLUTE SEMANTIC",ABS('06_ITEM_POLE_MODEL'!AL43),ABS('06_ITEM_POLE_MODEL'!AL43)*ABS(SUMPRODUCT(--('93_TARGET_MEMBERSHIP'!AN$5:AN$27=1),'05_FEATURE_MODEL'!AD$5:AD$27)/MAX(1,COUNTIF('93_TARGET_MEMBERSHIP'!AN$5:AN$27,1))-SUMPRODUCT(--('93_TARGET_MEMBERSHIP'!AN$5:AN$27=-1),'05_FEATURE_MODEL'!AD$5:AD$27)/MAX(1,COUNTIF('93_TARGET_MEMBERSHIP'!AN$5:AN$27,-1))))</f>
        <v/>
      </c>
      <c r="AD43" s="34">
        <f>IF($B43="ABSOLUTE SEMANTIC",ABS('06_ITEM_POLE_MODEL'!AM43),ABS('06_ITEM_POLE_MODEL'!AM43)*ABS(SUMPRODUCT(--('93_TARGET_MEMBERSHIP'!AN$5:AN$27=1),'05_FEATURE_MODEL'!AE$5:AE$27)/MAX(1,COUNTIF('93_TARGET_MEMBERSHIP'!AN$5:AN$27,1))-SUMPRODUCT(--('93_TARGET_MEMBERSHIP'!AN$5:AN$27=-1),'05_FEATURE_MODEL'!AE$5:AE$27)/MAX(1,COUNTIF('93_TARGET_MEMBERSHIP'!AN$5:AN$27,-1))))</f>
        <v/>
      </c>
      <c r="AE43" s="34">
        <f>IF($B43="ABSOLUTE SEMANTIC",ABS('06_ITEM_POLE_MODEL'!AN43),ABS('06_ITEM_POLE_MODEL'!AN43)*ABS(SUMPRODUCT(--('93_TARGET_MEMBERSHIP'!AN$5:AN$27=1),'05_FEATURE_MODEL'!AF$5:AF$27)/MAX(1,COUNTIF('93_TARGET_MEMBERSHIP'!AN$5:AN$27,1))-SUMPRODUCT(--('93_TARGET_MEMBERSHIP'!AN$5:AN$27=-1),'05_FEATURE_MODEL'!AF$5:AF$27)/MAX(1,COUNTIF('93_TARGET_MEMBERSHIP'!AN$5:AN$27,-1))))</f>
        <v/>
      </c>
      <c r="AF43" s="34">
        <f>IF($B43="ABSOLUTE SEMANTIC",ABS('06_ITEM_POLE_MODEL'!AO43),ABS('06_ITEM_POLE_MODEL'!AO43)*ABS(SUMPRODUCT(--('93_TARGET_MEMBERSHIP'!AN$5:AN$27=1),'05_FEATURE_MODEL'!AG$5:AG$27)/MAX(1,COUNTIF('93_TARGET_MEMBERSHIP'!AN$5:AN$27,1))-SUMPRODUCT(--('93_TARGET_MEMBERSHIP'!AN$5:AN$27=-1),'05_FEATURE_MODEL'!AG$5:AG$27)/MAX(1,COUNTIF('93_TARGET_MEMBERSHIP'!AN$5:AN$27,-1))))</f>
        <v/>
      </c>
      <c r="AG43" s="34">
        <f>IF($B43="ABSOLUTE SEMANTIC",ABS('06_ITEM_POLE_MODEL'!AP43),ABS('06_ITEM_POLE_MODEL'!AP43)*ABS(SUMPRODUCT(--('93_TARGET_MEMBERSHIP'!AN$5:AN$27=1),'05_FEATURE_MODEL'!AH$5:AH$27)/MAX(1,COUNTIF('93_TARGET_MEMBERSHIP'!AN$5:AN$27,1))-SUMPRODUCT(--('93_TARGET_MEMBERSHIP'!AN$5:AN$27=-1),'05_FEATURE_MODEL'!AH$5:AH$27)/MAX(1,COUNTIF('93_TARGET_MEMBERSHIP'!AN$5:AN$27,-1))))</f>
        <v/>
      </c>
      <c r="AH43" s="34">
        <f>IF($B43="ABSOLUTE SEMANTIC",ABS('06_ITEM_POLE_MODEL'!AQ43),ABS('06_ITEM_POLE_MODEL'!AQ43)*ABS(SUMPRODUCT(--('93_TARGET_MEMBERSHIP'!AN$5:AN$27=1),'05_FEATURE_MODEL'!AI$5:AI$27)/MAX(1,COUNTIF('93_TARGET_MEMBERSHIP'!AN$5:AN$27,1))-SUMPRODUCT(--('93_TARGET_MEMBERSHIP'!AN$5:AN$27=-1),'05_FEATURE_MODEL'!AI$5:AI$27)/MAX(1,COUNTIF('93_TARGET_MEMBERSHIP'!AN$5:AN$27,-1))))</f>
        <v/>
      </c>
      <c r="AI43" s="34">
        <f>IF($B43="ABSOLUTE SEMANTIC",ABS('06_ITEM_POLE_MODEL'!AR43),ABS('06_ITEM_POLE_MODEL'!AR43)*ABS(SUMPRODUCT(--('93_TARGET_MEMBERSHIP'!AN$5:AN$27=1),'05_FEATURE_MODEL'!AJ$5:AJ$27)/MAX(1,COUNTIF('93_TARGET_MEMBERSHIP'!AN$5:AN$27,1))-SUMPRODUCT(--('93_TARGET_MEMBERSHIP'!AN$5:AN$27=-1),'05_FEATURE_MODEL'!AJ$5:AJ$27)/MAX(1,COUNTIF('93_TARGET_MEMBERSHIP'!AN$5:AN$27,-1))))</f>
        <v/>
      </c>
      <c r="AJ43" s="34">
        <f>IF($B43="ABSOLUTE SEMANTIC",ABS('06_ITEM_POLE_MODEL'!AS43),ABS('06_ITEM_POLE_MODEL'!AS43)*ABS(SUMPRODUCT(--('93_TARGET_MEMBERSHIP'!AN$5:AN$27=1),'05_FEATURE_MODEL'!AK$5:AK$27)/MAX(1,COUNTIF('93_TARGET_MEMBERSHIP'!AN$5:AN$27,1))-SUMPRODUCT(--('93_TARGET_MEMBERSHIP'!AN$5:AN$27=-1),'05_FEATURE_MODEL'!AK$5:AK$27)/MAX(1,COUNTIF('93_TARGET_MEMBERSHIP'!AN$5:AN$27,-1))))</f>
        <v/>
      </c>
      <c r="AK43" s="34">
        <f>IF($B43="ABSOLUTE SEMANTIC",ABS('06_ITEM_POLE_MODEL'!AT43),ABS('06_ITEM_POLE_MODEL'!AT43)*ABS(SUMPRODUCT(--('93_TARGET_MEMBERSHIP'!AN$5:AN$27=1),'05_FEATURE_MODEL'!AL$5:AL$27)/MAX(1,COUNTIF('93_TARGET_MEMBERSHIP'!AN$5:AN$27,1))-SUMPRODUCT(--('93_TARGET_MEMBERSHIP'!AN$5:AN$27=-1),'05_FEATURE_MODEL'!AL$5:AL$27)/MAX(1,COUNTIF('93_TARGET_MEMBERSHIP'!AN$5:AN$27,-1))))</f>
        <v/>
      </c>
      <c r="AL43" s="34">
        <f>IF($B43="ABSOLUTE SEMANTIC",ABS('06_ITEM_POLE_MODEL'!AU43),ABS('06_ITEM_POLE_MODEL'!AU43)*ABS(SUMPRODUCT(--('93_TARGET_MEMBERSHIP'!AN$5:AN$27=1),'05_FEATURE_MODEL'!AM$5:AM$27)/MAX(1,COUNTIF('93_TARGET_MEMBERSHIP'!AN$5:AN$27,1))-SUMPRODUCT(--('93_TARGET_MEMBERSHIP'!AN$5:AN$27=-1),'05_FEATURE_MODEL'!AM$5:AM$27)/MAX(1,COUNTIF('93_TARGET_MEMBERSHIP'!AN$5:AN$27,-1))))</f>
        <v/>
      </c>
      <c r="AM43" s="34">
        <f>IF($B43="ABSOLUTE SEMANTIC",ABS('06_ITEM_POLE_MODEL'!AV43),ABS('06_ITEM_POLE_MODEL'!AV43)*ABS(SUMPRODUCT(--('93_TARGET_MEMBERSHIP'!AN$5:AN$27=1),'05_FEATURE_MODEL'!AN$5:AN$27)/MAX(1,COUNTIF('93_TARGET_MEMBERSHIP'!AN$5:AN$27,1))-SUMPRODUCT(--('93_TARGET_MEMBERSHIP'!AN$5:AN$27=-1),'05_FEATURE_MODEL'!AN$5:AN$27)/MAX(1,COUNTIF('93_TARGET_MEMBERSHIP'!AN$5:AN$27,-1))))</f>
        <v/>
      </c>
      <c r="AN43" s="34">
        <f>IF($B43="ABSOLUTE SEMANTIC",ABS('06_ITEM_POLE_MODEL'!AW43),ABS('06_ITEM_POLE_MODEL'!AW43)*ABS(SUMPRODUCT(--('93_TARGET_MEMBERSHIP'!AN$5:AN$27=1),'05_FEATURE_MODEL'!AO$5:AO$27)/MAX(1,COUNTIF('93_TARGET_MEMBERSHIP'!AN$5:AN$27,1))-SUMPRODUCT(--('93_TARGET_MEMBERSHIP'!AN$5:AN$27=-1),'05_FEATURE_MODEL'!AO$5:AO$27)/MAX(1,COUNTIF('93_TARGET_MEMBERSHIP'!AN$5:AN$27,-1))))</f>
        <v/>
      </c>
      <c r="AO43" s="34">
        <f>IF($B43="ABSOLUTE SEMANTIC",ABS('06_ITEM_POLE_MODEL'!AX43),ABS('06_ITEM_POLE_MODEL'!AX43)*ABS(SUMPRODUCT(--('93_TARGET_MEMBERSHIP'!AN$5:AN$27=1),'05_FEATURE_MODEL'!AP$5:AP$27)/MAX(1,COUNTIF('93_TARGET_MEMBERSHIP'!AN$5:AN$27,1))-SUMPRODUCT(--('93_TARGET_MEMBERSHIP'!AN$5:AN$27=-1),'05_FEATURE_MODEL'!AP$5:AP$27)/MAX(1,COUNTIF('93_TARGET_MEMBERSHIP'!AN$5:AN$27,-1))))</f>
        <v/>
      </c>
      <c r="AP43" s="34">
        <f>IF($B43="ABSOLUTE SEMANTIC",ABS('06_ITEM_POLE_MODEL'!AY43),ABS('06_ITEM_POLE_MODEL'!AY43)*ABS(SUMPRODUCT(--('93_TARGET_MEMBERSHIP'!AN$5:AN$27=1),'05_FEATURE_MODEL'!AQ$5:AQ$27)/MAX(1,COUNTIF('93_TARGET_MEMBERSHIP'!AN$5:AN$27,1))-SUMPRODUCT(--('93_TARGET_MEMBERSHIP'!AN$5:AN$27=-1),'05_FEATURE_MODEL'!AQ$5:AQ$27)/MAX(1,COUNTIF('93_TARGET_MEMBERSHIP'!AN$5:AN$27,-1))))</f>
        <v/>
      </c>
      <c r="AQ43" s="34">
        <f>IF($B43="ABSOLUTE SEMANTIC",ABS('06_ITEM_POLE_MODEL'!AZ43),ABS('06_ITEM_POLE_MODEL'!AZ43)*ABS(SUMPRODUCT(--('93_TARGET_MEMBERSHIP'!AN$5:AN$27=1),'05_FEATURE_MODEL'!AR$5:AR$27)/MAX(1,COUNTIF('93_TARGET_MEMBERSHIP'!AN$5:AN$27,1))-SUMPRODUCT(--('93_TARGET_MEMBERSHIP'!AN$5:AN$27=-1),'05_FEATURE_MODEL'!AR$5:AR$27)/MAX(1,COUNTIF('93_TARGET_MEMBERSHIP'!AN$5:AN$27,-1))))</f>
        <v/>
      </c>
    </row>
    <row r="44" ht="36" customHeight="1">
      <c r="A44" s="34">
        <f>'06_ITEM_POLE_MODEL'!A44</f>
        <v/>
      </c>
      <c r="B44" s="34">
        <f>'06_ITEM_POLE_MODEL'!E44</f>
        <v/>
      </c>
      <c r="C44" s="34">
        <f>IF($B44="ABSOLUTE SEMANTIC",ABS('06_ITEM_POLE_MODEL'!L44),ABS('06_ITEM_POLE_MODEL'!L44)*ABS(SUMPRODUCT(--('93_TARGET_MEMBERSHIP'!AO$5:AO$27=1),'05_FEATURE_MODEL'!D$5:D$27)/MAX(1,COUNTIF('93_TARGET_MEMBERSHIP'!AO$5:AO$27,1))-SUMPRODUCT(--('93_TARGET_MEMBERSHIP'!AO$5:AO$27=-1),'05_FEATURE_MODEL'!D$5:D$27)/MAX(1,COUNTIF('93_TARGET_MEMBERSHIP'!AO$5:AO$27,-1))))</f>
        <v/>
      </c>
      <c r="D44" s="34">
        <f>IF($B44="ABSOLUTE SEMANTIC",ABS('06_ITEM_POLE_MODEL'!M44),ABS('06_ITEM_POLE_MODEL'!M44)*ABS(SUMPRODUCT(--('93_TARGET_MEMBERSHIP'!AO$5:AO$27=1),'05_FEATURE_MODEL'!E$5:E$27)/MAX(1,COUNTIF('93_TARGET_MEMBERSHIP'!AO$5:AO$27,1))-SUMPRODUCT(--('93_TARGET_MEMBERSHIP'!AO$5:AO$27=-1),'05_FEATURE_MODEL'!E$5:E$27)/MAX(1,COUNTIF('93_TARGET_MEMBERSHIP'!AO$5:AO$27,-1))))</f>
        <v/>
      </c>
      <c r="E44" s="34">
        <f>IF($B44="ABSOLUTE SEMANTIC",ABS('06_ITEM_POLE_MODEL'!N44),ABS('06_ITEM_POLE_MODEL'!N44)*ABS(SUMPRODUCT(--('93_TARGET_MEMBERSHIP'!AO$5:AO$27=1),'05_FEATURE_MODEL'!F$5:F$27)/MAX(1,COUNTIF('93_TARGET_MEMBERSHIP'!AO$5:AO$27,1))-SUMPRODUCT(--('93_TARGET_MEMBERSHIP'!AO$5:AO$27=-1),'05_FEATURE_MODEL'!F$5:F$27)/MAX(1,COUNTIF('93_TARGET_MEMBERSHIP'!AO$5:AO$27,-1))))</f>
        <v/>
      </c>
      <c r="F44" s="34">
        <f>IF($B44="ABSOLUTE SEMANTIC",ABS('06_ITEM_POLE_MODEL'!O44),ABS('06_ITEM_POLE_MODEL'!O44)*ABS(SUMPRODUCT(--('93_TARGET_MEMBERSHIP'!AO$5:AO$27=1),'05_FEATURE_MODEL'!G$5:G$27)/MAX(1,COUNTIF('93_TARGET_MEMBERSHIP'!AO$5:AO$27,1))-SUMPRODUCT(--('93_TARGET_MEMBERSHIP'!AO$5:AO$27=-1),'05_FEATURE_MODEL'!G$5:G$27)/MAX(1,COUNTIF('93_TARGET_MEMBERSHIP'!AO$5:AO$27,-1))))</f>
        <v/>
      </c>
      <c r="G44" s="34">
        <f>IF($B44="ABSOLUTE SEMANTIC",ABS('06_ITEM_POLE_MODEL'!P44),ABS('06_ITEM_POLE_MODEL'!P44)*ABS(SUMPRODUCT(--('93_TARGET_MEMBERSHIP'!AO$5:AO$27=1),'05_FEATURE_MODEL'!H$5:H$27)/MAX(1,COUNTIF('93_TARGET_MEMBERSHIP'!AO$5:AO$27,1))-SUMPRODUCT(--('93_TARGET_MEMBERSHIP'!AO$5:AO$27=-1),'05_FEATURE_MODEL'!H$5:H$27)/MAX(1,COUNTIF('93_TARGET_MEMBERSHIP'!AO$5:AO$27,-1))))</f>
        <v/>
      </c>
      <c r="H44" s="34">
        <f>IF($B44="ABSOLUTE SEMANTIC",ABS('06_ITEM_POLE_MODEL'!Q44),ABS('06_ITEM_POLE_MODEL'!Q44)*ABS(SUMPRODUCT(--('93_TARGET_MEMBERSHIP'!AO$5:AO$27=1),'05_FEATURE_MODEL'!I$5:I$27)/MAX(1,COUNTIF('93_TARGET_MEMBERSHIP'!AO$5:AO$27,1))-SUMPRODUCT(--('93_TARGET_MEMBERSHIP'!AO$5:AO$27=-1),'05_FEATURE_MODEL'!I$5:I$27)/MAX(1,COUNTIF('93_TARGET_MEMBERSHIP'!AO$5:AO$27,-1))))</f>
        <v/>
      </c>
      <c r="I44" s="34">
        <f>IF($B44="ABSOLUTE SEMANTIC",ABS('06_ITEM_POLE_MODEL'!R44),ABS('06_ITEM_POLE_MODEL'!R44)*ABS(SUMPRODUCT(--('93_TARGET_MEMBERSHIP'!AO$5:AO$27=1),'05_FEATURE_MODEL'!J$5:J$27)/MAX(1,COUNTIF('93_TARGET_MEMBERSHIP'!AO$5:AO$27,1))-SUMPRODUCT(--('93_TARGET_MEMBERSHIP'!AO$5:AO$27=-1),'05_FEATURE_MODEL'!J$5:J$27)/MAX(1,COUNTIF('93_TARGET_MEMBERSHIP'!AO$5:AO$27,-1))))</f>
        <v/>
      </c>
      <c r="J44" s="34">
        <f>IF($B44="ABSOLUTE SEMANTIC",ABS('06_ITEM_POLE_MODEL'!S44),ABS('06_ITEM_POLE_MODEL'!S44)*ABS(SUMPRODUCT(--('93_TARGET_MEMBERSHIP'!AO$5:AO$27=1),'05_FEATURE_MODEL'!K$5:K$27)/MAX(1,COUNTIF('93_TARGET_MEMBERSHIP'!AO$5:AO$27,1))-SUMPRODUCT(--('93_TARGET_MEMBERSHIP'!AO$5:AO$27=-1),'05_FEATURE_MODEL'!K$5:K$27)/MAX(1,COUNTIF('93_TARGET_MEMBERSHIP'!AO$5:AO$27,-1))))</f>
        <v/>
      </c>
      <c r="K44" s="34">
        <f>IF($B44="ABSOLUTE SEMANTIC",ABS('06_ITEM_POLE_MODEL'!T44),ABS('06_ITEM_POLE_MODEL'!T44)*ABS(SUMPRODUCT(--('93_TARGET_MEMBERSHIP'!AO$5:AO$27=1),'05_FEATURE_MODEL'!L$5:L$27)/MAX(1,COUNTIF('93_TARGET_MEMBERSHIP'!AO$5:AO$27,1))-SUMPRODUCT(--('93_TARGET_MEMBERSHIP'!AO$5:AO$27=-1),'05_FEATURE_MODEL'!L$5:L$27)/MAX(1,COUNTIF('93_TARGET_MEMBERSHIP'!AO$5:AO$27,-1))))</f>
        <v/>
      </c>
      <c r="L44" s="34">
        <f>IF($B44="ABSOLUTE SEMANTIC",ABS('06_ITEM_POLE_MODEL'!U44),ABS('06_ITEM_POLE_MODEL'!U44)*ABS(SUMPRODUCT(--('93_TARGET_MEMBERSHIP'!AO$5:AO$27=1),'05_FEATURE_MODEL'!M$5:M$27)/MAX(1,COUNTIF('93_TARGET_MEMBERSHIP'!AO$5:AO$27,1))-SUMPRODUCT(--('93_TARGET_MEMBERSHIP'!AO$5:AO$27=-1),'05_FEATURE_MODEL'!M$5:M$27)/MAX(1,COUNTIF('93_TARGET_MEMBERSHIP'!AO$5:AO$27,-1))))</f>
        <v/>
      </c>
      <c r="M44" s="34">
        <f>IF($B44="ABSOLUTE SEMANTIC",ABS('06_ITEM_POLE_MODEL'!V44),ABS('06_ITEM_POLE_MODEL'!V44)*ABS(SUMPRODUCT(--('93_TARGET_MEMBERSHIP'!AO$5:AO$27=1),'05_FEATURE_MODEL'!N$5:N$27)/MAX(1,COUNTIF('93_TARGET_MEMBERSHIP'!AO$5:AO$27,1))-SUMPRODUCT(--('93_TARGET_MEMBERSHIP'!AO$5:AO$27=-1),'05_FEATURE_MODEL'!N$5:N$27)/MAX(1,COUNTIF('93_TARGET_MEMBERSHIP'!AO$5:AO$27,-1))))</f>
        <v/>
      </c>
      <c r="N44" s="34">
        <f>IF($B44="ABSOLUTE SEMANTIC",ABS('06_ITEM_POLE_MODEL'!W44),ABS('06_ITEM_POLE_MODEL'!W44)*ABS(SUMPRODUCT(--('93_TARGET_MEMBERSHIP'!AO$5:AO$27=1),'05_FEATURE_MODEL'!O$5:O$27)/MAX(1,COUNTIF('93_TARGET_MEMBERSHIP'!AO$5:AO$27,1))-SUMPRODUCT(--('93_TARGET_MEMBERSHIP'!AO$5:AO$27=-1),'05_FEATURE_MODEL'!O$5:O$27)/MAX(1,COUNTIF('93_TARGET_MEMBERSHIP'!AO$5:AO$27,-1))))</f>
        <v/>
      </c>
      <c r="O44" s="34">
        <f>IF($B44="ABSOLUTE SEMANTIC",ABS('06_ITEM_POLE_MODEL'!X44),ABS('06_ITEM_POLE_MODEL'!X44)*ABS(SUMPRODUCT(--('93_TARGET_MEMBERSHIP'!AO$5:AO$27=1),'05_FEATURE_MODEL'!P$5:P$27)/MAX(1,COUNTIF('93_TARGET_MEMBERSHIP'!AO$5:AO$27,1))-SUMPRODUCT(--('93_TARGET_MEMBERSHIP'!AO$5:AO$27=-1),'05_FEATURE_MODEL'!P$5:P$27)/MAX(1,COUNTIF('93_TARGET_MEMBERSHIP'!AO$5:AO$27,-1))))</f>
        <v/>
      </c>
      <c r="P44" s="34">
        <f>IF($B44="ABSOLUTE SEMANTIC",ABS('06_ITEM_POLE_MODEL'!Y44),ABS('06_ITEM_POLE_MODEL'!Y44)*ABS(SUMPRODUCT(--('93_TARGET_MEMBERSHIP'!AO$5:AO$27=1),'05_FEATURE_MODEL'!Q$5:Q$27)/MAX(1,COUNTIF('93_TARGET_MEMBERSHIP'!AO$5:AO$27,1))-SUMPRODUCT(--('93_TARGET_MEMBERSHIP'!AO$5:AO$27=-1),'05_FEATURE_MODEL'!Q$5:Q$27)/MAX(1,COUNTIF('93_TARGET_MEMBERSHIP'!AO$5:AO$27,-1))))</f>
        <v/>
      </c>
      <c r="Q44" s="34">
        <f>IF($B44="ABSOLUTE SEMANTIC",ABS('06_ITEM_POLE_MODEL'!Z44),ABS('06_ITEM_POLE_MODEL'!Z44)*ABS(SUMPRODUCT(--('93_TARGET_MEMBERSHIP'!AO$5:AO$27=1),'05_FEATURE_MODEL'!R$5:R$27)/MAX(1,COUNTIF('93_TARGET_MEMBERSHIP'!AO$5:AO$27,1))-SUMPRODUCT(--('93_TARGET_MEMBERSHIP'!AO$5:AO$27=-1),'05_FEATURE_MODEL'!R$5:R$27)/MAX(1,COUNTIF('93_TARGET_MEMBERSHIP'!AO$5:AO$27,-1))))</f>
        <v/>
      </c>
      <c r="R44" s="34">
        <f>IF($B44="ABSOLUTE SEMANTIC",ABS('06_ITEM_POLE_MODEL'!AA44),ABS('06_ITEM_POLE_MODEL'!AA44)*ABS(SUMPRODUCT(--('93_TARGET_MEMBERSHIP'!AO$5:AO$27=1),'05_FEATURE_MODEL'!S$5:S$27)/MAX(1,COUNTIF('93_TARGET_MEMBERSHIP'!AO$5:AO$27,1))-SUMPRODUCT(--('93_TARGET_MEMBERSHIP'!AO$5:AO$27=-1),'05_FEATURE_MODEL'!S$5:S$27)/MAX(1,COUNTIF('93_TARGET_MEMBERSHIP'!AO$5:AO$27,-1))))</f>
        <v/>
      </c>
      <c r="S44" s="34">
        <f>IF($B44="ABSOLUTE SEMANTIC",ABS('06_ITEM_POLE_MODEL'!AB44),ABS('06_ITEM_POLE_MODEL'!AB44)*ABS(SUMPRODUCT(--('93_TARGET_MEMBERSHIP'!AO$5:AO$27=1),'05_FEATURE_MODEL'!T$5:T$27)/MAX(1,COUNTIF('93_TARGET_MEMBERSHIP'!AO$5:AO$27,1))-SUMPRODUCT(--('93_TARGET_MEMBERSHIP'!AO$5:AO$27=-1),'05_FEATURE_MODEL'!T$5:T$27)/MAX(1,COUNTIF('93_TARGET_MEMBERSHIP'!AO$5:AO$27,-1))))</f>
        <v/>
      </c>
      <c r="T44" s="34">
        <f>IF($B44="ABSOLUTE SEMANTIC",ABS('06_ITEM_POLE_MODEL'!AC44),ABS('06_ITEM_POLE_MODEL'!AC44)*ABS(SUMPRODUCT(--('93_TARGET_MEMBERSHIP'!AO$5:AO$27=1),'05_FEATURE_MODEL'!U$5:U$27)/MAX(1,COUNTIF('93_TARGET_MEMBERSHIP'!AO$5:AO$27,1))-SUMPRODUCT(--('93_TARGET_MEMBERSHIP'!AO$5:AO$27=-1),'05_FEATURE_MODEL'!U$5:U$27)/MAX(1,COUNTIF('93_TARGET_MEMBERSHIP'!AO$5:AO$27,-1))))</f>
        <v/>
      </c>
      <c r="U44" s="34">
        <f>IF($B44="ABSOLUTE SEMANTIC",ABS('06_ITEM_POLE_MODEL'!AD44),ABS('06_ITEM_POLE_MODEL'!AD44)*ABS(SUMPRODUCT(--('93_TARGET_MEMBERSHIP'!AO$5:AO$27=1),'05_FEATURE_MODEL'!V$5:V$27)/MAX(1,COUNTIF('93_TARGET_MEMBERSHIP'!AO$5:AO$27,1))-SUMPRODUCT(--('93_TARGET_MEMBERSHIP'!AO$5:AO$27=-1),'05_FEATURE_MODEL'!V$5:V$27)/MAX(1,COUNTIF('93_TARGET_MEMBERSHIP'!AO$5:AO$27,-1))))</f>
        <v/>
      </c>
      <c r="V44" s="34">
        <f>IF($B44="ABSOLUTE SEMANTIC",ABS('06_ITEM_POLE_MODEL'!AE44),ABS('06_ITEM_POLE_MODEL'!AE44)*ABS(SUMPRODUCT(--('93_TARGET_MEMBERSHIP'!AO$5:AO$27=1),'05_FEATURE_MODEL'!W$5:W$27)/MAX(1,COUNTIF('93_TARGET_MEMBERSHIP'!AO$5:AO$27,1))-SUMPRODUCT(--('93_TARGET_MEMBERSHIP'!AO$5:AO$27=-1),'05_FEATURE_MODEL'!W$5:W$27)/MAX(1,COUNTIF('93_TARGET_MEMBERSHIP'!AO$5:AO$27,-1))))</f>
        <v/>
      </c>
      <c r="W44" s="34">
        <f>IF($B44="ABSOLUTE SEMANTIC",ABS('06_ITEM_POLE_MODEL'!AF44),ABS('06_ITEM_POLE_MODEL'!AF44)*ABS(SUMPRODUCT(--('93_TARGET_MEMBERSHIP'!AO$5:AO$27=1),'05_FEATURE_MODEL'!X$5:X$27)/MAX(1,COUNTIF('93_TARGET_MEMBERSHIP'!AO$5:AO$27,1))-SUMPRODUCT(--('93_TARGET_MEMBERSHIP'!AO$5:AO$27=-1),'05_FEATURE_MODEL'!X$5:X$27)/MAX(1,COUNTIF('93_TARGET_MEMBERSHIP'!AO$5:AO$27,-1))))</f>
        <v/>
      </c>
      <c r="X44" s="34">
        <f>IF($B44="ABSOLUTE SEMANTIC",ABS('06_ITEM_POLE_MODEL'!AG44),ABS('06_ITEM_POLE_MODEL'!AG44)*ABS(SUMPRODUCT(--('93_TARGET_MEMBERSHIP'!AO$5:AO$27=1),'05_FEATURE_MODEL'!Y$5:Y$27)/MAX(1,COUNTIF('93_TARGET_MEMBERSHIP'!AO$5:AO$27,1))-SUMPRODUCT(--('93_TARGET_MEMBERSHIP'!AO$5:AO$27=-1),'05_FEATURE_MODEL'!Y$5:Y$27)/MAX(1,COUNTIF('93_TARGET_MEMBERSHIP'!AO$5:AO$27,-1))))</f>
        <v/>
      </c>
      <c r="Y44" s="34">
        <f>IF($B44="ABSOLUTE SEMANTIC",ABS('06_ITEM_POLE_MODEL'!AH44),ABS('06_ITEM_POLE_MODEL'!AH44)*ABS(SUMPRODUCT(--('93_TARGET_MEMBERSHIP'!AO$5:AO$27=1),'05_FEATURE_MODEL'!Z$5:Z$27)/MAX(1,COUNTIF('93_TARGET_MEMBERSHIP'!AO$5:AO$27,1))-SUMPRODUCT(--('93_TARGET_MEMBERSHIP'!AO$5:AO$27=-1),'05_FEATURE_MODEL'!Z$5:Z$27)/MAX(1,COUNTIF('93_TARGET_MEMBERSHIP'!AO$5:AO$27,-1))))</f>
        <v/>
      </c>
      <c r="Z44" s="34">
        <f>IF($B44="ABSOLUTE SEMANTIC",ABS('06_ITEM_POLE_MODEL'!AI44),ABS('06_ITEM_POLE_MODEL'!AI44)*ABS(SUMPRODUCT(--('93_TARGET_MEMBERSHIP'!AO$5:AO$27=1),'05_FEATURE_MODEL'!AA$5:AA$27)/MAX(1,COUNTIF('93_TARGET_MEMBERSHIP'!AO$5:AO$27,1))-SUMPRODUCT(--('93_TARGET_MEMBERSHIP'!AO$5:AO$27=-1),'05_FEATURE_MODEL'!AA$5:AA$27)/MAX(1,COUNTIF('93_TARGET_MEMBERSHIP'!AO$5:AO$27,-1))))</f>
        <v/>
      </c>
      <c r="AA44" s="34">
        <f>IF($B44="ABSOLUTE SEMANTIC",ABS('06_ITEM_POLE_MODEL'!AJ44),ABS('06_ITEM_POLE_MODEL'!AJ44)*ABS(SUMPRODUCT(--('93_TARGET_MEMBERSHIP'!AO$5:AO$27=1),'05_FEATURE_MODEL'!AB$5:AB$27)/MAX(1,COUNTIF('93_TARGET_MEMBERSHIP'!AO$5:AO$27,1))-SUMPRODUCT(--('93_TARGET_MEMBERSHIP'!AO$5:AO$27=-1),'05_FEATURE_MODEL'!AB$5:AB$27)/MAX(1,COUNTIF('93_TARGET_MEMBERSHIP'!AO$5:AO$27,-1))))</f>
        <v/>
      </c>
      <c r="AB44" s="34">
        <f>IF($B44="ABSOLUTE SEMANTIC",ABS('06_ITEM_POLE_MODEL'!AK44),ABS('06_ITEM_POLE_MODEL'!AK44)*ABS(SUMPRODUCT(--('93_TARGET_MEMBERSHIP'!AO$5:AO$27=1),'05_FEATURE_MODEL'!AC$5:AC$27)/MAX(1,COUNTIF('93_TARGET_MEMBERSHIP'!AO$5:AO$27,1))-SUMPRODUCT(--('93_TARGET_MEMBERSHIP'!AO$5:AO$27=-1),'05_FEATURE_MODEL'!AC$5:AC$27)/MAX(1,COUNTIF('93_TARGET_MEMBERSHIP'!AO$5:AO$27,-1))))</f>
        <v/>
      </c>
      <c r="AC44" s="34">
        <f>IF($B44="ABSOLUTE SEMANTIC",ABS('06_ITEM_POLE_MODEL'!AL44),ABS('06_ITEM_POLE_MODEL'!AL44)*ABS(SUMPRODUCT(--('93_TARGET_MEMBERSHIP'!AO$5:AO$27=1),'05_FEATURE_MODEL'!AD$5:AD$27)/MAX(1,COUNTIF('93_TARGET_MEMBERSHIP'!AO$5:AO$27,1))-SUMPRODUCT(--('93_TARGET_MEMBERSHIP'!AO$5:AO$27=-1),'05_FEATURE_MODEL'!AD$5:AD$27)/MAX(1,COUNTIF('93_TARGET_MEMBERSHIP'!AO$5:AO$27,-1))))</f>
        <v/>
      </c>
      <c r="AD44" s="34">
        <f>IF($B44="ABSOLUTE SEMANTIC",ABS('06_ITEM_POLE_MODEL'!AM44),ABS('06_ITEM_POLE_MODEL'!AM44)*ABS(SUMPRODUCT(--('93_TARGET_MEMBERSHIP'!AO$5:AO$27=1),'05_FEATURE_MODEL'!AE$5:AE$27)/MAX(1,COUNTIF('93_TARGET_MEMBERSHIP'!AO$5:AO$27,1))-SUMPRODUCT(--('93_TARGET_MEMBERSHIP'!AO$5:AO$27=-1),'05_FEATURE_MODEL'!AE$5:AE$27)/MAX(1,COUNTIF('93_TARGET_MEMBERSHIP'!AO$5:AO$27,-1))))</f>
        <v/>
      </c>
      <c r="AE44" s="34">
        <f>IF($B44="ABSOLUTE SEMANTIC",ABS('06_ITEM_POLE_MODEL'!AN44),ABS('06_ITEM_POLE_MODEL'!AN44)*ABS(SUMPRODUCT(--('93_TARGET_MEMBERSHIP'!AO$5:AO$27=1),'05_FEATURE_MODEL'!AF$5:AF$27)/MAX(1,COUNTIF('93_TARGET_MEMBERSHIP'!AO$5:AO$27,1))-SUMPRODUCT(--('93_TARGET_MEMBERSHIP'!AO$5:AO$27=-1),'05_FEATURE_MODEL'!AF$5:AF$27)/MAX(1,COUNTIF('93_TARGET_MEMBERSHIP'!AO$5:AO$27,-1))))</f>
        <v/>
      </c>
      <c r="AF44" s="34">
        <f>IF($B44="ABSOLUTE SEMANTIC",ABS('06_ITEM_POLE_MODEL'!AO44),ABS('06_ITEM_POLE_MODEL'!AO44)*ABS(SUMPRODUCT(--('93_TARGET_MEMBERSHIP'!AO$5:AO$27=1),'05_FEATURE_MODEL'!AG$5:AG$27)/MAX(1,COUNTIF('93_TARGET_MEMBERSHIP'!AO$5:AO$27,1))-SUMPRODUCT(--('93_TARGET_MEMBERSHIP'!AO$5:AO$27=-1),'05_FEATURE_MODEL'!AG$5:AG$27)/MAX(1,COUNTIF('93_TARGET_MEMBERSHIP'!AO$5:AO$27,-1))))</f>
        <v/>
      </c>
      <c r="AG44" s="34">
        <f>IF($B44="ABSOLUTE SEMANTIC",ABS('06_ITEM_POLE_MODEL'!AP44),ABS('06_ITEM_POLE_MODEL'!AP44)*ABS(SUMPRODUCT(--('93_TARGET_MEMBERSHIP'!AO$5:AO$27=1),'05_FEATURE_MODEL'!AH$5:AH$27)/MAX(1,COUNTIF('93_TARGET_MEMBERSHIP'!AO$5:AO$27,1))-SUMPRODUCT(--('93_TARGET_MEMBERSHIP'!AO$5:AO$27=-1),'05_FEATURE_MODEL'!AH$5:AH$27)/MAX(1,COUNTIF('93_TARGET_MEMBERSHIP'!AO$5:AO$27,-1))))</f>
        <v/>
      </c>
      <c r="AH44" s="34">
        <f>IF($B44="ABSOLUTE SEMANTIC",ABS('06_ITEM_POLE_MODEL'!AQ44),ABS('06_ITEM_POLE_MODEL'!AQ44)*ABS(SUMPRODUCT(--('93_TARGET_MEMBERSHIP'!AO$5:AO$27=1),'05_FEATURE_MODEL'!AI$5:AI$27)/MAX(1,COUNTIF('93_TARGET_MEMBERSHIP'!AO$5:AO$27,1))-SUMPRODUCT(--('93_TARGET_MEMBERSHIP'!AO$5:AO$27=-1),'05_FEATURE_MODEL'!AI$5:AI$27)/MAX(1,COUNTIF('93_TARGET_MEMBERSHIP'!AO$5:AO$27,-1))))</f>
        <v/>
      </c>
      <c r="AI44" s="34">
        <f>IF($B44="ABSOLUTE SEMANTIC",ABS('06_ITEM_POLE_MODEL'!AR44),ABS('06_ITEM_POLE_MODEL'!AR44)*ABS(SUMPRODUCT(--('93_TARGET_MEMBERSHIP'!AO$5:AO$27=1),'05_FEATURE_MODEL'!AJ$5:AJ$27)/MAX(1,COUNTIF('93_TARGET_MEMBERSHIP'!AO$5:AO$27,1))-SUMPRODUCT(--('93_TARGET_MEMBERSHIP'!AO$5:AO$27=-1),'05_FEATURE_MODEL'!AJ$5:AJ$27)/MAX(1,COUNTIF('93_TARGET_MEMBERSHIP'!AO$5:AO$27,-1))))</f>
        <v/>
      </c>
      <c r="AJ44" s="34">
        <f>IF($B44="ABSOLUTE SEMANTIC",ABS('06_ITEM_POLE_MODEL'!AS44),ABS('06_ITEM_POLE_MODEL'!AS44)*ABS(SUMPRODUCT(--('93_TARGET_MEMBERSHIP'!AO$5:AO$27=1),'05_FEATURE_MODEL'!AK$5:AK$27)/MAX(1,COUNTIF('93_TARGET_MEMBERSHIP'!AO$5:AO$27,1))-SUMPRODUCT(--('93_TARGET_MEMBERSHIP'!AO$5:AO$27=-1),'05_FEATURE_MODEL'!AK$5:AK$27)/MAX(1,COUNTIF('93_TARGET_MEMBERSHIP'!AO$5:AO$27,-1))))</f>
        <v/>
      </c>
      <c r="AK44" s="34">
        <f>IF($B44="ABSOLUTE SEMANTIC",ABS('06_ITEM_POLE_MODEL'!AT44),ABS('06_ITEM_POLE_MODEL'!AT44)*ABS(SUMPRODUCT(--('93_TARGET_MEMBERSHIP'!AO$5:AO$27=1),'05_FEATURE_MODEL'!AL$5:AL$27)/MAX(1,COUNTIF('93_TARGET_MEMBERSHIP'!AO$5:AO$27,1))-SUMPRODUCT(--('93_TARGET_MEMBERSHIP'!AO$5:AO$27=-1),'05_FEATURE_MODEL'!AL$5:AL$27)/MAX(1,COUNTIF('93_TARGET_MEMBERSHIP'!AO$5:AO$27,-1))))</f>
        <v/>
      </c>
      <c r="AL44" s="34">
        <f>IF($B44="ABSOLUTE SEMANTIC",ABS('06_ITEM_POLE_MODEL'!AU44),ABS('06_ITEM_POLE_MODEL'!AU44)*ABS(SUMPRODUCT(--('93_TARGET_MEMBERSHIP'!AO$5:AO$27=1),'05_FEATURE_MODEL'!AM$5:AM$27)/MAX(1,COUNTIF('93_TARGET_MEMBERSHIP'!AO$5:AO$27,1))-SUMPRODUCT(--('93_TARGET_MEMBERSHIP'!AO$5:AO$27=-1),'05_FEATURE_MODEL'!AM$5:AM$27)/MAX(1,COUNTIF('93_TARGET_MEMBERSHIP'!AO$5:AO$27,-1))))</f>
        <v/>
      </c>
      <c r="AM44" s="34">
        <f>IF($B44="ABSOLUTE SEMANTIC",ABS('06_ITEM_POLE_MODEL'!AV44),ABS('06_ITEM_POLE_MODEL'!AV44)*ABS(SUMPRODUCT(--('93_TARGET_MEMBERSHIP'!AO$5:AO$27=1),'05_FEATURE_MODEL'!AN$5:AN$27)/MAX(1,COUNTIF('93_TARGET_MEMBERSHIP'!AO$5:AO$27,1))-SUMPRODUCT(--('93_TARGET_MEMBERSHIP'!AO$5:AO$27=-1),'05_FEATURE_MODEL'!AN$5:AN$27)/MAX(1,COUNTIF('93_TARGET_MEMBERSHIP'!AO$5:AO$27,-1))))</f>
        <v/>
      </c>
      <c r="AN44" s="34">
        <f>IF($B44="ABSOLUTE SEMANTIC",ABS('06_ITEM_POLE_MODEL'!AW44),ABS('06_ITEM_POLE_MODEL'!AW44)*ABS(SUMPRODUCT(--('93_TARGET_MEMBERSHIP'!AO$5:AO$27=1),'05_FEATURE_MODEL'!AO$5:AO$27)/MAX(1,COUNTIF('93_TARGET_MEMBERSHIP'!AO$5:AO$27,1))-SUMPRODUCT(--('93_TARGET_MEMBERSHIP'!AO$5:AO$27=-1),'05_FEATURE_MODEL'!AO$5:AO$27)/MAX(1,COUNTIF('93_TARGET_MEMBERSHIP'!AO$5:AO$27,-1))))</f>
        <v/>
      </c>
      <c r="AO44" s="34">
        <f>IF($B44="ABSOLUTE SEMANTIC",ABS('06_ITEM_POLE_MODEL'!AX44),ABS('06_ITEM_POLE_MODEL'!AX44)*ABS(SUMPRODUCT(--('93_TARGET_MEMBERSHIP'!AO$5:AO$27=1),'05_FEATURE_MODEL'!AP$5:AP$27)/MAX(1,COUNTIF('93_TARGET_MEMBERSHIP'!AO$5:AO$27,1))-SUMPRODUCT(--('93_TARGET_MEMBERSHIP'!AO$5:AO$27=-1),'05_FEATURE_MODEL'!AP$5:AP$27)/MAX(1,COUNTIF('93_TARGET_MEMBERSHIP'!AO$5:AO$27,-1))))</f>
        <v/>
      </c>
      <c r="AP44" s="34">
        <f>IF($B44="ABSOLUTE SEMANTIC",ABS('06_ITEM_POLE_MODEL'!AY44),ABS('06_ITEM_POLE_MODEL'!AY44)*ABS(SUMPRODUCT(--('93_TARGET_MEMBERSHIP'!AO$5:AO$27=1),'05_FEATURE_MODEL'!AQ$5:AQ$27)/MAX(1,COUNTIF('93_TARGET_MEMBERSHIP'!AO$5:AO$27,1))-SUMPRODUCT(--('93_TARGET_MEMBERSHIP'!AO$5:AO$27=-1),'05_FEATURE_MODEL'!AQ$5:AQ$27)/MAX(1,COUNTIF('93_TARGET_MEMBERSHIP'!AO$5:AO$27,-1))))</f>
        <v/>
      </c>
      <c r="AQ44" s="34">
        <f>IF($B44="ABSOLUTE SEMANTIC",ABS('06_ITEM_POLE_MODEL'!AZ44),ABS('06_ITEM_POLE_MODEL'!AZ44)*ABS(SUMPRODUCT(--('93_TARGET_MEMBERSHIP'!AO$5:AO$27=1),'05_FEATURE_MODEL'!AR$5:AR$27)/MAX(1,COUNTIF('93_TARGET_MEMBERSHIP'!AO$5:AO$27,1))-SUMPRODUCT(--('93_TARGET_MEMBERSHIP'!AO$5:AO$27=-1),'05_FEATURE_MODEL'!AR$5:AR$27)/MAX(1,COUNTIF('93_TARGET_MEMBERSHIP'!AO$5:AO$27,-1))))</f>
        <v/>
      </c>
    </row>
    <row r="45" ht="36" customHeight="1">
      <c r="A45" s="34">
        <f>'06_ITEM_POLE_MODEL'!A45</f>
        <v/>
      </c>
      <c r="B45" s="34">
        <f>'06_ITEM_POLE_MODEL'!E45</f>
        <v/>
      </c>
      <c r="C45" s="34">
        <f>IF($B45="ABSOLUTE SEMANTIC",ABS('06_ITEM_POLE_MODEL'!L45),ABS('06_ITEM_POLE_MODEL'!L45)*ABS(SUMPRODUCT(--('93_TARGET_MEMBERSHIP'!AP$5:AP$27=1),'05_FEATURE_MODEL'!D$5:D$27)/MAX(1,COUNTIF('93_TARGET_MEMBERSHIP'!AP$5:AP$27,1))-SUMPRODUCT(--('93_TARGET_MEMBERSHIP'!AP$5:AP$27=-1),'05_FEATURE_MODEL'!D$5:D$27)/MAX(1,COUNTIF('93_TARGET_MEMBERSHIP'!AP$5:AP$27,-1))))</f>
        <v/>
      </c>
      <c r="D45" s="34">
        <f>IF($B45="ABSOLUTE SEMANTIC",ABS('06_ITEM_POLE_MODEL'!M45),ABS('06_ITEM_POLE_MODEL'!M45)*ABS(SUMPRODUCT(--('93_TARGET_MEMBERSHIP'!AP$5:AP$27=1),'05_FEATURE_MODEL'!E$5:E$27)/MAX(1,COUNTIF('93_TARGET_MEMBERSHIP'!AP$5:AP$27,1))-SUMPRODUCT(--('93_TARGET_MEMBERSHIP'!AP$5:AP$27=-1),'05_FEATURE_MODEL'!E$5:E$27)/MAX(1,COUNTIF('93_TARGET_MEMBERSHIP'!AP$5:AP$27,-1))))</f>
        <v/>
      </c>
      <c r="E45" s="34">
        <f>IF($B45="ABSOLUTE SEMANTIC",ABS('06_ITEM_POLE_MODEL'!N45),ABS('06_ITEM_POLE_MODEL'!N45)*ABS(SUMPRODUCT(--('93_TARGET_MEMBERSHIP'!AP$5:AP$27=1),'05_FEATURE_MODEL'!F$5:F$27)/MAX(1,COUNTIF('93_TARGET_MEMBERSHIP'!AP$5:AP$27,1))-SUMPRODUCT(--('93_TARGET_MEMBERSHIP'!AP$5:AP$27=-1),'05_FEATURE_MODEL'!F$5:F$27)/MAX(1,COUNTIF('93_TARGET_MEMBERSHIP'!AP$5:AP$27,-1))))</f>
        <v/>
      </c>
      <c r="F45" s="34">
        <f>IF($B45="ABSOLUTE SEMANTIC",ABS('06_ITEM_POLE_MODEL'!O45),ABS('06_ITEM_POLE_MODEL'!O45)*ABS(SUMPRODUCT(--('93_TARGET_MEMBERSHIP'!AP$5:AP$27=1),'05_FEATURE_MODEL'!G$5:G$27)/MAX(1,COUNTIF('93_TARGET_MEMBERSHIP'!AP$5:AP$27,1))-SUMPRODUCT(--('93_TARGET_MEMBERSHIP'!AP$5:AP$27=-1),'05_FEATURE_MODEL'!G$5:G$27)/MAX(1,COUNTIF('93_TARGET_MEMBERSHIP'!AP$5:AP$27,-1))))</f>
        <v/>
      </c>
      <c r="G45" s="34">
        <f>IF($B45="ABSOLUTE SEMANTIC",ABS('06_ITEM_POLE_MODEL'!P45),ABS('06_ITEM_POLE_MODEL'!P45)*ABS(SUMPRODUCT(--('93_TARGET_MEMBERSHIP'!AP$5:AP$27=1),'05_FEATURE_MODEL'!H$5:H$27)/MAX(1,COUNTIF('93_TARGET_MEMBERSHIP'!AP$5:AP$27,1))-SUMPRODUCT(--('93_TARGET_MEMBERSHIP'!AP$5:AP$27=-1),'05_FEATURE_MODEL'!H$5:H$27)/MAX(1,COUNTIF('93_TARGET_MEMBERSHIP'!AP$5:AP$27,-1))))</f>
        <v/>
      </c>
      <c r="H45" s="34">
        <f>IF($B45="ABSOLUTE SEMANTIC",ABS('06_ITEM_POLE_MODEL'!Q45),ABS('06_ITEM_POLE_MODEL'!Q45)*ABS(SUMPRODUCT(--('93_TARGET_MEMBERSHIP'!AP$5:AP$27=1),'05_FEATURE_MODEL'!I$5:I$27)/MAX(1,COUNTIF('93_TARGET_MEMBERSHIP'!AP$5:AP$27,1))-SUMPRODUCT(--('93_TARGET_MEMBERSHIP'!AP$5:AP$27=-1),'05_FEATURE_MODEL'!I$5:I$27)/MAX(1,COUNTIF('93_TARGET_MEMBERSHIP'!AP$5:AP$27,-1))))</f>
        <v/>
      </c>
      <c r="I45" s="34">
        <f>IF($B45="ABSOLUTE SEMANTIC",ABS('06_ITEM_POLE_MODEL'!R45),ABS('06_ITEM_POLE_MODEL'!R45)*ABS(SUMPRODUCT(--('93_TARGET_MEMBERSHIP'!AP$5:AP$27=1),'05_FEATURE_MODEL'!J$5:J$27)/MAX(1,COUNTIF('93_TARGET_MEMBERSHIP'!AP$5:AP$27,1))-SUMPRODUCT(--('93_TARGET_MEMBERSHIP'!AP$5:AP$27=-1),'05_FEATURE_MODEL'!J$5:J$27)/MAX(1,COUNTIF('93_TARGET_MEMBERSHIP'!AP$5:AP$27,-1))))</f>
        <v/>
      </c>
      <c r="J45" s="34">
        <f>IF($B45="ABSOLUTE SEMANTIC",ABS('06_ITEM_POLE_MODEL'!S45),ABS('06_ITEM_POLE_MODEL'!S45)*ABS(SUMPRODUCT(--('93_TARGET_MEMBERSHIP'!AP$5:AP$27=1),'05_FEATURE_MODEL'!K$5:K$27)/MAX(1,COUNTIF('93_TARGET_MEMBERSHIP'!AP$5:AP$27,1))-SUMPRODUCT(--('93_TARGET_MEMBERSHIP'!AP$5:AP$27=-1),'05_FEATURE_MODEL'!K$5:K$27)/MAX(1,COUNTIF('93_TARGET_MEMBERSHIP'!AP$5:AP$27,-1))))</f>
        <v/>
      </c>
      <c r="K45" s="34">
        <f>IF($B45="ABSOLUTE SEMANTIC",ABS('06_ITEM_POLE_MODEL'!T45),ABS('06_ITEM_POLE_MODEL'!T45)*ABS(SUMPRODUCT(--('93_TARGET_MEMBERSHIP'!AP$5:AP$27=1),'05_FEATURE_MODEL'!L$5:L$27)/MAX(1,COUNTIF('93_TARGET_MEMBERSHIP'!AP$5:AP$27,1))-SUMPRODUCT(--('93_TARGET_MEMBERSHIP'!AP$5:AP$27=-1),'05_FEATURE_MODEL'!L$5:L$27)/MAX(1,COUNTIF('93_TARGET_MEMBERSHIP'!AP$5:AP$27,-1))))</f>
        <v/>
      </c>
      <c r="L45" s="34">
        <f>IF($B45="ABSOLUTE SEMANTIC",ABS('06_ITEM_POLE_MODEL'!U45),ABS('06_ITEM_POLE_MODEL'!U45)*ABS(SUMPRODUCT(--('93_TARGET_MEMBERSHIP'!AP$5:AP$27=1),'05_FEATURE_MODEL'!M$5:M$27)/MAX(1,COUNTIF('93_TARGET_MEMBERSHIP'!AP$5:AP$27,1))-SUMPRODUCT(--('93_TARGET_MEMBERSHIP'!AP$5:AP$27=-1),'05_FEATURE_MODEL'!M$5:M$27)/MAX(1,COUNTIF('93_TARGET_MEMBERSHIP'!AP$5:AP$27,-1))))</f>
        <v/>
      </c>
      <c r="M45" s="34">
        <f>IF($B45="ABSOLUTE SEMANTIC",ABS('06_ITEM_POLE_MODEL'!V45),ABS('06_ITEM_POLE_MODEL'!V45)*ABS(SUMPRODUCT(--('93_TARGET_MEMBERSHIP'!AP$5:AP$27=1),'05_FEATURE_MODEL'!N$5:N$27)/MAX(1,COUNTIF('93_TARGET_MEMBERSHIP'!AP$5:AP$27,1))-SUMPRODUCT(--('93_TARGET_MEMBERSHIP'!AP$5:AP$27=-1),'05_FEATURE_MODEL'!N$5:N$27)/MAX(1,COUNTIF('93_TARGET_MEMBERSHIP'!AP$5:AP$27,-1))))</f>
        <v/>
      </c>
      <c r="N45" s="34">
        <f>IF($B45="ABSOLUTE SEMANTIC",ABS('06_ITEM_POLE_MODEL'!W45),ABS('06_ITEM_POLE_MODEL'!W45)*ABS(SUMPRODUCT(--('93_TARGET_MEMBERSHIP'!AP$5:AP$27=1),'05_FEATURE_MODEL'!O$5:O$27)/MAX(1,COUNTIF('93_TARGET_MEMBERSHIP'!AP$5:AP$27,1))-SUMPRODUCT(--('93_TARGET_MEMBERSHIP'!AP$5:AP$27=-1),'05_FEATURE_MODEL'!O$5:O$27)/MAX(1,COUNTIF('93_TARGET_MEMBERSHIP'!AP$5:AP$27,-1))))</f>
        <v/>
      </c>
      <c r="O45" s="34">
        <f>IF($B45="ABSOLUTE SEMANTIC",ABS('06_ITEM_POLE_MODEL'!X45),ABS('06_ITEM_POLE_MODEL'!X45)*ABS(SUMPRODUCT(--('93_TARGET_MEMBERSHIP'!AP$5:AP$27=1),'05_FEATURE_MODEL'!P$5:P$27)/MAX(1,COUNTIF('93_TARGET_MEMBERSHIP'!AP$5:AP$27,1))-SUMPRODUCT(--('93_TARGET_MEMBERSHIP'!AP$5:AP$27=-1),'05_FEATURE_MODEL'!P$5:P$27)/MAX(1,COUNTIF('93_TARGET_MEMBERSHIP'!AP$5:AP$27,-1))))</f>
        <v/>
      </c>
      <c r="P45" s="34">
        <f>IF($B45="ABSOLUTE SEMANTIC",ABS('06_ITEM_POLE_MODEL'!Y45),ABS('06_ITEM_POLE_MODEL'!Y45)*ABS(SUMPRODUCT(--('93_TARGET_MEMBERSHIP'!AP$5:AP$27=1),'05_FEATURE_MODEL'!Q$5:Q$27)/MAX(1,COUNTIF('93_TARGET_MEMBERSHIP'!AP$5:AP$27,1))-SUMPRODUCT(--('93_TARGET_MEMBERSHIP'!AP$5:AP$27=-1),'05_FEATURE_MODEL'!Q$5:Q$27)/MAX(1,COUNTIF('93_TARGET_MEMBERSHIP'!AP$5:AP$27,-1))))</f>
        <v/>
      </c>
      <c r="Q45" s="34">
        <f>IF($B45="ABSOLUTE SEMANTIC",ABS('06_ITEM_POLE_MODEL'!Z45),ABS('06_ITEM_POLE_MODEL'!Z45)*ABS(SUMPRODUCT(--('93_TARGET_MEMBERSHIP'!AP$5:AP$27=1),'05_FEATURE_MODEL'!R$5:R$27)/MAX(1,COUNTIF('93_TARGET_MEMBERSHIP'!AP$5:AP$27,1))-SUMPRODUCT(--('93_TARGET_MEMBERSHIP'!AP$5:AP$27=-1),'05_FEATURE_MODEL'!R$5:R$27)/MAX(1,COUNTIF('93_TARGET_MEMBERSHIP'!AP$5:AP$27,-1))))</f>
        <v/>
      </c>
      <c r="R45" s="34">
        <f>IF($B45="ABSOLUTE SEMANTIC",ABS('06_ITEM_POLE_MODEL'!AA45),ABS('06_ITEM_POLE_MODEL'!AA45)*ABS(SUMPRODUCT(--('93_TARGET_MEMBERSHIP'!AP$5:AP$27=1),'05_FEATURE_MODEL'!S$5:S$27)/MAX(1,COUNTIF('93_TARGET_MEMBERSHIP'!AP$5:AP$27,1))-SUMPRODUCT(--('93_TARGET_MEMBERSHIP'!AP$5:AP$27=-1),'05_FEATURE_MODEL'!S$5:S$27)/MAX(1,COUNTIF('93_TARGET_MEMBERSHIP'!AP$5:AP$27,-1))))</f>
        <v/>
      </c>
      <c r="S45" s="34">
        <f>IF($B45="ABSOLUTE SEMANTIC",ABS('06_ITEM_POLE_MODEL'!AB45),ABS('06_ITEM_POLE_MODEL'!AB45)*ABS(SUMPRODUCT(--('93_TARGET_MEMBERSHIP'!AP$5:AP$27=1),'05_FEATURE_MODEL'!T$5:T$27)/MAX(1,COUNTIF('93_TARGET_MEMBERSHIP'!AP$5:AP$27,1))-SUMPRODUCT(--('93_TARGET_MEMBERSHIP'!AP$5:AP$27=-1),'05_FEATURE_MODEL'!T$5:T$27)/MAX(1,COUNTIF('93_TARGET_MEMBERSHIP'!AP$5:AP$27,-1))))</f>
        <v/>
      </c>
      <c r="T45" s="34">
        <f>IF($B45="ABSOLUTE SEMANTIC",ABS('06_ITEM_POLE_MODEL'!AC45),ABS('06_ITEM_POLE_MODEL'!AC45)*ABS(SUMPRODUCT(--('93_TARGET_MEMBERSHIP'!AP$5:AP$27=1),'05_FEATURE_MODEL'!U$5:U$27)/MAX(1,COUNTIF('93_TARGET_MEMBERSHIP'!AP$5:AP$27,1))-SUMPRODUCT(--('93_TARGET_MEMBERSHIP'!AP$5:AP$27=-1),'05_FEATURE_MODEL'!U$5:U$27)/MAX(1,COUNTIF('93_TARGET_MEMBERSHIP'!AP$5:AP$27,-1))))</f>
        <v/>
      </c>
      <c r="U45" s="34">
        <f>IF($B45="ABSOLUTE SEMANTIC",ABS('06_ITEM_POLE_MODEL'!AD45),ABS('06_ITEM_POLE_MODEL'!AD45)*ABS(SUMPRODUCT(--('93_TARGET_MEMBERSHIP'!AP$5:AP$27=1),'05_FEATURE_MODEL'!V$5:V$27)/MAX(1,COUNTIF('93_TARGET_MEMBERSHIP'!AP$5:AP$27,1))-SUMPRODUCT(--('93_TARGET_MEMBERSHIP'!AP$5:AP$27=-1),'05_FEATURE_MODEL'!V$5:V$27)/MAX(1,COUNTIF('93_TARGET_MEMBERSHIP'!AP$5:AP$27,-1))))</f>
        <v/>
      </c>
      <c r="V45" s="34">
        <f>IF($B45="ABSOLUTE SEMANTIC",ABS('06_ITEM_POLE_MODEL'!AE45),ABS('06_ITEM_POLE_MODEL'!AE45)*ABS(SUMPRODUCT(--('93_TARGET_MEMBERSHIP'!AP$5:AP$27=1),'05_FEATURE_MODEL'!W$5:W$27)/MAX(1,COUNTIF('93_TARGET_MEMBERSHIP'!AP$5:AP$27,1))-SUMPRODUCT(--('93_TARGET_MEMBERSHIP'!AP$5:AP$27=-1),'05_FEATURE_MODEL'!W$5:W$27)/MAX(1,COUNTIF('93_TARGET_MEMBERSHIP'!AP$5:AP$27,-1))))</f>
        <v/>
      </c>
      <c r="W45" s="34">
        <f>IF($B45="ABSOLUTE SEMANTIC",ABS('06_ITEM_POLE_MODEL'!AF45),ABS('06_ITEM_POLE_MODEL'!AF45)*ABS(SUMPRODUCT(--('93_TARGET_MEMBERSHIP'!AP$5:AP$27=1),'05_FEATURE_MODEL'!X$5:X$27)/MAX(1,COUNTIF('93_TARGET_MEMBERSHIP'!AP$5:AP$27,1))-SUMPRODUCT(--('93_TARGET_MEMBERSHIP'!AP$5:AP$27=-1),'05_FEATURE_MODEL'!X$5:X$27)/MAX(1,COUNTIF('93_TARGET_MEMBERSHIP'!AP$5:AP$27,-1))))</f>
        <v/>
      </c>
      <c r="X45" s="34">
        <f>IF($B45="ABSOLUTE SEMANTIC",ABS('06_ITEM_POLE_MODEL'!AG45),ABS('06_ITEM_POLE_MODEL'!AG45)*ABS(SUMPRODUCT(--('93_TARGET_MEMBERSHIP'!AP$5:AP$27=1),'05_FEATURE_MODEL'!Y$5:Y$27)/MAX(1,COUNTIF('93_TARGET_MEMBERSHIP'!AP$5:AP$27,1))-SUMPRODUCT(--('93_TARGET_MEMBERSHIP'!AP$5:AP$27=-1),'05_FEATURE_MODEL'!Y$5:Y$27)/MAX(1,COUNTIF('93_TARGET_MEMBERSHIP'!AP$5:AP$27,-1))))</f>
        <v/>
      </c>
      <c r="Y45" s="34">
        <f>IF($B45="ABSOLUTE SEMANTIC",ABS('06_ITEM_POLE_MODEL'!AH45),ABS('06_ITEM_POLE_MODEL'!AH45)*ABS(SUMPRODUCT(--('93_TARGET_MEMBERSHIP'!AP$5:AP$27=1),'05_FEATURE_MODEL'!Z$5:Z$27)/MAX(1,COUNTIF('93_TARGET_MEMBERSHIP'!AP$5:AP$27,1))-SUMPRODUCT(--('93_TARGET_MEMBERSHIP'!AP$5:AP$27=-1),'05_FEATURE_MODEL'!Z$5:Z$27)/MAX(1,COUNTIF('93_TARGET_MEMBERSHIP'!AP$5:AP$27,-1))))</f>
        <v/>
      </c>
      <c r="Z45" s="34">
        <f>IF($B45="ABSOLUTE SEMANTIC",ABS('06_ITEM_POLE_MODEL'!AI45),ABS('06_ITEM_POLE_MODEL'!AI45)*ABS(SUMPRODUCT(--('93_TARGET_MEMBERSHIP'!AP$5:AP$27=1),'05_FEATURE_MODEL'!AA$5:AA$27)/MAX(1,COUNTIF('93_TARGET_MEMBERSHIP'!AP$5:AP$27,1))-SUMPRODUCT(--('93_TARGET_MEMBERSHIP'!AP$5:AP$27=-1),'05_FEATURE_MODEL'!AA$5:AA$27)/MAX(1,COUNTIF('93_TARGET_MEMBERSHIP'!AP$5:AP$27,-1))))</f>
        <v/>
      </c>
      <c r="AA45" s="34">
        <f>IF($B45="ABSOLUTE SEMANTIC",ABS('06_ITEM_POLE_MODEL'!AJ45),ABS('06_ITEM_POLE_MODEL'!AJ45)*ABS(SUMPRODUCT(--('93_TARGET_MEMBERSHIP'!AP$5:AP$27=1),'05_FEATURE_MODEL'!AB$5:AB$27)/MAX(1,COUNTIF('93_TARGET_MEMBERSHIP'!AP$5:AP$27,1))-SUMPRODUCT(--('93_TARGET_MEMBERSHIP'!AP$5:AP$27=-1),'05_FEATURE_MODEL'!AB$5:AB$27)/MAX(1,COUNTIF('93_TARGET_MEMBERSHIP'!AP$5:AP$27,-1))))</f>
        <v/>
      </c>
      <c r="AB45" s="34">
        <f>IF($B45="ABSOLUTE SEMANTIC",ABS('06_ITEM_POLE_MODEL'!AK45),ABS('06_ITEM_POLE_MODEL'!AK45)*ABS(SUMPRODUCT(--('93_TARGET_MEMBERSHIP'!AP$5:AP$27=1),'05_FEATURE_MODEL'!AC$5:AC$27)/MAX(1,COUNTIF('93_TARGET_MEMBERSHIP'!AP$5:AP$27,1))-SUMPRODUCT(--('93_TARGET_MEMBERSHIP'!AP$5:AP$27=-1),'05_FEATURE_MODEL'!AC$5:AC$27)/MAX(1,COUNTIF('93_TARGET_MEMBERSHIP'!AP$5:AP$27,-1))))</f>
        <v/>
      </c>
      <c r="AC45" s="34">
        <f>IF($B45="ABSOLUTE SEMANTIC",ABS('06_ITEM_POLE_MODEL'!AL45),ABS('06_ITEM_POLE_MODEL'!AL45)*ABS(SUMPRODUCT(--('93_TARGET_MEMBERSHIP'!AP$5:AP$27=1),'05_FEATURE_MODEL'!AD$5:AD$27)/MAX(1,COUNTIF('93_TARGET_MEMBERSHIP'!AP$5:AP$27,1))-SUMPRODUCT(--('93_TARGET_MEMBERSHIP'!AP$5:AP$27=-1),'05_FEATURE_MODEL'!AD$5:AD$27)/MAX(1,COUNTIF('93_TARGET_MEMBERSHIP'!AP$5:AP$27,-1))))</f>
        <v/>
      </c>
      <c r="AD45" s="34">
        <f>IF($B45="ABSOLUTE SEMANTIC",ABS('06_ITEM_POLE_MODEL'!AM45),ABS('06_ITEM_POLE_MODEL'!AM45)*ABS(SUMPRODUCT(--('93_TARGET_MEMBERSHIP'!AP$5:AP$27=1),'05_FEATURE_MODEL'!AE$5:AE$27)/MAX(1,COUNTIF('93_TARGET_MEMBERSHIP'!AP$5:AP$27,1))-SUMPRODUCT(--('93_TARGET_MEMBERSHIP'!AP$5:AP$27=-1),'05_FEATURE_MODEL'!AE$5:AE$27)/MAX(1,COUNTIF('93_TARGET_MEMBERSHIP'!AP$5:AP$27,-1))))</f>
        <v/>
      </c>
      <c r="AE45" s="34">
        <f>IF($B45="ABSOLUTE SEMANTIC",ABS('06_ITEM_POLE_MODEL'!AN45),ABS('06_ITEM_POLE_MODEL'!AN45)*ABS(SUMPRODUCT(--('93_TARGET_MEMBERSHIP'!AP$5:AP$27=1),'05_FEATURE_MODEL'!AF$5:AF$27)/MAX(1,COUNTIF('93_TARGET_MEMBERSHIP'!AP$5:AP$27,1))-SUMPRODUCT(--('93_TARGET_MEMBERSHIP'!AP$5:AP$27=-1),'05_FEATURE_MODEL'!AF$5:AF$27)/MAX(1,COUNTIF('93_TARGET_MEMBERSHIP'!AP$5:AP$27,-1))))</f>
        <v/>
      </c>
      <c r="AF45" s="34">
        <f>IF($B45="ABSOLUTE SEMANTIC",ABS('06_ITEM_POLE_MODEL'!AO45),ABS('06_ITEM_POLE_MODEL'!AO45)*ABS(SUMPRODUCT(--('93_TARGET_MEMBERSHIP'!AP$5:AP$27=1),'05_FEATURE_MODEL'!AG$5:AG$27)/MAX(1,COUNTIF('93_TARGET_MEMBERSHIP'!AP$5:AP$27,1))-SUMPRODUCT(--('93_TARGET_MEMBERSHIP'!AP$5:AP$27=-1),'05_FEATURE_MODEL'!AG$5:AG$27)/MAX(1,COUNTIF('93_TARGET_MEMBERSHIP'!AP$5:AP$27,-1))))</f>
        <v/>
      </c>
      <c r="AG45" s="34">
        <f>IF($B45="ABSOLUTE SEMANTIC",ABS('06_ITEM_POLE_MODEL'!AP45),ABS('06_ITEM_POLE_MODEL'!AP45)*ABS(SUMPRODUCT(--('93_TARGET_MEMBERSHIP'!AP$5:AP$27=1),'05_FEATURE_MODEL'!AH$5:AH$27)/MAX(1,COUNTIF('93_TARGET_MEMBERSHIP'!AP$5:AP$27,1))-SUMPRODUCT(--('93_TARGET_MEMBERSHIP'!AP$5:AP$27=-1),'05_FEATURE_MODEL'!AH$5:AH$27)/MAX(1,COUNTIF('93_TARGET_MEMBERSHIP'!AP$5:AP$27,-1))))</f>
        <v/>
      </c>
      <c r="AH45" s="34">
        <f>IF($B45="ABSOLUTE SEMANTIC",ABS('06_ITEM_POLE_MODEL'!AQ45),ABS('06_ITEM_POLE_MODEL'!AQ45)*ABS(SUMPRODUCT(--('93_TARGET_MEMBERSHIP'!AP$5:AP$27=1),'05_FEATURE_MODEL'!AI$5:AI$27)/MAX(1,COUNTIF('93_TARGET_MEMBERSHIP'!AP$5:AP$27,1))-SUMPRODUCT(--('93_TARGET_MEMBERSHIP'!AP$5:AP$27=-1),'05_FEATURE_MODEL'!AI$5:AI$27)/MAX(1,COUNTIF('93_TARGET_MEMBERSHIP'!AP$5:AP$27,-1))))</f>
        <v/>
      </c>
      <c r="AI45" s="34">
        <f>IF($B45="ABSOLUTE SEMANTIC",ABS('06_ITEM_POLE_MODEL'!AR45),ABS('06_ITEM_POLE_MODEL'!AR45)*ABS(SUMPRODUCT(--('93_TARGET_MEMBERSHIP'!AP$5:AP$27=1),'05_FEATURE_MODEL'!AJ$5:AJ$27)/MAX(1,COUNTIF('93_TARGET_MEMBERSHIP'!AP$5:AP$27,1))-SUMPRODUCT(--('93_TARGET_MEMBERSHIP'!AP$5:AP$27=-1),'05_FEATURE_MODEL'!AJ$5:AJ$27)/MAX(1,COUNTIF('93_TARGET_MEMBERSHIP'!AP$5:AP$27,-1))))</f>
        <v/>
      </c>
      <c r="AJ45" s="34">
        <f>IF($B45="ABSOLUTE SEMANTIC",ABS('06_ITEM_POLE_MODEL'!AS45),ABS('06_ITEM_POLE_MODEL'!AS45)*ABS(SUMPRODUCT(--('93_TARGET_MEMBERSHIP'!AP$5:AP$27=1),'05_FEATURE_MODEL'!AK$5:AK$27)/MAX(1,COUNTIF('93_TARGET_MEMBERSHIP'!AP$5:AP$27,1))-SUMPRODUCT(--('93_TARGET_MEMBERSHIP'!AP$5:AP$27=-1),'05_FEATURE_MODEL'!AK$5:AK$27)/MAX(1,COUNTIF('93_TARGET_MEMBERSHIP'!AP$5:AP$27,-1))))</f>
        <v/>
      </c>
      <c r="AK45" s="34">
        <f>IF($B45="ABSOLUTE SEMANTIC",ABS('06_ITEM_POLE_MODEL'!AT45),ABS('06_ITEM_POLE_MODEL'!AT45)*ABS(SUMPRODUCT(--('93_TARGET_MEMBERSHIP'!AP$5:AP$27=1),'05_FEATURE_MODEL'!AL$5:AL$27)/MAX(1,COUNTIF('93_TARGET_MEMBERSHIP'!AP$5:AP$27,1))-SUMPRODUCT(--('93_TARGET_MEMBERSHIP'!AP$5:AP$27=-1),'05_FEATURE_MODEL'!AL$5:AL$27)/MAX(1,COUNTIF('93_TARGET_MEMBERSHIP'!AP$5:AP$27,-1))))</f>
        <v/>
      </c>
      <c r="AL45" s="34">
        <f>IF($B45="ABSOLUTE SEMANTIC",ABS('06_ITEM_POLE_MODEL'!AU45),ABS('06_ITEM_POLE_MODEL'!AU45)*ABS(SUMPRODUCT(--('93_TARGET_MEMBERSHIP'!AP$5:AP$27=1),'05_FEATURE_MODEL'!AM$5:AM$27)/MAX(1,COUNTIF('93_TARGET_MEMBERSHIP'!AP$5:AP$27,1))-SUMPRODUCT(--('93_TARGET_MEMBERSHIP'!AP$5:AP$27=-1),'05_FEATURE_MODEL'!AM$5:AM$27)/MAX(1,COUNTIF('93_TARGET_MEMBERSHIP'!AP$5:AP$27,-1))))</f>
        <v/>
      </c>
      <c r="AM45" s="34">
        <f>IF($B45="ABSOLUTE SEMANTIC",ABS('06_ITEM_POLE_MODEL'!AV45),ABS('06_ITEM_POLE_MODEL'!AV45)*ABS(SUMPRODUCT(--('93_TARGET_MEMBERSHIP'!AP$5:AP$27=1),'05_FEATURE_MODEL'!AN$5:AN$27)/MAX(1,COUNTIF('93_TARGET_MEMBERSHIP'!AP$5:AP$27,1))-SUMPRODUCT(--('93_TARGET_MEMBERSHIP'!AP$5:AP$27=-1),'05_FEATURE_MODEL'!AN$5:AN$27)/MAX(1,COUNTIF('93_TARGET_MEMBERSHIP'!AP$5:AP$27,-1))))</f>
        <v/>
      </c>
      <c r="AN45" s="34">
        <f>IF($B45="ABSOLUTE SEMANTIC",ABS('06_ITEM_POLE_MODEL'!AW45),ABS('06_ITEM_POLE_MODEL'!AW45)*ABS(SUMPRODUCT(--('93_TARGET_MEMBERSHIP'!AP$5:AP$27=1),'05_FEATURE_MODEL'!AO$5:AO$27)/MAX(1,COUNTIF('93_TARGET_MEMBERSHIP'!AP$5:AP$27,1))-SUMPRODUCT(--('93_TARGET_MEMBERSHIP'!AP$5:AP$27=-1),'05_FEATURE_MODEL'!AO$5:AO$27)/MAX(1,COUNTIF('93_TARGET_MEMBERSHIP'!AP$5:AP$27,-1))))</f>
        <v/>
      </c>
      <c r="AO45" s="34">
        <f>IF($B45="ABSOLUTE SEMANTIC",ABS('06_ITEM_POLE_MODEL'!AX45),ABS('06_ITEM_POLE_MODEL'!AX45)*ABS(SUMPRODUCT(--('93_TARGET_MEMBERSHIP'!AP$5:AP$27=1),'05_FEATURE_MODEL'!AP$5:AP$27)/MAX(1,COUNTIF('93_TARGET_MEMBERSHIP'!AP$5:AP$27,1))-SUMPRODUCT(--('93_TARGET_MEMBERSHIP'!AP$5:AP$27=-1),'05_FEATURE_MODEL'!AP$5:AP$27)/MAX(1,COUNTIF('93_TARGET_MEMBERSHIP'!AP$5:AP$27,-1))))</f>
        <v/>
      </c>
      <c r="AP45" s="34">
        <f>IF($B45="ABSOLUTE SEMANTIC",ABS('06_ITEM_POLE_MODEL'!AY45),ABS('06_ITEM_POLE_MODEL'!AY45)*ABS(SUMPRODUCT(--('93_TARGET_MEMBERSHIP'!AP$5:AP$27=1),'05_FEATURE_MODEL'!AQ$5:AQ$27)/MAX(1,COUNTIF('93_TARGET_MEMBERSHIP'!AP$5:AP$27,1))-SUMPRODUCT(--('93_TARGET_MEMBERSHIP'!AP$5:AP$27=-1),'05_FEATURE_MODEL'!AQ$5:AQ$27)/MAX(1,COUNTIF('93_TARGET_MEMBERSHIP'!AP$5:AP$27,-1))))</f>
        <v/>
      </c>
      <c r="AQ45" s="34">
        <f>IF($B45="ABSOLUTE SEMANTIC",ABS('06_ITEM_POLE_MODEL'!AZ45),ABS('06_ITEM_POLE_MODEL'!AZ45)*ABS(SUMPRODUCT(--('93_TARGET_MEMBERSHIP'!AP$5:AP$27=1),'05_FEATURE_MODEL'!AR$5:AR$27)/MAX(1,COUNTIF('93_TARGET_MEMBERSHIP'!AP$5:AP$27,1))-SUMPRODUCT(--('93_TARGET_MEMBERSHIP'!AP$5:AP$27=-1),'05_FEATURE_MODEL'!AR$5:AR$27)/MAX(1,COUNTIF('93_TARGET_MEMBERSHIP'!AP$5:AP$27,-1))))</f>
        <v/>
      </c>
    </row>
    <row r="46" ht="36" customHeight="1">
      <c r="A46" s="34">
        <f>'06_ITEM_POLE_MODEL'!A46</f>
        <v/>
      </c>
      <c r="B46" s="34">
        <f>'06_ITEM_POLE_MODEL'!E46</f>
        <v/>
      </c>
      <c r="C46" s="34">
        <f>IF($B46="ABSOLUTE SEMANTIC",ABS('06_ITEM_POLE_MODEL'!L46),ABS('06_ITEM_POLE_MODEL'!L46)*ABS(SUMPRODUCT(--('93_TARGET_MEMBERSHIP'!AQ$5:AQ$27=1),'05_FEATURE_MODEL'!D$5:D$27)/MAX(1,COUNTIF('93_TARGET_MEMBERSHIP'!AQ$5:AQ$27,1))-SUMPRODUCT(--('93_TARGET_MEMBERSHIP'!AQ$5:AQ$27=-1),'05_FEATURE_MODEL'!D$5:D$27)/MAX(1,COUNTIF('93_TARGET_MEMBERSHIP'!AQ$5:AQ$27,-1))))</f>
        <v/>
      </c>
      <c r="D46" s="34">
        <f>IF($B46="ABSOLUTE SEMANTIC",ABS('06_ITEM_POLE_MODEL'!M46),ABS('06_ITEM_POLE_MODEL'!M46)*ABS(SUMPRODUCT(--('93_TARGET_MEMBERSHIP'!AQ$5:AQ$27=1),'05_FEATURE_MODEL'!E$5:E$27)/MAX(1,COUNTIF('93_TARGET_MEMBERSHIP'!AQ$5:AQ$27,1))-SUMPRODUCT(--('93_TARGET_MEMBERSHIP'!AQ$5:AQ$27=-1),'05_FEATURE_MODEL'!E$5:E$27)/MAX(1,COUNTIF('93_TARGET_MEMBERSHIP'!AQ$5:AQ$27,-1))))</f>
        <v/>
      </c>
      <c r="E46" s="34">
        <f>IF($B46="ABSOLUTE SEMANTIC",ABS('06_ITEM_POLE_MODEL'!N46),ABS('06_ITEM_POLE_MODEL'!N46)*ABS(SUMPRODUCT(--('93_TARGET_MEMBERSHIP'!AQ$5:AQ$27=1),'05_FEATURE_MODEL'!F$5:F$27)/MAX(1,COUNTIF('93_TARGET_MEMBERSHIP'!AQ$5:AQ$27,1))-SUMPRODUCT(--('93_TARGET_MEMBERSHIP'!AQ$5:AQ$27=-1),'05_FEATURE_MODEL'!F$5:F$27)/MAX(1,COUNTIF('93_TARGET_MEMBERSHIP'!AQ$5:AQ$27,-1))))</f>
        <v/>
      </c>
      <c r="F46" s="34">
        <f>IF($B46="ABSOLUTE SEMANTIC",ABS('06_ITEM_POLE_MODEL'!O46),ABS('06_ITEM_POLE_MODEL'!O46)*ABS(SUMPRODUCT(--('93_TARGET_MEMBERSHIP'!AQ$5:AQ$27=1),'05_FEATURE_MODEL'!G$5:G$27)/MAX(1,COUNTIF('93_TARGET_MEMBERSHIP'!AQ$5:AQ$27,1))-SUMPRODUCT(--('93_TARGET_MEMBERSHIP'!AQ$5:AQ$27=-1),'05_FEATURE_MODEL'!G$5:G$27)/MAX(1,COUNTIF('93_TARGET_MEMBERSHIP'!AQ$5:AQ$27,-1))))</f>
        <v/>
      </c>
      <c r="G46" s="34">
        <f>IF($B46="ABSOLUTE SEMANTIC",ABS('06_ITEM_POLE_MODEL'!P46),ABS('06_ITEM_POLE_MODEL'!P46)*ABS(SUMPRODUCT(--('93_TARGET_MEMBERSHIP'!AQ$5:AQ$27=1),'05_FEATURE_MODEL'!H$5:H$27)/MAX(1,COUNTIF('93_TARGET_MEMBERSHIP'!AQ$5:AQ$27,1))-SUMPRODUCT(--('93_TARGET_MEMBERSHIP'!AQ$5:AQ$27=-1),'05_FEATURE_MODEL'!H$5:H$27)/MAX(1,COUNTIF('93_TARGET_MEMBERSHIP'!AQ$5:AQ$27,-1))))</f>
        <v/>
      </c>
      <c r="H46" s="34">
        <f>IF($B46="ABSOLUTE SEMANTIC",ABS('06_ITEM_POLE_MODEL'!Q46),ABS('06_ITEM_POLE_MODEL'!Q46)*ABS(SUMPRODUCT(--('93_TARGET_MEMBERSHIP'!AQ$5:AQ$27=1),'05_FEATURE_MODEL'!I$5:I$27)/MAX(1,COUNTIF('93_TARGET_MEMBERSHIP'!AQ$5:AQ$27,1))-SUMPRODUCT(--('93_TARGET_MEMBERSHIP'!AQ$5:AQ$27=-1),'05_FEATURE_MODEL'!I$5:I$27)/MAX(1,COUNTIF('93_TARGET_MEMBERSHIP'!AQ$5:AQ$27,-1))))</f>
        <v/>
      </c>
      <c r="I46" s="34">
        <f>IF($B46="ABSOLUTE SEMANTIC",ABS('06_ITEM_POLE_MODEL'!R46),ABS('06_ITEM_POLE_MODEL'!R46)*ABS(SUMPRODUCT(--('93_TARGET_MEMBERSHIP'!AQ$5:AQ$27=1),'05_FEATURE_MODEL'!J$5:J$27)/MAX(1,COUNTIF('93_TARGET_MEMBERSHIP'!AQ$5:AQ$27,1))-SUMPRODUCT(--('93_TARGET_MEMBERSHIP'!AQ$5:AQ$27=-1),'05_FEATURE_MODEL'!J$5:J$27)/MAX(1,COUNTIF('93_TARGET_MEMBERSHIP'!AQ$5:AQ$27,-1))))</f>
        <v/>
      </c>
      <c r="J46" s="34">
        <f>IF($B46="ABSOLUTE SEMANTIC",ABS('06_ITEM_POLE_MODEL'!S46),ABS('06_ITEM_POLE_MODEL'!S46)*ABS(SUMPRODUCT(--('93_TARGET_MEMBERSHIP'!AQ$5:AQ$27=1),'05_FEATURE_MODEL'!K$5:K$27)/MAX(1,COUNTIF('93_TARGET_MEMBERSHIP'!AQ$5:AQ$27,1))-SUMPRODUCT(--('93_TARGET_MEMBERSHIP'!AQ$5:AQ$27=-1),'05_FEATURE_MODEL'!K$5:K$27)/MAX(1,COUNTIF('93_TARGET_MEMBERSHIP'!AQ$5:AQ$27,-1))))</f>
        <v/>
      </c>
      <c r="K46" s="34">
        <f>IF($B46="ABSOLUTE SEMANTIC",ABS('06_ITEM_POLE_MODEL'!T46),ABS('06_ITEM_POLE_MODEL'!T46)*ABS(SUMPRODUCT(--('93_TARGET_MEMBERSHIP'!AQ$5:AQ$27=1),'05_FEATURE_MODEL'!L$5:L$27)/MAX(1,COUNTIF('93_TARGET_MEMBERSHIP'!AQ$5:AQ$27,1))-SUMPRODUCT(--('93_TARGET_MEMBERSHIP'!AQ$5:AQ$27=-1),'05_FEATURE_MODEL'!L$5:L$27)/MAX(1,COUNTIF('93_TARGET_MEMBERSHIP'!AQ$5:AQ$27,-1))))</f>
        <v/>
      </c>
      <c r="L46" s="34">
        <f>IF($B46="ABSOLUTE SEMANTIC",ABS('06_ITEM_POLE_MODEL'!U46),ABS('06_ITEM_POLE_MODEL'!U46)*ABS(SUMPRODUCT(--('93_TARGET_MEMBERSHIP'!AQ$5:AQ$27=1),'05_FEATURE_MODEL'!M$5:M$27)/MAX(1,COUNTIF('93_TARGET_MEMBERSHIP'!AQ$5:AQ$27,1))-SUMPRODUCT(--('93_TARGET_MEMBERSHIP'!AQ$5:AQ$27=-1),'05_FEATURE_MODEL'!M$5:M$27)/MAX(1,COUNTIF('93_TARGET_MEMBERSHIP'!AQ$5:AQ$27,-1))))</f>
        <v/>
      </c>
      <c r="M46" s="34">
        <f>IF($B46="ABSOLUTE SEMANTIC",ABS('06_ITEM_POLE_MODEL'!V46),ABS('06_ITEM_POLE_MODEL'!V46)*ABS(SUMPRODUCT(--('93_TARGET_MEMBERSHIP'!AQ$5:AQ$27=1),'05_FEATURE_MODEL'!N$5:N$27)/MAX(1,COUNTIF('93_TARGET_MEMBERSHIP'!AQ$5:AQ$27,1))-SUMPRODUCT(--('93_TARGET_MEMBERSHIP'!AQ$5:AQ$27=-1),'05_FEATURE_MODEL'!N$5:N$27)/MAX(1,COUNTIF('93_TARGET_MEMBERSHIP'!AQ$5:AQ$27,-1))))</f>
        <v/>
      </c>
      <c r="N46" s="34">
        <f>IF($B46="ABSOLUTE SEMANTIC",ABS('06_ITEM_POLE_MODEL'!W46),ABS('06_ITEM_POLE_MODEL'!W46)*ABS(SUMPRODUCT(--('93_TARGET_MEMBERSHIP'!AQ$5:AQ$27=1),'05_FEATURE_MODEL'!O$5:O$27)/MAX(1,COUNTIF('93_TARGET_MEMBERSHIP'!AQ$5:AQ$27,1))-SUMPRODUCT(--('93_TARGET_MEMBERSHIP'!AQ$5:AQ$27=-1),'05_FEATURE_MODEL'!O$5:O$27)/MAX(1,COUNTIF('93_TARGET_MEMBERSHIP'!AQ$5:AQ$27,-1))))</f>
        <v/>
      </c>
      <c r="O46" s="34">
        <f>IF($B46="ABSOLUTE SEMANTIC",ABS('06_ITEM_POLE_MODEL'!X46),ABS('06_ITEM_POLE_MODEL'!X46)*ABS(SUMPRODUCT(--('93_TARGET_MEMBERSHIP'!AQ$5:AQ$27=1),'05_FEATURE_MODEL'!P$5:P$27)/MAX(1,COUNTIF('93_TARGET_MEMBERSHIP'!AQ$5:AQ$27,1))-SUMPRODUCT(--('93_TARGET_MEMBERSHIP'!AQ$5:AQ$27=-1),'05_FEATURE_MODEL'!P$5:P$27)/MAX(1,COUNTIF('93_TARGET_MEMBERSHIP'!AQ$5:AQ$27,-1))))</f>
        <v/>
      </c>
      <c r="P46" s="34">
        <f>IF($B46="ABSOLUTE SEMANTIC",ABS('06_ITEM_POLE_MODEL'!Y46),ABS('06_ITEM_POLE_MODEL'!Y46)*ABS(SUMPRODUCT(--('93_TARGET_MEMBERSHIP'!AQ$5:AQ$27=1),'05_FEATURE_MODEL'!Q$5:Q$27)/MAX(1,COUNTIF('93_TARGET_MEMBERSHIP'!AQ$5:AQ$27,1))-SUMPRODUCT(--('93_TARGET_MEMBERSHIP'!AQ$5:AQ$27=-1),'05_FEATURE_MODEL'!Q$5:Q$27)/MAX(1,COUNTIF('93_TARGET_MEMBERSHIP'!AQ$5:AQ$27,-1))))</f>
        <v/>
      </c>
      <c r="Q46" s="34">
        <f>IF($B46="ABSOLUTE SEMANTIC",ABS('06_ITEM_POLE_MODEL'!Z46),ABS('06_ITEM_POLE_MODEL'!Z46)*ABS(SUMPRODUCT(--('93_TARGET_MEMBERSHIP'!AQ$5:AQ$27=1),'05_FEATURE_MODEL'!R$5:R$27)/MAX(1,COUNTIF('93_TARGET_MEMBERSHIP'!AQ$5:AQ$27,1))-SUMPRODUCT(--('93_TARGET_MEMBERSHIP'!AQ$5:AQ$27=-1),'05_FEATURE_MODEL'!R$5:R$27)/MAX(1,COUNTIF('93_TARGET_MEMBERSHIP'!AQ$5:AQ$27,-1))))</f>
        <v/>
      </c>
      <c r="R46" s="34">
        <f>IF($B46="ABSOLUTE SEMANTIC",ABS('06_ITEM_POLE_MODEL'!AA46),ABS('06_ITEM_POLE_MODEL'!AA46)*ABS(SUMPRODUCT(--('93_TARGET_MEMBERSHIP'!AQ$5:AQ$27=1),'05_FEATURE_MODEL'!S$5:S$27)/MAX(1,COUNTIF('93_TARGET_MEMBERSHIP'!AQ$5:AQ$27,1))-SUMPRODUCT(--('93_TARGET_MEMBERSHIP'!AQ$5:AQ$27=-1),'05_FEATURE_MODEL'!S$5:S$27)/MAX(1,COUNTIF('93_TARGET_MEMBERSHIP'!AQ$5:AQ$27,-1))))</f>
        <v/>
      </c>
      <c r="S46" s="34">
        <f>IF($B46="ABSOLUTE SEMANTIC",ABS('06_ITEM_POLE_MODEL'!AB46),ABS('06_ITEM_POLE_MODEL'!AB46)*ABS(SUMPRODUCT(--('93_TARGET_MEMBERSHIP'!AQ$5:AQ$27=1),'05_FEATURE_MODEL'!T$5:T$27)/MAX(1,COUNTIF('93_TARGET_MEMBERSHIP'!AQ$5:AQ$27,1))-SUMPRODUCT(--('93_TARGET_MEMBERSHIP'!AQ$5:AQ$27=-1),'05_FEATURE_MODEL'!T$5:T$27)/MAX(1,COUNTIF('93_TARGET_MEMBERSHIP'!AQ$5:AQ$27,-1))))</f>
        <v/>
      </c>
      <c r="T46" s="34">
        <f>IF($B46="ABSOLUTE SEMANTIC",ABS('06_ITEM_POLE_MODEL'!AC46),ABS('06_ITEM_POLE_MODEL'!AC46)*ABS(SUMPRODUCT(--('93_TARGET_MEMBERSHIP'!AQ$5:AQ$27=1),'05_FEATURE_MODEL'!U$5:U$27)/MAX(1,COUNTIF('93_TARGET_MEMBERSHIP'!AQ$5:AQ$27,1))-SUMPRODUCT(--('93_TARGET_MEMBERSHIP'!AQ$5:AQ$27=-1),'05_FEATURE_MODEL'!U$5:U$27)/MAX(1,COUNTIF('93_TARGET_MEMBERSHIP'!AQ$5:AQ$27,-1))))</f>
        <v/>
      </c>
      <c r="U46" s="34">
        <f>IF($B46="ABSOLUTE SEMANTIC",ABS('06_ITEM_POLE_MODEL'!AD46),ABS('06_ITEM_POLE_MODEL'!AD46)*ABS(SUMPRODUCT(--('93_TARGET_MEMBERSHIP'!AQ$5:AQ$27=1),'05_FEATURE_MODEL'!V$5:V$27)/MAX(1,COUNTIF('93_TARGET_MEMBERSHIP'!AQ$5:AQ$27,1))-SUMPRODUCT(--('93_TARGET_MEMBERSHIP'!AQ$5:AQ$27=-1),'05_FEATURE_MODEL'!V$5:V$27)/MAX(1,COUNTIF('93_TARGET_MEMBERSHIP'!AQ$5:AQ$27,-1))))</f>
        <v/>
      </c>
      <c r="V46" s="34">
        <f>IF($B46="ABSOLUTE SEMANTIC",ABS('06_ITEM_POLE_MODEL'!AE46),ABS('06_ITEM_POLE_MODEL'!AE46)*ABS(SUMPRODUCT(--('93_TARGET_MEMBERSHIP'!AQ$5:AQ$27=1),'05_FEATURE_MODEL'!W$5:W$27)/MAX(1,COUNTIF('93_TARGET_MEMBERSHIP'!AQ$5:AQ$27,1))-SUMPRODUCT(--('93_TARGET_MEMBERSHIP'!AQ$5:AQ$27=-1),'05_FEATURE_MODEL'!W$5:W$27)/MAX(1,COUNTIF('93_TARGET_MEMBERSHIP'!AQ$5:AQ$27,-1))))</f>
        <v/>
      </c>
      <c r="W46" s="34">
        <f>IF($B46="ABSOLUTE SEMANTIC",ABS('06_ITEM_POLE_MODEL'!AF46),ABS('06_ITEM_POLE_MODEL'!AF46)*ABS(SUMPRODUCT(--('93_TARGET_MEMBERSHIP'!AQ$5:AQ$27=1),'05_FEATURE_MODEL'!X$5:X$27)/MAX(1,COUNTIF('93_TARGET_MEMBERSHIP'!AQ$5:AQ$27,1))-SUMPRODUCT(--('93_TARGET_MEMBERSHIP'!AQ$5:AQ$27=-1),'05_FEATURE_MODEL'!X$5:X$27)/MAX(1,COUNTIF('93_TARGET_MEMBERSHIP'!AQ$5:AQ$27,-1))))</f>
        <v/>
      </c>
      <c r="X46" s="34">
        <f>IF($B46="ABSOLUTE SEMANTIC",ABS('06_ITEM_POLE_MODEL'!AG46),ABS('06_ITEM_POLE_MODEL'!AG46)*ABS(SUMPRODUCT(--('93_TARGET_MEMBERSHIP'!AQ$5:AQ$27=1),'05_FEATURE_MODEL'!Y$5:Y$27)/MAX(1,COUNTIF('93_TARGET_MEMBERSHIP'!AQ$5:AQ$27,1))-SUMPRODUCT(--('93_TARGET_MEMBERSHIP'!AQ$5:AQ$27=-1),'05_FEATURE_MODEL'!Y$5:Y$27)/MAX(1,COUNTIF('93_TARGET_MEMBERSHIP'!AQ$5:AQ$27,-1))))</f>
        <v/>
      </c>
      <c r="Y46" s="34">
        <f>IF($B46="ABSOLUTE SEMANTIC",ABS('06_ITEM_POLE_MODEL'!AH46),ABS('06_ITEM_POLE_MODEL'!AH46)*ABS(SUMPRODUCT(--('93_TARGET_MEMBERSHIP'!AQ$5:AQ$27=1),'05_FEATURE_MODEL'!Z$5:Z$27)/MAX(1,COUNTIF('93_TARGET_MEMBERSHIP'!AQ$5:AQ$27,1))-SUMPRODUCT(--('93_TARGET_MEMBERSHIP'!AQ$5:AQ$27=-1),'05_FEATURE_MODEL'!Z$5:Z$27)/MAX(1,COUNTIF('93_TARGET_MEMBERSHIP'!AQ$5:AQ$27,-1))))</f>
        <v/>
      </c>
      <c r="Z46" s="34">
        <f>IF($B46="ABSOLUTE SEMANTIC",ABS('06_ITEM_POLE_MODEL'!AI46),ABS('06_ITEM_POLE_MODEL'!AI46)*ABS(SUMPRODUCT(--('93_TARGET_MEMBERSHIP'!AQ$5:AQ$27=1),'05_FEATURE_MODEL'!AA$5:AA$27)/MAX(1,COUNTIF('93_TARGET_MEMBERSHIP'!AQ$5:AQ$27,1))-SUMPRODUCT(--('93_TARGET_MEMBERSHIP'!AQ$5:AQ$27=-1),'05_FEATURE_MODEL'!AA$5:AA$27)/MAX(1,COUNTIF('93_TARGET_MEMBERSHIP'!AQ$5:AQ$27,-1))))</f>
        <v/>
      </c>
      <c r="AA46" s="34">
        <f>IF($B46="ABSOLUTE SEMANTIC",ABS('06_ITEM_POLE_MODEL'!AJ46),ABS('06_ITEM_POLE_MODEL'!AJ46)*ABS(SUMPRODUCT(--('93_TARGET_MEMBERSHIP'!AQ$5:AQ$27=1),'05_FEATURE_MODEL'!AB$5:AB$27)/MAX(1,COUNTIF('93_TARGET_MEMBERSHIP'!AQ$5:AQ$27,1))-SUMPRODUCT(--('93_TARGET_MEMBERSHIP'!AQ$5:AQ$27=-1),'05_FEATURE_MODEL'!AB$5:AB$27)/MAX(1,COUNTIF('93_TARGET_MEMBERSHIP'!AQ$5:AQ$27,-1))))</f>
        <v/>
      </c>
      <c r="AB46" s="34">
        <f>IF($B46="ABSOLUTE SEMANTIC",ABS('06_ITEM_POLE_MODEL'!AK46),ABS('06_ITEM_POLE_MODEL'!AK46)*ABS(SUMPRODUCT(--('93_TARGET_MEMBERSHIP'!AQ$5:AQ$27=1),'05_FEATURE_MODEL'!AC$5:AC$27)/MAX(1,COUNTIF('93_TARGET_MEMBERSHIP'!AQ$5:AQ$27,1))-SUMPRODUCT(--('93_TARGET_MEMBERSHIP'!AQ$5:AQ$27=-1),'05_FEATURE_MODEL'!AC$5:AC$27)/MAX(1,COUNTIF('93_TARGET_MEMBERSHIP'!AQ$5:AQ$27,-1))))</f>
        <v/>
      </c>
      <c r="AC46" s="34">
        <f>IF($B46="ABSOLUTE SEMANTIC",ABS('06_ITEM_POLE_MODEL'!AL46),ABS('06_ITEM_POLE_MODEL'!AL46)*ABS(SUMPRODUCT(--('93_TARGET_MEMBERSHIP'!AQ$5:AQ$27=1),'05_FEATURE_MODEL'!AD$5:AD$27)/MAX(1,COUNTIF('93_TARGET_MEMBERSHIP'!AQ$5:AQ$27,1))-SUMPRODUCT(--('93_TARGET_MEMBERSHIP'!AQ$5:AQ$27=-1),'05_FEATURE_MODEL'!AD$5:AD$27)/MAX(1,COUNTIF('93_TARGET_MEMBERSHIP'!AQ$5:AQ$27,-1))))</f>
        <v/>
      </c>
      <c r="AD46" s="34">
        <f>IF($B46="ABSOLUTE SEMANTIC",ABS('06_ITEM_POLE_MODEL'!AM46),ABS('06_ITEM_POLE_MODEL'!AM46)*ABS(SUMPRODUCT(--('93_TARGET_MEMBERSHIP'!AQ$5:AQ$27=1),'05_FEATURE_MODEL'!AE$5:AE$27)/MAX(1,COUNTIF('93_TARGET_MEMBERSHIP'!AQ$5:AQ$27,1))-SUMPRODUCT(--('93_TARGET_MEMBERSHIP'!AQ$5:AQ$27=-1),'05_FEATURE_MODEL'!AE$5:AE$27)/MAX(1,COUNTIF('93_TARGET_MEMBERSHIP'!AQ$5:AQ$27,-1))))</f>
        <v/>
      </c>
      <c r="AE46" s="34">
        <f>IF($B46="ABSOLUTE SEMANTIC",ABS('06_ITEM_POLE_MODEL'!AN46),ABS('06_ITEM_POLE_MODEL'!AN46)*ABS(SUMPRODUCT(--('93_TARGET_MEMBERSHIP'!AQ$5:AQ$27=1),'05_FEATURE_MODEL'!AF$5:AF$27)/MAX(1,COUNTIF('93_TARGET_MEMBERSHIP'!AQ$5:AQ$27,1))-SUMPRODUCT(--('93_TARGET_MEMBERSHIP'!AQ$5:AQ$27=-1),'05_FEATURE_MODEL'!AF$5:AF$27)/MAX(1,COUNTIF('93_TARGET_MEMBERSHIP'!AQ$5:AQ$27,-1))))</f>
        <v/>
      </c>
      <c r="AF46" s="34">
        <f>IF($B46="ABSOLUTE SEMANTIC",ABS('06_ITEM_POLE_MODEL'!AO46),ABS('06_ITEM_POLE_MODEL'!AO46)*ABS(SUMPRODUCT(--('93_TARGET_MEMBERSHIP'!AQ$5:AQ$27=1),'05_FEATURE_MODEL'!AG$5:AG$27)/MAX(1,COUNTIF('93_TARGET_MEMBERSHIP'!AQ$5:AQ$27,1))-SUMPRODUCT(--('93_TARGET_MEMBERSHIP'!AQ$5:AQ$27=-1),'05_FEATURE_MODEL'!AG$5:AG$27)/MAX(1,COUNTIF('93_TARGET_MEMBERSHIP'!AQ$5:AQ$27,-1))))</f>
        <v/>
      </c>
      <c r="AG46" s="34">
        <f>IF($B46="ABSOLUTE SEMANTIC",ABS('06_ITEM_POLE_MODEL'!AP46),ABS('06_ITEM_POLE_MODEL'!AP46)*ABS(SUMPRODUCT(--('93_TARGET_MEMBERSHIP'!AQ$5:AQ$27=1),'05_FEATURE_MODEL'!AH$5:AH$27)/MAX(1,COUNTIF('93_TARGET_MEMBERSHIP'!AQ$5:AQ$27,1))-SUMPRODUCT(--('93_TARGET_MEMBERSHIP'!AQ$5:AQ$27=-1),'05_FEATURE_MODEL'!AH$5:AH$27)/MAX(1,COUNTIF('93_TARGET_MEMBERSHIP'!AQ$5:AQ$27,-1))))</f>
        <v/>
      </c>
      <c r="AH46" s="34">
        <f>IF($B46="ABSOLUTE SEMANTIC",ABS('06_ITEM_POLE_MODEL'!AQ46),ABS('06_ITEM_POLE_MODEL'!AQ46)*ABS(SUMPRODUCT(--('93_TARGET_MEMBERSHIP'!AQ$5:AQ$27=1),'05_FEATURE_MODEL'!AI$5:AI$27)/MAX(1,COUNTIF('93_TARGET_MEMBERSHIP'!AQ$5:AQ$27,1))-SUMPRODUCT(--('93_TARGET_MEMBERSHIP'!AQ$5:AQ$27=-1),'05_FEATURE_MODEL'!AI$5:AI$27)/MAX(1,COUNTIF('93_TARGET_MEMBERSHIP'!AQ$5:AQ$27,-1))))</f>
        <v/>
      </c>
      <c r="AI46" s="34">
        <f>IF($B46="ABSOLUTE SEMANTIC",ABS('06_ITEM_POLE_MODEL'!AR46),ABS('06_ITEM_POLE_MODEL'!AR46)*ABS(SUMPRODUCT(--('93_TARGET_MEMBERSHIP'!AQ$5:AQ$27=1),'05_FEATURE_MODEL'!AJ$5:AJ$27)/MAX(1,COUNTIF('93_TARGET_MEMBERSHIP'!AQ$5:AQ$27,1))-SUMPRODUCT(--('93_TARGET_MEMBERSHIP'!AQ$5:AQ$27=-1),'05_FEATURE_MODEL'!AJ$5:AJ$27)/MAX(1,COUNTIF('93_TARGET_MEMBERSHIP'!AQ$5:AQ$27,-1))))</f>
        <v/>
      </c>
      <c r="AJ46" s="34">
        <f>IF($B46="ABSOLUTE SEMANTIC",ABS('06_ITEM_POLE_MODEL'!AS46),ABS('06_ITEM_POLE_MODEL'!AS46)*ABS(SUMPRODUCT(--('93_TARGET_MEMBERSHIP'!AQ$5:AQ$27=1),'05_FEATURE_MODEL'!AK$5:AK$27)/MAX(1,COUNTIF('93_TARGET_MEMBERSHIP'!AQ$5:AQ$27,1))-SUMPRODUCT(--('93_TARGET_MEMBERSHIP'!AQ$5:AQ$27=-1),'05_FEATURE_MODEL'!AK$5:AK$27)/MAX(1,COUNTIF('93_TARGET_MEMBERSHIP'!AQ$5:AQ$27,-1))))</f>
        <v/>
      </c>
      <c r="AK46" s="34">
        <f>IF($B46="ABSOLUTE SEMANTIC",ABS('06_ITEM_POLE_MODEL'!AT46),ABS('06_ITEM_POLE_MODEL'!AT46)*ABS(SUMPRODUCT(--('93_TARGET_MEMBERSHIP'!AQ$5:AQ$27=1),'05_FEATURE_MODEL'!AL$5:AL$27)/MAX(1,COUNTIF('93_TARGET_MEMBERSHIP'!AQ$5:AQ$27,1))-SUMPRODUCT(--('93_TARGET_MEMBERSHIP'!AQ$5:AQ$27=-1),'05_FEATURE_MODEL'!AL$5:AL$27)/MAX(1,COUNTIF('93_TARGET_MEMBERSHIP'!AQ$5:AQ$27,-1))))</f>
        <v/>
      </c>
      <c r="AL46" s="34">
        <f>IF($B46="ABSOLUTE SEMANTIC",ABS('06_ITEM_POLE_MODEL'!AU46),ABS('06_ITEM_POLE_MODEL'!AU46)*ABS(SUMPRODUCT(--('93_TARGET_MEMBERSHIP'!AQ$5:AQ$27=1),'05_FEATURE_MODEL'!AM$5:AM$27)/MAX(1,COUNTIF('93_TARGET_MEMBERSHIP'!AQ$5:AQ$27,1))-SUMPRODUCT(--('93_TARGET_MEMBERSHIP'!AQ$5:AQ$27=-1),'05_FEATURE_MODEL'!AM$5:AM$27)/MAX(1,COUNTIF('93_TARGET_MEMBERSHIP'!AQ$5:AQ$27,-1))))</f>
        <v/>
      </c>
      <c r="AM46" s="34">
        <f>IF($B46="ABSOLUTE SEMANTIC",ABS('06_ITEM_POLE_MODEL'!AV46),ABS('06_ITEM_POLE_MODEL'!AV46)*ABS(SUMPRODUCT(--('93_TARGET_MEMBERSHIP'!AQ$5:AQ$27=1),'05_FEATURE_MODEL'!AN$5:AN$27)/MAX(1,COUNTIF('93_TARGET_MEMBERSHIP'!AQ$5:AQ$27,1))-SUMPRODUCT(--('93_TARGET_MEMBERSHIP'!AQ$5:AQ$27=-1),'05_FEATURE_MODEL'!AN$5:AN$27)/MAX(1,COUNTIF('93_TARGET_MEMBERSHIP'!AQ$5:AQ$27,-1))))</f>
        <v/>
      </c>
      <c r="AN46" s="34">
        <f>IF($B46="ABSOLUTE SEMANTIC",ABS('06_ITEM_POLE_MODEL'!AW46),ABS('06_ITEM_POLE_MODEL'!AW46)*ABS(SUMPRODUCT(--('93_TARGET_MEMBERSHIP'!AQ$5:AQ$27=1),'05_FEATURE_MODEL'!AO$5:AO$27)/MAX(1,COUNTIF('93_TARGET_MEMBERSHIP'!AQ$5:AQ$27,1))-SUMPRODUCT(--('93_TARGET_MEMBERSHIP'!AQ$5:AQ$27=-1),'05_FEATURE_MODEL'!AO$5:AO$27)/MAX(1,COUNTIF('93_TARGET_MEMBERSHIP'!AQ$5:AQ$27,-1))))</f>
        <v/>
      </c>
      <c r="AO46" s="34">
        <f>IF($B46="ABSOLUTE SEMANTIC",ABS('06_ITEM_POLE_MODEL'!AX46),ABS('06_ITEM_POLE_MODEL'!AX46)*ABS(SUMPRODUCT(--('93_TARGET_MEMBERSHIP'!AQ$5:AQ$27=1),'05_FEATURE_MODEL'!AP$5:AP$27)/MAX(1,COUNTIF('93_TARGET_MEMBERSHIP'!AQ$5:AQ$27,1))-SUMPRODUCT(--('93_TARGET_MEMBERSHIP'!AQ$5:AQ$27=-1),'05_FEATURE_MODEL'!AP$5:AP$27)/MAX(1,COUNTIF('93_TARGET_MEMBERSHIP'!AQ$5:AQ$27,-1))))</f>
        <v/>
      </c>
      <c r="AP46" s="34">
        <f>IF($B46="ABSOLUTE SEMANTIC",ABS('06_ITEM_POLE_MODEL'!AY46),ABS('06_ITEM_POLE_MODEL'!AY46)*ABS(SUMPRODUCT(--('93_TARGET_MEMBERSHIP'!AQ$5:AQ$27=1),'05_FEATURE_MODEL'!AQ$5:AQ$27)/MAX(1,COUNTIF('93_TARGET_MEMBERSHIP'!AQ$5:AQ$27,1))-SUMPRODUCT(--('93_TARGET_MEMBERSHIP'!AQ$5:AQ$27=-1),'05_FEATURE_MODEL'!AQ$5:AQ$27)/MAX(1,COUNTIF('93_TARGET_MEMBERSHIP'!AQ$5:AQ$27,-1))))</f>
        <v/>
      </c>
      <c r="AQ46" s="34">
        <f>IF($B46="ABSOLUTE SEMANTIC",ABS('06_ITEM_POLE_MODEL'!AZ46),ABS('06_ITEM_POLE_MODEL'!AZ46)*ABS(SUMPRODUCT(--('93_TARGET_MEMBERSHIP'!AQ$5:AQ$27=1),'05_FEATURE_MODEL'!AR$5:AR$27)/MAX(1,COUNTIF('93_TARGET_MEMBERSHIP'!AQ$5:AQ$27,1))-SUMPRODUCT(--('93_TARGET_MEMBERSHIP'!AQ$5:AQ$27=-1),'05_FEATURE_MODEL'!AR$5:AR$27)/MAX(1,COUNTIF('93_TARGET_MEMBERSHIP'!AQ$5:AQ$27,-1))))</f>
        <v/>
      </c>
    </row>
    <row r="47" ht="36" customHeight="1">
      <c r="A47" s="34">
        <f>'06_ITEM_POLE_MODEL'!A47</f>
        <v/>
      </c>
      <c r="B47" s="34">
        <f>'06_ITEM_POLE_MODEL'!E47</f>
        <v/>
      </c>
      <c r="C47" s="34">
        <f>IF($B47="ABSOLUTE SEMANTIC",ABS('06_ITEM_POLE_MODEL'!L47),ABS('06_ITEM_POLE_MODEL'!L47)*ABS(SUMPRODUCT(--('93_TARGET_MEMBERSHIP'!AR$5:AR$27=1),'05_FEATURE_MODEL'!D$5:D$27)/MAX(1,COUNTIF('93_TARGET_MEMBERSHIP'!AR$5:AR$27,1))-SUMPRODUCT(--('93_TARGET_MEMBERSHIP'!AR$5:AR$27=-1),'05_FEATURE_MODEL'!D$5:D$27)/MAX(1,COUNTIF('93_TARGET_MEMBERSHIP'!AR$5:AR$27,-1))))</f>
        <v/>
      </c>
      <c r="D47" s="34">
        <f>IF($B47="ABSOLUTE SEMANTIC",ABS('06_ITEM_POLE_MODEL'!M47),ABS('06_ITEM_POLE_MODEL'!M47)*ABS(SUMPRODUCT(--('93_TARGET_MEMBERSHIP'!AR$5:AR$27=1),'05_FEATURE_MODEL'!E$5:E$27)/MAX(1,COUNTIF('93_TARGET_MEMBERSHIP'!AR$5:AR$27,1))-SUMPRODUCT(--('93_TARGET_MEMBERSHIP'!AR$5:AR$27=-1),'05_FEATURE_MODEL'!E$5:E$27)/MAX(1,COUNTIF('93_TARGET_MEMBERSHIP'!AR$5:AR$27,-1))))</f>
        <v/>
      </c>
      <c r="E47" s="34">
        <f>IF($B47="ABSOLUTE SEMANTIC",ABS('06_ITEM_POLE_MODEL'!N47),ABS('06_ITEM_POLE_MODEL'!N47)*ABS(SUMPRODUCT(--('93_TARGET_MEMBERSHIP'!AR$5:AR$27=1),'05_FEATURE_MODEL'!F$5:F$27)/MAX(1,COUNTIF('93_TARGET_MEMBERSHIP'!AR$5:AR$27,1))-SUMPRODUCT(--('93_TARGET_MEMBERSHIP'!AR$5:AR$27=-1),'05_FEATURE_MODEL'!F$5:F$27)/MAX(1,COUNTIF('93_TARGET_MEMBERSHIP'!AR$5:AR$27,-1))))</f>
        <v/>
      </c>
      <c r="F47" s="34">
        <f>IF($B47="ABSOLUTE SEMANTIC",ABS('06_ITEM_POLE_MODEL'!O47),ABS('06_ITEM_POLE_MODEL'!O47)*ABS(SUMPRODUCT(--('93_TARGET_MEMBERSHIP'!AR$5:AR$27=1),'05_FEATURE_MODEL'!G$5:G$27)/MAX(1,COUNTIF('93_TARGET_MEMBERSHIP'!AR$5:AR$27,1))-SUMPRODUCT(--('93_TARGET_MEMBERSHIP'!AR$5:AR$27=-1),'05_FEATURE_MODEL'!G$5:G$27)/MAX(1,COUNTIF('93_TARGET_MEMBERSHIP'!AR$5:AR$27,-1))))</f>
        <v/>
      </c>
      <c r="G47" s="34">
        <f>IF($B47="ABSOLUTE SEMANTIC",ABS('06_ITEM_POLE_MODEL'!P47),ABS('06_ITEM_POLE_MODEL'!P47)*ABS(SUMPRODUCT(--('93_TARGET_MEMBERSHIP'!AR$5:AR$27=1),'05_FEATURE_MODEL'!H$5:H$27)/MAX(1,COUNTIF('93_TARGET_MEMBERSHIP'!AR$5:AR$27,1))-SUMPRODUCT(--('93_TARGET_MEMBERSHIP'!AR$5:AR$27=-1),'05_FEATURE_MODEL'!H$5:H$27)/MAX(1,COUNTIF('93_TARGET_MEMBERSHIP'!AR$5:AR$27,-1))))</f>
        <v/>
      </c>
      <c r="H47" s="34">
        <f>IF($B47="ABSOLUTE SEMANTIC",ABS('06_ITEM_POLE_MODEL'!Q47),ABS('06_ITEM_POLE_MODEL'!Q47)*ABS(SUMPRODUCT(--('93_TARGET_MEMBERSHIP'!AR$5:AR$27=1),'05_FEATURE_MODEL'!I$5:I$27)/MAX(1,COUNTIF('93_TARGET_MEMBERSHIP'!AR$5:AR$27,1))-SUMPRODUCT(--('93_TARGET_MEMBERSHIP'!AR$5:AR$27=-1),'05_FEATURE_MODEL'!I$5:I$27)/MAX(1,COUNTIF('93_TARGET_MEMBERSHIP'!AR$5:AR$27,-1))))</f>
        <v/>
      </c>
      <c r="I47" s="34">
        <f>IF($B47="ABSOLUTE SEMANTIC",ABS('06_ITEM_POLE_MODEL'!R47),ABS('06_ITEM_POLE_MODEL'!R47)*ABS(SUMPRODUCT(--('93_TARGET_MEMBERSHIP'!AR$5:AR$27=1),'05_FEATURE_MODEL'!J$5:J$27)/MAX(1,COUNTIF('93_TARGET_MEMBERSHIP'!AR$5:AR$27,1))-SUMPRODUCT(--('93_TARGET_MEMBERSHIP'!AR$5:AR$27=-1),'05_FEATURE_MODEL'!J$5:J$27)/MAX(1,COUNTIF('93_TARGET_MEMBERSHIP'!AR$5:AR$27,-1))))</f>
        <v/>
      </c>
      <c r="J47" s="34">
        <f>IF($B47="ABSOLUTE SEMANTIC",ABS('06_ITEM_POLE_MODEL'!S47),ABS('06_ITEM_POLE_MODEL'!S47)*ABS(SUMPRODUCT(--('93_TARGET_MEMBERSHIP'!AR$5:AR$27=1),'05_FEATURE_MODEL'!K$5:K$27)/MAX(1,COUNTIF('93_TARGET_MEMBERSHIP'!AR$5:AR$27,1))-SUMPRODUCT(--('93_TARGET_MEMBERSHIP'!AR$5:AR$27=-1),'05_FEATURE_MODEL'!K$5:K$27)/MAX(1,COUNTIF('93_TARGET_MEMBERSHIP'!AR$5:AR$27,-1))))</f>
        <v/>
      </c>
      <c r="K47" s="34">
        <f>IF($B47="ABSOLUTE SEMANTIC",ABS('06_ITEM_POLE_MODEL'!T47),ABS('06_ITEM_POLE_MODEL'!T47)*ABS(SUMPRODUCT(--('93_TARGET_MEMBERSHIP'!AR$5:AR$27=1),'05_FEATURE_MODEL'!L$5:L$27)/MAX(1,COUNTIF('93_TARGET_MEMBERSHIP'!AR$5:AR$27,1))-SUMPRODUCT(--('93_TARGET_MEMBERSHIP'!AR$5:AR$27=-1),'05_FEATURE_MODEL'!L$5:L$27)/MAX(1,COUNTIF('93_TARGET_MEMBERSHIP'!AR$5:AR$27,-1))))</f>
        <v/>
      </c>
      <c r="L47" s="34">
        <f>IF($B47="ABSOLUTE SEMANTIC",ABS('06_ITEM_POLE_MODEL'!U47),ABS('06_ITEM_POLE_MODEL'!U47)*ABS(SUMPRODUCT(--('93_TARGET_MEMBERSHIP'!AR$5:AR$27=1),'05_FEATURE_MODEL'!M$5:M$27)/MAX(1,COUNTIF('93_TARGET_MEMBERSHIP'!AR$5:AR$27,1))-SUMPRODUCT(--('93_TARGET_MEMBERSHIP'!AR$5:AR$27=-1),'05_FEATURE_MODEL'!M$5:M$27)/MAX(1,COUNTIF('93_TARGET_MEMBERSHIP'!AR$5:AR$27,-1))))</f>
        <v/>
      </c>
      <c r="M47" s="34">
        <f>IF($B47="ABSOLUTE SEMANTIC",ABS('06_ITEM_POLE_MODEL'!V47),ABS('06_ITEM_POLE_MODEL'!V47)*ABS(SUMPRODUCT(--('93_TARGET_MEMBERSHIP'!AR$5:AR$27=1),'05_FEATURE_MODEL'!N$5:N$27)/MAX(1,COUNTIF('93_TARGET_MEMBERSHIP'!AR$5:AR$27,1))-SUMPRODUCT(--('93_TARGET_MEMBERSHIP'!AR$5:AR$27=-1),'05_FEATURE_MODEL'!N$5:N$27)/MAX(1,COUNTIF('93_TARGET_MEMBERSHIP'!AR$5:AR$27,-1))))</f>
        <v/>
      </c>
      <c r="N47" s="34">
        <f>IF($B47="ABSOLUTE SEMANTIC",ABS('06_ITEM_POLE_MODEL'!W47),ABS('06_ITEM_POLE_MODEL'!W47)*ABS(SUMPRODUCT(--('93_TARGET_MEMBERSHIP'!AR$5:AR$27=1),'05_FEATURE_MODEL'!O$5:O$27)/MAX(1,COUNTIF('93_TARGET_MEMBERSHIP'!AR$5:AR$27,1))-SUMPRODUCT(--('93_TARGET_MEMBERSHIP'!AR$5:AR$27=-1),'05_FEATURE_MODEL'!O$5:O$27)/MAX(1,COUNTIF('93_TARGET_MEMBERSHIP'!AR$5:AR$27,-1))))</f>
        <v/>
      </c>
      <c r="O47" s="34">
        <f>IF($B47="ABSOLUTE SEMANTIC",ABS('06_ITEM_POLE_MODEL'!X47),ABS('06_ITEM_POLE_MODEL'!X47)*ABS(SUMPRODUCT(--('93_TARGET_MEMBERSHIP'!AR$5:AR$27=1),'05_FEATURE_MODEL'!P$5:P$27)/MAX(1,COUNTIF('93_TARGET_MEMBERSHIP'!AR$5:AR$27,1))-SUMPRODUCT(--('93_TARGET_MEMBERSHIP'!AR$5:AR$27=-1),'05_FEATURE_MODEL'!P$5:P$27)/MAX(1,COUNTIF('93_TARGET_MEMBERSHIP'!AR$5:AR$27,-1))))</f>
        <v/>
      </c>
      <c r="P47" s="34">
        <f>IF($B47="ABSOLUTE SEMANTIC",ABS('06_ITEM_POLE_MODEL'!Y47),ABS('06_ITEM_POLE_MODEL'!Y47)*ABS(SUMPRODUCT(--('93_TARGET_MEMBERSHIP'!AR$5:AR$27=1),'05_FEATURE_MODEL'!Q$5:Q$27)/MAX(1,COUNTIF('93_TARGET_MEMBERSHIP'!AR$5:AR$27,1))-SUMPRODUCT(--('93_TARGET_MEMBERSHIP'!AR$5:AR$27=-1),'05_FEATURE_MODEL'!Q$5:Q$27)/MAX(1,COUNTIF('93_TARGET_MEMBERSHIP'!AR$5:AR$27,-1))))</f>
        <v/>
      </c>
      <c r="Q47" s="34">
        <f>IF($B47="ABSOLUTE SEMANTIC",ABS('06_ITEM_POLE_MODEL'!Z47),ABS('06_ITEM_POLE_MODEL'!Z47)*ABS(SUMPRODUCT(--('93_TARGET_MEMBERSHIP'!AR$5:AR$27=1),'05_FEATURE_MODEL'!R$5:R$27)/MAX(1,COUNTIF('93_TARGET_MEMBERSHIP'!AR$5:AR$27,1))-SUMPRODUCT(--('93_TARGET_MEMBERSHIP'!AR$5:AR$27=-1),'05_FEATURE_MODEL'!R$5:R$27)/MAX(1,COUNTIF('93_TARGET_MEMBERSHIP'!AR$5:AR$27,-1))))</f>
        <v/>
      </c>
      <c r="R47" s="34">
        <f>IF($B47="ABSOLUTE SEMANTIC",ABS('06_ITEM_POLE_MODEL'!AA47),ABS('06_ITEM_POLE_MODEL'!AA47)*ABS(SUMPRODUCT(--('93_TARGET_MEMBERSHIP'!AR$5:AR$27=1),'05_FEATURE_MODEL'!S$5:S$27)/MAX(1,COUNTIF('93_TARGET_MEMBERSHIP'!AR$5:AR$27,1))-SUMPRODUCT(--('93_TARGET_MEMBERSHIP'!AR$5:AR$27=-1),'05_FEATURE_MODEL'!S$5:S$27)/MAX(1,COUNTIF('93_TARGET_MEMBERSHIP'!AR$5:AR$27,-1))))</f>
        <v/>
      </c>
      <c r="S47" s="34">
        <f>IF($B47="ABSOLUTE SEMANTIC",ABS('06_ITEM_POLE_MODEL'!AB47),ABS('06_ITEM_POLE_MODEL'!AB47)*ABS(SUMPRODUCT(--('93_TARGET_MEMBERSHIP'!AR$5:AR$27=1),'05_FEATURE_MODEL'!T$5:T$27)/MAX(1,COUNTIF('93_TARGET_MEMBERSHIP'!AR$5:AR$27,1))-SUMPRODUCT(--('93_TARGET_MEMBERSHIP'!AR$5:AR$27=-1),'05_FEATURE_MODEL'!T$5:T$27)/MAX(1,COUNTIF('93_TARGET_MEMBERSHIP'!AR$5:AR$27,-1))))</f>
        <v/>
      </c>
      <c r="T47" s="34">
        <f>IF($B47="ABSOLUTE SEMANTIC",ABS('06_ITEM_POLE_MODEL'!AC47),ABS('06_ITEM_POLE_MODEL'!AC47)*ABS(SUMPRODUCT(--('93_TARGET_MEMBERSHIP'!AR$5:AR$27=1),'05_FEATURE_MODEL'!U$5:U$27)/MAX(1,COUNTIF('93_TARGET_MEMBERSHIP'!AR$5:AR$27,1))-SUMPRODUCT(--('93_TARGET_MEMBERSHIP'!AR$5:AR$27=-1),'05_FEATURE_MODEL'!U$5:U$27)/MAX(1,COUNTIF('93_TARGET_MEMBERSHIP'!AR$5:AR$27,-1))))</f>
        <v/>
      </c>
      <c r="U47" s="34">
        <f>IF($B47="ABSOLUTE SEMANTIC",ABS('06_ITEM_POLE_MODEL'!AD47),ABS('06_ITEM_POLE_MODEL'!AD47)*ABS(SUMPRODUCT(--('93_TARGET_MEMBERSHIP'!AR$5:AR$27=1),'05_FEATURE_MODEL'!V$5:V$27)/MAX(1,COUNTIF('93_TARGET_MEMBERSHIP'!AR$5:AR$27,1))-SUMPRODUCT(--('93_TARGET_MEMBERSHIP'!AR$5:AR$27=-1),'05_FEATURE_MODEL'!V$5:V$27)/MAX(1,COUNTIF('93_TARGET_MEMBERSHIP'!AR$5:AR$27,-1))))</f>
        <v/>
      </c>
      <c r="V47" s="34">
        <f>IF($B47="ABSOLUTE SEMANTIC",ABS('06_ITEM_POLE_MODEL'!AE47),ABS('06_ITEM_POLE_MODEL'!AE47)*ABS(SUMPRODUCT(--('93_TARGET_MEMBERSHIP'!AR$5:AR$27=1),'05_FEATURE_MODEL'!W$5:W$27)/MAX(1,COUNTIF('93_TARGET_MEMBERSHIP'!AR$5:AR$27,1))-SUMPRODUCT(--('93_TARGET_MEMBERSHIP'!AR$5:AR$27=-1),'05_FEATURE_MODEL'!W$5:W$27)/MAX(1,COUNTIF('93_TARGET_MEMBERSHIP'!AR$5:AR$27,-1))))</f>
        <v/>
      </c>
      <c r="W47" s="34">
        <f>IF($B47="ABSOLUTE SEMANTIC",ABS('06_ITEM_POLE_MODEL'!AF47),ABS('06_ITEM_POLE_MODEL'!AF47)*ABS(SUMPRODUCT(--('93_TARGET_MEMBERSHIP'!AR$5:AR$27=1),'05_FEATURE_MODEL'!X$5:X$27)/MAX(1,COUNTIF('93_TARGET_MEMBERSHIP'!AR$5:AR$27,1))-SUMPRODUCT(--('93_TARGET_MEMBERSHIP'!AR$5:AR$27=-1),'05_FEATURE_MODEL'!X$5:X$27)/MAX(1,COUNTIF('93_TARGET_MEMBERSHIP'!AR$5:AR$27,-1))))</f>
        <v/>
      </c>
      <c r="X47" s="34">
        <f>IF($B47="ABSOLUTE SEMANTIC",ABS('06_ITEM_POLE_MODEL'!AG47),ABS('06_ITEM_POLE_MODEL'!AG47)*ABS(SUMPRODUCT(--('93_TARGET_MEMBERSHIP'!AR$5:AR$27=1),'05_FEATURE_MODEL'!Y$5:Y$27)/MAX(1,COUNTIF('93_TARGET_MEMBERSHIP'!AR$5:AR$27,1))-SUMPRODUCT(--('93_TARGET_MEMBERSHIP'!AR$5:AR$27=-1),'05_FEATURE_MODEL'!Y$5:Y$27)/MAX(1,COUNTIF('93_TARGET_MEMBERSHIP'!AR$5:AR$27,-1))))</f>
        <v/>
      </c>
      <c r="Y47" s="34">
        <f>IF($B47="ABSOLUTE SEMANTIC",ABS('06_ITEM_POLE_MODEL'!AH47),ABS('06_ITEM_POLE_MODEL'!AH47)*ABS(SUMPRODUCT(--('93_TARGET_MEMBERSHIP'!AR$5:AR$27=1),'05_FEATURE_MODEL'!Z$5:Z$27)/MAX(1,COUNTIF('93_TARGET_MEMBERSHIP'!AR$5:AR$27,1))-SUMPRODUCT(--('93_TARGET_MEMBERSHIP'!AR$5:AR$27=-1),'05_FEATURE_MODEL'!Z$5:Z$27)/MAX(1,COUNTIF('93_TARGET_MEMBERSHIP'!AR$5:AR$27,-1))))</f>
        <v/>
      </c>
      <c r="Z47" s="34">
        <f>IF($B47="ABSOLUTE SEMANTIC",ABS('06_ITEM_POLE_MODEL'!AI47),ABS('06_ITEM_POLE_MODEL'!AI47)*ABS(SUMPRODUCT(--('93_TARGET_MEMBERSHIP'!AR$5:AR$27=1),'05_FEATURE_MODEL'!AA$5:AA$27)/MAX(1,COUNTIF('93_TARGET_MEMBERSHIP'!AR$5:AR$27,1))-SUMPRODUCT(--('93_TARGET_MEMBERSHIP'!AR$5:AR$27=-1),'05_FEATURE_MODEL'!AA$5:AA$27)/MAX(1,COUNTIF('93_TARGET_MEMBERSHIP'!AR$5:AR$27,-1))))</f>
        <v/>
      </c>
      <c r="AA47" s="34">
        <f>IF($B47="ABSOLUTE SEMANTIC",ABS('06_ITEM_POLE_MODEL'!AJ47),ABS('06_ITEM_POLE_MODEL'!AJ47)*ABS(SUMPRODUCT(--('93_TARGET_MEMBERSHIP'!AR$5:AR$27=1),'05_FEATURE_MODEL'!AB$5:AB$27)/MAX(1,COUNTIF('93_TARGET_MEMBERSHIP'!AR$5:AR$27,1))-SUMPRODUCT(--('93_TARGET_MEMBERSHIP'!AR$5:AR$27=-1),'05_FEATURE_MODEL'!AB$5:AB$27)/MAX(1,COUNTIF('93_TARGET_MEMBERSHIP'!AR$5:AR$27,-1))))</f>
        <v/>
      </c>
      <c r="AB47" s="34">
        <f>IF($B47="ABSOLUTE SEMANTIC",ABS('06_ITEM_POLE_MODEL'!AK47),ABS('06_ITEM_POLE_MODEL'!AK47)*ABS(SUMPRODUCT(--('93_TARGET_MEMBERSHIP'!AR$5:AR$27=1),'05_FEATURE_MODEL'!AC$5:AC$27)/MAX(1,COUNTIF('93_TARGET_MEMBERSHIP'!AR$5:AR$27,1))-SUMPRODUCT(--('93_TARGET_MEMBERSHIP'!AR$5:AR$27=-1),'05_FEATURE_MODEL'!AC$5:AC$27)/MAX(1,COUNTIF('93_TARGET_MEMBERSHIP'!AR$5:AR$27,-1))))</f>
        <v/>
      </c>
      <c r="AC47" s="34">
        <f>IF($B47="ABSOLUTE SEMANTIC",ABS('06_ITEM_POLE_MODEL'!AL47),ABS('06_ITEM_POLE_MODEL'!AL47)*ABS(SUMPRODUCT(--('93_TARGET_MEMBERSHIP'!AR$5:AR$27=1),'05_FEATURE_MODEL'!AD$5:AD$27)/MAX(1,COUNTIF('93_TARGET_MEMBERSHIP'!AR$5:AR$27,1))-SUMPRODUCT(--('93_TARGET_MEMBERSHIP'!AR$5:AR$27=-1),'05_FEATURE_MODEL'!AD$5:AD$27)/MAX(1,COUNTIF('93_TARGET_MEMBERSHIP'!AR$5:AR$27,-1))))</f>
        <v/>
      </c>
      <c r="AD47" s="34">
        <f>IF($B47="ABSOLUTE SEMANTIC",ABS('06_ITEM_POLE_MODEL'!AM47),ABS('06_ITEM_POLE_MODEL'!AM47)*ABS(SUMPRODUCT(--('93_TARGET_MEMBERSHIP'!AR$5:AR$27=1),'05_FEATURE_MODEL'!AE$5:AE$27)/MAX(1,COUNTIF('93_TARGET_MEMBERSHIP'!AR$5:AR$27,1))-SUMPRODUCT(--('93_TARGET_MEMBERSHIP'!AR$5:AR$27=-1),'05_FEATURE_MODEL'!AE$5:AE$27)/MAX(1,COUNTIF('93_TARGET_MEMBERSHIP'!AR$5:AR$27,-1))))</f>
        <v/>
      </c>
      <c r="AE47" s="34">
        <f>IF($B47="ABSOLUTE SEMANTIC",ABS('06_ITEM_POLE_MODEL'!AN47),ABS('06_ITEM_POLE_MODEL'!AN47)*ABS(SUMPRODUCT(--('93_TARGET_MEMBERSHIP'!AR$5:AR$27=1),'05_FEATURE_MODEL'!AF$5:AF$27)/MAX(1,COUNTIF('93_TARGET_MEMBERSHIP'!AR$5:AR$27,1))-SUMPRODUCT(--('93_TARGET_MEMBERSHIP'!AR$5:AR$27=-1),'05_FEATURE_MODEL'!AF$5:AF$27)/MAX(1,COUNTIF('93_TARGET_MEMBERSHIP'!AR$5:AR$27,-1))))</f>
        <v/>
      </c>
      <c r="AF47" s="34">
        <f>IF($B47="ABSOLUTE SEMANTIC",ABS('06_ITEM_POLE_MODEL'!AO47),ABS('06_ITEM_POLE_MODEL'!AO47)*ABS(SUMPRODUCT(--('93_TARGET_MEMBERSHIP'!AR$5:AR$27=1),'05_FEATURE_MODEL'!AG$5:AG$27)/MAX(1,COUNTIF('93_TARGET_MEMBERSHIP'!AR$5:AR$27,1))-SUMPRODUCT(--('93_TARGET_MEMBERSHIP'!AR$5:AR$27=-1),'05_FEATURE_MODEL'!AG$5:AG$27)/MAX(1,COUNTIF('93_TARGET_MEMBERSHIP'!AR$5:AR$27,-1))))</f>
        <v/>
      </c>
      <c r="AG47" s="34">
        <f>IF($B47="ABSOLUTE SEMANTIC",ABS('06_ITEM_POLE_MODEL'!AP47),ABS('06_ITEM_POLE_MODEL'!AP47)*ABS(SUMPRODUCT(--('93_TARGET_MEMBERSHIP'!AR$5:AR$27=1),'05_FEATURE_MODEL'!AH$5:AH$27)/MAX(1,COUNTIF('93_TARGET_MEMBERSHIP'!AR$5:AR$27,1))-SUMPRODUCT(--('93_TARGET_MEMBERSHIP'!AR$5:AR$27=-1),'05_FEATURE_MODEL'!AH$5:AH$27)/MAX(1,COUNTIF('93_TARGET_MEMBERSHIP'!AR$5:AR$27,-1))))</f>
        <v/>
      </c>
      <c r="AH47" s="34">
        <f>IF($B47="ABSOLUTE SEMANTIC",ABS('06_ITEM_POLE_MODEL'!AQ47),ABS('06_ITEM_POLE_MODEL'!AQ47)*ABS(SUMPRODUCT(--('93_TARGET_MEMBERSHIP'!AR$5:AR$27=1),'05_FEATURE_MODEL'!AI$5:AI$27)/MAX(1,COUNTIF('93_TARGET_MEMBERSHIP'!AR$5:AR$27,1))-SUMPRODUCT(--('93_TARGET_MEMBERSHIP'!AR$5:AR$27=-1),'05_FEATURE_MODEL'!AI$5:AI$27)/MAX(1,COUNTIF('93_TARGET_MEMBERSHIP'!AR$5:AR$27,-1))))</f>
        <v/>
      </c>
      <c r="AI47" s="34">
        <f>IF($B47="ABSOLUTE SEMANTIC",ABS('06_ITEM_POLE_MODEL'!AR47),ABS('06_ITEM_POLE_MODEL'!AR47)*ABS(SUMPRODUCT(--('93_TARGET_MEMBERSHIP'!AR$5:AR$27=1),'05_FEATURE_MODEL'!AJ$5:AJ$27)/MAX(1,COUNTIF('93_TARGET_MEMBERSHIP'!AR$5:AR$27,1))-SUMPRODUCT(--('93_TARGET_MEMBERSHIP'!AR$5:AR$27=-1),'05_FEATURE_MODEL'!AJ$5:AJ$27)/MAX(1,COUNTIF('93_TARGET_MEMBERSHIP'!AR$5:AR$27,-1))))</f>
        <v/>
      </c>
      <c r="AJ47" s="34">
        <f>IF($B47="ABSOLUTE SEMANTIC",ABS('06_ITEM_POLE_MODEL'!AS47),ABS('06_ITEM_POLE_MODEL'!AS47)*ABS(SUMPRODUCT(--('93_TARGET_MEMBERSHIP'!AR$5:AR$27=1),'05_FEATURE_MODEL'!AK$5:AK$27)/MAX(1,COUNTIF('93_TARGET_MEMBERSHIP'!AR$5:AR$27,1))-SUMPRODUCT(--('93_TARGET_MEMBERSHIP'!AR$5:AR$27=-1),'05_FEATURE_MODEL'!AK$5:AK$27)/MAX(1,COUNTIF('93_TARGET_MEMBERSHIP'!AR$5:AR$27,-1))))</f>
        <v/>
      </c>
      <c r="AK47" s="34">
        <f>IF($B47="ABSOLUTE SEMANTIC",ABS('06_ITEM_POLE_MODEL'!AT47),ABS('06_ITEM_POLE_MODEL'!AT47)*ABS(SUMPRODUCT(--('93_TARGET_MEMBERSHIP'!AR$5:AR$27=1),'05_FEATURE_MODEL'!AL$5:AL$27)/MAX(1,COUNTIF('93_TARGET_MEMBERSHIP'!AR$5:AR$27,1))-SUMPRODUCT(--('93_TARGET_MEMBERSHIP'!AR$5:AR$27=-1),'05_FEATURE_MODEL'!AL$5:AL$27)/MAX(1,COUNTIF('93_TARGET_MEMBERSHIP'!AR$5:AR$27,-1))))</f>
        <v/>
      </c>
      <c r="AL47" s="34">
        <f>IF($B47="ABSOLUTE SEMANTIC",ABS('06_ITEM_POLE_MODEL'!AU47),ABS('06_ITEM_POLE_MODEL'!AU47)*ABS(SUMPRODUCT(--('93_TARGET_MEMBERSHIP'!AR$5:AR$27=1),'05_FEATURE_MODEL'!AM$5:AM$27)/MAX(1,COUNTIF('93_TARGET_MEMBERSHIP'!AR$5:AR$27,1))-SUMPRODUCT(--('93_TARGET_MEMBERSHIP'!AR$5:AR$27=-1),'05_FEATURE_MODEL'!AM$5:AM$27)/MAX(1,COUNTIF('93_TARGET_MEMBERSHIP'!AR$5:AR$27,-1))))</f>
        <v/>
      </c>
      <c r="AM47" s="34">
        <f>IF($B47="ABSOLUTE SEMANTIC",ABS('06_ITEM_POLE_MODEL'!AV47),ABS('06_ITEM_POLE_MODEL'!AV47)*ABS(SUMPRODUCT(--('93_TARGET_MEMBERSHIP'!AR$5:AR$27=1),'05_FEATURE_MODEL'!AN$5:AN$27)/MAX(1,COUNTIF('93_TARGET_MEMBERSHIP'!AR$5:AR$27,1))-SUMPRODUCT(--('93_TARGET_MEMBERSHIP'!AR$5:AR$27=-1),'05_FEATURE_MODEL'!AN$5:AN$27)/MAX(1,COUNTIF('93_TARGET_MEMBERSHIP'!AR$5:AR$27,-1))))</f>
        <v/>
      </c>
      <c r="AN47" s="34">
        <f>IF($B47="ABSOLUTE SEMANTIC",ABS('06_ITEM_POLE_MODEL'!AW47),ABS('06_ITEM_POLE_MODEL'!AW47)*ABS(SUMPRODUCT(--('93_TARGET_MEMBERSHIP'!AR$5:AR$27=1),'05_FEATURE_MODEL'!AO$5:AO$27)/MAX(1,COUNTIF('93_TARGET_MEMBERSHIP'!AR$5:AR$27,1))-SUMPRODUCT(--('93_TARGET_MEMBERSHIP'!AR$5:AR$27=-1),'05_FEATURE_MODEL'!AO$5:AO$27)/MAX(1,COUNTIF('93_TARGET_MEMBERSHIP'!AR$5:AR$27,-1))))</f>
        <v/>
      </c>
      <c r="AO47" s="34">
        <f>IF($B47="ABSOLUTE SEMANTIC",ABS('06_ITEM_POLE_MODEL'!AX47),ABS('06_ITEM_POLE_MODEL'!AX47)*ABS(SUMPRODUCT(--('93_TARGET_MEMBERSHIP'!AR$5:AR$27=1),'05_FEATURE_MODEL'!AP$5:AP$27)/MAX(1,COUNTIF('93_TARGET_MEMBERSHIP'!AR$5:AR$27,1))-SUMPRODUCT(--('93_TARGET_MEMBERSHIP'!AR$5:AR$27=-1),'05_FEATURE_MODEL'!AP$5:AP$27)/MAX(1,COUNTIF('93_TARGET_MEMBERSHIP'!AR$5:AR$27,-1))))</f>
        <v/>
      </c>
      <c r="AP47" s="34">
        <f>IF($B47="ABSOLUTE SEMANTIC",ABS('06_ITEM_POLE_MODEL'!AY47),ABS('06_ITEM_POLE_MODEL'!AY47)*ABS(SUMPRODUCT(--('93_TARGET_MEMBERSHIP'!AR$5:AR$27=1),'05_FEATURE_MODEL'!AQ$5:AQ$27)/MAX(1,COUNTIF('93_TARGET_MEMBERSHIP'!AR$5:AR$27,1))-SUMPRODUCT(--('93_TARGET_MEMBERSHIP'!AR$5:AR$27=-1),'05_FEATURE_MODEL'!AQ$5:AQ$27)/MAX(1,COUNTIF('93_TARGET_MEMBERSHIP'!AR$5:AR$27,-1))))</f>
        <v/>
      </c>
      <c r="AQ47" s="34">
        <f>IF($B47="ABSOLUTE SEMANTIC",ABS('06_ITEM_POLE_MODEL'!AZ47),ABS('06_ITEM_POLE_MODEL'!AZ47)*ABS(SUMPRODUCT(--('93_TARGET_MEMBERSHIP'!AR$5:AR$27=1),'05_FEATURE_MODEL'!AR$5:AR$27)/MAX(1,COUNTIF('93_TARGET_MEMBERSHIP'!AR$5:AR$27,1))-SUMPRODUCT(--('93_TARGET_MEMBERSHIP'!AR$5:AR$27=-1),'05_FEATURE_MODEL'!AR$5:AR$27)/MAX(1,COUNTIF('93_TARGET_MEMBERSHIP'!AR$5:AR$27,-1))))</f>
        <v/>
      </c>
    </row>
    <row r="48" ht="36" customHeight="1">
      <c r="A48" s="34">
        <f>'06_ITEM_POLE_MODEL'!A48</f>
        <v/>
      </c>
      <c r="B48" s="34">
        <f>'06_ITEM_POLE_MODEL'!E48</f>
        <v/>
      </c>
      <c r="C48" s="34">
        <f>IF($B48="ABSOLUTE SEMANTIC",ABS('06_ITEM_POLE_MODEL'!L48),ABS('06_ITEM_POLE_MODEL'!L48)*ABS(SUMPRODUCT(--('93_TARGET_MEMBERSHIP'!AS$5:AS$27=1),'05_FEATURE_MODEL'!D$5:D$27)/MAX(1,COUNTIF('93_TARGET_MEMBERSHIP'!AS$5:AS$27,1))-SUMPRODUCT(--('93_TARGET_MEMBERSHIP'!AS$5:AS$27=-1),'05_FEATURE_MODEL'!D$5:D$27)/MAX(1,COUNTIF('93_TARGET_MEMBERSHIP'!AS$5:AS$27,-1))))</f>
        <v/>
      </c>
      <c r="D48" s="34">
        <f>IF($B48="ABSOLUTE SEMANTIC",ABS('06_ITEM_POLE_MODEL'!M48),ABS('06_ITEM_POLE_MODEL'!M48)*ABS(SUMPRODUCT(--('93_TARGET_MEMBERSHIP'!AS$5:AS$27=1),'05_FEATURE_MODEL'!E$5:E$27)/MAX(1,COUNTIF('93_TARGET_MEMBERSHIP'!AS$5:AS$27,1))-SUMPRODUCT(--('93_TARGET_MEMBERSHIP'!AS$5:AS$27=-1),'05_FEATURE_MODEL'!E$5:E$27)/MAX(1,COUNTIF('93_TARGET_MEMBERSHIP'!AS$5:AS$27,-1))))</f>
        <v/>
      </c>
      <c r="E48" s="34">
        <f>IF($B48="ABSOLUTE SEMANTIC",ABS('06_ITEM_POLE_MODEL'!N48),ABS('06_ITEM_POLE_MODEL'!N48)*ABS(SUMPRODUCT(--('93_TARGET_MEMBERSHIP'!AS$5:AS$27=1),'05_FEATURE_MODEL'!F$5:F$27)/MAX(1,COUNTIF('93_TARGET_MEMBERSHIP'!AS$5:AS$27,1))-SUMPRODUCT(--('93_TARGET_MEMBERSHIP'!AS$5:AS$27=-1),'05_FEATURE_MODEL'!F$5:F$27)/MAX(1,COUNTIF('93_TARGET_MEMBERSHIP'!AS$5:AS$27,-1))))</f>
        <v/>
      </c>
      <c r="F48" s="34">
        <f>IF($B48="ABSOLUTE SEMANTIC",ABS('06_ITEM_POLE_MODEL'!O48),ABS('06_ITEM_POLE_MODEL'!O48)*ABS(SUMPRODUCT(--('93_TARGET_MEMBERSHIP'!AS$5:AS$27=1),'05_FEATURE_MODEL'!G$5:G$27)/MAX(1,COUNTIF('93_TARGET_MEMBERSHIP'!AS$5:AS$27,1))-SUMPRODUCT(--('93_TARGET_MEMBERSHIP'!AS$5:AS$27=-1),'05_FEATURE_MODEL'!G$5:G$27)/MAX(1,COUNTIF('93_TARGET_MEMBERSHIP'!AS$5:AS$27,-1))))</f>
        <v/>
      </c>
      <c r="G48" s="34">
        <f>IF($B48="ABSOLUTE SEMANTIC",ABS('06_ITEM_POLE_MODEL'!P48),ABS('06_ITEM_POLE_MODEL'!P48)*ABS(SUMPRODUCT(--('93_TARGET_MEMBERSHIP'!AS$5:AS$27=1),'05_FEATURE_MODEL'!H$5:H$27)/MAX(1,COUNTIF('93_TARGET_MEMBERSHIP'!AS$5:AS$27,1))-SUMPRODUCT(--('93_TARGET_MEMBERSHIP'!AS$5:AS$27=-1),'05_FEATURE_MODEL'!H$5:H$27)/MAX(1,COUNTIF('93_TARGET_MEMBERSHIP'!AS$5:AS$27,-1))))</f>
        <v/>
      </c>
      <c r="H48" s="34">
        <f>IF($B48="ABSOLUTE SEMANTIC",ABS('06_ITEM_POLE_MODEL'!Q48),ABS('06_ITEM_POLE_MODEL'!Q48)*ABS(SUMPRODUCT(--('93_TARGET_MEMBERSHIP'!AS$5:AS$27=1),'05_FEATURE_MODEL'!I$5:I$27)/MAX(1,COUNTIF('93_TARGET_MEMBERSHIP'!AS$5:AS$27,1))-SUMPRODUCT(--('93_TARGET_MEMBERSHIP'!AS$5:AS$27=-1),'05_FEATURE_MODEL'!I$5:I$27)/MAX(1,COUNTIF('93_TARGET_MEMBERSHIP'!AS$5:AS$27,-1))))</f>
        <v/>
      </c>
      <c r="I48" s="34">
        <f>IF($B48="ABSOLUTE SEMANTIC",ABS('06_ITEM_POLE_MODEL'!R48),ABS('06_ITEM_POLE_MODEL'!R48)*ABS(SUMPRODUCT(--('93_TARGET_MEMBERSHIP'!AS$5:AS$27=1),'05_FEATURE_MODEL'!J$5:J$27)/MAX(1,COUNTIF('93_TARGET_MEMBERSHIP'!AS$5:AS$27,1))-SUMPRODUCT(--('93_TARGET_MEMBERSHIP'!AS$5:AS$27=-1),'05_FEATURE_MODEL'!J$5:J$27)/MAX(1,COUNTIF('93_TARGET_MEMBERSHIP'!AS$5:AS$27,-1))))</f>
        <v/>
      </c>
      <c r="J48" s="34">
        <f>IF($B48="ABSOLUTE SEMANTIC",ABS('06_ITEM_POLE_MODEL'!S48),ABS('06_ITEM_POLE_MODEL'!S48)*ABS(SUMPRODUCT(--('93_TARGET_MEMBERSHIP'!AS$5:AS$27=1),'05_FEATURE_MODEL'!K$5:K$27)/MAX(1,COUNTIF('93_TARGET_MEMBERSHIP'!AS$5:AS$27,1))-SUMPRODUCT(--('93_TARGET_MEMBERSHIP'!AS$5:AS$27=-1),'05_FEATURE_MODEL'!K$5:K$27)/MAX(1,COUNTIF('93_TARGET_MEMBERSHIP'!AS$5:AS$27,-1))))</f>
        <v/>
      </c>
      <c r="K48" s="34">
        <f>IF($B48="ABSOLUTE SEMANTIC",ABS('06_ITEM_POLE_MODEL'!T48),ABS('06_ITEM_POLE_MODEL'!T48)*ABS(SUMPRODUCT(--('93_TARGET_MEMBERSHIP'!AS$5:AS$27=1),'05_FEATURE_MODEL'!L$5:L$27)/MAX(1,COUNTIF('93_TARGET_MEMBERSHIP'!AS$5:AS$27,1))-SUMPRODUCT(--('93_TARGET_MEMBERSHIP'!AS$5:AS$27=-1),'05_FEATURE_MODEL'!L$5:L$27)/MAX(1,COUNTIF('93_TARGET_MEMBERSHIP'!AS$5:AS$27,-1))))</f>
        <v/>
      </c>
      <c r="L48" s="34">
        <f>IF($B48="ABSOLUTE SEMANTIC",ABS('06_ITEM_POLE_MODEL'!U48),ABS('06_ITEM_POLE_MODEL'!U48)*ABS(SUMPRODUCT(--('93_TARGET_MEMBERSHIP'!AS$5:AS$27=1),'05_FEATURE_MODEL'!M$5:M$27)/MAX(1,COUNTIF('93_TARGET_MEMBERSHIP'!AS$5:AS$27,1))-SUMPRODUCT(--('93_TARGET_MEMBERSHIP'!AS$5:AS$27=-1),'05_FEATURE_MODEL'!M$5:M$27)/MAX(1,COUNTIF('93_TARGET_MEMBERSHIP'!AS$5:AS$27,-1))))</f>
        <v/>
      </c>
      <c r="M48" s="34">
        <f>IF($B48="ABSOLUTE SEMANTIC",ABS('06_ITEM_POLE_MODEL'!V48),ABS('06_ITEM_POLE_MODEL'!V48)*ABS(SUMPRODUCT(--('93_TARGET_MEMBERSHIP'!AS$5:AS$27=1),'05_FEATURE_MODEL'!N$5:N$27)/MAX(1,COUNTIF('93_TARGET_MEMBERSHIP'!AS$5:AS$27,1))-SUMPRODUCT(--('93_TARGET_MEMBERSHIP'!AS$5:AS$27=-1),'05_FEATURE_MODEL'!N$5:N$27)/MAX(1,COUNTIF('93_TARGET_MEMBERSHIP'!AS$5:AS$27,-1))))</f>
        <v/>
      </c>
      <c r="N48" s="34">
        <f>IF($B48="ABSOLUTE SEMANTIC",ABS('06_ITEM_POLE_MODEL'!W48),ABS('06_ITEM_POLE_MODEL'!W48)*ABS(SUMPRODUCT(--('93_TARGET_MEMBERSHIP'!AS$5:AS$27=1),'05_FEATURE_MODEL'!O$5:O$27)/MAX(1,COUNTIF('93_TARGET_MEMBERSHIP'!AS$5:AS$27,1))-SUMPRODUCT(--('93_TARGET_MEMBERSHIP'!AS$5:AS$27=-1),'05_FEATURE_MODEL'!O$5:O$27)/MAX(1,COUNTIF('93_TARGET_MEMBERSHIP'!AS$5:AS$27,-1))))</f>
        <v/>
      </c>
      <c r="O48" s="34">
        <f>IF($B48="ABSOLUTE SEMANTIC",ABS('06_ITEM_POLE_MODEL'!X48),ABS('06_ITEM_POLE_MODEL'!X48)*ABS(SUMPRODUCT(--('93_TARGET_MEMBERSHIP'!AS$5:AS$27=1),'05_FEATURE_MODEL'!P$5:P$27)/MAX(1,COUNTIF('93_TARGET_MEMBERSHIP'!AS$5:AS$27,1))-SUMPRODUCT(--('93_TARGET_MEMBERSHIP'!AS$5:AS$27=-1),'05_FEATURE_MODEL'!P$5:P$27)/MAX(1,COUNTIF('93_TARGET_MEMBERSHIP'!AS$5:AS$27,-1))))</f>
        <v/>
      </c>
      <c r="P48" s="34">
        <f>IF($B48="ABSOLUTE SEMANTIC",ABS('06_ITEM_POLE_MODEL'!Y48),ABS('06_ITEM_POLE_MODEL'!Y48)*ABS(SUMPRODUCT(--('93_TARGET_MEMBERSHIP'!AS$5:AS$27=1),'05_FEATURE_MODEL'!Q$5:Q$27)/MAX(1,COUNTIF('93_TARGET_MEMBERSHIP'!AS$5:AS$27,1))-SUMPRODUCT(--('93_TARGET_MEMBERSHIP'!AS$5:AS$27=-1),'05_FEATURE_MODEL'!Q$5:Q$27)/MAX(1,COUNTIF('93_TARGET_MEMBERSHIP'!AS$5:AS$27,-1))))</f>
        <v/>
      </c>
      <c r="Q48" s="34">
        <f>IF($B48="ABSOLUTE SEMANTIC",ABS('06_ITEM_POLE_MODEL'!Z48),ABS('06_ITEM_POLE_MODEL'!Z48)*ABS(SUMPRODUCT(--('93_TARGET_MEMBERSHIP'!AS$5:AS$27=1),'05_FEATURE_MODEL'!R$5:R$27)/MAX(1,COUNTIF('93_TARGET_MEMBERSHIP'!AS$5:AS$27,1))-SUMPRODUCT(--('93_TARGET_MEMBERSHIP'!AS$5:AS$27=-1),'05_FEATURE_MODEL'!R$5:R$27)/MAX(1,COUNTIF('93_TARGET_MEMBERSHIP'!AS$5:AS$27,-1))))</f>
        <v/>
      </c>
      <c r="R48" s="34">
        <f>IF($B48="ABSOLUTE SEMANTIC",ABS('06_ITEM_POLE_MODEL'!AA48),ABS('06_ITEM_POLE_MODEL'!AA48)*ABS(SUMPRODUCT(--('93_TARGET_MEMBERSHIP'!AS$5:AS$27=1),'05_FEATURE_MODEL'!S$5:S$27)/MAX(1,COUNTIF('93_TARGET_MEMBERSHIP'!AS$5:AS$27,1))-SUMPRODUCT(--('93_TARGET_MEMBERSHIP'!AS$5:AS$27=-1),'05_FEATURE_MODEL'!S$5:S$27)/MAX(1,COUNTIF('93_TARGET_MEMBERSHIP'!AS$5:AS$27,-1))))</f>
        <v/>
      </c>
      <c r="S48" s="34">
        <f>IF($B48="ABSOLUTE SEMANTIC",ABS('06_ITEM_POLE_MODEL'!AB48),ABS('06_ITEM_POLE_MODEL'!AB48)*ABS(SUMPRODUCT(--('93_TARGET_MEMBERSHIP'!AS$5:AS$27=1),'05_FEATURE_MODEL'!T$5:T$27)/MAX(1,COUNTIF('93_TARGET_MEMBERSHIP'!AS$5:AS$27,1))-SUMPRODUCT(--('93_TARGET_MEMBERSHIP'!AS$5:AS$27=-1),'05_FEATURE_MODEL'!T$5:T$27)/MAX(1,COUNTIF('93_TARGET_MEMBERSHIP'!AS$5:AS$27,-1))))</f>
        <v/>
      </c>
      <c r="T48" s="34">
        <f>IF($B48="ABSOLUTE SEMANTIC",ABS('06_ITEM_POLE_MODEL'!AC48),ABS('06_ITEM_POLE_MODEL'!AC48)*ABS(SUMPRODUCT(--('93_TARGET_MEMBERSHIP'!AS$5:AS$27=1),'05_FEATURE_MODEL'!U$5:U$27)/MAX(1,COUNTIF('93_TARGET_MEMBERSHIP'!AS$5:AS$27,1))-SUMPRODUCT(--('93_TARGET_MEMBERSHIP'!AS$5:AS$27=-1),'05_FEATURE_MODEL'!U$5:U$27)/MAX(1,COUNTIF('93_TARGET_MEMBERSHIP'!AS$5:AS$27,-1))))</f>
        <v/>
      </c>
      <c r="U48" s="34">
        <f>IF($B48="ABSOLUTE SEMANTIC",ABS('06_ITEM_POLE_MODEL'!AD48),ABS('06_ITEM_POLE_MODEL'!AD48)*ABS(SUMPRODUCT(--('93_TARGET_MEMBERSHIP'!AS$5:AS$27=1),'05_FEATURE_MODEL'!V$5:V$27)/MAX(1,COUNTIF('93_TARGET_MEMBERSHIP'!AS$5:AS$27,1))-SUMPRODUCT(--('93_TARGET_MEMBERSHIP'!AS$5:AS$27=-1),'05_FEATURE_MODEL'!V$5:V$27)/MAX(1,COUNTIF('93_TARGET_MEMBERSHIP'!AS$5:AS$27,-1))))</f>
        <v/>
      </c>
      <c r="V48" s="34">
        <f>IF($B48="ABSOLUTE SEMANTIC",ABS('06_ITEM_POLE_MODEL'!AE48),ABS('06_ITEM_POLE_MODEL'!AE48)*ABS(SUMPRODUCT(--('93_TARGET_MEMBERSHIP'!AS$5:AS$27=1),'05_FEATURE_MODEL'!W$5:W$27)/MAX(1,COUNTIF('93_TARGET_MEMBERSHIP'!AS$5:AS$27,1))-SUMPRODUCT(--('93_TARGET_MEMBERSHIP'!AS$5:AS$27=-1),'05_FEATURE_MODEL'!W$5:W$27)/MAX(1,COUNTIF('93_TARGET_MEMBERSHIP'!AS$5:AS$27,-1))))</f>
        <v/>
      </c>
      <c r="W48" s="34">
        <f>IF($B48="ABSOLUTE SEMANTIC",ABS('06_ITEM_POLE_MODEL'!AF48),ABS('06_ITEM_POLE_MODEL'!AF48)*ABS(SUMPRODUCT(--('93_TARGET_MEMBERSHIP'!AS$5:AS$27=1),'05_FEATURE_MODEL'!X$5:X$27)/MAX(1,COUNTIF('93_TARGET_MEMBERSHIP'!AS$5:AS$27,1))-SUMPRODUCT(--('93_TARGET_MEMBERSHIP'!AS$5:AS$27=-1),'05_FEATURE_MODEL'!X$5:X$27)/MAX(1,COUNTIF('93_TARGET_MEMBERSHIP'!AS$5:AS$27,-1))))</f>
        <v/>
      </c>
      <c r="X48" s="34">
        <f>IF($B48="ABSOLUTE SEMANTIC",ABS('06_ITEM_POLE_MODEL'!AG48),ABS('06_ITEM_POLE_MODEL'!AG48)*ABS(SUMPRODUCT(--('93_TARGET_MEMBERSHIP'!AS$5:AS$27=1),'05_FEATURE_MODEL'!Y$5:Y$27)/MAX(1,COUNTIF('93_TARGET_MEMBERSHIP'!AS$5:AS$27,1))-SUMPRODUCT(--('93_TARGET_MEMBERSHIP'!AS$5:AS$27=-1),'05_FEATURE_MODEL'!Y$5:Y$27)/MAX(1,COUNTIF('93_TARGET_MEMBERSHIP'!AS$5:AS$27,-1))))</f>
        <v/>
      </c>
      <c r="Y48" s="34">
        <f>IF($B48="ABSOLUTE SEMANTIC",ABS('06_ITEM_POLE_MODEL'!AH48),ABS('06_ITEM_POLE_MODEL'!AH48)*ABS(SUMPRODUCT(--('93_TARGET_MEMBERSHIP'!AS$5:AS$27=1),'05_FEATURE_MODEL'!Z$5:Z$27)/MAX(1,COUNTIF('93_TARGET_MEMBERSHIP'!AS$5:AS$27,1))-SUMPRODUCT(--('93_TARGET_MEMBERSHIP'!AS$5:AS$27=-1),'05_FEATURE_MODEL'!Z$5:Z$27)/MAX(1,COUNTIF('93_TARGET_MEMBERSHIP'!AS$5:AS$27,-1))))</f>
        <v/>
      </c>
      <c r="Z48" s="34">
        <f>IF($B48="ABSOLUTE SEMANTIC",ABS('06_ITEM_POLE_MODEL'!AI48),ABS('06_ITEM_POLE_MODEL'!AI48)*ABS(SUMPRODUCT(--('93_TARGET_MEMBERSHIP'!AS$5:AS$27=1),'05_FEATURE_MODEL'!AA$5:AA$27)/MAX(1,COUNTIF('93_TARGET_MEMBERSHIP'!AS$5:AS$27,1))-SUMPRODUCT(--('93_TARGET_MEMBERSHIP'!AS$5:AS$27=-1),'05_FEATURE_MODEL'!AA$5:AA$27)/MAX(1,COUNTIF('93_TARGET_MEMBERSHIP'!AS$5:AS$27,-1))))</f>
        <v/>
      </c>
      <c r="AA48" s="34">
        <f>IF($B48="ABSOLUTE SEMANTIC",ABS('06_ITEM_POLE_MODEL'!AJ48),ABS('06_ITEM_POLE_MODEL'!AJ48)*ABS(SUMPRODUCT(--('93_TARGET_MEMBERSHIP'!AS$5:AS$27=1),'05_FEATURE_MODEL'!AB$5:AB$27)/MAX(1,COUNTIF('93_TARGET_MEMBERSHIP'!AS$5:AS$27,1))-SUMPRODUCT(--('93_TARGET_MEMBERSHIP'!AS$5:AS$27=-1),'05_FEATURE_MODEL'!AB$5:AB$27)/MAX(1,COUNTIF('93_TARGET_MEMBERSHIP'!AS$5:AS$27,-1))))</f>
        <v/>
      </c>
      <c r="AB48" s="34">
        <f>IF($B48="ABSOLUTE SEMANTIC",ABS('06_ITEM_POLE_MODEL'!AK48),ABS('06_ITEM_POLE_MODEL'!AK48)*ABS(SUMPRODUCT(--('93_TARGET_MEMBERSHIP'!AS$5:AS$27=1),'05_FEATURE_MODEL'!AC$5:AC$27)/MAX(1,COUNTIF('93_TARGET_MEMBERSHIP'!AS$5:AS$27,1))-SUMPRODUCT(--('93_TARGET_MEMBERSHIP'!AS$5:AS$27=-1),'05_FEATURE_MODEL'!AC$5:AC$27)/MAX(1,COUNTIF('93_TARGET_MEMBERSHIP'!AS$5:AS$27,-1))))</f>
        <v/>
      </c>
      <c r="AC48" s="34">
        <f>IF($B48="ABSOLUTE SEMANTIC",ABS('06_ITEM_POLE_MODEL'!AL48),ABS('06_ITEM_POLE_MODEL'!AL48)*ABS(SUMPRODUCT(--('93_TARGET_MEMBERSHIP'!AS$5:AS$27=1),'05_FEATURE_MODEL'!AD$5:AD$27)/MAX(1,COUNTIF('93_TARGET_MEMBERSHIP'!AS$5:AS$27,1))-SUMPRODUCT(--('93_TARGET_MEMBERSHIP'!AS$5:AS$27=-1),'05_FEATURE_MODEL'!AD$5:AD$27)/MAX(1,COUNTIF('93_TARGET_MEMBERSHIP'!AS$5:AS$27,-1))))</f>
        <v/>
      </c>
      <c r="AD48" s="34">
        <f>IF($B48="ABSOLUTE SEMANTIC",ABS('06_ITEM_POLE_MODEL'!AM48),ABS('06_ITEM_POLE_MODEL'!AM48)*ABS(SUMPRODUCT(--('93_TARGET_MEMBERSHIP'!AS$5:AS$27=1),'05_FEATURE_MODEL'!AE$5:AE$27)/MAX(1,COUNTIF('93_TARGET_MEMBERSHIP'!AS$5:AS$27,1))-SUMPRODUCT(--('93_TARGET_MEMBERSHIP'!AS$5:AS$27=-1),'05_FEATURE_MODEL'!AE$5:AE$27)/MAX(1,COUNTIF('93_TARGET_MEMBERSHIP'!AS$5:AS$27,-1))))</f>
        <v/>
      </c>
      <c r="AE48" s="34">
        <f>IF($B48="ABSOLUTE SEMANTIC",ABS('06_ITEM_POLE_MODEL'!AN48),ABS('06_ITEM_POLE_MODEL'!AN48)*ABS(SUMPRODUCT(--('93_TARGET_MEMBERSHIP'!AS$5:AS$27=1),'05_FEATURE_MODEL'!AF$5:AF$27)/MAX(1,COUNTIF('93_TARGET_MEMBERSHIP'!AS$5:AS$27,1))-SUMPRODUCT(--('93_TARGET_MEMBERSHIP'!AS$5:AS$27=-1),'05_FEATURE_MODEL'!AF$5:AF$27)/MAX(1,COUNTIF('93_TARGET_MEMBERSHIP'!AS$5:AS$27,-1))))</f>
        <v/>
      </c>
      <c r="AF48" s="34">
        <f>IF($B48="ABSOLUTE SEMANTIC",ABS('06_ITEM_POLE_MODEL'!AO48),ABS('06_ITEM_POLE_MODEL'!AO48)*ABS(SUMPRODUCT(--('93_TARGET_MEMBERSHIP'!AS$5:AS$27=1),'05_FEATURE_MODEL'!AG$5:AG$27)/MAX(1,COUNTIF('93_TARGET_MEMBERSHIP'!AS$5:AS$27,1))-SUMPRODUCT(--('93_TARGET_MEMBERSHIP'!AS$5:AS$27=-1),'05_FEATURE_MODEL'!AG$5:AG$27)/MAX(1,COUNTIF('93_TARGET_MEMBERSHIP'!AS$5:AS$27,-1))))</f>
        <v/>
      </c>
      <c r="AG48" s="34">
        <f>IF($B48="ABSOLUTE SEMANTIC",ABS('06_ITEM_POLE_MODEL'!AP48),ABS('06_ITEM_POLE_MODEL'!AP48)*ABS(SUMPRODUCT(--('93_TARGET_MEMBERSHIP'!AS$5:AS$27=1),'05_FEATURE_MODEL'!AH$5:AH$27)/MAX(1,COUNTIF('93_TARGET_MEMBERSHIP'!AS$5:AS$27,1))-SUMPRODUCT(--('93_TARGET_MEMBERSHIP'!AS$5:AS$27=-1),'05_FEATURE_MODEL'!AH$5:AH$27)/MAX(1,COUNTIF('93_TARGET_MEMBERSHIP'!AS$5:AS$27,-1))))</f>
        <v/>
      </c>
      <c r="AH48" s="34">
        <f>IF($B48="ABSOLUTE SEMANTIC",ABS('06_ITEM_POLE_MODEL'!AQ48),ABS('06_ITEM_POLE_MODEL'!AQ48)*ABS(SUMPRODUCT(--('93_TARGET_MEMBERSHIP'!AS$5:AS$27=1),'05_FEATURE_MODEL'!AI$5:AI$27)/MAX(1,COUNTIF('93_TARGET_MEMBERSHIP'!AS$5:AS$27,1))-SUMPRODUCT(--('93_TARGET_MEMBERSHIP'!AS$5:AS$27=-1),'05_FEATURE_MODEL'!AI$5:AI$27)/MAX(1,COUNTIF('93_TARGET_MEMBERSHIP'!AS$5:AS$27,-1))))</f>
        <v/>
      </c>
      <c r="AI48" s="34">
        <f>IF($B48="ABSOLUTE SEMANTIC",ABS('06_ITEM_POLE_MODEL'!AR48),ABS('06_ITEM_POLE_MODEL'!AR48)*ABS(SUMPRODUCT(--('93_TARGET_MEMBERSHIP'!AS$5:AS$27=1),'05_FEATURE_MODEL'!AJ$5:AJ$27)/MAX(1,COUNTIF('93_TARGET_MEMBERSHIP'!AS$5:AS$27,1))-SUMPRODUCT(--('93_TARGET_MEMBERSHIP'!AS$5:AS$27=-1),'05_FEATURE_MODEL'!AJ$5:AJ$27)/MAX(1,COUNTIF('93_TARGET_MEMBERSHIP'!AS$5:AS$27,-1))))</f>
        <v/>
      </c>
      <c r="AJ48" s="34">
        <f>IF($B48="ABSOLUTE SEMANTIC",ABS('06_ITEM_POLE_MODEL'!AS48),ABS('06_ITEM_POLE_MODEL'!AS48)*ABS(SUMPRODUCT(--('93_TARGET_MEMBERSHIP'!AS$5:AS$27=1),'05_FEATURE_MODEL'!AK$5:AK$27)/MAX(1,COUNTIF('93_TARGET_MEMBERSHIP'!AS$5:AS$27,1))-SUMPRODUCT(--('93_TARGET_MEMBERSHIP'!AS$5:AS$27=-1),'05_FEATURE_MODEL'!AK$5:AK$27)/MAX(1,COUNTIF('93_TARGET_MEMBERSHIP'!AS$5:AS$27,-1))))</f>
        <v/>
      </c>
      <c r="AK48" s="34">
        <f>IF($B48="ABSOLUTE SEMANTIC",ABS('06_ITEM_POLE_MODEL'!AT48),ABS('06_ITEM_POLE_MODEL'!AT48)*ABS(SUMPRODUCT(--('93_TARGET_MEMBERSHIP'!AS$5:AS$27=1),'05_FEATURE_MODEL'!AL$5:AL$27)/MAX(1,COUNTIF('93_TARGET_MEMBERSHIP'!AS$5:AS$27,1))-SUMPRODUCT(--('93_TARGET_MEMBERSHIP'!AS$5:AS$27=-1),'05_FEATURE_MODEL'!AL$5:AL$27)/MAX(1,COUNTIF('93_TARGET_MEMBERSHIP'!AS$5:AS$27,-1))))</f>
        <v/>
      </c>
      <c r="AL48" s="34">
        <f>IF($B48="ABSOLUTE SEMANTIC",ABS('06_ITEM_POLE_MODEL'!AU48),ABS('06_ITEM_POLE_MODEL'!AU48)*ABS(SUMPRODUCT(--('93_TARGET_MEMBERSHIP'!AS$5:AS$27=1),'05_FEATURE_MODEL'!AM$5:AM$27)/MAX(1,COUNTIF('93_TARGET_MEMBERSHIP'!AS$5:AS$27,1))-SUMPRODUCT(--('93_TARGET_MEMBERSHIP'!AS$5:AS$27=-1),'05_FEATURE_MODEL'!AM$5:AM$27)/MAX(1,COUNTIF('93_TARGET_MEMBERSHIP'!AS$5:AS$27,-1))))</f>
        <v/>
      </c>
      <c r="AM48" s="34">
        <f>IF($B48="ABSOLUTE SEMANTIC",ABS('06_ITEM_POLE_MODEL'!AV48),ABS('06_ITEM_POLE_MODEL'!AV48)*ABS(SUMPRODUCT(--('93_TARGET_MEMBERSHIP'!AS$5:AS$27=1),'05_FEATURE_MODEL'!AN$5:AN$27)/MAX(1,COUNTIF('93_TARGET_MEMBERSHIP'!AS$5:AS$27,1))-SUMPRODUCT(--('93_TARGET_MEMBERSHIP'!AS$5:AS$27=-1),'05_FEATURE_MODEL'!AN$5:AN$27)/MAX(1,COUNTIF('93_TARGET_MEMBERSHIP'!AS$5:AS$27,-1))))</f>
        <v/>
      </c>
      <c r="AN48" s="34">
        <f>IF($B48="ABSOLUTE SEMANTIC",ABS('06_ITEM_POLE_MODEL'!AW48),ABS('06_ITEM_POLE_MODEL'!AW48)*ABS(SUMPRODUCT(--('93_TARGET_MEMBERSHIP'!AS$5:AS$27=1),'05_FEATURE_MODEL'!AO$5:AO$27)/MAX(1,COUNTIF('93_TARGET_MEMBERSHIP'!AS$5:AS$27,1))-SUMPRODUCT(--('93_TARGET_MEMBERSHIP'!AS$5:AS$27=-1),'05_FEATURE_MODEL'!AO$5:AO$27)/MAX(1,COUNTIF('93_TARGET_MEMBERSHIP'!AS$5:AS$27,-1))))</f>
        <v/>
      </c>
      <c r="AO48" s="34">
        <f>IF($B48="ABSOLUTE SEMANTIC",ABS('06_ITEM_POLE_MODEL'!AX48),ABS('06_ITEM_POLE_MODEL'!AX48)*ABS(SUMPRODUCT(--('93_TARGET_MEMBERSHIP'!AS$5:AS$27=1),'05_FEATURE_MODEL'!AP$5:AP$27)/MAX(1,COUNTIF('93_TARGET_MEMBERSHIP'!AS$5:AS$27,1))-SUMPRODUCT(--('93_TARGET_MEMBERSHIP'!AS$5:AS$27=-1),'05_FEATURE_MODEL'!AP$5:AP$27)/MAX(1,COUNTIF('93_TARGET_MEMBERSHIP'!AS$5:AS$27,-1))))</f>
        <v/>
      </c>
      <c r="AP48" s="34">
        <f>IF($B48="ABSOLUTE SEMANTIC",ABS('06_ITEM_POLE_MODEL'!AY48),ABS('06_ITEM_POLE_MODEL'!AY48)*ABS(SUMPRODUCT(--('93_TARGET_MEMBERSHIP'!AS$5:AS$27=1),'05_FEATURE_MODEL'!AQ$5:AQ$27)/MAX(1,COUNTIF('93_TARGET_MEMBERSHIP'!AS$5:AS$27,1))-SUMPRODUCT(--('93_TARGET_MEMBERSHIP'!AS$5:AS$27=-1),'05_FEATURE_MODEL'!AQ$5:AQ$27)/MAX(1,COUNTIF('93_TARGET_MEMBERSHIP'!AS$5:AS$27,-1))))</f>
        <v/>
      </c>
      <c r="AQ48" s="34">
        <f>IF($B48="ABSOLUTE SEMANTIC",ABS('06_ITEM_POLE_MODEL'!AZ48),ABS('06_ITEM_POLE_MODEL'!AZ48)*ABS(SUMPRODUCT(--('93_TARGET_MEMBERSHIP'!AS$5:AS$27=1),'05_FEATURE_MODEL'!AR$5:AR$27)/MAX(1,COUNTIF('93_TARGET_MEMBERSHIP'!AS$5:AS$27,1))-SUMPRODUCT(--('93_TARGET_MEMBERSHIP'!AS$5:AS$27=-1),'05_FEATURE_MODEL'!AR$5:AR$27)/MAX(1,COUNTIF('93_TARGET_MEMBERSHIP'!AS$5:AS$27,-1))))</f>
        <v/>
      </c>
    </row>
    <row r="49" ht="36" customHeight="1">
      <c r="A49" s="34">
        <f>'06_ITEM_POLE_MODEL'!A49</f>
        <v/>
      </c>
      <c r="B49" s="34">
        <f>'06_ITEM_POLE_MODEL'!E49</f>
        <v/>
      </c>
      <c r="C49" s="34">
        <f>IF($B49="ABSOLUTE SEMANTIC",ABS('06_ITEM_POLE_MODEL'!L49),ABS('06_ITEM_POLE_MODEL'!L49)*ABS(SUMPRODUCT(--('93_TARGET_MEMBERSHIP'!AT$5:AT$27=1),'05_FEATURE_MODEL'!D$5:D$27)/MAX(1,COUNTIF('93_TARGET_MEMBERSHIP'!AT$5:AT$27,1))-SUMPRODUCT(--('93_TARGET_MEMBERSHIP'!AT$5:AT$27=-1),'05_FEATURE_MODEL'!D$5:D$27)/MAX(1,COUNTIF('93_TARGET_MEMBERSHIP'!AT$5:AT$27,-1))))</f>
        <v/>
      </c>
      <c r="D49" s="34">
        <f>IF($B49="ABSOLUTE SEMANTIC",ABS('06_ITEM_POLE_MODEL'!M49),ABS('06_ITEM_POLE_MODEL'!M49)*ABS(SUMPRODUCT(--('93_TARGET_MEMBERSHIP'!AT$5:AT$27=1),'05_FEATURE_MODEL'!E$5:E$27)/MAX(1,COUNTIF('93_TARGET_MEMBERSHIP'!AT$5:AT$27,1))-SUMPRODUCT(--('93_TARGET_MEMBERSHIP'!AT$5:AT$27=-1),'05_FEATURE_MODEL'!E$5:E$27)/MAX(1,COUNTIF('93_TARGET_MEMBERSHIP'!AT$5:AT$27,-1))))</f>
        <v/>
      </c>
      <c r="E49" s="34">
        <f>IF($B49="ABSOLUTE SEMANTIC",ABS('06_ITEM_POLE_MODEL'!N49),ABS('06_ITEM_POLE_MODEL'!N49)*ABS(SUMPRODUCT(--('93_TARGET_MEMBERSHIP'!AT$5:AT$27=1),'05_FEATURE_MODEL'!F$5:F$27)/MAX(1,COUNTIF('93_TARGET_MEMBERSHIP'!AT$5:AT$27,1))-SUMPRODUCT(--('93_TARGET_MEMBERSHIP'!AT$5:AT$27=-1),'05_FEATURE_MODEL'!F$5:F$27)/MAX(1,COUNTIF('93_TARGET_MEMBERSHIP'!AT$5:AT$27,-1))))</f>
        <v/>
      </c>
      <c r="F49" s="34">
        <f>IF($B49="ABSOLUTE SEMANTIC",ABS('06_ITEM_POLE_MODEL'!O49),ABS('06_ITEM_POLE_MODEL'!O49)*ABS(SUMPRODUCT(--('93_TARGET_MEMBERSHIP'!AT$5:AT$27=1),'05_FEATURE_MODEL'!G$5:G$27)/MAX(1,COUNTIF('93_TARGET_MEMBERSHIP'!AT$5:AT$27,1))-SUMPRODUCT(--('93_TARGET_MEMBERSHIP'!AT$5:AT$27=-1),'05_FEATURE_MODEL'!G$5:G$27)/MAX(1,COUNTIF('93_TARGET_MEMBERSHIP'!AT$5:AT$27,-1))))</f>
        <v/>
      </c>
      <c r="G49" s="34">
        <f>IF($B49="ABSOLUTE SEMANTIC",ABS('06_ITEM_POLE_MODEL'!P49),ABS('06_ITEM_POLE_MODEL'!P49)*ABS(SUMPRODUCT(--('93_TARGET_MEMBERSHIP'!AT$5:AT$27=1),'05_FEATURE_MODEL'!H$5:H$27)/MAX(1,COUNTIF('93_TARGET_MEMBERSHIP'!AT$5:AT$27,1))-SUMPRODUCT(--('93_TARGET_MEMBERSHIP'!AT$5:AT$27=-1),'05_FEATURE_MODEL'!H$5:H$27)/MAX(1,COUNTIF('93_TARGET_MEMBERSHIP'!AT$5:AT$27,-1))))</f>
        <v/>
      </c>
      <c r="H49" s="34">
        <f>IF($B49="ABSOLUTE SEMANTIC",ABS('06_ITEM_POLE_MODEL'!Q49),ABS('06_ITEM_POLE_MODEL'!Q49)*ABS(SUMPRODUCT(--('93_TARGET_MEMBERSHIP'!AT$5:AT$27=1),'05_FEATURE_MODEL'!I$5:I$27)/MAX(1,COUNTIF('93_TARGET_MEMBERSHIP'!AT$5:AT$27,1))-SUMPRODUCT(--('93_TARGET_MEMBERSHIP'!AT$5:AT$27=-1),'05_FEATURE_MODEL'!I$5:I$27)/MAX(1,COUNTIF('93_TARGET_MEMBERSHIP'!AT$5:AT$27,-1))))</f>
        <v/>
      </c>
      <c r="I49" s="34">
        <f>IF($B49="ABSOLUTE SEMANTIC",ABS('06_ITEM_POLE_MODEL'!R49),ABS('06_ITEM_POLE_MODEL'!R49)*ABS(SUMPRODUCT(--('93_TARGET_MEMBERSHIP'!AT$5:AT$27=1),'05_FEATURE_MODEL'!J$5:J$27)/MAX(1,COUNTIF('93_TARGET_MEMBERSHIP'!AT$5:AT$27,1))-SUMPRODUCT(--('93_TARGET_MEMBERSHIP'!AT$5:AT$27=-1),'05_FEATURE_MODEL'!J$5:J$27)/MAX(1,COUNTIF('93_TARGET_MEMBERSHIP'!AT$5:AT$27,-1))))</f>
        <v/>
      </c>
      <c r="J49" s="34">
        <f>IF($B49="ABSOLUTE SEMANTIC",ABS('06_ITEM_POLE_MODEL'!S49),ABS('06_ITEM_POLE_MODEL'!S49)*ABS(SUMPRODUCT(--('93_TARGET_MEMBERSHIP'!AT$5:AT$27=1),'05_FEATURE_MODEL'!K$5:K$27)/MAX(1,COUNTIF('93_TARGET_MEMBERSHIP'!AT$5:AT$27,1))-SUMPRODUCT(--('93_TARGET_MEMBERSHIP'!AT$5:AT$27=-1),'05_FEATURE_MODEL'!K$5:K$27)/MAX(1,COUNTIF('93_TARGET_MEMBERSHIP'!AT$5:AT$27,-1))))</f>
        <v/>
      </c>
      <c r="K49" s="34">
        <f>IF($B49="ABSOLUTE SEMANTIC",ABS('06_ITEM_POLE_MODEL'!T49),ABS('06_ITEM_POLE_MODEL'!T49)*ABS(SUMPRODUCT(--('93_TARGET_MEMBERSHIP'!AT$5:AT$27=1),'05_FEATURE_MODEL'!L$5:L$27)/MAX(1,COUNTIF('93_TARGET_MEMBERSHIP'!AT$5:AT$27,1))-SUMPRODUCT(--('93_TARGET_MEMBERSHIP'!AT$5:AT$27=-1),'05_FEATURE_MODEL'!L$5:L$27)/MAX(1,COUNTIF('93_TARGET_MEMBERSHIP'!AT$5:AT$27,-1))))</f>
        <v/>
      </c>
      <c r="L49" s="34">
        <f>IF($B49="ABSOLUTE SEMANTIC",ABS('06_ITEM_POLE_MODEL'!U49),ABS('06_ITEM_POLE_MODEL'!U49)*ABS(SUMPRODUCT(--('93_TARGET_MEMBERSHIP'!AT$5:AT$27=1),'05_FEATURE_MODEL'!M$5:M$27)/MAX(1,COUNTIF('93_TARGET_MEMBERSHIP'!AT$5:AT$27,1))-SUMPRODUCT(--('93_TARGET_MEMBERSHIP'!AT$5:AT$27=-1),'05_FEATURE_MODEL'!M$5:M$27)/MAX(1,COUNTIF('93_TARGET_MEMBERSHIP'!AT$5:AT$27,-1))))</f>
        <v/>
      </c>
      <c r="M49" s="34">
        <f>IF($B49="ABSOLUTE SEMANTIC",ABS('06_ITEM_POLE_MODEL'!V49),ABS('06_ITEM_POLE_MODEL'!V49)*ABS(SUMPRODUCT(--('93_TARGET_MEMBERSHIP'!AT$5:AT$27=1),'05_FEATURE_MODEL'!N$5:N$27)/MAX(1,COUNTIF('93_TARGET_MEMBERSHIP'!AT$5:AT$27,1))-SUMPRODUCT(--('93_TARGET_MEMBERSHIP'!AT$5:AT$27=-1),'05_FEATURE_MODEL'!N$5:N$27)/MAX(1,COUNTIF('93_TARGET_MEMBERSHIP'!AT$5:AT$27,-1))))</f>
        <v/>
      </c>
      <c r="N49" s="34">
        <f>IF($B49="ABSOLUTE SEMANTIC",ABS('06_ITEM_POLE_MODEL'!W49),ABS('06_ITEM_POLE_MODEL'!W49)*ABS(SUMPRODUCT(--('93_TARGET_MEMBERSHIP'!AT$5:AT$27=1),'05_FEATURE_MODEL'!O$5:O$27)/MAX(1,COUNTIF('93_TARGET_MEMBERSHIP'!AT$5:AT$27,1))-SUMPRODUCT(--('93_TARGET_MEMBERSHIP'!AT$5:AT$27=-1),'05_FEATURE_MODEL'!O$5:O$27)/MAX(1,COUNTIF('93_TARGET_MEMBERSHIP'!AT$5:AT$27,-1))))</f>
        <v/>
      </c>
      <c r="O49" s="34">
        <f>IF($B49="ABSOLUTE SEMANTIC",ABS('06_ITEM_POLE_MODEL'!X49),ABS('06_ITEM_POLE_MODEL'!X49)*ABS(SUMPRODUCT(--('93_TARGET_MEMBERSHIP'!AT$5:AT$27=1),'05_FEATURE_MODEL'!P$5:P$27)/MAX(1,COUNTIF('93_TARGET_MEMBERSHIP'!AT$5:AT$27,1))-SUMPRODUCT(--('93_TARGET_MEMBERSHIP'!AT$5:AT$27=-1),'05_FEATURE_MODEL'!P$5:P$27)/MAX(1,COUNTIF('93_TARGET_MEMBERSHIP'!AT$5:AT$27,-1))))</f>
        <v/>
      </c>
      <c r="P49" s="34">
        <f>IF($B49="ABSOLUTE SEMANTIC",ABS('06_ITEM_POLE_MODEL'!Y49),ABS('06_ITEM_POLE_MODEL'!Y49)*ABS(SUMPRODUCT(--('93_TARGET_MEMBERSHIP'!AT$5:AT$27=1),'05_FEATURE_MODEL'!Q$5:Q$27)/MAX(1,COUNTIF('93_TARGET_MEMBERSHIP'!AT$5:AT$27,1))-SUMPRODUCT(--('93_TARGET_MEMBERSHIP'!AT$5:AT$27=-1),'05_FEATURE_MODEL'!Q$5:Q$27)/MAX(1,COUNTIF('93_TARGET_MEMBERSHIP'!AT$5:AT$27,-1))))</f>
        <v/>
      </c>
      <c r="Q49" s="34">
        <f>IF($B49="ABSOLUTE SEMANTIC",ABS('06_ITEM_POLE_MODEL'!Z49),ABS('06_ITEM_POLE_MODEL'!Z49)*ABS(SUMPRODUCT(--('93_TARGET_MEMBERSHIP'!AT$5:AT$27=1),'05_FEATURE_MODEL'!R$5:R$27)/MAX(1,COUNTIF('93_TARGET_MEMBERSHIP'!AT$5:AT$27,1))-SUMPRODUCT(--('93_TARGET_MEMBERSHIP'!AT$5:AT$27=-1),'05_FEATURE_MODEL'!R$5:R$27)/MAX(1,COUNTIF('93_TARGET_MEMBERSHIP'!AT$5:AT$27,-1))))</f>
        <v/>
      </c>
      <c r="R49" s="34">
        <f>IF($B49="ABSOLUTE SEMANTIC",ABS('06_ITEM_POLE_MODEL'!AA49),ABS('06_ITEM_POLE_MODEL'!AA49)*ABS(SUMPRODUCT(--('93_TARGET_MEMBERSHIP'!AT$5:AT$27=1),'05_FEATURE_MODEL'!S$5:S$27)/MAX(1,COUNTIF('93_TARGET_MEMBERSHIP'!AT$5:AT$27,1))-SUMPRODUCT(--('93_TARGET_MEMBERSHIP'!AT$5:AT$27=-1),'05_FEATURE_MODEL'!S$5:S$27)/MAX(1,COUNTIF('93_TARGET_MEMBERSHIP'!AT$5:AT$27,-1))))</f>
        <v/>
      </c>
      <c r="S49" s="34">
        <f>IF($B49="ABSOLUTE SEMANTIC",ABS('06_ITEM_POLE_MODEL'!AB49),ABS('06_ITEM_POLE_MODEL'!AB49)*ABS(SUMPRODUCT(--('93_TARGET_MEMBERSHIP'!AT$5:AT$27=1),'05_FEATURE_MODEL'!T$5:T$27)/MAX(1,COUNTIF('93_TARGET_MEMBERSHIP'!AT$5:AT$27,1))-SUMPRODUCT(--('93_TARGET_MEMBERSHIP'!AT$5:AT$27=-1),'05_FEATURE_MODEL'!T$5:T$27)/MAX(1,COUNTIF('93_TARGET_MEMBERSHIP'!AT$5:AT$27,-1))))</f>
        <v/>
      </c>
      <c r="T49" s="34">
        <f>IF($B49="ABSOLUTE SEMANTIC",ABS('06_ITEM_POLE_MODEL'!AC49),ABS('06_ITEM_POLE_MODEL'!AC49)*ABS(SUMPRODUCT(--('93_TARGET_MEMBERSHIP'!AT$5:AT$27=1),'05_FEATURE_MODEL'!U$5:U$27)/MAX(1,COUNTIF('93_TARGET_MEMBERSHIP'!AT$5:AT$27,1))-SUMPRODUCT(--('93_TARGET_MEMBERSHIP'!AT$5:AT$27=-1),'05_FEATURE_MODEL'!U$5:U$27)/MAX(1,COUNTIF('93_TARGET_MEMBERSHIP'!AT$5:AT$27,-1))))</f>
        <v/>
      </c>
      <c r="U49" s="34">
        <f>IF($B49="ABSOLUTE SEMANTIC",ABS('06_ITEM_POLE_MODEL'!AD49),ABS('06_ITEM_POLE_MODEL'!AD49)*ABS(SUMPRODUCT(--('93_TARGET_MEMBERSHIP'!AT$5:AT$27=1),'05_FEATURE_MODEL'!V$5:V$27)/MAX(1,COUNTIF('93_TARGET_MEMBERSHIP'!AT$5:AT$27,1))-SUMPRODUCT(--('93_TARGET_MEMBERSHIP'!AT$5:AT$27=-1),'05_FEATURE_MODEL'!V$5:V$27)/MAX(1,COUNTIF('93_TARGET_MEMBERSHIP'!AT$5:AT$27,-1))))</f>
        <v/>
      </c>
      <c r="V49" s="34">
        <f>IF($B49="ABSOLUTE SEMANTIC",ABS('06_ITEM_POLE_MODEL'!AE49),ABS('06_ITEM_POLE_MODEL'!AE49)*ABS(SUMPRODUCT(--('93_TARGET_MEMBERSHIP'!AT$5:AT$27=1),'05_FEATURE_MODEL'!W$5:W$27)/MAX(1,COUNTIF('93_TARGET_MEMBERSHIP'!AT$5:AT$27,1))-SUMPRODUCT(--('93_TARGET_MEMBERSHIP'!AT$5:AT$27=-1),'05_FEATURE_MODEL'!W$5:W$27)/MAX(1,COUNTIF('93_TARGET_MEMBERSHIP'!AT$5:AT$27,-1))))</f>
        <v/>
      </c>
      <c r="W49" s="34">
        <f>IF($B49="ABSOLUTE SEMANTIC",ABS('06_ITEM_POLE_MODEL'!AF49),ABS('06_ITEM_POLE_MODEL'!AF49)*ABS(SUMPRODUCT(--('93_TARGET_MEMBERSHIP'!AT$5:AT$27=1),'05_FEATURE_MODEL'!X$5:X$27)/MAX(1,COUNTIF('93_TARGET_MEMBERSHIP'!AT$5:AT$27,1))-SUMPRODUCT(--('93_TARGET_MEMBERSHIP'!AT$5:AT$27=-1),'05_FEATURE_MODEL'!X$5:X$27)/MAX(1,COUNTIF('93_TARGET_MEMBERSHIP'!AT$5:AT$27,-1))))</f>
        <v/>
      </c>
      <c r="X49" s="34">
        <f>IF($B49="ABSOLUTE SEMANTIC",ABS('06_ITEM_POLE_MODEL'!AG49),ABS('06_ITEM_POLE_MODEL'!AG49)*ABS(SUMPRODUCT(--('93_TARGET_MEMBERSHIP'!AT$5:AT$27=1),'05_FEATURE_MODEL'!Y$5:Y$27)/MAX(1,COUNTIF('93_TARGET_MEMBERSHIP'!AT$5:AT$27,1))-SUMPRODUCT(--('93_TARGET_MEMBERSHIP'!AT$5:AT$27=-1),'05_FEATURE_MODEL'!Y$5:Y$27)/MAX(1,COUNTIF('93_TARGET_MEMBERSHIP'!AT$5:AT$27,-1))))</f>
        <v/>
      </c>
      <c r="Y49" s="34">
        <f>IF($B49="ABSOLUTE SEMANTIC",ABS('06_ITEM_POLE_MODEL'!AH49),ABS('06_ITEM_POLE_MODEL'!AH49)*ABS(SUMPRODUCT(--('93_TARGET_MEMBERSHIP'!AT$5:AT$27=1),'05_FEATURE_MODEL'!Z$5:Z$27)/MAX(1,COUNTIF('93_TARGET_MEMBERSHIP'!AT$5:AT$27,1))-SUMPRODUCT(--('93_TARGET_MEMBERSHIP'!AT$5:AT$27=-1),'05_FEATURE_MODEL'!Z$5:Z$27)/MAX(1,COUNTIF('93_TARGET_MEMBERSHIP'!AT$5:AT$27,-1))))</f>
        <v/>
      </c>
      <c r="Z49" s="34">
        <f>IF($B49="ABSOLUTE SEMANTIC",ABS('06_ITEM_POLE_MODEL'!AI49),ABS('06_ITEM_POLE_MODEL'!AI49)*ABS(SUMPRODUCT(--('93_TARGET_MEMBERSHIP'!AT$5:AT$27=1),'05_FEATURE_MODEL'!AA$5:AA$27)/MAX(1,COUNTIF('93_TARGET_MEMBERSHIP'!AT$5:AT$27,1))-SUMPRODUCT(--('93_TARGET_MEMBERSHIP'!AT$5:AT$27=-1),'05_FEATURE_MODEL'!AA$5:AA$27)/MAX(1,COUNTIF('93_TARGET_MEMBERSHIP'!AT$5:AT$27,-1))))</f>
        <v/>
      </c>
      <c r="AA49" s="34">
        <f>IF($B49="ABSOLUTE SEMANTIC",ABS('06_ITEM_POLE_MODEL'!AJ49),ABS('06_ITEM_POLE_MODEL'!AJ49)*ABS(SUMPRODUCT(--('93_TARGET_MEMBERSHIP'!AT$5:AT$27=1),'05_FEATURE_MODEL'!AB$5:AB$27)/MAX(1,COUNTIF('93_TARGET_MEMBERSHIP'!AT$5:AT$27,1))-SUMPRODUCT(--('93_TARGET_MEMBERSHIP'!AT$5:AT$27=-1),'05_FEATURE_MODEL'!AB$5:AB$27)/MAX(1,COUNTIF('93_TARGET_MEMBERSHIP'!AT$5:AT$27,-1))))</f>
        <v/>
      </c>
      <c r="AB49" s="34">
        <f>IF($B49="ABSOLUTE SEMANTIC",ABS('06_ITEM_POLE_MODEL'!AK49),ABS('06_ITEM_POLE_MODEL'!AK49)*ABS(SUMPRODUCT(--('93_TARGET_MEMBERSHIP'!AT$5:AT$27=1),'05_FEATURE_MODEL'!AC$5:AC$27)/MAX(1,COUNTIF('93_TARGET_MEMBERSHIP'!AT$5:AT$27,1))-SUMPRODUCT(--('93_TARGET_MEMBERSHIP'!AT$5:AT$27=-1),'05_FEATURE_MODEL'!AC$5:AC$27)/MAX(1,COUNTIF('93_TARGET_MEMBERSHIP'!AT$5:AT$27,-1))))</f>
        <v/>
      </c>
      <c r="AC49" s="34">
        <f>IF($B49="ABSOLUTE SEMANTIC",ABS('06_ITEM_POLE_MODEL'!AL49),ABS('06_ITEM_POLE_MODEL'!AL49)*ABS(SUMPRODUCT(--('93_TARGET_MEMBERSHIP'!AT$5:AT$27=1),'05_FEATURE_MODEL'!AD$5:AD$27)/MAX(1,COUNTIF('93_TARGET_MEMBERSHIP'!AT$5:AT$27,1))-SUMPRODUCT(--('93_TARGET_MEMBERSHIP'!AT$5:AT$27=-1),'05_FEATURE_MODEL'!AD$5:AD$27)/MAX(1,COUNTIF('93_TARGET_MEMBERSHIP'!AT$5:AT$27,-1))))</f>
        <v/>
      </c>
      <c r="AD49" s="34">
        <f>IF($B49="ABSOLUTE SEMANTIC",ABS('06_ITEM_POLE_MODEL'!AM49),ABS('06_ITEM_POLE_MODEL'!AM49)*ABS(SUMPRODUCT(--('93_TARGET_MEMBERSHIP'!AT$5:AT$27=1),'05_FEATURE_MODEL'!AE$5:AE$27)/MAX(1,COUNTIF('93_TARGET_MEMBERSHIP'!AT$5:AT$27,1))-SUMPRODUCT(--('93_TARGET_MEMBERSHIP'!AT$5:AT$27=-1),'05_FEATURE_MODEL'!AE$5:AE$27)/MAX(1,COUNTIF('93_TARGET_MEMBERSHIP'!AT$5:AT$27,-1))))</f>
        <v/>
      </c>
      <c r="AE49" s="34">
        <f>IF($B49="ABSOLUTE SEMANTIC",ABS('06_ITEM_POLE_MODEL'!AN49),ABS('06_ITEM_POLE_MODEL'!AN49)*ABS(SUMPRODUCT(--('93_TARGET_MEMBERSHIP'!AT$5:AT$27=1),'05_FEATURE_MODEL'!AF$5:AF$27)/MAX(1,COUNTIF('93_TARGET_MEMBERSHIP'!AT$5:AT$27,1))-SUMPRODUCT(--('93_TARGET_MEMBERSHIP'!AT$5:AT$27=-1),'05_FEATURE_MODEL'!AF$5:AF$27)/MAX(1,COUNTIF('93_TARGET_MEMBERSHIP'!AT$5:AT$27,-1))))</f>
        <v/>
      </c>
      <c r="AF49" s="34">
        <f>IF($B49="ABSOLUTE SEMANTIC",ABS('06_ITEM_POLE_MODEL'!AO49),ABS('06_ITEM_POLE_MODEL'!AO49)*ABS(SUMPRODUCT(--('93_TARGET_MEMBERSHIP'!AT$5:AT$27=1),'05_FEATURE_MODEL'!AG$5:AG$27)/MAX(1,COUNTIF('93_TARGET_MEMBERSHIP'!AT$5:AT$27,1))-SUMPRODUCT(--('93_TARGET_MEMBERSHIP'!AT$5:AT$27=-1),'05_FEATURE_MODEL'!AG$5:AG$27)/MAX(1,COUNTIF('93_TARGET_MEMBERSHIP'!AT$5:AT$27,-1))))</f>
        <v/>
      </c>
      <c r="AG49" s="34">
        <f>IF($B49="ABSOLUTE SEMANTIC",ABS('06_ITEM_POLE_MODEL'!AP49),ABS('06_ITEM_POLE_MODEL'!AP49)*ABS(SUMPRODUCT(--('93_TARGET_MEMBERSHIP'!AT$5:AT$27=1),'05_FEATURE_MODEL'!AH$5:AH$27)/MAX(1,COUNTIF('93_TARGET_MEMBERSHIP'!AT$5:AT$27,1))-SUMPRODUCT(--('93_TARGET_MEMBERSHIP'!AT$5:AT$27=-1),'05_FEATURE_MODEL'!AH$5:AH$27)/MAX(1,COUNTIF('93_TARGET_MEMBERSHIP'!AT$5:AT$27,-1))))</f>
        <v/>
      </c>
      <c r="AH49" s="34">
        <f>IF($B49="ABSOLUTE SEMANTIC",ABS('06_ITEM_POLE_MODEL'!AQ49),ABS('06_ITEM_POLE_MODEL'!AQ49)*ABS(SUMPRODUCT(--('93_TARGET_MEMBERSHIP'!AT$5:AT$27=1),'05_FEATURE_MODEL'!AI$5:AI$27)/MAX(1,COUNTIF('93_TARGET_MEMBERSHIP'!AT$5:AT$27,1))-SUMPRODUCT(--('93_TARGET_MEMBERSHIP'!AT$5:AT$27=-1),'05_FEATURE_MODEL'!AI$5:AI$27)/MAX(1,COUNTIF('93_TARGET_MEMBERSHIP'!AT$5:AT$27,-1))))</f>
        <v/>
      </c>
      <c r="AI49" s="34">
        <f>IF($B49="ABSOLUTE SEMANTIC",ABS('06_ITEM_POLE_MODEL'!AR49),ABS('06_ITEM_POLE_MODEL'!AR49)*ABS(SUMPRODUCT(--('93_TARGET_MEMBERSHIP'!AT$5:AT$27=1),'05_FEATURE_MODEL'!AJ$5:AJ$27)/MAX(1,COUNTIF('93_TARGET_MEMBERSHIP'!AT$5:AT$27,1))-SUMPRODUCT(--('93_TARGET_MEMBERSHIP'!AT$5:AT$27=-1),'05_FEATURE_MODEL'!AJ$5:AJ$27)/MAX(1,COUNTIF('93_TARGET_MEMBERSHIP'!AT$5:AT$27,-1))))</f>
        <v/>
      </c>
      <c r="AJ49" s="34">
        <f>IF($B49="ABSOLUTE SEMANTIC",ABS('06_ITEM_POLE_MODEL'!AS49),ABS('06_ITEM_POLE_MODEL'!AS49)*ABS(SUMPRODUCT(--('93_TARGET_MEMBERSHIP'!AT$5:AT$27=1),'05_FEATURE_MODEL'!AK$5:AK$27)/MAX(1,COUNTIF('93_TARGET_MEMBERSHIP'!AT$5:AT$27,1))-SUMPRODUCT(--('93_TARGET_MEMBERSHIP'!AT$5:AT$27=-1),'05_FEATURE_MODEL'!AK$5:AK$27)/MAX(1,COUNTIF('93_TARGET_MEMBERSHIP'!AT$5:AT$27,-1))))</f>
        <v/>
      </c>
      <c r="AK49" s="34">
        <f>IF($B49="ABSOLUTE SEMANTIC",ABS('06_ITEM_POLE_MODEL'!AT49),ABS('06_ITEM_POLE_MODEL'!AT49)*ABS(SUMPRODUCT(--('93_TARGET_MEMBERSHIP'!AT$5:AT$27=1),'05_FEATURE_MODEL'!AL$5:AL$27)/MAX(1,COUNTIF('93_TARGET_MEMBERSHIP'!AT$5:AT$27,1))-SUMPRODUCT(--('93_TARGET_MEMBERSHIP'!AT$5:AT$27=-1),'05_FEATURE_MODEL'!AL$5:AL$27)/MAX(1,COUNTIF('93_TARGET_MEMBERSHIP'!AT$5:AT$27,-1))))</f>
        <v/>
      </c>
      <c r="AL49" s="34">
        <f>IF($B49="ABSOLUTE SEMANTIC",ABS('06_ITEM_POLE_MODEL'!AU49),ABS('06_ITEM_POLE_MODEL'!AU49)*ABS(SUMPRODUCT(--('93_TARGET_MEMBERSHIP'!AT$5:AT$27=1),'05_FEATURE_MODEL'!AM$5:AM$27)/MAX(1,COUNTIF('93_TARGET_MEMBERSHIP'!AT$5:AT$27,1))-SUMPRODUCT(--('93_TARGET_MEMBERSHIP'!AT$5:AT$27=-1),'05_FEATURE_MODEL'!AM$5:AM$27)/MAX(1,COUNTIF('93_TARGET_MEMBERSHIP'!AT$5:AT$27,-1))))</f>
        <v/>
      </c>
      <c r="AM49" s="34">
        <f>IF($B49="ABSOLUTE SEMANTIC",ABS('06_ITEM_POLE_MODEL'!AV49),ABS('06_ITEM_POLE_MODEL'!AV49)*ABS(SUMPRODUCT(--('93_TARGET_MEMBERSHIP'!AT$5:AT$27=1),'05_FEATURE_MODEL'!AN$5:AN$27)/MAX(1,COUNTIF('93_TARGET_MEMBERSHIP'!AT$5:AT$27,1))-SUMPRODUCT(--('93_TARGET_MEMBERSHIP'!AT$5:AT$27=-1),'05_FEATURE_MODEL'!AN$5:AN$27)/MAX(1,COUNTIF('93_TARGET_MEMBERSHIP'!AT$5:AT$27,-1))))</f>
        <v/>
      </c>
      <c r="AN49" s="34">
        <f>IF($B49="ABSOLUTE SEMANTIC",ABS('06_ITEM_POLE_MODEL'!AW49),ABS('06_ITEM_POLE_MODEL'!AW49)*ABS(SUMPRODUCT(--('93_TARGET_MEMBERSHIP'!AT$5:AT$27=1),'05_FEATURE_MODEL'!AO$5:AO$27)/MAX(1,COUNTIF('93_TARGET_MEMBERSHIP'!AT$5:AT$27,1))-SUMPRODUCT(--('93_TARGET_MEMBERSHIP'!AT$5:AT$27=-1),'05_FEATURE_MODEL'!AO$5:AO$27)/MAX(1,COUNTIF('93_TARGET_MEMBERSHIP'!AT$5:AT$27,-1))))</f>
        <v/>
      </c>
      <c r="AO49" s="34">
        <f>IF($B49="ABSOLUTE SEMANTIC",ABS('06_ITEM_POLE_MODEL'!AX49),ABS('06_ITEM_POLE_MODEL'!AX49)*ABS(SUMPRODUCT(--('93_TARGET_MEMBERSHIP'!AT$5:AT$27=1),'05_FEATURE_MODEL'!AP$5:AP$27)/MAX(1,COUNTIF('93_TARGET_MEMBERSHIP'!AT$5:AT$27,1))-SUMPRODUCT(--('93_TARGET_MEMBERSHIP'!AT$5:AT$27=-1),'05_FEATURE_MODEL'!AP$5:AP$27)/MAX(1,COUNTIF('93_TARGET_MEMBERSHIP'!AT$5:AT$27,-1))))</f>
        <v/>
      </c>
      <c r="AP49" s="34">
        <f>IF($B49="ABSOLUTE SEMANTIC",ABS('06_ITEM_POLE_MODEL'!AY49),ABS('06_ITEM_POLE_MODEL'!AY49)*ABS(SUMPRODUCT(--('93_TARGET_MEMBERSHIP'!AT$5:AT$27=1),'05_FEATURE_MODEL'!AQ$5:AQ$27)/MAX(1,COUNTIF('93_TARGET_MEMBERSHIP'!AT$5:AT$27,1))-SUMPRODUCT(--('93_TARGET_MEMBERSHIP'!AT$5:AT$27=-1),'05_FEATURE_MODEL'!AQ$5:AQ$27)/MAX(1,COUNTIF('93_TARGET_MEMBERSHIP'!AT$5:AT$27,-1))))</f>
        <v/>
      </c>
      <c r="AQ49" s="34">
        <f>IF($B49="ABSOLUTE SEMANTIC",ABS('06_ITEM_POLE_MODEL'!AZ49),ABS('06_ITEM_POLE_MODEL'!AZ49)*ABS(SUMPRODUCT(--('93_TARGET_MEMBERSHIP'!AT$5:AT$27=1),'05_FEATURE_MODEL'!AR$5:AR$27)/MAX(1,COUNTIF('93_TARGET_MEMBERSHIP'!AT$5:AT$27,1))-SUMPRODUCT(--('93_TARGET_MEMBERSHIP'!AT$5:AT$27=-1),'05_FEATURE_MODEL'!AR$5:AR$27)/MAX(1,COUNTIF('93_TARGET_MEMBERSHIP'!AT$5:AT$27,-1))))</f>
        <v/>
      </c>
    </row>
    <row r="50" ht="36" customHeight="1">
      <c r="A50" s="34">
        <f>'06_ITEM_POLE_MODEL'!A50</f>
        <v/>
      </c>
      <c r="B50" s="34">
        <f>'06_ITEM_POLE_MODEL'!E50</f>
        <v/>
      </c>
      <c r="C50" s="34">
        <f>IF($B50="ABSOLUTE SEMANTIC",ABS('06_ITEM_POLE_MODEL'!L50),ABS('06_ITEM_POLE_MODEL'!L50)*ABS(SUMPRODUCT(--('93_TARGET_MEMBERSHIP'!AU$5:AU$27=1),'05_FEATURE_MODEL'!D$5:D$27)/MAX(1,COUNTIF('93_TARGET_MEMBERSHIP'!AU$5:AU$27,1))-SUMPRODUCT(--('93_TARGET_MEMBERSHIP'!AU$5:AU$27=-1),'05_FEATURE_MODEL'!D$5:D$27)/MAX(1,COUNTIF('93_TARGET_MEMBERSHIP'!AU$5:AU$27,-1))))</f>
        <v/>
      </c>
      <c r="D50" s="34">
        <f>IF($B50="ABSOLUTE SEMANTIC",ABS('06_ITEM_POLE_MODEL'!M50),ABS('06_ITEM_POLE_MODEL'!M50)*ABS(SUMPRODUCT(--('93_TARGET_MEMBERSHIP'!AU$5:AU$27=1),'05_FEATURE_MODEL'!E$5:E$27)/MAX(1,COUNTIF('93_TARGET_MEMBERSHIP'!AU$5:AU$27,1))-SUMPRODUCT(--('93_TARGET_MEMBERSHIP'!AU$5:AU$27=-1),'05_FEATURE_MODEL'!E$5:E$27)/MAX(1,COUNTIF('93_TARGET_MEMBERSHIP'!AU$5:AU$27,-1))))</f>
        <v/>
      </c>
      <c r="E50" s="34">
        <f>IF($B50="ABSOLUTE SEMANTIC",ABS('06_ITEM_POLE_MODEL'!N50),ABS('06_ITEM_POLE_MODEL'!N50)*ABS(SUMPRODUCT(--('93_TARGET_MEMBERSHIP'!AU$5:AU$27=1),'05_FEATURE_MODEL'!F$5:F$27)/MAX(1,COUNTIF('93_TARGET_MEMBERSHIP'!AU$5:AU$27,1))-SUMPRODUCT(--('93_TARGET_MEMBERSHIP'!AU$5:AU$27=-1),'05_FEATURE_MODEL'!F$5:F$27)/MAX(1,COUNTIF('93_TARGET_MEMBERSHIP'!AU$5:AU$27,-1))))</f>
        <v/>
      </c>
      <c r="F50" s="34">
        <f>IF($B50="ABSOLUTE SEMANTIC",ABS('06_ITEM_POLE_MODEL'!O50),ABS('06_ITEM_POLE_MODEL'!O50)*ABS(SUMPRODUCT(--('93_TARGET_MEMBERSHIP'!AU$5:AU$27=1),'05_FEATURE_MODEL'!G$5:G$27)/MAX(1,COUNTIF('93_TARGET_MEMBERSHIP'!AU$5:AU$27,1))-SUMPRODUCT(--('93_TARGET_MEMBERSHIP'!AU$5:AU$27=-1),'05_FEATURE_MODEL'!G$5:G$27)/MAX(1,COUNTIF('93_TARGET_MEMBERSHIP'!AU$5:AU$27,-1))))</f>
        <v/>
      </c>
      <c r="G50" s="34">
        <f>IF($B50="ABSOLUTE SEMANTIC",ABS('06_ITEM_POLE_MODEL'!P50),ABS('06_ITEM_POLE_MODEL'!P50)*ABS(SUMPRODUCT(--('93_TARGET_MEMBERSHIP'!AU$5:AU$27=1),'05_FEATURE_MODEL'!H$5:H$27)/MAX(1,COUNTIF('93_TARGET_MEMBERSHIP'!AU$5:AU$27,1))-SUMPRODUCT(--('93_TARGET_MEMBERSHIP'!AU$5:AU$27=-1),'05_FEATURE_MODEL'!H$5:H$27)/MAX(1,COUNTIF('93_TARGET_MEMBERSHIP'!AU$5:AU$27,-1))))</f>
        <v/>
      </c>
      <c r="H50" s="34">
        <f>IF($B50="ABSOLUTE SEMANTIC",ABS('06_ITEM_POLE_MODEL'!Q50),ABS('06_ITEM_POLE_MODEL'!Q50)*ABS(SUMPRODUCT(--('93_TARGET_MEMBERSHIP'!AU$5:AU$27=1),'05_FEATURE_MODEL'!I$5:I$27)/MAX(1,COUNTIF('93_TARGET_MEMBERSHIP'!AU$5:AU$27,1))-SUMPRODUCT(--('93_TARGET_MEMBERSHIP'!AU$5:AU$27=-1),'05_FEATURE_MODEL'!I$5:I$27)/MAX(1,COUNTIF('93_TARGET_MEMBERSHIP'!AU$5:AU$27,-1))))</f>
        <v/>
      </c>
      <c r="I50" s="34">
        <f>IF($B50="ABSOLUTE SEMANTIC",ABS('06_ITEM_POLE_MODEL'!R50),ABS('06_ITEM_POLE_MODEL'!R50)*ABS(SUMPRODUCT(--('93_TARGET_MEMBERSHIP'!AU$5:AU$27=1),'05_FEATURE_MODEL'!J$5:J$27)/MAX(1,COUNTIF('93_TARGET_MEMBERSHIP'!AU$5:AU$27,1))-SUMPRODUCT(--('93_TARGET_MEMBERSHIP'!AU$5:AU$27=-1),'05_FEATURE_MODEL'!J$5:J$27)/MAX(1,COUNTIF('93_TARGET_MEMBERSHIP'!AU$5:AU$27,-1))))</f>
        <v/>
      </c>
      <c r="J50" s="34">
        <f>IF($B50="ABSOLUTE SEMANTIC",ABS('06_ITEM_POLE_MODEL'!S50),ABS('06_ITEM_POLE_MODEL'!S50)*ABS(SUMPRODUCT(--('93_TARGET_MEMBERSHIP'!AU$5:AU$27=1),'05_FEATURE_MODEL'!K$5:K$27)/MAX(1,COUNTIF('93_TARGET_MEMBERSHIP'!AU$5:AU$27,1))-SUMPRODUCT(--('93_TARGET_MEMBERSHIP'!AU$5:AU$27=-1),'05_FEATURE_MODEL'!K$5:K$27)/MAX(1,COUNTIF('93_TARGET_MEMBERSHIP'!AU$5:AU$27,-1))))</f>
        <v/>
      </c>
      <c r="K50" s="34">
        <f>IF($B50="ABSOLUTE SEMANTIC",ABS('06_ITEM_POLE_MODEL'!T50),ABS('06_ITEM_POLE_MODEL'!T50)*ABS(SUMPRODUCT(--('93_TARGET_MEMBERSHIP'!AU$5:AU$27=1),'05_FEATURE_MODEL'!L$5:L$27)/MAX(1,COUNTIF('93_TARGET_MEMBERSHIP'!AU$5:AU$27,1))-SUMPRODUCT(--('93_TARGET_MEMBERSHIP'!AU$5:AU$27=-1),'05_FEATURE_MODEL'!L$5:L$27)/MAX(1,COUNTIF('93_TARGET_MEMBERSHIP'!AU$5:AU$27,-1))))</f>
        <v/>
      </c>
      <c r="L50" s="34">
        <f>IF($B50="ABSOLUTE SEMANTIC",ABS('06_ITEM_POLE_MODEL'!U50),ABS('06_ITEM_POLE_MODEL'!U50)*ABS(SUMPRODUCT(--('93_TARGET_MEMBERSHIP'!AU$5:AU$27=1),'05_FEATURE_MODEL'!M$5:M$27)/MAX(1,COUNTIF('93_TARGET_MEMBERSHIP'!AU$5:AU$27,1))-SUMPRODUCT(--('93_TARGET_MEMBERSHIP'!AU$5:AU$27=-1),'05_FEATURE_MODEL'!M$5:M$27)/MAX(1,COUNTIF('93_TARGET_MEMBERSHIP'!AU$5:AU$27,-1))))</f>
        <v/>
      </c>
      <c r="M50" s="34">
        <f>IF($B50="ABSOLUTE SEMANTIC",ABS('06_ITEM_POLE_MODEL'!V50),ABS('06_ITEM_POLE_MODEL'!V50)*ABS(SUMPRODUCT(--('93_TARGET_MEMBERSHIP'!AU$5:AU$27=1),'05_FEATURE_MODEL'!N$5:N$27)/MAX(1,COUNTIF('93_TARGET_MEMBERSHIP'!AU$5:AU$27,1))-SUMPRODUCT(--('93_TARGET_MEMBERSHIP'!AU$5:AU$27=-1),'05_FEATURE_MODEL'!N$5:N$27)/MAX(1,COUNTIF('93_TARGET_MEMBERSHIP'!AU$5:AU$27,-1))))</f>
        <v/>
      </c>
      <c r="N50" s="34">
        <f>IF($B50="ABSOLUTE SEMANTIC",ABS('06_ITEM_POLE_MODEL'!W50),ABS('06_ITEM_POLE_MODEL'!W50)*ABS(SUMPRODUCT(--('93_TARGET_MEMBERSHIP'!AU$5:AU$27=1),'05_FEATURE_MODEL'!O$5:O$27)/MAX(1,COUNTIF('93_TARGET_MEMBERSHIP'!AU$5:AU$27,1))-SUMPRODUCT(--('93_TARGET_MEMBERSHIP'!AU$5:AU$27=-1),'05_FEATURE_MODEL'!O$5:O$27)/MAX(1,COUNTIF('93_TARGET_MEMBERSHIP'!AU$5:AU$27,-1))))</f>
        <v/>
      </c>
      <c r="O50" s="34">
        <f>IF($B50="ABSOLUTE SEMANTIC",ABS('06_ITEM_POLE_MODEL'!X50),ABS('06_ITEM_POLE_MODEL'!X50)*ABS(SUMPRODUCT(--('93_TARGET_MEMBERSHIP'!AU$5:AU$27=1),'05_FEATURE_MODEL'!P$5:P$27)/MAX(1,COUNTIF('93_TARGET_MEMBERSHIP'!AU$5:AU$27,1))-SUMPRODUCT(--('93_TARGET_MEMBERSHIP'!AU$5:AU$27=-1),'05_FEATURE_MODEL'!P$5:P$27)/MAX(1,COUNTIF('93_TARGET_MEMBERSHIP'!AU$5:AU$27,-1))))</f>
        <v/>
      </c>
      <c r="P50" s="34">
        <f>IF($B50="ABSOLUTE SEMANTIC",ABS('06_ITEM_POLE_MODEL'!Y50),ABS('06_ITEM_POLE_MODEL'!Y50)*ABS(SUMPRODUCT(--('93_TARGET_MEMBERSHIP'!AU$5:AU$27=1),'05_FEATURE_MODEL'!Q$5:Q$27)/MAX(1,COUNTIF('93_TARGET_MEMBERSHIP'!AU$5:AU$27,1))-SUMPRODUCT(--('93_TARGET_MEMBERSHIP'!AU$5:AU$27=-1),'05_FEATURE_MODEL'!Q$5:Q$27)/MAX(1,COUNTIF('93_TARGET_MEMBERSHIP'!AU$5:AU$27,-1))))</f>
        <v/>
      </c>
      <c r="Q50" s="34">
        <f>IF($B50="ABSOLUTE SEMANTIC",ABS('06_ITEM_POLE_MODEL'!Z50),ABS('06_ITEM_POLE_MODEL'!Z50)*ABS(SUMPRODUCT(--('93_TARGET_MEMBERSHIP'!AU$5:AU$27=1),'05_FEATURE_MODEL'!R$5:R$27)/MAX(1,COUNTIF('93_TARGET_MEMBERSHIP'!AU$5:AU$27,1))-SUMPRODUCT(--('93_TARGET_MEMBERSHIP'!AU$5:AU$27=-1),'05_FEATURE_MODEL'!R$5:R$27)/MAX(1,COUNTIF('93_TARGET_MEMBERSHIP'!AU$5:AU$27,-1))))</f>
        <v/>
      </c>
      <c r="R50" s="34">
        <f>IF($B50="ABSOLUTE SEMANTIC",ABS('06_ITEM_POLE_MODEL'!AA50),ABS('06_ITEM_POLE_MODEL'!AA50)*ABS(SUMPRODUCT(--('93_TARGET_MEMBERSHIP'!AU$5:AU$27=1),'05_FEATURE_MODEL'!S$5:S$27)/MAX(1,COUNTIF('93_TARGET_MEMBERSHIP'!AU$5:AU$27,1))-SUMPRODUCT(--('93_TARGET_MEMBERSHIP'!AU$5:AU$27=-1),'05_FEATURE_MODEL'!S$5:S$27)/MAX(1,COUNTIF('93_TARGET_MEMBERSHIP'!AU$5:AU$27,-1))))</f>
        <v/>
      </c>
      <c r="S50" s="34">
        <f>IF($B50="ABSOLUTE SEMANTIC",ABS('06_ITEM_POLE_MODEL'!AB50),ABS('06_ITEM_POLE_MODEL'!AB50)*ABS(SUMPRODUCT(--('93_TARGET_MEMBERSHIP'!AU$5:AU$27=1),'05_FEATURE_MODEL'!T$5:T$27)/MAX(1,COUNTIF('93_TARGET_MEMBERSHIP'!AU$5:AU$27,1))-SUMPRODUCT(--('93_TARGET_MEMBERSHIP'!AU$5:AU$27=-1),'05_FEATURE_MODEL'!T$5:T$27)/MAX(1,COUNTIF('93_TARGET_MEMBERSHIP'!AU$5:AU$27,-1))))</f>
        <v/>
      </c>
      <c r="T50" s="34">
        <f>IF($B50="ABSOLUTE SEMANTIC",ABS('06_ITEM_POLE_MODEL'!AC50),ABS('06_ITEM_POLE_MODEL'!AC50)*ABS(SUMPRODUCT(--('93_TARGET_MEMBERSHIP'!AU$5:AU$27=1),'05_FEATURE_MODEL'!U$5:U$27)/MAX(1,COUNTIF('93_TARGET_MEMBERSHIP'!AU$5:AU$27,1))-SUMPRODUCT(--('93_TARGET_MEMBERSHIP'!AU$5:AU$27=-1),'05_FEATURE_MODEL'!U$5:U$27)/MAX(1,COUNTIF('93_TARGET_MEMBERSHIP'!AU$5:AU$27,-1))))</f>
        <v/>
      </c>
      <c r="U50" s="34">
        <f>IF($B50="ABSOLUTE SEMANTIC",ABS('06_ITEM_POLE_MODEL'!AD50),ABS('06_ITEM_POLE_MODEL'!AD50)*ABS(SUMPRODUCT(--('93_TARGET_MEMBERSHIP'!AU$5:AU$27=1),'05_FEATURE_MODEL'!V$5:V$27)/MAX(1,COUNTIF('93_TARGET_MEMBERSHIP'!AU$5:AU$27,1))-SUMPRODUCT(--('93_TARGET_MEMBERSHIP'!AU$5:AU$27=-1),'05_FEATURE_MODEL'!V$5:V$27)/MAX(1,COUNTIF('93_TARGET_MEMBERSHIP'!AU$5:AU$27,-1))))</f>
        <v/>
      </c>
      <c r="V50" s="34">
        <f>IF($B50="ABSOLUTE SEMANTIC",ABS('06_ITEM_POLE_MODEL'!AE50),ABS('06_ITEM_POLE_MODEL'!AE50)*ABS(SUMPRODUCT(--('93_TARGET_MEMBERSHIP'!AU$5:AU$27=1),'05_FEATURE_MODEL'!W$5:W$27)/MAX(1,COUNTIF('93_TARGET_MEMBERSHIP'!AU$5:AU$27,1))-SUMPRODUCT(--('93_TARGET_MEMBERSHIP'!AU$5:AU$27=-1),'05_FEATURE_MODEL'!W$5:W$27)/MAX(1,COUNTIF('93_TARGET_MEMBERSHIP'!AU$5:AU$27,-1))))</f>
        <v/>
      </c>
      <c r="W50" s="34">
        <f>IF($B50="ABSOLUTE SEMANTIC",ABS('06_ITEM_POLE_MODEL'!AF50),ABS('06_ITEM_POLE_MODEL'!AF50)*ABS(SUMPRODUCT(--('93_TARGET_MEMBERSHIP'!AU$5:AU$27=1),'05_FEATURE_MODEL'!X$5:X$27)/MAX(1,COUNTIF('93_TARGET_MEMBERSHIP'!AU$5:AU$27,1))-SUMPRODUCT(--('93_TARGET_MEMBERSHIP'!AU$5:AU$27=-1),'05_FEATURE_MODEL'!X$5:X$27)/MAX(1,COUNTIF('93_TARGET_MEMBERSHIP'!AU$5:AU$27,-1))))</f>
        <v/>
      </c>
      <c r="X50" s="34">
        <f>IF($B50="ABSOLUTE SEMANTIC",ABS('06_ITEM_POLE_MODEL'!AG50),ABS('06_ITEM_POLE_MODEL'!AG50)*ABS(SUMPRODUCT(--('93_TARGET_MEMBERSHIP'!AU$5:AU$27=1),'05_FEATURE_MODEL'!Y$5:Y$27)/MAX(1,COUNTIF('93_TARGET_MEMBERSHIP'!AU$5:AU$27,1))-SUMPRODUCT(--('93_TARGET_MEMBERSHIP'!AU$5:AU$27=-1),'05_FEATURE_MODEL'!Y$5:Y$27)/MAX(1,COUNTIF('93_TARGET_MEMBERSHIP'!AU$5:AU$27,-1))))</f>
        <v/>
      </c>
      <c r="Y50" s="34">
        <f>IF($B50="ABSOLUTE SEMANTIC",ABS('06_ITEM_POLE_MODEL'!AH50),ABS('06_ITEM_POLE_MODEL'!AH50)*ABS(SUMPRODUCT(--('93_TARGET_MEMBERSHIP'!AU$5:AU$27=1),'05_FEATURE_MODEL'!Z$5:Z$27)/MAX(1,COUNTIF('93_TARGET_MEMBERSHIP'!AU$5:AU$27,1))-SUMPRODUCT(--('93_TARGET_MEMBERSHIP'!AU$5:AU$27=-1),'05_FEATURE_MODEL'!Z$5:Z$27)/MAX(1,COUNTIF('93_TARGET_MEMBERSHIP'!AU$5:AU$27,-1))))</f>
        <v/>
      </c>
      <c r="Z50" s="34">
        <f>IF($B50="ABSOLUTE SEMANTIC",ABS('06_ITEM_POLE_MODEL'!AI50),ABS('06_ITEM_POLE_MODEL'!AI50)*ABS(SUMPRODUCT(--('93_TARGET_MEMBERSHIP'!AU$5:AU$27=1),'05_FEATURE_MODEL'!AA$5:AA$27)/MAX(1,COUNTIF('93_TARGET_MEMBERSHIP'!AU$5:AU$27,1))-SUMPRODUCT(--('93_TARGET_MEMBERSHIP'!AU$5:AU$27=-1),'05_FEATURE_MODEL'!AA$5:AA$27)/MAX(1,COUNTIF('93_TARGET_MEMBERSHIP'!AU$5:AU$27,-1))))</f>
        <v/>
      </c>
      <c r="AA50" s="34">
        <f>IF($B50="ABSOLUTE SEMANTIC",ABS('06_ITEM_POLE_MODEL'!AJ50),ABS('06_ITEM_POLE_MODEL'!AJ50)*ABS(SUMPRODUCT(--('93_TARGET_MEMBERSHIP'!AU$5:AU$27=1),'05_FEATURE_MODEL'!AB$5:AB$27)/MAX(1,COUNTIF('93_TARGET_MEMBERSHIP'!AU$5:AU$27,1))-SUMPRODUCT(--('93_TARGET_MEMBERSHIP'!AU$5:AU$27=-1),'05_FEATURE_MODEL'!AB$5:AB$27)/MAX(1,COUNTIF('93_TARGET_MEMBERSHIP'!AU$5:AU$27,-1))))</f>
        <v/>
      </c>
      <c r="AB50" s="34">
        <f>IF($B50="ABSOLUTE SEMANTIC",ABS('06_ITEM_POLE_MODEL'!AK50),ABS('06_ITEM_POLE_MODEL'!AK50)*ABS(SUMPRODUCT(--('93_TARGET_MEMBERSHIP'!AU$5:AU$27=1),'05_FEATURE_MODEL'!AC$5:AC$27)/MAX(1,COUNTIF('93_TARGET_MEMBERSHIP'!AU$5:AU$27,1))-SUMPRODUCT(--('93_TARGET_MEMBERSHIP'!AU$5:AU$27=-1),'05_FEATURE_MODEL'!AC$5:AC$27)/MAX(1,COUNTIF('93_TARGET_MEMBERSHIP'!AU$5:AU$27,-1))))</f>
        <v/>
      </c>
      <c r="AC50" s="34">
        <f>IF($B50="ABSOLUTE SEMANTIC",ABS('06_ITEM_POLE_MODEL'!AL50),ABS('06_ITEM_POLE_MODEL'!AL50)*ABS(SUMPRODUCT(--('93_TARGET_MEMBERSHIP'!AU$5:AU$27=1),'05_FEATURE_MODEL'!AD$5:AD$27)/MAX(1,COUNTIF('93_TARGET_MEMBERSHIP'!AU$5:AU$27,1))-SUMPRODUCT(--('93_TARGET_MEMBERSHIP'!AU$5:AU$27=-1),'05_FEATURE_MODEL'!AD$5:AD$27)/MAX(1,COUNTIF('93_TARGET_MEMBERSHIP'!AU$5:AU$27,-1))))</f>
        <v/>
      </c>
      <c r="AD50" s="34">
        <f>IF($B50="ABSOLUTE SEMANTIC",ABS('06_ITEM_POLE_MODEL'!AM50),ABS('06_ITEM_POLE_MODEL'!AM50)*ABS(SUMPRODUCT(--('93_TARGET_MEMBERSHIP'!AU$5:AU$27=1),'05_FEATURE_MODEL'!AE$5:AE$27)/MAX(1,COUNTIF('93_TARGET_MEMBERSHIP'!AU$5:AU$27,1))-SUMPRODUCT(--('93_TARGET_MEMBERSHIP'!AU$5:AU$27=-1),'05_FEATURE_MODEL'!AE$5:AE$27)/MAX(1,COUNTIF('93_TARGET_MEMBERSHIP'!AU$5:AU$27,-1))))</f>
        <v/>
      </c>
      <c r="AE50" s="34">
        <f>IF($B50="ABSOLUTE SEMANTIC",ABS('06_ITEM_POLE_MODEL'!AN50),ABS('06_ITEM_POLE_MODEL'!AN50)*ABS(SUMPRODUCT(--('93_TARGET_MEMBERSHIP'!AU$5:AU$27=1),'05_FEATURE_MODEL'!AF$5:AF$27)/MAX(1,COUNTIF('93_TARGET_MEMBERSHIP'!AU$5:AU$27,1))-SUMPRODUCT(--('93_TARGET_MEMBERSHIP'!AU$5:AU$27=-1),'05_FEATURE_MODEL'!AF$5:AF$27)/MAX(1,COUNTIF('93_TARGET_MEMBERSHIP'!AU$5:AU$27,-1))))</f>
        <v/>
      </c>
      <c r="AF50" s="34">
        <f>IF($B50="ABSOLUTE SEMANTIC",ABS('06_ITEM_POLE_MODEL'!AO50),ABS('06_ITEM_POLE_MODEL'!AO50)*ABS(SUMPRODUCT(--('93_TARGET_MEMBERSHIP'!AU$5:AU$27=1),'05_FEATURE_MODEL'!AG$5:AG$27)/MAX(1,COUNTIF('93_TARGET_MEMBERSHIP'!AU$5:AU$27,1))-SUMPRODUCT(--('93_TARGET_MEMBERSHIP'!AU$5:AU$27=-1),'05_FEATURE_MODEL'!AG$5:AG$27)/MAX(1,COUNTIF('93_TARGET_MEMBERSHIP'!AU$5:AU$27,-1))))</f>
        <v/>
      </c>
      <c r="AG50" s="34">
        <f>IF($B50="ABSOLUTE SEMANTIC",ABS('06_ITEM_POLE_MODEL'!AP50),ABS('06_ITEM_POLE_MODEL'!AP50)*ABS(SUMPRODUCT(--('93_TARGET_MEMBERSHIP'!AU$5:AU$27=1),'05_FEATURE_MODEL'!AH$5:AH$27)/MAX(1,COUNTIF('93_TARGET_MEMBERSHIP'!AU$5:AU$27,1))-SUMPRODUCT(--('93_TARGET_MEMBERSHIP'!AU$5:AU$27=-1),'05_FEATURE_MODEL'!AH$5:AH$27)/MAX(1,COUNTIF('93_TARGET_MEMBERSHIP'!AU$5:AU$27,-1))))</f>
        <v/>
      </c>
      <c r="AH50" s="34">
        <f>IF($B50="ABSOLUTE SEMANTIC",ABS('06_ITEM_POLE_MODEL'!AQ50),ABS('06_ITEM_POLE_MODEL'!AQ50)*ABS(SUMPRODUCT(--('93_TARGET_MEMBERSHIP'!AU$5:AU$27=1),'05_FEATURE_MODEL'!AI$5:AI$27)/MAX(1,COUNTIF('93_TARGET_MEMBERSHIP'!AU$5:AU$27,1))-SUMPRODUCT(--('93_TARGET_MEMBERSHIP'!AU$5:AU$27=-1),'05_FEATURE_MODEL'!AI$5:AI$27)/MAX(1,COUNTIF('93_TARGET_MEMBERSHIP'!AU$5:AU$27,-1))))</f>
        <v/>
      </c>
      <c r="AI50" s="34">
        <f>IF($B50="ABSOLUTE SEMANTIC",ABS('06_ITEM_POLE_MODEL'!AR50),ABS('06_ITEM_POLE_MODEL'!AR50)*ABS(SUMPRODUCT(--('93_TARGET_MEMBERSHIP'!AU$5:AU$27=1),'05_FEATURE_MODEL'!AJ$5:AJ$27)/MAX(1,COUNTIF('93_TARGET_MEMBERSHIP'!AU$5:AU$27,1))-SUMPRODUCT(--('93_TARGET_MEMBERSHIP'!AU$5:AU$27=-1),'05_FEATURE_MODEL'!AJ$5:AJ$27)/MAX(1,COUNTIF('93_TARGET_MEMBERSHIP'!AU$5:AU$27,-1))))</f>
        <v/>
      </c>
      <c r="AJ50" s="34">
        <f>IF($B50="ABSOLUTE SEMANTIC",ABS('06_ITEM_POLE_MODEL'!AS50),ABS('06_ITEM_POLE_MODEL'!AS50)*ABS(SUMPRODUCT(--('93_TARGET_MEMBERSHIP'!AU$5:AU$27=1),'05_FEATURE_MODEL'!AK$5:AK$27)/MAX(1,COUNTIF('93_TARGET_MEMBERSHIP'!AU$5:AU$27,1))-SUMPRODUCT(--('93_TARGET_MEMBERSHIP'!AU$5:AU$27=-1),'05_FEATURE_MODEL'!AK$5:AK$27)/MAX(1,COUNTIF('93_TARGET_MEMBERSHIP'!AU$5:AU$27,-1))))</f>
        <v/>
      </c>
      <c r="AK50" s="34">
        <f>IF($B50="ABSOLUTE SEMANTIC",ABS('06_ITEM_POLE_MODEL'!AT50),ABS('06_ITEM_POLE_MODEL'!AT50)*ABS(SUMPRODUCT(--('93_TARGET_MEMBERSHIP'!AU$5:AU$27=1),'05_FEATURE_MODEL'!AL$5:AL$27)/MAX(1,COUNTIF('93_TARGET_MEMBERSHIP'!AU$5:AU$27,1))-SUMPRODUCT(--('93_TARGET_MEMBERSHIP'!AU$5:AU$27=-1),'05_FEATURE_MODEL'!AL$5:AL$27)/MAX(1,COUNTIF('93_TARGET_MEMBERSHIP'!AU$5:AU$27,-1))))</f>
        <v/>
      </c>
      <c r="AL50" s="34">
        <f>IF($B50="ABSOLUTE SEMANTIC",ABS('06_ITEM_POLE_MODEL'!AU50),ABS('06_ITEM_POLE_MODEL'!AU50)*ABS(SUMPRODUCT(--('93_TARGET_MEMBERSHIP'!AU$5:AU$27=1),'05_FEATURE_MODEL'!AM$5:AM$27)/MAX(1,COUNTIF('93_TARGET_MEMBERSHIP'!AU$5:AU$27,1))-SUMPRODUCT(--('93_TARGET_MEMBERSHIP'!AU$5:AU$27=-1),'05_FEATURE_MODEL'!AM$5:AM$27)/MAX(1,COUNTIF('93_TARGET_MEMBERSHIP'!AU$5:AU$27,-1))))</f>
        <v/>
      </c>
      <c r="AM50" s="34">
        <f>IF($B50="ABSOLUTE SEMANTIC",ABS('06_ITEM_POLE_MODEL'!AV50),ABS('06_ITEM_POLE_MODEL'!AV50)*ABS(SUMPRODUCT(--('93_TARGET_MEMBERSHIP'!AU$5:AU$27=1),'05_FEATURE_MODEL'!AN$5:AN$27)/MAX(1,COUNTIF('93_TARGET_MEMBERSHIP'!AU$5:AU$27,1))-SUMPRODUCT(--('93_TARGET_MEMBERSHIP'!AU$5:AU$27=-1),'05_FEATURE_MODEL'!AN$5:AN$27)/MAX(1,COUNTIF('93_TARGET_MEMBERSHIP'!AU$5:AU$27,-1))))</f>
        <v/>
      </c>
      <c r="AN50" s="34">
        <f>IF($B50="ABSOLUTE SEMANTIC",ABS('06_ITEM_POLE_MODEL'!AW50),ABS('06_ITEM_POLE_MODEL'!AW50)*ABS(SUMPRODUCT(--('93_TARGET_MEMBERSHIP'!AU$5:AU$27=1),'05_FEATURE_MODEL'!AO$5:AO$27)/MAX(1,COUNTIF('93_TARGET_MEMBERSHIP'!AU$5:AU$27,1))-SUMPRODUCT(--('93_TARGET_MEMBERSHIP'!AU$5:AU$27=-1),'05_FEATURE_MODEL'!AO$5:AO$27)/MAX(1,COUNTIF('93_TARGET_MEMBERSHIP'!AU$5:AU$27,-1))))</f>
        <v/>
      </c>
      <c r="AO50" s="34">
        <f>IF($B50="ABSOLUTE SEMANTIC",ABS('06_ITEM_POLE_MODEL'!AX50),ABS('06_ITEM_POLE_MODEL'!AX50)*ABS(SUMPRODUCT(--('93_TARGET_MEMBERSHIP'!AU$5:AU$27=1),'05_FEATURE_MODEL'!AP$5:AP$27)/MAX(1,COUNTIF('93_TARGET_MEMBERSHIP'!AU$5:AU$27,1))-SUMPRODUCT(--('93_TARGET_MEMBERSHIP'!AU$5:AU$27=-1),'05_FEATURE_MODEL'!AP$5:AP$27)/MAX(1,COUNTIF('93_TARGET_MEMBERSHIP'!AU$5:AU$27,-1))))</f>
        <v/>
      </c>
      <c r="AP50" s="34">
        <f>IF($B50="ABSOLUTE SEMANTIC",ABS('06_ITEM_POLE_MODEL'!AY50),ABS('06_ITEM_POLE_MODEL'!AY50)*ABS(SUMPRODUCT(--('93_TARGET_MEMBERSHIP'!AU$5:AU$27=1),'05_FEATURE_MODEL'!AQ$5:AQ$27)/MAX(1,COUNTIF('93_TARGET_MEMBERSHIP'!AU$5:AU$27,1))-SUMPRODUCT(--('93_TARGET_MEMBERSHIP'!AU$5:AU$27=-1),'05_FEATURE_MODEL'!AQ$5:AQ$27)/MAX(1,COUNTIF('93_TARGET_MEMBERSHIP'!AU$5:AU$27,-1))))</f>
        <v/>
      </c>
      <c r="AQ50" s="34">
        <f>IF($B50="ABSOLUTE SEMANTIC",ABS('06_ITEM_POLE_MODEL'!AZ50),ABS('06_ITEM_POLE_MODEL'!AZ50)*ABS(SUMPRODUCT(--('93_TARGET_MEMBERSHIP'!AU$5:AU$27=1),'05_FEATURE_MODEL'!AR$5:AR$27)/MAX(1,COUNTIF('93_TARGET_MEMBERSHIP'!AU$5:AU$27,1))-SUMPRODUCT(--('93_TARGET_MEMBERSHIP'!AU$5:AU$27=-1),'05_FEATURE_MODEL'!AR$5:AR$27)/MAX(1,COUNTIF('93_TARGET_MEMBERSHIP'!AU$5:AU$27,-1))))</f>
        <v/>
      </c>
    </row>
    <row r="51" ht="36" customHeight="1">
      <c r="A51" s="34">
        <f>'06_ITEM_POLE_MODEL'!A51</f>
        <v/>
      </c>
      <c r="B51" s="34">
        <f>'06_ITEM_POLE_MODEL'!E51</f>
        <v/>
      </c>
      <c r="C51" s="34">
        <f>IF($B51="ABSOLUTE SEMANTIC",ABS('06_ITEM_POLE_MODEL'!L51),ABS('06_ITEM_POLE_MODEL'!L51)*ABS(SUMPRODUCT(--('93_TARGET_MEMBERSHIP'!AV$5:AV$27=1),'05_FEATURE_MODEL'!D$5:D$27)/MAX(1,COUNTIF('93_TARGET_MEMBERSHIP'!AV$5:AV$27,1))-SUMPRODUCT(--('93_TARGET_MEMBERSHIP'!AV$5:AV$27=-1),'05_FEATURE_MODEL'!D$5:D$27)/MAX(1,COUNTIF('93_TARGET_MEMBERSHIP'!AV$5:AV$27,-1))))</f>
        <v/>
      </c>
      <c r="D51" s="34">
        <f>IF($B51="ABSOLUTE SEMANTIC",ABS('06_ITEM_POLE_MODEL'!M51),ABS('06_ITEM_POLE_MODEL'!M51)*ABS(SUMPRODUCT(--('93_TARGET_MEMBERSHIP'!AV$5:AV$27=1),'05_FEATURE_MODEL'!E$5:E$27)/MAX(1,COUNTIF('93_TARGET_MEMBERSHIP'!AV$5:AV$27,1))-SUMPRODUCT(--('93_TARGET_MEMBERSHIP'!AV$5:AV$27=-1),'05_FEATURE_MODEL'!E$5:E$27)/MAX(1,COUNTIF('93_TARGET_MEMBERSHIP'!AV$5:AV$27,-1))))</f>
        <v/>
      </c>
      <c r="E51" s="34">
        <f>IF($B51="ABSOLUTE SEMANTIC",ABS('06_ITEM_POLE_MODEL'!N51),ABS('06_ITEM_POLE_MODEL'!N51)*ABS(SUMPRODUCT(--('93_TARGET_MEMBERSHIP'!AV$5:AV$27=1),'05_FEATURE_MODEL'!F$5:F$27)/MAX(1,COUNTIF('93_TARGET_MEMBERSHIP'!AV$5:AV$27,1))-SUMPRODUCT(--('93_TARGET_MEMBERSHIP'!AV$5:AV$27=-1),'05_FEATURE_MODEL'!F$5:F$27)/MAX(1,COUNTIF('93_TARGET_MEMBERSHIP'!AV$5:AV$27,-1))))</f>
        <v/>
      </c>
      <c r="F51" s="34">
        <f>IF($B51="ABSOLUTE SEMANTIC",ABS('06_ITEM_POLE_MODEL'!O51),ABS('06_ITEM_POLE_MODEL'!O51)*ABS(SUMPRODUCT(--('93_TARGET_MEMBERSHIP'!AV$5:AV$27=1),'05_FEATURE_MODEL'!G$5:G$27)/MAX(1,COUNTIF('93_TARGET_MEMBERSHIP'!AV$5:AV$27,1))-SUMPRODUCT(--('93_TARGET_MEMBERSHIP'!AV$5:AV$27=-1),'05_FEATURE_MODEL'!G$5:G$27)/MAX(1,COUNTIF('93_TARGET_MEMBERSHIP'!AV$5:AV$27,-1))))</f>
        <v/>
      </c>
      <c r="G51" s="34">
        <f>IF($B51="ABSOLUTE SEMANTIC",ABS('06_ITEM_POLE_MODEL'!P51),ABS('06_ITEM_POLE_MODEL'!P51)*ABS(SUMPRODUCT(--('93_TARGET_MEMBERSHIP'!AV$5:AV$27=1),'05_FEATURE_MODEL'!H$5:H$27)/MAX(1,COUNTIF('93_TARGET_MEMBERSHIP'!AV$5:AV$27,1))-SUMPRODUCT(--('93_TARGET_MEMBERSHIP'!AV$5:AV$27=-1),'05_FEATURE_MODEL'!H$5:H$27)/MAX(1,COUNTIF('93_TARGET_MEMBERSHIP'!AV$5:AV$27,-1))))</f>
        <v/>
      </c>
      <c r="H51" s="34">
        <f>IF($B51="ABSOLUTE SEMANTIC",ABS('06_ITEM_POLE_MODEL'!Q51),ABS('06_ITEM_POLE_MODEL'!Q51)*ABS(SUMPRODUCT(--('93_TARGET_MEMBERSHIP'!AV$5:AV$27=1),'05_FEATURE_MODEL'!I$5:I$27)/MAX(1,COUNTIF('93_TARGET_MEMBERSHIP'!AV$5:AV$27,1))-SUMPRODUCT(--('93_TARGET_MEMBERSHIP'!AV$5:AV$27=-1),'05_FEATURE_MODEL'!I$5:I$27)/MAX(1,COUNTIF('93_TARGET_MEMBERSHIP'!AV$5:AV$27,-1))))</f>
        <v/>
      </c>
      <c r="I51" s="34">
        <f>IF($B51="ABSOLUTE SEMANTIC",ABS('06_ITEM_POLE_MODEL'!R51),ABS('06_ITEM_POLE_MODEL'!R51)*ABS(SUMPRODUCT(--('93_TARGET_MEMBERSHIP'!AV$5:AV$27=1),'05_FEATURE_MODEL'!J$5:J$27)/MAX(1,COUNTIF('93_TARGET_MEMBERSHIP'!AV$5:AV$27,1))-SUMPRODUCT(--('93_TARGET_MEMBERSHIP'!AV$5:AV$27=-1),'05_FEATURE_MODEL'!J$5:J$27)/MAX(1,COUNTIF('93_TARGET_MEMBERSHIP'!AV$5:AV$27,-1))))</f>
        <v/>
      </c>
      <c r="J51" s="34">
        <f>IF($B51="ABSOLUTE SEMANTIC",ABS('06_ITEM_POLE_MODEL'!S51),ABS('06_ITEM_POLE_MODEL'!S51)*ABS(SUMPRODUCT(--('93_TARGET_MEMBERSHIP'!AV$5:AV$27=1),'05_FEATURE_MODEL'!K$5:K$27)/MAX(1,COUNTIF('93_TARGET_MEMBERSHIP'!AV$5:AV$27,1))-SUMPRODUCT(--('93_TARGET_MEMBERSHIP'!AV$5:AV$27=-1),'05_FEATURE_MODEL'!K$5:K$27)/MAX(1,COUNTIF('93_TARGET_MEMBERSHIP'!AV$5:AV$27,-1))))</f>
        <v/>
      </c>
      <c r="K51" s="34">
        <f>IF($B51="ABSOLUTE SEMANTIC",ABS('06_ITEM_POLE_MODEL'!T51),ABS('06_ITEM_POLE_MODEL'!T51)*ABS(SUMPRODUCT(--('93_TARGET_MEMBERSHIP'!AV$5:AV$27=1),'05_FEATURE_MODEL'!L$5:L$27)/MAX(1,COUNTIF('93_TARGET_MEMBERSHIP'!AV$5:AV$27,1))-SUMPRODUCT(--('93_TARGET_MEMBERSHIP'!AV$5:AV$27=-1),'05_FEATURE_MODEL'!L$5:L$27)/MAX(1,COUNTIF('93_TARGET_MEMBERSHIP'!AV$5:AV$27,-1))))</f>
        <v/>
      </c>
      <c r="L51" s="34">
        <f>IF($B51="ABSOLUTE SEMANTIC",ABS('06_ITEM_POLE_MODEL'!U51),ABS('06_ITEM_POLE_MODEL'!U51)*ABS(SUMPRODUCT(--('93_TARGET_MEMBERSHIP'!AV$5:AV$27=1),'05_FEATURE_MODEL'!M$5:M$27)/MAX(1,COUNTIF('93_TARGET_MEMBERSHIP'!AV$5:AV$27,1))-SUMPRODUCT(--('93_TARGET_MEMBERSHIP'!AV$5:AV$27=-1),'05_FEATURE_MODEL'!M$5:M$27)/MAX(1,COUNTIF('93_TARGET_MEMBERSHIP'!AV$5:AV$27,-1))))</f>
        <v/>
      </c>
      <c r="M51" s="34">
        <f>IF($B51="ABSOLUTE SEMANTIC",ABS('06_ITEM_POLE_MODEL'!V51),ABS('06_ITEM_POLE_MODEL'!V51)*ABS(SUMPRODUCT(--('93_TARGET_MEMBERSHIP'!AV$5:AV$27=1),'05_FEATURE_MODEL'!N$5:N$27)/MAX(1,COUNTIF('93_TARGET_MEMBERSHIP'!AV$5:AV$27,1))-SUMPRODUCT(--('93_TARGET_MEMBERSHIP'!AV$5:AV$27=-1),'05_FEATURE_MODEL'!N$5:N$27)/MAX(1,COUNTIF('93_TARGET_MEMBERSHIP'!AV$5:AV$27,-1))))</f>
        <v/>
      </c>
      <c r="N51" s="34">
        <f>IF($B51="ABSOLUTE SEMANTIC",ABS('06_ITEM_POLE_MODEL'!W51),ABS('06_ITEM_POLE_MODEL'!W51)*ABS(SUMPRODUCT(--('93_TARGET_MEMBERSHIP'!AV$5:AV$27=1),'05_FEATURE_MODEL'!O$5:O$27)/MAX(1,COUNTIF('93_TARGET_MEMBERSHIP'!AV$5:AV$27,1))-SUMPRODUCT(--('93_TARGET_MEMBERSHIP'!AV$5:AV$27=-1),'05_FEATURE_MODEL'!O$5:O$27)/MAX(1,COUNTIF('93_TARGET_MEMBERSHIP'!AV$5:AV$27,-1))))</f>
        <v/>
      </c>
      <c r="O51" s="34">
        <f>IF($B51="ABSOLUTE SEMANTIC",ABS('06_ITEM_POLE_MODEL'!X51),ABS('06_ITEM_POLE_MODEL'!X51)*ABS(SUMPRODUCT(--('93_TARGET_MEMBERSHIP'!AV$5:AV$27=1),'05_FEATURE_MODEL'!P$5:P$27)/MAX(1,COUNTIF('93_TARGET_MEMBERSHIP'!AV$5:AV$27,1))-SUMPRODUCT(--('93_TARGET_MEMBERSHIP'!AV$5:AV$27=-1),'05_FEATURE_MODEL'!P$5:P$27)/MAX(1,COUNTIF('93_TARGET_MEMBERSHIP'!AV$5:AV$27,-1))))</f>
        <v/>
      </c>
      <c r="P51" s="34">
        <f>IF($B51="ABSOLUTE SEMANTIC",ABS('06_ITEM_POLE_MODEL'!Y51),ABS('06_ITEM_POLE_MODEL'!Y51)*ABS(SUMPRODUCT(--('93_TARGET_MEMBERSHIP'!AV$5:AV$27=1),'05_FEATURE_MODEL'!Q$5:Q$27)/MAX(1,COUNTIF('93_TARGET_MEMBERSHIP'!AV$5:AV$27,1))-SUMPRODUCT(--('93_TARGET_MEMBERSHIP'!AV$5:AV$27=-1),'05_FEATURE_MODEL'!Q$5:Q$27)/MAX(1,COUNTIF('93_TARGET_MEMBERSHIP'!AV$5:AV$27,-1))))</f>
        <v/>
      </c>
      <c r="Q51" s="34">
        <f>IF($B51="ABSOLUTE SEMANTIC",ABS('06_ITEM_POLE_MODEL'!Z51),ABS('06_ITEM_POLE_MODEL'!Z51)*ABS(SUMPRODUCT(--('93_TARGET_MEMBERSHIP'!AV$5:AV$27=1),'05_FEATURE_MODEL'!R$5:R$27)/MAX(1,COUNTIF('93_TARGET_MEMBERSHIP'!AV$5:AV$27,1))-SUMPRODUCT(--('93_TARGET_MEMBERSHIP'!AV$5:AV$27=-1),'05_FEATURE_MODEL'!R$5:R$27)/MAX(1,COUNTIF('93_TARGET_MEMBERSHIP'!AV$5:AV$27,-1))))</f>
        <v/>
      </c>
      <c r="R51" s="34">
        <f>IF($B51="ABSOLUTE SEMANTIC",ABS('06_ITEM_POLE_MODEL'!AA51),ABS('06_ITEM_POLE_MODEL'!AA51)*ABS(SUMPRODUCT(--('93_TARGET_MEMBERSHIP'!AV$5:AV$27=1),'05_FEATURE_MODEL'!S$5:S$27)/MAX(1,COUNTIF('93_TARGET_MEMBERSHIP'!AV$5:AV$27,1))-SUMPRODUCT(--('93_TARGET_MEMBERSHIP'!AV$5:AV$27=-1),'05_FEATURE_MODEL'!S$5:S$27)/MAX(1,COUNTIF('93_TARGET_MEMBERSHIP'!AV$5:AV$27,-1))))</f>
        <v/>
      </c>
      <c r="S51" s="34">
        <f>IF($B51="ABSOLUTE SEMANTIC",ABS('06_ITEM_POLE_MODEL'!AB51),ABS('06_ITEM_POLE_MODEL'!AB51)*ABS(SUMPRODUCT(--('93_TARGET_MEMBERSHIP'!AV$5:AV$27=1),'05_FEATURE_MODEL'!T$5:T$27)/MAX(1,COUNTIF('93_TARGET_MEMBERSHIP'!AV$5:AV$27,1))-SUMPRODUCT(--('93_TARGET_MEMBERSHIP'!AV$5:AV$27=-1),'05_FEATURE_MODEL'!T$5:T$27)/MAX(1,COUNTIF('93_TARGET_MEMBERSHIP'!AV$5:AV$27,-1))))</f>
        <v/>
      </c>
      <c r="T51" s="34">
        <f>IF($B51="ABSOLUTE SEMANTIC",ABS('06_ITEM_POLE_MODEL'!AC51),ABS('06_ITEM_POLE_MODEL'!AC51)*ABS(SUMPRODUCT(--('93_TARGET_MEMBERSHIP'!AV$5:AV$27=1),'05_FEATURE_MODEL'!U$5:U$27)/MAX(1,COUNTIF('93_TARGET_MEMBERSHIP'!AV$5:AV$27,1))-SUMPRODUCT(--('93_TARGET_MEMBERSHIP'!AV$5:AV$27=-1),'05_FEATURE_MODEL'!U$5:U$27)/MAX(1,COUNTIF('93_TARGET_MEMBERSHIP'!AV$5:AV$27,-1))))</f>
        <v/>
      </c>
      <c r="U51" s="34">
        <f>IF($B51="ABSOLUTE SEMANTIC",ABS('06_ITEM_POLE_MODEL'!AD51),ABS('06_ITEM_POLE_MODEL'!AD51)*ABS(SUMPRODUCT(--('93_TARGET_MEMBERSHIP'!AV$5:AV$27=1),'05_FEATURE_MODEL'!V$5:V$27)/MAX(1,COUNTIF('93_TARGET_MEMBERSHIP'!AV$5:AV$27,1))-SUMPRODUCT(--('93_TARGET_MEMBERSHIP'!AV$5:AV$27=-1),'05_FEATURE_MODEL'!V$5:V$27)/MAX(1,COUNTIF('93_TARGET_MEMBERSHIP'!AV$5:AV$27,-1))))</f>
        <v/>
      </c>
      <c r="V51" s="34">
        <f>IF($B51="ABSOLUTE SEMANTIC",ABS('06_ITEM_POLE_MODEL'!AE51),ABS('06_ITEM_POLE_MODEL'!AE51)*ABS(SUMPRODUCT(--('93_TARGET_MEMBERSHIP'!AV$5:AV$27=1),'05_FEATURE_MODEL'!W$5:W$27)/MAX(1,COUNTIF('93_TARGET_MEMBERSHIP'!AV$5:AV$27,1))-SUMPRODUCT(--('93_TARGET_MEMBERSHIP'!AV$5:AV$27=-1),'05_FEATURE_MODEL'!W$5:W$27)/MAX(1,COUNTIF('93_TARGET_MEMBERSHIP'!AV$5:AV$27,-1))))</f>
        <v/>
      </c>
      <c r="W51" s="34">
        <f>IF($B51="ABSOLUTE SEMANTIC",ABS('06_ITEM_POLE_MODEL'!AF51),ABS('06_ITEM_POLE_MODEL'!AF51)*ABS(SUMPRODUCT(--('93_TARGET_MEMBERSHIP'!AV$5:AV$27=1),'05_FEATURE_MODEL'!X$5:X$27)/MAX(1,COUNTIF('93_TARGET_MEMBERSHIP'!AV$5:AV$27,1))-SUMPRODUCT(--('93_TARGET_MEMBERSHIP'!AV$5:AV$27=-1),'05_FEATURE_MODEL'!X$5:X$27)/MAX(1,COUNTIF('93_TARGET_MEMBERSHIP'!AV$5:AV$27,-1))))</f>
        <v/>
      </c>
      <c r="X51" s="34">
        <f>IF($B51="ABSOLUTE SEMANTIC",ABS('06_ITEM_POLE_MODEL'!AG51),ABS('06_ITEM_POLE_MODEL'!AG51)*ABS(SUMPRODUCT(--('93_TARGET_MEMBERSHIP'!AV$5:AV$27=1),'05_FEATURE_MODEL'!Y$5:Y$27)/MAX(1,COUNTIF('93_TARGET_MEMBERSHIP'!AV$5:AV$27,1))-SUMPRODUCT(--('93_TARGET_MEMBERSHIP'!AV$5:AV$27=-1),'05_FEATURE_MODEL'!Y$5:Y$27)/MAX(1,COUNTIF('93_TARGET_MEMBERSHIP'!AV$5:AV$27,-1))))</f>
        <v/>
      </c>
      <c r="Y51" s="34">
        <f>IF($B51="ABSOLUTE SEMANTIC",ABS('06_ITEM_POLE_MODEL'!AH51),ABS('06_ITEM_POLE_MODEL'!AH51)*ABS(SUMPRODUCT(--('93_TARGET_MEMBERSHIP'!AV$5:AV$27=1),'05_FEATURE_MODEL'!Z$5:Z$27)/MAX(1,COUNTIF('93_TARGET_MEMBERSHIP'!AV$5:AV$27,1))-SUMPRODUCT(--('93_TARGET_MEMBERSHIP'!AV$5:AV$27=-1),'05_FEATURE_MODEL'!Z$5:Z$27)/MAX(1,COUNTIF('93_TARGET_MEMBERSHIP'!AV$5:AV$27,-1))))</f>
        <v/>
      </c>
      <c r="Z51" s="34">
        <f>IF($B51="ABSOLUTE SEMANTIC",ABS('06_ITEM_POLE_MODEL'!AI51),ABS('06_ITEM_POLE_MODEL'!AI51)*ABS(SUMPRODUCT(--('93_TARGET_MEMBERSHIP'!AV$5:AV$27=1),'05_FEATURE_MODEL'!AA$5:AA$27)/MAX(1,COUNTIF('93_TARGET_MEMBERSHIP'!AV$5:AV$27,1))-SUMPRODUCT(--('93_TARGET_MEMBERSHIP'!AV$5:AV$27=-1),'05_FEATURE_MODEL'!AA$5:AA$27)/MAX(1,COUNTIF('93_TARGET_MEMBERSHIP'!AV$5:AV$27,-1))))</f>
        <v/>
      </c>
      <c r="AA51" s="34">
        <f>IF($B51="ABSOLUTE SEMANTIC",ABS('06_ITEM_POLE_MODEL'!AJ51),ABS('06_ITEM_POLE_MODEL'!AJ51)*ABS(SUMPRODUCT(--('93_TARGET_MEMBERSHIP'!AV$5:AV$27=1),'05_FEATURE_MODEL'!AB$5:AB$27)/MAX(1,COUNTIF('93_TARGET_MEMBERSHIP'!AV$5:AV$27,1))-SUMPRODUCT(--('93_TARGET_MEMBERSHIP'!AV$5:AV$27=-1),'05_FEATURE_MODEL'!AB$5:AB$27)/MAX(1,COUNTIF('93_TARGET_MEMBERSHIP'!AV$5:AV$27,-1))))</f>
        <v/>
      </c>
      <c r="AB51" s="34">
        <f>IF($B51="ABSOLUTE SEMANTIC",ABS('06_ITEM_POLE_MODEL'!AK51),ABS('06_ITEM_POLE_MODEL'!AK51)*ABS(SUMPRODUCT(--('93_TARGET_MEMBERSHIP'!AV$5:AV$27=1),'05_FEATURE_MODEL'!AC$5:AC$27)/MAX(1,COUNTIF('93_TARGET_MEMBERSHIP'!AV$5:AV$27,1))-SUMPRODUCT(--('93_TARGET_MEMBERSHIP'!AV$5:AV$27=-1),'05_FEATURE_MODEL'!AC$5:AC$27)/MAX(1,COUNTIF('93_TARGET_MEMBERSHIP'!AV$5:AV$27,-1))))</f>
        <v/>
      </c>
      <c r="AC51" s="34">
        <f>IF($B51="ABSOLUTE SEMANTIC",ABS('06_ITEM_POLE_MODEL'!AL51),ABS('06_ITEM_POLE_MODEL'!AL51)*ABS(SUMPRODUCT(--('93_TARGET_MEMBERSHIP'!AV$5:AV$27=1),'05_FEATURE_MODEL'!AD$5:AD$27)/MAX(1,COUNTIF('93_TARGET_MEMBERSHIP'!AV$5:AV$27,1))-SUMPRODUCT(--('93_TARGET_MEMBERSHIP'!AV$5:AV$27=-1),'05_FEATURE_MODEL'!AD$5:AD$27)/MAX(1,COUNTIF('93_TARGET_MEMBERSHIP'!AV$5:AV$27,-1))))</f>
        <v/>
      </c>
      <c r="AD51" s="34">
        <f>IF($B51="ABSOLUTE SEMANTIC",ABS('06_ITEM_POLE_MODEL'!AM51),ABS('06_ITEM_POLE_MODEL'!AM51)*ABS(SUMPRODUCT(--('93_TARGET_MEMBERSHIP'!AV$5:AV$27=1),'05_FEATURE_MODEL'!AE$5:AE$27)/MAX(1,COUNTIF('93_TARGET_MEMBERSHIP'!AV$5:AV$27,1))-SUMPRODUCT(--('93_TARGET_MEMBERSHIP'!AV$5:AV$27=-1),'05_FEATURE_MODEL'!AE$5:AE$27)/MAX(1,COUNTIF('93_TARGET_MEMBERSHIP'!AV$5:AV$27,-1))))</f>
        <v/>
      </c>
      <c r="AE51" s="34">
        <f>IF($B51="ABSOLUTE SEMANTIC",ABS('06_ITEM_POLE_MODEL'!AN51),ABS('06_ITEM_POLE_MODEL'!AN51)*ABS(SUMPRODUCT(--('93_TARGET_MEMBERSHIP'!AV$5:AV$27=1),'05_FEATURE_MODEL'!AF$5:AF$27)/MAX(1,COUNTIF('93_TARGET_MEMBERSHIP'!AV$5:AV$27,1))-SUMPRODUCT(--('93_TARGET_MEMBERSHIP'!AV$5:AV$27=-1),'05_FEATURE_MODEL'!AF$5:AF$27)/MAX(1,COUNTIF('93_TARGET_MEMBERSHIP'!AV$5:AV$27,-1))))</f>
        <v/>
      </c>
      <c r="AF51" s="34">
        <f>IF($B51="ABSOLUTE SEMANTIC",ABS('06_ITEM_POLE_MODEL'!AO51),ABS('06_ITEM_POLE_MODEL'!AO51)*ABS(SUMPRODUCT(--('93_TARGET_MEMBERSHIP'!AV$5:AV$27=1),'05_FEATURE_MODEL'!AG$5:AG$27)/MAX(1,COUNTIF('93_TARGET_MEMBERSHIP'!AV$5:AV$27,1))-SUMPRODUCT(--('93_TARGET_MEMBERSHIP'!AV$5:AV$27=-1),'05_FEATURE_MODEL'!AG$5:AG$27)/MAX(1,COUNTIF('93_TARGET_MEMBERSHIP'!AV$5:AV$27,-1))))</f>
        <v/>
      </c>
      <c r="AG51" s="34">
        <f>IF($B51="ABSOLUTE SEMANTIC",ABS('06_ITEM_POLE_MODEL'!AP51),ABS('06_ITEM_POLE_MODEL'!AP51)*ABS(SUMPRODUCT(--('93_TARGET_MEMBERSHIP'!AV$5:AV$27=1),'05_FEATURE_MODEL'!AH$5:AH$27)/MAX(1,COUNTIF('93_TARGET_MEMBERSHIP'!AV$5:AV$27,1))-SUMPRODUCT(--('93_TARGET_MEMBERSHIP'!AV$5:AV$27=-1),'05_FEATURE_MODEL'!AH$5:AH$27)/MAX(1,COUNTIF('93_TARGET_MEMBERSHIP'!AV$5:AV$27,-1))))</f>
        <v/>
      </c>
      <c r="AH51" s="34">
        <f>IF($B51="ABSOLUTE SEMANTIC",ABS('06_ITEM_POLE_MODEL'!AQ51),ABS('06_ITEM_POLE_MODEL'!AQ51)*ABS(SUMPRODUCT(--('93_TARGET_MEMBERSHIP'!AV$5:AV$27=1),'05_FEATURE_MODEL'!AI$5:AI$27)/MAX(1,COUNTIF('93_TARGET_MEMBERSHIP'!AV$5:AV$27,1))-SUMPRODUCT(--('93_TARGET_MEMBERSHIP'!AV$5:AV$27=-1),'05_FEATURE_MODEL'!AI$5:AI$27)/MAX(1,COUNTIF('93_TARGET_MEMBERSHIP'!AV$5:AV$27,-1))))</f>
        <v/>
      </c>
      <c r="AI51" s="34">
        <f>IF($B51="ABSOLUTE SEMANTIC",ABS('06_ITEM_POLE_MODEL'!AR51),ABS('06_ITEM_POLE_MODEL'!AR51)*ABS(SUMPRODUCT(--('93_TARGET_MEMBERSHIP'!AV$5:AV$27=1),'05_FEATURE_MODEL'!AJ$5:AJ$27)/MAX(1,COUNTIF('93_TARGET_MEMBERSHIP'!AV$5:AV$27,1))-SUMPRODUCT(--('93_TARGET_MEMBERSHIP'!AV$5:AV$27=-1),'05_FEATURE_MODEL'!AJ$5:AJ$27)/MAX(1,COUNTIF('93_TARGET_MEMBERSHIP'!AV$5:AV$27,-1))))</f>
        <v/>
      </c>
      <c r="AJ51" s="34">
        <f>IF($B51="ABSOLUTE SEMANTIC",ABS('06_ITEM_POLE_MODEL'!AS51),ABS('06_ITEM_POLE_MODEL'!AS51)*ABS(SUMPRODUCT(--('93_TARGET_MEMBERSHIP'!AV$5:AV$27=1),'05_FEATURE_MODEL'!AK$5:AK$27)/MAX(1,COUNTIF('93_TARGET_MEMBERSHIP'!AV$5:AV$27,1))-SUMPRODUCT(--('93_TARGET_MEMBERSHIP'!AV$5:AV$27=-1),'05_FEATURE_MODEL'!AK$5:AK$27)/MAX(1,COUNTIF('93_TARGET_MEMBERSHIP'!AV$5:AV$27,-1))))</f>
        <v/>
      </c>
      <c r="AK51" s="34">
        <f>IF($B51="ABSOLUTE SEMANTIC",ABS('06_ITEM_POLE_MODEL'!AT51),ABS('06_ITEM_POLE_MODEL'!AT51)*ABS(SUMPRODUCT(--('93_TARGET_MEMBERSHIP'!AV$5:AV$27=1),'05_FEATURE_MODEL'!AL$5:AL$27)/MAX(1,COUNTIF('93_TARGET_MEMBERSHIP'!AV$5:AV$27,1))-SUMPRODUCT(--('93_TARGET_MEMBERSHIP'!AV$5:AV$27=-1),'05_FEATURE_MODEL'!AL$5:AL$27)/MAX(1,COUNTIF('93_TARGET_MEMBERSHIP'!AV$5:AV$27,-1))))</f>
        <v/>
      </c>
      <c r="AL51" s="34">
        <f>IF($B51="ABSOLUTE SEMANTIC",ABS('06_ITEM_POLE_MODEL'!AU51),ABS('06_ITEM_POLE_MODEL'!AU51)*ABS(SUMPRODUCT(--('93_TARGET_MEMBERSHIP'!AV$5:AV$27=1),'05_FEATURE_MODEL'!AM$5:AM$27)/MAX(1,COUNTIF('93_TARGET_MEMBERSHIP'!AV$5:AV$27,1))-SUMPRODUCT(--('93_TARGET_MEMBERSHIP'!AV$5:AV$27=-1),'05_FEATURE_MODEL'!AM$5:AM$27)/MAX(1,COUNTIF('93_TARGET_MEMBERSHIP'!AV$5:AV$27,-1))))</f>
        <v/>
      </c>
      <c r="AM51" s="34">
        <f>IF($B51="ABSOLUTE SEMANTIC",ABS('06_ITEM_POLE_MODEL'!AV51),ABS('06_ITEM_POLE_MODEL'!AV51)*ABS(SUMPRODUCT(--('93_TARGET_MEMBERSHIP'!AV$5:AV$27=1),'05_FEATURE_MODEL'!AN$5:AN$27)/MAX(1,COUNTIF('93_TARGET_MEMBERSHIP'!AV$5:AV$27,1))-SUMPRODUCT(--('93_TARGET_MEMBERSHIP'!AV$5:AV$27=-1),'05_FEATURE_MODEL'!AN$5:AN$27)/MAX(1,COUNTIF('93_TARGET_MEMBERSHIP'!AV$5:AV$27,-1))))</f>
        <v/>
      </c>
      <c r="AN51" s="34">
        <f>IF($B51="ABSOLUTE SEMANTIC",ABS('06_ITEM_POLE_MODEL'!AW51),ABS('06_ITEM_POLE_MODEL'!AW51)*ABS(SUMPRODUCT(--('93_TARGET_MEMBERSHIP'!AV$5:AV$27=1),'05_FEATURE_MODEL'!AO$5:AO$27)/MAX(1,COUNTIF('93_TARGET_MEMBERSHIP'!AV$5:AV$27,1))-SUMPRODUCT(--('93_TARGET_MEMBERSHIP'!AV$5:AV$27=-1),'05_FEATURE_MODEL'!AO$5:AO$27)/MAX(1,COUNTIF('93_TARGET_MEMBERSHIP'!AV$5:AV$27,-1))))</f>
        <v/>
      </c>
      <c r="AO51" s="34">
        <f>IF($B51="ABSOLUTE SEMANTIC",ABS('06_ITEM_POLE_MODEL'!AX51),ABS('06_ITEM_POLE_MODEL'!AX51)*ABS(SUMPRODUCT(--('93_TARGET_MEMBERSHIP'!AV$5:AV$27=1),'05_FEATURE_MODEL'!AP$5:AP$27)/MAX(1,COUNTIF('93_TARGET_MEMBERSHIP'!AV$5:AV$27,1))-SUMPRODUCT(--('93_TARGET_MEMBERSHIP'!AV$5:AV$27=-1),'05_FEATURE_MODEL'!AP$5:AP$27)/MAX(1,COUNTIF('93_TARGET_MEMBERSHIP'!AV$5:AV$27,-1))))</f>
        <v/>
      </c>
      <c r="AP51" s="34">
        <f>IF($B51="ABSOLUTE SEMANTIC",ABS('06_ITEM_POLE_MODEL'!AY51),ABS('06_ITEM_POLE_MODEL'!AY51)*ABS(SUMPRODUCT(--('93_TARGET_MEMBERSHIP'!AV$5:AV$27=1),'05_FEATURE_MODEL'!AQ$5:AQ$27)/MAX(1,COUNTIF('93_TARGET_MEMBERSHIP'!AV$5:AV$27,1))-SUMPRODUCT(--('93_TARGET_MEMBERSHIP'!AV$5:AV$27=-1),'05_FEATURE_MODEL'!AQ$5:AQ$27)/MAX(1,COUNTIF('93_TARGET_MEMBERSHIP'!AV$5:AV$27,-1))))</f>
        <v/>
      </c>
      <c r="AQ51" s="34">
        <f>IF($B51="ABSOLUTE SEMANTIC",ABS('06_ITEM_POLE_MODEL'!AZ51),ABS('06_ITEM_POLE_MODEL'!AZ51)*ABS(SUMPRODUCT(--('93_TARGET_MEMBERSHIP'!AV$5:AV$27=1),'05_FEATURE_MODEL'!AR$5:AR$27)/MAX(1,COUNTIF('93_TARGET_MEMBERSHIP'!AV$5:AV$27,1))-SUMPRODUCT(--('93_TARGET_MEMBERSHIP'!AV$5:AV$27=-1),'05_FEATURE_MODEL'!AR$5:AR$27)/MAX(1,COUNTIF('93_TARGET_MEMBERSHIP'!AV$5:AV$27,-1))))</f>
        <v/>
      </c>
    </row>
    <row r="52" ht="36" customHeight="1">
      <c r="A52" s="34">
        <f>'06_ITEM_POLE_MODEL'!A52</f>
        <v/>
      </c>
      <c r="B52" s="34">
        <f>'06_ITEM_POLE_MODEL'!E52</f>
        <v/>
      </c>
      <c r="C52" s="34">
        <f>IF($B52="ABSOLUTE SEMANTIC",ABS('06_ITEM_POLE_MODEL'!L52),ABS('06_ITEM_POLE_MODEL'!L52)*ABS(SUMPRODUCT(--('93_TARGET_MEMBERSHIP'!AW$5:AW$27=1),'05_FEATURE_MODEL'!D$5:D$27)/MAX(1,COUNTIF('93_TARGET_MEMBERSHIP'!AW$5:AW$27,1))-SUMPRODUCT(--('93_TARGET_MEMBERSHIP'!AW$5:AW$27=-1),'05_FEATURE_MODEL'!D$5:D$27)/MAX(1,COUNTIF('93_TARGET_MEMBERSHIP'!AW$5:AW$27,-1))))</f>
        <v/>
      </c>
      <c r="D52" s="34">
        <f>IF($B52="ABSOLUTE SEMANTIC",ABS('06_ITEM_POLE_MODEL'!M52),ABS('06_ITEM_POLE_MODEL'!M52)*ABS(SUMPRODUCT(--('93_TARGET_MEMBERSHIP'!AW$5:AW$27=1),'05_FEATURE_MODEL'!E$5:E$27)/MAX(1,COUNTIF('93_TARGET_MEMBERSHIP'!AW$5:AW$27,1))-SUMPRODUCT(--('93_TARGET_MEMBERSHIP'!AW$5:AW$27=-1),'05_FEATURE_MODEL'!E$5:E$27)/MAX(1,COUNTIF('93_TARGET_MEMBERSHIP'!AW$5:AW$27,-1))))</f>
        <v/>
      </c>
      <c r="E52" s="34">
        <f>IF($B52="ABSOLUTE SEMANTIC",ABS('06_ITEM_POLE_MODEL'!N52),ABS('06_ITEM_POLE_MODEL'!N52)*ABS(SUMPRODUCT(--('93_TARGET_MEMBERSHIP'!AW$5:AW$27=1),'05_FEATURE_MODEL'!F$5:F$27)/MAX(1,COUNTIF('93_TARGET_MEMBERSHIP'!AW$5:AW$27,1))-SUMPRODUCT(--('93_TARGET_MEMBERSHIP'!AW$5:AW$27=-1),'05_FEATURE_MODEL'!F$5:F$27)/MAX(1,COUNTIF('93_TARGET_MEMBERSHIP'!AW$5:AW$27,-1))))</f>
        <v/>
      </c>
      <c r="F52" s="34">
        <f>IF($B52="ABSOLUTE SEMANTIC",ABS('06_ITEM_POLE_MODEL'!O52),ABS('06_ITEM_POLE_MODEL'!O52)*ABS(SUMPRODUCT(--('93_TARGET_MEMBERSHIP'!AW$5:AW$27=1),'05_FEATURE_MODEL'!G$5:G$27)/MAX(1,COUNTIF('93_TARGET_MEMBERSHIP'!AW$5:AW$27,1))-SUMPRODUCT(--('93_TARGET_MEMBERSHIP'!AW$5:AW$27=-1),'05_FEATURE_MODEL'!G$5:G$27)/MAX(1,COUNTIF('93_TARGET_MEMBERSHIP'!AW$5:AW$27,-1))))</f>
        <v/>
      </c>
      <c r="G52" s="34">
        <f>IF($B52="ABSOLUTE SEMANTIC",ABS('06_ITEM_POLE_MODEL'!P52),ABS('06_ITEM_POLE_MODEL'!P52)*ABS(SUMPRODUCT(--('93_TARGET_MEMBERSHIP'!AW$5:AW$27=1),'05_FEATURE_MODEL'!H$5:H$27)/MAX(1,COUNTIF('93_TARGET_MEMBERSHIP'!AW$5:AW$27,1))-SUMPRODUCT(--('93_TARGET_MEMBERSHIP'!AW$5:AW$27=-1),'05_FEATURE_MODEL'!H$5:H$27)/MAX(1,COUNTIF('93_TARGET_MEMBERSHIP'!AW$5:AW$27,-1))))</f>
        <v/>
      </c>
      <c r="H52" s="34">
        <f>IF($B52="ABSOLUTE SEMANTIC",ABS('06_ITEM_POLE_MODEL'!Q52),ABS('06_ITEM_POLE_MODEL'!Q52)*ABS(SUMPRODUCT(--('93_TARGET_MEMBERSHIP'!AW$5:AW$27=1),'05_FEATURE_MODEL'!I$5:I$27)/MAX(1,COUNTIF('93_TARGET_MEMBERSHIP'!AW$5:AW$27,1))-SUMPRODUCT(--('93_TARGET_MEMBERSHIP'!AW$5:AW$27=-1),'05_FEATURE_MODEL'!I$5:I$27)/MAX(1,COUNTIF('93_TARGET_MEMBERSHIP'!AW$5:AW$27,-1))))</f>
        <v/>
      </c>
      <c r="I52" s="34">
        <f>IF($B52="ABSOLUTE SEMANTIC",ABS('06_ITEM_POLE_MODEL'!R52),ABS('06_ITEM_POLE_MODEL'!R52)*ABS(SUMPRODUCT(--('93_TARGET_MEMBERSHIP'!AW$5:AW$27=1),'05_FEATURE_MODEL'!J$5:J$27)/MAX(1,COUNTIF('93_TARGET_MEMBERSHIP'!AW$5:AW$27,1))-SUMPRODUCT(--('93_TARGET_MEMBERSHIP'!AW$5:AW$27=-1),'05_FEATURE_MODEL'!J$5:J$27)/MAX(1,COUNTIF('93_TARGET_MEMBERSHIP'!AW$5:AW$27,-1))))</f>
        <v/>
      </c>
      <c r="J52" s="34">
        <f>IF($B52="ABSOLUTE SEMANTIC",ABS('06_ITEM_POLE_MODEL'!S52),ABS('06_ITEM_POLE_MODEL'!S52)*ABS(SUMPRODUCT(--('93_TARGET_MEMBERSHIP'!AW$5:AW$27=1),'05_FEATURE_MODEL'!K$5:K$27)/MAX(1,COUNTIF('93_TARGET_MEMBERSHIP'!AW$5:AW$27,1))-SUMPRODUCT(--('93_TARGET_MEMBERSHIP'!AW$5:AW$27=-1),'05_FEATURE_MODEL'!K$5:K$27)/MAX(1,COUNTIF('93_TARGET_MEMBERSHIP'!AW$5:AW$27,-1))))</f>
        <v/>
      </c>
      <c r="K52" s="34">
        <f>IF($B52="ABSOLUTE SEMANTIC",ABS('06_ITEM_POLE_MODEL'!T52),ABS('06_ITEM_POLE_MODEL'!T52)*ABS(SUMPRODUCT(--('93_TARGET_MEMBERSHIP'!AW$5:AW$27=1),'05_FEATURE_MODEL'!L$5:L$27)/MAX(1,COUNTIF('93_TARGET_MEMBERSHIP'!AW$5:AW$27,1))-SUMPRODUCT(--('93_TARGET_MEMBERSHIP'!AW$5:AW$27=-1),'05_FEATURE_MODEL'!L$5:L$27)/MAX(1,COUNTIF('93_TARGET_MEMBERSHIP'!AW$5:AW$27,-1))))</f>
        <v/>
      </c>
      <c r="L52" s="34">
        <f>IF($B52="ABSOLUTE SEMANTIC",ABS('06_ITEM_POLE_MODEL'!U52),ABS('06_ITEM_POLE_MODEL'!U52)*ABS(SUMPRODUCT(--('93_TARGET_MEMBERSHIP'!AW$5:AW$27=1),'05_FEATURE_MODEL'!M$5:M$27)/MAX(1,COUNTIF('93_TARGET_MEMBERSHIP'!AW$5:AW$27,1))-SUMPRODUCT(--('93_TARGET_MEMBERSHIP'!AW$5:AW$27=-1),'05_FEATURE_MODEL'!M$5:M$27)/MAX(1,COUNTIF('93_TARGET_MEMBERSHIP'!AW$5:AW$27,-1))))</f>
        <v/>
      </c>
      <c r="M52" s="34">
        <f>IF($B52="ABSOLUTE SEMANTIC",ABS('06_ITEM_POLE_MODEL'!V52),ABS('06_ITEM_POLE_MODEL'!V52)*ABS(SUMPRODUCT(--('93_TARGET_MEMBERSHIP'!AW$5:AW$27=1),'05_FEATURE_MODEL'!N$5:N$27)/MAX(1,COUNTIF('93_TARGET_MEMBERSHIP'!AW$5:AW$27,1))-SUMPRODUCT(--('93_TARGET_MEMBERSHIP'!AW$5:AW$27=-1),'05_FEATURE_MODEL'!N$5:N$27)/MAX(1,COUNTIF('93_TARGET_MEMBERSHIP'!AW$5:AW$27,-1))))</f>
        <v/>
      </c>
      <c r="N52" s="34">
        <f>IF($B52="ABSOLUTE SEMANTIC",ABS('06_ITEM_POLE_MODEL'!W52),ABS('06_ITEM_POLE_MODEL'!W52)*ABS(SUMPRODUCT(--('93_TARGET_MEMBERSHIP'!AW$5:AW$27=1),'05_FEATURE_MODEL'!O$5:O$27)/MAX(1,COUNTIF('93_TARGET_MEMBERSHIP'!AW$5:AW$27,1))-SUMPRODUCT(--('93_TARGET_MEMBERSHIP'!AW$5:AW$27=-1),'05_FEATURE_MODEL'!O$5:O$27)/MAX(1,COUNTIF('93_TARGET_MEMBERSHIP'!AW$5:AW$27,-1))))</f>
        <v/>
      </c>
      <c r="O52" s="34">
        <f>IF($B52="ABSOLUTE SEMANTIC",ABS('06_ITEM_POLE_MODEL'!X52),ABS('06_ITEM_POLE_MODEL'!X52)*ABS(SUMPRODUCT(--('93_TARGET_MEMBERSHIP'!AW$5:AW$27=1),'05_FEATURE_MODEL'!P$5:P$27)/MAX(1,COUNTIF('93_TARGET_MEMBERSHIP'!AW$5:AW$27,1))-SUMPRODUCT(--('93_TARGET_MEMBERSHIP'!AW$5:AW$27=-1),'05_FEATURE_MODEL'!P$5:P$27)/MAX(1,COUNTIF('93_TARGET_MEMBERSHIP'!AW$5:AW$27,-1))))</f>
        <v/>
      </c>
      <c r="P52" s="34">
        <f>IF($B52="ABSOLUTE SEMANTIC",ABS('06_ITEM_POLE_MODEL'!Y52),ABS('06_ITEM_POLE_MODEL'!Y52)*ABS(SUMPRODUCT(--('93_TARGET_MEMBERSHIP'!AW$5:AW$27=1),'05_FEATURE_MODEL'!Q$5:Q$27)/MAX(1,COUNTIF('93_TARGET_MEMBERSHIP'!AW$5:AW$27,1))-SUMPRODUCT(--('93_TARGET_MEMBERSHIP'!AW$5:AW$27=-1),'05_FEATURE_MODEL'!Q$5:Q$27)/MAX(1,COUNTIF('93_TARGET_MEMBERSHIP'!AW$5:AW$27,-1))))</f>
        <v/>
      </c>
      <c r="Q52" s="34">
        <f>IF($B52="ABSOLUTE SEMANTIC",ABS('06_ITEM_POLE_MODEL'!Z52),ABS('06_ITEM_POLE_MODEL'!Z52)*ABS(SUMPRODUCT(--('93_TARGET_MEMBERSHIP'!AW$5:AW$27=1),'05_FEATURE_MODEL'!R$5:R$27)/MAX(1,COUNTIF('93_TARGET_MEMBERSHIP'!AW$5:AW$27,1))-SUMPRODUCT(--('93_TARGET_MEMBERSHIP'!AW$5:AW$27=-1),'05_FEATURE_MODEL'!R$5:R$27)/MAX(1,COUNTIF('93_TARGET_MEMBERSHIP'!AW$5:AW$27,-1))))</f>
        <v/>
      </c>
      <c r="R52" s="34">
        <f>IF($B52="ABSOLUTE SEMANTIC",ABS('06_ITEM_POLE_MODEL'!AA52),ABS('06_ITEM_POLE_MODEL'!AA52)*ABS(SUMPRODUCT(--('93_TARGET_MEMBERSHIP'!AW$5:AW$27=1),'05_FEATURE_MODEL'!S$5:S$27)/MAX(1,COUNTIF('93_TARGET_MEMBERSHIP'!AW$5:AW$27,1))-SUMPRODUCT(--('93_TARGET_MEMBERSHIP'!AW$5:AW$27=-1),'05_FEATURE_MODEL'!S$5:S$27)/MAX(1,COUNTIF('93_TARGET_MEMBERSHIP'!AW$5:AW$27,-1))))</f>
        <v/>
      </c>
      <c r="S52" s="34">
        <f>IF($B52="ABSOLUTE SEMANTIC",ABS('06_ITEM_POLE_MODEL'!AB52),ABS('06_ITEM_POLE_MODEL'!AB52)*ABS(SUMPRODUCT(--('93_TARGET_MEMBERSHIP'!AW$5:AW$27=1),'05_FEATURE_MODEL'!T$5:T$27)/MAX(1,COUNTIF('93_TARGET_MEMBERSHIP'!AW$5:AW$27,1))-SUMPRODUCT(--('93_TARGET_MEMBERSHIP'!AW$5:AW$27=-1),'05_FEATURE_MODEL'!T$5:T$27)/MAX(1,COUNTIF('93_TARGET_MEMBERSHIP'!AW$5:AW$27,-1))))</f>
        <v/>
      </c>
      <c r="T52" s="34">
        <f>IF($B52="ABSOLUTE SEMANTIC",ABS('06_ITEM_POLE_MODEL'!AC52),ABS('06_ITEM_POLE_MODEL'!AC52)*ABS(SUMPRODUCT(--('93_TARGET_MEMBERSHIP'!AW$5:AW$27=1),'05_FEATURE_MODEL'!U$5:U$27)/MAX(1,COUNTIF('93_TARGET_MEMBERSHIP'!AW$5:AW$27,1))-SUMPRODUCT(--('93_TARGET_MEMBERSHIP'!AW$5:AW$27=-1),'05_FEATURE_MODEL'!U$5:U$27)/MAX(1,COUNTIF('93_TARGET_MEMBERSHIP'!AW$5:AW$27,-1))))</f>
        <v/>
      </c>
      <c r="U52" s="34">
        <f>IF($B52="ABSOLUTE SEMANTIC",ABS('06_ITEM_POLE_MODEL'!AD52),ABS('06_ITEM_POLE_MODEL'!AD52)*ABS(SUMPRODUCT(--('93_TARGET_MEMBERSHIP'!AW$5:AW$27=1),'05_FEATURE_MODEL'!V$5:V$27)/MAX(1,COUNTIF('93_TARGET_MEMBERSHIP'!AW$5:AW$27,1))-SUMPRODUCT(--('93_TARGET_MEMBERSHIP'!AW$5:AW$27=-1),'05_FEATURE_MODEL'!V$5:V$27)/MAX(1,COUNTIF('93_TARGET_MEMBERSHIP'!AW$5:AW$27,-1))))</f>
        <v/>
      </c>
      <c r="V52" s="34">
        <f>IF($B52="ABSOLUTE SEMANTIC",ABS('06_ITEM_POLE_MODEL'!AE52),ABS('06_ITEM_POLE_MODEL'!AE52)*ABS(SUMPRODUCT(--('93_TARGET_MEMBERSHIP'!AW$5:AW$27=1),'05_FEATURE_MODEL'!W$5:W$27)/MAX(1,COUNTIF('93_TARGET_MEMBERSHIP'!AW$5:AW$27,1))-SUMPRODUCT(--('93_TARGET_MEMBERSHIP'!AW$5:AW$27=-1),'05_FEATURE_MODEL'!W$5:W$27)/MAX(1,COUNTIF('93_TARGET_MEMBERSHIP'!AW$5:AW$27,-1))))</f>
        <v/>
      </c>
      <c r="W52" s="34">
        <f>IF($B52="ABSOLUTE SEMANTIC",ABS('06_ITEM_POLE_MODEL'!AF52),ABS('06_ITEM_POLE_MODEL'!AF52)*ABS(SUMPRODUCT(--('93_TARGET_MEMBERSHIP'!AW$5:AW$27=1),'05_FEATURE_MODEL'!X$5:X$27)/MAX(1,COUNTIF('93_TARGET_MEMBERSHIP'!AW$5:AW$27,1))-SUMPRODUCT(--('93_TARGET_MEMBERSHIP'!AW$5:AW$27=-1),'05_FEATURE_MODEL'!X$5:X$27)/MAX(1,COUNTIF('93_TARGET_MEMBERSHIP'!AW$5:AW$27,-1))))</f>
        <v/>
      </c>
      <c r="X52" s="34">
        <f>IF($B52="ABSOLUTE SEMANTIC",ABS('06_ITEM_POLE_MODEL'!AG52),ABS('06_ITEM_POLE_MODEL'!AG52)*ABS(SUMPRODUCT(--('93_TARGET_MEMBERSHIP'!AW$5:AW$27=1),'05_FEATURE_MODEL'!Y$5:Y$27)/MAX(1,COUNTIF('93_TARGET_MEMBERSHIP'!AW$5:AW$27,1))-SUMPRODUCT(--('93_TARGET_MEMBERSHIP'!AW$5:AW$27=-1),'05_FEATURE_MODEL'!Y$5:Y$27)/MAX(1,COUNTIF('93_TARGET_MEMBERSHIP'!AW$5:AW$27,-1))))</f>
        <v/>
      </c>
      <c r="Y52" s="34">
        <f>IF($B52="ABSOLUTE SEMANTIC",ABS('06_ITEM_POLE_MODEL'!AH52),ABS('06_ITEM_POLE_MODEL'!AH52)*ABS(SUMPRODUCT(--('93_TARGET_MEMBERSHIP'!AW$5:AW$27=1),'05_FEATURE_MODEL'!Z$5:Z$27)/MAX(1,COUNTIF('93_TARGET_MEMBERSHIP'!AW$5:AW$27,1))-SUMPRODUCT(--('93_TARGET_MEMBERSHIP'!AW$5:AW$27=-1),'05_FEATURE_MODEL'!Z$5:Z$27)/MAX(1,COUNTIF('93_TARGET_MEMBERSHIP'!AW$5:AW$27,-1))))</f>
        <v/>
      </c>
      <c r="Z52" s="34">
        <f>IF($B52="ABSOLUTE SEMANTIC",ABS('06_ITEM_POLE_MODEL'!AI52),ABS('06_ITEM_POLE_MODEL'!AI52)*ABS(SUMPRODUCT(--('93_TARGET_MEMBERSHIP'!AW$5:AW$27=1),'05_FEATURE_MODEL'!AA$5:AA$27)/MAX(1,COUNTIF('93_TARGET_MEMBERSHIP'!AW$5:AW$27,1))-SUMPRODUCT(--('93_TARGET_MEMBERSHIP'!AW$5:AW$27=-1),'05_FEATURE_MODEL'!AA$5:AA$27)/MAX(1,COUNTIF('93_TARGET_MEMBERSHIP'!AW$5:AW$27,-1))))</f>
        <v/>
      </c>
      <c r="AA52" s="34">
        <f>IF($B52="ABSOLUTE SEMANTIC",ABS('06_ITEM_POLE_MODEL'!AJ52),ABS('06_ITEM_POLE_MODEL'!AJ52)*ABS(SUMPRODUCT(--('93_TARGET_MEMBERSHIP'!AW$5:AW$27=1),'05_FEATURE_MODEL'!AB$5:AB$27)/MAX(1,COUNTIF('93_TARGET_MEMBERSHIP'!AW$5:AW$27,1))-SUMPRODUCT(--('93_TARGET_MEMBERSHIP'!AW$5:AW$27=-1),'05_FEATURE_MODEL'!AB$5:AB$27)/MAX(1,COUNTIF('93_TARGET_MEMBERSHIP'!AW$5:AW$27,-1))))</f>
        <v/>
      </c>
      <c r="AB52" s="34">
        <f>IF($B52="ABSOLUTE SEMANTIC",ABS('06_ITEM_POLE_MODEL'!AK52),ABS('06_ITEM_POLE_MODEL'!AK52)*ABS(SUMPRODUCT(--('93_TARGET_MEMBERSHIP'!AW$5:AW$27=1),'05_FEATURE_MODEL'!AC$5:AC$27)/MAX(1,COUNTIF('93_TARGET_MEMBERSHIP'!AW$5:AW$27,1))-SUMPRODUCT(--('93_TARGET_MEMBERSHIP'!AW$5:AW$27=-1),'05_FEATURE_MODEL'!AC$5:AC$27)/MAX(1,COUNTIF('93_TARGET_MEMBERSHIP'!AW$5:AW$27,-1))))</f>
        <v/>
      </c>
      <c r="AC52" s="34">
        <f>IF($B52="ABSOLUTE SEMANTIC",ABS('06_ITEM_POLE_MODEL'!AL52),ABS('06_ITEM_POLE_MODEL'!AL52)*ABS(SUMPRODUCT(--('93_TARGET_MEMBERSHIP'!AW$5:AW$27=1),'05_FEATURE_MODEL'!AD$5:AD$27)/MAX(1,COUNTIF('93_TARGET_MEMBERSHIP'!AW$5:AW$27,1))-SUMPRODUCT(--('93_TARGET_MEMBERSHIP'!AW$5:AW$27=-1),'05_FEATURE_MODEL'!AD$5:AD$27)/MAX(1,COUNTIF('93_TARGET_MEMBERSHIP'!AW$5:AW$27,-1))))</f>
        <v/>
      </c>
      <c r="AD52" s="34">
        <f>IF($B52="ABSOLUTE SEMANTIC",ABS('06_ITEM_POLE_MODEL'!AM52),ABS('06_ITEM_POLE_MODEL'!AM52)*ABS(SUMPRODUCT(--('93_TARGET_MEMBERSHIP'!AW$5:AW$27=1),'05_FEATURE_MODEL'!AE$5:AE$27)/MAX(1,COUNTIF('93_TARGET_MEMBERSHIP'!AW$5:AW$27,1))-SUMPRODUCT(--('93_TARGET_MEMBERSHIP'!AW$5:AW$27=-1),'05_FEATURE_MODEL'!AE$5:AE$27)/MAX(1,COUNTIF('93_TARGET_MEMBERSHIP'!AW$5:AW$27,-1))))</f>
        <v/>
      </c>
      <c r="AE52" s="34">
        <f>IF($B52="ABSOLUTE SEMANTIC",ABS('06_ITEM_POLE_MODEL'!AN52),ABS('06_ITEM_POLE_MODEL'!AN52)*ABS(SUMPRODUCT(--('93_TARGET_MEMBERSHIP'!AW$5:AW$27=1),'05_FEATURE_MODEL'!AF$5:AF$27)/MAX(1,COUNTIF('93_TARGET_MEMBERSHIP'!AW$5:AW$27,1))-SUMPRODUCT(--('93_TARGET_MEMBERSHIP'!AW$5:AW$27=-1),'05_FEATURE_MODEL'!AF$5:AF$27)/MAX(1,COUNTIF('93_TARGET_MEMBERSHIP'!AW$5:AW$27,-1))))</f>
        <v/>
      </c>
      <c r="AF52" s="34">
        <f>IF($B52="ABSOLUTE SEMANTIC",ABS('06_ITEM_POLE_MODEL'!AO52),ABS('06_ITEM_POLE_MODEL'!AO52)*ABS(SUMPRODUCT(--('93_TARGET_MEMBERSHIP'!AW$5:AW$27=1),'05_FEATURE_MODEL'!AG$5:AG$27)/MAX(1,COUNTIF('93_TARGET_MEMBERSHIP'!AW$5:AW$27,1))-SUMPRODUCT(--('93_TARGET_MEMBERSHIP'!AW$5:AW$27=-1),'05_FEATURE_MODEL'!AG$5:AG$27)/MAX(1,COUNTIF('93_TARGET_MEMBERSHIP'!AW$5:AW$27,-1))))</f>
        <v/>
      </c>
      <c r="AG52" s="34">
        <f>IF($B52="ABSOLUTE SEMANTIC",ABS('06_ITEM_POLE_MODEL'!AP52),ABS('06_ITEM_POLE_MODEL'!AP52)*ABS(SUMPRODUCT(--('93_TARGET_MEMBERSHIP'!AW$5:AW$27=1),'05_FEATURE_MODEL'!AH$5:AH$27)/MAX(1,COUNTIF('93_TARGET_MEMBERSHIP'!AW$5:AW$27,1))-SUMPRODUCT(--('93_TARGET_MEMBERSHIP'!AW$5:AW$27=-1),'05_FEATURE_MODEL'!AH$5:AH$27)/MAX(1,COUNTIF('93_TARGET_MEMBERSHIP'!AW$5:AW$27,-1))))</f>
        <v/>
      </c>
      <c r="AH52" s="34">
        <f>IF($B52="ABSOLUTE SEMANTIC",ABS('06_ITEM_POLE_MODEL'!AQ52),ABS('06_ITEM_POLE_MODEL'!AQ52)*ABS(SUMPRODUCT(--('93_TARGET_MEMBERSHIP'!AW$5:AW$27=1),'05_FEATURE_MODEL'!AI$5:AI$27)/MAX(1,COUNTIF('93_TARGET_MEMBERSHIP'!AW$5:AW$27,1))-SUMPRODUCT(--('93_TARGET_MEMBERSHIP'!AW$5:AW$27=-1),'05_FEATURE_MODEL'!AI$5:AI$27)/MAX(1,COUNTIF('93_TARGET_MEMBERSHIP'!AW$5:AW$27,-1))))</f>
        <v/>
      </c>
      <c r="AI52" s="34">
        <f>IF($B52="ABSOLUTE SEMANTIC",ABS('06_ITEM_POLE_MODEL'!AR52),ABS('06_ITEM_POLE_MODEL'!AR52)*ABS(SUMPRODUCT(--('93_TARGET_MEMBERSHIP'!AW$5:AW$27=1),'05_FEATURE_MODEL'!AJ$5:AJ$27)/MAX(1,COUNTIF('93_TARGET_MEMBERSHIP'!AW$5:AW$27,1))-SUMPRODUCT(--('93_TARGET_MEMBERSHIP'!AW$5:AW$27=-1),'05_FEATURE_MODEL'!AJ$5:AJ$27)/MAX(1,COUNTIF('93_TARGET_MEMBERSHIP'!AW$5:AW$27,-1))))</f>
        <v/>
      </c>
      <c r="AJ52" s="34">
        <f>IF($B52="ABSOLUTE SEMANTIC",ABS('06_ITEM_POLE_MODEL'!AS52),ABS('06_ITEM_POLE_MODEL'!AS52)*ABS(SUMPRODUCT(--('93_TARGET_MEMBERSHIP'!AW$5:AW$27=1),'05_FEATURE_MODEL'!AK$5:AK$27)/MAX(1,COUNTIF('93_TARGET_MEMBERSHIP'!AW$5:AW$27,1))-SUMPRODUCT(--('93_TARGET_MEMBERSHIP'!AW$5:AW$27=-1),'05_FEATURE_MODEL'!AK$5:AK$27)/MAX(1,COUNTIF('93_TARGET_MEMBERSHIP'!AW$5:AW$27,-1))))</f>
        <v/>
      </c>
      <c r="AK52" s="34">
        <f>IF($B52="ABSOLUTE SEMANTIC",ABS('06_ITEM_POLE_MODEL'!AT52),ABS('06_ITEM_POLE_MODEL'!AT52)*ABS(SUMPRODUCT(--('93_TARGET_MEMBERSHIP'!AW$5:AW$27=1),'05_FEATURE_MODEL'!AL$5:AL$27)/MAX(1,COUNTIF('93_TARGET_MEMBERSHIP'!AW$5:AW$27,1))-SUMPRODUCT(--('93_TARGET_MEMBERSHIP'!AW$5:AW$27=-1),'05_FEATURE_MODEL'!AL$5:AL$27)/MAX(1,COUNTIF('93_TARGET_MEMBERSHIP'!AW$5:AW$27,-1))))</f>
        <v/>
      </c>
      <c r="AL52" s="34">
        <f>IF($B52="ABSOLUTE SEMANTIC",ABS('06_ITEM_POLE_MODEL'!AU52),ABS('06_ITEM_POLE_MODEL'!AU52)*ABS(SUMPRODUCT(--('93_TARGET_MEMBERSHIP'!AW$5:AW$27=1),'05_FEATURE_MODEL'!AM$5:AM$27)/MAX(1,COUNTIF('93_TARGET_MEMBERSHIP'!AW$5:AW$27,1))-SUMPRODUCT(--('93_TARGET_MEMBERSHIP'!AW$5:AW$27=-1),'05_FEATURE_MODEL'!AM$5:AM$27)/MAX(1,COUNTIF('93_TARGET_MEMBERSHIP'!AW$5:AW$27,-1))))</f>
        <v/>
      </c>
      <c r="AM52" s="34">
        <f>IF($B52="ABSOLUTE SEMANTIC",ABS('06_ITEM_POLE_MODEL'!AV52),ABS('06_ITEM_POLE_MODEL'!AV52)*ABS(SUMPRODUCT(--('93_TARGET_MEMBERSHIP'!AW$5:AW$27=1),'05_FEATURE_MODEL'!AN$5:AN$27)/MAX(1,COUNTIF('93_TARGET_MEMBERSHIP'!AW$5:AW$27,1))-SUMPRODUCT(--('93_TARGET_MEMBERSHIP'!AW$5:AW$27=-1),'05_FEATURE_MODEL'!AN$5:AN$27)/MAX(1,COUNTIF('93_TARGET_MEMBERSHIP'!AW$5:AW$27,-1))))</f>
        <v/>
      </c>
      <c r="AN52" s="34">
        <f>IF($B52="ABSOLUTE SEMANTIC",ABS('06_ITEM_POLE_MODEL'!AW52),ABS('06_ITEM_POLE_MODEL'!AW52)*ABS(SUMPRODUCT(--('93_TARGET_MEMBERSHIP'!AW$5:AW$27=1),'05_FEATURE_MODEL'!AO$5:AO$27)/MAX(1,COUNTIF('93_TARGET_MEMBERSHIP'!AW$5:AW$27,1))-SUMPRODUCT(--('93_TARGET_MEMBERSHIP'!AW$5:AW$27=-1),'05_FEATURE_MODEL'!AO$5:AO$27)/MAX(1,COUNTIF('93_TARGET_MEMBERSHIP'!AW$5:AW$27,-1))))</f>
        <v/>
      </c>
      <c r="AO52" s="34">
        <f>IF($B52="ABSOLUTE SEMANTIC",ABS('06_ITEM_POLE_MODEL'!AX52),ABS('06_ITEM_POLE_MODEL'!AX52)*ABS(SUMPRODUCT(--('93_TARGET_MEMBERSHIP'!AW$5:AW$27=1),'05_FEATURE_MODEL'!AP$5:AP$27)/MAX(1,COUNTIF('93_TARGET_MEMBERSHIP'!AW$5:AW$27,1))-SUMPRODUCT(--('93_TARGET_MEMBERSHIP'!AW$5:AW$27=-1),'05_FEATURE_MODEL'!AP$5:AP$27)/MAX(1,COUNTIF('93_TARGET_MEMBERSHIP'!AW$5:AW$27,-1))))</f>
        <v/>
      </c>
      <c r="AP52" s="34">
        <f>IF($B52="ABSOLUTE SEMANTIC",ABS('06_ITEM_POLE_MODEL'!AY52),ABS('06_ITEM_POLE_MODEL'!AY52)*ABS(SUMPRODUCT(--('93_TARGET_MEMBERSHIP'!AW$5:AW$27=1),'05_FEATURE_MODEL'!AQ$5:AQ$27)/MAX(1,COUNTIF('93_TARGET_MEMBERSHIP'!AW$5:AW$27,1))-SUMPRODUCT(--('93_TARGET_MEMBERSHIP'!AW$5:AW$27=-1),'05_FEATURE_MODEL'!AQ$5:AQ$27)/MAX(1,COUNTIF('93_TARGET_MEMBERSHIP'!AW$5:AW$27,-1))))</f>
        <v/>
      </c>
      <c r="AQ52" s="34">
        <f>IF($B52="ABSOLUTE SEMANTIC",ABS('06_ITEM_POLE_MODEL'!AZ52),ABS('06_ITEM_POLE_MODEL'!AZ52)*ABS(SUMPRODUCT(--('93_TARGET_MEMBERSHIP'!AW$5:AW$27=1),'05_FEATURE_MODEL'!AR$5:AR$27)/MAX(1,COUNTIF('93_TARGET_MEMBERSHIP'!AW$5:AW$27,1))-SUMPRODUCT(--('93_TARGET_MEMBERSHIP'!AW$5:AW$27=-1),'05_FEATURE_MODEL'!AR$5:AR$27)/MAX(1,COUNTIF('93_TARGET_MEMBERSHIP'!AW$5:AW$27,-1))))</f>
        <v/>
      </c>
    </row>
    <row r="53" ht="36" customHeight="1">
      <c r="A53" s="34">
        <f>'06_ITEM_POLE_MODEL'!A53</f>
        <v/>
      </c>
      <c r="B53" s="34">
        <f>'06_ITEM_POLE_MODEL'!E53</f>
        <v/>
      </c>
      <c r="C53" s="34">
        <f>IF($B53="ABSOLUTE SEMANTIC",ABS('06_ITEM_POLE_MODEL'!L53),ABS('06_ITEM_POLE_MODEL'!L53)*ABS(SUMPRODUCT(--('93_TARGET_MEMBERSHIP'!AX$5:AX$27=1),'05_FEATURE_MODEL'!D$5:D$27)/MAX(1,COUNTIF('93_TARGET_MEMBERSHIP'!AX$5:AX$27,1))-SUMPRODUCT(--('93_TARGET_MEMBERSHIP'!AX$5:AX$27=-1),'05_FEATURE_MODEL'!D$5:D$27)/MAX(1,COUNTIF('93_TARGET_MEMBERSHIP'!AX$5:AX$27,-1))))</f>
        <v/>
      </c>
      <c r="D53" s="34">
        <f>IF($B53="ABSOLUTE SEMANTIC",ABS('06_ITEM_POLE_MODEL'!M53),ABS('06_ITEM_POLE_MODEL'!M53)*ABS(SUMPRODUCT(--('93_TARGET_MEMBERSHIP'!AX$5:AX$27=1),'05_FEATURE_MODEL'!E$5:E$27)/MAX(1,COUNTIF('93_TARGET_MEMBERSHIP'!AX$5:AX$27,1))-SUMPRODUCT(--('93_TARGET_MEMBERSHIP'!AX$5:AX$27=-1),'05_FEATURE_MODEL'!E$5:E$27)/MAX(1,COUNTIF('93_TARGET_MEMBERSHIP'!AX$5:AX$27,-1))))</f>
        <v/>
      </c>
      <c r="E53" s="34">
        <f>IF($B53="ABSOLUTE SEMANTIC",ABS('06_ITEM_POLE_MODEL'!N53),ABS('06_ITEM_POLE_MODEL'!N53)*ABS(SUMPRODUCT(--('93_TARGET_MEMBERSHIP'!AX$5:AX$27=1),'05_FEATURE_MODEL'!F$5:F$27)/MAX(1,COUNTIF('93_TARGET_MEMBERSHIP'!AX$5:AX$27,1))-SUMPRODUCT(--('93_TARGET_MEMBERSHIP'!AX$5:AX$27=-1),'05_FEATURE_MODEL'!F$5:F$27)/MAX(1,COUNTIF('93_TARGET_MEMBERSHIP'!AX$5:AX$27,-1))))</f>
        <v/>
      </c>
      <c r="F53" s="34">
        <f>IF($B53="ABSOLUTE SEMANTIC",ABS('06_ITEM_POLE_MODEL'!O53),ABS('06_ITEM_POLE_MODEL'!O53)*ABS(SUMPRODUCT(--('93_TARGET_MEMBERSHIP'!AX$5:AX$27=1),'05_FEATURE_MODEL'!G$5:G$27)/MAX(1,COUNTIF('93_TARGET_MEMBERSHIP'!AX$5:AX$27,1))-SUMPRODUCT(--('93_TARGET_MEMBERSHIP'!AX$5:AX$27=-1),'05_FEATURE_MODEL'!G$5:G$27)/MAX(1,COUNTIF('93_TARGET_MEMBERSHIP'!AX$5:AX$27,-1))))</f>
        <v/>
      </c>
      <c r="G53" s="34">
        <f>IF($B53="ABSOLUTE SEMANTIC",ABS('06_ITEM_POLE_MODEL'!P53),ABS('06_ITEM_POLE_MODEL'!P53)*ABS(SUMPRODUCT(--('93_TARGET_MEMBERSHIP'!AX$5:AX$27=1),'05_FEATURE_MODEL'!H$5:H$27)/MAX(1,COUNTIF('93_TARGET_MEMBERSHIP'!AX$5:AX$27,1))-SUMPRODUCT(--('93_TARGET_MEMBERSHIP'!AX$5:AX$27=-1),'05_FEATURE_MODEL'!H$5:H$27)/MAX(1,COUNTIF('93_TARGET_MEMBERSHIP'!AX$5:AX$27,-1))))</f>
        <v/>
      </c>
      <c r="H53" s="34">
        <f>IF($B53="ABSOLUTE SEMANTIC",ABS('06_ITEM_POLE_MODEL'!Q53),ABS('06_ITEM_POLE_MODEL'!Q53)*ABS(SUMPRODUCT(--('93_TARGET_MEMBERSHIP'!AX$5:AX$27=1),'05_FEATURE_MODEL'!I$5:I$27)/MAX(1,COUNTIF('93_TARGET_MEMBERSHIP'!AX$5:AX$27,1))-SUMPRODUCT(--('93_TARGET_MEMBERSHIP'!AX$5:AX$27=-1),'05_FEATURE_MODEL'!I$5:I$27)/MAX(1,COUNTIF('93_TARGET_MEMBERSHIP'!AX$5:AX$27,-1))))</f>
        <v/>
      </c>
      <c r="I53" s="34">
        <f>IF($B53="ABSOLUTE SEMANTIC",ABS('06_ITEM_POLE_MODEL'!R53),ABS('06_ITEM_POLE_MODEL'!R53)*ABS(SUMPRODUCT(--('93_TARGET_MEMBERSHIP'!AX$5:AX$27=1),'05_FEATURE_MODEL'!J$5:J$27)/MAX(1,COUNTIF('93_TARGET_MEMBERSHIP'!AX$5:AX$27,1))-SUMPRODUCT(--('93_TARGET_MEMBERSHIP'!AX$5:AX$27=-1),'05_FEATURE_MODEL'!J$5:J$27)/MAX(1,COUNTIF('93_TARGET_MEMBERSHIP'!AX$5:AX$27,-1))))</f>
        <v/>
      </c>
      <c r="J53" s="34">
        <f>IF($B53="ABSOLUTE SEMANTIC",ABS('06_ITEM_POLE_MODEL'!S53),ABS('06_ITEM_POLE_MODEL'!S53)*ABS(SUMPRODUCT(--('93_TARGET_MEMBERSHIP'!AX$5:AX$27=1),'05_FEATURE_MODEL'!K$5:K$27)/MAX(1,COUNTIF('93_TARGET_MEMBERSHIP'!AX$5:AX$27,1))-SUMPRODUCT(--('93_TARGET_MEMBERSHIP'!AX$5:AX$27=-1),'05_FEATURE_MODEL'!K$5:K$27)/MAX(1,COUNTIF('93_TARGET_MEMBERSHIP'!AX$5:AX$27,-1))))</f>
        <v/>
      </c>
      <c r="K53" s="34">
        <f>IF($B53="ABSOLUTE SEMANTIC",ABS('06_ITEM_POLE_MODEL'!T53),ABS('06_ITEM_POLE_MODEL'!T53)*ABS(SUMPRODUCT(--('93_TARGET_MEMBERSHIP'!AX$5:AX$27=1),'05_FEATURE_MODEL'!L$5:L$27)/MAX(1,COUNTIF('93_TARGET_MEMBERSHIP'!AX$5:AX$27,1))-SUMPRODUCT(--('93_TARGET_MEMBERSHIP'!AX$5:AX$27=-1),'05_FEATURE_MODEL'!L$5:L$27)/MAX(1,COUNTIF('93_TARGET_MEMBERSHIP'!AX$5:AX$27,-1))))</f>
        <v/>
      </c>
      <c r="L53" s="34">
        <f>IF($B53="ABSOLUTE SEMANTIC",ABS('06_ITEM_POLE_MODEL'!U53),ABS('06_ITEM_POLE_MODEL'!U53)*ABS(SUMPRODUCT(--('93_TARGET_MEMBERSHIP'!AX$5:AX$27=1),'05_FEATURE_MODEL'!M$5:M$27)/MAX(1,COUNTIF('93_TARGET_MEMBERSHIP'!AX$5:AX$27,1))-SUMPRODUCT(--('93_TARGET_MEMBERSHIP'!AX$5:AX$27=-1),'05_FEATURE_MODEL'!M$5:M$27)/MAX(1,COUNTIF('93_TARGET_MEMBERSHIP'!AX$5:AX$27,-1))))</f>
        <v/>
      </c>
      <c r="M53" s="34">
        <f>IF($B53="ABSOLUTE SEMANTIC",ABS('06_ITEM_POLE_MODEL'!V53),ABS('06_ITEM_POLE_MODEL'!V53)*ABS(SUMPRODUCT(--('93_TARGET_MEMBERSHIP'!AX$5:AX$27=1),'05_FEATURE_MODEL'!N$5:N$27)/MAX(1,COUNTIF('93_TARGET_MEMBERSHIP'!AX$5:AX$27,1))-SUMPRODUCT(--('93_TARGET_MEMBERSHIP'!AX$5:AX$27=-1),'05_FEATURE_MODEL'!N$5:N$27)/MAX(1,COUNTIF('93_TARGET_MEMBERSHIP'!AX$5:AX$27,-1))))</f>
        <v/>
      </c>
      <c r="N53" s="34">
        <f>IF($B53="ABSOLUTE SEMANTIC",ABS('06_ITEM_POLE_MODEL'!W53),ABS('06_ITEM_POLE_MODEL'!W53)*ABS(SUMPRODUCT(--('93_TARGET_MEMBERSHIP'!AX$5:AX$27=1),'05_FEATURE_MODEL'!O$5:O$27)/MAX(1,COUNTIF('93_TARGET_MEMBERSHIP'!AX$5:AX$27,1))-SUMPRODUCT(--('93_TARGET_MEMBERSHIP'!AX$5:AX$27=-1),'05_FEATURE_MODEL'!O$5:O$27)/MAX(1,COUNTIF('93_TARGET_MEMBERSHIP'!AX$5:AX$27,-1))))</f>
        <v/>
      </c>
      <c r="O53" s="34">
        <f>IF($B53="ABSOLUTE SEMANTIC",ABS('06_ITEM_POLE_MODEL'!X53),ABS('06_ITEM_POLE_MODEL'!X53)*ABS(SUMPRODUCT(--('93_TARGET_MEMBERSHIP'!AX$5:AX$27=1),'05_FEATURE_MODEL'!P$5:P$27)/MAX(1,COUNTIF('93_TARGET_MEMBERSHIP'!AX$5:AX$27,1))-SUMPRODUCT(--('93_TARGET_MEMBERSHIP'!AX$5:AX$27=-1),'05_FEATURE_MODEL'!P$5:P$27)/MAX(1,COUNTIF('93_TARGET_MEMBERSHIP'!AX$5:AX$27,-1))))</f>
        <v/>
      </c>
      <c r="P53" s="34">
        <f>IF($B53="ABSOLUTE SEMANTIC",ABS('06_ITEM_POLE_MODEL'!Y53),ABS('06_ITEM_POLE_MODEL'!Y53)*ABS(SUMPRODUCT(--('93_TARGET_MEMBERSHIP'!AX$5:AX$27=1),'05_FEATURE_MODEL'!Q$5:Q$27)/MAX(1,COUNTIF('93_TARGET_MEMBERSHIP'!AX$5:AX$27,1))-SUMPRODUCT(--('93_TARGET_MEMBERSHIP'!AX$5:AX$27=-1),'05_FEATURE_MODEL'!Q$5:Q$27)/MAX(1,COUNTIF('93_TARGET_MEMBERSHIP'!AX$5:AX$27,-1))))</f>
        <v/>
      </c>
      <c r="Q53" s="34">
        <f>IF($B53="ABSOLUTE SEMANTIC",ABS('06_ITEM_POLE_MODEL'!Z53),ABS('06_ITEM_POLE_MODEL'!Z53)*ABS(SUMPRODUCT(--('93_TARGET_MEMBERSHIP'!AX$5:AX$27=1),'05_FEATURE_MODEL'!R$5:R$27)/MAX(1,COUNTIF('93_TARGET_MEMBERSHIP'!AX$5:AX$27,1))-SUMPRODUCT(--('93_TARGET_MEMBERSHIP'!AX$5:AX$27=-1),'05_FEATURE_MODEL'!R$5:R$27)/MAX(1,COUNTIF('93_TARGET_MEMBERSHIP'!AX$5:AX$27,-1))))</f>
        <v/>
      </c>
      <c r="R53" s="34">
        <f>IF($B53="ABSOLUTE SEMANTIC",ABS('06_ITEM_POLE_MODEL'!AA53),ABS('06_ITEM_POLE_MODEL'!AA53)*ABS(SUMPRODUCT(--('93_TARGET_MEMBERSHIP'!AX$5:AX$27=1),'05_FEATURE_MODEL'!S$5:S$27)/MAX(1,COUNTIF('93_TARGET_MEMBERSHIP'!AX$5:AX$27,1))-SUMPRODUCT(--('93_TARGET_MEMBERSHIP'!AX$5:AX$27=-1),'05_FEATURE_MODEL'!S$5:S$27)/MAX(1,COUNTIF('93_TARGET_MEMBERSHIP'!AX$5:AX$27,-1))))</f>
        <v/>
      </c>
      <c r="S53" s="34">
        <f>IF($B53="ABSOLUTE SEMANTIC",ABS('06_ITEM_POLE_MODEL'!AB53),ABS('06_ITEM_POLE_MODEL'!AB53)*ABS(SUMPRODUCT(--('93_TARGET_MEMBERSHIP'!AX$5:AX$27=1),'05_FEATURE_MODEL'!T$5:T$27)/MAX(1,COUNTIF('93_TARGET_MEMBERSHIP'!AX$5:AX$27,1))-SUMPRODUCT(--('93_TARGET_MEMBERSHIP'!AX$5:AX$27=-1),'05_FEATURE_MODEL'!T$5:T$27)/MAX(1,COUNTIF('93_TARGET_MEMBERSHIP'!AX$5:AX$27,-1))))</f>
        <v/>
      </c>
      <c r="T53" s="34">
        <f>IF($B53="ABSOLUTE SEMANTIC",ABS('06_ITEM_POLE_MODEL'!AC53),ABS('06_ITEM_POLE_MODEL'!AC53)*ABS(SUMPRODUCT(--('93_TARGET_MEMBERSHIP'!AX$5:AX$27=1),'05_FEATURE_MODEL'!U$5:U$27)/MAX(1,COUNTIF('93_TARGET_MEMBERSHIP'!AX$5:AX$27,1))-SUMPRODUCT(--('93_TARGET_MEMBERSHIP'!AX$5:AX$27=-1),'05_FEATURE_MODEL'!U$5:U$27)/MAX(1,COUNTIF('93_TARGET_MEMBERSHIP'!AX$5:AX$27,-1))))</f>
        <v/>
      </c>
      <c r="U53" s="34">
        <f>IF($B53="ABSOLUTE SEMANTIC",ABS('06_ITEM_POLE_MODEL'!AD53),ABS('06_ITEM_POLE_MODEL'!AD53)*ABS(SUMPRODUCT(--('93_TARGET_MEMBERSHIP'!AX$5:AX$27=1),'05_FEATURE_MODEL'!V$5:V$27)/MAX(1,COUNTIF('93_TARGET_MEMBERSHIP'!AX$5:AX$27,1))-SUMPRODUCT(--('93_TARGET_MEMBERSHIP'!AX$5:AX$27=-1),'05_FEATURE_MODEL'!V$5:V$27)/MAX(1,COUNTIF('93_TARGET_MEMBERSHIP'!AX$5:AX$27,-1))))</f>
        <v/>
      </c>
      <c r="V53" s="34">
        <f>IF($B53="ABSOLUTE SEMANTIC",ABS('06_ITEM_POLE_MODEL'!AE53),ABS('06_ITEM_POLE_MODEL'!AE53)*ABS(SUMPRODUCT(--('93_TARGET_MEMBERSHIP'!AX$5:AX$27=1),'05_FEATURE_MODEL'!W$5:W$27)/MAX(1,COUNTIF('93_TARGET_MEMBERSHIP'!AX$5:AX$27,1))-SUMPRODUCT(--('93_TARGET_MEMBERSHIP'!AX$5:AX$27=-1),'05_FEATURE_MODEL'!W$5:W$27)/MAX(1,COUNTIF('93_TARGET_MEMBERSHIP'!AX$5:AX$27,-1))))</f>
        <v/>
      </c>
      <c r="W53" s="34">
        <f>IF($B53="ABSOLUTE SEMANTIC",ABS('06_ITEM_POLE_MODEL'!AF53),ABS('06_ITEM_POLE_MODEL'!AF53)*ABS(SUMPRODUCT(--('93_TARGET_MEMBERSHIP'!AX$5:AX$27=1),'05_FEATURE_MODEL'!X$5:X$27)/MAX(1,COUNTIF('93_TARGET_MEMBERSHIP'!AX$5:AX$27,1))-SUMPRODUCT(--('93_TARGET_MEMBERSHIP'!AX$5:AX$27=-1),'05_FEATURE_MODEL'!X$5:X$27)/MAX(1,COUNTIF('93_TARGET_MEMBERSHIP'!AX$5:AX$27,-1))))</f>
        <v/>
      </c>
      <c r="X53" s="34">
        <f>IF($B53="ABSOLUTE SEMANTIC",ABS('06_ITEM_POLE_MODEL'!AG53),ABS('06_ITEM_POLE_MODEL'!AG53)*ABS(SUMPRODUCT(--('93_TARGET_MEMBERSHIP'!AX$5:AX$27=1),'05_FEATURE_MODEL'!Y$5:Y$27)/MAX(1,COUNTIF('93_TARGET_MEMBERSHIP'!AX$5:AX$27,1))-SUMPRODUCT(--('93_TARGET_MEMBERSHIP'!AX$5:AX$27=-1),'05_FEATURE_MODEL'!Y$5:Y$27)/MAX(1,COUNTIF('93_TARGET_MEMBERSHIP'!AX$5:AX$27,-1))))</f>
        <v/>
      </c>
      <c r="Y53" s="34">
        <f>IF($B53="ABSOLUTE SEMANTIC",ABS('06_ITEM_POLE_MODEL'!AH53),ABS('06_ITEM_POLE_MODEL'!AH53)*ABS(SUMPRODUCT(--('93_TARGET_MEMBERSHIP'!AX$5:AX$27=1),'05_FEATURE_MODEL'!Z$5:Z$27)/MAX(1,COUNTIF('93_TARGET_MEMBERSHIP'!AX$5:AX$27,1))-SUMPRODUCT(--('93_TARGET_MEMBERSHIP'!AX$5:AX$27=-1),'05_FEATURE_MODEL'!Z$5:Z$27)/MAX(1,COUNTIF('93_TARGET_MEMBERSHIP'!AX$5:AX$27,-1))))</f>
        <v/>
      </c>
      <c r="Z53" s="34">
        <f>IF($B53="ABSOLUTE SEMANTIC",ABS('06_ITEM_POLE_MODEL'!AI53),ABS('06_ITEM_POLE_MODEL'!AI53)*ABS(SUMPRODUCT(--('93_TARGET_MEMBERSHIP'!AX$5:AX$27=1),'05_FEATURE_MODEL'!AA$5:AA$27)/MAX(1,COUNTIF('93_TARGET_MEMBERSHIP'!AX$5:AX$27,1))-SUMPRODUCT(--('93_TARGET_MEMBERSHIP'!AX$5:AX$27=-1),'05_FEATURE_MODEL'!AA$5:AA$27)/MAX(1,COUNTIF('93_TARGET_MEMBERSHIP'!AX$5:AX$27,-1))))</f>
        <v/>
      </c>
      <c r="AA53" s="34">
        <f>IF($B53="ABSOLUTE SEMANTIC",ABS('06_ITEM_POLE_MODEL'!AJ53),ABS('06_ITEM_POLE_MODEL'!AJ53)*ABS(SUMPRODUCT(--('93_TARGET_MEMBERSHIP'!AX$5:AX$27=1),'05_FEATURE_MODEL'!AB$5:AB$27)/MAX(1,COUNTIF('93_TARGET_MEMBERSHIP'!AX$5:AX$27,1))-SUMPRODUCT(--('93_TARGET_MEMBERSHIP'!AX$5:AX$27=-1),'05_FEATURE_MODEL'!AB$5:AB$27)/MAX(1,COUNTIF('93_TARGET_MEMBERSHIP'!AX$5:AX$27,-1))))</f>
        <v/>
      </c>
      <c r="AB53" s="34">
        <f>IF($B53="ABSOLUTE SEMANTIC",ABS('06_ITEM_POLE_MODEL'!AK53),ABS('06_ITEM_POLE_MODEL'!AK53)*ABS(SUMPRODUCT(--('93_TARGET_MEMBERSHIP'!AX$5:AX$27=1),'05_FEATURE_MODEL'!AC$5:AC$27)/MAX(1,COUNTIF('93_TARGET_MEMBERSHIP'!AX$5:AX$27,1))-SUMPRODUCT(--('93_TARGET_MEMBERSHIP'!AX$5:AX$27=-1),'05_FEATURE_MODEL'!AC$5:AC$27)/MAX(1,COUNTIF('93_TARGET_MEMBERSHIP'!AX$5:AX$27,-1))))</f>
        <v/>
      </c>
      <c r="AC53" s="34">
        <f>IF($B53="ABSOLUTE SEMANTIC",ABS('06_ITEM_POLE_MODEL'!AL53),ABS('06_ITEM_POLE_MODEL'!AL53)*ABS(SUMPRODUCT(--('93_TARGET_MEMBERSHIP'!AX$5:AX$27=1),'05_FEATURE_MODEL'!AD$5:AD$27)/MAX(1,COUNTIF('93_TARGET_MEMBERSHIP'!AX$5:AX$27,1))-SUMPRODUCT(--('93_TARGET_MEMBERSHIP'!AX$5:AX$27=-1),'05_FEATURE_MODEL'!AD$5:AD$27)/MAX(1,COUNTIF('93_TARGET_MEMBERSHIP'!AX$5:AX$27,-1))))</f>
        <v/>
      </c>
      <c r="AD53" s="34">
        <f>IF($B53="ABSOLUTE SEMANTIC",ABS('06_ITEM_POLE_MODEL'!AM53),ABS('06_ITEM_POLE_MODEL'!AM53)*ABS(SUMPRODUCT(--('93_TARGET_MEMBERSHIP'!AX$5:AX$27=1),'05_FEATURE_MODEL'!AE$5:AE$27)/MAX(1,COUNTIF('93_TARGET_MEMBERSHIP'!AX$5:AX$27,1))-SUMPRODUCT(--('93_TARGET_MEMBERSHIP'!AX$5:AX$27=-1),'05_FEATURE_MODEL'!AE$5:AE$27)/MAX(1,COUNTIF('93_TARGET_MEMBERSHIP'!AX$5:AX$27,-1))))</f>
        <v/>
      </c>
      <c r="AE53" s="34">
        <f>IF($B53="ABSOLUTE SEMANTIC",ABS('06_ITEM_POLE_MODEL'!AN53),ABS('06_ITEM_POLE_MODEL'!AN53)*ABS(SUMPRODUCT(--('93_TARGET_MEMBERSHIP'!AX$5:AX$27=1),'05_FEATURE_MODEL'!AF$5:AF$27)/MAX(1,COUNTIF('93_TARGET_MEMBERSHIP'!AX$5:AX$27,1))-SUMPRODUCT(--('93_TARGET_MEMBERSHIP'!AX$5:AX$27=-1),'05_FEATURE_MODEL'!AF$5:AF$27)/MAX(1,COUNTIF('93_TARGET_MEMBERSHIP'!AX$5:AX$27,-1))))</f>
        <v/>
      </c>
      <c r="AF53" s="34">
        <f>IF($B53="ABSOLUTE SEMANTIC",ABS('06_ITEM_POLE_MODEL'!AO53),ABS('06_ITEM_POLE_MODEL'!AO53)*ABS(SUMPRODUCT(--('93_TARGET_MEMBERSHIP'!AX$5:AX$27=1),'05_FEATURE_MODEL'!AG$5:AG$27)/MAX(1,COUNTIF('93_TARGET_MEMBERSHIP'!AX$5:AX$27,1))-SUMPRODUCT(--('93_TARGET_MEMBERSHIP'!AX$5:AX$27=-1),'05_FEATURE_MODEL'!AG$5:AG$27)/MAX(1,COUNTIF('93_TARGET_MEMBERSHIP'!AX$5:AX$27,-1))))</f>
        <v/>
      </c>
      <c r="AG53" s="34">
        <f>IF($B53="ABSOLUTE SEMANTIC",ABS('06_ITEM_POLE_MODEL'!AP53),ABS('06_ITEM_POLE_MODEL'!AP53)*ABS(SUMPRODUCT(--('93_TARGET_MEMBERSHIP'!AX$5:AX$27=1),'05_FEATURE_MODEL'!AH$5:AH$27)/MAX(1,COUNTIF('93_TARGET_MEMBERSHIP'!AX$5:AX$27,1))-SUMPRODUCT(--('93_TARGET_MEMBERSHIP'!AX$5:AX$27=-1),'05_FEATURE_MODEL'!AH$5:AH$27)/MAX(1,COUNTIF('93_TARGET_MEMBERSHIP'!AX$5:AX$27,-1))))</f>
        <v/>
      </c>
      <c r="AH53" s="34">
        <f>IF($B53="ABSOLUTE SEMANTIC",ABS('06_ITEM_POLE_MODEL'!AQ53),ABS('06_ITEM_POLE_MODEL'!AQ53)*ABS(SUMPRODUCT(--('93_TARGET_MEMBERSHIP'!AX$5:AX$27=1),'05_FEATURE_MODEL'!AI$5:AI$27)/MAX(1,COUNTIF('93_TARGET_MEMBERSHIP'!AX$5:AX$27,1))-SUMPRODUCT(--('93_TARGET_MEMBERSHIP'!AX$5:AX$27=-1),'05_FEATURE_MODEL'!AI$5:AI$27)/MAX(1,COUNTIF('93_TARGET_MEMBERSHIP'!AX$5:AX$27,-1))))</f>
        <v/>
      </c>
      <c r="AI53" s="34">
        <f>IF($B53="ABSOLUTE SEMANTIC",ABS('06_ITEM_POLE_MODEL'!AR53),ABS('06_ITEM_POLE_MODEL'!AR53)*ABS(SUMPRODUCT(--('93_TARGET_MEMBERSHIP'!AX$5:AX$27=1),'05_FEATURE_MODEL'!AJ$5:AJ$27)/MAX(1,COUNTIF('93_TARGET_MEMBERSHIP'!AX$5:AX$27,1))-SUMPRODUCT(--('93_TARGET_MEMBERSHIP'!AX$5:AX$27=-1),'05_FEATURE_MODEL'!AJ$5:AJ$27)/MAX(1,COUNTIF('93_TARGET_MEMBERSHIP'!AX$5:AX$27,-1))))</f>
        <v/>
      </c>
      <c r="AJ53" s="34">
        <f>IF($B53="ABSOLUTE SEMANTIC",ABS('06_ITEM_POLE_MODEL'!AS53),ABS('06_ITEM_POLE_MODEL'!AS53)*ABS(SUMPRODUCT(--('93_TARGET_MEMBERSHIP'!AX$5:AX$27=1),'05_FEATURE_MODEL'!AK$5:AK$27)/MAX(1,COUNTIF('93_TARGET_MEMBERSHIP'!AX$5:AX$27,1))-SUMPRODUCT(--('93_TARGET_MEMBERSHIP'!AX$5:AX$27=-1),'05_FEATURE_MODEL'!AK$5:AK$27)/MAX(1,COUNTIF('93_TARGET_MEMBERSHIP'!AX$5:AX$27,-1))))</f>
        <v/>
      </c>
      <c r="AK53" s="34">
        <f>IF($B53="ABSOLUTE SEMANTIC",ABS('06_ITEM_POLE_MODEL'!AT53),ABS('06_ITEM_POLE_MODEL'!AT53)*ABS(SUMPRODUCT(--('93_TARGET_MEMBERSHIP'!AX$5:AX$27=1),'05_FEATURE_MODEL'!AL$5:AL$27)/MAX(1,COUNTIF('93_TARGET_MEMBERSHIP'!AX$5:AX$27,1))-SUMPRODUCT(--('93_TARGET_MEMBERSHIP'!AX$5:AX$27=-1),'05_FEATURE_MODEL'!AL$5:AL$27)/MAX(1,COUNTIF('93_TARGET_MEMBERSHIP'!AX$5:AX$27,-1))))</f>
        <v/>
      </c>
      <c r="AL53" s="34">
        <f>IF($B53="ABSOLUTE SEMANTIC",ABS('06_ITEM_POLE_MODEL'!AU53),ABS('06_ITEM_POLE_MODEL'!AU53)*ABS(SUMPRODUCT(--('93_TARGET_MEMBERSHIP'!AX$5:AX$27=1),'05_FEATURE_MODEL'!AM$5:AM$27)/MAX(1,COUNTIF('93_TARGET_MEMBERSHIP'!AX$5:AX$27,1))-SUMPRODUCT(--('93_TARGET_MEMBERSHIP'!AX$5:AX$27=-1),'05_FEATURE_MODEL'!AM$5:AM$27)/MAX(1,COUNTIF('93_TARGET_MEMBERSHIP'!AX$5:AX$27,-1))))</f>
        <v/>
      </c>
      <c r="AM53" s="34">
        <f>IF($B53="ABSOLUTE SEMANTIC",ABS('06_ITEM_POLE_MODEL'!AV53),ABS('06_ITEM_POLE_MODEL'!AV53)*ABS(SUMPRODUCT(--('93_TARGET_MEMBERSHIP'!AX$5:AX$27=1),'05_FEATURE_MODEL'!AN$5:AN$27)/MAX(1,COUNTIF('93_TARGET_MEMBERSHIP'!AX$5:AX$27,1))-SUMPRODUCT(--('93_TARGET_MEMBERSHIP'!AX$5:AX$27=-1),'05_FEATURE_MODEL'!AN$5:AN$27)/MAX(1,COUNTIF('93_TARGET_MEMBERSHIP'!AX$5:AX$27,-1))))</f>
        <v/>
      </c>
      <c r="AN53" s="34">
        <f>IF($B53="ABSOLUTE SEMANTIC",ABS('06_ITEM_POLE_MODEL'!AW53),ABS('06_ITEM_POLE_MODEL'!AW53)*ABS(SUMPRODUCT(--('93_TARGET_MEMBERSHIP'!AX$5:AX$27=1),'05_FEATURE_MODEL'!AO$5:AO$27)/MAX(1,COUNTIF('93_TARGET_MEMBERSHIP'!AX$5:AX$27,1))-SUMPRODUCT(--('93_TARGET_MEMBERSHIP'!AX$5:AX$27=-1),'05_FEATURE_MODEL'!AO$5:AO$27)/MAX(1,COUNTIF('93_TARGET_MEMBERSHIP'!AX$5:AX$27,-1))))</f>
        <v/>
      </c>
      <c r="AO53" s="34">
        <f>IF($B53="ABSOLUTE SEMANTIC",ABS('06_ITEM_POLE_MODEL'!AX53),ABS('06_ITEM_POLE_MODEL'!AX53)*ABS(SUMPRODUCT(--('93_TARGET_MEMBERSHIP'!AX$5:AX$27=1),'05_FEATURE_MODEL'!AP$5:AP$27)/MAX(1,COUNTIF('93_TARGET_MEMBERSHIP'!AX$5:AX$27,1))-SUMPRODUCT(--('93_TARGET_MEMBERSHIP'!AX$5:AX$27=-1),'05_FEATURE_MODEL'!AP$5:AP$27)/MAX(1,COUNTIF('93_TARGET_MEMBERSHIP'!AX$5:AX$27,-1))))</f>
        <v/>
      </c>
      <c r="AP53" s="34">
        <f>IF($B53="ABSOLUTE SEMANTIC",ABS('06_ITEM_POLE_MODEL'!AY53),ABS('06_ITEM_POLE_MODEL'!AY53)*ABS(SUMPRODUCT(--('93_TARGET_MEMBERSHIP'!AX$5:AX$27=1),'05_FEATURE_MODEL'!AQ$5:AQ$27)/MAX(1,COUNTIF('93_TARGET_MEMBERSHIP'!AX$5:AX$27,1))-SUMPRODUCT(--('93_TARGET_MEMBERSHIP'!AX$5:AX$27=-1),'05_FEATURE_MODEL'!AQ$5:AQ$27)/MAX(1,COUNTIF('93_TARGET_MEMBERSHIP'!AX$5:AX$27,-1))))</f>
        <v/>
      </c>
      <c r="AQ53" s="34">
        <f>IF($B53="ABSOLUTE SEMANTIC",ABS('06_ITEM_POLE_MODEL'!AZ53),ABS('06_ITEM_POLE_MODEL'!AZ53)*ABS(SUMPRODUCT(--('93_TARGET_MEMBERSHIP'!AX$5:AX$27=1),'05_FEATURE_MODEL'!AR$5:AR$27)/MAX(1,COUNTIF('93_TARGET_MEMBERSHIP'!AX$5:AX$27,1))-SUMPRODUCT(--('93_TARGET_MEMBERSHIP'!AX$5:AX$27=-1),'05_FEATURE_MODEL'!AR$5:AR$27)/MAX(1,COUNTIF('93_TARGET_MEMBERSHIP'!AX$5:AX$27,-1))))</f>
        <v/>
      </c>
    </row>
    <row r="54" ht="36" customHeight="1">
      <c r="A54" s="34">
        <f>'06_ITEM_POLE_MODEL'!A54</f>
        <v/>
      </c>
      <c r="B54" s="34">
        <f>'06_ITEM_POLE_MODEL'!E54</f>
        <v/>
      </c>
      <c r="C54" s="34">
        <f>IF($B54="ABSOLUTE SEMANTIC",ABS('06_ITEM_POLE_MODEL'!L54),ABS('06_ITEM_POLE_MODEL'!L54)*ABS(SUMPRODUCT(--('93_TARGET_MEMBERSHIP'!AY$5:AY$27=1),'05_FEATURE_MODEL'!D$5:D$27)/MAX(1,COUNTIF('93_TARGET_MEMBERSHIP'!AY$5:AY$27,1))-SUMPRODUCT(--('93_TARGET_MEMBERSHIP'!AY$5:AY$27=-1),'05_FEATURE_MODEL'!D$5:D$27)/MAX(1,COUNTIF('93_TARGET_MEMBERSHIP'!AY$5:AY$27,-1))))</f>
        <v/>
      </c>
      <c r="D54" s="34">
        <f>IF($B54="ABSOLUTE SEMANTIC",ABS('06_ITEM_POLE_MODEL'!M54),ABS('06_ITEM_POLE_MODEL'!M54)*ABS(SUMPRODUCT(--('93_TARGET_MEMBERSHIP'!AY$5:AY$27=1),'05_FEATURE_MODEL'!E$5:E$27)/MAX(1,COUNTIF('93_TARGET_MEMBERSHIP'!AY$5:AY$27,1))-SUMPRODUCT(--('93_TARGET_MEMBERSHIP'!AY$5:AY$27=-1),'05_FEATURE_MODEL'!E$5:E$27)/MAX(1,COUNTIF('93_TARGET_MEMBERSHIP'!AY$5:AY$27,-1))))</f>
        <v/>
      </c>
      <c r="E54" s="34">
        <f>IF($B54="ABSOLUTE SEMANTIC",ABS('06_ITEM_POLE_MODEL'!N54),ABS('06_ITEM_POLE_MODEL'!N54)*ABS(SUMPRODUCT(--('93_TARGET_MEMBERSHIP'!AY$5:AY$27=1),'05_FEATURE_MODEL'!F$5:F$27)/MAX(1,COUNTIF('93_TARGET_MEMBERSHIP'!AY$5:AY$27,1))-SUMPRODUCT(--('93_TARGET_MEMBERSHIP'!AY$5:AY$27=-1),'05_FEATURE_MODEL'!F$5:F$27)/MAX(1,COUNTIF('93_TARGET_MEMBERSHIP'!AY$5:AY$27,-1))))</f>
        <v/>
      </c>
      <c r="F54" s="34">
        <f>IF($B54="ABSOLUTE SEMANTIC",ABS('06_ITEM_POLE_MODEL'!O54),ABS('06_ITEM_POLE_MODEL'!O54)*ABS(SUMPRODUCT(--('93_TARGET_MEMBERSHIP'!AY$5:AY$27=1),'05_FEATURE_MODEL'!G$5:G$27)/MAX(1,COUNTIF('93_TARGET_MEMBERSHIP'!AY$5:AY$27,1))-SUMPRODUCT(--('93_TARGET_MEMBERSHIP'!AY$5:AY$27=-1),'05_FEATURE_MODEL'!G$5:G$27)/MAX(1,COUNTIF('93_TARGET_MEMBERSHIP'!AY$5:AY$27,-1))))</f>
        <v/>
      </c>
      <c r="G54" s="34">
        <f>IF($B54="ABSOLUTE SEMANTIC",ABS('06_ITEM_POLE_MODEL'!P54),ABS('06_ITEM_POLE_MODEL'!P54)*ABS(SUMPRODUCT(--('93_TARGET_MEMBERSHIP'!AY$5:AY$27=1),'05_FEATURE_MODEL'!H$5:H$27)/MAX(1,COUNTIF('93_TARGET_MEMBERSHIP'!AY$5:AY$27,1))-SUMPRODUCT(--('93_TARGET_MEMBERSHIP'!AY$5:AY$27=-1),'05_FEATURE_MODEL'!H$5:H$27)/MAX(1,COUNTIF('93_TARGET_MEMBERSHIP'!AY$5:AY$27,-1))))</f>
        <v/>
      </c>
      <c r="H54" s="34">
        <f>IF($B54="ABSOLUTE SEMANTIC",ABS('06_ITEM_POLE_MODEL'!Q54),ABS('06_ITEM_POLE_MODEL'!Q54)*ABS(SUMPRODUCT(--('93_TARGET_MEMBERSHIP'!AY$5:AY$27=1),'05_FEATURE_MODEL'!I$5:I$27)/MAX(1,COUNTIF('93_TARGET_MEMBERSHIP'!AY$5:AY$27,1))-SUMPRODUCT(--('93_TARGET_MEMBERSHIP'!AY$5:AY$27=-1),'05_FEATURE_MODEL'!I$5:I$27)/MAX(1,COUNTIF('93_TARGET_MEMBERSHIP'!AY$5:AY$27,-1))))</f>
        <v/>
      </c>
      <c r="I54" s="34">
        <f>IF($B54="ABSOLUTE SEMANTIC",ABS('06_ITEM_POLE_MODEL'!R54),ABS('06_ITEM_POLE_MODEL'!R54)*ABS(SUMPRODUCT(--('93_TARGET_MEMBERSHIP'!AY$5:AY$27=1),'05_FEATURE_MODEL'!J$5:J$27)/MAX(1,COUNTIF('93_TARGET_MEMBERSHIP'!AY$5:AY$27,1))-SUMPRODUCT(--('93_TARGET_MEMBERSHIP'!AY$5:AY$27=-1),'05_FEATURE_MODEL'!J$5:J$27)/MAX(1,COUNTIF('93_TARGET_MEMBERSHIP'!AY$5:AY$27,-1))))</f>
        <v/>
      </c>
      <c r="J54" s="34">
        <f>IF($B54="ABSOLUTE SEMANTIC",ABS('06_ITEM_POLE_MODEL'!S54),ABS('06_ITEM_POLE_MODEL'!S54)*ABS(SUMPRODUCT(--('93_TARGET_MEMBERSHIP'!AY$5:AY$27=1),'05_FEATURE_MODEL'!K$5:K$27)/MAX(1,COUNTIF('93_TARGET_MEMBERSHIP'!AY$5:AY$27,1))-SUMPRODUCT(--('93_TARGET_MEMBERSHIP'!AY$5:AY$27=-1),'05_FEATURE_MODEL'!K$5:K$27)/MAX(1,COUNTIF('93_TARGET_MEMBERSHIP'!AY$5:AY$27,-1))))</f>
        <v/>
      </c>
      <c r="K54" s="34">
        <f>IF($B54="ABSOLUTE SEMANTIC",ABS('06_ITEM_POLE_MODEL'!T54),ABS('06_ITEM_POLE_MODEL'!T54)*ABS(SUMPRODUCT(--('93_TARGET_MEMBERSHIP'!AY$5:AY$27=1),'05_FEATURE_MODEL'!L$5:L$27)/MAX(1,COUNTIF('93_TARGET_MEMBERSHIP'!AY$5:AY$27,1))-SUMPRODUCT(--('93_TARGET_MEMBERSHIP'!AY$5:AY$27=-1),'05_FEATURE_MODEL'!L$5:L$27)/MAX(1,COUNTIF('93_TARGET_MEMBERSHIP'!AY$5:AY$27,-1))))</f>
        <v/>
      </c>
      <c r="L54" s="34">
        <f>IF($B54="ABSOLUTE SEMANTIC",ABS('06_ITEM_POLE_MODEL'!U54),ABS('06_ITEM_POLE_MODEL'!U54)*ABS(SUMPRODUCT(--('93_TARGET_MEMBERSHIP'!AY$5:AY$27=1),'05_FEATURE_MODEL'!M$5:M$27)/MAX(1,COUNTIF('93_TARGET_MEMBERSHIP'!AY$5:AY$27,1))-SUMPRODUCT(--('93_TARGET_MEMBERSHIP'!AY$5:AY$27=-1),'05_FEATURE_MODEL'!M$5:M$27)/MAX(1,COUNTIF('93_TARGET_MEMBERSHIP'!AY$5:AY$27,-1))))</f>
        <v/>
      </c>
      <c r="M54" s="34">
        <f>IF($B54="ABSOLUTE SEMANTIC",ABS('06_ITEM_POLE_MODEL'!V54),ABS('06_ITEM_POLE_MODEL'!V54)*ABS(SUMPRODUCT(--('93_TARGET_MEMBERSHIP'!AY$5:AY$27=1),'05_FEATURE_MODEL'!N$5:N$27)/MAX(1,COUNTIF('93_TARGET_MEMBERSHIP'!AY$5:AY$27,1))-SUMPRODUCT(--('93_TARGET_MEMBERSHIP'!AY$5:AY$27=-1),'05_FEATURE_MODEL'!N$5:N$27)/MAX(1,COUNTIF('93_TARGET_MEMBERSHIP'!AY$5:AY$27,-1))))</f>
        <v/>
      </c>
      <c r="N54" s="34">
        <f>IF($B54="ABSOLUTE SEMANTIC",ABS('06_ITEM_POLE_MODEL'!W54),ABS('06_ITEM_POLE_MODEL'!W54)*ABS(SUMPRODUCT(--('93_TARGET_MEMBERSHIP'!AY$5:AY$27=1),'05_FEATURE_MODEL'!O$5:O$27)/MAX(1,COUNTIF('93_TARGET_MEMBERSHIP'!AY$5:AY$27,1))-SUMPRODUCT(--('93_TARGET_MEMBERSHIP'!AY$5:AY$27=-1),'05_FEATURE_MODEL'!O$5:O$27)/MAX(1,COUNTIF('93_TARGET_MEMBERSHIP'!AY$5:AY$27,-1))))</f>
        <v/>
      </c>
      <c r="O54" s="34">
        <f>IF($B54="ABSOLUTE SEMANTIC",ABS('06_ITEM_POLE_MODEL'!X54),ABS('06_ITEM_POLE_MODEL'!X54)*ABS(SUMPRODUCT(--('93_TARGET_MEMBERSHIP'!AY$5:AY$27=1),'05_FEATURE_MODEL'!P$5:P$27)/MAX(1,COUNTIF('93_TARGET_MEMBERSHIP'!AY$5:AY$27,1))-SUMPRODUCT(--('93_TARGET_MEMBERSHIP'!AY$5:AY$27=-1),'05_FEATURE_MODEL'!P$5:P$27)/MAX(1,COUNTIF('93_TARGET_MEMBERSHIP'!AY$5:AY$27,-1))))</f>
        <v/>
      </c>
      <c r="P54" s="34">
        <f>IF($B54="ABSOLUTE SEMANTIC",ABS('06_ITEM_POLE_MODEL'!Y54),ABS('06_ITEM_POLE_MODEL'!Y54)*ABS(SUMPRODUCT(--('93_TARGET_MEMBERSHIP'!AY$5:AY$27=1),'05_FEATURE_MODEL'!Q$5:Q$27)/MAX(1,COUNTIF('93_TARGET_MEMBERSHIP'!AY$5:AY$27,1))-SUMPRODUCT(--('93_TARGET_MEMBERSHIP'!AY$5:AY$27=-1),'05_FEATURE_MODEL'!Q$5:Q$27)/MAX(1,COUNTIF('93_TARGET_MEMBERSHIP'!AY$5:AY$27,-1))))</f>
        <v/>
      </c>
      <c r="Q54" s="34">
        <f>IF($B54="ABSOLUTE SEMANTIC",ABS('06_ITEM_POLE_MODEL'!Z54),ABS('06_ITEM_POLE_MODEL'!Z54)*ABS(SUMPRODUCT(--('93_TARGET_MEMBERSHIP'!AY$5:AY$27=1),'05_FEATURE_MODEL'!R$5:R$27)/MAX(1,COUNTIF('93_TARGET_MEMBERSHIP'!AY$5:AY$27,1))-SUMPRODUCT(--('93_TARGET_MEMBERSHIP'!AY$5:AY$27=-1),'05_FEATURE_MODEL'!R$5:R$27)/MAX(1,COUNTIF('93_TARGET_MEMBERSHIP'!AY$5:AY$27,-1))))</f>
        <v/>
      </c>
      <c r="R54" s="34">
        <f>IF($B54="ABSOLUTE SEMANTIC",ABS('06_ITEM_POLE_MODEL'!AA54),ABS('06_ITEM_POLE_MODEL'!AA54)*ABS(SUMPRODUCT(--('93_TARGET_MEMBERSHIP'!AY$5:AY$27=1),'05_FEATURE_MODEL'!S$5:S$27)/MAX(1,COUNTIF('93_TARGET_MEMBERSHIP'!AY$5:AY$27,1))-SUMPRODUCT(--('93_TARGET_MEMBERSHIP'!AY$5:AY$27=-1),'05_FEATURE_MODEL'!S$5:S$27)/MAX(1,COUNTIF('93_TARGET_MEMBERSHIP'!AY$5:AY$27,-1))))</f>
        <v/>
      </c>
      <c r="S54" s="34">
        <f>IF($B54="ABSOLUTE SEMANTIC",ABS('06_ITEM_POLE_MODEL'!AB54),ABS('06_ITEM_POLE_MODEL'!AB54)*ABS(SUMPRODUCT(--('93_TARGET_MEMBERSHIP'!AY$5:AY$27=1),'05_FEATURE_MODEL'!T$5:T$27)/MAX(1,COUNTIF('93_TARGET_MEMBERSHIP'!AY$5:AY$27,1))-SUMPRODUCT(--('93_TARGET_MEMBERSHIP'!AY$5:AY$27=-1),'05_FEATURE_MODEL'!T$5:T$27)/MAX(1,COUNTIF('93_TARGET_MEMBERSHIP'!AY$5:AY$27,-1))))</f>
        <v/>
      </c>
      <c r="T54" s="34">
        <f>IF($B54="ABSOLUTE SEMANTIC",ABS('06_ITEM_POLE_MODEL'!AC54),ABS('06_ITEM_POLE_MODEL'!AC54)*ABS(SUMPRODUCT(--('93_TARGET_MEMBERSHIP'!AY$5:AY$27=1),'05_FEATURE_MODEL'!U$5:U$27)/MAX(1,COUNTIF('93_TARGET_MEMBERSHIP'!AY$5:AY$27,1))-SUMPRODUCT(--('93_TARGET_MEMBERSHIP'!AY$5:AY$27=-1),'05_FEATURE_MODEL'!U$5:U$27)/MAX(1,COUNTIF('93_TARGET_MEMBERSHIP'!AY$5:AY$27,-1))))</f>
        <v/>
      </c>
      <c r="U54" s="34">
        <f>IF($B54="ABSOLUTE SEMANTIC",ABS('06_ITEM_POLE_MODEL'!AD54),ABS('06_ITEM_POLE_MODEL'!AD54)*ABS(SUMPRODUCT(--('93_TARGET_MEMBERSHIP'!AY$5:AY$27=1),'05_FEATURE_MODEL'!V$5:V$27)/MAX(1,COUNTIF('93_TARGET_MEMBERSHIP'!AY$5:AY$27,1))-SUMPRODUCT(--('93_TARGET_MEMBERSHIP'!AY$5:AY$27=-1),'05_FEATURE_MODEL'!V$5:V$27)/MAX(1,COUNTIF('93_TARGET_MEMBERSHIP'!AY$5:AY$27,-1))))</f>
        <v/>
      </c>
      <c r="V54" s="34">
        <f>IF($B54="ABSOLUTE SEMANTIC",ABS('06_ITEM_POLE_MODEL'!AE54),ABS('06_ITEM_POLE_MODEL'!AE54)*ABS(SUMPRODUCT(--('93_TARGET_MEMBERSHIP'!AY$5:AY$27=1),'05_FEATURE_MODEL'!W$5:W$27)/MAX(1,COUNTIF('93_TARGET_MEMBERSHIP'!AY$5:AY$27,1))-SUMPRODUCT(--('93_TARGET_MEMBERSHIP'!AY$5:AY$27=-1),'05_FEATURE_MODEL'!W$5:W$27)/MAX(1,COUNTIF('93_TARGET_MEMBERSHIP'!AY$5:AY$27,-1))))</f>
        <v/>
      </c>
      <c r="W54" s="34">
        <f>IF($B54="ABSOLUTE SEMANTIC",ABS('06_ITEM_POLE_MODEL'!AF54),ABS('06_ITEM_POLE_MODEL'!AF54)*ABS(SUMPRODUCT(--('93_TARGET_MEMBERSHIP'!AY$5:AY$27=1),'05_FEATURE_MODEL'!X$5:X$27)/MAX(1,COUNTIF('93_TARGET_MEMBERSHIP'!AY$5:AY$27,1))-SUMPRODUCT(--('93_TARGET_MEMBERSHIP'!AY$5:AY$27=-1),'05_FEATURE_MODEL'!X$5:X$27)/MAX(1,COUNTIF('93_TARGET_MEMBERSHIP'!AY$5:AY$27,-1))))</f>
        <v/>
      </c>
      <c r="X54" s="34">
        <f>IF($B54="ABSOLUTE SEMANTIC",ABS('06_ITEM_POLE_MODEL'!AG54),ABS('06_ITEM_POLE_MODEL'!AG54)*ABS(SUMPRODUCT(--('93_TARGET_MEMBERSHIP'!AY$5:AY$27=1),'05_FEATURE_MODEL'!Y$5:Y$27)/MAX(1,COUNTIF('93_TARGET_MEMBERSHIP'!AY$5:AY$27,1))-SUMPRODUCT(--('93_TARGET_MEMBERSHIP'!AY$5:AY$27=-1),'05_FEATURE_MODEL'!Y$5:Y$27)/MAX(1,COUNTIF('93_TARGET_MEMBERSHIP'!AY$5:AY$27,-1))))</f>
        <v/>
      </c>
      <c r="Y54" s="34">
        <f>IF($B54="ABSOLUTE SEMANTIC",ABS('06_ITEM_POLE_MODEL'!AH54),ABS('06_ITEM_POLE_MODEL'!AH54)*ABS(SUMPRODUCT(--('93_TARGET_MEMBERSHIP'!AY$5:AY$27=1),'05_FEATURE_MODEL'!Z$5:Z$27)/MAX(1,COUNTIF('93_TARGET_MEMBERSHIP'!AY$5:AY$27,1))-SUMPRODUCT(--('93_TARGET_MEMBERSHIP'!AY$5:AY$27=-1),'05_FEATURE_MODEL'!Z$5:Z$27)/MAX(1,COUNTIF('93_TARGET_MEMBERSHIP'!AY$5:AY$27,-1))))</f>
        <v/>
      </c>
      <c r="Z54" s="34">
        <f>IF($B54="ABSOLUTE SEMANTIC",ABS('06_ITEM_POLE_MODEL'!AI54),ABS('06_ITEM_POLE_MODEL'!AI54)*ABS(SUMPRODUCT(--('93_TARGET_MEMBERSHIP'!AY$5:AY$27=1),'05_FEATURE_MODEL'!AA$5:AA$27)/MAX(1,COUNTIF('93_TARGET_MEMBERSHIP'!AY$5:AY$27,1))-SUMPRODUCT(--('93_TARGET_MEMBERSHIP'!AY$5:AY$27=-1),'05_FEATURE_MODEL'!AA$5:AA$27)/MAX(1,COUNTIF('93_TARGET_MEMBERSHIP'!AY$5:AY$27,-1))))</f>
        <v/>
      </c>
      <c r="AA54" s="34">
        <f>IF($B54="ABSOLUTE SEMANTIC",ABS('06_ITEM_POLE_MODEL'!AJ54),ABS('06_ITEM_POLE_MODEL'!AJ54)*ABS(SUMPRODUCT(--('93_TARGET_MEMBERSHIP'!AY$5:AY$27=1),'05_FEATURE_MODEL'!AB$5:AB$27)/MAX(1,COUNTIF('93_TARGET_MEMBERSHIP'!AY$5:AY$27,1))-SUMPRODUCT(--('93_TARGET_MEMBERSHIP'!AY$5:AY$27=-1),'05_FEATURE_MODEL'!AB$5:AB$27)/MAX(1,COUNTIF('93_TARGET_MEMBERSHIP'!AY$5:AY$27,-1))))</f>
        <v/>
      </c>
      <c r="AB54" s="34">
        <f>IF($B54="ABSOLUTE SEMANTIC",ABS('06_ITEM_POLE_MODEL'!AK54),ABS('06_ITEM_POLE_MODEL'!AK54)*ABS(SUMPRODUCT(--('93_TARGET_MEMBERSHIP'!AY$5:AY$27=1),'05_FEATURE_MODEL'!AC$5:AC$27)/MAX(1,COUNTIF('93_TARGET_MEMBERSHIP'!AY$5:AY$27,1))-SUMPRODUCT(--('93_TARGET_MEMBERSHIP'!AY$5:AY$27=-1),'05_FEATURE_MODEL'!AC$5:AC$27)/MAX(1,COUNTIF('93_TARGET_MEMBERSHIP'!AY$5:AY$27,-1))))</f>
        <v/>
      </c>
      <c r="AC54" s="34">
        <f>IF($B54="ABSOLUTE SEMANTIC",ABS('06_ITEM_POLE_MODEL'!AL54),ABS('06_ITEM_POLE_MODEL'!AL54)*ABS(SUMPRODUCT(--('93_TARGET_MEMBERSHIP'!AY$5:AY$27=1),'05_FEATURE_MODEL'!AD$5:AD$27)/MAX(1,COUNTIF('93_TARGET_MEMBERSHIP'!AY$5:AY$27,1))-SUMPRODUCT(--('93_TARGET_MEMBERSHIP'!AY$5:AY$27=-1),'05_FEATURE_MODEL'!AD$5:AD$27)/MAX(1,COUNTIF('93_TARGET_MEMBERSHIP'!AY$5:AY$27,-1))))</f>
        <v/>
      </c>
      <c r="AD54" s="34">
        <f>IF($B54="ABSOLUTE SEMANTIC",ABS('06_ITEM_POLE_MODEL'!AM54),ABS('06_ITEM_POLE_MODEL'!AM54)*ABS(SUMPRODUCT(--('93_TARGET_MEMBERSHIP'!AY$5:AY$27=1),'05_FEATURE_MODEL'!AE$5:AE$27)/MAX(1,COUNTIF('93_TARGET_MEMBERSHIP'!AY$5:AY$27,1))-SUMPRODUCT(--('93_TARGET_MEMBERSHIP'!AY$5:AY$27=-1),'05_FEATURE_MODEL'!AE$5:AE$27)/MAX(1,COUNTIF('93_TARGET_MEMBERSHIP'!AY$5:AY$27,-1))))</f>
        <v/>
      </c>
      <c r="AE54" s="34">
        <f>IF($B54="ABSOLUTE SEMANTIC",ABS('06_ITEM_POLE_MODEL'!AN54),ABS('06_ITEM_POLE_MODEL'!AN54)*ABS(SUMPRODUCT(--('93_TARGET_MEMBERSHIP'!AY$5:AY$27=1),'05_FEATURE_MODEL'!AF$5:AF$27)/MAX(1,COUNTIF('93_TARGET_MEMBERSHIP'!AY$5:AY$27,1))-SUMPRODUCT(--('93_TARGET_MEMBERSHIP'!AY$5:AY$27=-1),'05_FEATURE_MODEL'!AF$5:AF$27)/MAX(1,COUNTIF('93_TARGET_MEMBERSHIP'!AY$5:AY$27,-1))))</f>
        <v/>
      </c>
      <c r="AF54" s="34">
        <f>IF($B54="ABSOLUTE SEMANTIC",ABS('06_ITEM_POLE_MODEL'!AO54),ABS('06_ITEM_POLE_MODEL'!AO54)*ABS(SUMPRODUCT(--('93_TARGET_MEMBERSHIP'!AY$5:AY$27=1),'05_FEATURE_MODEL'!AG$5:AG$27)/MAX(1,COUNTIF('93_TARGET_MEMBERSHIP'!AY$5:AY$27,1))-SUMPRODUCT(--('93_TARGET_MEMBERSHIP'!AY$5:AY$27=-1),'05_FEATURE_MODEL'!AG$5:AG$27)/MAX(1,COUNTIF('93_TARGET_MEMBERSHIP'!AY$5:AY$27,-1))))</f>
        <v/>
      </c>
      <c r="AG54" s="34">
        <f>IF($B54="ABSOLUTE SEMANTIC",ABS('06_ITEM_POLE_MODEL'!AP54),ABS('06_ITEM_POLE_MODEL'!AP54)*ABS(SUMPRODUCT(--('93_TARGET_MEMBERSHIP'!AY$5:AY$27=1),'05_FEATURE_MODEL'!AH$5:AH$27)/MAX(1,COUNTIF('93_TARGET_MEMBERSHIP'!AY$5:AY$27,1))-SUMPRODUCT(--('93_TARGET_MEMBERSHIP'!AY$5:AY$27=-1),'05_FEATURE_MODEL'!AH$5:AH$27)/MAX(1,COUNTIF('93_TARGET_MEMBERSHIP'!AY$5:AY$27,-1))))</f>
        <v/>
      </c>
      <c r="AH54" s="34">
        <f>IF($B54="ABSOLUTE SEMANTIC",ABS('06_ITEM_POLE_MODEL'!AQ54),ABS('06_ITEM_POLE_MODEL'!AQ54)*ABS(SUMPRODUCT(--('93_TARGET_MEMBERSHIP'!AY$5:AY$27=1),'05_FEATURE_MODEL'!AI$5:AI$27)/MAX(1,COUNTIF('93_TARGET_MEMBERSHIP'!AY$5:AY$27,1))-SUMPRODUCT(--('93_TARGET_MEMBERSHIP'!AY$5:AY$27=-1),'05_FEATURE_MODEL'!AI$5:AI$27)/MAX(1,COUNTIF('93_TARGET_MEMBERSHIP'!AY$5:AY$27,-1))))</f>
        <v/>
      </c>
      <c r="AI54" s="34">
        <f>IF($B54="ABSOLUTE SEMANTIC",ABS('06_ITEM_POLE_MODEL'!AR54),ABS('06_ITEM_POLE_MODEL'!AR54)*ABS(SUMPRODUCT(--('93_TARGET_MEMBERSHIP'!AY$5:AY$27=1),'05_FEATURE_MODEL'!AJ$5:AJ$27)/MAX(1,COUNTIF('93_TARGET_MEMBERSHIP'!AY$5:AY$27,1))-SUMPRODUCT(--('93_TARGET_MEMBERSHIP'!AY$5:AY$27=-1),'05_FEATURE_MODEL'!AJ$5:AJ$27)/MAX(1,COUNTIF('93_TARGET_MEMBERSHIP'!AY$5:AY$27,-1))))</f>
        <v/>
      </c>
      <c r="AJ54" s="34">
        <f>IF($B54="ABSOLUTE SEMANTIC",ABS('06_ITEM_POLE_MODEL'!AS54),ABS('06_ITEM_POLE_MODEL'!AS54)*ABS(SUMPRODUCT(--('93_TARGET_MEMBERSHIP'!AY$5:AY$27=1),'05_FEATURE_MODEL'!AK$5:AK$27)/MAX(1,COUNTIF('93_TARGET_MEMBERSHIP'!AY$5:AY$27,1))-SUMPRODUCT(--('93_TARGET_MEMBERSHIP'!AY$5:AY$27=-1),'05_FEATURE_MODEL'!AK$5:AK$27)/MAX(1,COUNTIF('93_TARGET_MEMBERSHIP'!AY$5:AY$27,-1))))</f>
        <v/>
      </c>
      <c r="AK54" s="34">
        <f>IF($B54="ABSOLUTE SEMANTIC",ABS('06_ITEM_POLE_MODEL'!AT54),ABS('06_ITEM_POLE_MODEL'!AT54)*ABS(SUMPRODUCT(--('93_TARGET_MEMBERSHIP'!AY$5:AY$27=1),'05_FEATURE_MODEL'!AL$5:AL$27)/MAX(1,COUNTIF('93_TARGET_MEMBERSHIP'!AY$5:AY$27,1))-SUMPRODUCT(--('93_TARGET_MEMBERSHIP'!AY$5:AY$27=-1),'05_FEATURE_MODEL'!AL$5:AL$27)/MAX(1,COUNTIF('93_TARGET_MEMBERSHIP'!AY$5:AY$27,-1))))</f>
        <v/>
      </c>
      <c r="AL54" s="34">
        <f>IF($B54="ABSOLUTE SEMANTIC",ABS('06_ITEM_POLE_MODEL'!AU54),ABS('06_ITEM_POLE_MODEL'!AU54)*ABS(SUMPRODUCT(--('93_TARGET_MEMBERSHIP'!AY$5:AY$27=1),'05_FEATURE_MODEL'!AM$5:AM$27)/MAX(1,COUNTIF('93_TARGET_MEMBERSHIP'!AY$5:AY$27,1))-SUMPRODUCT(--('93_TARGET_MEMBERSHIP'!AY$5:AY$27=-1),'05_FEATURE_MODEL'!AM$5:AM$27)/MAX(1,COUNTIF('93_TARGET_MEMBERSHIP'!AY$5:AY$27,-1))))</f>
        <v/>
      </c>
      <c r="AM54" s="34">
        <f>IF($B54="ABSOLUTE SEMANTIC",ABS('06_ITEM_POLE_MODEL'!AV54),ABS('06_ITEM_POLE_MODEL'!AV54)*ABS(SUMPRODUCT(--('93_TARGET_MEMBERSHIP'!AY$5:AY$27=1),'05_FEATURE_MODEL'!AN$5:AN$27)/MAX(1,COUNTIF('93_TARGET_MEMBERSHIP'!AY$5:AY$27,1))-SUMPRODUCT(--('93_TARGET_MEMBERSHIP'!AY$5:AY$27=-1),'05_FEATURE_MODEL'!AN$5:AN$27)/MAX(1,COUNTIF('93_TARGET_MEMBERSHIP'!AY$5:AY$27,-1))))</f>
        <v/>
      </c>
      <c r="AN54" s="34">
        <f>IF($B54="ABSOLUTE SEMANTIC",ABS('06_ITEM_POLE_MODEL'!AW54),ABS('06_ITEM_POLE_MODEL'!AW54)*ABS(SUMPRODUCT(--('93_TARGET_MEMBERSHIP'!AY$5:AY$27=1),'05_FEATURE_MODEL'!AO$5:AO$27)/MAX(1,COUNTIF('93_TARGET_MEMBERSHIP'!AY$5:AY$27,1))-SUMPRODUCT(--('93_TARGET_MEMBERSHIP'!AY$5:AY$27=-1),'05_FEATURE_MODEL'!AO$5:AO$27)/MAX(1,COUNTIF('93_TARGET_MEMBERSHIP'!AY$5:AY$27,-1))))</f>
        <v/>
      </c>
      <c r="AO54" s="34">
        <f>IF($B54="ABSOLUTE SEMANTIC",ABS('06_ITEM_POLE_MODEL'!AX54),ABS('06_ITEM_POLE_MODEL'!AX54)*ABS(SUMPRODUCT(--('93_TARGET_MEMBERSHIP'!AY$5:AY$27=1),'05_FEATURE_MODEL'!AP$5:AP$27)/MAX(1,COUNTIF('93_TARGET_MEMBERSHIP'!AY$5:AY$27,1))-SUMPRODUCT(--('93_TARGET_MEMBERSHIP'!AY$5:AY$27=-1),'05_FEATURE_MODEL'!AP$5:AP$27)/MAX(1,COUNTIF('93_TARGET_MEMBERSHIP'!AY$5:AY$27,-1))))</f>
        <v/>
      </c>
      <c r="AP54" s="34">
        <f>IF($B54="ABSOLUTE SEMANTIC",ABS('06_ITEM_POLE_MODEL'!AY54),ABS('06_ITEM_POLE_MODEL'!AY54)*ABS(SUMPRODUCT(--('93_TARGET_MEMBERSHIP'!AY$5:AY$27=1),'05_FEATURE_MODEL'!AQ$5:AQ$27)/MAX(1,COUNTIF('93_TARGET_MEMBERSHIP'!AY$5:AY$27,1))-SUMPRODUCT(--('93_TARGET_MEMBERSHIP'!AY$5:AY$27=-1),'05_FEATURE_MODEL'!AQ$5:AQ$27)/MAX(1,COUNTIF('93_TARGET_MEMBERSHIP'!AY$5:AY$27,-1))))</f>
        <v/>
      </c>
      <c r="AQ54" s="34">
        <f>IF($B54="ABSOLUTE SEMANTIC",ABS('06_ITEM_POLE_MODEL'!AZ54),ABS('06_ITEM_POLE_MODEL'!AZ54)*ABS(SUMPRODUCT(--('93_TARGET_MEMBERSHIP'!AY$5:AY$27=1),'05_FEATURE_MODEL'!AR$5:AR$27)/MAX(1,COUNTIF('93_TARGET_MEMBERSHIP'!AY$5:AY$27,1))-SUMPRODUCT(--('93_TARGET_MEMBERSHIP'!AY$5:AY$27=-1),'05_FEATURE_MODEL'!AR$5:AR$27)/MAX(1,COUNTIF('93_TARGET_MEMBERSHIP'!AY$5:AY$27,-1))))</f>
        <v/>
      </c>
    </row>
    <row r="55" ht="36" customHeight="1">
      <c r="A55" s="34">
        <f>'06_ITEM_POLE_MODEL'!A55</f>
        <v/>
      </c>
      <c r="B55" s="34">
        <f>'06_ITEM_POLE_MODEL'!E55</f>
        <v/>
      </c>
      <c r="C55" s="34">
        <f>IF($B55="ABSOLUTE SEMANTIC",ABS('06_ITEM_POLE_MODEL'!L55),ABS('06_ITEM_POLE_MODEL'!L55)*ABS(SUMPRODUCT(--('93_TARGET_MEMBERSHIP'!AZ$5:AZ$27=1),'05_FEATURE_MODEL'!D$5:D$27)/MAX(1,COUNTIF('93_TARGET_MEMBERSHIP'!AZ$5:AZ$27,1))-SUMPRODUCT(--('93_TARGET_MEMBERSHIP'!AZ$5:AZ$27=-1),'05_FEATURE_MODEL'!D$5:D$27)/MAX(1,COUNTIF('93_TARGET_MEMBERSHIP'!AZ$5:AZ$27,-1))))</f>
        <v/>
      </c>
      <c r="D55" s="34">
        <f>IF($B55="ABSOLUTE SEMANTIC",ABS('06_ITEM_POLE_MODEL'!M55),ABS('06_ITEM_POLE_MODEL'!M55)*ABS(SUMPRODUCT(--('93_TARGET_MEMBERSHIP'!AZ$5:AZ$27=1),'05_FEATURE_MODEL'!E$5:E$27)/MAX(1,COUNTIF('93_TARGET_MEMBERSHIP'!AZ$5:AZ$27,1))-SUMPRODUCT(--('93_TARGET_MEMBERSHIP'!AZ$5:AZ$27=-1),'05_FEATURE_MODEL'!E$5:E$27)/MAX(1,COUNTIF('93_TARGET_MEMBERSHIP'!AZ$5:AZ$27,-1))))</f>
        <v/>
      </c>
      <c r="E55" s="34">
        <f>IF($B55="ABSOLUTE SEMANTIC",ABS('06_ITEM_POLE_MODEL'!N55),ABS('06_ITEM_POLE_MODEL'!N55)*ABS(SUMPRODUCT(--('93_TARGET_MEMBERSHIP'!AZ$5:AZ$27=1),'05_FEATURE_MODEL'!F$5:F$27)/MAX(1,COUNTIF('93_TARGET_MEMBERSHIP'!AZ$5:AZ$27,1))-SUMPRODUCT(--('93_TARGET_MEMBERSHIP'!AZ$5:AZ$27=-1),'05_FEATURE_MODEL'!F$5:F$27)/MAX(1,COUNTIF('93_TARGET_MEMBERSHIP'!AZ$5:AZ$27,-1))))</f>
        <v/>
      </c>
      <c r="F55" s="34">
        <f>IF($B55="ABSOLUTE SEMANTIC",ABS('06_ITEM_POLE_MODEL'!O55),ABS('06_ITEM_POLE_MODEL'!O55)*ABS(SUMPRODUCT(--('93_TARGET_MEMBERSHIP'!AZ$5:AZ$27=1),'05_FEATURE_MODEL'!G$5:G$27)/MAX(1,COUNTIF('93_TARGET_MEMBERSHIP'!AZ$5:AZ$27,1))-SUMPRODUCT(--('93_TARGET_MEMBERSHIP'!AZ$5:AZ$27=-1),'05_FEATURE_MODEL'!G$5:G$27)/MAX(1,COUNTIF('93_TARGET_MEMBERSHIP'!AZ$5:AZ$27,-1))))</f>
        <v/>
      </c>
      <c r="G55" s="34">
        <f>IF($B55="ABSOLUTE SEMANTIC",ABS('06_ITEM_POLE_MODEL'!P55),ABS('06_ITEM_POLE_MODEL'!P55)*ABS(SUMPRODUCT(--('93_TARGET_MEMBERSHIP'!AZ$5:AZ$27=1),'05_FEATURE_MODEL'!H$5:H$27)/MAX(1,COUNTIF('93_TARGET_MEMBERSHIP'!AZ$5:AZ$27,1))-SUMPRODUCT(--('93_TARGET_MEMBERSHIP'!AZ$5:AZ$27=-1),'05_FEATURE_MODEL'!H$5:H$27)/MAX(1,COUNTIF('93_TARGET_MEMBERSHIP'!AZ$5:AZ$27,-1))))</f>
        <v/>
      </c>
      <c r="H55" s="34">
        <f>IF($B55="ABSOLUTE SEMANTIC",ABS('06_ITEM_POLE_MODEL'!Q55),ABS('06_ITEM_POLE_MODEL'!Q55)*ABS(SUMPRODUCT(--('93_TARGET_MEMBERSHIP'!AZ$5:AZ$27=1),'05_FEATURE_MODEL'!I$5:I$27)/MAX(1,COUNTIF('93_TARGET_MEMBERSHIP'!AZ$5:AZ$27,1))-SUMPRODUCT(--('93_TARGET_MEMBERSHIP'!AZ$5:AZ$27=-1),'05_FEATURE_MODEL'!I$5:I$27)/MAX(1,COUNTIF('93_TARGET_MEMBERSHIP'!AZ$5:AZ$27,-1))))</f>
        <v/>
      </c>
      <c r="I55" s="34">
        <f>IF($B55="ABSOLUTE SEMANTIC",ABS('06_ITEM_POLE_MODEL'!R55),ABS('06_ITEM_POLE_MODEL'!R55)*ABS(SUMPRODUCT(--('93_TARGET_MEMBERSHIP'!AZ$5:AZ$27=1),'05_FEATURE_MODEL'!J$5:J$27)/MAX(1,COUNTIF('93_TARGET_MEMBERSHIP'!AZ$5:AZ$27,1))-SUMPRODUCT(--('93_TARGET_MEMBERSHIP'!AZ$5:AZ$27=-1),'05_FEATURE_MODEL'!J$5:J$27)/MAX(1,COUNTIF('93_TARGET_MEMBERSHIP'!AZ$5:AZ$27,-1))))</f>
        <v/>
      </c>
      <c r="J55" s="34">
        <f>IF($B55="ABSOLUTE SEMANTIC",ABS('06_ITEM_POLE_MODEL'!S55),ABS('06_ITEM_POLE_MODEL'!S55)*ABS(SUMPRODUCT(--('93_TARGET_MEMBERSHIP'!AZ$5:AZ$27=1),'05_FEATURE_MODEL'!K$5:K$27)/MAX(1,COUNTIF('93_TARGET_MEMBERSHIP'!AZ$5:AZ$27,1))-SUMPRODUCT(--('93_TARGET_MEMBERSHIP'!AZ$5:AZ$27=-1),'05_FEATURE_MODEL'!K$5:K$27)/MAX(1,COUNTIF('93_TARGET_MEMBERSHIP'!AZ$5:AZ$27,-1))))</f>
        <v/>
      </c>
      <c r="K55" s="34">
        <f>IF($B55="ABSOLUTE SEMANTIC",ABS('06_ITEM_POLE_MODEL'!T55),ABS('06_ITEM_POLE_MODEL'!T55)*ABS(SUMPRODUCT(--('93_TARGET_MEMBERSHIP'!AZ$5:AZ$27=1),'05_FEATURE_MODEL'!L$5:L$27)/MAX(1,COUNTIF('93_TARGET_MEMBERSHIP'!AZ$5:AZ$27,1))-SUMPRODUCT(--('93_TARGET_MEMBERSHIP'!AZ$5:AZ$27=-1),'05_FEATURE_MODEL'!L$5:L$27)/MAX(1,COUNTIF('93_TARGET_MEMBERSHIP'!AZ$5:AZ$27,-1))))</f>
        <v/>
      </c>
      <c r="L55" s="34">
        <f>IF($B55="ABSOLUTE SEMANTIC",ABS('06_ITEM_POLE_MODEL'!U55),ABS('06_ITEM_POLE_MODEL'!U55)*ABS(SUMPRODUCT(--('93_TARGET_MEMBERSHIP'!AZ$5:AZ$27=1),'05_FEATURE_MODEL'!M$5:M$27)/MAX(1,COUNTIF('93_TARGET_MEMBERSHIP'!AZ$5:AZ$27,1))-SUMPRODUCT(--('93_TARGET_MEMBERSHIP'!AZ$5:AZ$27=-1),'05_FEATURE_MODEL'!M$5:M$27)/MAX(1,COUNTIF('93_TARGET_MEMBERSHIP'!AZ$5:AZ$27,-1))))</f>
        <v/>
      </c>
      <c r="M55" s="34">
        <f>IF($B55="ABSOLUTE SEMANTIC",ABS('06_ITEM_POLE_MODEL'!V55),ABS('06_ITEM_POLE_MODEL'!V55)*ABS(SUMPRODUCT(--('93_TARGET_MEMBERSHIP'!AZ$5:AZ$27=1),'05_FEATURE_MODEL'!N$5:N$27)/MAX(1,COUNTIF('93_TARGET_MEMBERSHIP'!AZ$5:AZ$27,1))-SUMPRODUCT(--('93_TARGET_MEMBERSHIP'!AZ$5:AZ$27=-1),'05_FEATURE_MODEL'!N$5:N$27)/MAX(1,COUNTIF('93_TARGET_MEMBERSHIP'!AZ$5:AZ$27,-1))))</f>
        <v/>
      </c>
      <c r="N55" s="34">
        <f>IF($B55="ABSOLUTE SEMANTIC",ABS('06_ITEM_POLE_MODEL'!W55),ABS('06_ITEM_POLE_MODEL'!W55)*ABS(SUMPRODUCT(--('93_TARGET_MEMBERSHIP'!AZ$5:AZ$27=1),'05_FEATURE_MODEL'!O$5:O$27)/MAX(1,COUNTIF('93_TARGET_MEMBERSHIP'!AZ$5:AZ$27,1))-SUMPRODUCT(--('93_TARGET_MEMBERSHIP'!AZ$5:AZ$27=-1),'05_FEATURE_MODEL'!O$5:O$27)/MAX(1,COUNTIF('93_TARGET_MEMBERSHIP'!AZ$5:AZ$27,-1))))</f>
        <v/>
      </c>
      <c r="O55" s="34">
        <f>IF($B55="ABSOLUTE SEMANTIC",ABS('06_ITEM_POLE_MODEL'!X55),ABS('06_ITEM_POLE_MODEL'!X55)*ABS(SUMPRODUCT(--('93_TARGET_MEMBERSHIP'!AZ$5:AZ$27=1),'05_FEATURE_MODEL'!P$5:P$27)/MAX(1,COUNTIF('93_TARGET_MEMBERSHIP'!AZ$5:AZ$27,1))-SUMPRODUCT(--('93_TARGET_MEMBERSHIP'!AZ$5:AZ$27=-1),'05_FEATURE_MODEL'!P$5:P$27)/MAX(1,COUNTIF('93_TARGET_MEMBERSHIP'!AZ$5:AZ$27,-1))))</f>
        <v/>
      </c>
      <c r="P55" s="34">
        <f>IF($B55="ABSOLUTE SEMANTIC",ABS('06_ITEM_POLE_MODEL'!Y55),ABS('06_ITEM_POLE_MODEL'!Y55)*ABS(SUMPRODUCT(--('93_TARGET_MEMBERSHIP'!AZ$5:AZ$27=1),'05_FEATURE_MODEL'!Q$5:Q$27)/MAX(1,COUNTIF('93_TARGET_MEMBERSHIP'!AZ$5:AZ$27,1))-SUMPRODUCT(--('93_TARGET_MEMBERSHIP'!AZ$5:AZ$27=-1),'05_FEATURE_MODEL'!Q$5:Q$27)/MAX(1,COUNTIF('93_TARGET_MEMBERSHIP'!AZ$5:AZ$27,-1))))</f>
        <v/>
      </c>
      <c r="Q55" s="34">
        <f>IF($B55="ABSOLUTE SEMANTIC",ABS('06_ITEM_POLE_MODEL'!Z55),ABS('06_ITEM_POLE_MODEL'!Z55)*ABS(SUMPRODUCT(--('93_TARGET_MEMBERSHIP'!AZ$5:AZ$27=1),'05_FEATURE_MODEL'!R$5:R$27)/MAX(1,COUNTIF('93_TARGET_MEMBERSHIP'!AZ$5:AZ$27,1))-SUMPRODUCT(--('93_TARGET_MEMBERSHIP'!AZ$5:AZ$27=-1),'05_FEATURE_MODEL'!R$5:R$27)/MAX(1,COUNTIF('93_TARGET_MEMBERSHIP'!AZ$5:AZ$27,-1))))</f>
        <v/>
      </c>
      <c r="R55" s="34">
        <f>IF($B55="ABSOLUTE SEMANTIC",ABS('06_ITEM_POLE_MODEL'!AA55),ABS('06_ITEM_POLE_MODEL'!AA55)*ABS(SUMPRODUCT(--('93_TARGET_MEMBERSHIP'!AZ$5:AZ$27=1),'05_FEATURE_MODEL'!S$5:S$27)/MAX(1,COUNTIF('93_TARGET_MEMBERSHIP'!AZ$5:AZ$27,1))-SUMPRODUCT(--('93_TARGET_MEMBERSHIP'!AZ$5:AZ$27=-1),'05_FEATURE_MODEL'!S$5:S$27)/MAX(1,COUNTIF('93_TARGET_MEMBERSHIP'!AZ$5:AZ$27,-1))))</f>
        <v/>
      </c>
      <c r="S55" s="34">
        <f>IF($B55="ABSOLUTE SEMANTIC",ABS('06_ITEM_POLE_MODEL'!AB55),ABS('06_ITEM_POLE_MODEL'!AB55)*ABS(SUMPRODUCT(--('93_TARGET_MEMBERSHIP'!AZ$5:AZ$27=1),'05_FEATURE_MODEL'!T$5:T$27)/MAX(1,COUNTIF('93_TARGET_MEMBERSHIP'!AZ$5:AZ$27,1))-SUMPRODUCT(--('93_TARGET_MEMBERSHIP'!AZ$5:AZ$27=-1),'05_FEATURE_MODEL'!T$5:T$27)/MAX(1,COUNTIF('93_TARGET_MEMBERSHIP'!AZ$5:AZ$27,-1))))</f>
        <v/>
      </c>
      <c r="T55" s="34">
        <f>IF($B55="ABSOLUTE SEMANTIC",ABS('06_ITEM_POLE_MODEL'!AC55),ABS('06_ITEM_POLE_MODEL'!AC55)*ABS(SUMPRODUCT(--('93_TARGET_MEMBERSHIP'!AZ$5:AZ$27=1),'05_FEATURE_MODEL'!U$5:U$27)/MAX(1,COUNTIF('93_TARGET_MEMBERSHIP'!AZ$5:AZ$27,1))-SUMPRODUCT(--('93_TARGET_MEMBERSHIP'!AZ$5:AZ$27=-1),'05_FEATURE_MODEL'!U$5:U$27)/MAX(1,COUNTIF('93_TARGET_MEMBERSHIP'!AZ$5:AZ$27,-1))))</f>
        <v/>
      </c>
      <c r="U55" s="34">
        <f>IF($B55="ABSOLUTE SEMANTIC",ABS('06_ITEM_POLE_MODEL'!AD55),ABS('06_ITEM_POLE_MODEL'!AD55)*ABS(SUMPRODUCT(--('93_TARGET_MEMBERSHIP'!AZ$5:AZ$27=1),'05_FEATURE_MODEL'!V$5:V$27)/MAX(1,COUNTIF('93_TARGET_MEMBERSHIP'!AZ$5:AZ$27,1))-SUMPRODUCT(--('93_TARGET_MEMBERSHIP'!AZ$5:AZ$27=-1),'05_FEATURE_MODEL'!V$5:V$27)/MAX(1,COUNTIF('93_TARGET_MEMBERSHIP'!AZ$5:AZ$27,-1))))</f>
        <v/>
      </c>
      <c r="V55" s="34">
        <f>IF($B55="ABSOLUTE SEMANTIC",ABS('06_ITEM_POLE_MODEL'!AE55),ABS('06_ITEM_POLE_MODEL'!AE55)*ABS(SUMPRODUCT(--('93_TARGET_MEMBERSHIP'!AZ$5:AZ$27=1),'05_FEATURE_MODEL'!W$5:W$27)/MAX(1,COUNTIF('93_TARGET_MEMBERSHIP'!AZ$5:AZ$27,1))-SUMPRODUCT(--('93_TARGET_MEMBERSHIP'!AZ$5:AZ$27=-1),'05_FEATURE_MODEL'!W$5:W$27)/MAX(1,COUNTIF('93_TARGET_MEMBERSHIP'!AZ$5:AZ$27,-1))))</f>
        <v/>
      </c>
      <c r="W55" s="34">
        <f>IF($B55="ABSOLUTE SEMANTIC",ABS('06_ITEM_POLE_MODEL'!AF55),ABS('06_ITEM_POLE_MODEL'!AF55)*ABS(SUMPRODUCT(--('93_TARGET_MEMBERSHIP'!AZ$5:AZ$27=1),'05_FEATURE_MODEL'!X$5:X$27)/MAX(1,COUNTIF('93_TARGET_MEMBERSHIP'!AZ$5:AZ$27,1))-SUMPRODUCT(--('93_TARGET_MEMBERSHIP'!AZ$5:AZ$27=-1),'05_FEATURE_MODEL'!X$5:X$27)/MAX(1,COUNTIF('93_TARGET_MEMBERSHIP'!AZ$5:AZ$27,-1))))</f>
        <v/>
      </c>
      <c r="X55" s="34">
        <f>IF($B55="ABSOLUTE SEMANTIC",ABS('06_ITEM_POLE_MODEL'!AG55),ABS('06_ITEM_POLE_MODEL'!AG55)*ABS(SUMPRODUCT(--('93_TARGET_MEMBERSHIP'!AZ$5:AZ$27=1),'05_FEATURE_MODEL'!Y$5:Y$27)/MAX(1,COUNTIF('93_TARGET_MEMBERSHIP'!AZ$5:AZ$27,1))-SUMPRODUCT(--('93_TARGET_MEMBERSHIP'!AZ$5:AZ$27=-1),'05_FEATURE_MODEL'!Y$5:Y$27)/MAX(1,COUNTIF('93_TARGET_MEMBERSHIP'!AZ$5:AZ$27,-1))))</f>
        <v/>
      </c>
      <c r="Y55" s="34">
        <f>IF($B55="ABSOLUTE SEMANTIC",ABS('06_ITEM_POLE_MODEL'!AH55),ABS('06_ITEM_POLE_MODEL'!AH55)*ABS(SUMPRODUCT(--('93_TARGET_MEMBERSHIP'!AZ$5:AZ$27=1),'05_FEATURE_MODEL'!Z$5:Z$27)/MAX(1,COUNTIF('93_TARGET_MEMBERSHIP'!AZ$5:AZ$27,1))-SUMPRODUCT(--('93_TARGET_MEMBERSHIP'!AZ$5:AZ$27=-1),'05_FEATURE_MODEL'!Z$5:Z$27)/MAX(1,COUNTIF('93_TARGET_MEMBERSHIP'!AZ$5:AZ$27,-1))))</f>
        <v/>
      </c>
      <c r="Z55" s="34">
        <f>IF($B55="ABSOLUTE SEMANTIC",ABS('06_ITEM_POLE_MODEL'!AI55),ABS('06_ITEM_POLE_MODEL'!AI55)*ABS(SUMPRODUCT(--('93_TARGET_MEMBERSHIP'!AZ$5:AZ$27=1),'05_FEATURE_MODEL'!AA$5:AA$27)/MAX(1,COUNTIF('93_TARGET_MEMBERSHIP'!AZ$5:AZ$27,1))-SUMPRODUCT(--('93_TARGET_MEMBERSHIP'!AZ$5:AZ$27=-1),'05_FEATURE_MODEL'!AA$5:AA$27)/MAX(1,COUNTIF('93_TARGET_MEMBERSHIP'!AZ$5:AZ$27,-1))))</f>
        <v/>
      </c>
      <c r="AA55" s="34">
        <f>IF($B55="ABSOLUTE SEMANTIC",ABS('06_ITEM_POLE_MODEL'!AJ55),ABS('06_ITEM_POLE_MODEL'!AJ55)*ABS(SUMPRODUCT(--('93_TARGET_MEMBERSHIP'!AZ$5:AZ$27=1),'05_FEATURE_MODEL'!AB$5:AB$27)/MAX(1,COUNTIF('93_TARGET_MEMBERSHIP'!AZ$5:AZ$27,1))-SUMPRODUCT(--('93_TARGET_MEMBERSHIP'!AZ$5:AZ$27=-1),'05_FEATURE_MODEL'!AB$5:AB$27)/MAX(1,COUNTIF('93_TARGET_MEMBERSHIP'!AZ$5:AZ$27,-1))))</f>
        <v/>
      </c>
      <c r="AB55" s="34">
        <f>IF($B55="ABSOLUTE SEMANTIC",ABS('06_ITEM_POLE_MODEL'!AK55),ABS('06_ITEM_POLE_MODEL'!AK55)*ABS(SUMPRODUCT(--('93_TARGET_MEMBERSHIP'!AZ$5:AZ$27=1),'05_FEATURE_MODEL'!AC$5:AC$27)/MAX(1,COUNTIF('93_TARGET_MEMBERSHIP'!AZ$5:AZ$27,1))-SUMPRODUCT(--('93_TARGET_MEMBERSHIP'!AZ$5:AZ$27=-1),'05_FEATURE_MODEL'!AC$5:AC$27)/MAX(1,COUNTIF('93_TARGET_MEMBERSHIP'!AZ$5:AZ$27,-1))))</f>
        <v/>
      </c>
      <c r="AC55" s="34">
        <f>IF($B55="ABSOLUTE SEMANTIC",ABS('06_ITEM_POLE_MODEL'!AL55),ABS('06_ITEM_POLE_MODEL'!AL55)*ABS(SUMPRODUCT(--('93_TARGET_MEMBERSHIP'!AZ$5:AZ$27=1),'05_FEATURE_MODEL'!AD$5:AD$27)/MAX(1,COUNTIF('93_TARGET_MEMBERSHIP'!AZ$5:AZ$27,1))-SUMPRODUCT(--('93_TARGET_MEMBERSHIP'!AZ$5:AZ$27=-1),'05_FEATURE_MODEL'!AD$5:AD$27)/MAX(1,COUNTIF('93_TARGET_MEMBERSHIP'!AZ$5:AZ$27,-1))))</f>
        <v/>
      </c>
      <c r="AD55" s="34">
        <f>IF($B55="ABSOLUTE SEMANTIC",ABS('06_ITEM_POLE_MODEL'!AM55),ABS('06_ITEM_POLE_MODEL'!AM55)*ABS(SUMPRODUCT(--('93_TARGET_MEMBERSHIP'!AZ$5:AZ$27=1),'05_FEATURE_MODEL'!AE$5:AE$27)/MAX(1,COUNTIF('93_TARGET_MEMBERSHIP'!AZ$5:AZ$27,1))-SUMPRODUCT(--('93_TARGET_MEMBERSHIP'!AZ$5:AZ$27=-1),'05_FEATURE_MODEL'!AE$5:AE$27)/MAX(1,COUNTIF('93_TARGET_MEMBERSHIP'!AZ$5:AZ$27,-1))))</f>
        <v/>
      </c>
      <c r="AE55" s="34">
        <f>IF($B55="ABSOLUTE SEMANTIC",ABS('06_ITEM_POLE_MODEL'!AN55),ABS('06_ITEM_POLE_MODEL'!AN55)*ABS(SUMPRODUCT(--('93_TARGET_MEMBERSHIP'!AZ$5:AZ$27=1),'05_FEATURE_MODEL'!AF$5:AF$27)/MAX(1,COUNTIF('93_TARGET_MEMBERSHIP'!AZ$5:AZ$27,1))-SUMPRODUCT(--('93_TARGET_MEMBERSHIP'!AZ$5:AZ$27=-1),'05_FEATURE_MODEL'!AF$5:AF$27)/MAX(1,COUNTIF('93_TARGET_MEMBERSHIP'!AZ$5:AZ$27,-1))))</f>
        <v/>
      </c>
      <c r="AF55" s="34">
        <f>IF($B55="ABSOLUTE SEMANTIC",ABS('06_ITEM_POLE_MODEL'!AO55),ABS('06_ITEM_POLE_MODEL'!AO55)*ABS(SUMPRODUCT(--('93_TARGET_MEMBERSHIP'!AZ$5:AZ$27=1),'05_FEATURE_MODEL'!AG$5:AG$27)/MAX(1,COUNTIF('93_TARGET_MEMBERSHIP'!AZ$5:AZ$27,1))-SUMPRODUCT(--('93_TARGET_MEMBERSHIP'!AZ$5:AZ$27=-1),'05_FEATURE_MODEL'!AG$5:AG$27)/MAX(1,COUNTIF('93_TARGET_MEMBERSHIP'!AZ$5:AZ$27,-1))))</f>
        <v/>
      </c>
      <c r="AG55" s="34">
        <f>IF($B55="ABSOLUTE SEMANTIC",ABS('06_ITEM_POLE_MODEL'!AP55),ABS('06_ITEM_POLE_MODEL'!AP55)*ABS(SUMPRODUCT(--('93_TARGET_MEMBERSHIP'!AZ$5:AZ$27=1),'05_FEATURE_MODEL'!AH$5:AH$27)/MAX(1,COUNTIF('93_TARGET_MEMBERSHIP'!AZ$5:AZ$27,1))-SUMPRODUCT(--('93_TARGET_MEMBERSHIP'!AZ$5:AZ$27=-1),'05_FEATURE_MODEL'!AH$5:AH$27)/MAX(1,COUNTIF('93_TARGET_MEMBERSHIP'!AZ$5:AZ$27,-1))))</f>
        <v/>
      </c>
      <c r="AH55" s="34">
        <f>IF($B55="ABSOLUTE SEMANTIC",ABS('06_ITEM_POLE_MODEL'!AQ55),ABS('06_ITEM_POLE_MODEL'!AQ55)*ABS(SUMPRODUCT(--('93_TARGET_MEMBERSHIP'!AZ$5:AZ$27=1),'05_FEATURE_MODEL'!AI$5:AI$27)/MAX(1,COUNTIF('93_TARGET_MEMBERSHIP'!AZ$5:AZ$27,1))-SUMPRODUCT(--('93_TARGET_MEMBERSHIP'!AZ$5:AZ$27=-1),'05_FEATURE_MODEL'!AI$5:AI$27)/MAX(1,COUNTIF('93_TARGET_MEMBERSHIP'!AZ$5:AZ$27,-1))))</f>
        <v/>
      </c>
      <c r="AI55" s="34">
        <f>IF($B55="ABSOLUTE SEMANTIC",ABS('06_ITEM_POLE_MODEL'!AR55),ABS('06_ITEM_POLE_MODEL'!AR55)*ABS(SUMPRODUCT(--('93_TARGET_MEMBERSHIP'!AZ$5:AZ$27=1),'05_FEATURE_MODEL'!AJ$5:AJ$27)/MAX(1,COUNTIF('93_TARGET_MEMBERSHIP'!AZ$5:AZ$27,1))-SUMPRODUCT(--('93_TARGET_MEMBERSHIP'!AZ$5:AZ$27=-1),'05_FEATURE_MODEL'!AJ$5:AJ$27)/MAX(1,COUNTIF('93_TARGET_MEMBERSHIP'!AZ$5:AZ$27,-1))))</f>
        <v/>
      </c>
      <c r="AJ55" s="34">
        <f>IF($B55="ABSOLUTE SEMANTIC",ABS('06_ITEM_POLE_MODEL'!AS55),ABS('06_ITEM_POLE_MODEL'!AS55)*ABS(SUMPRODUCT(--('93_TARGET_MEMBERSHIP'!AZ$5:AZ$27=1),'05_FEATURE_MODEL'!AK$5:AK$27)/MAX(1,COUNTIF('93_TARGET_MEMBERSHIP'!AZ$5:AZ$27,1))-SUMPRODUCT(--('93_TARGET_MEMBERSHIP'!AZ$5:AZ$27=-1),'05_FEATURE_MODEL'!AK$5:AK$27)/MAX(1,COUNTIF('93_TARGET_MEMBERSHIP'!AZ$5:AZ$27,-1))))</f>
        <v/>
      </c>
      <c r="AK55" s="34">
        <f>IF($B55="ABSOLUTE SEMANTIC",ABS('06_ITEM_POLE_MODEL'!AT55),ABS('06_ITEM_POLE_MODEL'!AT55)*ABS(SUMPRODUCT(--('93_TARGET_MEMBERSHIP'!AZ$5:AZ$27=1),'05_FEATURE_MODEL'!AL$5:AL$27)/MAX(1,COUNTIF('93_TARGET_MEMBERSHIP'!AZ$5:AZ$27,1))-SUMPRODUCT(--('93_TARGET_MEMBERSHIP'!AZ$5:AZ$27=-1),'05_FEATURE_MODEL'!AL$5:AL$27)/MAX(1,COUNTIF('93_TARGET_MEMBERSHIP'!AZ$5:AZ$27,-1))))</f>
        <v/>
      </c>
      <c r="AL55" s="34">
        <f>IF($B55="ABSOLUTE SEMANTIC",ABS('06_ITEM_POLE_MODEL'!AU55),ABS('06_ITEM_POLE_MODEL'!AU55)*ABS(SUMPRODUCT(--('93_TARGET_MEMBERSHIP'!AZ$5:AZ$27=1),'05_FEATURE_MODEL'!AM$5:AM$27)/MAX(1,COUNTIF('93_TARGET_MEMBERSHIP'!AZ$5:AZ$27,1))-SUMPRODUCT(--('93_TARGET_MEMBERSHIP'!AZ$5:AZ$27=-1),'05_FEATURE_MODEL'!AM$5:AM$27)/MAX(1,COUNTIF('93_TARGET_MEMBERSHIP'!AZ$5:AZ$27,-1))))</f>
        <v/>
      </c>
      <c r="AM55" s="34">
        <f>IF($B55="ABSOLUTE SEMANTIC",ABS('06_ITEM_POLE_MODEL'!AV55),ABS('06_ITEM_POLE_MODEL'!AV55)*ABS(SUMPRODUCT(--('93_TARGET_MEMBERSHIP'!AZ$5:AZ$27=1),'05_FEATURE_MODEL'!AN$5:AN$27)/MAX(1,COUNTIF('93_TARGET_MEMBERSHIP'!AZ$5:AZ$27,1))-SUMPRODUCT(--('93_TARGET_MEMBERSHIP'!AZ$5:AZ$27=-1),'05_FEATURE_MODEL'!AN$5:AN$27)/MAX(1,COUNTIF('93_TARGET_MEMBERSHIP'!AZ$5:AZ$27,-1))))</f>
        <v/>
      </c>
      <c r="AN55" s="34">
        <f>IF($B55="ABSOLUTE SEMANTIC",ABS('06_ITEM_POLE_MODEL'!AW55),ABS('06_ITEM_POLE_MODEL'!AW55)*ABS(SUMPRODUCT(--('93_TARGET_MEMBERSHIP'!AZ$5:AZ$27=1),'05_FEATURE_MODEL'!AO$5:AO$27)/MAX(1,COUNTIF('93_TARGET_MEMBERSHIP'!AZ$5:AZ$27,1))-SUMPRODUCT(--('93_TARGET_MEMBERSHIP'!AZ$5:AZ$27=-1),'05_FEATURE_MODEL'!AO$5:AO$27)/MAX(1,COUNTIF('93_TARGET_MEMBERSHIP'!AZ$5:AZ$27,-1))))</f>
        <v/>
      </c>
      <c r="AO55" s="34">
        <f>IF($B55="ABSOLUTE SEMANTIC",ABS('06_ITEM_POLE_MODEL'!AX55),ABS('06_ITEM_POLE_MODEL'!AX55)*ABS(SUMPRODUCT(--('93_TARGET_MEMBERSHIP'!AZ$5:AZ$27=1),'05_FEATURE_MODEL'!AP$5:AP$27)/MAX(1,COUNTIF('93_TARGET_MEMBERSHIP'!AZ$5:AZ$27,1))-SUMPRODUCT(--('93_TARGET_MEMBERSHIP'!AZ$5:AZ$27=-1),'05_FEATURE_MODEL'!AP$5:AP$27)/MAX(1,COUNTIF('93_TARGET_MEMBERSHIP'!AZ$5:AZ$27,-1))))</f>
        <v/>
      </c>
      <c r="AP55" s="34">
        <f>IF($B55="ABSOLUTE SEMANTIC",ABS('06_ITEM_POLE_MODEL'!AY55),ABS('06_ITEM_POLE_MODEL'!AY55)*ABS(SUMPRODUCT(--('93_TARGET_MEMBERSHIP'!AZ$5:AZ$27=1),'05_FEATURE_MODEL'!AQ$5:AQ$27)/MAX(1,COUNTIF('93_TARGET_MEMBERSHIP'!AZ$5:AZ$27,1))-SUMPRODUCT(--('93_TARGET_MEMBERSHIP'!AZ$5:AZ$27=-1),'05_FEATURE_MODEL'!AQ$5:AQ$27)/MAX(1,COUNTIF('93_TARGET_MEMBERSHIP'!AZ$5:AZ$27,-1))))</f>
        <v/>
      </c>
      <c r="AQ55" s="34">
        <f>IF($B55="ABSOLUTE SEMANTIC",ABS('06_ITEM_POLE_MODEL'!AZ55),ABS('06_ITEM_POLE_MODEL'!AZ55)*ABS(SUMPRODUCT(--('93_TARGET_MEMBERSHIP'!AZ$5:AZ$27=1),'05_FEATURE_MODEL'!AR$5:AR$27)/MAX(1,COUNTIF('93_TARGET_MEMBERSHIP'!AZ$5:AZ$27,1))-SUMPRODUCT(--('93_TARGET_MEMBERSHIP'!AZ$5:AZ$27=-1),'05_FEATURE_MODEL'!AR$5:AR$27)/MAX(1,COUNTIF('93_TARGET_MEMBERSHIP'!AZ$5:AZ$27,-1))))</f>
        <v/>
      </c>
    </row>
    <row r="56" ht="36" customHeight="1">
      <c r="A56" s="34">
        <f>'06_ITEM_POLE_MODEL'!A56</f>
        <v/>
      </c>
      <c r="B56" s="34">
        <f>'06_ITEM_POLE_MODEL'!E56</f>
        <v/>
      </c>
      <c r="C56" s="34">
        <f>IF($B56="ABSOLUTE SEMANTIC",ABS('06_ITEM_POLE_MODEL'!L56),ABS('06_ITEM_POLE_MODEL'!L56)*ABS(SUMPRODUCT(--('93_TARGET_MEMBERSHIP'!BA$5:BA$27=1),'05_FEATURE_MODEL'!D$5:D$27)/MAX(1,COUNTIF('93_TARGET_MEMBERSHIP'!BA$5:BA$27,1))-SUMPRODUCT(--('93_TARGET_MEMBERSHIP'!BA$5:BA$27=-1),'05_FEATURE_MODEL'!D$5:D$27)/MAX(1,COUNTIF('93_TARGET_MEMBERSHIP'!BA$5:BA$27,-1))))</f>
        <v/>
      </c>
      <c r="D56" s="34">
        <f>IF($B56="ABSOLUTE SEMANTIC",ABS('06_ITEM_POLE_MODEL'!M56),ABS('06_ITEM_POLE_MODEL'!M56)*ABS(SUMPRODUCT(--('93_TARGET_MEMBERSHIP'!BA$5:BA$27=1),'05_FEATURE_MODEL'!E$5:E$27)/MAX(1,COUNTIF('93_TARGET_MEMBERSHIP'!BA$5:BA$27,1))-SUMPRODUCT(--('93_TARGET_MEMBERSHIP'!BA$5:BA$27=-1),'05_FEATURE_MODEL'!E$5:E$27)/MAX(1,COUNTIF('93_TARGET_MEMBERSHIP'!BA$5:BA$27,-1))))</f>
        <v/>
      </c>
      <c r="E56" s="34">
        <f>IF($B56="ABSOLUTE SEMANTIC",ABS('06_ITEM_POLE_MODEL'!N56),ABS('06_ITEM_POLE_MODEL'!N56)*ABS(SUMPRODUCT(--('93_TARGET_MEMBERSHIP'!BA$5:BA$27=1),'05_FEATURE_MODEL'!F$5:F$27)/MAX(1,COUNTIF('93_TARGET_MEMBERSHIP'!BA$5:BA$27,1))-SUMPRODUCT(--('93_TARGET_MEMBERSHIP'!BA$5:BA$27=-1),'05_FEATURE_MODEL'!F$5:F$27)/MAX(1,COUNTIF('93_TARGET_MEMBERSHIP'!BA$5:BA$27,-1))))</f>
        <v/>
      </c>
      <c r="F56" s="34">
        <f>IF($B56="ABSOLUTE SEMANTIC",ABS('06_ITEM_POLE_MODEL'!O56),ABS('06_ITEM_POLE_MODEL'!O56)*ABS(SUMPRODUCT(--('93_TARGET_MEMBERSHIP'!BA$5:BA$27=1),'05_FEATURE_MODEL'!G$5:G$27)/MAX(1,COUNTIF('93_TARGET_MEMBERSHIP'!BA$5:BA$27,1))-SUMPRODUCT(--('93_TARGET_MEMBERSHIP'!BA$5:BA$27=-1),'05_FEATURE_MODEL'!G$5:G$27)/MAX(1,COUNTIF('93_TARGET_MEMBERSHIP'!BA$5:BA$27,-1))))</f>
        <v/>
      </c>
      <c r="G56" s="34">
        <f>IF($B56="ABSOLUTE SEMANTIC",ABS('06_ITEM_POLE_MODEL'!P56),ABS('06_ITEM_POLE_MODEL'!P56)*ABS(SUMPRODUCT(--('93_TARGET_MEMBERSHIP'!BA$5:BA$27=1),'05_FEATURE_MODEL'!H$5:H$27)/MAX(1,COUNTIF('93_TARGET_MEMBERSHIP'!BA$5:BA$27,1))-SUMPRODUCT(--('93_TARGET_MEMBERSHIP'!BA$5:BA$27=-1),'05_FEATURE_MODEL'!H$5:H$27)/MAX(1,COUNTIF('93_TARGET_MEMBERSHIP'!BA$5:BA$27,-1))))</f>
        <v/>
      </c>
      <c r="H56" s="34">
        <f>IF($B56="ABSOLUTE SEMANTIC",ABS('06_ITEM_POLE_MODEL'!Q56),ABS('06_ITEM_POLE_MODEL'!Q56)*ABS(SUMPRODUCT(--('93_TARGET_MEMBERSHIP'!BA$5:BA$27=1),'05_FEATURE_MODEL'!I$5:I$27)/MAX(1,COUNTIF('93_TARGET_MEMBERSHIP'!BA$5:BA$27,1))-SUMPRODUCT(--('93_TARGET_MEMBERSHIP'!BA$5:BA$27=-1),'05_FEATURE_MODEL'!I$5:I$27)/MAX(1,COUNTIF('93_TARGET_MEMBERSHIP'!BA$5:BA$27,-1))))</f>
        <v/>
      </c>
      <c r="I56" s="34">
        <f>IF($B56="ABSOLUTE SEMANTIC",ABS('06_ITEM_POLE_MODEL'!R56),ABS('06_ITEM_POLE_MODEL'!R56)*ABS(SUMPRODUCT(--('93_TARGET_MEMBERSHIP'!BA$5:BA$27=1),'05_FEATURE_MODEL'!J$5:J$27)/MAX(1,COUNTIF('93_TARGET_MEMBERSHIP'!BA$5:BA$27,1))-SUMPRODUCT(--('93_TARGET_MEMBERSHIP'!BA$5:BA$27=-1),'05_FEATURE_MODEL'!J$5:J$27)/MAX(1,COUNTIF('93_TARGET_MEMBERSHIP'!BA$5:BA$27,-1))))</f>
        <v/>
      </c>
      <c r="J56" s="34">
        <f>IF($B56="ABSOLUTE SEMANTIC",ABS('06_ITEM_POLE_MODEL'!S56),ABS('06_ITEM_POLE_MODEL'!S56)*ABS(SUMPRODUCT(--('93_TARGET_MEMBERSHIP'!BA$5:BA$27=1),'05_FEATURE_MODEL'!K$5:K$27)/MAX(1,COUNTIF('93_TARGET_MEMBERSHIP'!BA$5:BA$27,1))-SUMPRODUCT(--('93_TARGET_MEMBERSHIP'!BA$5:BA$27=-1),'05_FEATURE_MODEL'!K$5:K$27)/MAX(1,COUNTIF('93_TARGET_MEMBERSHIP'!BA$5:BA$27,-1))))</f>
        <v/>
      </c>
      <c r="K56" s="34">
        <f>IF($B56="ABSOLUTE SEMANTIC",ABS('06_ITEM_POLE_MODEL'!T56),ABS('06_ITEM_POLE_MODEL'!T56)*ABS(SUMPRODUCT(--('93_TARGET_MEMBERSHIP'!BA$5:BA$27=1),'05_FEATURE_MODEL'!L$5:L$27)/MAX(1,COUNTIF('93_TARGET_MEMBERSHIP'!BA$5:BA$27,1))-SUMPRODUCT(--('93_TARGET_MEMBERSHIP'!BA$5:BA$27=-1),'05_FEATURE_MODEL'!L$5:L$27)/MAX(1,COUNTIF('93_TARGET_MEMBERSHIP'!BA$5:BA$27,-1))))</f>
        <v/>
      </c>
      <c r="L56" s="34">
        <f>IF($B56="ABSOLUTE SEMANTIC",ABS('06_ITEM_POLE_MODEL'!U56),ABS('06_ITEM_POLE_MODEL'!U56)*ABS(SUMPRODUCT(--('93_TARGET_MEMBERSHIP'!BA$5:BA$27=1),'05_FEATURE_MODEL'!M$5:M$27)/MAX(1,COUNTIF('93_TARGET_MEMBERSHIP'!BA$5:BA$27,1))-SUMPRODUCT(--('93_TARGET_MEMBERSHIP'!BA$5:BA$27=-1),'05_FEATURE_MODEL'!M$5:M$27)/MAX(1,COUNTIF('93_TARGET_MEMBERSHIP'!BA$5:BA$27,-1))))</f>
        <v/>
      </c>
      <c r="M56" s="34">
        <f>IF($B56="ABSOLUTE SEMANTIC",ABS('06_ITEM_POLE_MODEL'!V56),ABS('06_ITEM_POLE_MODEL'!V56)*ABS(SUMPRODUCT(--('93_TARGET_MEMBERSHIP'!BA$5:BA$27=1),'05_FEATURE_MODEL'!N$5:N$27)/MAX(1,COUNTIF('93_TARGET_MEMBERSHIP'!BA$5:BA$27,1))-SUMPRODUCT(--('93_TARGET_MEMBERSHIP'!BA$5:BA$27=-1),'05_FEATURE_MODEL'!N$5:N$27)/MAX(1,COUNTIF('93_TARGET_MEMBERSHIP'!BA$5:BA$27,-1))))</f>
        <v/>
      </c>
      <c r="N56" s="34">
        <f>IF($B56="ABSOLUTE SEMANTIC",ABS('06_ITEM_POLE_MODEL'!W56),ABS('06_ITEM_POLE_MODEL'!W56)*ABS(SUMPRODUCT(--('93_TARGET_MEMBERSHIP'!BA$5:BA$27=1),'05_FEATURE_MODEL'!O$5:O$27)/MAX(1,COUNTIF('93_TARGET_MEMBERSHIP'!BA$5:BA$27,1))-SUMPRODUCT(--('93_TARGET_MEMBERSHIP'!BA$5:BA$27=-1),'05_FEATURE_MODEL'!O$5:O$27)/MAX(1,COUNTIF('93_TARGET_MEMBERSHIP'!BA$5:BA$27,-1))))</f>
        <v/>
      </c>
      <c r="O56" s="34">
        <f>IF($B56="ABSOLUTE SEMANTIC",ABS('06_ITEM_POLE_MODEL'!X56),ABS('06_ITEM_POLE_MODEL'!X56)*ABS(SUMPRODUCT(--('93_TARGET_MEMBERSHIP'!BA$5:BA$27=1),'05_FEATURE_MODEL'!P$5:P$27)/MAX(1,COUNTIF('93_TARGET_MEMBERSHIP'!BA$5:BA$27,1))-SUMPRODUCT(--('93_TARGET_MEMBERSHIP'!BA$5:BA$27=-1),'05_FEATURE_MODEL'!P$5:P$27)/MAX(1,COUNTIF('93_TARGET_MEMBERSHIP'!BA$5:BA$27,-1))))</f>
        <v/>
      </c>
      <c r="P56" s="34">
        <f>IF($B56="ABSOLUTE SEMANTIC",ABS('06_ITEM_POLE_MODEL'!Y56),ABS('06_ITEM_POLE_MODEL'!Y56)*ABS(SUMPRODUCT(--('93_TARGET_MEMBERSHIP'!BA$5:BA$27=1),'05_FEATURE_MODEL'!Q$5:Q$27)/MAX(1,COUNTIF('93_TARGET_MEMBERSHIP'!BA$5:BA$27,1))-SUMPRODUCT(--('93_TARGET_MEMBERSHIP'!BA$5:BA$27=-1),'05_FEATURE_MODEL'!Q$5:Q$27)/MAX(1,COUNTIF('93_TARGET_MEMBERSHIP'!BA$5:BA$27,-1))))</f>
        <v/>
      </c>
      <c r="Q56" s="34">
        <f>IF($B56="ABSOLUTE SEMANTIC",ABS('06_ITEM_POLE_MODEL'!Z56),ABS('06_ITEM_POLE_MODEL'!Z56)*ABS(SUMPRODUCT(--('93_TARGET_MEMBERSHIP'!BA$5:BA$27=1),'05_FEATURE_MODEL'!R$5:R$27)/MAX(1,COUNTIF('93_TARGET_MEMBERSHIP'!BA$5:BA$27,1))-SUMPRODUCT(--('93_TARGET_MEMBERSHIP'!BA$5:BA$27=-1),'05_FEATURE_MODEL'!R$5:R$27)/MAX(1,COUNTIF('93_TARGET_MEMBERSHIP'!BA$5:BA$27,-1))))</f>
        <v/>
      </c>
      <c r="R56" s="34">
        <f>IF($B56="ABSOLUTE SEMANTIC",ABS('06_ITEM_POLE_MODEL'!AA56),ABS('06_ITEM_POLE_MODEL'!AA56)*ABS(SUMPRODUCT(--('93_TARGET_MEMBERSHIP'!BA$5:BA$27=1),'05_FEATURE_MODEL'!S$5:S$27)/MAX(1,COUNTIF('93_TARGET_MEMBERSHIP'!BA$5:BA$27,1))-SUMPRODUCT(--('93_TARGET_MEMBERSHIP'!BA$5:BA$27=-1),'05_FEATURE_MODEL'!S$5:S$27)/MAX(1,COUNTIF('93_TARGET_MEMBERSHIP'!BA$5:BA$27,-1))))</f>
        <v/>
      </c>
      <c r="S56" s="34">
        <f>IF($B56="ABSOLUTE SEMANTIC",ABS('06_ITEM_POLE_MODEL'!AB56),ABS('06_ITEM_POLE_MODEL'!AB56)*ABS(SUMPRODUCT(--('93_TARGET_MEMBERSHIP'!BA$5:BA$27=1),'05_FEATURE_MODEL'!T$5:T$27)/MAX(1,COUNTIF('93_TARGET_MEMBERSHIP'!BA$5:BA$27,1))-SUMPRODUCT(--('93_TARGET_MEMBERSHIP'!BA$5:BA$27=-1),'05_FEATURE_MODEL'!T$5:T$27)/MAX(1,COUNTIF('93_TARGET_MEMBERSHIP'!BA$5:BA$27,-1))))</f>
        <v/>
      </c>
      <c r="T56" s="34">
        <f>IF($B56="ABSOLUTE SEMANTIC",ABS('06_ITEM_POLE_MODEL'!AC56),ABS('06_ITEM_POLE_MODEL'!AC56)*ABS(SUMPRODUCT(--('93_TARGET_MEMBERSHIP'!BA$5:BA$27=1),'05_FEATURE_MODEL'!U$5:U$27)/MAX(1,COUNTIF('93_TARGET_MEMBERSHIP'!BA$5:BA$27,1))-SUMPRODUCT(--('93_TARGET_MEMBERSHIP'!BA$5:BA$27=-1),'05_FEATURE_MODEL'!U$5:U$27)/MAX(1,COUNTIF('93_TARGET_MEMBERSHIP'!BA$5:BA$27,-1))))</f>
        <v/>
      </c>
      <c r="U56" s="34">
        <f>IF($B56="ABSOLUTE SEMANTIC",ABS('06_ITEM_POLE_MODEL'!AD56),ABS('06_ITEM_POLE_MODEL'!AD56)*ABS(SUMPRODUCT(--('93_TARGET_MEMBERSHIP'!BA$5:BA$27=1),'05_FEATURE_MODEL'!V$5:V$27)/MAX(1,COUNTIF('93_TARGET_MEMBERSHIP'!BA$5:BA$27,1))-SUMPRODUCT(--('93_TARGET_MEMBERSHIP'!BA$5:BA$27=-1),'05_FEATURE_MODEL'!V$5:V$27)/MAX(1,COUNTIF('93_TARGET_MEMBERSHIP'!BA$5:BA$27,-1))))</f>
        <v/>
      </c>
      <c r="V56" s="34">
        <f>IF($B56="ABSOLUTE SEMANTIC",ABS('06_ITEM_POLE_MODEL'!AE56),ABS('06_ITEM_POLE_MODEL'!AE56)*ABS(SUMPRODUCT(--('93_TARGET_MEMBERSHIP'!BA$5:BA$27=1),'05_FEATURE_MODEL'!W$5:W$27)/MAX(1,COUNTIF('93_TARGET_MEMBERSHIP'!BA$5:BA$27,1))-SUMPRODUCT(--('93_TARGET_MEMBERSHIP'!BA$5:BA$27=-1),'05_FEATURE_MODEL'!W$5:W$27)/MAX(1,COUNTIF('93_TARGET_MEMBERSHIP'!BA$5:BA$27,-1))))</f>
        <v/>
      </c>
      <c r="W56" s="34">
        <f>IF($B56="ABSOLUTE SEMANTIC",ABS('06_ITEM_POLE_MODEL'!AF56),ABS('06_ITEM_POLE_MODEL'!AF56)*ABS(SUMPRODUCT(--('93_TARGET_MEMBERSHIP'!BA$5:BA$27=1),'05_FEATURE_MODEL'!X$5:X$27)/MAX(1,COUNTIF('93_TARGET_MEMBERSHIP'!BA$5:BA$27,1))-SUMPRODUCT(--('93_TARGET_MEMBERSHIP'!BA$5:BA$27=-1),'05_FEATURE_MODEL'!X$5:X$27)/MAX(1,COUNTIF('93_TARGET_MEMBERSHIP'!BA$5:BA$27,-1))))</f>
        <v/>
      </c>
      <c r="X56" s="34">
        <f>IF($B56="ABSOLUTE SEMANTIC",ABS('06_ITEM_POLE_MODEL'!AG56),ABS('06_ITEM_POLE_MODEL'!AG56)*ABS(SUMPRODUCT(--('93_TARGET_MEMBERSHIP'!BA$5:BA$27=1),'05_FEATURE_MODEL'!Y$5:Y$27)/MAX(1,COUNTIF('93_TARGET_MEMBERSHIP'!BA$5:BA$27,1))-SUMPRODUCT(--('93_TARGET_MEMBERSHIP'!BA$5:BA$27=-1),'05_FEATURE_MODEL'!Y$5:Y$27)/MAX(1,COUNTIF('93_TARGET_MEMBERSHIP'!BA$5:BA$27,-1))))</f>
        <v/>
      </c>
      <c r="Y56" s="34">
        <f>IF($B56="ABSOLUTE SEMANTIC",ABS('06_ITEM_POLE_MODEL'!AH56),ABS('06_ITEM_POLE_MODEL'!AH56)*ABS(SUMPRODUCT(--('93_TARGET_MEMBERSHIP'!BA$5:BA$27=1),'05_FEATURE_MODEL'!Z$5:Z$27)/MAX(1,COUNTIF('93_TARGET_MEMBERSHIP'!BA$5:BA$27,1))-SUMPRODUCT(--('93_TARGET_MEMBERSHIP'!BA$5:BA$27=-1),'05_FEATURE_MODEL'!Z$5:Z$27)/MAX(1,COUNTIF('93_TARGET_MEMBERSHIP'!BA$5:BA$27,-1))))</f>
        <v/>
      </c>
      <c r="Z56" s="34">
        <f>IF($B56="ABSOLUTE SEMANTIC",ABS('06_ITEM_POLE_MODEL'!AI56),ABS('06_ITEM_POLE_MODEL'!AI56)*ABS(SUMPRODUCT(--('93_TARGET_MEMBERSHIP'!BA$5:BA$27=1),'05_FEATURE_MODEL'!AA$5:AA$27)/MAX(1,COUNTIF('93_TARGET_MEMBERSHIP'!BA$5:BA$27,1))-SUMPRODUCT(--('93_TARGET_MEMBERSHIP'!BA$5:BA$27=-1),'05_FEATURE_MODEL'!AA$5:AA$27)/MAX(1,COUNTIF('93_TARGET_MEMBERSHIP'!BA$5:BA$27,-1))))</f>
        <v/>
      </c>
      <c r="AA56" s="34">
        <f>IF($B56="ABSOLUTE SEMANTIC",ABS('06_ITEM_POLE_MODEL'!AJ56),ABS('06_ITEM_POLE_MODEL'!AJ56)*ABS(SUMPRODUCT(--('93_TARGET_MEMBERSHIP'!BA$5:BA$27=1),'05_FEATURE_MODEL'!AB$5:AB$27)/MAX(1,COUNTIF('93_TARGET_MEMBERSHIP'!BA$5:BA$27,1))-SUMPRODUCT(--('93_TARGET_MEMBERSHIP'!BA$5:BA$27=-1),'05_FEATURE_MODEL'!AB$5:AB$27)/MAX(1,COUNTIF('93_TARGET_MEMBERSHIP'!BA$5:BA$27,-1))))</f>
        <v/>
      </c>
      <c r="AB56" s="34">
        <f>IF($B56="ABSOLUTE SEMANTIC",ABS('06_ITEM_POLE_MODEL'!AK56),ABS('06_ITEM_POLE_MODEL'!AK56)*ABS(SUMPRODUCT(--('93_TARGET_MEMBERSHIP'!BA$5:BA$27=1),'05_FEATURE_MODEL'!AC$5:AC$27)/MAX(1,COUNTIF('93_TARGET_MEMBERSHIP'!BA$5:BA$27,1))-SUMPRODUCT(--('93_TARGET_MEMBERSHIP'!BA$5:BA$27=-1),'05_FEATURE_MODEL'!AC$5:AC$27)/MAX(1,COUNTIF('93_TARGET_MEMBERSHIP'!BA$5:BA$27,-1))))</f>
        <v/>
      </c>
      <c r="AC56" s="34">
        <f>IF($B56="ABSOLUTE SEMANTIC",ABS('06_ITEM_POLE_MODEL'!AL56),ABS('06_ITEM_POLE_MODEL'!AL56)*ABS(SUMPRODUCT(--('93_TARGET_MEMBERSHIP'!BA$5:BA$27=1),'05_FEATURE_MODEL'!AD$5:AD$27)/MAX(1,COUNTIF('93_TARGET_MEMBERSHIP'!BA$5:BA$27,1))-SUMPRODUCT(--('93_TARGET_MEMBERSHIP'!BA$5:BA$27=-1),'05_FEATURE_MODEL'!AD$5:AD$27)/MAX(1,COUNTIF('93_TARGET_MEMBERSHIP'!BA$5:BA$27,-1))))</f>
        <v/>
      </c>
      <c r="AD56" s="34">
        <f>IF($B56="ABSOLUTE SEMANTIC",ABS('06_ITEM_POLE_MODEL'!AM56),ABS('06_ITEM_POLE_MODEL'!AM56)*ABS(SUMPRODUCT(--('93_TARGET_MEMBERSHIP'!BA$5:BA$27=1),'05_FEATURE_MODEL'!AE$5:AE$27)/MAX(1,COUNTIF('93_TARGET_MEMBERSHIP'!BA$5:BA$27,1))-SUMPRODUCT(--('93_TARGET_MEMBERSHIP'!BA$5:BA$27=-1),'05_FEATURE_MODEL'!AE$5:AE$27)/MAX(1,COUNTIF('93_TARGET_MEMBERSHIP'!BA$5:BA$27,-1))))</f>
        <v/>
      </c>
      <c r="AE56" s="34">
        <f>IF($B56="ABSOLUTE SEMANTIC",ABS('06_ITEM_POLE_MODEL'!AN56),ABS('06_ITEM_POLE_MODEL'!AN56)*ABS(SUMPRODUCT(--('93_TARGET_MEMBERSHIP'!BA$5:BA$27=1),'05_FEATURE_MODEL'!AF$5:AF$27)/MAX(1,COUNTIF('93_TARGET_MEMBERSHIP'!BA$5:BA$27,1))-SUMPRODUCT(--('93_TARGET_MEMBERSHIP'!BA$5:BA$27=-1),'05_FEATURE_MODEL'!AF$5:AF$27)/MAX(1,COUNTIF('93_TARGET_MEMBERSHIP'!BA$5:BA$27,-1))))</f>
        <v/>
      </c>
      <c r="AF56" s="34">
        <f>IF($B56="ABSOLUTE SEMANTIC",ABS('06_ITEM_POLE_MODEL'!AO56),ABS('06_ITEM_POLE_MODEL'!AO56)*ABS(SUMPRODUCT(--('93_TARGET_MEMBERSHIP'!BA$5:BA$27=1),'05_FEATURE_MODEL'!AG$5:AG$27)/MAX(1,COUNTIF('93_TARGET_MEMBERSHIP'!BA$5:BA$27,1))-SUMPRODUCT(--('93_TARGET_MEMBERSHIP'!BA$5:BA$27=-1),'05_FEATURE_MODEL'!AG$5:AG$27)/MAX(1,COUNTIF('93_TARGET_MEMBERSHIP'!BA$5:BA$27,-1))))</f>
        <v/>
      </c>
      <c r="AG56" s="34">
        <f>IF($B56="ABSOLUTE SEMANTIC",ABS('06_ITEM_POLE_MODEL'!AP56),ABS('06_ITEM_POLE_MODEL'!AP56)*ABS(SUMPRODUCT(--('93_TARGET_MEMBERSHIP'!BA$5:BA$27=1),'05_FEATURE_MODEL'!AH$5:AH$27)/MAX(1,COUNTIF('93_TARGET_MEMBERSHIP'!BA$5:BA$27,1))-SUMPRODUCT(--('93_TARGET_MEMBERSHIP'!BA$5:BA$27=-1),'05_FEATURE_MODEL'!AH$5:AH$27)/MAX(1,COUNTIF('93_TARGET_MEMBERSHIP'!BA$5:BA$27,-1))))</f>
        <v/>
      </c>
      <c r="AH56" s="34">
        <f>IF($B56="ABSOLUTE SEMANTIC",ABS('06_ITEM_POLE_MODEL'!AQ56),ABS('06_ITEM_POLE_MODEL'!AQ56)*ABS(SUMPRODUCT(--('93_TARGET_MEMBERSHIP'!BA$5:BA$27=1),'05_FEATURE_MODEL'!AI$5:AI$27)/MAX(1,COUNTIF('93_TARGET_MEMBERSHIP'!BA$5:BA$27,1))-SUMPRODUCT(--('93_TARGET_MEMBERSHIP'!BA$5:BA$27=-1),'05_FEATURE_MODEL'!AI$5:AI$27)/MAX(1,COUNTIF('93_TARGET_MEMBERSHIP'!BA$5:BA$27,-1))))</f>
        <v/>
      </c>
      <c r="AI56" s="34">
        <f>IF($B56="ABSOLUTE SEMANTIC",ABS('06_ITEM_POLE_MODEL'!AR56),ABS('06_ITEM_POLE_MODEL'!AR56)*ABS(SUMPRODUCT(--('93_TARGET_MEMBERSHIP'!BA$5:BA$27=1),'05_FEATURE_MODEL'!AJ$5:AJ$27)/MAX(1,COUNTIF('93_TARGET_MEMBERSHIP'!BA$5:BA$27,1))-SUMPRODUCT(--('93_TARGET_MEMBERSHIP'!BA$5:BA$27=-1),'05_FEATURE_MODEL'!AJ$5:AJ$27)/MAX(1,COUNTIF('93_TARGET_MEMBERSHIP'!BA$5:BA$27,-1))))</f>
        <v/>
      </c>
      <c r="AJ56" s="34">
        <f>IF($B56="ABSOLUTE SEMANTIC",ABS('06_ITEM_POLE_MODEL'!AS56),ABS('06_ITEM_POLE_MODEL'!AS56)*ABS(SUMPRODUCT(--('93_TARGET_MEMBERSHIP'!BA$5:BA$27=1),'05_FEATURE_MODEL'!AK$5:AK$27)/MAX(1,COUNTIF('93_TARGET_MEMBERSHIP'!BA$5:BA$27,1))-SUMPRODUCT(--('93_TARGET_MEMBERSHIP'!BA$5:BA$27=-1),'05_FEATURE_MODEL'!AK$5:AK$27)/MAX(1,COUNTIF('93_TARGET_MEMBERSHIP'!BA$5:BA$27,-1))))</f>
        <v/>
      </c>
      <c r="AK56" s="34">
        <f>IF($B56="ABSOLUTE SEMANTIC",ABS('06_ITEM_POLE_MODEL'!AT56),ABS('06_ITEM_POLE_MODEL'!AT56)*ABS(SUMPRODUCT(--('93_TARGET_MEMBERSHIP'!BA$5:BA$27=1),'05_FEATURE_MODEL'!AL$5:AL$27)/MAX(1,COUNTIF('93_TARGET_MEMBERSHIP'!BA$5:BA$27,1))-SUMPRODUCT(--('93_TARGET_MEMBERSHIP'!BA$5:BA$27=-1),'05_FEATURE_MODEL'!AL$5:AL$27)/MAX(1,COUNTIF('93_TARGET_MEMBERSHIP'!BA$5:BA$27,-1))))</f>
        <v/>
      </c>
      <c r="AL56" s="34">
        <f>IF($B56="ABSOLUTE SEMANTIC",ABS('06_ITEM_POLE_MODEL'!AU56),ABS('06_ITEM_POLE_MODEL'!AU56)*ABS(SUMPRODUCT(--('93_TARGET_MEMBERSHIP'!BA$5:BA$27=1),'05_FEATURE_MODEL'!AM$5:AM$27)/MAX(1,COUNTIF('93_TARGET_MEMBERSHIP'!BA$5:BA$27,1))-SUMPRODUCT(--('93_TARGET_MEMBERSHIP'!BA$5:BA$27=-1),'05_FEATURE_MODEL'!AM$5:AM$27)/MAX(1,COUNTIF('93_TARGET_MEMBERSHIP'!BA$5:BA$27,-1))))</f>
        <v/>
      </c>
      <c r="AM56" s="34">
        <f>IF($B56="ABSOLUTE SEMANTIC",ABS('06_ITEM_POLE_MODEL'!AV56),ABS('06_ITEM_POLE_MODEL'!AV56)*ABS(SUMPRODUCT(--('93_TARGET_MEMBERSHIP'!BA$5:BA$27=1),'05_FEATURE_MODEL'!AN$5:AN$27)/MAX(1,COUNTIF('93_TARGET_MEMBERSHIP'!BA$5:BA$27,1))-SUMPRODUCT(--('93_TARGET_MEMBERSHIP'!BA$5:BA$27=-1),'05_FEATURE_MODEL'!AN$5:AN$27)/MAX(1,COUNTIF('93_TARGET_MEMBERSHIP'!BA$5:BA$27,-1))))</f>
        <v/>
      </c>
      <c r="AN56" s="34">
        <f>IF($B56="ABSOLUTE SEMANTIC",ABS('06_ITEM_POLE_MODEL'!AW56),ABS('06_ITEM_POLE_MODEL'!AW56)*ABS(SUMPRODUCT(--('93_TARGET_MEMBERSHIP'!BA$5:BA$27=1),'05_FEATURE_MODEL'!AO$5:AO$27)/MAX(1,COUNTIF('93_TARGET_MEMBERSHIP'!BA$5:BA$27,1))-SUMPRODUCT(--('93_TARGET_MEMBERSHIP'!BA$5:BA$27=-1),'05_FEATURE_MODEL'!AO$5:AO$27)/MAX(1,COUNTIF('93_TARGET_MEMBERSHIP'!BA$5:BA$27,-1))))</f>
        <v/>
      </c>
      <c r="AO56" s="34">
        <f>IF($B56="ABSOLUTE SEMANTIC",ABS('06_ITEM_POLE_MODEL'!AX56),ABS('06_ITEM_POLE_MODEL'!AX56)*ABS(SUMPRODUCT(--('93_TARGET_MEMBERSHIP'!BA$5:BA$27=1),'05_FEATURE_MODEL'!AP$5:AP$27)/MAX(1,COUNTIF('93_TARGET_MEMBERSHIP'!BA$5:BA$27,1))-SUMPRODUCT(--('93_TARGET_MEMBERSHIP'!BA$5:BA$27=-1),'05_FEATURE_MODEL'!AP$5:AP$27)/MAX(1,COUNTIF('93_TARGET_MEMBERSHIP'!BA$5:BA$27,-1))))</f>
        <v/>
      </c>
      <c r="AP56" s="34">
        <f>IF($B56="ABSOLUTE SEMANTIC",ABS('06_ITEM_POLE_MODEL'!AY56),ABS('06_ITEM_POLE_MODEL'!AY56)*ABS(SUMPRODUCT(--('93_TARGET_MEMBERSHIP'!BA$5:BA$27=1),'05_FEATURE_MODEL'!AQ$5:AQ$27)/MAX(1,COUNTIF('93_TARGET_MEMBERSHIP'!BA$5:BA$27,1))-SUMPRODUCT(--('93_TARGET_MEMBERSHIP'!BA$5:BA$27=-1),'05_FEATURE_MODEL'!AQ$5:AQ$27)/MAX(1,COUNTIF('93_TARGET_MEMBERSHIP'!BA$5:BA$27,-1))))</f>
        <v/>
      </c>
      <c r="AQ56" s="34">
        <f>IF($B56="ABSOLUTE SEMANTIC",ABS('06_ITEM_POLE_MODEL'!AZ56),ABS('06_ITEM_POLE_MODEL'!AZ56)*ABS(SUMPRODUCT(--('93_TARGET_MEMBERSHIP'!BA$5:BA$27=1),'05_FEATURE_MODEL'!AR$5:AR$27)/MAX(1,COUNTIF('93_TARGET_MEMBERSHIP'!BA$5:BA$27,1))-SUMPRODUCT(--('93_TARGET_MEMBERSHIP'!BA$5:BA$27=-1),'05_FEATURE_MODEL'!AR$5:AR$27)/MAX(1,COUNTIF('93_TARGET_MEMBERSHIP'!BA$5:BA$27,-1))))</f>
        <v/>
      </c>
    </row>
    <row r="57" ht="36" customHeight="1">
      <c r="A57" s="34">
        <f>'06_ITEM_POLE_MODEL'!A57</f>
        <v/>
      </c>
      <c r="B57" s="34">
        <f>'06_ITEM_POLE_MODEL'!E57</f>
        <v/>
      </c>
      <c r="C57" s="34">
        <f>IF($B57="ABSOLUTE SEMANTIC",ABS('06_ITEM_POLE_MODEL'!L57),ABS('06_ITEM_POLE_MODEL'!L57)*ABS(SUMPRODUCT(--('93_TARGET_MEMBERSHIP'!BB$5:BB$27=1),'05_FEATURE_MODEL'!D$5:D$27)/MAX(1,COUNTIF('93_TARGET_MEMBERSHIP'!BB$5:BB$27,1))-SUMPRODUCT(--('93_TARGET_MEMBERSHIP'!BB$5:BB$27=-1),'05_FEATURE_MODEL'!D$5:D$27)/MAX(1,COUNTIF('93_TARGET_MEMBERSHIP'!BB$5:BB$27,-1))))</f>
        <v/>
      </c>
      <c r="D57" s="34">
        <f>IF($B57="ABSOLUTE SEMANTIC",ABS('06_ITEM_POLE_MODEL'!M57),ABS('06_ITEM_POLE_MODEL'!M57)*ABS(SUMPRODUCT(--('93_TARGET_MEMBERSHIP'!BB$5:BB$27=1),'05_FEATURE_MODEL'!E$5:E$27)/MAX(1,COUNTIF('93_TARGET_MEMBERSHIP'!BB$5:BB$27,1))-SUMPRODUCT(--('93_TARGET_MEMBERSHIP'!BB$5:BB$27=-1),'05_FEATURE_MODEL'!E$5:E$27)/MAX(1,COUNTIF('93_TARGET_MEMBERSHIP'!BB$5:BB$27,-1))))</f>
        <v/>
      </c>
      <c r="E57" s="34">
        <f>IF($B57="ABSOLUTE SEMANTIC",ABS('06_ITEM_POLE_MODEL'!N57),ABS('06_ITEM_POLE_MODEL'!N57)*ABS(SUMPRODUCT(--('93_TARGET_MEMBERSHIP'!BB$5:BB$27=1),'05_FEATURE_MODEL'!F$5:F$27)/MAX(1,COUNTIF('93_TARGET_MEMBERSHIP'!BB$5:BB$27,1))-SUMPRODUCT(--('93_TARGET_MEMBERSHIP'!BB$5:BB$27=-1),'05_FEATURE_MODEL'!F$5:F$27)/MAX(1,COUNTIF('93_TARGET_MEMBERSHIP'!BB$5:BB$27,-1))))</f>
        <v/>
      </c>
      <c r="F57" s="34">
        <f>IF($B57="ABSOLUTE SEMANTIC",ABS('06_ITEM_POLE_MODEL'!O57),ABS('06_ITEM_POLE_MODEL'!O57)*ABS(SUMPRODUCT(--('93_TARGET_MEMBERSHIP'!BB$5:BB$27=1),'05_FEATURE_MODEL'!G$5:G$27)/MAX(1,COUNTIF('93_TARGET_MEMBERSHIP'!BB$5:BB$27,1))-SUMPRODUCT(--('93_TARGET_MEMBERSHIP'!BB$5:BB$27=-1),'05_FEATURE_MODEL'!G$5:G$27)/MAX(1,COUNTIF('93_TARGET_MEMBERSHIP'!BB$5:BB$27,-1))))</f>
        <v/>
      </c>
      <c r="G57" s="34">
        <f>IF($B57="ABSOLUTE SEMANTIC",ABS('06_ITEM_POLE_MODEL'!P57),ABS('06_ITEM_POLE_MODEL'!P57)*ABS(SUMPRODUCT(--('93_TARGET_MEMBERSHIP'!BB$5:BB$27=1),'05_FEATURE_MODEL'!H$5:H$27)/MAX(1,COUNTIF('93_TARGET_MEMBERSHIP'!BB$5:BB$27,1))-SUMPRODUCT(--('93_TARGET_MEMBERSHIP'!BB$5:BB$27=-1),'05_FEATURE_MODEL'!H$5:H$27)/MAX(1,COUNTIF('93_TARGET_MEMBERSHIP'!BB$5:BB$27,-1))))</f>
        <v/>
      </c>
      <c r="H57" s="34">
        <f>IF($B57="ABSOLUTE SEMANTIC",ABS('06_ITEM_POLE_MODEL'!Q57),ABS('06_ITEM_POLE_MODEL'!Q57)*ABS(SUMPRODUCT(--('93_TARGET_MEMBERSHIP'!BB$5:BB$27=1),'05_FEATURE_MODEL'!I$5:I$27)/MAX(1,COUNTIF('93_TARGET_MEMBERSHIP'!BB$5:BB$27,1))-SUMPRODUCT(--('93_TARGET_MEMBERSHIP'!BB$5:BB$27=-1),'05_FEATURE_MODEL'!I$5:I$27)/MAX(1,COUNTIF('93_TARGET_MEMBERSHIP'!BB$5:BB$27,-1))))</f>
        <v/>
      </c>
      <c r="I57" s="34">
        <f>IF($B57="ABSOLUTE SEMANTIC",ABS('06_ITEM_POLE_MODEL'!R57),ABS('06_ITEM_POLE_MODEL'!R57)*ABS(SUMPRODUCT(--('93_TARGET_MEMBERSHIP'!BB$5:BB$27=1),'05_FEATURE_MODEL'!J$5:J$27)/MAX(1,COUNTIF('93_TARGET_MEMBERSHIP'!BB$5:BB$27,1))-SUMPRODUCT(--('93_TARGET_MEMBERSHIP'!BB$5:BB$27=-1),'05_FEATURE_MODEL'!J$5:J$27)/MAX(1,COUNTIF('93_TARGET_MEMBERSHIP'!BB$5:BB$27,-1))))</f>
        <v/>
      </c>
      <c r="J57" s="34">
        <f>IF($B57="ABSOLUTE SEMANTIC",ABS('06_ITEM_POLE_MODEL'!S57),ABS('06_ITEM_POLE_MODEL'!S57)*ABS(SUMPRODUCT(--('93_TARGET_MEMBERSHIP'!BB$5:BB$27=1),'05_FEATURE_MODEL'!K$5:K$27)/MAX(1,COUNTIF('93_TARGET_MEMBERSHIP'!BB$5:BB$27,1))-SUMPRODUCT(--('93_TARGET_MEMBERSHIP'!BB$5:BB$27=-1),'05_FEATURE_MODEL'!K$5:K$27)/MAX(1,COUNTIF('93_TARGET_MEMBERSHIP'!BB$5:BB$27,-1))))</f>
        <v/>
      </c>
      <c r="K57" s="34">
        <f>IF($B57="ABSOLUTE SEMANTIC",ABS('06_ITEM_POLE_MODEL'!T57),ABS('06_ITEM_POLE_MODEL'!T57)*ABS(SUMPRODUCT(--('93_TARGET_MEMBERSHIP'!BB$5:BB$27=1),'05_FEATURE_MODEL'!L$5:L$27)/MAX(1,COUNTIF('93_TARGET_MEMBERSHIP'!BB$5:BB$27,1))-SUMPRODUCT(--('93_TARGET_MEMBERSHIP'!BB$5:BB$27=-1),'05_FEATURE_MODEL'!L$5:L$27)/MAX(1,COUNTIF('93_TARGET_MEMBERSHIP'!BB$5:BB$27,-1))))</f>
        <v/>
      </c>
      <c r="L57" s="34">
        <f>IF($B57="ABSOLUTE SEMANTIC",ABS('06_ITEM_POLE_MODEL'!U57),ABS('06_ITEM_POLE_MODEL'!U57)*ABS(SUMPRODUCT(--('93_TARGET_MEMBERSHIP'!BB$5:BB$27=1),'05_FEATURE_MODEL'!M$5:M$27)/MAX(1,COUNTIF('93_TARGET_MEMBERSHIP'!BB$5:BB$27,1))-SUMPRODUCT(--('93_TARGET_MEMBERSHIP'!BB$5:BB$27=-1),'05_FEATURE_MODEL'!M$5:M$27)/MAX(1,COUNTIF('93_TARGET_MEMBERSHIP'!BB$5:BB$27,-1))))</f>
        <v/>
      </c>
      <c r="M57" s="34">
        <f>IF($B57="ABSOLUTE SEMANTIC",ABS('06_ITEM_POLE_MODEL'!V57),ABS('06_ITEM_POLE_MODEL'!V57)*ABS(SUMPRODUCT(--('93_TARGET_MEMBERSHIP'!BB$5:BB$27=1),'05_FEATURE_MODEL'!N$5:N$27)/MAX(1,COUNTIF('93_TARGET_MEMBERSHIP'!BB$5:BB$27,1))-SUMPRODUCT(--('93_TARGET_MEMBERSHIP'!BB$5:BB$27=-1),'05_FEATURE_MODEL'!N$5:N$27)/MAX(1,COUNTIF('93_TARGET_MEMBERSHIP'!BB$5:BB$27,-1))))</f>
        <v/>
      </c>
      <c r="N57" s="34">
        <f>IF($B57="ABSOLUTE SEMANTIC",ABS('06_ITEM_POLE_MODEL'!W57),ABS('06_ITEM_POLE_MODEL'!W57)*ABS(SUMPRODUCT(--('93_TARGET_MEMBERSHIP'!BB$5:BB$27=1),'05_FEATURE_MODEL'!O$5:O$27)/MAX(1,COUNTIF('93_TARGET_MEMBERSHIP'!BB$5:BB$27,1))-SUMPRODUCT(--('93_TARGET_MEMBERSHIP'!BB$5:BB$27=-1),'05_FEATURE_MODEL'!O$5:O$27)/MAX(1,COUNTIF('93_TARGET_MEMBERSHIP'!BB$5:BB$27,-1))))</f>
        <v/>
      </c>
      <c r="O57" s="34">
        <f>IF($B57="ABSOLUTE SEMANTIC",ABS('06_ITEM_POLE_MODEL'!X57),ABS('06_ITEM_POLE_MODEL'!X57)*ABS(SUMPRODUCT(--('93_TARGET_MEMBERSHIP'!BB$5:BB$27=1),'05_FEATURE_MODEL'!P$5:P$27)/MAX(1,COUNTIF('93_TARGET_MEMBERSHIP'!BB$5:BB$27,1))-SUMPRODUCT(--('93_TARGET_MEMBERSHIP'!BB$5:BB$27=-1),'05_FEATURE_MODEL'!P$5:P$27)/MAX(1,COUNTIF('93_TARGET_MEMBERSHIP'!BB$5:BB$27,-1))))</f>
        <v/>
      </c>
      <c r="P57" s="34">
        <f>IF($B57="ABSOLUTE SEMANTIC",ABS('06_ITEM_POLE_MODEL'!Y57),ABS('06_ITEM_POLE_MODEL'!Y57)*ABS(SUMPRODUCT(--('93_TARGET_MEMBERSHIP'!BB$5:BB$27=1),'05_FEATURE_MODEL'!Q$5:Q$27)/MAX(1,COUNTIF('93_TARGET_MEMBERSHIP'!BB$5:BB$27,1))-SUMPRODUCT(--('93_TARGET_MEMBERSHIP'!BB$5:BB$27=-1),'05_FEATURE_MODEL'!Q$5:Q$27)/MAX(1,COUNTIF('93_TARGET_MEMBERSHIP'!BB$5:BB$27,-1))))</f>
        <v/>
      </c>
      <c r="Q57" s="34">
        <f>IF($B57="ABSOLUTE SEMANTIC",ABS('06_ITEM_POLE_MODEL'!Z57),ABS('06_ITEM_POLE_MODEL'!Z57)*ABS(SUMPRODUCT(--('93_TARGET_MEMBERSHIP'!BB$5:BB$27=1),'05_FEATURE_MODEL'!R$5:R$27)/MAX(1,COUNTIF('93_TARGET_MEMBERSHIP'!BB$5:BB$27,1))-SUMPRODUCT(--('93_TARGET_MEMBERSHIP'!BB$5:BB$27=-1),'05_FEATURE_MODEL'!R$5:R$27)/MAX(1,COUNTIF('93_TARGET_MEMBERSHIP'!BB$5:BB$27,-1))))</f>
        <v/>
      </c>
      <c r="R57" s="34">
        <f>IF($B57="ABSOLUTE SEMANTIC",ABS('06_ITEM_POLE_MODEL'!AA57),ABS('06_ITEM_POLE_MODEL'!AA57)*ABS(SUMPRODUCT(--('93_TARGET_MEMBERSHIP'!BB$5:BB$27=1),'05_FEATURE_MODEL'!S$5:S$27)/MAX(1,COUNTIF('93_TARGET_MEMBERSHIP'!BB$5:BB$27,1))-SUMPRODUCT(--('93_TARGET_MEMBERSHIP'!BB$5:BB$27=-1),'05_FEATURE_MODEL'!S$5:S$27)/MAX(1,COUNTIF('93_TARGET_MEMBERSHIP'!BB$5:BB$27,-1))))</f>
        <v/>
      </c>
      <c r="S57" s="34">
        <f>IF($B57="ABSOLUTE SEMANTIC",ABS('06_ITEM_POLE_MODEL'!AB57),ABS('06_ITEM_POLE_MODEL'!AB57)*ABS(SUMPRODUCT(--('93_TARGET_MEMBERSHIP'!BB$5:BB$27=1),'05_FEATURE_MODEL'!T$5:T$27)/MAX(1,COUNTIF('93_TARGET_MEMBERSHIP'!BB$5:BB$27,1))-SUMPRODUCT(--('93_TARGET_MEMBERSHIP'!BB$5:BB$27=-1),'05_FEATURE_MODEL'!T$5:T$27)/MAX(1,COUNTIF('93_TARGET_MEMBERSHIP'!BB$5:BB$27,-1))))</f>
        <v/>
      </c>
      <c r="T57" s="34">
        <f>IF($B57="ABSOLUTE SEMANTIC",ABS('06_ITEM_POLE_MODEL'!AC57),ABS('06_ITEM_POLE_MODEL'!AC57)*ABS(SUMPRODUCT(--('93_TARGET_MEMBERSHIP'!BB$5:BB$27=1),'05_FEATURE_MODEL'!U$5:U$27)/MAX(1,COUNTIF('93_TARGET_MEMBERSHIP'!BB$5:BB$27,1))-SUMPRODUCT(--('93_TARGET_MEMBERSHIP'!BB$5:BB$27=-1),'05_FEATURE_MODEL'!U$5:U$27)/MAX(1,COUNTIF('93_TARGET_MEMBERSHIP'!BB$5:BB$27,-1))))</f>
        <v/>
      </c>
      <c r="U57" s="34">
        <f>IF($B57="ABSOLUTE SEMANTIC",ABS('06_ITEM_POLE_MODEL'!AD57),ABS('06_ITEM_POLE_MODEL'!AD57)*ABS(SUMPRODUCT(--('93_TARGET_MEMBERSHIP'!BB$5:BB$27=1),'05_FEATURE_MODEL'!V$5:V$27)/MAX(1,COUNTIF('93_TARGET_MEMBERSHIP'!BB$5:BB$27,1))-SUMPRODUCT(--('93_TARGET_MEMBERSHIP'!BB$5:BB$27=-1),'05_FEATURE_MODEL'!V$5:V$27)/MAX(1,COUNTIF('93_TARGET_MEMBERSHIP'!BB$5:BB$27,-1))))</f>
        <v/>
      </c>
      <c r="V57" s="34">
        <f>IF($B57="ABSOLUTE SEMANTIC",ABS('06_ITEM_POLE_MODEL'!AE57),ABS('06_ITEM_POLE_MODEL'!AE57)*ABS(SUMPRODUCT(--('93_TARGET_MEMBERSHIP'!BB$5:BB$27=1),'05_FEATURE_MODEL'!W$5:W$27)/MAX(1,COUNTIF('93_TARGET_MEMBERSHIP'!BB$5:BB$27,1))-SUMPRODUCT(--('93_TARGET_MEMBERSHIP'!BB$5:BB$27=-1),'05_FEATURE_MODEL'!W$5:W$27)/MAX(1,COUNTIF('93_TARGET_MEMBERSHIP'!BB$5:BB$27,-1))))</f>
        <v/>
      </c>
      <c r="W57" s="34">
        <f>IF($B57="ABSOLUTE SEMANTIC",ABS('06_ITEM_POLE_MODEL'!AF57),ABS('06_ITEM_POLE_MODEL'!AF57)*ABS(SUMPRODUCT(--('93_TARGET_MEMBERSHIP'!BB$5:BB$27=1),'05_FEATURE_MODEL'!X$5:X$27)/MAX(1,COUNTIF('93_TARGET_MEMBERSHIP'!BB$5:BB$27,1))-SUMPRODUCT(--('93_TARGET_MEMBERSHIP'!BB$5:BB$27=-1),'05_FEATURE_MODEL'!X$5:X$27)/MAX(1,COUNTIF('93_TARGET_MEMBERSHIP'!BB$5:BB$27,-1))))</f>
        <v/>
      </c>
      <c r="X57" s="34">
        <f>IF($B57="ABSOLUTE SEMANTIC",ABS('06_ITEM_POLE_MODEL'!AG57),ABS('06_ITEM_POLE_MODEL'!AG57)*ABS(SUMPRODUCT(--('93_TARGET_MEMBERSHIP'!BB$5:BB$27=1),'05_FEATURE_MODEL'!Y$5:Y$27)/MAX(1,COUNTIF('93_TARGET_MEMBERSHIP'!BB$5:BB$27,1))-SUMPRODUCT(--('93_TARGET_MEMBERSHIP'!BB$5:BB$27=-1),'05_FEATURE_MODEL'!Y$5:Y$27)/MAX(1,COUNTIF('93_TARGET_MEMBERSHIP'!BB$5:BB$27,-1))))</f>
        <v/>
      </c>
      <c r="Y57" s="34">
        <f>IF($B57="ABSOLUTE SEMANTIC",ABS('06_ITEM_POLE_MODEL'!AH57),ABS('06_ITEM_POLE_MODEL'!AH57)*ABS(SUMPRODUCT(--('93_TARGET_MEMBERSHIP'!BB$5:BB$27=1),'05_FEATURE_MODEL'!Z$5:Z$27)/MAX(1,COUNTIF('93_TARGET_MEMBERSHIP'!BB$5:BB$27,1))-SUMPRODUCT(--('93_TARGET_MEMBERSHIP'!BB$5:BB$27=-1),'05_FEATURE_MODEL'!Z$5:Z$27)/MAX(1,COUNTIF('93_TARGET_MEMBERSHIP'!BB$5:BB$27,-1))))</f>
        <v/>
      </c>
      <c r="Z57" s="34">
        <f>IF($B57="ABSOLUTE SEMANTIC",ABS('06_ITEM_POLE_MODEL'!AI57),ABS('06_ITEM_POLE_MODEL'!AI57)*ABS(SUMPRODUCT(--('93_TARGET_MEMBERSHIP'!BB$5:BB$27=1),'05_FEATURE_MODEL'!AA$5:AA$27)/MAX(1,COUNTIF('93_TARGET_MEMBERSHIP'!BB$5:BB$27,1))-SUMPRODUCT(--('93_TARGET_MEMBERSHIP'!BB$5:BB$27=-1),'05_FEATURE_MODEL'!AA$5:AA$27)/MAX(1,COUNTIF('93_TARGET_MEMBERSHIP'!BB$5:BB$27,-1))))</f>
        <v/>
      </c>
      <c r="AA57" s="34">
        <f>IF($B57="ABSOLUTE SEMANTIC",ABS('06_ITEM_POLE_MODEL'!AJ57),ABS('06_ITEM_POLE_MODEL'!AJ57)*ABS(SUMPRODUCT(--('93_TARGET_MEMBERSHIP'!BB$5:BB$27=1),'05_FEATURE_MODEL'!AB$5:AB$27)/MAX(1,COUNTIF('93_TARGET_MEMBERSHIP'!BB$5:BB$27,1))-SUMPRODUCT(--('93_TARGET_MEMBERSHIP'!BB$5:BB$27=-1),'05_FEATURE_MODEL'!AB$5:AB$27)/MAX(1,COUNTIF('93_TARGET_MEMBERSHIP'!BB$5:BB$27,-1))))</f>
        <v/>
      </c>
      <c r="AB57" s="34">
        <f>IF($B57="ABSOLUTE SEMANTIC",ABS('06_ITEM_POLE_MODEL'!AK57),ABS('06_ITEM_POLE_MODEL'!AK57)*ABS(SUMPRODUCT(--('93_TARGET_MEMBERSHIP'!BB$5:BB$27=1),'05_FEATURE_MODEL'!AC$5:AC$27)/MAX(1,COUNTIF('93_TARGET_MEMBERSHIP'!BB$5:BB$27,1))-SUMPRODUCT(--('93_TARGET_MEMBERSHIP'!BB$5:BB$27=-1),'05_FEATURE_MODEL'!AC$5:AC$27)/MAX(1,COUNTIF('93_TARGET_MEMBERSHIP'!BB$5:BB$27,-1))))</f>
        <v/>
      </c>
      <c r="AC57" s="34">
        <f>IF($B57="ABSOLUTE SEMANTIC",ABS('06_ITEM_POLE_MODEL'!AL57),ABS('06_ITEM_POLE_MODEL'!AL57)*ABS(SUMPRODUCT(--('93_TARGET_MEMBERSHIP'!BB$5:BB$27=1),'05_FEATURE_MODEL'!AD$5:AD$27)/MAX(1,COUNTIF('93_TARGET_MEMBERSHIP'!BB$5:BB$27,1))-SUMPRODUCT(--('93_TARGET_MEMBERSHIP'!BB$5:BB$27=-1),'05_FEATURE_MODEL'!AD$5:AD$27)/MAX(1,COUNTIF('93_TARGET_MEMBERSHIP'!BB$5:BB$27,-1))))</f>
        <v/>
      </c>
      <c r="AD57" s="34">
        <f>IF($B57="ABSOLUTE SEMANTIC",ABS('06_ITEM_POLE_MODEL'!AM57),ABS('06_ITEM_POLE_MODEL'!AM57)*ABS(SUMPRODUCT(--('93_TARGET_MEMBERSHIP'!BB$5:BB$27=1),'05_FEATURE_MODEL'!AE$5:AE$27)/MAX(1,COUNTIF('93_TARGET_MEMBERSHIP'!BB$5:BB$27,1))-SUMPRODUCT(--('93_TARGET_MEMBERSHIP'!BB$5:BB$27=-1),'05_FEATURE_MODEL'!AE$5:AE$27)/MAX(1,COUNTIF('93_TARGET_MEMBERSHIP'!BB$5:BB$27,-1))))</f>
        <v/>
      </c>
      <c r="AE57" s="34">
        <f>IF($B57="ABSOLUTE SEMANTIC",ABS('06_ITEM_POLE_MODEL'!AN57),ABS('06_ITEM_POLE_MODEL'!AN57)*ABS(SUMPRODUCT(--('93_TARGET_MEMBERSHIP'!BB$5:BB$27=1),'05_FEATURE_MODEL'!AF$5:AF$27)/MAX(1,COUNTIF('93_TARGET_MEMBERSHIP'!BB$5:BB$27,1))-SUMPRODUCT(--('93_TARGET_MEMBERSHIP'!BB$5:BB$27=-1),'05_FEATURE_MODEL'!AF$5:AF$27)/MAX(1,COUNTIF('93_TARGET_MEMBERSHIP'!BB$5:BB$27,-1))))</f>
        <v/>
      </c>
      <c r="AF57" s="34">
        <f>IF($B57="ABSOLUTE SEMANTIC",ABS('06_ITEM_POLE_MODEL'!AO57),ABS('06_ITEM_POLE_MODEL'!AO57)*ABS(SUMPRODUCT(--('93_TARGET_MEMBERSHIP'!BB$5:BB$27=1),'05_FEATURE_MODEL'!AG$5:AG$27)/MAX(1,COUNTIF('93_TARGET_MEMBERSHIP'!BB$5:BB$27,1))-SUMPRODUCT(--('93_TARGET_MEMBERSHIP'!BB$5:BB$27=-1),'05_FEATURE_MODEL'!AG$5:AG$27)/MAX(1,COUNTIF('93_TARGET_MEMBERSHIP'!BB$5:BB$27,-1))))</f>
        <v/>
      </c>
      <c r="AG57" s="34">
        <f>IF($B57="ABSOLUTE SEMANTIC",ABS('06_ITEM_POLE_MODEL'!AP57),ABS('06_ITEM_POLE_MODEL'!AP57)*ABS(SUMPRODUCT(--('93_TARGET_MEMBERSHIP'!BB$5:BB$27=1),'05_FEATURE_MODEL'!AH$5:AH$27)/MAX(1,COUNTIF('93_TARGET_MEMBERSHIP'!BB$5:BB$27,1))-SUMPRODUCT(--('93_TARGET_MEMBERSHIP'!BB$5:BB$27=-1),'05_FEATURE_MODEL'!AH$5:AH$27)/MAX(1,COUNTIF('93_TARGET_MEMBERSHIP'!BB$5:BB$27,-1))))</f>
        <v/>
      </c>
      <c r="AH57" s="34">
        <f>IF($B57="ABSOLUTE SEMANTIC",ABS('06_ITEM_POLE_MODEL'!AQ57),ABS('06_ITEM_POLE_MODEL'!AQ57)*ABS(SUMPRODUCT(--('93_TARGET_MEMBERSHIP'!BB$5:BB$27=1),'05_FEATURE_MODEL'!AI$5:AI$27)/MAX(1,COUNTIF('93_TARGET_MEMBERSHIP'!BB$5:BB$27,1))-SUMPRODUCT(--('93_TARGET_MEMBERSHIP'!BB$5:BB$27=-1),'05_FEATURE_MODEL'!AI$5:AI$27)/MAX(1,COUNTIF('93_TARGET_MEMBERSHIP'!BB$5:BB$27,-1))))</f>
        <v/>
      </c>
      <c r="AI57" s="34">
        <f>IF($B57="ABSOLUTE SEMANTIC",ABS('06_ITEM_POLE_MODEL'!AR57),ABS('06_ITEM_POLE_MODEL'!AR57)*ABS(SUMPRODUCT(--('93_TARGET_MEMBERSHIP'!BB$5:BB$27=1),'05_FEATURE_MODEL'!AJ$5:AJ$27)/MAX(1,COUNTIF('93_TARGET_MEMBERSHIP'!BB$5:BB$27,1))-SUMPRODUCT(--('93_TARGET_MEMBERSHIP'!BB$5:BB$27=-1),'05_FEATURE_MODEL'!AJ$5:AJ$27)/MAX(1,COUNTIF('93_TARGET_MEMBERSHIP'!BB$5:BB$27,-1))))</f>
        <v/>
      </c>
      <c r="AJ57" s="34">
        <f>IF($B57="ABSOLUTE SEMANTIC",ABS('06_ITEM_POLE_MODEL'!AS57),ABS('06_ITEM_POLE_MODEL'!AS57)*ABS(SUMPRODUCT(--('93_TARGET_MEMBERSHIP'!BB$5:BB$27=1),'05_FEATURE_MODEL'!AK$5:AK$27)/MAX(1,COUNTIF('93_TARGET_MEMBERSHIP'!BB$5:BB$27,1))-SUMPRODUCT(--('93_TARGET_MEMBERSHIP'!BB$5:BB$27=-1),'05_FEATURE_MODEL'!AK$5:AK$27)/MAX(1,COUNTIF('93_TARGET_MEMBERSHIP'!BB$5:BB$27,-1))))</f>
        <v/>
      </c>
      <c r="AK57" s="34">
        <f>IF($B57="ABSOLUTE SEMANTIC",ABS('06_ITEM_POLE_MODEL'!AT57),ABS('06_ITEM_POLE_MODEL'!AT57)*ABS(SUMPRODUCT(--('93_TARGET_MEMBERSHIP'!BB$5:BB$27=1),'05_FEATURE_MODEL'!AL$5:AL$27)/MAX(1,COUNTIF('93_TARGET_MEMBERSHIP'!BB$5:BB$27,1))-SUMPRODUCT(--('93_TARGET_MEMBERSHIP'!BB$5:BB$27=-1),'05_FEATURE_MODEL'!AL$5:AL$27)/MAX(1,COUNTIF('93_TARGET_MEMBERSHIP'!BB$5:BB$27,-1))))</f>
        <v/>
      </c>
      <c r="AL57" s="34">
        <f>IF($B57="ABSOLUTE SEMANTIC",ABS('06_ITEM_POLE_MODEL'!AU57),ABS('06_ITEM_POLE_MODEL'!AU57)*ABS(SUMPRODUCT(--('93_TARGET_MEMBERSHIP'!BB$5:BB$27=1),'05_FEATURE_MODEL'!AM$5:AM$27)/MAX(1,COUNTIF('93_TARGET_MEMBERSHIP'!BB$5:BB$27,1))-SUMPRODUCT(--('93_TARGET_MEMBERSHIP'!BB$5:BB$27=-1),'05_FEATURE_MODEL'!AM$5:AM$27)/MAX(1,COUNTIF('93_TARGET_MEMBERSHIP'!BB$5:BB$27,-1))))</f>
        <v/>
      </c>
      <c r="AM57" s="34">
        <f>IF($B57="ABSOLUTE SEMANTIC",ABS('06_ITEM_POLE_MODEL'!AV57),ABS('06_ITEM_POLE_MODEL'!AV57)*ABS(SUMPRODUCT(--('93_TARGET_MEMBERSHIP'!BB$5:BB$27=1),'05_FEATURE_MODEL'!AN$5:AN$27)/MAX(1,COUNTIF('93_TARGET_MEMBERSHIP'!BB$5:BB$27,1))-SUMPRODUCT(--('93_TARGET_MEMBERSHIP'!BB$5:BB$27=-1),'05_FEATURE_MODEL'!AN$5:AN$27)/MAX(1,COUNTIF('93_TARGET_MEMBERSHIP'!BB$5:BB$27,-1))))</f>
        <v/>
      </c>
      <c r="AN57" s="34">
        <f>IF($B57="ABSOLUTE SEMANTIC",ABS('06_ITEM_POLE_MODEL'!AW57),ABS('06_ITEM_POLE_MODEL'!AW57)*ABS(SUMPRODUCT(--('93_TARGET_MEMBERSHIP'!BB$5:BB$27=1),'05_FEATURE_MODEL'!AO$5:AO$27)/MAX(1,COUNTIF('93_TARGET_MEMBERSHIP'!BB$5:BB$27,1))-SUMPRODUCT(--('93_TARGET_MEMBERSHIP'!BB$5:BB$27=-1),'05_FEATURE_MODEL'!AO$5:AO$27)/MAX(1,COUNTIF('93_TARGET_MEMBERSHIP'!BB$5:BB$27,-1))))</f>
        <v/>
      </c>
      <c r="AO57" s="34">
        <f>IF($B57="ABSOLUTE SEMANTIC",ABS('06_ITEM_POLE_MODEL'!AX57),ABS('06_ITEM_POLE_MODEL'!AX57)*ABS(SUMPRODUCT(--('93_TARGET_MEMBERSHIP'!BB$5:BB$27=1),'05_FEATURE_MODEL'!AP$5:AP$27)/MAX(1,COUNTIF('93_TARGET_MEMBERSHIP'!BB$5:BB$27,1))-SUMPRODUCT(--('93_TARGET_MEMBERSHIP'!BB$5:BB$27=-1),'05_FEATURE_MODEL'!AP$5:AP$27)/MAX(1,COUNTIF('93_TARGET_MEMBERSHIP'!BB$5:BB$27,-1))))</f>
        <v/>
      </c>
      <c r="AP57" s="34">
        <f>IF($B57="ABSOLUTE SEMANTIC",ABS('06_ITEM_POLE_MODEL'!AY57),ABS('06_ITEM_POLE_MODEL'!AY57)*ABS(SUMPRODUCT(--('93_TARGET_MEMBERSHIP'!BB$5:BB$27=1),'05_FEATURE_MODEL'!AQ$5:AQ$27)/MAX(1,COUNTIF('93_TARGET_MEMBERSHIP'!BB$5:BB$27,1))-SUMPRODUCT(--('93_TARGET_MEMBERSHIP'!BB$5:BB$27=-1),'05_FEATURE_MODEL'!AQ$5:AQ$27)/MAX(1,COUNTIF('93_TARGET_MEMBERSHIP'!BB$5:BB$27,-1))))</f>
        <v/>
      </c>
      <c r="AQ57" s="34">
        <f>IF($B57="ABSOLUTE SEMANTIC",ABS('06_ITEM_POLE_MODEL'!AZ57),ABS('06_ITEM_POLE_MODEL'!AZ57)*ABS(SUMPRODUCT(--('93_TARGET_MEMBERSHIP'!BB$5:BB$27=1),'05_FEATURE_MODEL'!AR$5:AR$27)/MAX(1,COUNTIF('93_TARGET_MEMBERSHIP'!BB$5:BB$27,1))-SUMPRODUCT(--('93_TARGET_MEMBERSHIP'!BB$5:BB$27=-1),'05_FEATURE_MODEL'!AR$5:AR$27)/MAX(1,COUNTIF('93_TARGET_MEMBERSHIP'!BB$5:BB$27,-1))))</f>
        <v/>
      </c>
    </row>
    <row r="58" ht="36" customHeight="1">
      <c r="A58" s="34">
        <f>'06_ITEM_POLE_MODEL'!A58</f>
        <v/>
      </c>
      <c r="B58" s="34">
        <f>'06_ITEM_POLE_MODEL'!E58</f>
        <v/>
      </c>
      <c r="C58" s="34">
        <f>IF($B58="ABSOLUTE SEMANTIC",ABS('06_ITEM_POLE_MODEL'!L58),ABS('06_ITEM_POLE_MODEL'!L58)*ABS(SUMPRODUCT(--('93_TARGET_MEMBERSHIP'!BC$5:BC$27=1),'05_FEATURE_MODEL'!D$5:D$27)/MAX(1,COUNTIF('93_TARGET_MEMBERSHIP'!BC$5:BC$27,1))-SUMPRODUCT(--('93_TARGET_MEMBERSHIP'!BC$5:BC$27=-1),'05_FEATURE_MODEL'!D$5:D$27)/MAX(1,COUNTIF('93_TARGET_MEMBERSHIP'!BC$5:BC$27,-1))))</f>
        <v/>
      </c>
      <c r="D58" s="34">
        <f>IF($B58="ABSOLUTE SEMANTIC",ABS('06_ITEM_POLE_MODEL'!M58),ABS('06_ITEM_POLE_MODEL'!M58)*ABS(SUMPRODUCT(--('93_TARGET_MEMBERSHIP'!BC$5:BC$27=1),'05_FEATURE_MODEL'!E$5:E$27)/MAX(1,COUNTIF('93_TARGET_MEMBERSHIP'!BC$5:BC$27,1))-SUMPRODUCT(--('93_TARGET_MEMBERSHIP'!BC$5:BC$27=-1),'05_FEATURE_MODEL'!E$5:E$27)/MAX(1,COUNTIF('93_TARGET_MEMBERSHIP'!BC$5:BC$27,-1))))</f>
        <v/>
      </c>
      <c r="E58" s="34">
        <f>IF($B58="ABSOLUTE SEMANTIC",ABS('06_ITEM_POLE_MODEL'!N58),ABS('06_ITEM_POLE_MODEL'!N58)*ABS(SUMPRODUCT(--('93_TARGET_MEMBERSHIP'!BC$5:BC$27=1),'05_FEATURE_MODEL'!F$5:F$27)/MAX(1,COUNTIF('93_TARGET_MEMBERSHIP'!BC$5:BC$27,1))-SUMPRODUCT(--('93_TARGET_MEMBERSHIP'!BC$5:BC$27=-1),'05_FEATURE_MODEL'!F$5:F$27)/MAX(1,COUNTIF('93_TARGET_MEMBERSHIP'!BC$5:BC$27,-1))))</f>
        <v/>
      </c>
      <c r="F58" s="34">
        <f>IF($B58="ABSOLUTE SEMANTIC",ABS('06_ITEM_POLE_MODEL'!O58),ABS('06_ITEM_POLE_MODEL'!O58)*ABS(SUMPRODUCT(--('93_TARGET_MEMBERSHIP'!BC$5:BC$27=1),'05_FEATURE_MODEL'!G$5:G$27)/MAX(1,COUNTIF('93_TARGET_MEMBERSHIP'!BC$5:BC$27,1))-SUMPRODUCT(--('93_TARGET_MEMBERSHIP'!BC$5:BC$27=-1),'05_FEATURE_MODEL'!G$5:G$27)/MAX(1,COUNTIF('93_TARGET_MEMBERSHIP'!BC$5:BC$27,-1))))</f>
        <v/>
      </c>
      <c r="G58" s="34">
        <f>IF($B58="ABSOLUTE SEMANTIC",ABS('06_ITEM_POLE_MODEL'!P58),ABS('06_ITEM_POLE_MODEL'!P58)*ABS(SUMPRODUCT(--('93_TARGET_MEMBERSHIP'!BC$5:BC$27=1),'05_FEATURE_MODEL'!H$5:H$27)/MAX(1,COUNTIF('93_TARGET_MEMBERSHIP'!BC$5:BC$27,1))-SUMPRODUCT(--('93_TARGET_MEMBERSHIP'!BC$5:BC$27=-1),'05_FEATURE_MODEL'!H$5:H$27)/MAX(1,COUNTIF('93_TARGET_MEMBERSHIP'!BC$5:BC$27,-1))))</f>
        <v/>
      </c>
      <c r="H58" s="34">
        <f>IF($B58="ABSOLUTE SEMANTIC",ABS('06_ITEM_POLE_MODEL'!Q58),ABS('06_ITEM_POLE_MODEL'!Q58)*ABS(SUMPRODUCT(--('93_TARGET_MEMBERSHIP'!BC$5:BC$27=1),'05_FEATURE_MODEL'!I$5:I$27)/MAX(1,COUNTIF('93_TARGET_MEMBERSHIP'!BC$5:BC$27,1))-SUMPRODUCT(--('93_TARGET_MEMBERSHIP'!BC$5:BC$27=-1),'05_FEATURE_MODEL'!I$5:I$27)/MAX(1,COUNTIF('93_TARGET_MEMBERSHIP'!BC$5:BC$27,-1))))</f>
        <v/>
      </c>
      <c r="I58" s="34">
        <f>IF($B58="ABSOLUTE SEMANTIC",ABS('06_ITEM_POLE_MODEL'!R58),ABS('06_ITEM_POLE_MODEL'!R58)*ABS(SUMPRODUCT(--('93_TARGET_MEMBERSHIP'!BC$5:BC$27=1),'05_FEATURE_MODEL'!J$5:J$27)/MAX(1,COUNTIF('93_TARGET_MEMBERSHIP'!BC$5:BC$27,1))-SUMPRODUCT(--('93_TARGET_MEMBERSHIP'!BC$5:BC$27=-1),'05_FEATURE_MODEL'!J$5:J$27)/MAX(1,COUNTIF('93_TARGET_MEMBERSHIP'!BC$5:BC$27,-1))))</f>
        <v/>
      </c>
      <c r="J58" s="34">
        <f>IF($B58="ABSOLUTE SEMANTIC",ABS('06_ITEM_POLE_MODEL'!S58),ABS('06_ITEM_POLE_MODEL'!S58)*ABS(SUMPRODUCT(--('93_TARGET_MEMBERSHIP'!BC$5:BC$27=1),'05_FEATURE_MODEL'!K$5:K$27)/MAX(1,COUNTIF('93_TARGET_MEMBERSHIP'!BC$5:BC$27,1))-SUMPRODUCT(--('93_TARGET_MEMBERSHIP'!BC$5:BC$27=-1),'05_FEATURE_MODEL'!K$5:K$27)/MAX(1,COUNTIF('93_TARGET_MEMBERSHIP'!BC$5:BC$27,-1))))</f>
        <v/>
      </c>
      <c r="K58" s="34">
        <f>IF($B58="ABSOLUTE SEMANTIC",ABS('06_ITEM_POLE_MODEL'!T58),ABS('06_ITEM_POLE_MODEL'!T58)*ABS(SUMPRODUCT(--('93_TARGET_MEMBERSHIP'!BC$5:BC$27=1),'05_FEATURE_MODEL'!L$5:L$27)/MAX(1,COUNTIF('93_TARGET_MEMBERSHIP'!BC$5:BC$27,1))-SUMPRODUCT(--('93_TARGET_MEMBERSHIP'!BC$5:BC$27=-1),'05_FEATURE_MODEL'!L$5:L$27)/MAX(1,COUNTIF('93_TARGET_MEMBERSHIP'!BC$5:BC$27,-1))))</f>
        <v/>
      </c>
      <c r="L58" s="34">
        <f>IF($B58="ABSOLUTE SEMANTIC",ABS('06_ITEM_POLE_MODEL'!U58),ABS('06_ITEM_POLE_MODEL'!U58)*ABS(SUMPRODUCT(--('93_TARGET_MEMBERSHIP'!BC$5:BC$27=1),'05_FEATURE_MODEL'!M$5:M$27)/MAX(1,COUNTIF('93_TARGET_MEMBERSHIP'!BC$5:BC$27,1))-SUMPRODUCT(--('93_TARGET_MEMBERSHIP'!BC$5:BC$27=-1),'05_FEATURE_MODEL'!M$5:M$27)/MAX(1,COUNTIF('93_TARGET_MEMBERSHIP'!BC$5:BC$27,-1))))</f>
        <v/>
      </c>
      <c r="M58" s="34">
        <f>IF($B58="ABSOLUTE SEMANTIC",ABS('06_ITEM_POLE_MODEL'!V58),ABS('06_ITEM_POLE_MODEL'!V58)*ABS(SUMPRODUCT(--('93_TARGET_MEMBERSHIP'!BC$5:BC$27=1),'05_FEATURE_MODEL'!N$5:N$27)/MAX(1,COUNTIF('93_TARGET_MEMBERSHIP'!BC$5:BC$27,1))-SUMPRODUCT(--('93_TARGET_MEMBERSHIP'!BC$5:BC$27=-1),'05_FEATURE_MODEL'!N$5:N$27)/MAX(1,COUNTIF('93_TARGET_MEMBERSHIP'!BC$5:BC$27,-1))))</f>
        <v/>
      </c>
      <c r="N58" s="34">
        <f>IF($B58="ABSOLUTE SEMANTIC",ABS('06_ITEM_POLE_MODEL'!W58),ABS('06_ITEM_POLE_MODEL'!W58)*ABS(SUMPRODUCT(--('93_TARGET_MEMBERSHIP'!BC$5:BC$27=1),'05_FEATURE_MODEL'!O$5:O$27)/MAX(1,COUNTIF('93_TARGET_MEMBERSHIP'!BC$5:BC$27,1))-SUMPRODUCT(--('93_TARGET_MEMBERSHIP'!BC$5:BC$27=-1),'05_FEATURE_MODEL'!O$5:O$27)/MAX(1,COUNTIF('93_TARGET_MEMBERSHIP'!BC$5:BC$27,-1))))</f>
        <v/>
      </c>
      <c r="O58" s="34">
        <f>IF($B58="ABSOLUTE SEMANTIC",ABS('06_ITEM_POLE_MODEL'!X58),ABS('06_ITEM_POLE_MODEL'!X58)*ABS(SUMPRODUCT(--('93_TARGET_MEMBERSHIP'!BC$5:BC$27=1),'05_FEATURE_MODEL'!P$5:P$27)/MAX(1,COUNTIF('93_TARGET_MEMBERSHIP'!BC$5:BC$27,1))-SUMPRODUCT(--('93_TARGET_MEMBERSHIP'!BC$5:BC$27=-1),'05_FEATURE_MODEL'!P$5:P$27)/MAX(1,COUNTIF('93_TARGET_MEMBERSHIP'!BC$5:BC$27,-1))))</f>
        <v/>
      </c>
      <c r="P58" s="34">
        <f>IF($B58="ABSOLUTE SEMANTIC",ABS('06_ITEM_POLE_MODEL'!Y58),ABS('06_ITEM_POLE_MODEL'!Y58)*ABS(SUMPRODUCT(--('93_TARGET_MEMBERSHIP'!BC$5:BC$27=1),'05_FEATURE_MODEL'!Q$5:Q$27)/MAX(1,COUNTIF('93_TARGET_MEMBERSHIP'!BC$5:BC$27,1))-SUMPRODUCT(--('93_TARGET_MEMBERSHIP'!BC$5:BC$27=-1),'05_FEATURE_MODEL'!Q$5:Q$27)/MAX(1,COUNTIF('93_TARGET_MEMBERSHIP'!BC$5:BC$27,-1))))</f>
        <v/>
      </c>
      <c r="Q58" s="34">
        <f>IF($B58="ABSOLUTE SEMANTIC",ABS('06_ITEM_POLE_MODEL'!Z58),ABS('06_ITEM_POLE_MODEL'!Z58)*ABS(SUMPRODUCT(--('93_TARGET_MEMBERSHIP'!BC$5:BC$27=1),'05_FEATURE_MODEL'!R$5:R$27)/MAX(1,COUNTIF('93_TARGET_MEMBERSHIP'!BC$5:BC$27,1))-SUMPRODUCT(--('93_TARGET_MEMBERSHIP'!BC$5:BC$27=-1),'05_FEATURE_MODEL'!R$5:R$27)/MAX(1,COUNTIF('93_TARGET_MEMBERSHIP'!BC$5:BC$27,-1))))</f>
        <v/>
      </c>
      <c r="R58" s="34">
        <f>IF($B58="ABSOLUTE SEMANTIC",ABS('06_ITEM_POLE_MODEL'!AA58),ABS('06_ITEM_POLE_MODEL'!AA58)*ABS(SUMPRODUCT(--('93_TARGET_MEMBERSHIP'!BC$5:BC$27=1),'05_FEATURE_MODEL'!S$5:S$27)/MAX(1,COUNTIF('93_TARGET_MEMBERSHIP'!BC$5:BC$27,1))-SUMPRODUCT(--('93_TARGET_MEMBERSHIP'!BC$5:BC$27=-1),'05_FEATURE_MODEL'!S$5:S$27)/MAX(1,COUNTIF('93_TARGET_MEMBERSHIP'!BC$5:BC$27,-1))))</f>
        <v/>
      </c>
      <c r="S58" s="34">
        <f>IF($B58="ABSOLUTE SEMANTIC",ABS('06_ITEM_POLE_MODEL'!AB58),ABS('06_ITEM_POLE_MODEL'!AB58)*ABS(SUMPRODUCT(--('93_TARGET_MEMBERSHIP'!BC$5:BC$27=1),'05_FEATURE_MODEL'!T$5:T$27)/MAX(1,COUNTIF('93_TARGET_MEMBERSHIP'!BC$5:BC$27,1))-SUMPRODUCT(--('93_TARGET_MEMBERSHIP'!BC$5:BC$27=-1),'05_FEATURE_MODEL'!T$5:T$27)/MAX(1,COUNTIF('93_TARGET_MEMBERSHIP'!BC$5:BC$27,-1))))</f>
        <v/>
      </c>
      <c r="T58" s="34">
        <f>IF($B58="ABSOLUTE SEMANTIC",ABS('06_ITEM_POLE_MODEL'!AC58),ABS('06_ITEM_POLE_MODEL'!AC58)*ABS(SUMPRODUCT(--('93_TARGET_MEMBERSHIP'!BC$5:BC$27=1),'05_FEATURE_MODEL'!U$5:U$27)/MAX(1,COUNTIF('93_TARGET_MEMBERSHIP'!BC$5:BC$27,1))-SUMPRODUCT(--('93_TARGET_MEMBERSHIP'!BC$5:BC$27=-1),'05_FEATURE_MODEL'!U$5:U$27)/MAX(1,COUNTIF('93_TARGET_MEMBERSHIP'!BC$5:BC$27,-1))))</f>
        <v/>
      </c>
      <c r="U58" s="34">
        <f>IF($B58="ABSOLUTE SEMANTIC",ABS('06_ITEM_POLE_MODEL'!AD58),ABS('06_ITEM_POLE_MODEL'!AD58)*ABS(SUMPRODUCT(--('93_TARGET_MEMBERSHIP'!BC$5:BC$27=1),'05_FEATURE_MODEL'!V$5:V$27)/MAX(1,COUNTIF('93_TARGET_MEMBERSHIP'!BC$5:BC$27,1))-SUMPRODUCT(--('93_TARGET_MEMBERSHIP'!BC$5:BC$27=-1),'05_FEATURE_MODEL'!V$5:V$27)/MAX(1,COUNTIF('93_TARGET_MEMBERSHIP'!BC$5:BC$27,-1))))</f>
        <v/>
      </c>
      <c r="V58" s="34">
        <f>IF($B58="ABSOLUTE SEMANTIC",ABS('06_ITEM_POLE_MODEL'!AE58),ABS('06_ITEM_POLE_MODEL'!AE58)*ABS(SUMPRODUCT(--('93_TARGET_MEMBERSHIP'!BC$5:BC$27=1),'05_FEATURE_MODEL'!W$5:W$27)/MAX(1,COUNTIF('93_TARGET_MEMBERSHIP'!BC$5:BC$27,1))-SUMPRODUCT(--('93_TARGET_MEMBERSHIP'!BC$5:BC$27=-1),'05_FEATURE_MODEL'!W$5:W$27)/MAX(1,COUNTIF('93_TARGET_MEMBERSHIP'!BC$5:BC$27,-1))))</f>
        <v/>
      </c>
      <c r="W58" s="34">
        <f>IF($B58="ABSOLUTE SEMANTIC",ABS('06_ITEM_POLE_MODEL'!AF58),ABS('06_ITEM_POLE_MODEL'!AF58)*ABS(SUMPRODUCT(--('93_TARGET_MEMBERSHIP'!BC$5:BC$27=1),'05_FEATURE_MODEL'!X$5:X$27)/MAX(1,COUNTIF('93_TARGET_MEMBERSHIP'!BC$5:BC$27,1))-SUMPRODUCT(--('93_TARGET_MEMBERSHIP'!BC$5:BC$27=-1),'05_FEATURE_MODEL'!X$5:X$27)/MAX(1,COUNTIF('93_TARGET_MEMBERSHIP'!BC$5:BC$27,-1))))</f>
        <v/>
      </c>
      <c r="X58" s="34">
        <f>IF($B58="ABSOLUTE SEMANTIC",ABS('06_ITEM_POLE_MODEL'!AG58),ABS('06_ITEM_POLE_MODEL'!AG58)*ABS(SUMPRODUCT(--('93_TARGET_MEMBERSHIP'!BC$5:BC$27=1),'05_FEATURE_MODEL'!Y$5:Y$27)/MAX(1,COUNTIF('93_TARGET_MEMBERSHIP'!BC$5:BC$27,1))-SUMPRODUCT(--('93_TARGET_MEMBERSHIP'!BC$5:BC$27=-1),'05_FEATURE_MODEL'!Y$5:Y$27)/MAX(1,COUNTIF('93_TARGET_MEMBERSHIP'!BC$5:BC$27,-1))))</f>
        <v/>
      </c>
      <c r="Y58" s="34">
        <f>IF($B58="ABSOLUTE SEMANTIC",ABS('06_ITEM_POLE_MODEL'!AH58),ABS('06_ITEM_POLE_MODEL'!AH58)*ABS(SUMPRODUCT(--('93_TARGET_MEMBERSHIP'!BC$5:BC$27=1),'05_FEATURE_MODEL'!Z$5:Z$27)/MAX(1,COUNTIF('93_TARGET_MEMBERSHIP'!BC$5:BC$27,1))-SUMPRODUCT(--('93_TARGET_MEMBERSHIP'!BC$5:BC$27=-1),'05_FEATURE_MODEL'!Z$5:Z$27)/MAX(1,COUNTIF('93_TARGET_MEMBERSHIP'!BC$5:BC$27,-1))))</f>
        <v/>
      </c>
      <c r="Z58" s="34">
        <f>IF($B58="ABSOLUTE SEMANTIC",ABS('06_ITEM_POLE_MODEL'!AI58),ABS('06_ITEM_POLE_MODEL'!AI58)*ABS(SUMPRODUCT(--('93_TARGET_MEMBERSHIP'!BC$5:BC$27=1),'05_FEATURE_MODEL'!AA$5:AA$27)/MAX(1,COUNTIF('93_TARGET_MEMBERSHIP'!BC$5:BC$27,1))-SUMPRODUCT(--('93_TARGET_MEMBERSHIP'!BC$5:BC$27=-1),'05_FEATURE_MODEL'!AA$5:AA$27)/MAX(1,COUNTIF('93_TARGET_MEMBERSHIP'!BC$5:BC$27,-1))))</f>
        <v/>
      </c>
      <c r="AA58" s="34">
        <f>IF($B58="ABSOLUTE SEMANTIC",ABS('06_ITEM_POLE_MODEL'!AJ58),ABS('06_ITEM_POLE_MODEL'!AJ58)*ABS(SUMPRODUCT(--('93_TARGET_MEMBERSHIP'!BC$5:BC$27=1),'05_FEATURE_MODEL'!AB$5:AB$27)/MAX(1,COUNTIF('93_TARGET_MEMBERSHIP'!BC$5:BC$27,1))-SUMPRODUCT(--('93_TARGET_MEMBERSHIP'!BC$5:BC$27=-1),'05_FEATURE_MODEL'!AB$5:AB$27)/MAX(1,COUNTIF('93_TARGET_MEMBERSHIP'!BC$5:BC$27,-1))))</f>
        <v/>
      </c>
      <c r="AB58" s="34">
        <f>IF($B58="ABSOLUTE SEMANTIC",ABS('06_ITEM_POLE_MODEL'!AK58),ABS('06_ITEM_POLE_MODEL'!AK58)*ABS(SUMPRODUCT(--('93_TARGET_MEMBERSHIP'!BC$5:BC$27=1),'05_FEATURE_MODEL'!AC$5:AC$27)/MAX(1,COUNTIF('93_TARGET_MEMBERSHIP'!BC$5:BC$27,1))-SUMPRODUCT(--('93_TARGET_MEMBERSHIP'!BC$5:BC$27=-1),'05_FEATURE_MODEL'!AC$5:AC$27)/MAX(1,COUNTIF('93_TARGET_MEMBERSHIP'!BC$5:BC$27,-1))))</f>
        <v/>
      </c>
      <c r="AC58" s="34">
        <f>IF($B58="ABSOLUTE SEMANTIC",ABS('06_ITEM_POLE_MODEL'!AL58),ABS('06_ITEM_POLE_MODEL'!AL58)*ABS(SUMPRODUCT(--('93_TARGET_MEMBERSHIP'!BC$5:BC$27=1),'05_FEATURE_MODEL'!AD$5:AD$27)/MAX(1,COUNTIF('93_TARGET_MEMBERSHIP'!BC$5:BC$27,1))-SUMPRODUCT(--('93_TARGET_MEMBERSHIP'!BC$5:BC$27=-1),'05_FEATURE_MODEL'!AD$5:AD$27)/MAX(1,COUNTIF('93_TARGET_MEMBERSHIP'!BC$5:BC$27,-1))))</f>
        <v/>
      </c>
      <c r="AD58" s="34">
        <f>IF($B58="ABSOLUTE SEMANTIC",ABS('06_ITEM_POLE_MODEL'!AM58),ABS('06_ITEM_POLE_MODEL'!AM58)*ABS(SUMPRODUCT(--('93_TARGET_MEMBERSHIP'!BC$5:BC$27=1),'05_FEATURE_MODEL'!AE$5:AE$27)/MAX(1,COUNTIF('93_TARGET_MEMBERSHIP'!BC$5:BC$27,1))-SUMPRODUCT(--('93_TARGET_MEMBERSHIP'!BC$5:BC$27=-1),'05_FEATURE_MODEL'!AE$5:AE$27)/MAX(1,COUNTIF('93_TARGET_MEMBERSHIP'!BC$5:BC$27,-1))))</f>
        <v/>
      </c>
      <c r="AE58" s="34">
        <f>IF($B58="ABSOLUTE SEMANTIC",ABS('06_ITEM_POLE_MODEL'!AN58),ABS('06_ITEM_POLE_MODEL'!AN58)*ABS(SUMPRODUCT(--('93_TARGET_MEMBERSHIP'!BC$5:BC$27=1),'05_FEATURE_MODEL'!AF$5:AF$27)/MAX(1,COUNTIF('93_TARGET_MEMBERSHIP'!BC$5:BC$27,1))-SUMPRODUCT(--('93_TARGET_MEMBERSHIP'!BC$5:BC$27=-1),'05_FEATURE_MODEL'!AF$5:AF$27)/MAX(1,COUNTIF('93_TARGET_MEMBERSHIP'!BC$5:BC$27,-1))))</f>
        <v/>
      </c>
      <c r="AF58" s="34">
        <f>IF($B58="ABSOLUTE SEMANTIC",ABS('06_ITEM_POLE_MODEL'!AO58),ABS('06_ITEM_POLE_MODEL'!AO58)*ABS(SUMPRODUCT(--('93_TARGET_MEMBERSHIP'!BC$5:BC$27=1),'05_FEATURE_MODEL'!AG$5:AG$27)/MAX(1,COUNTIF('93_TARGET_MEMBERSHIP'!BC$5:BC$27,1))-SUMPRODUCT(--('93_TARGET_MEMBERSHIP'!BC$5:BC$27=-1),'05_FEATURE_MODEL'!AG$5:AG$27)/MAX(1,COUNTIF('93_TARGET_MEMBERSHIP'!BC$5:BC$27,-1))))</f>
        <v/>
      </c>
      <c r="AG58" s="34">
        <f>IF($B58="ABSOLUTE SEMANTIC",ABS('06_ITEM_POLE_MODEL'!AP58),ABS('06_ITEM_POLE_MODEL'!AP58)*ABS(SUMPRODUCT(--('93_TARGET_MEMBERSHIP'!BC$5:BC$27=1),'05_FEATURE_MODEL'!AH$5:AH$27)/MAX(1,COUNTIF('93_TARGET_MEMBERSHIP'!BC$5:BC$27,1))-SUMPRODUCT(--('93_TARGET_MEMBERSHIP'!BC$5:BC$27=-1),'05_FEATURE_MODEL'!AH$5:AH$27)/MAX(1,COUNTIF('93_TARGET_MEMBERSHIP'!BC$5:BC$27,-1))))</f>
        <v/>
      </c>
      <c r="AH58" s="34">
        <f>IF($B58="ABSOLUTE SEMANTIC",ABS('06_ITEM_POLE_MODEL'!AQ58),ABS('06_ITEM_POLE_MODEL'!AQ58)*ABS(SUMPRODUCT(--('93_TARGET_MEMBERSHIP'!BC$5:BC$27=1),'05_FEATURE_MODEL'!AI$5:AI$27)/MAX(1,COUNTIF('93_TARGET_MEMBERSHIP'!BC$5:BC$27,1))-SUMPRODUCT(--('93_TARGET_MEMBERSHIP'!BC$5:BC$27=-1),'05_FEATURE_MODEL'!AI$5:AI$27)/MAX(1,COUNTIF('93_TARGET_MEMBERSHIP'!BC$5:BC$27,-1))))</f>
        <v/>
      </c>
      <c r="AI58" s="34">
        <f>IF($B58="ABSOLUTE SEMANTIC",ABS('06_ITEM_POLE_MODEL'!AR58),ABS('06_ITEM_POLE_MODEL'!AR58)*ABS(SUMPRODUCT(--('93_TARGET_MEMBERSHIP'!BC$5:BC$27=1),'05_FEATURE_MODEL'!AJ$5:AJ$27)/MAX(1,COUNTIF('93_TARGET_MEMBERSHIP'!BC$5:BC$27,1))-SUMPRODUCT(--('93_TARGET_MEMBERSHIP'!BC$5:BC$27=-1),'05_FEATURE_MODEL'!AJ$5:AJ$27)/MAX(1,COUNTIF('93_TARGET_MEMBERSHIP'!BC$5:BC$27,-1))))</f>
        <v/>
      </c>
      <c r="AJ58" s="34">
        <f>IF($B58="ABSOLUTE SEMANTIC",ABS('06_ITEM_POLE_MODEL'!AS58),ABS('06_ITEM_POLE_MODEL'!AS58)*ABS(SUMPRODUCT(--('93_TARGET_MEMBERSHIP'!BC$5:BC$27=1),'05_FEATURE_MODEL'!AK$5:AK$27)/MAX(1,COUNTIF('93_TARGET_MEMBERSHIP'!BC$5:BC$27,1))-SUMPRODUCT(--('93_TARGET_MEMBERSHIP'!BC$5:BC$27=-1),'05_FEATURE_MODEL'!AK$5:AK$27)/MAX(1,COUNTIF('93_TARGET_MEMBERSHIP'!BC$5:BC$27,-1))))</f>
        <v/>
      </c>
      <c r="AK58" s="34">
        <f>IF($B58="ABSOLUTE SEMANTIC",ABS('06_ITEM_POLE_MODEL'!AT58),ABS('06_ITEM_POLE_MODEL'!AT58)*ABS(SUMPRODUCT(--('93_TARGET_MEMBERSHIP'!BC$5:BC$27=1),'05_FEATURE_MODEL'!AL$5:AL$27)/MAX(1,COUNTIF('93_TARGET_MEMBERSHIP'!BC$5:BC$27,1))-SUMPRODUCT(--('93_TARGET_MEMBERSHIP'!BC$5:BC$27=-1),'05_FEATURE_MODEL'!AL$5:AL$27)/MAX(1,COUNTIF('93_TARGET_MEMBERSHIP'!BC$5:BC$27,-1))))</f>
        <v/>
      </c>
      <c r="AL58" s="34">
        <f>IF($B58="ABSOLUTE SEMANTIC",ABS('06_ITEM_POLE_MODEL'!AU58),ABS('06_ITEM_POLE_MODEL'!AU58)*ABS(SUMPRODUCT(--('93_TARGET_MEMBERSHIP'!BC$5:BC$27=1),'05_FEATURE_MODEL'!AM$5:AM$27)/MAX(1,COUNTIF('93_TARGET_MEMBERSHIP'!BC$5:BC$27,1))-SUMPRODUCT(--('93_TARGET_MEMBERSHIP'!BC$5:BC$27=-1),'05_FEATURE_MODEL'!AM$5:AM$27)/MAX(1,COUNTIF('93_TARGET_MEMBERSHIP'!BC$5:BC$27,-1))))</f>
        <v/>
      </c>
      <c r="AM58" s="34">
        <f>IF($B58="ABSOLUTE SEMANTIC",ABS('06_ITEM_POLE_MODEL'!AV58),ABS('06_ITEM_POLE_MODEL'!AV58)*ABS(SUMPRODUCT(--('93_TARGET_MEMBERSHIP'!BC$5:BC$27=1),'05_FEATURE_MODEL'!AN$5:AN$27)/MAX(1,COUNTIF('93_TARGET_MEMBERSHIP'!BC$5:BC$27,1))-SUMPRODUCT(--('93_TARGET_MEMBERSHIP'!BC$5:BC$27=-1),'05_FEATURE_MODEL'!AN$5:AN$27)/MAX(1,COUNTIF('93_TARGET_MEMBERSHIP'!BC$5:BC$27,-1))))</f>
        <v/>
      </c>
      <c r="AN58" s="34">
        <f>IF($B58="ABSOLUTE SEMANTIC",ABS('06_ITEM_POLE_MODEL'!AW58),ABS('06_ITEM_POLE_MODEL'!AW58)*ABS(SUMPRODUCT(--('93_TARGET_MEMBERSHIP'!BC$5:BC$27=1),'05_FEATURE_MODEL'!AO$5:AO$27)/MAX(1,COUNTIF('93_TARGET_MEMBERSHIP'!BC$5:BC$27,1))-SUMPRODUCT(--('93_TARGET_MEMBERSHIP'!BC$5:BC$27=-1),'05_FEATURE_MODEL'!AO$5:AO$27)/MAX(1,COUNTIF('93_TARGET_MEMBERSHIP'!BC$5:BC$27,-1))))</f>
        <v/>
      </c>
      <c r="AO58" s="34">
        <f>IF($B58="ABSOLUTE SEMANTIC",ABS('06_ITEM_POLE_MODEL'!AX58),ABS('06_ITEM_POLE_MODEL'!AX58)*ABS(SUMPRODUCT(--('93_TARGET_MEMBERSHIP'!BC$5:BC$27=1),'05_FEATURE_MODEL'!AP$5:AP$27)/MAX(1,COUNTIF('93_TARGET_MEMBERSHIP'!BC$5:BC$27,1))-SUMPRODUCT(--('93_TARGET_MEMBERSHIP'!BC$5:BC$27=-1),'05_FEATURE_MODEL'!AP$5:AP$27)/MAX(1,COUNTIF('93_TARGET_MEMBERSHIP'!BC$5:BC$27,-1))))</f>
        <v/>
      </c>
      <c r="AP58" s="34">
        <f>IF($B58="ABSOLUTE SEMANTIC",ABS('06_ITEM_POLE_MODEL'!AY58),ABS('06_ITEM_POLE_MODEL'!AY58)*ABS(SUMPRODUCT(--('93_TARGET_MEMBERSHIP'!BC$5:BC$27=1),'05_FEATURE_MODEL'!AQ$5:AQ$27)/MAX(1,COUNTIF('93_TARGET_MEMBERSHIP'!BC$5:BC$27,1))-SUMPRODUCT(--('93_TARGET_MEMBERSHIP'!BC$5:BC$27=-1),'05_FEATURE_MODEL'!AQ$5:AQ$27)/MAX(1,COUNTIF('93_TARGET_MEMBERSHIP'!BC$5:BC$27,-1))))</f>
        <v/>
      </c>
      <c r="AQ58" s="34">
        <f>IF($B58="ABSOLUTE SEMANTIC",ABS('06_ITEM_POLE_MODEL'!AZ58),ABS('06_ITEM_POLE_MODEL'!AZ58)*ABS(SUMPRODUCT(--('93_TARGET_MEMBERSHIP'!BC$5:BC$27=1),'05_FEATURE_MODEL'!AR$5:AR$27)/MAX(1,COUNTIF('93_TARGET_MEMBERSHIP'!BC$5:BC$27,1))-SUMPRODUCT(--('93_TARGET_MEMBERSHIP'!BC$5:BC$27=-1),'05_FEATURE_MODEL'!AR$5:AR$27)/MAX(1,COUNTIF('93_TARGET_MEMBERSHIP'!BC$5:BC$27,-1))))</f>
        <v/>
      </c>
    </row>
    <row r="59" ht="36" customHeight="1">
      <c r="A59" s="34">
        <f>'06_ITEM_POLE_MODEL'!A59</f>
        <v/>
      </c>
      <c r="B59" s="34">
        <f>'06_ITEM_POLE_MODEL'!E59</f>
        <v/>
      </c>
      <c r="C59" s="34">
        <f>IF($B59="ABSOLUTE SEMANTIC",ABS('06_ITEM_POLE_MODEL'!L59),ABS('06_ITEM_POLE_MODEL'!L59)*ABS(SUMPRODUCT(--('93_TARGET_MEMBERSHIP'!BD$5:BD$27=1),'05_FEATURE_MODEL'!D$5:D$27)/MAX(1,COUNTIF('93_TARGET_MEMBERSHIP'!BD$5:BD$27,1))-SUMPRODUCT(--('93_TARGET_MEMBERSHIP'!BD$5:BD$27=-1),'05_FEATURE_MODEL'!D$5:D$27)/MAX(1,COUNTIF('93_TARGET_MEMBERSHIP'!BD$5:BD$27,-1))))</f>
        <v/>
      </c>
      <c r="D59" s="34">
        <f>IF($B59="ABSOLUTE SEMANTIC",ABS('06_ITEM_POLE_MODEL'!M59),ABS('06_ITEM_POLE_MODEL'!M59)*ABS(SUMPRODUCT(--('93_TARGET_MEMBERSHIP'!BD$5:BD$27=1),'05_FEATURE_MODEL'!E$5:E$27)/MAX(1,COUNTIF('93_TARGET_MEMBERSHIP'!BD$5:BD$27,1))-SUMPRODUCT(--('93_TARGET_MEMBERSHIP'!BD$5:BD$27=-1),'05_FEATURE_MODEL'!E$5:E$27)/MAX(1,COUNTIF('93_TARGET_MEMBERSHIP'!BD$5:BD$27,-1))))</f>
        <v/>
      </c>
      <c r="E59" s="34">
        <f>IF($B59="ABSOLUTE SEMANTIC",ABS('06_ITEM_POLE_MODEL'!N59),ABS('06_ITEM_POLE_MODEL'!N59)*ABS(SUMPRODUCT(--('93_TARGET_MEMBERSHIP'!BD$5:BD$27=1),'05_FEATURE_MODEL'!F$5:F$27)/MAX(1,COUNTIF('93_TARGET_MEMBERSHIP'!BD$5:BD$27,1))-SUMPRODUCT(--('93_TARGET_MEMBERSHIP'!BD$5:BD$27=-1),'05_FEATURE_MODEL'!F$5:F$27)/MAX(1,COUNTIF('93_TARGET_MEMBERSHIP'!BD$5:BD$27,-1))))</f>
        <v/>
      </c>
      <c r="F59" s="34">
        <f>IF($B59="ABSOLUTE SEMANTIC",ABS('06_ITEM_POLE_MODEL'!O59),ABS('06_ITEM_POLE_MODEL'!O59)*ABS(SUMPRODUCT(--('93_TARGET_MEMBERSHIP'!BD$5:BD$27=1),'05_FEATURE_MODEL'!G$5:G$27)/MAX(1,COUNTIF('93_TARGET_MEMBERSHIP'!BD$5:BD$27,1))-SUMPRODUCT(--('93_TARGET_MEMBERSHIP'!BD$5:BD$27=-1),'05_FEATURE_MODEL'!G$5:G$27)/MAX(1,COUNTIF('93_TARGET_MEMBERSHIP'!BD$5:BD$27,-1))))</f>
        <v/>
      </c>
      <c r="G59" s="34">
        <f>IF($B59="ABSOLUTE SEMANTIC",ABS('06_ITEM_POLE_MODEL'!P59),ABS('06_ITEM_POLE_MODEL'!P59)*ABS(SUMPRODUCT(--('93_TARGET_MEMBERSHIP'!BD$5:BD$27=1),'05_FEATURE_MODEL'!H$5:H$27)/MAX(1,COUNTIF('93_TARGET_MEMBERSHIP'!BD$5:BD$27,1))-SUMPRODUCT(--('93_TARGET_MEMBERSHIP'!BD$5:BD$27=-1),'05_FEATURE_MODEL'!H$5:H$27)/MAX(1,COUNTIF('93_TARGET_MEMBERSHIP'!BD$5:BD$27,-1))))</f>
        <v/>
      </c>
      <c r="H59" s="34">
        <f>IF($B59="ABSOLUTE SEMANTIC",ABS('06_ITEM_POLE_MODEL'!Q59),ABS('06_ITEM_POLE_MODEL'!Q59)*ABS(SUMPRODUCT(--('93_TARGET_MEMBERSHIP'!BD$5:BD$27=1),'05_FEATURE_MODEL'!I$5:I$27)/MAX(1,COUNTIF('93_TARGET_MEMBERSHIP'!BD$5:BD$27,1))-SUMPRODUCT(--('93_TARGET_MEMBERSHIP'!BD$5:BD$27=-1),'05_FEATURE_MODEL'!I$5:I$27)/MAX(1,COUNTIF('93_TARGET_MEMBERSHIP'!BD$5:BD$27,-1))))</f>
        <v/>
      </c>
      <c r="I59" s="34">
        <f>IF($B59="ABSOLUTE SEMANTIC",ABS('06_ITEM_POLE_MODEL'!R59),ABS('06_ITEM_POLE_MODEL'!R59)*ABS(SUMPRODUCT(--('93_TARGET_MEMBERSHIP'!BD$5:BD$27=1),'05_FEATURE_MODEL'!J$5:J$27)/MAX(1,COUNTIF('93_TARGET_MEMBERSHIP'!BD$5:BD$27,1))-SUMPRODUCT(--('93_TARGET_MEMBERSHIP'!BD$5:BD$27=-1),'05_FEATURE_MODEL'!J$5:J$27)/MAX(1,COUNTIF('93_TARGET_MEMBERSHIP'!BD$5:BD$27,-1))))</f>
        <v/>
      </c>
      <c r="J59" s="34">
        <f>IF($B59="ABSOLUTE SEMANTIC",ABS('06_ITEM_POLE_MODEL'!S59),ABS('06_ITEM_POLE_MODEL'!S59)*ABS(SUMPRODUCT(--('93_TARGET_MEMBERSHIP'!BD$5:BD$27=1),'05_FEATURE_MODEL'!K$5:K$27)/MAX(1,COUNTIF('93_TARGET_MEMBERSHIP'!BD$5:BD$27,1))-SUMPRODUCT(--('93_TARGET_MEMBERSHIP'!BD$5:BD$27=-1),'05_FEATURE_MODEL'!K$5:K$27)/MAX(1,COUNTIF('93_TARGET_MEMBERSHIP'!BD$5:BD$27,-1))))</f>
        <v/>
      </c>
      <c r="K59" s="34">
        <f>IF($B59="ABSOLUTE SEMANTIC",ABS('06_ITEM_POLE_MODEL'!T59),ABS('06_ITEM_POLE_MODEL'!T59)*ABS(SUMPRODUCT(--('93_TARGET_MEMBERSHIP'!BD$5:BD$27=1),'05_FEATURE_MODEL'!L$5:L$27)/MAX(1,COUNTIF('93_TARGET_MEMBERSHIP'!BD$5:BD$27,1))-SUMPRODUCT(--('93_TARGET_MEMBERSHIP'!BD$5:BD$27=-1),'05_FEATURE_MODEL'!L$5:L$27)/MAX(1,COUNTIF('93_TARGET_MEMBERSHIP'!BD$5:BD$27,-1))))</f>
        <v/>
      </c>
      <c r="L59" s="34">
        <f>IF($B59="ABSOLUTE SEMANTIC",ABS('06_ITEM_POLE_MODEL'!U59),ABS('06_ITEM_POLE_MODEL'!U59)*ABS(SUMPRODUCT(--('93_TARGET_MEMBERSHIP'!BD$5:BD$27=1),'05_FEATURE_MODEL'!M$5:M$27)/MAX(1,COUNTIF('93_TARGET_MEMBERSHIP'!BD$5:BD$27,1))-SUMPRODUCT(--('93_TARGET_MEMBERSHIP'!BD$5:BD$27=-1),'05_FEATURE_MODEL'!M$5:M$27)/MAX(1,COUNTIF('93_TARGET_MEMBERSHIP'!BD$5:BD$27,-1))))</f>
        <v/>
      </c>
      <c r="M59" s="34">
        <f>IF($B59="ABSOLUTE SEMANTIC",ABS('06_ITEM_POLE_MODEL'!V59),ABS('06_ITEM_POLE_MODEL'!V59)*ABS(SUMPRODUCT(--('93_TARGET_MEMBERSHIP'!BD$5:BD$27=1),'05_FEATURE_MODEL'!N$5:N$27)/MAX(1,COUNTIF('93_TARGET_MEMBERSHIP'!BD$5:BD$27,1))-SUMPRODUCT(--('93_TARGET_MEMBERSHIP'!BD$5:BD$27=-1),'05_FEATURE_MODEL'!N$5:N$27)/MAX(1,COUNTIF('93_TARGET_MEMBERSHIP'!BD$5:BD$27,-1))))</f>
        <v/>
      </c>
      <c r="N59" s="34">
        <f>IF($B59="ABSOLUTE SEMANTIC",ABS('06_ITEM_POLE_MODEL'!W59),ABS('06_ITEM_POLE_MODEL'!W59)*ABS(SUMPRODUCT(--('93_TARGET_MEMBERSHIP'!BD$5:BD$27=1),'05_FEATURE_MODEL'!O$5:O$27)/MAX(1,COUNTIF('93_TARGET_MEMBERSHIP'!BD$5:BD$27,1))-SUMPRODUCT(--('93_TARGET_MEMBERSHIP'!BD$5:BD$27=-1),'05_FEATURE_MODEL'!O$5:O$27)/MAX(1,COUNTIF('93_TARGET_MEMBERSHIP'!BD$5:BD$27,-1))))</f>
        <v/>
      </c>
      <c r="O59" s="34">
        <f>IF($B59="ABSOLUTE SEMANTIC",ABS('06_ITEM_POLE_MODEL'!X59),ABS('06_ITEM_POLE_MODEL'!X59)*ABS(SUMPRODUCT(--('93_TARGET_MEMBERSHIP'!BD$5:BD$27=1),'05_FEATURE_MODEL'!P$5:P$27)/MAX(1,COUNTIF('93_TARGET_MEMBERSHIP'!BD$5:BD$27,1))-SUMPRODUCT(--('93_TARGET_MEMBERSHIP'!BD$5:BD$27=-1),'05_FEATURE_MODEL'!P$5:P$27)/MAX(1,COUNTIF('93_TARGET_MEMBERSHIP'!BD$5:BD$27,-1))))</f>
        <v/>
      </c>
      <c r="P59" s="34">
        <f>IF($B59="ABSOLUTE SEMANTIC",ABS('06_ITEM_POLE_MODEL'!Y59),ABS('06_ITEM_POLE_MODEL'!Y59)*ABS(SUMPRODUCT(--('93_TARGET_MEMBERSHIP'!BD$5:BD$27=1),'05_FEATURE_MODEL'!Q$5:Q$27)/MAX(1,COUNTIF('93_TARGET_MEMBERSHIP'!BD$5:BD$27,1))-SUMPRODUCT(--('93_TARGET_MEMBERSHIP'!BD$5:BD$27=-1),'05_FEATURE_MODEL'!Q$5:Q$27)/MAX(1,COUNTIF('93_TARGET_MEMBERSHIP'!BD$5:BD$27,-1))))</f>
        <v/>
      </c>
      <c r="Q59" s="34">
        <f>IF($B59="ABSOLUTE SEMANTIC",ABS('06_ITEM_POLE_MODEL'!Z59),ABS('06_ITEM_POLE_MODEL'!Z59)*ABS(SUMPRODUCT(--('93_TARGET_MEMBERSHIP'!BD$5:BD$27=1),'05_FEATURE_MODEL'!R$5:R$27)/MAX(1,COUNTIF('93_TARGET_MEMBERSHIP'!BD$5:BD$27,1))-SUMPRODUCT(--('93_TARGET_MEMBERSHIP'!BD$5:BD$27=-1),'05_FEATURE_MODEL'!R$5:R$27)/MAX(1,COUNTIF('93_TARGET_MEMBERSHIP'!BD$5:BD$27,-1))))</f>
        <v/>
      </c>
      <c r="R59" s="34">
        <f>IF($B59="ABSOLUTE SEMANTIC",ABS('06_ITEM_POLE_MODEL'!AA59),ABS('06_ITEM_POLE_MODEL'!AA59)*ABS(SUMPRODUCT(--('93_TARGET_MEMBERSHIP'!BD$5:BD$27=1),'05_FEATURE_MODEL'!S$5:S$27)/MAX(1,COUNTIF('93_TARGET_MEMBERSHIP'!BD$5:BD$27,1))-SUMPRODUCT(--('93_TARGET_MEMBERSHIP'!BD$5:BD$27=-1),'05_FEATURE_MODEL'!S$5:S$27)/MAX(1,COUNTIF('93_TARGET_MEMBERSHIP'!BD$5:BD$27,-1))))</f>
        <v/>
      </c>
      <c r="S59" s="34">
        <f>IF($B59="ABSOLUTE SEMANTIC",ABS('06_ITEM_POLE_MODEL'!AB59),ABS('06_ITEM_POLE_MODEL'!AB59)*ABS(SUMPRODUCT(--('93_TARGET_MEMBERSHIP'!BD$5:BD$27=1),'05_FEATURE_MODEL'!T$5:T$27)/MAX(1,COUNTIF('93_TARGET_MEMBERSHIP'!BD$5:BD$27,1))-SUMPRODUCT(--('93_TARGET_MEMBERSHIP'!BD$5:BD$27=-1),'05_FEATURE_MODEL'!T$5:T$27)/MAX(1,COUNTIF('93_TARGET_MEMBERSHIP'!BD$5:BD$27,-1))))</f>
        <v/>
      </c>
      <c r="T59" s="34">
        <f>IF($B59="ABSOLUTE SEMANTIC",ABS('06_ITEM_POLE_MODEL'!AC59),ABS('06_ITEM_POLE_MODEL'!AC59)*ABS(SUMPRODUCT(--('93_TARGET_MEMBERSHIP'!BD$5:BD$27=1),'05_FEATURE_MODEL'!U$5:U$27)/MAX(1,COUNTIF('93_TARGET_MEMBERSHIP'!BD$5:BD$27,1))-SUMPRODUCT(--('93_TARGET_MEMBERSHIP'!BD$5:BD$27=-1),'05_FEATURE_MODEL'!U$5:U$27)/MAX(1,COUNTIF('93_TARGET_MEMBERSHIP'!BD$5:BD$27,-1))))</f>
        <v/>
      </c>
      <c r="U59" s="34">
        <f>IF($B59="ABSOLUTE SEMANTIC",ABS('06_ITEM_POLE_MODEL'!AD59),ABS('06_ITEM_POLE_MODEL'!AD59)*ABS(SUMPRODUCT(--('93_TARGET_MEMBERSHIP'!BD$5:BD$27=1),'05_FEATURE_MODEL'!V$5:V$27)/MAX(1,COUNTIF('93_TARGET_MEMBERSHIP'!BD$5:BD$27,1))-SUMPRODUCT(--('93_TARGET_MEMBERSHIP'!BD$5:BD$27=-1),'05_FEATURE_MODEL'!V$5:V$27)/MAX(1,COUNTIF('93_TARGET_MEMBERSHIP'!BD$5:BD$27,-1))))</f>
        <v/>
      </c>
      <c r="V59" s="34">
        <f>IF($B59="ABSOLUTE SEMANTIC",ABS('06_ITEM_POLE_MODEL'!AE59),ABS('06_ITEM_POLE_MODEL'!AE59)*ABS(SUMPRODUCT(--('93_TARGET_MEMBERSHIP'!BD$5:BD$27=1),'05_FEATURE_MODEL'!W$5:W$27)/MAX(1,COUNTIF('93_TARGET_MEMBERSHIP'!BD$5:BD$27,1))-SUMPRODUCT(--('93_TARGET_MEMBERSHIP'!BD$5:BD$27=-1),'05_FEATURE_MODEL'!W$5:W$27)/MAX(1,COUNTIF('93_TARGET_MEMBERSHIP'!BD$5:BD$27,-1))))</f>
        <v/>
      </c>
      <c r="W59" s="34">
        <f>IF($B59="ABSOLUTE SEMANTIC",ABS('06_ITEM_POLE_MODEL'!AF59),ABS('06_ITEM_POLE_MODEL'!AF59)*ABS(SUMPRODUCT(--('93_TARGET_MEMBERSHIP'!BD$5:BD$27=1),'05_FEATURE_MODEL'!X$5:X$27)/MAX(1,COUNTIF('93_TARGET_MEMBERSHIP'!BD$5:BD$27,1))-SUMPRODUCT(--('93_TARGET_MEMBERSHIP'!BD$5:BD$27=-1),'05_FEATURE_MODEL'!X$5:X$27)/MAX(1,COUNTIF('93_TARGET_MEMBERSHIP'!BD$5:BD$27,-1))))</f>
        <v/>
      </c>
      <c r="X59" s="34">
        <f>IF($B59="ABSOLUTE SEMANTIC",ABS('06_ITEM_POLE_MODEL'!AG59),ABS('06_ITEM_POLE_MODEL'!AG59)*ABS(SUMPRODUCT(--('93_TARGET_MEMBERSHIP'!BD$5:BD$27=1),'05_FEATURE_MODEL'!Y$5:Y$27)/MAX(1,COUNTIF('93_TARGET_MEMBERSHIP'!BD$5:BD$27,1))-SUMPRODUCT(--('93_TARGET_MEMBERSHIP'!BD$5:BD$27=-1),'05_FEATURE_MODEL'!Y$5:Y$27)/MAX(1,COUNTIF('93_TARGET_MEMBERSHIP'!BD$5:BD$27,-1))))</f>
        <v/>
      </c>
      <c r="Y59" s="34">
        <f>IF($B59="ABSOLUTE SEMANTIC",ABS('06_ITEM_POLE_MODEL'!AH59),ABS('06_ITEM_POLE_MODEL'!AH59)*ABS(SUMPRODUCT(--('93_TARGET_MEMBERSHIP'!BD$5:BD$27=1),'05_FEATURE_MODEL'!Z$5:Z$27)/MAX(1,COUNTIF('93_TARGET_MEMBERSHIP'!BD$5:BD$27,1))-SUMPRODUCT(--('93_TARGET_MEMBERSHIP'!BD$5:BD$27=-1),'05_FEATURE_MODEL'!Z$5:Z$27)/MAX(1,COUNTIF('93_TARGET_MEMBERSHIP'!BD$5:BD$27,-1))))</f>
        <v/>
      </c>
      <c r="Z59" s="34">
        <f>IF($B59="ABSOLUTE SEMANTIC",ABS('06_ITEM_POLE_MODEL'!AI59),ABS('06_ITEM_POLE_MODEL'!AI59)*ABS(SUMPRODUCT(--('93_TARGET_MEMBERSHIP'!BD$5:BD$27=1),'05_FEATURE_MODEL'!AA$5:AA$27)/MAX(1,COUNTIF('93_TARGET_MEMBERSHIP'!BD$5:BD$27,1))-SUMPRODUCT(--('93_TARGET_MEMBERSHIP'!BD$5:BD$27=-1),'05_FEATURE_MODEL'!AA$5:AA$27)/MAX(1,COUNTIF('93_TARGET_MEMBERSHIP'!BD$5:BD$27,-1))))</f>
        <v/>
      </c>
      <c r="AA59" s="34">
        <f>IF($B59="ABSOLUTE SEMANTIC",ABS('06_ITEM_POLE_MODEL'!AJ59),ABS('06_ITEM_POLE_MODEL'!AJ59)*ABS(SUMPRODUCT(--('93_TARGET_MEMBERSHIP'!BD$5:BD$27=1),'05_FEATURE_MODEL'!AB$5:AB$27)/MAX(1,COUNTIF('93_TARGET_MEMBERSHIP'!BD$5:BD$27,1))-SUMPRODUCT(--('93_TARGET_MEMBERSHIP'!BD$5:BD$27=-1),'05_FEATURE_MODEL'!AB$5:AB$27)/MAX(1,COUNTIF('93_TARGET_MEMBERSHIP'!BD$5:BD$27,-1))))</f>
        <v/>
      </c>
      <c r="AB59" s="34">
        <f>IF($B59="ABSOLUTE SEMANTIC",ABS('06_ITEM_POLE_MODEL'!AK59),ABS('06_ITEM_POLE_MODEL'!AK59)*ABS(SUMPRODUCT(--('93_TARGET_MEMBERSHIP'!BD$5:BD$27=1),'05_FEATURE_MODEL'!AC$5:AC$27)/MAX(1,COUNTIF('93_TARGET_MEMBERSHIP'!BD$5:BD$27,1))-SUMPRODUCT(--('93_TARGET_MEMBERSHIP'!BD$5:BD$27=-1),'05_FEATURE_MODEL'!AC$5:AC$27)/MAX(1,COUNTIF('93_TARGET_MEMBERSHIP'!BD$5:BD$27,-1))))</f>
        <v/>
      </c>
      <c r="AC59" s="34">
        <f>IF($B59="ABSOLUTE SEMANTIC",ABS('06_ITEM_POLE_MODEL'!AL59),ABS('06_ITEM_POLE_MODEL'!AL59)*ABS(SUMPRODUCT(--('93_TARGET_MEMBERSHIP'!BD$5:BD$27=1),'05_FEATURE_MODEL'!AD$5:AD$27)/MAX(1,COUNTIF('93_TARGET_MEMBERSHIP'!BD$5:BD$27,1))-SUMPRODUCT(--('93_TARGET_MEMBERSHIP'!BD$5:BD$27=-1),'05_FEATURE_MODEL'!AD$5:AD$27)/MAX(1,COUNTIF('93_TARGET_MEMBERSHIP'!BD$5:BD$27,-1))))</f>
        <v/>
      </c>
      <c r="AD59" s="34">
        <f>IF($B59="ABSOLUTE SEMANTIC",ABS('06_ITEM_POLE_MODEL'!AM59),ABS('06_ITEM_POLE_MODEL'!AM59)*ABS(SUMPRODUCT(--('93_TARGET_MEMBERSHIP'!BD$5:BD$27=1),'05_FEATURE_MODEL'!AE$5:AE$27)/MAX(1,COUNTIF('93_TARGET_MEMBERSHIP'!BD$5:BD$27,1))-SUMPRODUCT(--('93_TARGET_MEMBERSHIP'!BD$5:BD$27=-1),'05_FEATURE_MODEL'!AE$5:AE$27)/MAX(1,COUNTIF('93_TARGET_MEMBERSHIP'!BD$5:BD$27,-1))))</f>
        <v/>
      </c>
      <c r="AE59" s="34">
        <f>IF($B59="ABSOLUTE SEMANTIC",ABS('06_ITEM_POLE_MODEL'!AN59),ABS('06_ITEM_POLE_MODEL'!AN59)*ABS(SUMPRODUCT(--('93_TARGET_MEMBERSHIP'!BD$5:BD$27=1),'05_FEATURE_MODEL'!AF$5:AF$27)/MAX(1,COUNTIF('93_TARGET_MEMBERSHIP'!BD$5:BD$27,1))-SUMPRODUCT(--('93_TARGET_MEMBERSHIP'!BD$5:BD$27=-1),'05_FEATURE_MODEL'!AF$5:AF$27)/MAX(1,COUNTIF('93_TARGET_MEMBERSHIP'!BD$5:BD$27,-1))))</f>
        <v/>
      </c>
      <c r="AF59" s="34">
        <f>IF($B59="ABSOLUTE SEMANTIC",ABS('06_ITEM_POLE_MODEL'!AO59),ABS('06_ITEM_POLE_MODEL'!AO59)*ABS(SUMPRODUCT(--('93_TARGET_MEMBERSHIP'!BD$5:BD$27=1),'05_FEATURE_MODEL'!AG$5:AG$27)/MAX(1,COUNTIF('93_TARGET_MEMBERSHIP'!BD$5:BD$27,1))-SUMPRODUCT(--('93_TARGET_MEMBERSHIP'!BD$5:BD$27=-1),'05_FEATURE_MODEL'!AG$5:AG$27)/MAX(1,COUNTIF('93_TARGET_MEMBERSHIP'!BD$5:BD$27,-1))))</f>
        <v/>
      </c>
      <c r="AG59" s="34">
        <f>IF($B59="ABSOLUTE SEMANTIC",ABS('06_ITEM_POLE_MODEL'!AP59),ABS('06_ITEM_POLE_MODEL'!AP59)*ABS(SUMPRODUCT(--('93_TARGET_MEMBERSHIP'!BD$5:BD$27=1),'05_FEATURE_MODEL'!AH$5:AH$27)/MAX(1,COUNTIF('93_TARGET_MEMBERSHIP'!BD$5:BD$27,1))-SUMPRODUCT(--('93_TARGET_MEMBERSHIP'!BD$5:BD$27=-1),'05_FEATURE_MODEL'!AH$5:AH$27)/MAX(1,COUNTIF('93_TARGET_MEMBERSHIP'!BD$5:BD$27,-1))))</f>
        <v/>
      </c>
      <c r="AH59" s="34">
        <f>IF($B59="ABSOLUTE SEMANTIC",ABS('06_ITEM_POLE_MODEL'!AQ59),ABS('06_ITEM_POLE_MODEL'!AQ59)*ABS(SUMPRODUCT(--('93_TARGET_MEMBERSHIP'!BD$5:BD$27=1),'05_FEATURE_MODEL'!AI$5:AI$27)/MAX(1,COUNTIF('93_TARGET_MEMBERSHIP'!BD$5:BD$27,1))-SUMPRODUCT(--('93_TARGET_MEMBERSHIP'!BD$5:BD$27=-1),'05_FEATURE_MODEL'!AI$5:AI$27)/MAX(1,COUNTIF('93_TARGET_MEMBERSHIP'!BD$5:BD$27,-1))))</f>
        <v/>
      </c>
      <c r="AI59" s="34">
        <f>IF($B59="ABSOLUTE SEMANTIC",ABS('06_ITEM_POLE_MODEL'!AR59),ABS('06_ITEM_POLE_MODEL'!AR59)*ABS(SUMPRODUCT(--('93_TARGET_MEMBERSHIP'!BD$5:BD$27=1),'05_FEATURE_MODEL'!AJ$5:AJ$27)/MAX(1,COUNTIF('93_TARGET_MEMBERSHIP'!BD$5:BD$27,1))-SUMPRODUCT(--('93_TARGET_MEMBERSHIP'!BD$5:BD$27=-1),'05_FEATURE_MODEL'!AJ$5:AJ$27)/MAX(1,COUNTIF('93_TARGET_MEMBERSHIP'!BD$5:BD$27,-1))))</f>
        <v/>
      </c>
      <c r="AJ59" s="34">
        <f>IF($B59="ABSOLUTE SEMANTIC",ABS('06_ITEM_POLE_MODEL'!AS59),ABS('06_ITEM_POLE_MODEL'!AS59)*ABS(SUMPRODUCT(--('93_TARGET_MEMBERSHIP'!BD$5:BD$27=1),'05_FEATURE_MODEL'!AK$5:AK$27)/MAX(1,COUNTIF('93_TARGET_MEMBERSHIP'!BD$5:BD$27,1))-SUMPRODUCT(--('93_TARGET_MEMBERSHIP'!BD$5:BD$27=-1),'05_FEATURE_MODEL'!AK$5:AK$27)/MAX(1,COUNTIF('93_TARGET_MEMBERSHIP'!BD$5:BD$27,-1))))</f>
        <v/>
      </c>
      <c r="AK59" s="34">
        <f>IF($B59="ABSOLUTE SEMANTIC",ABS('06_ITEM_POLE_MODEL'!AT59),ABS('06_ITEM_POLE_MODEL'!AT59)*ABS(SUMPRODUCT(--('93_TARGET_MEMBERSHIP'!BD$5:BD$27=1),'05_FEATURE_MODEL'!AL$5:AL$27)/MAX(1,COUNTIF('93_TARGET_MEMBERSHIP'!BD$5:BD$27,1))-SUMPRODUCT(--('93_TARGET_MEMBERSHIP'!BD$5:BD$27=-1),'05_FEATURE_MODEL'!AL$5:AL$27)/MAX(1,COUNTIF('93_TARGET_MEMBERSHIP'!BD$5:BD$27,-1))))</f>
        <v/>
      </c>
      <c r="AL59" s="34">
        <f>IF($B59="ABSOLUTE SEMANTIC",ABS('06_ITEM_POLE_MODEL'!AU59),ABS('06_ITEM_POLE_MODEL'!AU59)*ABS(SUMPRODUCT(--('93_TARGET_MEMBERSHIP'!BD$5:BD$27=1),'05_FEATURE_MODEL'!AM$5:AM$27)/MAX(1,COUNTIF('93_TARGET_MEMBERSHIP'!BD$5:BD$27,1))-SUMPRODUCT(--('93_TARGET_MEMBERSHIP'!BD$5:BD$27=-1),'05_FEATURE_MODEL'!AM$5:AM$27)/MAX(1,COUNTIF('93_TARGET_MEMBERSHIP'!BD$5:BD$27,-1))))</f>
        <v/>
      </c>
      <c r="AM59" s="34">
        <f>IF($B59="ABSOLUTE SEMANTIC",ABS('06_ITEM_POLE_MODEL'!AV59),ABS('06_ITEM_POLE_MODEL'!AV59)*ABS(SUMPRODUCT(--('93_TARGET_MEMBERSHIP'!BD$5:BD$27=1),'05_FEATURE_MODEL'!AN$5:AN$27)/MAX(1,COUNTIF('93_TARGET_MEMBERSHIP'!BD$5:BD$27,1))-SUMPRODUCT(--('93_TARGET_MEMBERSHIP'!BD$5:BD$27=-1),'05_FEATURE_MODEL'!AN$5:AN$27)/MAX(1,COUNTIF('93_TARGET_MEMBERSHIP'!BD$5:BD$27,-1))))</f>
        <v/>
      </c>
      <c r="AN59" s="34">
        <f>IF($B59="ABSOLUTE SEMANTIC",ABS('06_ITEM_POLE_MODEL'!AW59),ABS('06_ITEM_POLE_MODEL'!AW59)*ABS(SUMPRODUCT(--('93_TARGET_MEMBERSHIP'!BD$5:BD$27=1),'05_FEATURE_MODEL'!AO$5:AO$27)/MAX(1,COUNTIF('93_TARGET_MEMBERSHIP'!BD$5:BD$27,1))-SUMPRODUCT(--('93_TARGET_MEMBERSHIP'!BD$5:BD$27=-1),'05_FEATURE_MODEL'!AO$5:AO$27)/MAX(1,COUNTIF('93_TARGET_MEMBERSHIP'!BD$5:BD$27,-1))))</f>
        <v/>
      </c>
      <c r="AO59" s="34">
        <f>IF($B59="ABSOLUTE SEMANTIC",ABS('06_ITEM_POLE_MODEL'!AX59),ABS('06_ITEM_POLE_MODEL'!AX59)*ABS(SUMPRODUCT(--('93_TARGET_MEMBERSHIP'!BD$5:BD$27=1),'05_FEATURE_MODEL'!AP$5:AP$27)/MAX(1,COUNTIF('93_TARGET_MEMBERSHIP'!BD$5:BD$27,1))-SUMPRODUCT(--('93_TARGET_MEMBERSHIP'!BD$5:BD$27=-1),'05_FEATURE_MODEL'!AP$5:AP$27)/MAX(1,COUNTIF('93_TARGET_MEMBERSHIP'!BD$5:BD$27,-1))))</f>
        <v/>
      </c>
      <c r="AP59" s="34">
        <f>IF($B59="ABSOLUTE SEMANTIC",ABS('06_ITEM_POLE_MODEL'!AY59),ABS('06_ITEM_POLE_MODEL'!AY59)*ABS(SUMPRODUCT(--('93_TARGET_MEMBERSHIP'!BD$5:BD$27=1),'05_FEATURE_MODEL'!AQ$5:AQ$27)/MAX(1,COUNTIF('93_TARGET_MEMBERSHIP'!BD$5:BD$27,1))-SUMPRODUCT(--('93_TARGET_MEMBERSHIP'!BD$5:BD$27=-1),'05_FEATURE_MODEL'!AQ$5:AQ$27)/MAX(1,COUNTIF('93_TARGET_MEMBERSHIP'!BD$5:BD$27,-1))))</f>
        <v/>
      </c>
      <c r="AQ59" s="34">
        <f>IF($B59="ABSOLUTE SEMANTIC",ABS('06_ITEM_POLE_MODEL'!AZ59),ABS('06_ITEM_POLE_MODEL'!AZ59)*ABS(SUMPRODUCT(--('93_TARGET_MEMBERSHIP'!BD$5:BD$27=1),'05_FEATURE_MODEL'!AR$5:AR$27)/MAX(1,COUNTIF('93_TARGET_MEMBERSHIP'!BD$5:BD$27,1))-SUMPRODUCT(--('93_TARGET_MEMBERSHIP'!BD$5:BD$27=-1),'05_FEATURE_MODEL'!AR$5:AR$27)/MAX(1,COUNTIF('93_TARGET_MEMBERSHIP'!BD$5:BD$27,-1))))</f>
        <v/>
      </c>
    </row>
    <row r="60" ht="36" customHeight="1">
      <c r="A60" s="34">
        <f>'06_ITEM_POLE_MODEL'!A60</f>
        <v/>
      </c>
      <c r="B60" s="34">
        <f>'06_ITEM_POLE_MODEL'!E60</f>
        <v/>
      </c>
      <c r="C60" s="34">
        <f>IF($B60="ABSOLUTE SEMANTIC",ABS('06_ITEM_POLE_MODEL'!L60),ABS('06_ITEM_POLE_MODEL'!L60)*ABS(SUMPRODUCT(--('93_TARGET_MEMBERSHIP'!BE$5:BE$27=1),'05_FEATURE_MODEL'!D$5:D$27)/MAX(1,COUNTIF('93_TARGET_MEMBERSHIP'!BE$5:BE$27,1))-SUMPRODUCT(--('93_TARGET_MEMBERSHIP'!BE$5:BE$27=-1),'05_FEATURE_MODEL'!D$5:D$27)/MAX(1,COUNTIF('93_TARGET_MEMBERSHIP'!BE$5:BE$27,-1))))</f>
        <v/>
      </c>
      <c r="D60" s="34">
        <f>IF($B60="ABSOLUTE SEMANTIC",ABS('06_ITEM_POLE_MODEL'!M60),ABS('06_ITEM_POLE_MODEL'!M60)*ABS(SUMPRODUCT(--('93_TARGET_MEMBERSHIP'!BE$5:BE$27=1),'05_FEATURE_MODEL'!E$5:E$27)/MAX(1,COUNTIF('93_TARGET_MEMBERSHIP'!BE$5:BE$27,1))-SUMPRODUCT(--('93_TARGET_MEMBERSHIP'!BE$5:BE$27=-1),'05_FEATURE_MODEL'!E$5:E$27)/MAX(1,COUNTIF('93_TARGET_MEMBERSHIP'!BE$5:BE$27,-1))))</f>
        <v/>
      </c>
      <c r="E60" s="34">
        <f>IF($B60="ABSOLUTE SEMANTIC",ABS('06_ITEM_POLE_MODEL'!N60),ABS('06_ITEM_POLE_MODEL'!N60)*ABS(SUMPRODUCT(--('93_TARGET_MEMBERSHIP'!BE$5:BE$27=1),'05_FEATURE_MODEL'!F$5:F$27)/MAX(1,COUNTIF('93_TARGET_MEMBERSHIP'!BE$5:BE$27,1))-SUMPRODUCT(--('93_TARGET_MEMBERSHIP'!BE$5:BE$27=-1),'05_FEATURE_MODEL'!F$5:F$27)/MAX(1,COUNTIF('93_TARGET_MEMBERSHIP'!BE$5:BE$27,-1))))</f>
        <v/>
      </c>
      <c r="F60" s="34">
        <f>IF($B60="ABSOLUTE SEMANTIC",ABS('06_ITEM_POLE_MODEL'!O60),ABS('06_ITEM_POLE_MODEL'!O60)*ABS(SUMPRODUCT(--('93_TARGET_MEMBERSHIP'!BE$5:BE$27=1),'05_FEATURE_MODEL'!G$5:G$27)/MAX(1,COUNTIF('93_TARGET_MEMBERSHIP'!BE$5:BE$27,1))-SUMPRODUCT(--('93_TARGET_MEMBERSHIP'!BE$5:BE$27=-1),'05_FEATURE_MODEL'!G$5:G$27)/MAX(1,COUNTIF('93_TARGET_MEMBERSHIP'!BE$5:BE$27,-1))))</f>
        <v/>
      </c>
      <c r="G60" s="34">
        <f>IF($B60="ABSOLUTE SEMANTIC",ABS('06_ITEM_POLE_MODEL'!P60),ABS('06_ITEM_POLE_MODEL'!P60)*ABS(SUMPRODUCT(--('93_TARGET_MEMBERSHIP'!BE$5:BE$27=1),'05_FEATURE_MODEL'!H$5:H$27)/MAX(1,COUNTIF('93_TARGET_MEMBERSHIP'!BE$5:BE$27,1))-SUMPRODUCT(--('93_TARGET_MEMBERSHIP'!BE$5:BE$27=-1),'05_FEATURE_MODEL'!H$5:H$27)/MAX(1,COUNTIF('93_TARGET_MEMBERSHIP'!BE$5:BE$27,-1))))</f>
        <v/>
      </c>
      <c r="H60" s="34">
        <f>IF($B60="ABSOLUTE SEMANTIC",ABS('06_ITEM_POLE_MODEL'!Q60),ABS('06_ITEM_POLE_MODEL'!Q60)*ABS(SUMPRODUCT(--('93_TARGET_MEMBERSHIP'!BE$5:BE$27=1),'05_FEATURE_MODEL'!I$5:I$27)/MAX(1,COUNTIF('93_TARGET_MEMBERSHIP'!BE$5:BE$27,1))-SUMPRODUCT(--('93_TARGET_MEMBERSHIP'!BE$5:BE$27=-1),'05_FEATURE_MODEL'!I$5:I$27)/MAX(1,COUNTIF('93_TARGET_MEMBERSHIP'!BE$5:BE$27,-1))))</f>
        <v/>
      </c>
      <c r="I60" s="34">
        <f>IF($B60="ABSOLUTE SEMANTIC",ABS('06_ITEM_POLE_MODEL'!R60),ABS('06_ITEM_POLE_MODEL'!R60)*ABS(SUMPRODUCT(--('93_TARGET_MEMBERSHIP'!BE$5:BE$27=1),'05_FEATURE_MODEL'!J$5:J$27)/MAX(1,COUNTIF('93_TARGET_MEMBERSHIP'!BE$5:BE$27,1))-SUMPRODUCT(--('93_TARGET_MEMBERSHIP'!BE$5:BE$27=-1),'05_FEATURE_MODEL'!J$5:J$27)/MAX(1,COUNTIF('93_TARGET_MEMBERSHIP'!BE$5:BE$27,-1))))</f>
        <v/>
      </c>
      <c r="J60" s="34">
        <f>IF($B60="ABSOLUTE SEMANTIC",ABS('06_ITEM_POLE_MODEL'!S60),ABS('06_ITEM_POLE_MODEL'!S60)*ABS(SUMPRODUCT(--('93_TARGET_MEMBERSHIP'!BE$5:BE$27=1),'05_FEATURE_MODEL'!K$5:K$27)/MAX(1,COUNTIF('93_TARGET_MEMBERSHIP'!BE$5:BE$27,1))-SUMPRODUCT(--('93_TARGET_MEMBERSHIP'!BE$5:BE$27=-1),'05_FEATURE_MODEL'!K$5:K$27)/MAX(1,COUNTIF('93_TARGET_MEMBERSHIP'!BE$5:BE$27,-1))))</f>
        <v/>
      </c>
      <c r="K60" s="34">
        <f>IF($B60="ABSOLUTE SEMANTIC",ABS('06_ITEM_POLE_MODEL'!T60),ABS('06_ITEM_POLE_MODEL'!T60)*ABS(SUMPRODUCT(--('93_TARGET_MEMBERSHIP'!BE$5:BE$27=1),'05_FEATURE_MODEL'!L$5:L$27)/MAX(1,COUNTIF('93_TARGET_MEMBERSHIP'!BE$5:BE$27,1))-SUMPRODUCT(--('93_TARGET_MEMBERSHIP'!BE$5:BE$27=-1),'05_FEATURE_MODEL'!L$5:L$27)/MAX(1,COUNTIF('93_TARGET_MEMBERSHIP'!BE$5:BE$27,-1))))</f>
        <v/>
      </c>
      <c r="L60" s="34">
        <f>IF($B60="ABSOLUTE SEMANTIC",ABS('06_ITEM_POLE_MODEL'!U60),ABS('06_ITEM_POLE_MODEL'!U60)*ABS(SUMPRODUCT(--('93_TARGET_MEMBERSHIP'!BE$5:BE$27=1),'05_FEATURE_MODEL'!M$5:M$27)/MAX(1,COUNTIF('93_TARGET_MEMBERSHIP'!BE$5:BE$27,1))-SUMPRODUCT(--('93_TARGET_MEMBERSHIP'!BE$5:BE$27=-1),'05_FEATURE_MODEL'!M$5:M$27)/MAX(1,COUNTIF('93_TARGET_MEMBERSHIP'!BE$5:BE$27,-1))))</f>
        <v/>
      </c>
      <c r="M60" s="34">
        <f>IF($B60="ABSOLUTE SEMANTIC",ABS('06_ITEM_POLE_MODEL'!V60),ABS('06_ITEM_POLE_MODEL'!V60)*ABS(SUMPRODUCT(--('93_TARGET_MEMBERSHIP'!BE$5:BE$27=1),'05_FEATURE_MODEL'!N$5:N$27)/MAX(1,COUNTIF('93_TARGET_MEMBERSHIP'!BE$5:BE$27,1))-SUMPRODUCT(--('93_TARGET_MEMBERSHIP'!BE$5:BE$27=-1),'05_FEATURE_MODEL'!N$5:N$27)/MAX(1,COUNTIF('93_TARGET_MEMBERSHIP'!BE$5:BE$27,-1))))</f>
        <v/>
      </c>
      <c r="N60" s="34">
        <f>IF($B60="ABSOLUTE SEMANTIC",ABS('06_ITEM_POLE_MODEL'!W60),ABS('06_ITEM_POLE_MODEL'!W60)*ABS(SUMPRODUCT(--('93_TARGET_MEMBERSHIP'!BE$5:BE$27=1),'05_FEATURE_MODEL'!O$5:O$27)/MAX(1,COUNTIF('93_TARGET_MEMBERSHIP'!BE$5:BE$27,1))-SUMPRODUCT(--('93_TARGET_MEMBERSHIP'!BE$5:BE$27=-1),'05_FEATURE_MODEL'!O$5:O$27)/MAX(1,COUNTIF('93_TARGET_MEMBERSHIP'!BE$5:BE$27,-1))))</f>
        <v/>
      </c>
      <c r="O60" s="34">
        <f>IF($B60="ABSOLUTE SEMANTIC",ABS('06_ITEM_POLE_MODEL'!X60),ABS('06_ITEM_POLE_MODEL'!X60)*ABS(SUMPRODUCT(--('93_TARGET_MEMBERSHIP'!BE$5:BE$27=1),'05_FEATURE_MODEL'!P$5:P$27)/MAX(1,COUNTIF('93_TARGET_MEMBERSHIP'!BE$5:BE$27,1))-SUMPRODUCT(--('93_TARGET_MEMBERSHIP'!BE$5:BE$27=-1),'05_FEATURE_MODEL'!P$5:P$27)/MAX(1,COUNTIF('93_TARGET_MEMBERSHIP'!BE$5:BE$27,-1))))</f>
        <v/>
      </c>
      <c r="P60" s="34">
        <f>IF($B60="ABSOLUTE SEMANTIC",ABS('06_ITEM_POLE_MODEL'!Y60),ABS('06_ITEM_POLE_MODEL'!Y60)*ABS(SUMPRODUCT(--('93_TARGET_MEMBERSHIP'!BE$5:BE$27=1),'05_FEATURE_MODEL'!Q$5:Q$27)/MAX(1,COUNTIF('93_TARGET_MEMBERSHIP'!BE$5:BE$27,1))-SUMPRODUCT(--('93_TARGET_MEMBERSHIP'!BE$5:BE$27=-1),'05_FEATURE_MODEL'!Q$5:Q$27)/MAX(1,COUNTIF('93_TARGET_MEMBERSHIP'!BE$5:BE$27,-1))))</f>
        <v/>
      </c>
      <c r="Q60" s="34">
        <f>IF($B60="ABSOLUTE SEMANTIC",ABS('06_ITEM_POLE_MODEL'!Z60),ABS('06_ITEM_POLE_MODEL'!Z60)*ABS(SUMPRODUCT(--('93_TARGET_MEMBERSHIP'!BE$5:BE$27=1),'05_FEATURE_MODEL'!R$5:R$27)/MAX(1,COUNTIF('93_TARGET_MEMBERSHIP'!BE$5:BE$27,1))-SUMPRODUCT(--('93_TARGET_MEMBERSHIP'!BE$5:BE$27=-1),'05_FEATURE_MODEL'!R$5:R$27)/MAX(1,COUNTIF('93_TARGET_MEMBERSHIP'!BE$5:BE$27,-1))))</f>
        <v/>
      </c>
      <c r="R60" s="34">
        <f>IF($B60="ABSOLUTE SEMANTIC",ABS('06_ITEM_POLE_MODEL'!AA60),ABS('06_ITEM_POLE_MODEL'!AA60)*ABS(SUMPRODUCT(--('93_TARGET_MEMBERSHIP'!BE$5:BE$27=1),'05_FEATURE_MODEL'!S$5:S$27)/MAX(1,COUNTIF('93_TARGET_MEMBERSHIP'!BE$5:BE$27,1))-SUMPRODUCT(--('93_TARGET_MEMBERSHIP'!BE$5:BE$27=-1),'05_FEATURE_MODEL'!S$5:S$27)/MAX(1,COUNTIF('93_TARGET_MEMBERSHIP'!BE$5:BE$27,-1))))</f>
        <v/>
      </c>
      <c r="S60" s="34">
        <f>IF($B60="ABSOLUTE SEMANTIC",ABS('06_ITEM_POLE_MODEL'!AB60),ABS('06_ITEM_POLE_MODEL'!AB60)*ABS(SUMPRODUCT(--('93_TARGET_MEMBERSHIP'!BE$5:BE$27=1),'05_FEATURE_MODEL'!T$5:T$27)/MAX(1,COUNTIF('93_TARGET_MEMBERSHIP'!BE$5:BE$27,1))-SUMPRODUCT(--('93_TARGET_MEMBERSHIP'!BE$5:BE$27=-1),'05_FEATURE_MODEL'!T$5:T$27)/MAX(1,COUNTIF('93_TARGET_MEMBERSHIP'!BE$5:BE$27,-1))))</f>
        <v/>
      </c>
      <c r="T60" s="34">
        <f>IF($B60="ABSOLUTE SEMANTIC",ABS('06_ITEM_POLE_MODEL'!AC60),ABS('06_ITEM_POLE_MODEL'!AC60)*ABS(SUMPRODUCT(--('93_TARGET_MEMBERSHIP'!BE$5:BE$27=1),'05_FEATURE_MODEL'!U$5:U$27)/MAX(1,COUNTIF('93_TARGET_MEMBERSHIP'!BE$5:BE$27,1))-SUMPRODUCT(--('93_TARGET_MEMBERSHIP'!BE$5:BE$27=-1),'05_FEATURE_MODEL'!U$5:U$27)/MAX(1,COUNTIF('93_TARGET_MEMBERSHIP'!BE$5:BE$27,-1))))</f>
        <v/>
      </c>
      <c r="U60" s="34">
        <f>IF($B60="ABSOLUTE SEMANTIC",ABS('06_ITEM_POLE_MODEL'!AD60),ABS('06_ITEM_POLE_MODEL'!AD60)*ABS(SUMPRODUCT(--('93_TARGET_MEMBERSHIP'!BE$5:BE$27=1),'05_FEATURE_MODEL'!V$5:V$27)/MAX(1,COUNTIF('93_TARGET_MEMBERSHIP'!BE$5:BE$27,1))-SUMPRODUCT(--('93_TARGET_MEMBERSHIP'!BE$5:BE$27=-1),'05_FEATURE_MODEL'!V$5:V$27)/MAX(1,COUNTIF('93_TARGET_MEMBERSHIP'!BE$5:BE$27,-1))))</f>
        <v/>
      </c>
      <c r="V60" s="34">
        <f>IF($B60="ABSOLUTE SEMANTIC",ABS('06_ITEM_POLE_MODEL'!AE60),ABS('06_ITEM_POLE_MODEL'!AE60)*ABS(SUMPRODUCT(--('93_TARGET_MEMBERSHIP'!BE$5:BE$27=1),'05_FEATURE_MODEL'!W$5:W$27)/MAX(1,COUNTIF('93_TARGET_MEMBERSHIP'!BE$5:BE$27,1))-SUMPRODUCT(--('93_TARGET_MEMBERSHIP'!BE$5:BE$27=-1),'05_FEATURE_MODEL'!W$5:W$27)/MAX(1,COUNTIF('93_TARGET_MEMBERSHIP'!BE$5:BE$27,-1))))</f>
        <v/>
      </c>
      <c r="W60" s="34">
        <f>IF($B60="ABSOLUTE SEMANTIC",ABS('06_ITEM_POLE_MODEL'!AF60),ABS('06_ITEM_POLE_MODEL'!AF60)*ABS(SUMPRODUCT(--('93_TARGET_MEMBERSHIP'!BE$5:BE$27=1),'05_FEATURE_MODEL'!X$5:X$27)/MAX(1,COUNTIF('93_TARGET_MEMBERSHIP'!BE$5:BE$27,1))-SUMPRODUCT(--('93_TARGET_MEMBERSHIP'!BE$5:BE$27=-1),'05_FEATURE_MODEL'!X$5:X$27)/MAX(1,COUNTIF('93_TARGET_MEMBERSHIP'!BE$5:BE$27,-1))))</f>
        <v/>
      </c>
      <c r="X60" s="34">
        <f>IF($B60="ABSOLUTE SEMANTIC",ABS('06_ITEM_POLE_MODEL'!AG60),ABS('06_ITEM_POLE_MODEL'!AG60)*ABS(SUMPRODUCT(--('93_TARGET_MEMBERSHIP'!BE$5:BE$27=1),'05_FEATURE_MODEL'!Y$5:Y$27)/MAX(1,COUNTIF('93_TARGET_MEMBERSHIP'!BE$5:BE$27,1))-SUMPRODUCT(--('93_TARGET_MEMBERSHIP'!BE$5:BE$27=-1),'05_FEATURE_MODEL'!Y$5:Y$27)/MAX(1,COUNTIF('93_TARGET_MEMBERSHIP'!BE$5:BE$27,-1))))</f>
        <v/>
      </c>
      <c r="Y60" s="34">
        <f>IF($B60="ABSOLUTE SEMANTIC",ABS('06_ITEM_POLE_MODEL'!AH60),ABS('06_ITEM_POLE_MODEL'!AH60)*ABS(SUMPRODUCT(--('93_TARGET_MEMBERSHIP'!BE$5:BE$27=1),'05_FEATURE_MODEL'!Z$5:Z$27)/MAX(1,COUNTIF('93_TARGET_MEMBERSHIP'!BE$5:BE$27,1))-SUMPRODUCT(--('93_TARGET_MEMBERSHIP'!BE$5:BE$27=-1),'05_FEATURE_MODEL'!Z$5:Z$27)/MAX(1,COUNTIF('93_TARGET_MEMBERSHIP'!BE$5:BE$27,-1))))</f>
        <v/>
      </c>
      <c r="Z60" s="34">
        <f>IF($B60="ABSOLUTE SEMANTIC",ABS('06_ITEM_POLE_MODEL'!AI60),ABS('06_ITEM_POLE_MODEL'!AI60)*ABS(SUMPRODUCT(--('93_TARGET_MEMBERSHIP'!BE$5:BE$27=1),'05_FEATURE_MODEL'!AA$5:AA$27)/MAX(1,COUNTIF('93_TARGET_MEMBERSHIP'!BE$5:BE$27,1))-SUMPRODUCT(--('93_TARGET_MEMBERSHIP'!BE$5:BE$27=-1),'05_FEATURE_MODEL'!AA$5:AA$27)/MAX(1,COUNTIF('93_TARGET_MEMBERSHIP'!BE$5:BE$27,-1))))</f>
        <v/>
      </c>
      <c r="AA60" s="34">
        <f>IF($B60="ABSOLUTE SEMANTIC",ABS('06_ITEM_POLE_MODEL'!AJ60),ABS('06_ITEM_POLE_MODEL'!AJ60)*ABS(SUMPRODUCT(--('93_TARGET_MEMBERSHIP'!BE$5:BE$27=1),'05_FEATURE_MODEL'!AB$5:AB$27)/MAX(1,COUNTIF('93_TARGET_MEMBERSHIP'!BE$5:BE$27,1))-SUMPRODUCT(--('93_TARGET_MEMBERSHIP'!BE$5:BE$27=-1),'05_FEATURE_MODEL'!AB$5:AB$27)/MAX(1,COUNTIF('93_TARGET_MEMBERSHIP'!BE$5:BE$27,-1))))</f>
        <v/>
      </c>
      <c r="AB60" s="34">
        <f>IF($B60="ABSOLUTE SEMANTIC",ABS('06_ITEM_POLE_MODEL'!AK60),ABS('06_ITEM_POLE_MODEL'!AK60)*ABS(SUMPRODUCT(--('93_TARGET_MEMBERSHIP'!BE$5:BE$27=1),'05_FEATURE_MODEL'!AC$5:AC$27)/MAX(1,COUNTIF('93_TARGET_MEMBERSHIP'!BE$5:BE$27,1))-SUMPRODUCT(--('93_TARGET_MEMBERSHIP'!BE$5:BE$27=-1),'05_FEATURE_MODEL'!AC$5:AC$27)/MAX(1,COUNTIF('93_TARGET_MEMBERSHIP'!BE$5:BE$27,-1))))</f>
        <v/>
      </c>
      <c r="AC60" s="34">
        <f>IF($B60="ABSOLUTE SEMANTIC",ABS('06_ITEM_POLE_MODEL'!AL60),ABS('06_ITEM_POLE_MODEL'!AL60)*ABS(SUMPRODUCT(--('93_TARGET_MEMBERSHIP'!BE$5:BE$27=1),'05_FEATURE_MODEL'!AD$5:AD$27)/MAX(1,COUNTIF('93_TARGET_MEMBERSHIP'!BE$5:BE$27,1))-SUMPRODUCT(--('93_TARGET_MEMBERSHIP'!BE$5:BE$27=-1),'05_FEATURE_MODEL'!AD$5:AD$27)/MAX(1,COUNTIF('93_TARGET_MEMBERSHIP'!BE$5:BE$27,-1))))</f>
        <v/>
      </c>
      <c r="AD60" s="34">
        <f>IF($B60="ABSOLUTE SEMANTIC",ABS('06_ITEM_POLE_MODEL'!AM60),ABS('06_ITEM_POLE_MODEL'!AM60)*ABS(SUMPRODUCT(--('93_TARGET_MEMBERSHIP'!BE$5:BE$27=1),'05_FEATURE_MODEL'!AE$5:AE$27)/MAX(1,COUNTIF('93_TARGET_MEMBERSHIP'!BE$5:BE$27,1))-SUMPRODUCT(--('93_TARGET_MEMBERSHIP'!BE$5:BE$27=-1),'05_FEATURE_MODEL'!AE$5:AE$27)/MAX(1,COUNTIF('93_TARGET_MEMBERSHIP'!BE$5:BE$27,-1))))</f>
        <v/>
      </c>
      <c r="AE60" s="34">
        <f>IF($B60="ABSOLUTE SEMANTIC",ABS('06_ITEM_POLE_MODEL'!AN60),ABS('06_ITEM_POLE_MODEL'!AN60)*ABS(SUMPRODUCT(--('93_TARGET_MEMBERSHIP'!BE$5:BE$27=1),'05_FEATURE_MODEL'!AF$5:AF$27)/MAX(1,COUNTIF('93_TARGET_MEMBERSHIP'!BE$5:BE$27,1))-SUMPRODUCT(--('93_TARGET_MEMBERSHIP'!BE$5:BE$27=-1),'05_FEATURE_MODEL'!AF$5:AF$27)/MAX(1,COUNTIF('93_TARGET_MEMBERSHIP'!BE$5:BE$27,-1))))</f>
        <v/>
      </c>
      <c r="AF60" s="34">
        <f>IF($B60="ABSOLUTE SEMANTIC",ABS('06_ITEM_POLE_MODEL'!AO60),ABS('06_ITEM_POLE_MODEL'!AO60)*ABS(SUMPRODUCT(--('93_TARGET_MEMBERSHIP'!BE$5:BE$27=1),'05_FEATURE_MODEL'!AG$5:AG$27)/MAX(1,COUNTIF('93_TARGET_MEMBERSHIP'!BE$5:BE$27,1))-SUMPRODUCT(--('93_TARGET_MEMBERSHIP'!BE$5:BE$27=-1),'05_FEATURE_MODEL'!AG$5:AG$27)/MAX(1,COUNTIF('93_TARGET_MEMBERSHIP'!BE$5:BE$27,-1))))</f>
        <v/>
      </c>
      <c r="AG60" s="34">
        <f>IF($B60="ABSOLUTE SEMANTIC",ABS('06_ITEM_POLE_MODEL'!AP60),ABS('06_ITEM_POLE_MODEL'!AP60)*ABS(SUMPRODUCT(--('93_TARGET_MEMBERSHIP'!BE$5:BE$27=1),'05_FEATURE_MODEL'!AH$5:AH$27)/MAX(1,COUNTIF('93_TARGET_MEMBERSHIP'!BE$5:BE$27,1))-SUMPRODUCT(--('93_TARGET_MEMBERSHIP'!BE$5:BE$27=-1),'05_FEATURE_MODEL'!AH$5:AH$27)/MAX(1,COUNTIF('93_TARGET_MEMBERSHIP'!BE$5:BE$27,-1))))</f>
        <v/>
      </c>
      <c r="AH60" s="34">
        <f>IF($B60="ABSOLUTE SEMANTIC",ABS('06_ITEM_POLE_MODEL'!AQ60),ABS('06_ITEM_POLE_MODEL'!AQ60)*ABS(SUMPRODUCT(--('93_TARGET_MEMBERSHIP'!BE$5:BE$27=1),'05_FEATURE_MODEL'!AI$5:AI$27)/MAX(1,COUNTIF('93_TARGET_MEMBERSHIP'!BE$5:BE$27,1))-SUMPRODUCT(--('93_TARGET_MEMBERSHIP'!BE$5:BE$27=-1),'05_FEATURE_MODEL'!AI$5:AI$27)/MAX(1,COUNTIF('93_TARGET_MEMBERSHIP'!BE$5:BE$27,-1))))</f>
        <v/>
      </c>
      <c r="AI60" s="34">
        <f>IF($B60="ABSOLUTE SEMANTIC",ABS('06_ITEM_POLE_MODEL'!AR60),ABS('06_ITEM_POLE_MODEL'!AR60)*ABS(SUMPRODUCT(--('93_TARGET_MEMBERSHIP'!BE$5:BE$27=1),'05_FEATURE_MODEL'!AJ$5:AJ$27)/MAX(1,COUNTIF('93_TARGET_MEMBERSHIP'!BE$5:BE$27,1))-SUMPRODUCT(--('93_TARGET_MEMBERSHIP'!BE$5:BE$27=-1),'05_FEATURE_MODEL'!AJ$5:AJ$27)/MAX(1,COUNTIF('93_TARGET_MEMBERSHIP'!BE$5:BE$27,-1))))</f>
        <v/>
      </c>
      <c r="AJ60" s="34">
        <f>IF($B60="ABSOLUTE SEMANTIC",ABS('06_ITEM_POLE_MODEL'!AS60),ABS('06_ITEM_POLE_MODEL'!AS60)*ABS(SUMPRODUCT(--('93_TARGET_MEMBERSHIP'!BE$5:BE$27=1),'05_FEATURE_MODEL'!AK$5:AK$27)/MAX(1,COUNTIF('93_TARGET_MEMBERSHIP'!BE$5:BE$27,1))-SUMPRODUCT(--('93_TARGET_MEMBERSHIP'!BE$5:BE$27=-1),'05_FEATURE_MODEL'!AK$5:AK$27)/MAX(1,COUNTIF('93_TARGET_MEMBERSHIP'!BE$5:BE$27,-1))))</f>
        <v/>
      </c>
      <c r="AK60" s="34">
        <f>IF($B60="ABSOLUTE SEMANTIC",ABS('06_ITEM_POLE_MODEL'!AT60),ABS('06_ITEM_POLE_MODEL'!AT60)*ABS(SUMPRODUCT(--('93_TARGET_MEMBERSHIP'!BE$5:BE$27=1),'05_FEATURE_MODEL'!AL$5:AL$27)/MAX(1,COUNTIF('93_TARGET_MEMBERSHIP'!BE$5:BE$27,1))-SUMPRODUCT(--('93_TARGET_MEMBERSHIP'!BE$5:BE$27=-1),'05_FEATURE_MODEL'!AL$5:AL$27)/MAX(1,COUNTIF('93_TARGET_MEMBERSHIP'!BE$5:BE$27,-1))))</f>
        <v/>
      </c>
      <c r="AL60" s="34">
        <f>IF($B60="ABSOLUTE SEMANTIC",ABS('06_ITEM_POLE_MODEL'!AU60),ABS('06_ITEM_POLE_MODEL'!AU60)*ABS(SUMPRODUCT(--('93_TARGET_MEMBERSHIP'!BE$5:BE$27=1),'05_FEATURE_MODEL'!AM$5:AM$27)/MAX(1,COUNTIF('93_TARGET_MEMBERSHIP'!BE$5:BE$27,1))-SUMPRODUCT(--('93_TARGET_MEMBERSHIP'!BE$5:BE$27=-1),'05_FEATURE_MODEL'!AM$5:AM$27)/MAX(1,COUNTIF('93_TARGET_MEMBERSHIP'!BE$5:BE$27,-1))))</f>
        <v/>
      </c>
      <c r="AM60" s="34">
        <f>IF($B60="ABSOLUTE SEMANTIC",ABS('06_ITEM_POLE_MODEL'!AV60),ABS('06_ITEM_POLE_MODEL'!AV60)*ABS(SUMPRODUCT(--('93_TARGET_MEMBERSHIP'!BE$5:BE$27=1),'05_FEATURE_MODEL'!AN$5:AN$27)/MAX(1,COUNTIF('93_TARGET_MEMBERSHIP'!BE$5:BE$27,1))-SUMPRODUCT(--('93_TARGET_MEMBERSHIP'!BE$5:BE$27=-1),'05_FEATURE_MODEL'!AN$5:AN$27)/MAX(1,COUNTIF('93_TARGET_MEMBERSHIP'!BE$5:BE$27,-1))))</f>
        <v/>
      </c>
      <c r="AN60" s="34">
        <f>IF($B60="ABSOLUTE SEMANTIC",ABS('06_ITEM_POLE_MODEL'!AW60),ABS('06_ITEM_POLE_MODEL'!AW60)*ABS(SUMPRODUCT(--('93_TARGET_MEMBERSHIP'!BE$5:BE$27=1),'05_FEATURE_MODEL'!AO$5:AO$27)/MAX(1,COUNTIF('93_TARGET_MEMBERSHIP'!BE$5:BE$27,1))-SUMPRODUCT(--('93_TARGET_MEMBERSHIP'!BE$5:BE$27=-1),'05_FEATURE_MODEL'!AO$5:AO$27)/MAX(1,COUNTIF('93_TARGET_MEMBERSHIP'!BE$5:BE$27,-1))))</f>
        <v/>
      </c>
      <c r="AO60" s="34">
        <f>IF($B60="ABSOLUTE SEMANTIC",ABS('06_ITEM_POLE_MODEL'!AX60),ABS('06_ITEM_POLE_MODEL'!AX60)*ABS(SUMPRODUCT(--('93_TARGET_MEMBERSHIP'!BE$5:BE$27=1),'05_FEATURE_MODEL'!AP$5:AP$27)/MAX(1,COUNTIF('93_TARGET_MEMBERSHIP'!BE$5:BE$27,1))-SUMPRODUCT(--('93_TARGET_MEMBERSHIP'!BE$5:BE$27=-1),'05_FEATURE_MODEL'!AP$5:AP$27)/MAX(1,COUNTIF('93_TARGET_MEMBERSHIP'!BE$5:BE$27,-1))))</f>
        <v/>
      </c>
      <c r="AP60" s="34">
        <f>IF($B60="ABSOLUTE SEMANTIC",ABS('06_ITEM_POLE_MODEL'!AY60),ABS('06_ITEM_POLE_MODEL'!AY60)*ABS(SUMPRODUCT(--('93_TARGET_MEMBERSHIP'!BE$5:BE$27=1),'05_FEATURE_MODEL'!AQ$5:AQ$27)/MAX(1,COUNTIF('93_TARGET_MEMBERSHIP'!BE$5:BE$27,1))-SUMPRODUCT(--('93_TARGET_MEMBERSHIP'!BE$5:BE$27=-1),'05_FEATURE_MODEL'!AQ$5:AQ$27)/MAX(1,COUNTIF('93_TARGET_MEMBERSHIP'!BE$5:BE$27,-1))))</f>
        <v/>
      </c>
      <c r="AQ60" s="34">
        <f>IF($B60="ABSOLUTE SEMANTIC",ABS('06_ITEM_POLE_MODEL'!AZ60),ABS('06_ITEM_POLE_MODEL'!AZ60)*ABS(SUMPRODUCT(--('93_TARGET_MEMBERSHIP'!BE$5:BE$27=1),'05_FEATURE_MODEL'!AR$5:AR$27)/MAX(1,COUNTIF('93_TARGET_MEMBERSHIP'!BE$5:BE$27,1))-SUMPRODUCT(--('93_TARGET_MEMBERSHIP'!BE$5:BE$27=-1),'05_FEATURE_MODEL'!AR$5:AR$27)/MAX(1,COUNTIF('93_TARGET_MEMBERSHIP'!BE$5:BE$27,-1))))</f>
        <v/>
      </c>
    </row>
    <row r="61" ht="36" customHeight="1">
      <c r="A61" s="34">
        <f>'06_ITEM_POLE_MODEL'!A61</f>
        <v/>
      </c>
      <c r="B61" s="34">
        <f>'06_ITEM_POLE_MODEL'!E61</f>
        <v/>
      </c>
      <c r="C61" s="34">
        <f>IF($B61="ABSOLUTE SEMANTIC",ABS('06_ITEM_POLE_MODEL'!L61),ABS('06_ITEM_POLE_MODEL'!L61)*ABS(SUMPRODUCT(--('93_TARGET_MEMBERSHIP'!BF$5:BF$27=1),'05_FEATURE_MODEL'!D$5:D$27)/MAX(1,COUNTIF('93_TARGET_MEMBERSHIP'!BF$5:BF$27,1))-SUMPRODUCT(--('93_TARGET_MEMBERSHIP'!BF$5:BF$27=-1),'05_FEATURE_MODEL'!D$5:D$27)/MAX(1,COUNTIF('93_TARGET_MEMBERSHIP'!BF$5:BF$27,-1))))</f>
        <v/>
      </c>
      <c r="D61" s="34">
        <f>IF($B61="ABSOLUTE SEMANTIC",ABS('06_ITEM_POLE_MODEL'!M61),ABS('06_ITEM_POLE_MODEL'!M61)*ABS(SUMPRODUCT(--('93_TARGET_MEMBERSHIP'!BF$5:BF$27=1),'05_FEATURE_MODEL'!E$5:E$27)/MAX(1,COUNTIF('93_TARGET_MEMBERSHIP'!BF$5:BF$27,1))-SUMPRODUCT(--('93_TARGET_MEMBERSHIP'!BF$5:BF$27=-1),'05_FEATURE_MODEL'!E$5:E$27)/MAX(1,COUNTIF('93_TARGET_MEMBERSHIP'!BF$5:BF$27,-1))))</f>
        <v/>
      </c>
      <c r="E61" s="34">
        <f>IF($B61="ABSOLUTE SEMANTIC",ABS('06_ITEM_POLE_MODEL'!N61),ABS('06_ITEM_POLE_MODEL'!N61)*ABS(SUMPRODUCT(--('93_TARGET_MEMBERSHIP'!BF$5:BF$27=1),'05_FEATURE_MODEL'!F$5:F$27)/MAX(1,COUNTIF('93_TARGET_MEMBERSHIP'!BF$5:BF$27,1))-SUMPRODUCT(--('93_TARGET_MEMBERSHIP'!BF$5:BF$27=-1),'05_FEATURE_MODEL'!F$5:F$27)/MAX(1,COUNTIF('93_TARGET_MEMBERSHIP'!BF$5:BF$27,-1))))</f>
        <v/>
      </c>
      <c r="F61" s="34">
        <f>IF($B61="ABSOLUTE SEMANTIC",ABS('06_ITEM_POLE_MODEL'!O61),ABS('06_ITEM_POLE_MODEL'!O61)*ABS(SUMPRODUCT(--('93_TARGET_MEMBERSHIP'!BF$5:BF$27=1),'05_FEATURE_MODEL'!G$5:G$27)/MAX(1,COUNTIF('93_TARGET_MEMBERSHIP'!BF$5:BF$27,1))-SUMPRODUCT(--('93_TARGET_MEMBERSHIP'!BF$5:BF$27=-1),'05_FEATURE_MODEL'!G$5:G$27)/MAX(1,COUNTIF('93_TARGET_MEMBERSHIP'!BF$5:BF$27,-1))))</f>
        <v/>
      </c>
      <c r="G61" s="34">
        <f>IF($B61="ABSOLUTE SEMANTIC",ABS('06_ITEM_POLE_MODEL'!P61),ABS('06_ITEM_POLE_MODEL'!P61)*ABS(SUMPRODUCT(--('93_TARGET_MEMBERSHIP'!BF$5:BF$27=1),'05_FEATURE_MODEL'!H$5:H$27)/MAX(1,COUNTIF('93_TARGET_MEMBERSHIP'!BF$5:BF$27,1))-SUMPRODUCT(--('93_TARGET_MEMBERSHIP'!BF$5:BF$27=-1),'05_FEATURE_MODEL'!H$5:H$27)/MAX(1,COUNTIF('93_TARGET_MEMBERSHIP'!BF$5:BF$27,-1))))</f>
        <v/>
      </c>
      <c r="H61" s="34">
        <f>IF($B61="ABSOLUTE SEMANTIC",ABS('06_ITEM_POLE_MODEL'!Q61),ABS('06_ITEM_POLE_MODEL'!Q61)*ABS(SUMPRODUCT(--('93_TARGET_MEMBERSHIP'!BF$5:BF$27=1),'05_FEATURE_MODEL'!I$5:I$27)/MAX(1,COUNTIF('93_TARGET_MEMBERSHIP'!BF$5:BF$27,1))-SUMPRODUCT(--('93_TARGET_MEMBERSHIP'!BF$5:BF$27=-1),'05_FEATURE_MODEL'!I$5:I$27)/MAX(1,COUNTIF('93_TARGET_MEMBERSHIP'!BF$5:BF$27,-1))))</f>
        <v/>
      </c>
      <c r="I61" s="34">
        <f>IF($B61="ABSOLUTE SEMANTIC",ABS('06_ITEM_POLE_MODEL'!R61),ABS('06_ITEM_POLE_MODEL'!R61)*ABS(SUMPRODUCT(--('93_TARGET_MEMBERSHIP'!BF$5:BF$27=1),'05_FEATURE_MODEL'!J$5:J$27)/MAX(1,COUNTIF('93_TARGET_MEMBERSHIP'!BF$5:BF$27,1))-SUMPRODUCT(--('93_TARGET_MEMBERSHIP'!BF$5:BF$27=-1),'05_FEATURE_MODEL'!J$5:J$27)/MAX(1,COUNTIF('93_TARGET_MEMBERSHIP'!BF$5:BF$27,-1))))</f>
        <v/>
      </c>
      <c r="J61" s="34">
        <f>IF($B61="ABSOLUTE SEMANTIC",ABS('06_ITEM_POLE_MODEL'!S61),ABS('06_ITEM_POLE_MODEL'!S61)*ABS(SUMPRODUCT(--('93_TARGET_MEMBERSHIP'!BF$5:BF$27=1),'05_FEATURE_MODEL'!K$5:K$27)/MAX(1,COUNTIF('93_TARGET_MEMBERSHIP'!BF$5:BF$27,1))-SUMPRODUCT(--('93_TARGET_MEMBERSHIP'!BF$5:BF$27=-1),'05_FEATURE_MODEL'!K$5:K$27)/MAX(1,COUNTIF('93_TARGET_MEMBERSHIP'!BF$5:BF$27,-1))))</f>
        <v/>
      </c>
      <c r="K61" s="34">
        <f>IF($B61="ABSOLUTE SEMANTIC",ABS('06_ITEM_POLE_MODEL'!T61),ABS('06_ITEM_POLE_MODEL'!T61)*ABS(SUMPRODUCT(--('93_TARGET_MEMBERSHIP'!BF$5:BF$27=1),'05_FEATURE_MODEL'!L$5:L$27)/MAX(1,COUNTIF('93_TARGET_MEMBERSHIP'!BF$5:BF$27,1))-SUMPRODUCT(--('93_TARGET_MEMBERSHIP'!BF$5:BF$27=-1),'05_FEATURE_MODEL'!L$5:L$27)/MAX(1,COUNTIF('93_TARGET_MEMBERSHIP'!BF$5:BF$27,-1))))</f>
        <v/>
      </c>
      <c r="L61" s="34">
        <f>IF($B61="ABSOLUTE SEMANTIC",ABS('06_ITEM_POLE_MODEL'!U61),ABS('06_ITEM_POLE_MODEL'!U61)*ABS(SUMPRODUCT(--('93_TARGET_MEMBERSHIP'!BF$5:BF$27=1),'05_FEATURE_MODEL'!M$5:M$27)/MAX(1,COUNTIF('93_TARGET_MEMBERSHIP'!BF$5:BF$27,1))-SUMPRODUCT(--('93_TARGET_MEMBERSHIP'!BF$5:BF$27=-1),'05_FEATURE_MODEL'!M$5:M$27)/MAX(1,COUNTIF('93_TARGET_MEMBERSHIP'!BF$5:BF$27,-1))))</f>
        <v/>
      </c>
      <c r="M61" s="34">
        <f>IF($B61="ABSOLUTE SEMANTIC",ABS('06_ITEM_POLE_MODEL'!V61),ABS('06_ITEM_POLE_MODEL'!V61)*ABS(SUMPRODUCT(--('93_TARGET_MEMBERSHIP'!BF$5:BF$27=1),'05_FEATURE_MODEL'!N$5:N$27)/MAX(1,COUNTIF('93_TARGET_MEMBERSHIP'!BF$5:BF$27,1))-SUMPRODUCT(--('93_TARGET_MEMBERSHIP'!BF$5:BF$27=-1),'05_FEATURE_MODEL'!N$5:N$27)/MAX(1,COUNTIF('93_TARGET_MEMBERSHIP'!BF$5:BF$27,-1))))</f>
        <v/>
      </c>
      <c r="N61" s="34">
        <f>IF($B61="ABSOLUTE SEMANTIC",ABS('06_ITEM_POLE_MODEL'!W61),ABS('06_ITEM_POLE_MODEL'!W61)*ABS(SUMPRODUCT(--('93_TARGET_MEMBERSHIP'!BF$5:BF$27=1),'05_FEATURE_MODEL'!O$5:O$27)/MAX(1,COUNTIF('93_TARGET_MEMBERSHIP'!BF$5:BF$27,1))-SUMPRODUCT(--('93_TARGET_MEMBERSHIP'!BF$5:BF$27=-1),'05_FEATURE_MODEL'!O$5:O$27)/MAX(1,COUNTIF('93_TARGET_MEMBERSHIP'!BF$5:BF$27,-1))))</f>
        <v/>
      </c>
      <c r="O61" s="34">
        <f>IF($B61="ABSOLUTE SEMANTIC",ABS('06_ITEM_POLE_MODEL'!X61),ABS('06_ITEM_POLE_MODEL'!X61)*ABS(SUMPRODUCT(--('93_TARGET_MEMBERSHIP'!BF$5:BF$27=1),'05_FEATURE_MODEL'!P$5:P$27)/MAX(1,COUNTIF('93_TARGET_MEMBERSHIP'!BF$5:BF$27,1))-SUMPRODUCT(--('93_TARGET_MEMBERSHIP'!BF$5:BF$27=-1),'05_FEATURE_MODEL'!P$5:P$27)/MAX(1,COUNTIF('93_TARGET_MEMBERSHIP'!BF$5:BF$27,-1))))</f>
        <v/>
      </c>
      <c r="P61" s="34">
        <f>IF($B61="ABSOLUTE SEMANTIC",ABS('06_ITEM_POLE_MODEL'!Y61),ABS('06_ITEM_POLE_MODEL'!Y61)*ABS(SUMPRODUCT(--('93_TARGET_MEMBERSHIP'!BF$5:BF$27=1),'05_FEATURE_MODEL'!Q$5:Q$27)/MAX(1,COUNTIF('93_TARGET_MEMBERSHIP'!BF$5:BF$27,1))-SUMPRODUCT(--('93_TARGET_MEMBERSHIP'!BF$5:BF$27=-1),'05_FEATURE_MODEL'!Q$5:Q$27)/MAX(1,COUNTIF('93_TARGET_MEMBERSHIP'!BF$5:BF$27,-1))))</f>
        <v/>
      </c>
      <c r="Q61" s="34">
        <f>IF($B61="ABSOLUTE SEMANTIC",ABS('06_ITEM_POLE_MODEL'!Z61),ABS('06_ITEM_POLE_MODEL'!Z61)*ABS(SUMPRODUCT(--('93_TARGET_MEMBERSHIP'!BF$5:BF$27=1),'05_FEATURE_MODEL'!R$5:R$27)/MAX(1,COUNTIF('93_TARGET_MEMBERSHIP'!BF$5:BF$27,1))-SUMPRODUCT(--('93_TARGET_MEMBERSHIP'!BF$5:BF$27=-1),'05_FEATURE_MODEL'!R$5:R$27)/MAX(1,COUNTIF('93_TARGET_MEMBERSHIP'!BF$5:BF$27,-1))))</f>
        <v/>
      </c>
      <c r="R61" s="34">
        <f>IF($B61="ABSOLUTE SEMANTIC",ABS('06_ITEM_POLE_MODEL'!AA61),ABS('06_ITEM_POLE_MODEL'!AA61)*ABS(SUMPRODUCT(--('93_TARGET_MEMBERSHIP'!BF$5:BF$27=1),'05_FEATURE_MODEL'!S$5:S$27)/MAX(1,COUNTIF('93_TARGET_MEMBERSHIP'!BF$5:BF$27,1))-SUMPRODUCT(--('93_TARGET_MEMBERSHIP'!BF$5:BF$27=-1),'05_FEATURE_MODEL'!S$5:S$27)/MAX(1,COUNTIF('93_TARGET_MEMBERSHIP'!BF$5:BF$27,-1))))</f>
        <v/>
      </c>
      <c r="S61" s="34">
        <f>IF($B61="ABSOLUTE SEMANTIC",ABS('06_ITEM_POLE_MODEL'!AB61),ABS('06_ITEM_POLE_MODEL'!AB61)*ABS(SUMPRODUCT(--('93_TARGET_MEMBERSHIP'!BF$5:BF$27=1),'05_FEATURE_MODEL'!T$5:T$27)/MAX(1,COUNTIF('93_TARGET_MEMBERSHIP'!BF$5:BF$27,1))-SUMPRODUCT(--('93_TARGET_MEMBERSHIP'!BF$5:BF$27=-1),'05_FEATURE_MODEL'!T$5:T$27)/MAX(1,COUNTIF('93_TARGET_MEMBERSHIP'!BF$5:BF$27,-1))))</f>
        <v/>
      </c>
      <c r="T61" s="34">
        <f>IF($B61="ABSOLUTE SEMANTIC",ABS('06_ITEM_POLE_MODEL'!AC61),ABS('06_ITEM_POLE_MODEL'!AC61)*ABS(SUMPRODUCT(--('93_TARGET_MEMBERSHIP'!BF$5:BF$27=1),'05_FEATURE_MODEL'!U$5:U$27)/MAX(1,COUNTIF('93_TARGET_MEMBERSHIP'!BF$5:BF$27,1))-SUMPRODUCT(--('93_TARGET_MEMBERSHIP'!BF$5:BF$27=-1),'05_FEATURE_MODEL'!U$5:U$27)/MAX(1,COUNTIF('93_TARGET_MEMBERSHIP'!BF$5:BF$27,-1))))</f>
        <v/>
      </c>
      <c r="U61" s="34">
        <f>IF($B61="ABSOLUTE SEMANTIC",ABS('06_ITEM_POLE_MODEL'!AD61),ABS('06_ITEM_POLE_MODEL'!AD61)*ABS(SUMPRODUCT(--('93_TARGET_MEMBERSHIP'!BF$5:BF$27=1),'05_FEATURE_MODEL'!V$5:V$27)/MAX(1,COUNTIF('93_TARGET_MEMBERSHIP'!BF$5:BF$27,1))-SUMPRODUCT(--('93_TARGET_MEMBERSHIP'!BF$5:BF$27=-1),'05_FEATURE_MODEL'!V$5:V$27)/MAX(1,COUNTIF('93_TARGET_MEMBERSHIP'!BF$5:BF$27,-1))))</f>
        <v/>
      </c>
      <c r="V61" s="34">
        <f>IF($B61="ABSOLUTE SEMANTIC",ABS('06_ITEM_POLE_MODEL'!AE61),ABS('06_ITEM_POLE_MODEL'!AE61)*ABS(SUMPRODUCT(--('93_TARGET_MEMBERSHIP'!BF$5:BF$27=1),'05_FEATURE_MODEL'!W$5:W$27)/MAX(1,COUNTIF('93_TARGET_MEMBERSHIP'!BF$5:BF$27,1))-SUMPRODUCT(--('93_TARGET_MEMBERSHIP'!BF$5:BF$27=-1),'05_FEATURE_MODEL'!W$5:W$27)/MAX(1,COUNTIF('93_TARGET_MEMBERSHIP'!BF$5:BF$27,-1))))</f>
        <v/>
      </c>
      <c r="W61" s="34">
        <f>IF($B61="ABSOLUTE SEMANTIC",ABS('06_ITEM_POLE_MODEL'!AF61),ABS('06_ITEM_POLE_MODEL'!AF61)*ABS(SUMPRODUCT(--('93_TARGET_MEMBERSHIP'!BF$5:BF$27=1),'05_FEATURE_MODEL'!X$5:X$27)/MAX(1,COUNTIF('93_TARGET_MEMBERSHIP'!BF$5:BF$27,1))-SUMPRODUCT(--('93_TARGET_MEMBERSHIP'!BF$5:BF$27=-1),'05_FEATURE_MODEL'!X$5:X$27)/MAX(1,COUNTIF('93_TARGET_MEMBERSHIP'!BF$5:BF$27,-1))))</f>
        <v/>
      </c>
      <c r="X61" s="34">
        <f>IF($B61="ABSOLUTE SEMANTIC",ABS('06_ITEM_POLE_MODEL'!AG61),ABS('06_ITEM_POLE_MODEL'!AG61)*ABS(SUMPRODUCT(--('93_TARGET_MEMBERSHIP'!BF$5:BF$27=1),'05_FEATURE_MODEL'!Y$5:Y$27)/MAX(1,COUNTIF('93_TARGET_MEMBERSHIP'!BF$5:BF$27,1))-SUMPRODUCT(--('93_TARGET_MEMBERSHIP'!BF$5:BF$27=-1),'05_FEATURE_MODEL'!Y$5:Y$27)/MAX(1,COUNTIF('93_TARGET_MEMBERSHIP'!BF$5:BF$27,-1))))</f>
        <v/>
      </c>
      <c r="Y61" s="34">
        <f>IF($B61="ABSOLUTE SEMANTIC",ABS('06_ITEM_POLE_MODEL'!AH61),ABS('06_ITEM_POLE_MODEL'!AH61)*ABS(SUMPRODUCT(--('93_TARGET_MEMBERSHIP'!BF$5:BF$27=1),'05_FEATURE_MODEL'!Z$5:Z$27)/MAX(1,COUNTIF('93_TARGET_MEMBERSHIP'!BF$5:BF$27,1))-SUMPRODUCT(--('93_TARGET_MEMBERSHIP'!BF$5:BF$27=-1),'05_FEATURE_MODEL'!Z$5:Z$27)/MAX(1,COUNTIF('93_TARGET_MEMBERSHIP'!BF$5:BF$27,-1))))</f>
        <v/>
      </c>
      <c r="Z61" s="34">
        <f>IF($B61="ABSOLUTE SEMANTIC",ABS('06_ITEM_POLE_MODEL'!AI61),ABS('06_ITEM_POLE_MODEL'!AI61)*ABS(SUMPRODUCT(--('93_TARGET_MEMBERSHIP'!BF$5:BF$27=1),'05_FEATURE_MODEL'!AA$5:AA$27)/MAX(1,COUNTIF('93_TARGET_MEMBERSHIP'!BF$5:BF$27,1))-SUMPRODUCT(--('93_TARGET_MEMBERSHIP'!BF$5:BF$27=-1),'05_FEATURE_MODEL'!AA$5:AA$27)/MAX(1,COUNTIF('93_TARGET_MEMBERSHIP'!BF$5:BF$27,-1))))</f>
        <v/>
      </c>
      <c r="AA61" s="34">
        <f>IF($B61="ABSOLUTE SEMANTIC",ABS('06_ITEM_POLE_MODEL'!AJ61),ABS('06_ITEM_POLE_MODEL'!AJ61)*ABS(SUMPRODUCT(--('93_TARGET_MEMBERSHIP'!BF$5:BF$27=1),'05_FEATURE_MODEL'!AB$5:AB$27)/MAX(1,COUNTIF('93_TARGET_MEMBERSHIP'!BF$5:BF$27,1))-SUMPRODUCT(--('93_TARGET_MEMBERSHIP'!BF$5:BF$27=-1),'05_FEATURE_MODEL'!AB$5:AB$27)/MAX(1,COUNTIF('93_TARGET_MEMBERSHIP'!BF$5:BF$27,-1))))</f>
        <v/>
      </c>
      <c r="AB61" s="34">
        <f>IF($B61="ABSOLUTE SEMANTIC",ABS('06_ITEM_POLE_MODEL'!AK61),ABS('06_ITEM_POLE_MODEL'!AK61)*ABS(SUMPRODUCT(--('93_TARGET_MEMBERSHIP'!BF$5:BF$27=1),'05_FEATURE_MODEL'!AC$5:AC$27)/MAX(1,COUNTIF('93_TARGET_MEMBERSHIP'!BF$5:BF$27,1))-SUMPRODUCT(--('93_TARGET_MEMBERSHIP'!BF$5:BF$27=-1),'05_FEATURE_MODEL'!AC$5:AC$27)/MAX(1,COUNTIF('93_TARGET_MEMBERSHIP'!BF$5:BF$27,-1))))</f>
        <v/>
      </c>
      <c r="AC61" s="34">
        <f>IF($B61="ABSOLUTE SEMANTIC",ABS('06_ITEM_POLE_MODEL'!AL61),ABS('06_ITEM_POLE_MODEL'!AL61)*ABS(SUMPRODUCT(--('93_TARGET_MEMBERSHIP'!BF$5:BF$27=1),'05_FEATURE_MODEL'!AD$5:AD$27)/MAX(1,COUNTIF('93_TARGET_MEMBERSHIP'!BF$5:BF$27,1))-SUMPRODUCT(--('93_TARGET_MEMBERSHIP'!BF$5:BF$27=-1),'05_FEATURE_MODEL'!AD$5:AD$27)/MAX(1,COUNTIF('93_TARGET_MEMBERSHIP'!BF$5:BF$27,-1))))</f>
        <v/>
      </c>
      <c r="AD61" s="34">
        <f>IF($B61="ABSOLUTE SEMANTIC",ABS('06_ITEM_POLE_MODEL'!AM61),ABS('06_ITEM_POLE_MODEL'!AM61)*ABS(SUMPRODUCT(--('93_TARGET_MEMBERSHIP'!BF$5:BF$27=1),'05_FEATURE_MODEL'!AE$5:AE$27)/MAX(1,COUNTIF('93_TARGET_MEMBERSHIP'!BF$5:BF$27,1))-SUMPRODUCT(--('93_TARGET_MEMBERSHIP'!BF$5:BF$27=-1),'05_FEATURE_MODEL'!AE$5:AE$27)/MAX(1,COUNTIF('93_TARGET_MEMBERSHIP'!BF$5:BF$27,-1))))</f>
        <v/>
      </c>
      <c r="AE61" s="34">
        <f>IF($B61="ABSOLUTE SEMANTIC",ABS('06_ITEM_POLE_MODEL'!AN61),ABS('06_ITEM_POLE_MODEL'!AN61)*ABS(SUMPRODUCT(--('93_TARGET_MEMBERSHIP'!BF$5:BF$27=1),'05_FEATURE_MODEL'!AF$5:AF$27)/MAX(1,COUNTIF('93_TARGET_MEMBERSHIP'!BF$5:BF$27,1))-SUMPRODUCT(--('93_TARGET_MEMBERSHIP'!BF$5:BF$27=-1),'05_FEATURE_MODEL'!AF$5:AF$27)/MAX(1,COUNTIF('93_TARGET_MEMBERSHIP'!BF$5:BF$27,-1))))</f>
        <v/>
      </c>
      <c r="AF61" s="34">
        <f>IF($B61="ABSOLUTE SEMANTIC",ABS('06_ITEM_POLE_MODEL'!AO61),ABS('06_ITEM_POLE_MODEL'!AO61)*ABS(SUMPRODUCT(--('93_TARGET_MEMBERSHIP'!BF$5:BF$27=1),'05_FEATURE_MODEL'!AG$5:AG$27)/MAX(1,COUNTIF('93_TARGET_MEMBERSHIP'!BF$5:BF$27,1))-SUMPRODUCT(--('93_TARGET_MEMBERSHIP'!BF$5:BF$27=-1),'05_FEATURE_MODEL'!AG$5:AG$27)/MAX(1,COUNTIF('93_TARGET_MEMBERSHIP'!BF$5:BF$27,-1))))</f>
        <v/>
      </c>
      <c r="AG61" s="34">
        <f>IF($B61="ABSOLUTE SEMANTIC",ABS('06_ITEM_POLE_MODEL'!AP61),ABS('06_ITEM_POLE_MODEL'!AP61)*ABS(SUMPRODUCT(--('93_TARGET_MEMBERSHIP'!BF$5:BF$27=1),'05_FEATURE_MODEL'!AH$5:AH$27)/MAX(1,COUNTIF('93_TARGET_MEMBERSHIP'!BF$5:BF$27,1))-SUMPRODUCT(--('93_TARGET_MEMBERSHIP'!BF$5:BF$27=-1),'05_FEATURE_MODEL'!AH$5:AH$27)/MAX(1,COUNTIF('93_TARGET_MEMBERSHIP'!BF$5:BF$27,-1))))</f>
        <v/>
      </c>
      <c r="AH61" s="34">
        <f>IF($B61="ABSOLUTE SEMANTIC",ABS('06_ITEM_POLE_MODEL'!AQ61),ABS('06_ITEM_POLE_MODEL'!AQ61)*ABS(SUMPRODUCT(--('93_TARGET_MEMBERSHIP'!BF$5:BF$27=1),'05_FEATURE_MODEL'!AI$5:AI$27)/MAX(1,COUNTIF('93_TARGET_MEMBERSHIP'!BF$5:BF$27,1))-SUMPRODUCT(--('93_TARGET_MEMBERSHIP'!BF$5:BF$27=-1),'05_FEATURE_MODEL'!AI$5:AI$27)/MAX(1,COUNTIF('93_TARGET_MEMBERSHIP'!BF$5:BF$27,-1))))</f>
        <v/>
      </c>
      <c r="AI61" s="34">
        <f>IF($B61="ABSOLUTE SEMANTIC",ABS('06_ITEM_POLE_MODEL'!AR61),ABS('06_ITEM_POLE_MODEL'!AR61)*ABS(SUMPRODUCT(--('93_TARGET_MEMBERSHIP'!BF$5:BF$27=1),'05_FEATURE_MODEL'!AJ$5:AJ$27)/MAX(1,COUNTIF('93_TARGET_MEMBERSHIP'!BF$5:BF$27,1))-SUMPRODUCT(--('93_TARGET_MEMBERSHIP'!BF$5:BF$27=-1),'05_FEATURE_MODEL'!AJ$5:AJ$27)/MAX(1,COUNTIF('93_TARGET_MEMBERSHIP'!BF$5:BF$27,-1))))</f>
        <v/>
      </c>
      <c r="AJ61" s="34">
        <f>IF($B61="ABSOLUTE SEMANTIC",ABS('06_ITEM_POLE_MODEL'!AS61),ABS('06_ITEM_POLE_MODEL'!AS61)*ABS(SUMPRODUCT(--('93_TARGET_MEMBERSHIP'!BF$5:BF$27=1),'05_FEATURE_MODEL'!AK$5:AK$27)/MAX(1,COUNTIF('93_TARGET_MEMBERSHIP'!BF$5:BF$27,1))-SUMPRODUCT(--('93_TARGET_MEMBERSHIP'!BF$5:BF$27=-1),'05_FEATURE_MODEL'!AK$5:AK$27)/MAX(1,COUNTIF('93_TARGET_MEMBERSHIP'!BF$5:BF$27,-1))))</f>
        <v/>
      </c>
      <c r="AK61" s="34">
        <f>IF($B61="ABSOLUTE SEMANTIC",ABS('06_ITEM_POLE_MODEL'!AT61),ABS('06_ITEM_POLE_MODEL'!AT61)*ABS(SUMPRODUCT(--('93_TARGET_MEMBERSHIP'!BF$5:BF$27=1),'05_FEATURE_MODEL'!AL$5:AL$27)/MAX(1,COUNTIF('93_TARGET_MEMBERSHIP'!BF$5:BF$27,1))-SUMPRODUCT(--('93_TARGET_MEMBERSHIP'!BF$5:BF$27=-1),'05_FEATURE_MODEL'!AL$5:AL$27)/MAX(1,COUNTIF('93_TARGET_MEMBERSHIP'!BF$5:BF$27,-1))))</f>
        <v/>
      </c>
      <c r="AL61" s="34">
        <f>IF($B61="ABSOLUTE SEMANTIC",ABS('06_ITEM_POLE_MODEL'!AU61),ABS('06_ITEM_POLE_MODEL'!AU61)*ABS(SUMPRODUCT(--('93_TARGET_MEMBERSHIP'!BF$5:BF$27=1),'05_FEATURE_MODEL'!AM$5:AM$27)/MAX(1,COUNTIF('93_TARGET_MEMBERSHIP'!BF$5:BF$27,1))-SUMPRODUCT(--('93_TARGET_MEMBERSHIP'!BF$5:BF$27=-1),'05_FEATURE_MODEL'!AM$5:AM$27)/MAX(1,COUNTIF('93_TARGET_MEMBERSHIP'!BF$5:BF$27,-1))))</f>
        <v/>
      </c>
      <c r="AM61" s="34">
        <f>IF($B61="ABSOLUTE SEMANTIC",ABS('06_ITEM_POLE_MODEL'!AV61),ABS('06_ITEM_POLE_MODEL'!AV61)*ABS(SUMPRODUCT(--('93_TARGET_MEMBERSHIP'!BF$5:BF$27=1),'05_FEATURE_MODEL'!AN$5:AN$27)/MAX(1,COUNTIF('93_TARGET_MEMBERSHIP'!BF$5:BF$27,1))-SUMPRODUCT(--('93_TARGET_MEMBERSHIP'!BF$5:BF$27=-1),'05_FEATURE_MODEL'!AN$5:AN$27)/MAX(1,COUNTIF('93_TARGET_MEMBERSHIP'!BF$5:BF$27,-1))))</f>
        <v/>
      </c>
      <c r="AN61" s="34">
        <f>IF($B61="ABSOLUTE SEMANTIC",ABS('06_ITEM_POLE_MODEL'!AW61),ABS('06_ITEM_POLE_MODEL'!AW61)*ABS(SUMPRODUCT(--('93_TARGET_MEMBERSHIP'!BF$5:BF$27=1),'05_FEATURE_MODEL'!AO$5:AO$27)/MAX(1,COUNTIF('93_TARGET_MEMBERSHIP'!BF$5:BF$27,1))-SUMPRODUCT(--('93_TARGET_MEMBERSHIP'!BF$5:BF$27=-1),'05_FEATURE_MODEL'!AO$5:AO$27)/MAX(1,COUNTIF('93_TARGET_MEMBERSHIP'!BF$5:BF$27,-1))))</f>
        <v/>
      </c>
      <c r="AO61" s="34">
        <f>IF($B61="ABSOLUTE SEMANTIC",ABS('06_ITEM_POLE_MODEL'!AX61),ABS('06_ITEM_POLE_MODEL'!AX61)*ABS(SUMPRODUCT(--('93_TARGET_MEMBERSHIP'!BF$5:BF$27=1),'05_FEATURE_MODEL'!AP$5:AP$27)/MAX(1,COUNTIF('93_TARGET_MEMBERSHIP'!BF$5:BF$27,1))-SUMPRODUCT(--('93_TARGET_MEMBERSHIP'!BF$5:BF$27=-1),'05_FEATURE_MODEL'!AP$5:AP$27)/MAX(1,COUNTIF('93_TARGET_MEMBERSHIP'!BF$5:BF$27,-1))))</f>
        <v/>
      </c>
      <c r="AP61" s="34">
        <f>IF($B61="ABSOLUTE SEMANTIC",ABS('06_ITEM_POLE_MODEL'!AY61),ABS('06_ITEM_POLE_MODEL'!AY61)*ABS(SUMPRODUCT(--('93_TARGET_MEMBERSHIP'!BF$5:BF$27=1),'05_FEATURE_MODEL'!AQ$5:AQ$27)/MAX(1,COUNTIF('93_TARGET_MEMBERSHIP'!BF$5:BF$27,1))-SUMPRODUCT(--('93_TARGET_MEMBERSHIP'!BF$5:BF$27=-1),'05_FEATURE_MODEL'!AQ$5:AQ$27)/MAX(1,COUNTIF('93_TARGET_MEMBERSHIP'!BF$5:BF$27,-1))))</f>
        <v/>
      </c>
      <c r="AQ61" s="34">
        <f>IF($B61="ABSOLUTE SEMANTIC",ABS('06_ITEM_POLE_MODEL'!AZ61),ABS('06_ITEM_POLE_MODEL'!AZ61)*ABS(SUMPRODUCT(--('93_TARGET_MEMBERSHIP'!BF$5:BF$27=1),'05_FEATURE_MODEL'!AR$5:AR$27)/MAX(1,COUNTIF('93_TARGET_MEMBERSHIP'!BF$5:BF$27,1))-SUMPRODUCT(--('93_TARGET_MEMBERSHIP'!BF$5:BF$27=-1),'05_FEATURE_MODEL'!AR$5:AR$27)/MAX(1,COUNTIF('93_TARGET_MEMBERSHIP'!BF$5:BF$27,-1))))</f>
        <v/>
      </c>
    </row>
    <row r="62" ht="36" customHeight="1">
      <c r="A62" s="34">
        <f>'06_ITEM_POLE_MODEL'!A62</f>
        <v/>
      </c>
      <c r="B62" s="34">
        <f>'06_ITEM_POLE_MODEL'!E62</f>
        <v/>
      </c>
      <c r="C62" s="34">
        <f>IF($B62="ABSOLUTE SEMANTIC",ABS('06_ITEM_POLE_MODEL'!L62),ABS('06_ITEM_POLE_MODEL'!L62)*ABS(SUMPRODUCT(--('93_TARGET_MEMBERSHIP'!BG$5:BG$27=1),'05_FEATURE_MODEL'!D$5:D$27)/MAX(1,COUNTIF('93_TARGET_MEMBERSHIP'!BG$5:BG$27,1))-SUMPRODUCT(--('93_TARGET_MEMBERSHIP'!BG$5:BG$27=-1),'05_FEATURE_MODEL'!D$5:D$27)/MAX(1,COUNTIF('93_TARGET_MEMBERSHIP'!BG$5:BG$27,-1))))</f>
        <v/>
      </c>
      <c r="D62" s="34">
        <f>IF($B62="ABSOLUTE SEMANTIC",ABS('06_ITEM_POLE_MODEL'!M62),ABS('06_ITEM_POLE_MODEL'!M62)*ABS(SUMPRODUCT(--('93_TARGET_MEMBERSHIP'!BG$5:BG$27=1),'05_FEATURE_MODEL'!E$5:E$27)/MAX(1,COUNTIF('93_TARGET_MEMBERSHIP'!BG$5:BG$27,1))-SUMPRODUCT(--('93_TARGET_MEMBERSHIP'!BG$5:BG$27=-1),'05_FEATURE_MODEL'!E$5:E$27)/MAX(1,COUNTIF('93_TARGET_MEMBERSHIP'!BG$5:BG$27,-1))))</f>
        <v/>
      </c>
      <c r="E62" s="34">
        <f>IF($B62="ABSOLUTE SEMANTIC",ABS('06_ITEM_POLE_MODEL'!N62),ABS('06_ITEM_POLE_MODEL'!N62)*ABS(SUMPRODUCT(--('93_TARGET_MEMBERSHIP'!BG$5:BG$27=1),'05_FEATURE_MODEL'!F$5:F$27)/MAX(1,COUNTIF('93_TARGET_MEMBERSHIP'!BG$5:BG$27,1))-SUMPRODUCT(--('93_TARGET_MEMBERSHIP'!BG$5:BG$27=-1),'05_FEATURE_MODEL'!F$5:F$27)/MAX(1,COUNTIF('93_TARGET_MEMBERSHIP'!BG$5:BG$27,-1))))</f>
        <v/>
      </c>
      <c r="F62" s="34">
        <f>IF($B62="ABSOLUTE SEMANTIC",ABS('06_ITEM_POLE_MODEL'!O62),ABS('06_ITEM_POLE_MODEL'!O62)*ABS(SUMPRODUCT(--('93_TARGET_MEMBERSHIP'!BG$5:BG$27=1),'05_FEATURE_MODEL'!G$5:G$27)/MAX(1,COUNTIF('93_TARGET_MEMBERSHIP'!BG$5:BG$27,1))-SUMPRODUCT(--('93_TARGET_MEMBERSHIP'!BG$5:BG$27=-1),'05_FEATURE_MODEL'!G$5:G$27)/MAX(1,COUNTIF('93_TARGET_MEMBERSHIP'!BG$5:BG$27,-1))))</f>
        <v/>
      </c>
      <c r="G62" s="34">
        <f>IF($B62="ABSOLUTE SEMANTIC",ABS('06_ITEM_POLE_MODEL'!P62),ABS('06_ITEM_POLE_MODEL'!P62)*ABS(SUMPRODUCT(--('93_TARGET_MEMBERSHIP'!BG$5:BG$27=1),'05_FEATURE_MODEL'!H$5:H$27)/MAX(1,COUNTIF('93_TARGET_MEMBERSHIP'!BG$5:BG$27,1))-SUMPRODUCT(--('93_TARGET_MEMBERSHIP'!BG$5:BG$27=-1),'05_FEATURE_MODEL'!H$5:H$27)/MAX(1,COUNTIF('93_TARGET_MEMBERSHIP'!BG$5:BG$27,-1))))</f>
        <v/>
      </c>
      <c r="H62" s="34">
        <f>IF($B62="ABSOLUTE SEMANTIC",ABS('06_ITEM_POLE_MODEL'!Q62),ABS('06_ITEM_POLE_MODEL'!Q62)*ABS(SUMPRODUCT(--('93_TARGET_MEMBERSHIP'!BG$5:BG$27=1),'05_FEATURE_MODEL'!I$5:I$27)/MAX(1,COUNTIF('93_TARGET_MEMBERSHIP'!BG$5:BG$27,1))-SUMPRODUCT(--('93_TARGET_MEMBERSHIP'!BG$5:BG$27=-1),'05_FEATURE_MODEL'!I$5:I$27)/MAX(1,COUNTIF('93_TARGET_MEMBERSHIP'!BG$5:BG$27,-1))))</f>
        <v/>
      </c>
      <c r="I62" s="34">
        <f>IF($B62="ABSOLUTE SEMANTIC",ABS('06_ITEM_POLE_MODEL'!R62),ABS('06_ITEM_POLE_MODEL'!R62)*ABS(SUMPRODUCT(--('93_TARGET_MEMBERSHIP'!BG$5:BG$27=1),'05_FEATURE_MODEL'!J$5:J$27)/MAX(1,COUNTIF('93_TARGET_MEMBERSHIP'!BG$5:BG$27,1))-SUMPRODUCT(--('93_TARGET_MEMBERSHIP'!BG$5:BG$27=-1),'05_FEATURE_MODEL'!J$5:J$27)/MAX(1,COUNTIF('93_TARGET_MEMBERSHIP'!BG$5:BG$27,-1))))</f>
        <v/>
      </c>
      <c r="J62" s="34">
        <f>IF($B62="ABSOLUTE SEMANTIC",ABS('06_ITEM_POLE_MODEL'!S62),ABS('06_ITEM_POLE_MODEL'!S62)*ABS(SUMPRODUCT(--('93_TARGET_MEMBERSHIP'!BG$5:BG$27=1),'05_FEATURE_MODEL'!K$5:K$27)/MAX(1,COUNTIF('93_TARGET_MEMBERSHIP'!BG$5:BG$27,1))-SUMPRODUCT(--('93_TARGET_MEMBERSHIP'!BG$5:BG$27=-1),'05_FEATURE_MODEL'!K$5:K$27)/MAX(1,COUNTIF('93_TARGET_MEMBERSHIP'!BG$5:BG$27,-1))))</f>
        <v/>
      </c>
      <c r="K62" s="34">
        <f>IF($B62="ABSOLUTE SEMANTIC",ABS('06_ITEM_POLE_MODEL'!T62),ABS('06_ITEM_POLE_MODEL'!T62)*ABS(SUMPRODUCT(--('93_TARGET_MEMBERSHIP'!BG$5:BG$27=1),'05_FEATURE_MODEL'!L$5:L$27)/MAX(1,COUNTIF('93_TARGET_MEMBERSHIP'!BG$5:BG$27,1))-SUMPRODUCT(--('93_TARGET_MEMBERSHIP'!BG$5:BG$27=-1),'05_FEATURE_MODEL'!L$5:L$27)/MAX(1,COUNTIF('93_TARGET_MEMBERSHIP'!BG$5:BG$27,-1))))</f>
        <v/>
      </c>
      <c r="L62" s="34">
        <f>IF($B62="ABSOLUTE SEMANTIC",ABS('06_ITEM_POLE_MODEL'!U62),ABS('06_ITEM_POLE_MODEL'!U62)*ABS(SUMPRODUCT(--('93_TARGET_MEMBERSHIP'!BG$5:BG$27=1),'05_FEATURE_MODEL'!M$5:M$27)/MAX(1,COUNTIF('93_TARGET_MEMBERSHIP'!BG$5:BG$27,1))-SUMPRODUCT(--('93_TARGET_MEMBERSHIP'!BG$5:BG$27=-1),'05_FEATURE_MODEL'!M$5:M$27)/MAX(1,COUNTIF('93_TARGET_MEMBERSHIP'!BG$5:BG$27,-1))))</f>
        <v/>
      </c>
      <c r="M62" s="34">
        <f>IF($B62="ABSOLUTE SEMANTIC",ABS('06_ITEM_POLE_MODEL'!V62),ABS('06_ITEM_POLE_MODEL'!V62)*ABS(SUMPRODUCT(--('93_TARGET_MEMBERSHIP'!BG$5:BG$27=1),'05_FEATURE_MODEL'!N$5:N$27)/MAX(1,COUNTIF('93_TARGET_MEMBERSHIP'!BG$5:BG$27,1))-SUMPRODUCT(--('93_TARGET_MEMBERSHIP'!BG$5:BG$27=-1),'05_FEATURE_MODEL'!N$5:N$27)/MAX(1,COUNTIF('93_TARGET_MEMBERSHIP'!BG$5:BG$27,-1))))</f>
        <v/>
      </c>
      <c r="N62" s="34">
        <f>IF($B62="ABSOLUTE SEMANTIC",ABS('06_ITEM_POLE_MODEL'!W62),ABS('06_ITEM_POLE_MODEL'!W62)*ABS(SUMPRODUCT(--('93_TARGET_MEMBERSHIP'!BG$5:BG$27=1),'05_FEATURE_MODEL'!O$5:O$27)/MAX(1,COUNTIF('93_TARGET_MEMBERSHIP'!BG$5:BG$27,1))-SUMPRODUCT(--('93_TARGET_MEMBERSHIP'!BG$5:BG$27=-1),'05_FEATURE_MODEL'!O$5:O$27)/MAX(1,COUNTIF('93_TARGET_MEMBERSHIP'!BG$5:BG$27,-1))))</f>
        <v/>
      </c>
      <c r="O62" s="34">
        <f>IF($B62="ABSOLUTE SEMANTIC",ABS('06_ITEM_POLE_MODEL'!X62),ABS('06_ITEM_POLE_MODEL'!X62)*ABS(SUMPRODUCT(--('93_TARGET_MEMBERSHIP'!BG$5:BG$27=1),'05_FEATURE_MODEL'!P$5:P$27)/MAX(1,COUNTIF('93_TARGET_MEMBERSHIP'!BG$5:BG$27,1))-SUMPRODUCT(--('93_TARGET_MEMBERSHIP'!BG$5:BG$27=-1),'05_FEATURE_MODEL'!P$5:P$27)/MAX(1,COUNTIF('93_TARGET_MEMBERSHIP'!BG$5:BG$27,-1))))</f>
        <v/>
      </c>
      <c r="P62" s="34">
        <f>IF($B62="ABSOLUTE SEMANTIC",ABS('06_ITEM_POLE_MODEL'!Y62),ABS('06_ITEM_POLE_MODEL'!Y62)*ABS(SUMPRODUCT(--('93_TARGET_MEMBERSHIP'!BG$5:BG$27=1),'05_FEATURE_MODEL'!Q$5:Q$27)/MAX(1,COUNTIF('93_TARGET_MEMBERSHIP'!BG$5:BG$27,1))-SUMPRODUCT(--('93_TARGET_MEMBERSHIP'!BG$5:BG$27=-1),'05_FEATURE_MODEL'!Q$5:Q$27)/MAX(1,COUNTIF('93_TARGET_MEMBERSHIP'!BG$5:BG$27,-1))))</f>
        <v/>
      </c>
      <c r="Q62" s="34">
        <f>IF($B62="ABSOLUTE SEMANTIC",ABS('06_ITEM_POLE_MODEL'!Z62),ABS('06_ITEM_POLE_MODEL'!Z62)*ABS(SUMPRODUCT(--('93_TARGET_MEMBERSHIP'!BG$5:BG$27=1),'05_FEATURE_MODEL'!R$5:R$27)/MAX(1,COUNTIF('93_TARGET_MEMBERSHIP'!BG$5:BG$27,1))-SUMPRODUCT(--('93_TARGET_MEMBERSHIP'!BG$5:BG$27=-1),'05_FEATURE_MODEL'!R$5:R$27)/MAX(1,COUNTIF('93_TARGET_MEMBERSHIP'!BG$5:BG$27,-1))))</f>
        <v/>
      </c>
      <c r="R62" s="34">
        <f>IF($B62="ABSOLUTE SEMANTIC",ABS('06_ITEM_POLE_MODEL'!AA62),ABS('06_ITEM_POLE_MODEL'!AA62)*ABS(SUMPRODUCT(--('93_TARGET_MEMBERSHIP'!BG$5:BG$27=1),'05_FEATURE_MODEL'!S$5:S$27)/MAX(1,COUNTIF('93_TARGET_MEMBERSHIP'!BG$5:BG$27,1))-SUMPRODUCT(--('93_TARGET_MEMBERSHIP'!BG$5:BG$27=-1),'05_FEATURE_MODEL'!S$5:S$27)/MAX(1,COUNTIF('93_TARGET_MEMBERSHIP'!BG$5:BG$27,-1))))</f>
        <v/>
      </c>
      <c r="S62" s="34">
        <f>IF($B62="ABSOLUTE SEMANTIC",ABS('06_ITEM_POLE_MODEL'!AB62),ABS('06_ITEM_POLE_MODEL'!AB62)*ABS(SUMPRODUCT(--('93_TARGET_MEMBERSHIP'!BG$5:BG$27=1),'05_FEATURE_MODEL'!T$5:T$27)/MAX(1,COUNTIF('93_TARGET_MEMBERSHIP'!BG$5:BG$27,1))-SUMPRODUCT(--('93_TARGET_MEMBERSHIP'!BG$5:BG$27=-1),'05_FEATURE_MODEL'!T$5:T$27)/MAX(1,COUNTIF('93_TARGET_MEMBERSHIP'!BG$5:BG$27,-1))))</f>
        <v/>
      </c>
      <c r="T62" s="34">
        <f>IF($B62="ABSOLUTE SEMANTIC",ABS('06_ITEM_POLE_MODEL'!AC62),ABS('06_ITEM_POLE_MODEL'!AC62)*ABS(SUMPRODUCT(--('93_TARGET_MEMBERSHIP'!BG$5:BG$27=1),'05_FEATURE_MODEL'!U$5:U$27)/MAX(1,COUNTIF('93_TARGET_MEMBERSHIP'!BG$5:BG$27,1))-SUMPRODUCT(--('93_TARGET_MEMBERSHIP'!BG$5:BG$27=-1),'05_FEATURE_MODEL'!U$5:U$27)/MAX(1,COUNTIF('93_TARGET_MEMBERSHIP'!BG$5:BG$27,-1))))</f>
        <v/>
      </c>
      <c r="U62" s="34">
        <f>IF($B62="ABSOLUTE SEMANTIC",ABS('06_ITEM_POLE_MODEL'!AD62),ABS('06_ITEM_POLE_MODEL'!AD62)*ABS(SUMPRODUCT(--('93_TARGET_MEMBERSHIP'!BG$5:BG$27=1),'05_FEATURE_MODEL'!V$5:V$27)/MAX(1,COUNTIF('93_TARGET_MEMBERSHIP'!BG$5:BG$27,1))-SUMPRODUCT(--('93_TARGET_MEMBERSHIP'!BG$5:BG$27=-1),'05_FEATURE_MODEL'!V$5:V$27)/MAX(1,COUNTIF('93_TARGET_MEMBERSHIP'!BG$5:BG$27,-1))))</f>
        <v/>
      </c>
      <c r="V62" s="34">
        <f>IF($B62="ABSOLUTE SEMANTIC",ABS('06_ITEM_POLE_MODEL'!AE62),ABS('06_ITEM_POLE_MODEL'!AE62)*ABS(SUMPRODUCT(--('93_TARGET_MEMBERSHIP'!BG$5:BG$27=1),'05_FEATURE_MODEL'!W$5:W$27)/MAX(1,COUNTIF('93_TARGET_MEMBERSHIP'!BG$5:BG$27,1))-SUMPRODUCT(--('93_TARGET_MEMBERSHIP'!BG$5:BG$27=-1),'05_FEATURE_MODEL'!W$5:W$27)/MAX(1,COUNTIF('93_TARGET_MEMBERSHIP'!BG$5:BG$27,-1))))</f>
        <v/>
      </c>
      <c r="W62" s="34">
        <f>IF($B62="ABSOLUTE SEMANTIC",ABS('06_ITEM_POLE_MODEL'!AF62),ABS('06_ITEM_POLE_MODEL'!AF62)*ABS(SUMPRODUCT(--('93_TARGET_MEMBERSHIP'!BG$5:BG$27=1),'05_FEATURE_MODEL'!X$5:X$27)/MAX(1,COUNTIF('93_TARGET_MEMBERSHIP'!BG$5:BG$27,1))-SUMPRODUCT(--('93_TARGET_MEMBERSHIP'!BG$5:BG$27=-1),'05_FEATURE_MODEL'!X$5:X$27)/MAX(1,COUNTIF('93_TARGET_MEMBERSHIP'!BG$5:BG$27,-1))))</f>
        <v/>
      </c>
      <c r="X62" s="34">
        <f>IF($B62="ABSOLUTE SEMANTIC",ABS('06_ITEM_POLE_MODEL'!AG62),ABS('06_ITEM_POLE_MODEL'!AG62)*ABS(SUMPRODUCT(--('93_TARGET_MEMBERSHIP'!BG$5:BG$27=1),'05_FEATURE_MODEL'!Y$5:Y$27)/MAX(1,COUNTIF('93_TARGET_MEMBERSHIP'!BG$5:BG$27,1))-SUMPRODUCT(--('93_TARGET_MEMBERSHIP'!BG$5:BG$27=-1),'05_FEATURE_MODEL'!Y$5:Y$27)/MAX(1,COUNTIF('93_TARGET_MEMBERSHIP'!BG$5:BG$27,-1))))</f>
        <v/>
      </c>
      <c r="Y62" s="34">
        <f>IF($B62="ABSOLUTE SEMANTIC",ABS('06_ITEM_POLE_MODEL'!AH62),ABS('06_ITEM_POLE_MODEL'!AH62)*ABS(SUMPRODUCT(--('93_TARGET_MEMBERSHIP'!BG$5:BG$27=1),'05_FEATURE_MODEL'!Z$5:Z$27)/MAX(1,COUNTIF('93_TARGET_MEMBERSHIP'!BG$5:BG$27,1))-SUMPRODUCT(--('93_TARGET_MEMBERSHIP'!BG$5:BG$27=-1),'05_FEATURE_MODEL'!Z$5:Z$27)/MAX(1,COUNTIF('93_TARGET_MEMBERSHIP'!BG$5:BG$27,-1))))</f>
        <v/>
      </c>
      <c r="Z62" s="34">
        <f>IF($B62="ABSOLUTE SEMANTIC",ABS('06_ITEM_POLE_MODEL'!AI62),ABS('06_ITEM_POLE_MODEL'!AI62)*ABS(SUMPRODUCT(--('93_TARGET_MEMBERSHIP'!BG$5:BG$27=1),'05_FEATURE_MODEL'!AA$5:AA$27)/MAX(1,COUNTIF('93_TARGET_MEMBERSHIP'!BG$5:BG$27,1))-SUMPRODUCT(--('93_TARGET_MEMBERSHIP'!BG$5:BG$27=-1),'05_FEATURE_MODEL'!AA$5:AA$27)/MAX(1,COUNTIF('93_TARGET_MEMBERSHIP'!BG$5:BG$27,-1))))</f>
        <v/>
      </c>
      <c r="AA62" s="34">
        <f>IF($B62="ABSOLUTE SEMANTIC",ABS('06_ITEM_POLE_MODEL'!AJ62),ABS('06_ITEM_POLE_MODEL'!AJ62)*ABS(SUMPRODUCT(--('93_TARGET_MEMBERSHIP'!BG$5:BG$27=1),'05_FEATURE_MODEL'!AB$5:AB$27)/MAX(1,COUNTIF('93_TARGET_MEMBERSHIP'!BG$5:BG$27,1))-SUMPRODUCT(--('93_TARGET_MEMBERSHIP'!BG$5:BG$27=-1),'05_FEATURE_MODEL'!AB$5:AB$27)/MAX(1,COUNTIF('93_TARGET_MEMBERSHIP'!BG$5:BG$27,-1))))</f>
        <v/>
      </c>
      <c r="AB62" s="34">
        <f>IF($B62="ABSOLUTE SEMANTIC",ABS('06_ITEM_POLE_MODEL'!AK62),ABS('06_ITEM_POLE_MODEL'!AK62)*ABS(SUMPRODUCT(--('93_TARGET_MEMBERSHIP'!BG$5:BG$27=1),'05_FEATURE_MODEL'!AC$5:AC$27)/MAX(1,COUNTIF('93_TARGET_MEMBERSHIP'!BG$5:BG$27,1))-SUMPRODUCT(--('93_TARGET_MEMBERSHIP'!BG$5:BG$27=-1),'05_FEATURE_MODEL'!AC$5:AC$27)/MAX(1,COUNTIF('93_TARGET_MEMBERSHIP'!BG$5:BG$27,-1))))</f>
        <v/>
      </c>
      <c r="AC62" s="34">
        <f>IF($B62="ABSOLUTE SEMANTIC",ABS('06_ITEM_POLE_MODEL'!AL62),ABS('06_ITEM_POLE_MODEL'!AL62)*ABS(SUMPRODUCT(--('93_TARGET_MEMBERSHIP'!BG$5:BG$27=1),'05_FEATURE_MODEL'!AD$5:AD$27)/MAX(1,COUNTIF('93_TARGET_MEMBERSHIP'!BG$5:BG$27,1))-SUMPRODUCT(--('93_TARGET_MEMBERSHIP'!BG$5:BG$27=-1),'05_FEATURE_MODEL'!AD$5:AD$27)/MAX(1,COUNTIF('93_TARGET_MEMBERSHIP'!BG$5:BG$27,-1))))</f>
        <v/>
      </c>
      <c r="AD62" s="34">
        <f>IF($B62="ABSOLUTE SEMANTIC",ABS('06_ITEM_POLE_MODEL'!AM62),ABS('06_ITEM_POLE_MODEL'!AM62)*ABS(SUMPRODUCT(--('93_TARGET_MEMBERSHIP'!BG$5:BG$27=1),'05_FEATURE_MODEL'!AE$5:AE$27)/MAX(1,COUNTIF('93_TARGET_MEMBERSHIP'!BG$5:BG$27,1))-SUMPRODUCT(--('93_TARGET_MEMBERSHIP'!BG$5:BG$27=-1),'05_FEATURE_MODEL'!AE$5:AE$27)/MAX(1,COUNTIF('93_TARGET_MEMBERSHIP'!BG$5:BG$27,-1))))</f>
        <v/>
      </c>
      <c r="AE62" s="34">
        <f>IF($B62="ABSOLUTE SEMANTIC",ABS('06_ITEM_POLE_MODEL'!AN62),ABS('06_ITEM_POLE_MODEL'!AN62)*ABS(SUMPRODUCT(--('93_TARGET_MEMBERSHIP'!BG$5:BG$27=1),'05_FEATURE_MODEL'!AF$5:AF$27)/MAX(1,COUNTIF('93_TARGET_MEMBERSHIP'!BG$5:BG$27,1))-SUMPRODUCT(--('93_TARGET_MEMBERSHIP'!BG$5:BG$27=-1),'05_FEATURE_MODEL'!AF$5:AF$27)/MAX(1,COUNTIF('93_TARGET_MEMBERSHIP'!BG$5:BG$27,-1))))</f>
        <v/>
      </c>
      <c r="AF62" s="34">
        <f>IF($B62="ABSOLUTE SEMANTIC",ABS('06_ITEM_POLE_MODEL'!AO62),ABS('06_ITEM_POLE_MODEL'!AO62)*ABS(SUMPRODUCT(--('93_TARGET_MEMBERSHIP'!BG$5:BG$27=1),'05_FEATURE_MODEL'!AG$5:AG$27)/MAX(1,COUNTIF('93_TARGET_MEMBERSHIP'!BG$5:BG$27,1))-SUMPRODUCT(--('93_TARGET_MEMBERSHIP'!BG$5:BG$27=-1),'05_FEATURE_MODEL'!AG$5:AG$27)/MAX(1,COUNTIF('93_TARGET_MEMBERSHIP'!BG$5:BG$27,-1))))</f>
        <v/>
      </c>
      <c r="AG62" s="34">
        <f>IF($B62="ABSOLUTE SEMANTIC",ABS('06_ITEM_POLE_MODEL'!AP62),ABS('06_ITEM_POLE_MODEL'!AP62)*ABS(SUMPRODUCT(--('93_TARGET_MEMBERSHIP'!BG$5:BG$27=1),'05_FEATURE_MODEL'!AH$5:AH$27)/MAX(1,COUNTIF('93_TARGET_MEMBERSHIP'!BG$5:BG$27,1))-SUMPRODUCT(--('93_TARGET_MEMBERSHIP'!BG$5:BG$27=-1),'05_FEATURE_MODEL'!AH$5:AH$27)/MAX(1,COUNTIF('93_TARGET_MEMBERSHIP'!BG$5:BG$27,-1))))</f>
        <v/>
      </c>
      <c r="AH62" s="34">
        <f>IF($B62="ABSOLUTE SEMANTIC",ABS('06_ITEM_POLE_MODEL'!AQ62),ABS('06_ITEM_POLE_MODEL'!AQ62)*ABS(SUMPRODUCT(--('93_TARGET_MEMBERSHIP'!BG$5:BG$27=1),'05_FEATURE_MODEL'!AI$5:AI$27)/MAX(1,COUNTIF('93_TARGET_MEMBERSHIP'!BG$5:BG$27,1))-SUMPRODUCT(--('93_TARGET_MEMBERSHIP'!BG$5:BG$27=-1),'05_FEATURE_MODEL'!AI$5:AI$27)/MAX(1,COUNTIF('93_TARGET_MEMBERSHIP'!BG$5:BG$27,-1))))</f>
        <v/>
      </c>
      <c r="AI62" s="34">
        <f>IF($B62="ABSOLUTE SEMANTIC",ABS('06_ITEM_POLE_MODEL'!AR62),ABS('06_ITEM_POLE_MODEL'!AR62)*ABS(SUMPRODUCT(--('93_TARGET_MEMBERSHIP'!BG$5:BG$27=1),'05_FEATURE_MODEL'!AJ$5:AJ$27)/MAX(1,COUNTIF('93_TARGET_MEMBERSHIP'!BG$5:BG$27,1))-SUMPRODUCT(--('93_TARGET_MEMBERSHIP'!BG$5:BG$27=-1),'05_FEATURE_MODEL'!AJ$5:AJ$27)/MAX(1,COUNTIF('93_TARGET_MEMBERSHIP'!BG$5:BG$27,-1))))</f>
        <v/>
      </c>
      <c r="AJ62" s="34">
        <f>IF($B62="ABSOLUTE SEMANTIC",ABS('06_ITEM_POLE_MODEL'!AS62),ABS('06_ITEM_POLE_MODEL'!AS62)*ABS(SUMPRODUCT(--('93_TARGET_MEMBERSHIP'!BG$5:BG$27=1),'05_FEATURE_MODEL'!AK$5:AK$27)/MAX(1,COUNTIF('93_TARGET_MEMBERSHIP'!BG$5:BG$27,1))-SUMPRODUCT(--('93_TARGET_MEMBERSHIP'!BG$5:BG$27=-1),'05_FEATURE_MODEL'!AK$5:AK$27)/MAX(1,COUNTIF('93_TARGET_MEMBERSHIP'!BG$5:BG$27,-1))))</f>
        <v/>
      </c>
      <c r="AK62" s="34">
        <f>IF($B62="ABSOLUTE SEMANTIC",ABS('06_ITEM_POLE_MODEL'!AT62),ABS('06_ITEM_POLE_MODEL'!AT62)*ABS(SUMPRODUCT(--('93_TARGET_MEMBERSHIP'!BG$5:BG$27=1),'05_FEATURE_MODEL'!AL$5:AL$27)/MAX(1,COUNTIF('93_TARGET_MEMBERSHIP'!BG$5:BG$27,1))-SUMPRODUCT(--('93_TARGET_MEMBERSHIP'!BG$5:BG$27=-1),'05_FEATURE_MODEL'!AL$5:AL$27)/MAX(1,COUNTIF('93_TARGET_MEMBERSHIP'!BG$5:BG$27,-1))))</f>
        <v/>
      </c>
      <c r="AL62" s="34">
        <f>IF($B62="ABSOLUTE SEMANTIC",ABS('06_ITEM_POLE_MODEL'!AU62),ABS('06_ITEM_POLE_MODEL'!AU62)*ABS(SUMPRODUCT(--('93_TARGET_MEMBERSHIP'!BG$5:BG$27=1),'05_FEATURE_MODEL'!AM$5:AM$27)/MAX(1,COUNTIF('93_TARGET_MEMBERSHIP'!BG$5:BG$27,1))-SUMPRODUCT(--('93_TARGET_MEMBERSHIP'!BG$5:BG$27=-1),'05_FEATURE_MODEL'!AM$5:AM$27)/MAX(1,COUNTIF('93_TARGET_MEMBERSHIP'!BG$5:BG$27,-1))))</f>
        <v/>
      </c>
      <c r="AM62" s="34">
        <f>IF($B62="ABSOLUTE SEMANTIC",ABS('06_ITEM_POLE_MODEL'!AV62),ABS('06_ITEM_POLE_MODEL'!AV62)*ABS(SUMPRODUCT(--('93_TARGET_MEMBERSHIP'!BG$5:BG$27=1),'05_FEATURE_MODEL'!AN$5:AN$27)/MAX(1,COUNTIF('93_TARGET_MEMBERSHIP'!BG$5:BG$27,1))-SUMPRODUCT(--('93_TARGET_MEMBERSHIP'!BG$5:BG$27=-1),'05_FEATURE_MODEL'!AN$5:AN$27)/MAX(1,COUNTIF('93_TARGET_MEMBERSHIP'!BG$5:BG$27,-1))))</f>
        <v/>
      </c>
      <c r="AN62" s="34">
        <f>IF($B62="ABSOLUTE SEMANTIC",ABS('06_ITEM_POLE_MODEL'!AW62),ABS('06_ITEM_POLE_MODEL'!AW62)*ABS(SUMPRODUCT(--('93_TARGET_MEMBERSHIP'!BG$5:BG$27=1),'05_FEATURE_MODEL'!AO$5:AO$27)/MAX(1,COUNTIF('93_TARGET_MEMBERSHIP'!BG$5:BG$27,1))-SUMPRODUCT(--('93_TARGET_MEMBERSHIP'!BG$5:BG$27=-1),'05_FEATURE_MODEL'!AO$5:AO$27)/MAX(1,COUNTIF('93_TARGET_MEMBERSHIP'!BG$5:BG$27,-1))))</f>
        <v/>
      </c>
      <c r="AO62" s="34">
        <f>IF($B62="ABSOLUTE SEMANTIC",ABS('06_ITEM_POLE_MODEL'!AX62),ABS('06_ITEM_POLE_MODEL'!AX62)*ABS(SUMPRODUCT(--('93_TARGET_MEMBERSHIP'!BG$5:BG$27=1),'05_FEATURE_MODEL'!AP$5:AP$27)/MAX(1,COUNTIF('93_TARGET_MEMBERSHIP'!BG$5:BG$27,1))-SUMPRODUCT(--('93_TARGET_MEMBERSHIP'!BG$5:BG$27=-1),'05_FEATURE_MODEL'!AP$5:AP$27)/MAX(1,COUNTIF('93_TARGET_MEMBERSHIP'!BG$5:BG$27,-1))))</f>
        <v/>
      </c>
      <c r="AP62" s="34">
        <f>IF($B62="ABSOLUTE SEMANTIC",ABS('06_ITEM_POLE_MODEL'!AY62),ABS('06_ITEM_POLE_MODEL'!AY62)*ABS(SUMPRODUCT(--('93_TARGET_MEMBERSHIP'!BG$5:BG$27=1),'05_FEATURE_MODEL'!AQ$5:AQ$27)/MAX(1,COUNTIF('93_TARGET_MEMBERSHIP'!BG$5:BG$27,1))-SUMPRODUCT(--('93_TARGET_MEMBERSHIP'!BG$5:BG$27=-1),'05_FEATURE_MODEL'!AQ$5:AQ$27)/MAX(1,COUNTIF('93_TARGET_MEMBERSHIP'!BG$5:BG$27,-1))))</f>
        <v/>
      </c>
      <c r="AQ62" s="34">
        <f>IF($B62="ABSOLUTE SEMANTIC",ABS('06_ITEM_POLE_MODEL'!AZ62),ABS('06_ITEM_POLE_MODEL'!AZ62)*ABS(SUMPRODUCT(--('93_TARGET_MEMBERSHIP'!BG$5:BG$27=1),'05_FEATURE_MODEL'!AR$5:AR$27)/MAX(1,COUNTIF('93_TARGET_MEMBERSHIP'!BG$5:BG$27,1))-SUMPRODUCT(--('93_TARGET_MEMBERSHIP'!BG$5:BG$27=-1),'05_FEATURE_MODEL'!AR$5:AR$27)/MAX(1,COUNTIF('93_TARGET_MEMBERSHIP'!BG$5:BG$27,-1))))</f>
        <v/>
      </c>
    </row>
    <row r="63" ht="36" customHeight="1">
      <c r="A63" s="34">
        <f>'06_ITEM_POLE_MODEL'!A63</f>
        <v/>
      </c>
      <c r="B63" s="34">
        <f>'06_ITEM_POLE_MODEL'!E63</f>
        <v/>
      </c>
      <c r="C63" s="34">
        <f>IF($B63="ABSOLUTE SEMANTIC",ABS('06_ITEM_POLE_MODEL'!L63),ABS('06_ITEM_POLE_MODEL'!L63)*ABS(SUMPRODUCT(--('93_TARGET_MEMBERSHIP'!BH$5:BH$27=1),'05_FEATURE_MODEL'!D$5:D$27)/MAX(1,COUNTIF('93_TARGET_MEMBERSHIP'!BH$5:BH$27,1))-SUMPRODUCT(--('93_TARGET_MEMBERSHIP'!BH$5:BH$27=-1),'05_FEATURE_MODEL'!D$5:D$27)/MAX(1,COUNTIF('93_TARGET_MEMBERSHIP'!BH$5:BH$27,-1))))</f>
        <v/>
      </c>
      <c r="D63" s="34">
        <f>IF($B63="ABSOLUTE SEMANTIC",ABS('06_ITEM_POLE_MODEL'!M63),ABS('06_ITEM_POLE_MODEL'!M63)*ABS(SUMPRODUCT(--('93_TARGET_MEMBERSHIP'!BH$5:BH$27=1),'05_FEATURE_MODEL'!E$5:E$27)/MAX(1,COUNTIF('93_TARGET_MEMBERSHIP'!BH$5:BH$27,1))-SUMPRODUCT(--('93_TARGET_MEMBERSHIP'!BH$5:BH$27=-1),'05_FEATURE_MODEL'!E$5:E$27)/MAX(1,COUNTIF('93_TARGET_MEMBERSHIP'!BH$5:BH$27,-1))))</f>
        <v/>
      </c>
      <c r="E63" s="34">
        <f>IF($B63="ABSOLUTE SEMANTIC",ABS('06_ITEM_POLE_MODEL'!N63),ABS('06_ITEM_POLE_MODEL'!N63)*ABS(SUMPRODUCT(--('93_TARGET_MEMBERSHIP'!BH$5:BH$27=1),'05_FEATURE_MODEL'!F$5:F$27)/MAX(1,COUNTIF('93_TARGET_MEMBERSHIP'!BH$5:BH$27,1))-SUMPRODUCT(--('93_TARGET_MEMBERSHIP'!BH$5:BH$27=-1),'05_FEATURE_MODEL'!F$5:F$27)/MAX(1,COUNTIF('93_TARGET_MEMBERSHIP'!BH$5:BH$27,-1))))</f>
        <v/>
      </c>
      <c r="F63" s="34">
        <f>IF($B63="ABSOLUTE SEMANTIC",ABS('06_ITEM_POLE_MODEL'!O63),ABS('06_ITEM_POLE_MODEL'!O63)*ABS(SUMPRODUCT(--('93_TARGET_MEMBERSHIP'!BH$5:BH$27=1),'05_FEATURE_MODEL'!G$5:G$27)/MAX(1,COUNTIF('93_TARGET_MEMBERSHIP'!BH$5:BH$27,1))-SUMPRODUCT(--('93_TARGET_MEMBERSHIP'!BH$5:BH$27=-1),'05_FEATURE_MODEL'!G$5:G$27)/MAX(1,COUNTIF('93_TARGET_MEMBERSHIP'!BH$5:BH$27,-1))))</f>
        <v/>
      </c>
      <c r="G63" s="34">
        <f>IF($B63="ABSOLUTE SEMANTIC",ABS('06_ITEM_POLE_MODEL'!P63),ABS('06_ITEM_POLE_MODEL'!P63)*ABS(SUMPRODUCT(--('93_TARGET_MEMBERSHIP'!BH$5:BH$27=1),'05_FEATURE_MODEL'!H$5:H$27)/MAX(1,COUNTIF('93_TARGET_MEMBERSHIP'!BH$5:BH$27,1))-SUMPRODUCT(--('93_TARGET_MEMBERSHIP'!BH$5:BH$27=-1),'05_FEATURE_MODEL'!H$5:H$27)/MAX(1,COUNTIF('93_TARGET_MEMBERSHIP'!BH$5:BH$27,-1))))</f>
        <v/>
      </c>
      <c r="H63" s="34">
        <f>IF($B63="ABSOLUTE SEMANTIC",ABS('06_ITEM_POLE_MODEL'!Q63),ABS('06_ITEM_POLE_MODEL'!Q63)*ABS(SUMPRODUCT(--('93_TARGET_MEMBERSHIP'!BH$5:BH$27=1),'05_FEATURE_MODEL'!I$5:I$27)/MAX(1,COUNTIF('93_TARGET_MEMBERSHIP'!BH$5:BH$27,1))-SUMPRODUCT(--('93_TARGET_MEMBERSHIP'!BH$5:BH$27=-1),'05_FEATURE_MODEL'!I$5:I$27)/MAX(1,COUNTIF('93_TARGET_MEMBERSHIP'!BH$5:BH$27,-1))))</f>
        <v/>
      </c>
      <c r="I63" s="34">
        <f>IF($B63="ABSOLUTE SEMANTIC",ABS('06_ITEM_POLE_MODEL'!R63),ABS('06_ITEM_POLE_MODEL'!R63)*ABS(SUMPRODUCT(--('93_TARGET_MEMBERSHIP'!BH$5:BH$27=1),'05_FEATURE_MODEL'!J$5:J$27)/MAX(1,COUNTIF('93_TARGET_MEMBERSHIP'!BH$5:BH$27,1))-SUMPRODUCT(--('93_TARGET_MEMBERSHIP'!BH$5:BH$27=-1),'05_FEATURE_MODEL'!J$5:J$27)/MAX(1,COUNTIF('93_TARGET_MEMBERSHIP'!BH$5:BH$27,-1))))</f>
        <v/>
      </c>
      <c r="J63" s="34">
        <f>IF($B63="ABSOLUTE SEMANTIC",ABS('06_ITEM_POLE_MODEL'!S63),ABS('06_ITEM_POLE_MODEL'!S63)*ABS(SUMPRODUCT(--('93_TARGET_MEMBERSHIP'!BH$5:BH$27=1),'05_FEATURE_MODEL'!K$5:K$27)/MAX(1,COUNTIF('93_TARGET_MEMBERSHIP'!BH$5:BH$27,1))-SUMPRODUCT(--('93_TARGET_MEMBERSHIP'!BH$5:BH$27=-1),'05_FEATURE_MODEL'!K$5:K$27)/MAX(1,COUNTIF('93_TARGET_MEMBERSHIP'!BH$5:BH$27,-1))))</f>
        <v/>
      </c>
      <c r="K63" s="34">
        <f>IF($B63="ABSOLUTE SEMANTIC",ABS('06_ITEM_POLE_MODEL'!T63),ABS('06_ITEM_POLE_MODEL'!T63)*ABS(SUMPRODUCT(--('93_TARGET_MEMBERSHIP'!BH$5:BH$27=1),'05_FEATURE_MODEL'!L$5:L$27)/MAX(1,COUNTIF('93_TARGET_MEMBERSHIP'!BH$5:BH$27,1))-SUMPRODUCT(--('93_TARGET_MEMBERSHIP'!BH$5:BH$27=-1),'05_FEATURE_MODEL'!L$5:L$27)/MAX(1,COUNTIF('93_TARGET_MEMBERSHIP'!BH$5:BH$27,-1))))</f>
        <v/>
      </c>
      <c r="L63" s="34">
        <f>IF($B63="ABSOLUTE SEMANTIC",ABS('06_ITEM_POLE_MODEL'!U63),ABS('06_ITEM_POLE_MODEL'!U63)*ABS(SUMPRODUCT(--('93_TARGET_MEMBERSHIP'!BH$5:BH$27=1),'05_FEATURE_MODEL'!M$5:M$27)/MAX(1,COUNTIF('93_TARGET_MEMBERSHIP'!BH$5:BH$27,1))-SUMPRODUCT(--('93_TARGET_MEMBERSHIP'!BH$5:BH$27=-1),'05_FEATURE_MODEL'!M$5:M$27)/MAX(1,COUNTIF('93_TARGET_MEMBERSHIP'!BH$5:BH$27,-1))))</f>
        <v/>
      </c>
      <c r="M63" s="34">
        <f>IF($B63="ABSOLUTE SEMANTIC",ABS('06_ITEM_POLE_MODEL'!V63),ABS('06_ITEM_POLE_MODEL'!V63)*ABS(SUMPRODUCT(--('93_TARGET_MEMBERSHIP'!BH$5:BH$27=1),'05_FEATURE_MODEL'!N$5:N$27)/MAX(1,COUNTIF('93_TARGET_MEMBERSHIP'!BH$5:BH$27,1))-SUMPRODUCT(--('93_TARGET_MEMBERSHIP'!BH$5:BH$27=-1),'05_FEATURE_MODEL'!N$5:N$27)/MAX(1,COUNTIF('93_TARGET_MEMBERSHIP'!BH$5:BH$27,-1))))</f>
        <v/>
      </c>
      <c r="N63" s="34">
        <f>IF($B63="ABSOLUTE SEMANTIC",ABS('06_ITEM_POLE_MODEL'!W63),ABS('06_ITEM_POLE_MODEL'!W63)*ABS(SUMPRODUCT(--('93_TARGET_MEMBERSHIP'!BH$5:BH$27=1),'05_FEATURE_MODEL'!O$5:O$27)/MAX(1,COUNTIF('93_TARGET_MEMBERSHIP'!BH$5:BH$27,1))-SUMPRODUCT(--('93_TARGET_MEMBERSHIP'!BH$5:BH$27=-1),'05_FEATURE_MODEL'!O$5:O$27)/MAX(1,COUNTIF('93_TARGET_MEMBERSHIP'!BH$5:BH$27,-1))))</f>
        <v/>
      </c>
      <c r="O63" s="34">
        <f>IF($B63="ABSOLUTE SEMANTIC",ABS('06_ITEM_POLE_MODEL'!X63),ABS('06_ITEM_POLE_MODEL'!X63)*ABS(SUMPRODUCT(--('93_TARGET_MEMBERSHIP'!BH$5:BH$27=1),'05_FEATURE_MODEL'!P$5:P$27)/MAX(1,COUNTIF('93_TARGET_MEMBERSHIP'!BH$5:BH$27,1))-SUMPRODUCT(--('93_TARGET_MEMBERSHIP'!BH$5:BH$27=-1),'05_FEATURE_MODEL'!P$5:P$27)/MAX(1,COUNTIF('93_TARGET_MEMBERSHIP'!BH$5:BH$27,-1))))</f>
        <v/>
      </c>
      <c r="P63" s="34">
        <f>IF($B63="ABSOLUTE SEMANTIC",ABS('06_ITEM_POLE_MODEL'!Y63),ABS('06_ITEM_POLE_MODEL'!Y63)*ABS(SUMPRODUCT(--('93_TARGET_MEMBERSHIP'!BH$5:BH$27=1),'05_FEATURE_MODEL'!Q$5:Q$27)/MAX(1,COUNTIF('93_TARGET_MEMBERSHIP'!BH$5:BH$27,1))-SUMPRODUCT(--('93_TARGET_MEMBERSHIP'!BH$5:BH$27=-1),'05_FEATURE_MODEL'!Q$5:Q$27)/MAX(1,COUNTIF('93_TARGET_MEMBERSHIP'!BH$5:BH$27,-1))))</f>
        <v/>
      </c>
      <c r="Q63" s="34">
        <f>IF($B63="ABSOLUTE SEMANTIC",ABS('06_ITEM_POLE_MODEL'!Z63),ABS('06_ITEM_POLE_MODEL'!Z63)*ABS(SUMPRODUCT(--('93_TARGET_MEMBERSHIP'!BH$5:BH$27=1),'05_FEATURE_MODEL'!R$5:R$27)/MAX(1,COUNTIF('93_TARGET_MEMBERSHIP'!BH$5:BH$27,1))-SUMPRODUCT(--('93_TARGET_MEMBERSHIP'!BH$5:BH$27=-1),'05_FEATURE_MODEL'!R$5:R$27)/MAX(1,COUNTIF('93_TARGET_MEMBERSHIP'!BH$5:BH$27,-1))))</f>
        <v/>
      </c>
      <c r="R63" s="34">
        <f>IF($B63="ABSOLUTE SEMANTIC",ABS('06_ITEM_POLE_MODEL'!AA63),ABS('06_ITEM_POLE_MODEL'!AA63)*ABS(SUMPRODUCT(--('93_TARGET_MEMBERSHIP'!BH$5:BH$27=1),'05_FEATURE_MODEL'!S$5:S$27)/MAX(1,COUNTIF('93_TARGET_MEMBERSHIP'!BH$5:BH$27,1))-SUMPRODUCT(--('93_TARGET_MEMBERSHIP'!BH$5:BH$27=-1),'05_FEATURE_MODEL'!S$5:S$27)/MAX(1,COUNTIF('93_TARGET_MEMBERSHIP'!BH$5:BH$27,-1))))</f>
        <v/>
      </c>
      <c r="S63" s="34">
        <f>IF($B63="ABSOLUTE SEMANTIC",ABS('06_ITEM_POLE_MODEL'!AB63),ABS('06_ITEM_POLE_MODEL'!AB63)*ABS(SUMPRODUCT(--('93_TARGET_MEMBERSHIP'!BH$5:BH$27=1),'05_FEATURE_MODEL'!T$5:T$27)/MAX(1,COUNTIF('93_TARGET_MEMBERSHIP'!BH$5:BH$27,1))-SUMPRODUCT(--('93_TARGET_MEMBERSHIP'!BH$5:BH$27=-1),'05_FEATURE_MODEL'!T$5:T$27)/MAX(1,COUNTIF('93_TARGET_MEMBERSHIP'!BH$5:BH$27,-1))))</f>
        <v/>
      </c>
      <c r="T63" s="34">
        <f>IF($B63="ABSOLUTE SEMANTIC",ABS('06_ITEM_POLE_MODEL'!AC63),ABS('06_ITEM_POLE_MODEL'!AC63)*ABS(SUMPRODUCT(--('93_TARGET_MEMBERSHIP'!BH$5:BH$27=1),'05_FEATURE_MODEL'!U$5:U$27)/MAX(1,COUNTIF('93_TARGET_MEMBERSHIP'!BH$5:BH$27,1))-SUMPRODUCT(--('93_TARGET_MEMBERSHIP'!BH$5:BH$27=-1),'05_FEATURE_MODEL'!U$5:U$27)/MAX(1,COUNTIF('93_TARGET_MEMBERSHIP'!BH$5:BH$27,-1))))</f>
        <v/>
      </c>
      <c r="U63" s="34">
        <f>IF($B63="ABSOLUTE SEMANTIC",ABS('06_ITEM_POLE_MODEL'!AD63),ABS('06_ITEM_POLE_MODEL'!AD63)*ABS(SUMPRODUCT(--('93_TARGET_MEMBERSHIP'!BH$5:BH$27=1),'05_FEATURE_MODEL'!V$5:V$27)/MAX(1,COUNTIF('93_TARGET_MEMBERSHIP'!BH$5:BH$27,1))-SUMPRODUCT(--('93_TARGET_MEMBERSHIP'!BH$5:BH$27=-1),'05_FEATURE_MODEL'!V$5:V$27)/MAX(1,COUNTIF('93_TARGET_MEMBERSHIP'!BH$5:BH$27,-1))))</f>
        <v/>
      </c>
      <c r="V63" s="34">
        <f>IF($B63="ABSOLUTE SEMANTIC",ABS('06_ITEM_POLE_MODEL'!AE63),ABS('06_ITEM_POLE_MODEL'!AE63)*ABS(SUMPRODUCT(--('93_TARGET_MEMBERSHIP'!BH$5:BH$27=1),'05_FEATURE_MODEL'!W$5:W$27)/MAX(1,COUNTIF('93_TARGET_MEMBERSHIP'!BH$5:BH$27,1))-SUMPRODUCT(--('93_TARGET_MEMBERSHIP'!BH$5:BH$27=-1),'05_FEATURE_MODEL'!W$5:W$27)/MAX(1,COUNTIF('93_TARGET_MEMBERSHIP'!BH$5:BH$27,-1))))</f>
        <v/>
      </c>
      <c r="W63" s="34">
        <f>IF($B63="ABSOLUTE SEMANTIC",ABS('06_ITEM_POLE_MODEL'!AF63),ABS('06_ITEM_POLE_MODEL'!AF63)*ABS(SUMPRODUCT(--('93_TARGET_MEMBERSHIP'!BH$5:BH$27=1),'05_FEATURE_MODEL'!X$5:X$27)/MAX(1,COUNTIF('93_TARGET_MEMBERSHIP'!BH$5:BH$27,1))-SUMPRODUCT(--('93_TARGET_MEMBERSHIP'!BH$5:BH$27=-1),'05_FEATURE_MODEL'!X$5:X$27)/MAX(1,COUNTIF('93_TARGET_MEMBERSHIP'!BH$5:BH$27,-1))))</f>
        <v/>
      </c>
      <c r="X63" s="34">
        <f>IF($B63="ABSOLUTE SEMANTIC",ABS('06_ITEM_POLE_MODEL'!AG63),ABS('06_ITEM_POLE_MODEL'!AG63)*ABS(SUMPRODUCT(--('93_TARGET_MEMBERSHIP'!BH$5:BH$27=1),'05_FEATURE_MODEL'!Y$5:Y$27)/MAX(1,COUNTIF('93_TARGET_MEMBERSHIP'!BH$5:BH$27,1))-SUMPRODUCT(--('93_TARGET_MEMBERSHIP'!BH$5:BH$27=-1),'05_FEATURE_MODEL'!Y$5:Y$27)/MAX(1,COUNTIF('93_TARGET_MEMBERSHIP'!BH$5:BH$27,-1))))</f>
        <v/>
      </c>
      <c r="Y63" s="34">
        <f>IF($B63="ABSOLUTE SEMANTIC",ABS('06_ITEM_POLE_MODEL'!AH63),ABS('06_ITEM_POLE_MODEL'!AH63)*ABS(SUMPRODUCT(--('93_TARGET_MEMBERSHIP'!BH$5:BH$27=1),'05_FEATURE_MODEL'!Z$5:Z$27)/MAX(1,COUNTIF('93_TARGET_MEMBERSHIP'!BH$5:BH$27,1))-SUMPRODUCT(--('93_TARGET_MEMBERSHIP'!BH$5:BH$27=-1),'05_FEATURE_MODEL'!Z$5:Z$27)/MAX(1,COUNTIF('93_TARGET_MEMBERSHIP'!BH$5:BH$27,-1))))</f>
        <v/>
      </c>
      <c r="Z63" s="34">
        <f>IF($B63="ABSOLUTE SEMANTIC",ABS('06_ITEM_POLE_MODEL'!AI63),ABS('06_ITEM_POLE_MODEL'!AI63)*ABS(SUMPRODUCT(--('93_TARGET_MEMBERSHIP'!BH$5:BH$27=1),'05_FEATURE_MODEL'!AA$5:AA$27)/MAX(1,COUNTIF('93_TARGET_MEMBERSHIP'!BH$5:BH$27,1))-SUMPRODUCT(--('93_TARGET_MEMBERSHIP'!BH$5:BH$27=-1),'05_FEATURE_MODEL'!AA$5:AA$27)/MAX(1,COUNTIF('93_TARGET_MEMBERSHIP'!BH$5:BH$27,-1))))</f>
        <v/>
      </c>
      <c r="AA63" s="34">
        <f>IF($B63="ABSOLUTE SEMANTIC",ABS('06_ITEM_POLE_MODEL'!AJ63),ABS('06_ITEM_POLE_MODEL'!AJ63)*ABS(SUMPRODUCT(--('93_TARGET_MEMBERSHIP'!BH$5:BH$27=1),'05_FEATURE_MODEL'!AB$5:AB$27)/MAX(1,COUNTIF('93_TARGET_MEMBERSHIP'!BH$5:BH$27,1))-SUMPRODUCT(--('93_TARGET_MEMBERSHIP'!BH$5:BH$27=-1),'05_FEATURE_MODEL'!AB$5:AB$27)/MAX(1,COUNTIF('93_TARGET_MEMBERSHIP'!BH$5:BH$27,-1))))</f>
        <v/>
      </c>
      <c r="AB63" s="34">
        <f>IF($B63="ABSOLUTE SEMANTIC",ABS('06_ITEM_POLE_MODEL'!AK63),ABS('06_ITEM_POLE_MODEL'!AK63)*ABS(SUMPRODUCT(--('93_TARGET_MEMBERSHIP'!BH$5:BH$27=1),'05_FEATURE_MODEL'!AC$5:AC$27)/MAX(1,COUNTIF('93_TARGET_MEMBERSHIP'!BH$5:BH$27,1))-SUMPRODUCT(--('93_TARGET_MEMBERSHIP'!BH$5:BH$27=-1),'05_FEATURE_MODEL'!AC$5:AC$27)/MAX(1,COUNTIF('93_TARGET_MEMBERSHIP'!BH$5:BH$27,-1))))</f>
        <v/>
      </c>
      <c r="AC63" s="34">
        <f>IF($B63="ABSOLUTE SEMANTIC",ABS('06_ITEM_POLE_MODEL'!AL63),ABS('06_ITEM_POLE_MODEL'!AL63)*ABS(SUMPRODUCT(--('93_TARGET_MEMBERSHIP'!BH$5:BH$27=1),'05_FEATURE_MODEL'!AD$5:AD$27)/MAX(1,COUNTIF('93_TARGET_MEMBERSHIP'!BH$5:BH$27,1))-SUMPRODUCT(--('93_TARGET_MEMBERSHIP'!BH$5:BH$27=-1),'05_FEATURE_MODEL'!AD$5:AD$27)/MAX(1,COUNTIF('93_TARGET_MEMBERSHIP'!BH$5:BH$27,-1))))</f>
        <v/>
      </c>
      <c r="AD63" s="34">
        <f>IF($B63="ABSOLUTE SEMANTIC",ABS('06_ITEM_POLE_MODEL'!AM63),ABS('06_ITEM_POLE_MODEL'!AM63)*ABS(SUMPRODUCT(--('93_TARGET_MEMBERSHIP'!BH$5:BH$27=1),'05_FEATURE_MODEL'!AE$5:AE$27)/MAX(1,COUNTIF('93_TARGET_MEMBERSHIP'!BH$5:BH$27,1))-SUMPRODUCT(--('93_TARGET_MEMBERSHIP'!BH$5:BH$27=-1),'05_FEATURE_MODEL'!AE$5:AE$27)/MAX(1,COUNTIF('93_TARGET_MEMBERSHIP'!BH$5:BH$27,-1))))</f>
        <v/>
      </c>
      <c r="AE63" s="34">
        <f>IF($B63="ABSOLUTE SEMANTIC",ABS('06_ITEM_POLE_MODEL'!AN63),ABS('06_ITEM_POLE_MODEL'!AN63)*ABS(SUMPRODUCT(--('93_TARGET_MEMBERSHIP'!BH$5:BH$27=1),'05_FEATURE_MODEL'!AF$5:AF$27)/MAX(1,COUNTIF('93_TARGET_MEMBERSHIP'!BH$5:BH$27,1))-SUMPRODUCT(--('93_TARGET_MEMBERSHIP'!BH$5:BH$27=-1),'05_FEATURE_MODEL'!AF$5:AF$27)/MAX(1,COUNTIF('93_TARGET_MEMBERSHIP'!BH$5:BH$27,-1))))</f>
        <v/>
      </c>
      <c r="AF63" s="34">
        <f>IF($B63="ABSOLUTE SEMANTIC",ABS('06_ITEM_POLE_MODEL'!AO63),ABS('06_ITEM_POLE_MODEL'!AO63)*ABS(SUMPRODUCT(--('93_TARGET_MEMBERSHIP'!BH$5:BH$27=1),'05_FEATURE_MODEL'!AG$5:AG$27)/MAX(1,COUNTIF('93_TARGET_MEMBERSHIP'!BH$5:BH$27,1))-SUMPRODUCT(--('93_TARGET_MEMBERSHIP'!BH$5:BH$27=-1),'05_FEATURE_MODEL'!AG$5:AG$27)/MAX(1,COUNTIF('93_TARGET_MEMBERSHIP'!BH$5:BH$27,-1))))</f>
        <v/>
      </c>
      <c r="AG63" s="34">
        <f>IF($B63="ABSOLUTE SEMANTIC",ABS('06_ITEM_POLE_MODEL'!AP63),ABS('06_ITEM_POLE_MODEL'!AP63)*ABS(SUMPRODUCT(--('93_TARGET_MEMBERSHIP'!BH$5:BH$27=1),'05_FEATURE_MODEL'!AH$5:AH$27)/MAX(1,COUNTIF('93_TARGET_MEMBERSHIP'!BH$5:BH$27,1))-SUMPRODUCT(--('93_TARGET_MEMBERSHIP'!BH$5:BH$27=-1),'05_FEATURE_MODEL'!AH$5:AH$27)/MAX(1,COUNTIF('93_TARGET_MEMBERSHIP'!BH$5:BH$27,-1))))</f>
        <v/>
      </c>
      <c r="AH63" s="34">
        <f>IF($B63="ABSOLUTE SEMANTIC",ABS('06_ITEM_POLE_MODEL'!AQ63),ABS('06_ITEM_POLE_MODEL'!AQ63)*ABS(SUMPRODUCT(--('93_TARGET_MEMBERSHIP'!BH$5:BH$27=1),'05_FEATURE_MODEL'!AI$5:AI$27)/MAX(1,COUNTIF('93_TARGET_MEMBERSHIP'!BH$5:BH$27,1))-SUMPRODUCT(--('93_TARGET_MEMBERSHIP'!BH$5:BH$27=-1),'05_FEATURE_MODEL'!AI$5:AI$27)/MAX(1,COUNTIF('93_TARGET_MEMBERSHIP'!BH$5:BH$27,-1))))</f>
        <v/>
      </c>
      <c r="AI63" s="34">
        <f>IF($B63="ABSOLUTE SEMANTIC",ABS('06_ITEM_POLE_MODEL'!AR63),ABS('06_ITEM_POLE_MODEL'!AR63)*ABS(SUMPRODUCT(--('93_TARGET_MEMBERSHIP'!BH$5:BH$27=1),'05_FEATURE_MODEL'!AJ$5:AJ$27)/MAX(1,COUNTIF('93_TARGET_MEMBERSHIP'!BH$5:BH$27,1))-SUMPRODUCT(--('93_TARGET_MEMBERSHIP'!BH$5:BH$27=-1),'05_FEATURE_MODEL'!AJ$5:AJ$27)/MAX(1,COUNTIF('93_TARGET_MEMBERSHIP'!BH$5:BH$27,-1))))</f>
        <v/>
      </c>
      <c r="AJ63" s="34">
        <f>IF($B63="ABSOLUTE SEMANTIC",ABS('06_ITEM_POLE_MODEL'!AS63),ABS('06_ITEM_POLE_MODEL'!AS63)*ABS(SUMPRODUCT(--('93_TARGET_MEMBERSHIP'!BH$5:BH$27=1),'05_FEATURE_MODEL'!AK$5:AK$27)/MAX(1,COUNTIF('93_TARGET_MEMBERSHIP'!BH$5:BH$27,1))-SUMPRODUCT(--('93_TARGET_MEMBERSHIP'!BH$5:BH$27=-1),'05_FEATURE_MODEL'!AK$5:AK$27)/MAX(1,COUNTIF('93_TARGET_MEMBERSHIP'!BH$5:BH$27,-1))))</f>
        <v/>
      </c>
      <c r="AK63" s="34">
        <f>IF($B63="ABSOLUTE SEMANTIC",ABS('06_ITEM_POLE_MODEL'!AT63),ABS('06_ITEM_POLE_MODEL'!AT63)*ABS(SUMPRODUCT(--('93_TARGET_MEMBERSHIP'!BH$5:BH$27=1),'05_FEATURE_MODEL'!AL$5:AL$27)/MAX(1,COUNTIF('93_TARGET_MEMBERSHIP'!BH$5:BH$27,1))-SUMPRODUCT(--('93_TARGET_MEMBERSHIP'!BH$5:BH$27=-1),'05_FEATURE_MODEL'!AL$5:AL$27)/MAX(1,COUNTIF('93_TARGET_MEMBERSHIP'!BH$5:BH$27,-1))))</f>
        <v/>
      </c>
      <c r="AL63" s="34">
        <f>IF($B63="ABSOLUTE SEMANTIC",ABS('06_ITEM_POLE_MODEL'!AU63),ABS('06_ITEM_POLE_MODEL'!AU63)*ABS(SUMPRODUCT(--('93_TARGET_MEMBERSHIP'!BH$5:BH$27=1),'05_FEATURE_MODEL'!AM$5:AM$27)/MAX(1,COUNTIF('93_TARGET_MEMBERSHIP'!BH$5:BH$27,1))-SUMPRODUCT(--('93_TARGET_MEMBERSHIP'!BH$5:BH$27=-1),'05_FEATURE_MODEL'!AM$5:AM$27)/MAX(1,COUNTIF('93_TARGET_MEMBERSHIP'!BH$5:BH$27,-1))))</f>
        <v/>
      </c>
      <c r="AM63" s="34">
        <f>IF($B63="ABSOLUTE SEMANTIC",ABS('06_ITEM_POLE_MODEL'!AV63),ABS('06_ITEM_POLE_MODEL'!AV63)*ABS(SUMPRODUCT(--('93_TARGET_MEMBERSHIP'!BH$5:BH$27=1),'05_FEATURE_MODEL'!AN$5:AN$27)/MAX(1,COUNTIF('93_TARGET_MEMBERSHIP'!BH$5:BH$27,1))-SUMPRODUCT(--('93_TARGET_MEMBERSHIP'!BH$5:BH$27=-1),'05_FEATURE_MODEL'!AN$5:AN$27)/MAX(1,COUNTIF('93_TARGET_MEMBERSHIP'!BH$5:BH$27,-1))))</f>
        <v/>
      </c>
      <c r="AN63" s="34">
        <f>IF($B63="ABSOLUTE SEMANTIC",ABS('06_ITEM_POLE_MODEL'!AW63),ABS('06_ITEM_POLE_MODEL'!AW63)*ABS(SUMPRODUCT(--('93_TARGET_MEMBERSHIP'!BH$5:BH$27=1),'05_FEATURE_MODEL'!AO$5:AO$27)/MAX(1,COUNTIF('93_TARGET_MEMBERSHIP'!BH$5:BH$27,1))-SUMPRODUCT(--('93_TARGET_MEMBERSHIP'!BH$5:BH$27=-1),'05_FEATURE_MODEL'!AO$5:AO$27)/MAX(1,COUNTIF('93_TARGET_MEMBERSHIP'!BH$5:BH$27,-1))))</f>
        <v/>
      </c>
      <c r="AO63" s="34">
        <f>IF($B63="ABSOLUTE SEMANTIC",ABS('06_ITEM_POLE_MODEL'!AX63),ABS('06_ITEM_POLE_MODEL'!AX63)*ABS(SUMPRODUCT(--('93_TARGET_MEMBERSHIP'!BH$5:BH$27=1),'05_FEATURE_MODEL'!AP$5:AP$27)/MAX(1,COUNTIF('93_TARGET_MEMBERSHIP'!BH$5:BH$27,1))-SUMPRODUCT(--('93_TARGET_MEMBERSHIP'!BH$5:BH$27=-1),'05_FEATURE_MODEL'!AP$5:AP$27)/MAX(1,COUNTIF('93_TARGET_MEMBERSHIP'!BH$5:BH$27,-1))))</f>
        <v/>
      </c>
      <c r="AP63" s="34">
        <f>IF($B63="ABSOLUTE SEMANTIC",ABS('06_ITEM_POLE_MODEL'!AY63),ABS('06_ITEM_POLE_MODEL'!AY63)*ABS(SUMPRODUCT(--('93_TARGET_MEMBERSHIP'!BH$5:BH$27=1),'05_FEATURE_MODEL'!AQ$5:AQ$27)/MAX(1,COUNTIF('93_TARGET_MEMBERSHIP'!BH$5:BH$27,1))-SUMPRODUCT(--('93_TARGET_MEMBERSHIP'!BH$5:BH$27=-1),'05_FEATURE_MODEL'!AQ$5:AQ$27)/MAX(1,COUNTIF('93_TARGET_MEMBERSHIP'!BH$5:BH$27,-1))))</f>
        <v/>
      </c>
      <c r="AQ63" s="34">
        <f>IF($B63="ABSOLUTE SEMANTIC",ABS('06_ITEM_POLE_MODEL'!AZ63),ABS('06_ITEM_POLE_MODEL'!AZ63)*ABS(SUMPRODUCT(--('93_TARGET_MEMBERSHIP'!BH$5:BH$27=1),'05_FEATURE_MODEL'!AR$5:AR$27)/MAX(1,COUNTIF('93_TARGET_MEMBERSHIP'!BH$5:BH$27,1))-SUMPRODUCT(--('93_TARGET_MEMBERSHIP'!BH$5:BH$27=-1),'05_FEATURE_MODEL'!AR$5:AR$27)/MAX(1,COUNTIF('93_TARGET_MEMBERSHIP'!BH$5:BH$27,-1))))</f>
        <v/>
      </c>
    </row>
    <row r="64" ht="36" customHeight="1">
      <c r="A64" s="34">
        <f>'06_ITEM_POLE_MODEL'!A64</f>
        <v/>
      </c>
      <c r="B64" s="34">
        <f>'06_ITEM_POLE_MODEL'!E64</f>
        <v/>
      </c>
      <c r="C64" s="34">
        <f>IF($B64="ABSOLUTE SEMANTIC",ABS('06_ITEM_POLE_MODEL'!L64),ABS('06_ITEM_POLE_MODEL'!L64)*ABS(SUMPRODUCT(--('93_TARGET_MEMBERSHIP'!BI$5:BI$27=1),'05_FEATURE_MODEL'!D$5:D$27)/MAX(1,COUNTIF('93_TARGET_MEMBERSHIP'!BI$5:BI$27,1))-SUMPRODUCT(--('93_TARGET_MEMBERSHIP'!BI$5:BI$27=-1),'05_FEATURE_MODEL'!D$5:D$27)/MAX(1,COUNTIF('93_TARGET_MEMBERSHIP'!BI$5:BI$27,-1))))</f>
        <v/>
      </c>
      <c r="D64" s="34">
        <f>IF($B64="ABSOLUTE SEMANTIC",ABS('06_ITEM_POLE_MODEL'!M64),ABS('06_ITEM_POLE_MODEL'!M64)*ABS(SUMPRODUCT(--('93_TARGET_MEMBERSHIP'!BI$5:BI$27=1),'05_FEATURE_MODEL'!E$5:E$27)/MAX(1,COUNTIF('93_TARGET_MEMBERSHIP'!BI$5:BI$27,1))-SUMPRODUCT(--('93_TARGET_MEMBERSHIP'!BI$5:BI$27=-1),'05_FEATURE_MODEL'!E$5:E$27)/MAX(1,COUNTIF('93_TARGET_MEMBERSHIP'!BI$5:BI$27,-1))))</f>
        <v/>
      </c>
      <c r="E64" s="34">
        <f>IF($B64="ABSOLUTE SEMANTIC",ABS('06_ITEM_POLE_MODEL'!N64),ABS('06_ITEM_POLE_MODEL'!N64)*ABS(SUMPRODUCT(--('93_TARGET_MEMBERSHIP'!BI$5:BI$27=1),'05_FEATURE_MODEL'!F$5:F$27)/MAX(1,COUNTIF('93_TARGET_MEMBERSHIP'!BI$5:BI$27,1))-SUMPRODUCT(--('93_TARGET_MEMBERSHIP'!BI$5:BI$27=-1),'05_FEATURE_MODEL'!F$5:F$27)/MAX(1,COUNTIF('93_TARGET_MEMBERSHIP'!BI$5:BI$27,-1))))</f>
        <v/>
      </c>
      <c r="F64" s="34">
        <f>IF($B64="ABSOLUTE SEMANTIC",ABS('06_ITEM_POLE_MODEL'!O64),ABS('06_ITEM_POLE_MODEL'!O64)*ABS(SUMPRODUCT(--('93_TARGET_MEMBERSHIP'!BI$5:BI$27=1),'05_FEATURE_MODEL'!G$5:G$27)/MAX(1,COUNTIF('93_TARGET_MEMBERSHIP'!BI$5:BI$27,1))-SUMPRODUCT(--('93_TARGET_MEMBERSHIP'!BI$5:BI$27=-1),'05_FEATURE_MODEL'!G$5:G$27)/MAX(1,COUNTIF('93_TARGET_MEMBERSHIP'!BI$5:BI$27,-1))))</f>
        <v/>
      </c>
      <c r="G64" s="34">
        <f>IF($B64="ABSOLUTE SEMANTIC",ABS('06_ITEM_POLE_MODEL'!P64),ABS('06_ITEM_POLE_MODEL'!P64)*ABS(SUMPRODUCT(--('93_TARGET_MEMBERSHIP'!BI$5:BI$27=1),'05_FEATURE_MODEL'!H$5:H$27)/MAX(1,COUNTIF('93_TARGET_MEMBERSHIP'!BI$5:BI$27,1))-SUMPRODUCT(--('93_TARGET_MEMBERSHIP'!BI$5:BI$27=-1),'05_FEATURE_MODEL'!H$5:H$27)/MAX(1,COUNTIF('93_TARGET_MEMBERSHIP'!BI$5:BI$27,-1))))</f>
        <v/>
      </c>
      <c r="H64" s="34">
        <f>IF($B64="ABSOLUTE SEMANTIC",ABS('06_ITEM_POLE_MODEL'!Q64),ABS('06_ITEM_POLE_MODEL'!Q64)*ABS(SUMPRODUCT(--('93_TARGET_MEMBERSHIP'!BI$5:BI$27=1),'05_FEATURE_MODEL'!I$5:I$27)/MAX(1,COUNTIF('93_TARGET_MEMBERSHIP'!BI$5:BI$27,1))-SUMPRODUCT(--('93_TARGET_MEMBERSHIP'!BI$5:BI$27=-1),'05_FEATURE_MODEL'!I$5:I$27)/MAX(1,COUNTIF('93_TARGET_MEMBERSHIP'!BI$5:BI$27,-1))))</f>
        <v/>
      </c>
      <c r="I64" s="34">
        <f>IF($B64="ABSOLUTE SEMANTIC",ABS('06_ITEM_POLE_MODEL'!R64),ABS('06_ITEM_POLE_MODEL'!R64)*ABS(SUMPRODUCT(--('93_TARGET_MEMBERSHIP'!BI$5:BI$27=1),'05_FEATURE_MODEL'!J$5:J$27)/MAX(1,COUNTIF('93_TARGET_MEMBERSHIP'!BI$5:BI$27,1))-SUMPRODUCT(--('93_TARGET_MEMBERSHIP'!BI$5:BI$27=-1),'05_FEATURE_MODEL'!J$5:J$27)/MAX(1,COUNTIF('93_TARGET_MEMBERSHIP'!BI$5:BI$27,-1))))</f>
        <v/>
      </c>
      <c r="J64" s="34">
        <f>IF($B64="ABSOLUTE SEMANTIC",ABS('06_ITEM_POLE_MODEL'!S64),ABS('06_ITEM_POLE_MODEL'!S64)*ABS(SUMPRODUCT(--('93_TARGET_MEMBERSHIP'!BI$5:BI$27=1),'05_FEATURE_MODEL'!K$5:K$27)/MAX(1,COUNTIF('93_TARGET_MEMBERSHIP'!BI$5:BI$27,1))-SUMPRODUCT(--('93_TARGET_MEMBERSHIP'!BI$5:BI$27=-1),'05_FEATURE_MODEL'!K$5:K$27)/MAX(1,COUNTIF('93_TARGET_MEMBERSHIP'!BI$5:BI$27,-1))))</f>
        <v/>
      </c>
      <c r="K64" s="34">
        <f>IF($B64="ABSOLUTE SEMANTIC",ABS('06_ITEM_POLE_MODEL'!T64),ABS('06_ITEM_POLE_MODEL'!T64)*ABS(SUMPRODUCT(--('93_TARGET_MEMBERSHIP'!BI$5:BI$27=1),'05_FEATURE_MODEL'!L$5:L$27)/MAX(1,COUNTIF('93_TARGET_MEMBERSHIP'!BI$5:BI$27,1))-SUMPRODUCT(--('93_TARGET_MEMBERSHIP'!BI$5:BI$27=-1),'05_FEATURE_MODEL'!L$5:L$27)/MAX(1,COUNTIF('93_TARGET_MEMBERSHIP'!BI$5:BI$27,-1))))</f>
        <v/>
      </c>
      <c r="L64" s="34">
        <f>IF($B64="ABSOLUTE SEMANTIC",ABS('06_ITEM_POLE_MODEL'!U64),ABS('06_ITEM_POLE_MODEL'!U64)*ABS(SUMPRODUCT(--('93_TARGET_MEMBERSHIP'!BI$5:BI$27=1),'05_FEATURE_MODEL'!M$5:M$27)/MAX(1,COUNTIF('93_TARGET_MEMBERSHIP'!BI$5:BI$27,1))-SUMPRODUCT(--('93_TARGET_MEMBERSHIP'!BI$5:BI$27=-1),'05_FEATURE_MODEL'!M$5:M$27)/MAX(1,COUNTIF('93_TARGET_MEMBERSHIP'!BI$5:BI$27,-1))))</f>
        <v/>
      </c>
      <c r="M64" s="34">
        <f>IF($B64="ABSOLUTE SEMANTIC",ABS('06_ITEM_POLE_MODEL'!V64),ABS('06_ITEM_POLE_MODEL'!V64)*ABS(SUMPRODUCT(--('93_TARGET_MEMBERSHIP'!BI$5:BI$27=1),'05_FEATURE_MODEL'!N$5:N$27)/MAX(1,COUNTIF('93_TARGET_MEMBERSHIP'!BI$5:BI$27,1))-SUMPRODUCT(--('93_TARGET_MEMBERSHIP'!BI$5:BI$27=-1),'05_FEATURE_MODEL'!N$5:N$27)/MAX(1,COUNTIF('93_TARGET_MEMBERSHIP'!BI$5:BI$27,-1))))</f>
        <v/>
      </c>
      <c r="N64" s="34">
        <f>IF($B64="ABSOLUTE SEMANTIC",ABS('06_ITEM_POLE_MODEL'!W64),ABS('06_ITEM_POLE_MODEL'!W64)*ABS(SUMPRODUCT(--('93_TARGET_MEMBERSHIP'!BI$5:BI$27=1),'05_FEATURE_MODEL'!O$5:O$27)/MAX(1,COUNTIF('93_TARGET_MEMBERSHIP'!BI$5:BI$27,1))-SUMPRODUCT(--('93_TARGET_MEMBERSHIP'!BI$5:BI$27=-1),'05_FEATURE_MODEL'!O$5:O$27)/MAX(1,COUNTIF('93_TARGET_MEMBERSHIP'!BI$5:BI$27,-1))))</f>
        <v/>
      </c>
      <c r="O64" s="34">
        <f>IF($B64="ABSOLUTE SEMANTIC",ABS('06_ITEM_POLE_MODEL'!X64),ABS('06_ITEM_POLE_MODEL'!X64)*ABS(SUMPRODUCT(--('93_TARGET_MEMBERSHIP'!BI$5:BI$27=1),'05_FEATURE_MODEL'!P$5:P$27)/MAX(1,COUNTIF('93_TARGET_MEMBERSHIP'!BI$5:BI$27,1))-SUMPRODUCT(--('93_TARGET_MEMBERSHIP'!BI$5:BI$27=-1),'05_FEATURE_MODEL'!P$5:P$27)/MAX(1,COUNTIF('93_TARGET_MEMBERSHIP'!BI$5:BI$27,-1))))</f>
        <v/>
      </c>
      <c r="P64" s="34">
        <f>IF($B64="ABSOLUTE SEMANTIC",ABS('06_ITEM_POLE_MODEL'!Y64),ABS('06_ITEM_POLE_MODEL'!Y64)*ABS(SUMPRODUCT(--('93_TARGET_MEMBERSHIP'!BI$5:BI$27=1),'05_FEATURE_MODEL'!Q$5:Q$27)/MAX(1,COUNTIF('93_TARGET_MEMBERSHIP'!BI$5:BI$27,1))-SUMPRODUCT(--('93_TARGET_MEMBERSHIP'!BI$5:BI$27=-1),'05_FEATURE_MODEL'!Q$5:Q$27)/MAX(1,COUNTIF('93_TARGET_MEMBERSHIP'!BI$5:BI$27,-1))))</f>
        <v/>
      </c>
      <c r="Q64" s="34">
        <f>IF($B64="ABSOLUTE SEMANTIC",ABS('06_ITEM_POLE_MODEL'!Z64),ABS('06_ITEM_POLE_MODEL'!Z64)*ABS(SUMPRODUCT(--('93_TARGET_MEMBERSHIP'!BI$5:BI$27=1),'05_FEATURE_MODEL'!R$5:R$27)/MAX(1,COUNTIF('93_TARGET_MEMBERSHIP'!BI$5:BI$27,1))-SUMPRODUCT(--('93_TARGET_MEMBERSHIP'!BI$5:BI$27=-1),'05_FEATURE_MODEL'!R$5:R$27)/MAX(1,COUNTIF('93_TARGET_MEMBERSHIP'!BI$5:BI$27,-1))))</f>
        <v/>
      </c>
      <c r="R64" s="34">
        <f>IF($B64="ABSOLUTE SEMANTIC",ABS('06_ITEM_POLE_MODEL'!AA64),ABS('06_ITEM_POLE_MODEL'!AA64)*ABS(SUMPRODUCT(--('93_TARGET_MEMBERSHIP'!BI$5:BI$27=1),'05_FEATURE_MODEL'!S$5:S$27)/MAX(1,COUNTIF('93_TARGET_MEMBERSHIP'!BI$5:BI$27,1))-SUMPRODUCT(--('93_TARGET_MEMBERSHIP'!BI$5:BI$27=-1),'05_FEATURE_MODEL'!S$5:S$27)/MAX(1,COUNTIF('93_TARGET_MEMBERSHIP'!BI$5:BI$27,-1))))</f>
        <v/>
      </c>
      <c r="S64" s="34">
        <f>IF($B64="ABSOLUTE SEMANTIC",ABS('06_ITEM_POLE_MODEL'!AB64),ABS('06_ITEM_POLE_MODEL'!AB64)*ABS(SUMPRODUCT(--('93_TARGET_MEMBERSHIP'!BI$5:BI$27=1),'05_FEATURE_MODEL'!T$5:T$27)/MAX(1,COUNTIF('93_TARGET_MEMBERSHIP'!BI$5:BI$27,1))-SUMPRODUCT(--('93_TARGET_MEMBERSHIP'!BI$5:BI$27=-1),'05_FEATURE_MODEL'!T$5:T$27)/MAX(1,COUNTIF('93_TARGET_MEMBERSHIP'!BI$5:BI$27,-1))))</f>
        <v/>
      </c>
      <c r="T64" s="34">
        <f>IF($B64="ABSOLUTE SEMANTIC",ABS('06_ITEM_POLE_MODEL'!AC64),ABS('06_ITEM_POLE_MODEL'!AC64)*ABS(SUMPRODUCT(--('93_TARGET_MEMBERSHIP'!BI$5:BI$27=1),'05_FEATURE_MODEL'!U$5:U$27)/MAX(1,COUNTIF('93_TARGET_MEMBERSHIP'!BI$5:BI$27,1))-SUMPRODUCT(--('93_TARGET_MEMBERSHIP'!BI$5:BI$27=-1),'05_FEATURE_MODEL'!U$5:U$27)/MAX(1,COUNTIF('93_TARGET_MEMBERSHIP'!BI$5:BI$27,-1))))</f>
        <v/>
      </c>
      <c r="U64" s="34">
        <f>IF($B64="ABSOLUTE SEMANTIC",ABS('06_ITEM_POLE_MODEL'!AD64),ABS('06_ITEM_POLE_MODEL'!AD64)*ABS(SUMPRODUCT(--('93_TARGET_MEMBERSHIP'!BI$5:BI$27=1),'05_FEATURE_MODEL'!V$5:V$27)/MAX(1,COUNTIF('93_TARGET_MEMBERSHIP'!BI$5:BI$27,1))-SUMPRODUCT(--('93_TARGET_MEMBERSHIP'!BI$5:BI$27=-1),'05_FEATURE_MODEL'!V$5:V$27)/MAX(1,COUNTIF('93_TARGET_MEMBERSHIP'!BI$5:BI$27,-1))))</f>
        <v/>
      </c>
      <c r="V64" s="34">
        <f>IF($B64="ABSOLUTE SEMANTIC",ABS('06_ITEM_POLE_MODEL'!AE64),ABS('06_ITEM_POLE_MODEL'!AE64)*ABS(SUMPRODUCT(--('93_TARGET_MEMBERSHIP'!BI$5:BI$27=1),'05_FEATURE_MODEL'!W$5:W$27)/MAX(1,COUNTIF('93_TARGET_MEMBERSHIP'!BI$5:BI$27,1))-SUMPRODUCT(--('93_TARGET_MEMBERSHIP'!BI$5:BI$27=-1),'05_FEATURE_MODEL'!W$5:W$27)/MAX(1,COUNTIF('93_TARGET_MEMBERSHIP'!BI$5:BI$27,-1))))</f>
        <v/>
      </c>
      <c r="W64" s="34">
        <f>IF($B64="ABSOLUTE SEMANTIC",ABS('06_ITEM_POLE_MODEL'!AF64),ABS('06_ITEM_POLE_MODEL'!AF64)*ABS(SUMPRODUCT(--('93_TARGET_MEMBERSHIP'!BI$5:BI$27=1),'05_FEATURE_MODEL'!X$5:X$27)/MAX(1,COUNTIF('93_TARGET_MEMBERSHIP'!BI$5:BI$27,1))-SUMPRODUCT(--('93_TARGET_MEMBERSHIP'!BI$5:BI$27=-1),'05_FEATURE_MODEL'!X$5:X$27)/MAX(1,COUNTIF('93_TARGET_MEMBERSHIP'!BI$5:BI$27,-1))))</f>
        <v/>
      </c>
      <c r="X64" s="34">
        <f>IF($B64="ABSOLUTE SEMANTIC",ABS('06_ITEM_POLE_MODEL'!AG64),ABS('06_ITEM_POLE_MODEL'!AG64)*ABS(SUMPRODUCT(--('93_TARGET_MEMBERSHIP'!BI$5:BI$27=1),'05_FEATURE_MODEL'!Y$5:Y$27)/MAX(1,COUNTIF('93_TARGET_MEMBERSHIP'!BI$5:BI$27,1))-SUMPRODUCT(--('93_TARGET_MEMBERSHIP'!BI$5:BI$27=-1),'05_FEATURE_MODEL'!Y$5:Y$27)/MAX(1,COUNTIF('93_TARGET_MEMBERSHIP'!BI$5:BI$27,-1))))</f>
        <v/>
      </c>
      <c r="Y64" s="34">
        <f>IF($B64="ABSOLUTE SEMANTIC",ABS('06_ITEM_POLE_MODEL'!AH64),ABS('06_ITEM_POLE_MODEL'!AH64)*ABS(SUMPRODUCT(--('93_TARGET_MEMBERSHIP'!BI$5:BI$27=1),'05_FEATURE_MODEL'!Z$5:Z$27)/MAX(1,COUNTIF('93_TARGET_MEMBERSHIP'!BI$5:BI$27,1))-SUMPRODUCT(--('93_TARGET_MEMBERSHIP'!BI$5:BI$27=-1),'05_FEATURE_MODEL'!Z$5:Z$27)/MAX(1,COUNTIF('93_TARGET_MEMBERSHIP'!BI$5:BI$27,-1))))</f>
        <v/>
      </c>
      <c r="Z64" s="34">
        <f>IF($B64="ABSOLUTE SEMANTIC",ABS('06_ITEM_POLE_MODEL'!AI64),ABS('06_ITEM_POLE_MODEL'!AI64)*ABS(SUMPRODUCT(--('93_TARGET_MEMBERSHIP'!BI$5:BI$27=1),'05_FEATURE_MODEL'!AA$5:AA$27)/MAX(1,COUNTIF('93_TARGET_MEMBERSHIP'!BI$5:BI$27,1))-SUMPRODUCT(--('93_TARGET_MEMBERSHIP'!BI$5:BI$27=-1),'05_FEATURE_MODEL'!AA$5:AA$27)/MAX(1,COUNTIF('93_TARGET_MEMBERSHIP'!BI$5:BI$27,-1))))</f>
        <v/>
      </c>
      <c r="AA64" s="34">
        <f>IF($B64="ABSOLUTE SEMANTIC",ABS('06_ITEM_POLE_MODEL'!AJ64),ABS('06_ITEM_POLE_MODEL'!AJ64)*ABS(SUMPRODUCT(--('93_TARGET_MEMBERSHIP'!BI$5:BI$27=1),'05_FEATURE_MODEL'!AB$5:AB$27)/MAX(1,COUNTIF('93_TARGET_MEMBERSHIP'!BI$5:BI$27,1))-SUMPRODUCT(--('93_TARGET_MEMBERSHIP'!BI$5:BI$27=-1),'05_FEATURE_MODEL'!AB$5:AB$27)/MAX(1,COUNTIF('93_TARGET_MEMBERSHIP'!BI$5:BI$27,-1))))</f>
        <v/>
      </c>
      <c r="AB64" s="34">
        <f>IF($B64="ABSOLUTE SEMANTIC",ABS('06_ITEM_POLE_MODEL'!AK64),ABS('06_ITEM_POLE_MODEL'!AK64)*ABS(SUMPRODUCT(--('93_TARGET_MEMBERSHIP'!BI$5:BI$27=1),'05_FEATURE_MODEL'!AC$5:AC$27)/MAX(1,COUNTIF('93_TARGET_MEMBERSHIP'!BI$5:BI$27,1))-SUMPRODUCT(--('93_TARGET_MEMBERSHIP'!BI$5:BI$27=-1),'05_FEATURE_MODEL'!AC$5:AC$27)/MAX(1,COUNTIF('93_TARGET_MEMBERSHIP'!BI$5:BI$27,-1))))</f>
        <v/>
      </c>
      <c r="AC64" s="34">
        <f>IF($B64="ABSOLUTE SEMANTIC",ABS('06_ITEM_POLE_MODEL'!AL64),ABS('06_ITEM_POLE_MODEL'!AL64)*ABS(SUMPRODUCT(--('93_TARGET_MEMBERSHIP'!BI$5:BI$27=1),'05_FEATURE_MODEL'!AD$5:AD$27)/MAX(1,COUNTIF('93_TARGET_MEMBERSHIP'!BI$5:BI$27,1))-SUMPRODUCT(--('93_TARGET_MEMBERSHIP'!BI$5:BI$27=-1),'05_FEATURE_MODEL'!AD$5:AD$27)/MAX(1,COUNTIF('93_TARGET_MEMBERSHIP'!BI$5:BI$27,-1))))</f>
        <v/>
      </c>
      <c r="AD64" s="34">
        <f>IF($B64="ABSOLUTE SEMANTIC",ABS('06_ITEM_POLE_MODEL'!AM64),ABS('06_ITEM_POLE_MODEL'!AM64)*ABS(SUMPRODUCT(--('93_TARGET_MEMBERSHIP'!BI$5:BI$27=1),'05_FEATURE_MODEL'!AE$5:AE$27)/MAX(1,COUNTIF('93_TARGET_MEMBERSHIP'!BI$5:BI$27,1))-SUMPRODUCT(--('93_TARGET_MEMBERSHIP'!BI$5:BI$27=-1),'05_FEATURE_MODEL'!AE$5:AE$27)/MAX(1,COUNTIF('93_TARGET_MEMBERSHIP'!BI$5:BI$27,-1))))</f>
        <v/>
      </c>
      <c r="AE64" s="34">
        <f>IF($B64="ABSOLUTE SEMANTIC",ABS('06_ITEM_POLE_MODEL'!AN64),ABS('06_ITEM_POLE_MODEL'!AN64)*ABS(SUMPRODUCT(--('93_TARGET_MEMBERSHIP'!BI$5:BI$27=1),'05_FEATURE_MODEL'!AF$5:AF$27)/MAX(1,COUNTIF('93_TARGET_MEMBERSHIP'!BI$5:BI$27,1))-SUMPRODUCT(--('93_TARGET_MEMBERSHIP'!BI$5:BI$27=-1),'05_FEATURE_MODEL'!AF$5:AF$27)/MAX(1,COUNTIF('93_TARGET_MEMBERSHIP'!BI$5:BI$27,-1))))</f>
        <v/>
      </c>
      <c r="AF64" s="34">
        <f>IF($B64="ABSOLUTE SEMANTIC",ABS('06_ITEM_POLE_MODEL'!AO64),ABS('06_ITEM_POLE_MODEL'!AO64)*ABS(SUMPRODUCT(--('93_TARGET_MEMBERSHIP'!BI$5:BI$27=1),'05_FEATURE_MODEL'!AG$5:AG$27)/MAX(1,COUNTIF('93_TARGET_MEMBERSHIP'!BI$5:BI$27,1))-SUMPRODUCT(--('93_TARGET_MEMBERSHIP'!BI$5:BI$27=-1),'05_FEATURE_MODEL'!AG$5:AG$27)/MAX(1,COUNTIF('93_TARGET_MEMBERSHIP'!BI$5:BI$27,-1))))</f>
        <v/>
      </c>
      <c r="AG64" s="34">
        <f>IF($B64="ABSOLUTE SEMANTIC",ABS('06_ITEM_POLE_MODEL'!AP64),ABS('06_ITEM_POLE_MODEL'!AP64)*ABS(SUMPRODUCT(--('93_TARGET_MEMBERSHIP'!BI$5:BI$27=1),'05_FEATURE_MODEL'!AH$5:AH$27)/MAX(1,COUNTIF('93_TARGET_MEMBERSHIP'!BI$5:BI$27,1))-SUMPRODUCT(--('93_TARGET_MEMBERSHIP'!BI$5:BI$27=-1),'05_FEATURE_MODEL'!AH$5:AH$27)/MAX(1,COUNTIF('93_TARGET_MEMBERSHIP'!BI$5:BI$27,-1))))</f>
        <v/>
      </c>
      <c r="AH64" s="34">
        <f>IF($B64="ABSOLUTE SEMANTIC",ABS('06_ITEM_POLE_MODEL'!AQ64),ABS('06_ITEM_POLE_MODEL'!AQ64)*ABS(SUMPRODUCT(--('93_TARGET_MEMBERSHIP'!BI$5:BI$27=1),'05_FEATURE_MODEL'!AI$5:AI$27)/MAX(1,COUNTIF('93_TARGET_MEMBERSHIP'!BI$5:BI$27,1))-SUMPRODUCT(--('93_TARGET_MEMBERSHIP'!BI$5:BI$27=-1),'05_FEATURE_MODEL'!AI$5:AI$27)/MAX(1,COUNTIF('93_TARGET_MEMBERSHIP'!BI$5:BI$27,-1))))</f>
        <v/>
      </c>
      <c r="AI64" s="34">
        <f>IF($B64="ABSOLUTE SEMANTIC",ABS('06_ITEM_POLE_MODEL'!AR64),ABS('06_ITEM_POLE_MODEL'!AR64)*ABS(SUMPRODUCT(--('93_TARGET_MEMBERSHIP'!BI$5:BI$27=1),'05_FEATURE_MODEL'!AJ$5:AJ$27)/MAX(1,COUNTIF('93_TARGET_MEMBERSHIP'!BI$5:BI$27,1))-SUMPRODUCT(--('93_TARGET_MEMBERSHIP'!BI$5:BI$27=-1),'05_FEATURE_MODEL'!AJ$5:AJ$27)/MAX(1,COUNTIF('93_TARGET_MEMBERSHIP'!BI$5:BI$27,-1))))</f>
        <v/>
      </c>
      <c r="AJ64" s="34">
        <f>IF($B64="ABSOLUTE SEMANTIC",ABS('06_ITEM_POLE_MODEL'!AS64),ABS('06_ITEM_POLE_MODEL'!AS64)*ABS(SUMPRODUCT(--('93_TARGET_MEMBERSHIP'!BI$5:BI$27=1),'05_FEATURE_MODEL'!AK$5:AK$27)/MAX(1,COUNTIF('93_TARGET_MEMBERSHIP'!BI$5:BI$27,1))-SUMPRODUCT(--('93_TARGET_MEMBERSHIP'!BI$5:BI$27=-1),'05_FEATURE_MODEL'!AK$5:AK$27)/MAX(1,COUNTIF('93_TARGET_MEMBERSHIP'!BI$5:BI$27,-1))))</f>
        <v/>
      </c>
      <c r="AK64" s="34">
        <f>IF($B64="ABSOLUTE SEMANTIC",ABS('06_ITEM_POLE_MODEL'!AT64),ABS('06_ITEM_POLE_MODEL'!AT64)*ABS(SUMPRODUCT(--('93_TARGET_MEMBERSHIP'!BI$5:BI$27=1),'05_FEATURE_MODEL'!AL$5:AL$27)/MAX(1,COUNTIF('93_TARGET_MEMBERSHIP'!BI$5:BI$27,1))-SUMPRODUCT(--('93_TARGET_MEMBERSHIP'!BI$5:BI$27=-1),'05_FEATURE_MODEL'!AL$5:AL$27)/MAX(1,COUNTIF('93_TARGET_MEMBERSHIP'!BI$5:BI$27,-1))))</f>
        <v/>
      </c>
      <c r="AL64" s="34">
        <f>IF($B64="ABSOLUTE SEMANTIC",ABS('06_ITEM_POLE_MODEL'!AU64),ABS('06_ITEM_POLE_MODEL'!AU64)*ABS(SUMPRODUCT(--('93_TARGET_MEMBERSHIP'!BI$5:BI$27=1),'05_FEATURE_MODEL'!AM$5:AM$27)/MAX(1,COUNTIF('93_TARGET_MEMBERSHIP'!BI$5:BI$27,1))-SUMPRODUCT(--('93_TARGET_MEMBERSHIP'!BI$5:BI$27=-1),'05_FEATURE_MODEL'!AM$5:AM$27)/MAX(1,COUNTIF('93_TARGET_MEMBERSHIP'!BI$5:BI$27,-1))))</f>
        <v/>
      </c>
      <c r="AM64" s="34">
        <f>IF($B64="ABSOLUTE SEMANTIC",ABS('06_ITEM_POLE_MODEL'!AV64),ABS('06_ITEM_POLE_MODEL'!AV64)*ABS(SUMPRODUCT(--('93_TARGET_MEMBERSHIP'!BI$5:BI$27=1),'05_FEATURE_MODEL'!AN$5:AN$27)/MAX(1,COUNTIF('93_TARGET_MEMBERSHIP'!BI$5:BI$27,1))-SUMPRODUCT(--('93_TARGET_MEMBERSHIP'!BI$5:BI$27=-1),'05_FEATURE_MODEL'!AN$5:AN$27)/MAX(1,COUNTIF('93_TARGET_MEMBERSHIP'!BI$5:BI$27,-1))))</f>
        <v/>
      </c>
      <c r="AN64" s="34">
        <f>IF($B64="ABSOLUTE SEMANTIC",ABS('06_ITEM_POLE_MODEL'!AW64),ABS('06_ITEM_POLE_MODEL'!AW64)*ABS(SUMPRODUCT(--('93_TARGET_MEMBERSHIP'!BI$5:BI$27=1),'05_FEATURE_MODEL'!AO$5:AO$27)/MAX(1,COUNTIF('93_TARGET_MEMBERSHIP'!BI$5:BI$27,1))-SUMPRODUCT(--('93_TARGET_MEMBERSHIP'!BI$5:BI$27=-1),'05_FEATURE_MODEL'!AO$5:AO$27)/MAX(1,COUNTIF('93_TARGET_MEMBERSHIP'!BI$5:BI$27,-1))))</f>
        <v/>
      </c>
      <c r="AO64" s="34">
        <f>IF($B64="ABSOLUTE SEMANTIC",ABS('06_ITEM_POLE_MODEL'!AX64),ABS('06_ITEM_POLE_MODEL'!AX64)*ABS(SUMPRODUCT(--('93_TARGET_MEMBERSHIP'!BI$5:BI$27=1),'05_FEATURE_MODEL'!AP$5:AP$27)/MAX(1,COUNTIF('93_TARGET_MEMBERSHIP'!BI$5:BI$27,1))-SUMPRODUCT(--('93_TARGET_MEMBERSHIP'!BI$5:BI$27=-1),'05_FEATURE_MODEL'!AP$5:AP$27)/MAX(1,COUNTIF('93_TARGET_MEMBERSHIP'!BI$5:BI$27,-1))))</f>
        <v/>
      </c>
      <c r="AP64" s="34">
        <f>IF($B64="ABSOLUTE SEMANTIC",ABS('06_ITEM_POLE_MODEL'!AY64),ABS('06_ITEM_POLE_MODEL'!AY64)*ABS(SUMPRODUCT(--('93_TARGET_MEMBERSHIP'!BI$5:BI$27=1),'05_FEATURE_MODEL'!AQ$5:AQ$27)/MAX(1,COUNTIF('93_TARGET_MEMBERSHIP'!BI$5:BI$27,1))-SUMPRODUCT(--('93_TARGET_MEMBERSHIP'!BI$5:BI$27=-1),'05_FEATURE_MODEL'!AQ$5:AQ$27)/MAX(1,COUNTIF('93_TARGET_MEMBERSHIP'!BI$5:BI$27,-1))))</f>
        <v/>
      </c>
      <c r="AQ64" s="34">
        <f>IF($B64="ABSOLUTE SEMANTIC",ABS('06_ITEM_POLE_MODEL'!AZ64),ABS('06_ITEM_POLE_MODEL'!AZ64)*ABS(SUMPRODUCT(--('93_TARGET_MEMBERSHIP'!BI$5:BI$27=1),'05_FEATURE_MODEL'!AR$5:AR$27)/MAX(1,COUNTIF('93_TARGET_MEMBERSHIP'!BI$5:BI$27,1))-SUMPRODUCT(--('93_TARGET_MEMBERSHIP'!BI$5:BI$27=-1),'05_FEATURE_MODEL'!AR$5:AR$27)/MAX(1,COUNTIF('93_TARGET_MEMBERSHIP'!BI$5:BI$27,-1))))</f>
        <v/>
      </c>
    </row>
    <row r="65" ht="36" customHeight="1">
      <c r="A65" s="34">
        <f>'06_ITEM_POLE_MODEL'!A65</f>
        <v/>
      </c>
      <c r="B65" s="34">
        <f>'06_ITEM_POLE_MODEL'!E65</f>
        <v/>
      </c>
      <c r="C65" s="34">
        <f>IF($B65="ABSOLUTE SEMANTIC",ABS('06_ITEM_POLE_MODEL'!L65),ABS('06_ITEM_POLE_MODEL'!L65)*ABS(SUMPRODUCT(--('93_TARGET_MEMBERSHIP'!BJ$5:BJ$27=1),'05_FEATURE_MODEL'!D$5:D$27)/MAX(1,COUNTIF('93_TARGET_MEMBERSHIP'!BJ$5:BJ$27,1))-SUMPRODUCT(--('93_TARGET_MEMBERSHIP'!BJ$5:BJ$27=-1),'05_FEATURE_MODEL'!D$5:D$27)/MAX(1,COUNTIF('93_TARGET_MEMBERSHIP'!BJ$5:BJ$27,-1))))</f>
        <v/>
      </c>
      <c r="D65" s="34">
        <f>IF($B65="ABSOLUTE SEMANTIC",ABS('06_ITEM_POLE_MODEL'!M65),ABS('06_ITEM_POLE_MODEL'!M65)*ABS(SUMPRODUCT(--('93_TARGET_MEMBERSHIP'!BJ$5:BJ$27=1),'05_FEATURE_MODEL'!E$5:E$27)/MAX(1,COUNTIF('93_TARGET_MEMBERSHIP'!BJ$5:BJ$27,1))-SUMPRODUCT(--('93_TARGET_MEMBERSHIP'!BJ$5:BJ$27=-1),'05_FEATURE_MODEL'!E$5:E$27)/MAX(1,COUNTIF('93_TARGET_MEMBERSHIP'!BJ$5:BJ$27,-1))))</f>
        <v/>
      </c>
      <c r="E65" s="34">
        <f>IF($B65="ABSOLUTE SEMANTIC",ABS('06_ITEM_POLE_MODEL'!N65),ABS('06_ITEM_POLE_MODEL'!N65)*ABS(SUMPRODUCT(--('93_TARGET_MEMBERSHIP'!BJ$5:BJ$27=1),'05_FEATURE_MODEL'!F$5:F$27)/MAX(1,COUNTIF('93_TARGET_MEMBERSHIP'!BJ$5:BJ$27,1))-SUMPRODUCT(--('93_TARGET_MEMBERSHIP'!BJ$5:BJ$27=-1),'05_FEATURE_MODEL'!F$5:F$27)/MAX(1,COUNTIF('93_TARGET_MEMBERSHIP'!BJ$5:BJ$27,-1))))</f>
        <v/>
      </c>
      <c r="F65" s="34">
        <f>IF($B65="ABSOLUTE SEMANTIC",ABS('06_ITEM_POLE_MODEL'!O65),ABS('06_ITEM_POLE_MODEL'!O65)*ABS(SUMPRODUCT(--('93_TARGET_MEMBERSHIP'!BJ$5:BJ$27=1),'05_FEATURE_MODEL'!G$5:G$27)/MAX(1,COUNTIF('93_TARGET_MEMBERSHIP'!BJ$5:BJ$27,1))-SUMPRODUCT(--('93_TARGET_MEMBERSHIP'!BJ$5:BJ$27=-1),'05_FEATURE_MODEL'!G$5:G$27)/MAX(1,COUNTIF('93_TARGET_MEMBERSHIP'!BJ$5:BJ$27,-1))))</f>
        <v/>
      </c>
      <c r="G65" s="34">
        <f>IF($B65="ABSOLUTE SEMANTIC",ABS('06_ITEM_POLE_MODEL'!P65),ABS('06_ITEM_POLE_MODEL'!P65)*ABS(SUMPRODUCT(--('93_TARGET_MEMBERSHIP'!BJ$5:BJ$27=1),'05_FEATURE_MODEL'!H$5:H$27)/MAX(1,COUNTIF('93_TARGET_MEMBERSHIP'!BJ$5:BJ$27,1))-SUMPRODUCT(--('93_TARGET_MEMBERSHIP'!BJ$5:BJ$27=-1),'05_FEATURE_MODEL'!H$5:H$27)/MAX(1,COUNTIF('93_TARGET_MEMBERSHIP'!BJ$5:BJ$27,-1))))</f>
        <v/>
      </c>
      <c r="H65" s="34">
        <f>IF($B65="ABSOLUTE SEMANTIC",ABS('06_ITEM_POLE_MODEL'!Q65),ABS('06_ITEM_POLE_MODEL'!Q65)*ABS(SUMPRODUCT(--('93_TARGET_MEMBERSHIP'!BJ$5:BJ$27=1),'05_FEATURE_MODEL'!I$5:I$27)/MAX(1,COUNTIF('93_TARGET_MEMBERSHIP'!BJ$5:BJ$27,1))-SUMPRODUCT(--('93_TARGET_MEMBERSHIP'!BJ$5:BJ$27=-1),'05_FEATURE_MODEL'!I$5:I$27)/MAX(1,COUNTIF('93_TARGET_MEMBERSHIP'!BJ$5:BJ$27,-1))))</f>
        <v/>
      </c>
      <c r="I65" s="34">
        <f>IF($B65="ABSOLUTE SEMANTIC",ABS('06_ITEM_POLE_MODEL'!R65),ABS('06_ITEM_POLE_MODEL'!R65)*ABS(SUMPRODUCT(--('93_TARGET_MEMBERSHIP'!BJ$5:BJ$27=1),'05_FEATURE_MODEL'!J$5:J$27)/MAX(1,COUNTIF('93_TARGET_MEMBERSHIP'!BJ$5:BJ$27,1))-SUMPRODUCT(--('93_TARGET_MEMBERSHIP'!BJ$5:BJ$27=-1),'05_FEATURE_MODEL'!J$5:J$27)/MAX(1,COUNTIF('93_TARGET_MEMBERSHIP'!BJ$5:BJ$27,-1))))</f>
        <v/>
      </c>
      <c r="J65" s="34">
        <f>IF($B65="ABSOLUTE SEMANTIC",ABS('06_ITEM_POLE_MODEL'!S65),ABS('06_ITEM_POLE_MODEL'!S65)*ABS(SUMPRODUCT(--('93_TARGET_MEMBERSHIP'!BJ$5:BJ$27=1),'05_FEATURE_MODEL'!K$5:K$27)/MAX(1,COUNTIF('93_TARGET_MEMBERSHIP'!BJ$5:BJ$27,1))-SUMPRODUCT(--('93_TARGET_MEMBERSHIP'!BJ$5:BJ$27=-1),'05_FEATURE_MODEL'!K$5:K$27)/MAX(1,COUNTIF('93_TARGET_MEMBERSHIP'!BJ$5:BJ$27,-1))))</f>
        <v/>
      </c>
      <c r="K65" s="34">
        <f>IF($B65="ABSOLUTE SEMANTIC",ABS('06_ITEM_POLE_MODEL'!T65),ABS('06_ITEM_POLE_MODEL'!T65)*ABS(SUMPRODUCT(--('93_TARGET_MEMBERSHIP'!BJ$5:BJ$27=1),'05_FEATURE_MODEL'!L$5:L$27)/MAX(1,COUNTIF('93_TARGET_MEMBERSHIP'!BJ$5:BJ$27,1))-SUMPRODUCT(--('93_TARGET_MEMBERSHIP'!BJ$5:BJ$27=-1),'05_FEATURE_MODEL'!L$5:L$27)/MAX(1,COUNTIF('93_TARGET_MEMBERSHIP'!BJ$5:BJ$27,-1))))</f>
        <v/>
      </c>
      <c r="L65" s="34">
        <f>IF($B65="ABSOLUTE SEMANTIC",ABS('06_ITEM_POLE_MODEL'!U65),ABS('06_ITEM_POLE_MODEL'!U65)*ABS(SUMPRODUCT(--('93_TARGET_MEMBERSHIP'!BJ$5:BJ$27=1),'05_FEATURE_MODEL'!M$5:M$27)/MAX(1,COUNTIF('93_TARGET_MEMBERSHIP'!BJ$5:BJ$27,1))-SUMPRODUCT(--('93_TARGET_MEMBERSHIP'!BJ$5:BJ$27=-1),'05_FEATURE_MODEL'!M$5:M$27)/MAX(1,COUNTIF('93_TARGET_MEMBERSHIP'!BJ$5:BJ$27,-1))))</f>
        <v/>
      </c>
      <c r="M65" s="34">
        <f>IF($B65="ABSOLUTE SEMANTIC",ABS('06_ITEM_POLE_MODEL'!V65),ABS('06_ITEM_POLE_MODEL'!V65)*ABS(SUMPRODUCT(--('93_TARGET_MEMBERSHIP'!BJ$5:BJ$27=1),'05_FEATURE_MODEL'!N$5:N$27)/MAX(1,COUNTIF('93_TARGET_MEMBERSHIP'!BJ$5:BJ$27,1))-SUMPRODUCT(--('93_TARGET_MEMBERSHIP'!BJ$5:BJ$27=-1),'05_FEATURE_MODEL'!N$5:N$27)/MAX(1,COUNTIF('93_TARGET_MEMBERSHIP'!BJ$5:BJ$27,-1))))</f>
        <v/>
      </c>
      <c r="N65" s="34">
        <f>IF($B65="ABSOLUTE SEMANTIC",ABS('06_ITEM_POLE_MODEL'!W65),ABS('06_ITEM_POLE_MODEL'!W65)*ABS(SUMPRODUCT(--('93_TARGET_MEMBERSHIP'!BJ$5:BJ$27=1),'05_FEATURE_MODEL'!O$5:O$27)/MAX(1,COUNTIF('93_TARGET_MEMBERSHIP'!BJ$5:BJ$27,1))-SUMPRODUCT(--('93_TARGET_MEMBERSHIP'!BJ$5:BJ$27=-1),'05_FEATURE_MODEL'!O$5:O$27)/MAX(1,COUNTIF('93_TARGET_MEMBERSHIP'!BJ$5:BJ$27,-1))))</f>
        <v/>
      </c>
      <c r="O65" s="34">
        <f>IF($B65="ABSOLUTE SEMANTIC",ABS('06_ITEM_POLE_MODEL'!X65),ABS('06_ITEM_POLE_MODEL'!X65)*ABS(SUMPRODUCT(--('93_TARGET_MEMBERSHIP'!BJ$5:BJ$27=1),'05_FEATURE_MODEL'!P$5:P$27)/MAX(1,COUNTIF('93_TARGET_MEMBERSHIP'!BJ$5:BJ$27,1))-SUMPRODUCT(--('93_TARGET_MEMBERSHIP'!BJ$5:BJ$27=-1),'05_FEATURE_MODEL'!P$5:P$27)/MAX(1,COUNTIF('93_TARGET_MEMBERSHIP'!BJ$5:BJ$27,-1))))</f>
        <v/>
      </c>
      <c r="P65" s="34">
        <f>IF($B65="ABSOLUTE SEMANTIC",ABS('06_ITEM_POLE_MODEL'!Y65),ABS('06_ITEM_POLE_MODEL'!Y65)*ABS(SUMPRODUCT(--('93_TARGET_MEMBERSHIP'!BJ$5:BJ$27=1),'05_FEATURE_MODEL'!Q$5:Q$27)/MAX(1,COUNTIF('93_TARGET_MEMBERSHIP'!BJ$5:BJ$27,1))-SUMPRODUCT(--('93_TARGET_MEMBERSHIP'!BJ$5:BJ$27=-1),'05_FEATURE_MODEL'!Q$5:Q$27)/MAX(1,COUNTIF('93_TARGET_MEMBERSHIP'!BJ$5:BJ$27,-1))))</f>
        <v/>
      </c>
      <c r="Q65" s="34">
        <f>IF($B65="ABSOLUTE SEMANTIC",ABS('06_ITEM_POLE_MODEL'!Z65),ABS('06_ITEM_POLE_MODEL'!Z65)*ABS(SUMPRODUCT(--('93_TARGET_MEMBERSHIP'!BJ$5:BJ$27=1),'05_FEATURE_MODEL'!R$5:R$27)/MAX(1,COUNTIF('93_TARGET_MEMBERSHIP'!BJ$5:BJ$27,1))-SUMPRODUCT(--('93_TARGET_MEMBERSHIP'!BJ$5:BJ$27=-1),'05_FEATURE_MODEL'!R$5:R$27)/MAX(1,COUNTIF('93_TARGET_MEMBERSHIP'!BJ$5:BJ$27,-1))))</f>
        <v/>
      </c>
      <c r="R65" s="34">
        <f>IF($B65="ABSOLUTE SEMANTIC",ABS('06_ITEM_POLE_MODEL'!AA65),ABS('06_ITEM_POLE_MODEL'!AA65)*ABS(SUMPRODUCT(--('93_TARGET_MEMBERSHIP'!BJ$5:BJ$27=1),'05_FEATURE_MODEL'!S$5:S$27)/MAX(1,COUNTIF('93_TARGET_MEMBERSHIP'!BJ$5:BJ$27,1))-SUMPRODUCT(--('93_TARGET_MEMBERSHIP'!BJ$5:BJ$27=-1),'05_FEATURE_MODEL'!S$5:S$27)/MAX(1,COUNTIF('93_TARGET_MEMBERSHIP'!BJ$5:BJ$27,-1))))</f>
        <v/>
      </c>
      <c r="S65" s="34">
        <f>IF($B65="ABSOLUTE SEMANTIC",ABS('06_ITEM_POLE_MODEL'!AB65),ABS('06_ITEM_POLE_MODEL'!AB65)*ABS(SUMPRODUCT(--('93_TARGET_MEMBERSHIP'!BJ$5:BJ$27=1),'05_FEATURE_MODEL'!T$5:T$27)/MAX(1,COUNTIF('93_TARGET_MEMBERSHIP'!BJ$5:BJ$27,1))-SUMPRODUCT(--('93_TARGET_MEMBERSHIP'!BJ$5:BJ$27=-1),'05_FEATURE_MODEL'!T$5:T$27)/MAX(1,COUNTIF('93_TARGET_MEMBERSHIP'!BJ$5:BJ$27,-1))))</f>
        <v/>
      </c>
      <c r="T65" s="34">
        <f>IF($B65="ABSOLUTE SEMANTIC",ABS('06_ITEM_POLE_MODEL'!AC65),ABS('06_ITEM_POLE_MODEL'!AC65)*ABS(SUMPRODUCT(--('93_TARGET_MEMBERSHIP'!BJ$5:BJ$27=1),'05_FEATURE_MODEL'!U$5:U$27)/MAX(1,COUNTIF('93_TARGET_MEMBERSHIP'!BJ$5:BJ$27,1))-SUMPRODUCT(--('93_TARGET_MEMBERSHIP'!BJ$5:BJ$27=-1),'05_FEATURE_MODEL'!U$5:U$27)/MAX(1,COUNTIF('93_TARGET_MEMBERSHIP'!BJ$5:BJ$27,-1))))</f>
        <v/>
      </c>
      <c r="U65" s="34">
        <f>IF($B65="ABSOLUTE SEMANTIC",ABS('06_ITEM_POLE_MODEL'!AD65),ABS('06_ITEM_POLE_MODEL'!AD65)*ABS(SUMPRODUCT(--('93_TARGET_MEMBERSHIP'!BJ$5:BJ$27=1),'05_FEATURE_MODEL'!V$5:V$27)/MAX(1,COUNTIF('93_TARGET_MEMBERSHIP'!BJ$5:BJ$27,1))-SUMPRODUCT(--('93_TARGET_MEMBERSHIP'!BJ$5:BJ$27=-1),'05_FEATURE_MODEL'!V$5:V$27)/MAX(1,COUNTIF('93_TARGET_MEMBERSHIP'!BJ$5:BJ$27,-1))))</f>
        <v/>
      </c>
      <c r="V65" s="34">
        <f>IF($B65="ABSOLUTE SEMANTIC",ABS('06_ITEM_POLE_MODEL'!AE65),ABS('06_ITEM_POLE_MODEL'!AE65)*ABS(SUMPRODUCT(--('93_TARGET_MEMBERSHIP'!BJ$5:BJ$27=1),'05_FEATURE_MODEL'!W$5:W$27)/MAX(1,COUNTIF('93_TARGET_MEMBERSHIP'!BJ$5:BJ$27,1))-SUMPRODUCT(--('93_TARGET_MEMBERSHIP'!BJ$5:BJ$27=-1),'05_FEATURE_MODEL'!W$5:W$27)/MAX(1,COUNTIF('93_TARGET_MEMBERSHIP'!BJ$5:BJ$27,-1))))</f>
        <v/>
      </c>
      <c r="W65" s="34">
        <f>IF($B65="ABSOLUTE SEMANTIC",ABS('06_ITEM_POLE_MODEL'!AF65),ABS('06_ITEM_POLE_MODEL'!AF65)*ABS(SUMPRODUCT(--('93_TARGET_MEMBERSHIP'!BJ$5:BJ$27=1),'05_FEATURE_MODEL'!X$5:X$27)/MAX(1,COUNTIF('93_TARGET_MEMBERSHIP'!BJ$5:BJ$27,1))-SUMPRODUCT(--('93_TARGET_MEMBERSHIP'!BJ$5:BJ$27=-1),'05_FEATURE_MODEL'!X$5:X$27)/MAX(1,COUNTIF('93_TARGET_MEMBERSHIP'!BJ$5:BJ$27,-1))))</f>
        <v/>
      </c>
      <c r="X65" s="34">
        <f>IF($B65="ABSOLUTE SEMANTIC",ABS('06_ITEM_POLE_MODEL'!AG65),ABS('06_ITEM_POLE_MODEL'!AG65)*ABS(SUMPRODUCT(--('93_TARGET_MEMBERSHIP'!BJ$5:BJ$27=1),'05_FEATURE_MODEL'!Y$5:Y$27)/MAX(1,COUNTIF('93_TARGET_MEMBERSHIP'!BJ$5:BJ$27,1))-SUMPRODUCT(--('93_TARGET_MEMBERSHIP'!BJ$5:BJ$27=-1),'05_FEATURE_MODEL'!Y$5:Y$27)/MAX(1,COUNTIF('93_TARGET_MEMBERSHIP'!BJ$5:BJ$27,-1))))</f>
        <v/>
      </c>
      <c r="Y65" s="34">
        <f>IF($B65="ABSOLUTE SEMANTIC",ABS('06_ITEM_POLE_MODEL'!AH65),ABS('06_ITEM_POLE_MODEL'!AH65)*ABS(SUMPRODUCT(--('93_TARGET_MEMBERSHIP'!BJ$5:BJ$27=1),'05_FEATURE_MODEL'!Z$5:Z$27)/MAX(1,COUNTIF('93_TARGET_MEMBERSHIP'!BJ$5:BJ$27,1))-SUMPRODUCT(--('93_TARGET_MEMBERSHIP'!BJ$5:BJ$27=-1),'05_FEATURE_MODEL'!Z$5:Z$27)/MAX(1,COUNTIF('93_TARGET_MEMBERSHIP'!BJ$5:BJ$27,-1))))</f>
        <v/>
      </c>
      <c r="Z65" s="34">
        <f>IF($B65="ABSOLUTE SEMANTIC",ABS('06_ITEM_POLE_MODEL'!AI65),ABS('06_ITEM_POLE_MODEL'!AI65)*ABS(SUMPRODUCT(--('93_TARGET_MEMBERSHIP'!BJ$5:BJ$27=1),'05_FEATURE_MODEL'!AA$5:AA$27)/MAX(1,COUNTIF('93_TARGET_MEMBERSHIP'!BJ$5:BJ$27,1))-SUMPRODUCT(--('93_TARGET_MEMBERSHIP'!BJ$5:BJ$27=-1),'05_FEATURE_MODEL'!AA$5:AA$27)/MAX(1,COUNTIF('93_TARGET_MEMBERSHIP'!BJ$5:BJ$27,-1))))</f>
        <v/>
      </c>
      <c r="AA65" s="34">
        <f>IF($B65="ABSOLUTE SEMANTIC",ABS('06_ITEM_POLE_MODEL'!AJ65),ABS('06_ITEM_POLE_MODEL'!AJ65)*ABS(SUMPRODUCT(--('93_TARGET_MEMBERSHIP'!BJ$5:BJ$27=1),'05_FEATURE_MODEL'!AB$5:AB$27)/MAX(1,COUNTIF('93_TARGET_MEMBERSHIP'!BJ$5:BJ$27,1))-SUMPRODUCT(--('93_TARGET_MEMBERSHIP'!BJ$5:BJ$27=-1),'05_FEATURE_MODEL'!AB$5:AB$27)/MAX(1,COUNTIF('93_TARGET_MEMBERSHIP'!BJ$5:BJ$27,-1))))</f>
        <v/>
      </c>
      <c r="AB65" s="34">
        <f>IF($B65="ABSOLUTE SEMANTIC",ABS('06_ITEM_POLE_MODEL'!AK65),ABS('06_ITEM_POLE_MODEL'!AK65)*ABS(SUMPRODUCT(--('93_TARGET_MEMBERSHIP'!BJ$5:BJ$27=1),'05_FEATURE_MODEL'!AC$5:AC$27)/MAX(1,COUNTIF('93_TARGET_MEMBERSHIP'!BJ$5:BJ$27,1))-SUMPRODUCT(--('93_TARGET_MEMBERSHIP'!BJ$5:BJ$27=-1),'05_FEATURE_MODEL'!AC$5:AC$27)/MAX(1,COUNTIF('93_TARGET_MEMBERSHIP'!BJ$5:BJ$27,-1))))</f>
        <v/>
      </c>
      <c r="AC65" s="34">
        <f>IF($B65="ABSOLUTE SEMANTIC",ABS('06_ITEM_POLE_MODEL'!AL65),ABS('06_ITEM_POLE_MODEL'!AL65)*ABS(SUMPRODUCT(--('93_TARGET_MEMBERSHIP'!BJ$5:BJ$27=1),'05_FEATURE_MODEL'!AD$5:AD$27)/MAX(1,COUNTIF('93_TARGET_MEMBERSHIP'!BJ$5:BJ$27,1))-SUMPRODUCT(--('93_TARGET_MEMBERSHIP'!BJ$5:BJ$27=-1),'05_FEATURE_MODEL'!AD$5:AD$27)/MAX(1,COUNTIF('93_TARGET_MEMBERSHIP'!BJ$5:BJ$27,-1))))</f>
        <v/>
      </c>
      <c r="AD65" s="34">
        <f>IF($B65="ABSOLUTE SEMANTIC",ABS('06_ITEM_POLE_MODEL'!AM65),ABS('06_ITEM_POLE_MODEL'!AM65)*ABS(SUMPRODUCT(--('93_TARGET_MEMBERSHIP'!BJ$5:BJ$27=1),'05_FEATURE_MODEL'!AE$5:AE$27)/MAX(1,COUNTIF('93_TARGET_MEMBERSHIP'!BJ$5:BJ$27,1))-SUMPRODUCT(--('93_TARGET_MEMBERSHIP'!BJ$5:BJ$27=-1),'05_FEATURE_MODEL'!AE$5:AE$27)/MAX(1,COUNTIF('93_TARGET_MEMBERSHIP'!BJ$5:BJ$27,-1))))</f>
        <v/>
      </c>
      <c r="AE65" s="34">
        <f>IF($B65="ABSOLUTE SEMANTIC",ABS('06_ITEM_POLE_MODEL'!AN65),ABS('06_ITEM_POLE_MODEL'!AN65)*ABS(SUMPRODUCT(--('93_TARGET_MEMBERSHIP'!BJ$5:BJ$27=1),'05_FEATURE_MODEL'!AF$5:AF$27)/MAX(1,COUNTIF('93_TARGET_MEMBERSHIP'!BJ$5:BJ$27,1))-SUMPRODUCT(--('93_TARGET_MEMBERSHIP'!BJ$5:BJ$27=-1),'05_FEATURE_MODEL'!AF$5:AF$27)/MAX(1,COUNTIF('93_TARGET_MEMBERSHIP'!BJ$5:BJ$27,-1))))</f>
        <v/>
      </c>
      <c r="AF65" s="34">
        <f>IF($B65="ABSOLUTE SEMANTIC",ABS('06_ITEM_POLE_MODEL'!AO65),ABS('06_ITEM_POLE_MODEL'!AO65)*ABS(SUMPRODUCT(--('93_TARGET_MEMBERSHIP'!BJ$5:BJ$27=1),'05_FEATURE_MODEL'!AG$5:AG$27)/MAX(1,COUNTIF('93_TARGET_MEMBERSHIP'!BJ$5:BJ$27,1))-SUMPRODUCT(--('93_TARGET_MEMBERSHIP'!BJ$5:BJ$27=-1),'05_FEATURE_MODEL'!AG$5:AG$27)/MAX(1,COUNTIF('93_TARGET_MEMBERSHIP'!BJ$5:BJ$27,-1))))</f>
        <v/>
      </c>
      <c r="AG65" s="34">
        <f>IF($B65="ABSOLUTE SEMANTIC",ABS('06_ITEM_POLE_MODEL'!AP65),ABS('06_ITEM_POLE_MODEL'!AP65)*ABS(SUMPRODUCT(--('93_TARGET_MEMBERSHIP'!BJ$5:BJ$27=1),'05_FEATURE_MODEL'!AH$5:AH$27)/MAX(1,COUNTIF('93_TARGET_MEMBERSHIP'!BJ$5:BJ$27,1))-SUMPRODUCT(--('93_TARGET_MEMBERSHIP'!BJ$5:BJ$27=-1),'05_FEATURE_MODEL'!AH$5:AH$27)/MAX(1,COUNTIF('93_TARGET_MEMBERSHIP'!BJ$5:BJ$27,-1))))</f>
        <v/>
      </c>
      <c r="AH65" s="34">
        <f>IF($B65="ABSOLUTE SEMANTIC",ABS('06_ITEM_POLE_MODEL'!AQ65),ABS('06_ITEM_POLE_MODEL'!AQ65)*ABS(SUMPRODUCT(--('93_TARGET_MEMBERSHIP'!BJ$5:BJ$27=1),'05_FEATURE_MODEL'!AI$5:AI$27)/MAX(1,COUNTIF('93_TARGET_MEMBERSHIP'!BJ$5:BJ$27,1))-SUMPRODUCT(--('93_TARGET_MEMBERSHIP'!BJ$5:BJ$27=-1),'05_FEATURE_MODEL'!AI$5:AI$27)/MAX(1,COUNTIF('93_TARGET_MEMBERSHIP'!BJ$5:BJ$27,-1))))</f>
        <v/>
      </c>
      <c r="AI65" s="34">
        <f>IF($B65="ABSOLUTE SEMANTIC",ABS('06_ITEM_POLE_MODEL'!AR65),ABS('06_ITEM_POLE_MODEL'!AR65)*ABS(SUMPRODUCT(--('93_TARGET_MEMBERSHIP'!BJ$5:BJ$27=1),'05_FEATURE_MODEL'!AJ$5:AJ$27)/MAX(1,COUNTIF('93_TARGET_MEMBERSHIP'!BJ$5:BJ$27,1))-SUMPRODUCT(--('93_TARGET_MEMBERSHIP'!BJ$5:BJ$27=-1),'05_FEATURE_MODEL'!AJ$5:AJ$27)/MAX(1,COUNTIF('93_TARGET_MEMBERSHIP'!BJ$5:BJ$27,-1))))</f>
        <v/>
      </c>
      <c r="AJ65" s="34">
        <f>IF($B65="ABSOLUTE SEMANTIC",ABS('06_ITEM_POLE_MODEL'!AS65),ABS('06_ITEM_POLE_MODEL'!AS65)*ABS(SUMPRODUCT(--('93_TARGET_MEMBERSHIP'!BJ$5:BJ$27=1),'05_FEATURE_MODEL'!AK$5:AK$27)/MAX(1,COUNTIF('93_TARGET_MEMBERSHIP'!BJ$5:BJ$27,1))-SUMPRODUCT(--('93_TARGET_MEMBERSHIP'!BJ$5:BJ$27=-1),'05_FEATURE_MODEL'!AK$5:AK$27)/MAX(1,COUNTIF('93_TARGET_MEMBERSHIP'!BJ$5:BJ$27,-1))))</f>
        <v/>
      </c>
      <c r="AK65" s="34">
        <f>IF($B65="ABSOLUTE SEMANTIC",ABS('06_ITEM_POLE_MODEL'!AT65),ABS('06_ITEM_POLE_MODEL'!AT65)*ABS(SUMPRODUCT(--('93_TARGET_MEMBERSHIP'!BJ$5:BJ$27=1),'05_FEATURE_MODEL'!AL$5:AL$27)/MAX(1,COUNTIF('93_TARGET_MEMBERSHIP'!BJ$5:BJ$27,1))-SUMPRODUCT(--('93_TARGET_MEMBERSHIP'!BJ$5:BJ$27=-1),'05_FEATURE_MODEL'!AL$5:AL$27)/MAX(1,COUNTIF('93_TARGET_MEMBERSHIP'!BJ$5:BJ$27,-1))))</f>
        <v/>
      </c>
      <c r="AL65" s="34">
        <f>IF($B65="ABSOLUTE SEMANTIC",ABS('06_ITEM_POLE_MODEL'!AU65),ABS('06_ITEM_POLE_MODEL'!AU65)*ABS(SUMPRODUCT(--('93_TARGET_MEMBERSHIP'!BJ$5:BJ$27=1),'05_FEATURE_MODEL'!AM$5:AM$27)/MAX(1,COUNTIF('93_TARGET_MEMBERSHIP'!BJ$5:BJ$27,1))-SUMPRODUCT(--('93_TARGET_MEMBERSHIP'!BJ$5:BJ$27=-1),'05_FEATURE_MODEL'!AM$5:AM$27)/MAX(1,COUNTIF('93_TARGET_MEMBERSHIP'!BJ$5:BJ$27,-1))))</f>
        <v/>
      </c>
      <c r="AM65" s="34">
        <f>IF($B65="ABSOLUTE SEMANTIC",ABS('06_ITEM_POLE_MODEL'!AV65),ABS('06_ITEM_POLE_MODEL'!AV65)*ABS(SUMPRODUCT(--('93_TARGET_MEMBERSHIP'!BJ$5:BJ$27=1),'05_FEATURE_MODEL'!AN$5:AN$27)/MAX(1,COUNTIF('93_TARGET_MEMBERSHIP'!BJ$5:BJ$27,1))-SUMPRODUCT(--('93_TARGET_MEMBERSHIP'!BJ$5:BJ$27=-1),'05_FEATURE_MODEL'!AN$5:AN$27)/MAX(1,COUNTIF('93_TARGET_MEMBERSHIP'!BJ$5:BJ$27,-1))))</f>
        <v/>
      </c>
      <c r="AN65" s="34">
        <f>IF($B65="ABSOLUTE SEMANTIC",ABS('06_ITEM_POLE_MODEL'!AW65),ABS('06_ITEM_POLE_MODEL'!AW65)*ABS(SUMPRODUCT(--('93_TARGET_MEMBERSHIP'!BJ$5:BJ$27=1),'05_FEATURE_MODEL'!AO$5:AO$27)/MAX(1,COUNTIF('93_TARGET_MEMBERSHIP'!BJ$5:BJ$27,1))-SUMPRODUCT(--('93_TARGET_MEMBERSHIP'!BJ$5:BJ$27=-1),'05_FEATURE_MODEL'!AO$5:AO$27)/MAX(1,COUNTIF('93_TARGET_MEMBERSHIP'!BJ$5:BJ$27,-1))))</f>
        <v/>
      </c>
      <c r="AO65" s="34">
        <f>IF($B65="ABSOLUTE SEMANTIC",ABS('06_ITEM_POLE_MODEL'!AX65),ABS('06_ITEM_POLE_MODEL'!AX65)*ABS(SUMPRODUCT(--('93_TARGET_MEMBERSHIP'!BJ$5:BJ$27=1),'05_FEATURE_MODEL'!AP$5:AP$27)/MAX(1,COUNTIF('93_TARGET_MEMBERSHIP'!BJ$5:BJ$27,1))-SUMPRODUCT(--('93_TARGET_MEMBERSHIP'!BJ$5:BJ$27=-1),'05_FEATURE_MODEL'!AP$5:AP$27)/MAX(1,COUNTIF('93_TARGET_MEMBERSHIP'!BJ$5:BJ$27,-1))))</f>
        <v/>
      </c>
      <c r="AP65" s="34">
        <f>IF($B65="ABSOLUTE SEMANTIC",ABS('06_ITEM_POLE_MODEL'!AY65),ABS('06_ITEM_POLE_MODEL'!AY65)*ABS(SUMPRODUCT(--('93_TARGET_MEMBERSHIP'!BJ$5:BJ$27=1),'05_FEATURE_MODEL'!AQ$5:AQ$27)/MAX(1,COUNTIF('93_TARGET_MEMBERSHIP'!BJ$5:BJ$27,1))-SUMPRODUCT(--('93_TARGET_MEMBERSHIP'!BJ$5:BJ$27=-1),'05_FEATURE_MODEL'!AQ$5:AQ$27)/MAX(1,COUNTIF('93_TARGET_MEMBERSHIP'!BJ$5:BJ$27,-1))))</f>
        <v/>
      </c>
      <c r="AQ65" s="34">
        <f>IF($B65="ABSOLUTE SEMANTIC",ABS('06_ITEM_POLE_MODEL'!AZ65),ABS('06_ITEM_POLE_MODEL'!AZ65)*ABS(SUMPRODUCT(--('93_TARGET_MEMBERSHIP'!BJ$5:BJ$27=1),'05_FEATURE_MODEL'!AR$5:AR$27)/MAX(1,COUNTIF('93_TARGET_MEMBERSHIP'!BJ$5:BJ$27,1))-SUMPRODUCT(--('93_TARGET_MEMBERSHIP'!BJ$5:BJ$27=-1),'05_FEATURE_MODEL'!AR$5:AR$27)/MAX(1,COUNTIF('93_TARGET_MEMBERSHIP'!BJ$5:BJ$27,-1))))</f>
        <v/>
      </c>
    </row>
    <row r="66" ht="36" customHeight="1">
      <c r="A66" s="34">
        <f>'06_ITEM_POLE_MODEL'!A66</f>
        <v/>
      </c>
      <c r="B66" s="34">
        <f>'06_ITEM_POLE_MODEL'!E66</f>
        <v/>
      </c>
      <c r="C66" s="34">
        <f>IF($B66="ABSOLUTE SEMANTIC",ABS('06_ITEM_POLE_MODEL'!L66),ABS('06_ITEM_POLE_MODEL'!L66)*ABS(SUMPRODUCT(--('93_TARGET_MEMBERSHIP'!BK$5:BK$27=1),'05_FEATURE_MODEL'!D$5:D$27)/MAX(1,COUNTIF('93_TARGET_MEMBERSHIP'!BK$5:BK$27,1))-SUMPRODUCT(--('93_TARGET_MEMBERSHIP'!BK$5:BK$27=-1),'05_FEATURE_MODEL'!D$5:D$27)/MAX(1,COUNTIF('93_TARGET_MEMBERSHIP'!BK$5:BK$27,-1))))</f>
        <v/>
      </c>
      <c r="D66" s="34">
        <f>IF($B66="ABSOLUTE SEMANTIC",ABS('06_ITEM_POLE_MODEL'!M66),ABS('06_ITEM_POLE_MODEL'!M66)*ABS(SUMPRODUCT(--('93_TARGET_MEMBERSHIP'!BK$5:BK$27=1),'05_FEATURE_MODEL'!E$5:E$27)/MAX(1,COUNTIF('93_TARGET_MEMBERSHIP'!BK$5:BK$27,1))-SUMPRODUCT(--('93_TARGET_MEMBERSHIP'!BK$5:BK$27=-1),'05_FEATURE_MODEL'!E$5:E$27)/MAX(1,COUNTIF('93_TARGET_MEMBERSHIP'!BK$5:BK$27,-1))))</f>
        <v/>
      </c>
      <c r="E66" s="34">
        <f>IF($B66="ABSOLUTE SEMANTIC",ABS('06_ITEM_POLE_MODEL'!N66),ABS('06_ITEM_POLE_MODEL'!N66)*ABS(SUMPRODUCT(--('93_TARGET_MEMBERSHIP'!BK$5:BK$27=1),'05_FEATURE_MODEL'!F$5:F$27)/MAX(1,COUNTIF('93_TARGET_MEMBERSHIP'!BK$5:BK$27,1))-SUMPRODUCT(--('93_TARGET_MEMBERSHIP'!BK$5:BK$27=-1),'05_FEATURE_MODEL'!F$5:F$27)/MAX(1,COUNTIF('93_TARGET_MEMBERSHIP'!BK$5:BK$27,-1))))</f>
        <v/>
      </c>
      <c r="F66" s="34">
        <f>IF($B66="ABSOLUTE SEMANTIC",ABS('06_ITEM_POLE_MODEL'!O66),ABS('06_ITEM_POLE_MODEL'!O66)*ABS(SUMPRODUCT(--('93_TARGET_MEMBERSHIP'!BK$5:BK$27=1),'05_FEATURE_MODEL'!G$5:G$27)/MAX(1,COUNTIF('93_TARGET_MEMBERSHIP'!BK$5:BK$27,1))-SUMPRODUCT(--('93_TARGET_MEMBERSHIP'!BK$5:BK$27=-1),'05_FEATURE_MODEL'!G$5:G$27)/MAX(1,COUNTIF('93_TARGET_MEMBERSHIP'!BK$5:BK$27,-1))))</f>
        <v/>
      </c>
      <c r="G66" s="34">
        <f>IF($B66="ABSOLUTE SEMANTIC",ABS('06_ITEM_POLE_MODEL'!P66),ABS('06_ITEM_POLE_MODEL'!P66)*ABS(SUMPRODUCT(--('93_TARGET_MEMBERSHIP'!BK$5:BK$27=1),'05_FEATURE_MODEL'!H$5:H$27)/MAX(1,COUNTIF('93_TARGET_MEMBERSHIP'!BK$5:BK$27,1))-SUMPRODUCT(--('93_TARGET_MEMBERSHIP'!BK$5:BK$27=-1),'05_FEATURE_MODEL'!H$5:H$27)/MAX(1,COUNTIF('93_TARGET_MEMBERSHIP'!BK$5:BK$27,-1))))</f>
        <v/>
      </c>
      <c r="H66" s="34">
        <f>IF($B66="ABSOLUTE SEMANTIC",ABS('06_ITEM_POLE_MODEL'!Q66),ABS('06_ITEM_POLE_MODEL'!Q66)*ABS(SUMPRODUCT(--('93_TARGET_MEMBERSHIP'!BK$5:BK$27=1),'05_FEATURE_MODEL'!I$5:I$27)/MAX(1,COUNTIF('93_TARGET_MEMBERSHIP'!BK$5:BK$27,1))-SUMPRODUCT(--('93_TARGET_MEMBERSHIP'!BK$5:BK$27=-1),'05_FEATURE_MODEL'!I$5:I$27)/MAX(1,COUNTIF('93_TARGET_MEMBERSHIP'!BK$5:BK$27,-1))))</f>
        <v/>
      </c>
      <c r="I66" s="34">
        <f>IF($B66="ABSOLUTE SEMANTIC",ABS('06_ITEM_POLE_MODEL'!R66),ABS('06_ITEM_POLE_MODEL'!R66)*ABS(SUMPRODUCT(--('93_TARGET_MEMBERSHIP'!BK$5:BK$27=1),'05_FEATURE_MODEL'!J$5:J$27)/MAX(1,COUNTIF('93_TARGET_MEMBERSHIP'!BK$5:BK$27,1))-SUMPRODUCT(--('93_TARGET_MEMBERSHIP'!BK$5:BK$27=-1),'05_FEATURE_MODEL'!J$5:J$27)/MAX(1,COUNTIF('93_TARGET_MEMBERSHIP'!BK$5:BK$27,-1))))</f>
        <v/>
      </c>
      <c r="J66" s="34">
        <f>IF($B66="ABSOLUTE SEMANTIC",ABS('06_ITEM_POLE_MODEL'!S66),ABS('06_ITEM_POLE_MODEL'!S66)*ABS(SUMPRODUCT(--('93_TARGET_MEMBERSHIP'!BK$5:BK$27=1),'05_FEATURE_MODEL'!K$5:K$27)/MAX(1,COUNTIF('93_TARGET_MEMBERSHIP'!BK$5:BK$27,1))-SUMPRODUCT(--('93_TARGET_MEMBERSHIP'!BK$5:BK$27=-1),'05_FEATURE_MODEL'!K$5:K$27)/MAX(1,COUNTIF('93_TARGET_MEMBERSHIP'!BK$5:BK$27,-1))))</f>
        <v/>
      </c>
      <c r="K66" s="34">
        <f>IF($B66="ABSOLUTE SEMANTIC",ABS('06_ITEM_POLE_MODEL'!T66),ABS('06_ITEM_POLE_MODEL'!T66)*ABS(SUMPRODUCT(--('93_TARGET_MEMBERSHIP'!BK$5:BK$27=1),'05_FEATURE_MODEL'!L$5:L$27)/MAX(1,COUNTIF('93_TARGET_MEMBERSHIP'!BK$5:BK$27,1))-SUMPRODUCT(--('93_TARGET_MEMBERSHIP'!BK$5:BK$27=-1),'05_FEATURE_MODEL'!L$5:L$27)/MAX(1,COUNTIF('93_TARGET_MEMBERSHIP'!BK$5:BK$27,-1))))</f>
        <v/>
      </c>
      <c r="L66" s="34">
        <f>IF($B66="ABSOLUTE SEMANTIC",ABS('06_ITEM_POLE_MODEL'!U66),ABS('06_ITEM_POLE_MODEL'!U66)*ABS(SUMPRODUCT(--('93_TARGET_MEMBERSHIP'!BK$5:BK$27=1),'05_FEATURE_MODEL'!M$5:M$27)/MAX(1,COUNTIF('93_TARGET_MEMBERSHIP'!BK$5:BK$27,1))-SUMPRODUCT(--('93_TARGET_MEMBERSHIP'!BK$5:BK$27=-1),'05_FEATURE_MODEL'!M$5:M$27)/MAX(1,COUNTIF('93_TARGET_MEMBERSHIP'!BK$5:BK$27,-1))))</f>
        <v/>
      </c>
      <c r="M66" s="34">
        <f>IF($B66="ABSOLUTE SEMANTIC",ABS('06_ITEM_POLE_MODEL'!V66),ABS('06_ITEM_POLE_MODEL'!V66)*ABS(SUMPRODUCT(--('93_TARGET_MEMBERSHIP'!BK$5:BK$27=1),'05_FEATURE_MODEL'!N$5:N$27)/MAX(1,COUNTIF('93_TARGET_MEMBERSHIP'!BK$5:BK$27,1))-SUMPRODUCT(--('93_TARGET_MEMBERSHIP'!BK$5:BK$27=-1),'05_FEATURE_MODEL'!N$5:N$27)/MAX(1,COUNTIF('93_TARGET_MEMBERSHIP'!BK$5:BK$27,-1))))</f>
        <v/>
      </c>
      <c r="N66" s="34">
        <f>IF($B66="ABSOLUTE SEMANTIC",ABS('06_ITEM_POLE_MODEL'!W66),ABS('06_ITEM_POLE_MODEL'!W66)*ABS(SUMPRODUCT(--('93_TARGET_MEMBERSHIP'!BK$5:BK$27=1),'05_FEATURE_MODEL'!O$5:O$27)/MAX(1,COUNTIF('93_TARGET_MEMBERSHIP'!BK$5:BK$27,1))-SUMPRODUCT(--('93_TARGET_MEMBERSHIP'!BK$5:BK$27=-1),'05_FEATURE_MODEL'!O$5:O$27)/MAX(1,COUNTIF('93_TARGET_MEMBERSHIP'!BK$5:BK$27,-1))))</f>
        <v/>
      </c>
      <c r="O66" s="34">
        <f>IF($B66="ABSOLUTE SEMANTIC",ABS('06_ITEM_POLE_MODEL'!X66),ABS('06_ITEM_POLE_MODEL'!X66)*ABS(SUMPRODUCT(--('93_TARGET_MEMBERSHIP'!BK$5:BK$27=1),'05_FEATURE_MODEL'!P$5:P$27)/MAX(1,COUNTIF('93_TARGET_MEMBERSHIP'!BK$5:BK$27,1))-SUMPRODUCT(--('93_TARGET_MEMBERSHIP'!BK$5:BK$27=-1),'05_FEATURE_MODEL'!P$5:P$27)/MAX(1,COUNTIF('93_TARGET_MEMBERSHIP'!BK$5:BK$27,-1))))</f>
        <v/>
      </c>
      <c r="P66" s="34">
        <f>IF($B66="ABSOLUTE SEMANTIC",ABS('06_ITEM_POLE_MODEL'!Y66),ABS('06_ITEM_POLE_MODEL'!Y66)*ABS(SUMPRODUCT(--('93_TARGET_MEMBERSHIP'!BK$5:BK$27=1),'05_FEATURE_MODEL'!Q$5:Q$27)/MAX(1,COUNTIF('93_TARGET_MEMBERSHIP'!BK$5:BK$27,1))-SUMPRODUCT(--('93_TARGET_MEMBERSHIP'!BK$5:BK$27=-1),'05_FEATURE_MODEL'!Q$5:Q$27)/MAX(1,COUNTIF('93_TARGET_MEMBERSHIP'!BK$5:BK$27,-1))))</f>
        <v/>
      </c>
      <c r="Q66" s="34">
        <f>IF($B66="ABSOLUTE SEMANTIC",ABS('06_ITEM_POLE_MODEL'!Z66),ABS('06_ITEM_POLE_MODEL'!Z66)*ABS(SUMPRODUCT(--('93_TARGET_MEMBERSHIP'!BK$5:BK$27=1),'05_FEATURE_MODEL'!R$5:R$27)/MAX(1,COUNTIF('93_TARGET_MEMBERSHIP'!BK$5:BK$27,1))-SUMPRODUCT(--('93_TARGET_MEMBERSHIP'!BK$5:BK$27=-1),'05_FEATURE_MODEL'!R$5:R$27)/MAX(1,COUNTIF('93_TARGET_MEMBERSHIP'!BK$5:BK$27,-1))))</f>
        <v/>
      </c>
      <c r="R66" s="34">
        <f>IF($B66="ABSOLUTE SEMANTIC",ABS('06_ITEM_POLE_MODEL'!AA66),ABS('06_ITEM_POLE_MODEL'!AA66)*ABS(SUMPRODUCT(--('93_TARGET_MEMBERSHIP'!BK$5:BK$27=1),'05_FEATURE_MODEL'!S$5:S$27)/MAX(1,COUNTIF('93_TARGET_MEMBERSHIP'!BK$5:BK$27,1))-SUMPRODUCT(--('93_TARGET_MEMBERSHIP'!BK$5:BK$27=-1),'05_FEATURE_MODEL'!S$5:S$27)/MAX(1,COUNTIF('93_TARGET_MEMBERSHIP'!BK$5:BK$27,-1))))</f>
        <v/>
      </c>
      <c r="S66" s="34">
        <f>IF($B66="ABSOLUTE SEMANTIC",ABS('06_ITEM_POLE_MODEL'!AB66),ABS('06_ITEM_POLE_MODEL'!AB66)*ABS(SUMPRODUCT(--('93_TARGET_MEMBERSHIP'!BK$5:BK$27=1),'05_FEATURE_MODEL'!T$5:T$27)/MAX(1,COUNTIF('93_TARGET_MEMBERSHIP'!BK$5:BK$27,1))-SUMPRODUCT(--('93_TARGET_MEMBERSHIP'!BK$5:BK$27=-1),'05_FEATURE_MODEL'!T$5:T$27)/MAX(1,COUNTIF('93_TARGET_MEMBERSHIP'!BK$5:BK$27,-1))))</f>
        <v/>
      </c>
      <c r="T66" s="34">
        <f>IF($B66="ABSOLUTE SEMANTIC",ABS('06_ITEM_POLE_MODEL'!AC66),ABS('06_ITEM_POLE_MODEL'!AC66)*ABS(SUMPRODUCT(--('93_TARGET_MEMBERSHIP'!BK$5:BK$27=1),'05_FEATURE_MODEL'!U$5:U$27)/MAX(1,COUNTIF('93_TARGET_MEMBERSHIP'!BK$5:BK$27,1))-SUMPRODUCT(--('93_TARGET_MEMBERSHIP'!BK$5:BK$27=-1),'05_FEATURE_MODEL'!U$5:U$27)/MAX(1,COUNTIF('93_TARGET_MEMBERSHIP'!BK$5:BK$27,-1))))</f>
        <v/>
      </c>
      <c r="U66" s="34">
        <f>IF($B66="ABSOLUTE SEMANTIC",ABS('06_ITEM_POLE_MODEL'!AD66),ABS('06_ITEM_POLE_MODEL'!AD66)*ABS(SUMPRODUCT(--('93_TARGET_MEMBERSHIP'!BK$5:BK$27=1),'05_FEATURE_MODEL'!V$5:V$27)/MAX(1,COUNTIF('93_TARGET_MEMBERSHIP'!BK$5:BK$27,1))-SUMPRODUCT(--('93_TARGET_MEMBERSHIP'!BK$5:BK$27=-1),'05_FEATURE_MODEL'!V$5:V$27)/MAX(1,COUNTIF('93_TARGET_MEMBERSHIP'!BK$5:BK$27,-1))))</f>
        <v/>
      </c>
      <c r="V66" s="34">
        <f>IF($B66="ABSOLUTE SEMANTIC",ABS('06_ITEM_POLE_MODEL'!AE66),ABS('06_ITEM_POLE_MODEL'!AE66)*ABS(SUMPRODUCT(--('93_TARGET_MEMBERSHIP'!BK$5:BK$27=1),'05_FEATURE_MODEL'!W$5:W$27)/MAX(1,COUNTIF('93_TARGET_MEMBERSHIP'!BK$5:BK$27,1))-SUMPRODUCT(--('93_TARGET_MEMBERSHIP'!BK$5:BK$27=-1),'05_FEATURE_MODEL'!W$5:W$27)/MAX(1,COUNTIF('93_TARGET_MEMBERSHIP'!BK$5:BK$27,-1))))</f>
        <v/>
      </c>
      <c r="W66" s="34">
        <f>IF($B66="ABSOLUTE SEMANTIC",ABS('06_ITEM_POLE_MODEL'!AF66),ABS('06_ITEM_POLE_MODEL'!AF66)*ABS(SUMPRODUCT(--('93_TARGET_MEMBERSHIP'!BK$5:BK$27=1),'05_FEATURE_MODEL'!X$5:X$27)/MAX(1,COUNTIF('93_TARGET_MEMBERSHIP'!BK$5:BK$27,1))-SUMPRODUCT(--('93_TARGET_MEMBERSHIP'!BK$5:BK$27=-1),'05_FEATURE_MODEL'!X$5:X$27)/MAX(1,COUNTIF('93_TARGET_MEMBERSHIP'!BK$5:BK$27,-1))))</f>
        <v/>
      </c>
      <c r="X66" s="34">
        <f>IF($B66="ABSOLUTE SEMANTIC",ABS('06_ITEM_POLE_MODEL'!AG66),ABS('06_ITEM_POLE_MODEL'!AG66)*ABS(SUMPRODUCT(--('93_TARGET_MEMBERSHIP'!BK$5:BK$27=1),'05_FEATURE_MODEL'!Y$5:Y$27)/MAX(1,COUNTIF('93_TARGET_MEMBERSHIP'!BK$5:BK$27,1))-SUMPRODUCT(--('93_TARGET_MEMBERSHIP'!BK$5:BK$27=-1),'05_FEATURE_MODEL'!Y$5:Y$27)/MAX(1,COUNTIF('93_TARGET_MEMBERSHIP'!BK$5:BK$27,-1))))</f>
        <v/>
      </c>
      <c r="Y66" s="34">
        <f>IF($B66="ABSOLUTE SEMANTIC",ABS('06_ITEM_POLE_MODEL'!AH66),ABS('06_ITEM_POLE_MODEL'!AH66)*ABS(SUMPRODUCT(--('93_TARGET_MEMBERSHIP'!BK$5:BK$27=1),'05_FEATURE_MODEL'!Z$5:Z$27)/MAX(1,COUNTIF('93_TARGET_MEMBERSHIP'!BK$5:BK$27,1))-SUMPRODUCT(--('93_TARGET_MEMBERSHIP'!BK$5:BK$27=-1),'05_FEATURE_MODEL'!Z$5:Z$27)/MAX(1,COUNTIF('93_TARGET_MEMBERSHIP'!BK$5:BK$27,-1))))</f>
        <v/>
      </c>
      <c r="Z66" s="34">
        <f>IF($B66="ABSOLUTE SEMANTIC",ABS('06_ITEM_POLE_MODEL'!AI66),ABS('06_ITEM_POLE_MODEL'!AI66)*ABS(SUMPRODUCT(--('93_TARGET_MEMBERSHIP'!BK$5:BK$27=1),'05_FEATURE_MODEL'!AA$5:AA$27)/MAX(1,COUNTIF('93_TARGET_MEMBERSHIP'!BK$5:BK$27,1))-SUMPRODUCT(--('93_TARGET_MEMBERSHIP'!BK$5:BK$27=-1),'05_FEATURE_MODEL'!AA$5:AA$27)/MAX(1,COUNTIF('93_TARGET_MEMBERSHIP'!BK$5:BK$27,-1))))</f>
        <v/>
      </c>
      <c r="AA66" s="34">
        <f>IF($B66="ABSOLUTE SEMANTIC",ABS('06_ITEM_POLE_MODEL'!AJ66),ABS('06_ITEM_POLE_MODEL'!AJ66)*ABS(SUMPRODUCT(--('93_TARGET_MEMBERSHIP'!BK$5:BK$27=1),'05_FEATURE_MODEL'!AB$5:AB$27)/MAX(1,COUNTIF('93_TARGET_MEMBERSHIP'!BK$5:BK$27,1))-SUMPRODUCT(--('93_TARGET_MEMBERSHIP'!BK$5:BK$27=-1),'05_FEATURE_MODEL'!AB$5:AB$27)/MAX(1,COUNTIF('93_TARGET_MEMBERSHIP'!BK$5:BK$27,-1))))</f>
        <v/>
      </c>
      <c r="AB66" s="34">
        <f>IF($B66="ABSOLUTE SEMANTIC",ABS('06_ITEM_POLE_MODEL'!AK66),ABS('06_ITEM_POLE_MODEL'!AK66)*ABS(SUMPRODUCT(--('93_TARGET_MEMBERSHIP'!BK$5:BK$27=1),'05_FEATURE_MODEL'!AC$5:AC$27)/MAX(1,COUNTIF('93_TARGET_MEMBERSHIP'!BK$5:BK$27,1))-SUMPRODUCT(--('93_TARGET_MEMBERSHIP'!BK$5:BK$27=-1),'05_FEATURE_MODEL'!AC$5:AC$27)/MAX(1,COUNTIF('93_TARGET_MEMBERSHIP'!BK$5:BK$27,-1))))</f>
        <v/>
      </c>
      <c r="AC66" s="34">
        <f>IF($B66="ABSOLUTE SEMANTIC",ABS('06_ITEM_POLE_MODEL'!AL66),ABS('06_ITEM_POLE_MODEL'!AL66)*ABS(SUMPRODUCT(--('93_TARGET_MEMBERSHIP'!BK$5:BK$27=1),'05_FEATURE_MODEL'!AD$5:AD$27)/MAX(1,COUNTIF('93_TARGET_MEMBERSHIP'!BK$5:BK$27,1))-SUMPRODUCT(--('93_TARGET_MEMBERSHIP'!BK$5:BK$27=-1),'05_FEATURE_MODEL'!AD$5:AD$27)/MAX(1,COUNTIF('93_TARGET_MEMBERSHIP'!BK$5:BK$27,-1))))</f>
        <v/>
      </c>
      <c r="AD66" s="34">
        <f>IF($B66="ABSOLUTE SEMANTIC",ABS('06_ITEM_POLE_MODEL'!AM66),ABS('06_ITEM_POLE_MODEL'!AM66)*ABS(SUMPRODUCT(--('93_TARGET_MEMBERSHIP'!BK$5:BK$27=1),'05_FEATURE_MODEL'!AE$5:AE$27)/MAX(1,COUNTIF('93_TARGET_MEMBERSHIP'!BK$5:BK$27,1))-SUMPRODUCT(--('93_TARGET_MEMBERSHIP'!BK$5:BK$27=-1),'05_FEATURE_MODEL'!AE$5:AE$27)/MAX(1,COUNTIF('93_TARGET_MEMBERSHIP'!BK$5:BK$27,-1))))</f>
        <v/>
      </c>
      <c r="AE66" s="34">
        <f>IF($B66="ABSOLUTE SEMANTIC",ABS('06_ITEM_POLE_MODEL'!AN66),ABS('06_ITEM_POLE_MODEL'!AN66)*ABS(SUMPRODUCT(--('93_TARGET_MEMBERSHIP'!BK$5:BK$27=1),'05_FEATURE_MODEL'!AF$5:AF$27)/MAX(1,COUNTIF('93_TARGET_MEMBERSHIP'!BK$5:BK$27,1))-SUMPRODUCT(--('93_TARGET_MEMBERSHIP'!BK$5:BK$27=-1),'05_FEATURE_MODEL'!AF$5:AF$27)/MAX(1,COUNTIF('93_TARGET_MEMBERSHIP'!BK$5:BK$27,-1))))</f>
        <v/>
      </c>
      <c r="AF66" s="34">
        <f>IF($B66="ABSOLUTE SEMANTIC",ABS('06_ITEM_POLE_MODEL'!AO66),ABS('06_ITEM_POLE_MODEL'!AO66)*ABS(SUMPRODUCT(--('93_TARGET_MEMBERSHIP'!BK$5:BK$27=1),'05_FEATURE_MODEL'!AG$5:AG$27)/MAX(1,COUNTIF('93_TARGET_MEMBERSHIP'!BK$5:BK$27,1))-SUMPRODUCT(--('93_TARGET_MEMBERSHIP'!BK$5:BK$27=-1),'05_FEATURE_MODEL'!AG$5:AG$27)/MAX(1,COUNTIF('93_TARGET_MEMBERSHIP'!BK$5:BK$27,-1))))</f>
        <v/>
      </c>
      <c r="AG66" s="34">
        <f>IF($B66="ABSOLUTE SEMANTIC",ABS('06_ITEM_POLE_MODEL'!AP66),ABS('06_ITEM_POLE_MODEL'!AP66)*ABS(SUMPRODUCT(--('93_TARGET_MEMBERSHIP'!BK$5:BK$27=1),'05_FEATURE_MODEL'!AH$5:AH$27)/MAX(1,COUNTIF('93_TARGET_MEMBERSHIP'!BK$5:BK$27,1))-SUMPRODUCT(--('93_TARGET_MEMBERSHIP'!BK$5:BK$27=-1),'05_FEATURE_MODEL'!AH$5:AH$27)/MAX(1,COUNTIF('93_TARGET_MEMBERSHIP'!BK$5:BK$27,-1))))</f>
        <v/>
      </c>
      <c r="AH66" s="34">
        <f>IF($B66="ABSOLUTE SEMANTIC",ABS('06_ITEM_POLE_MODEL'!AQ66),ABS('06_ITEM_POLE_MODEL'!AQ66)*ABS(SUMPRODUCT(--('93_TARGET_MEMBERSHIP'!BK$5:BK$27=1),'05_FEATURE_MODEL'!AI$5:AI$27)/MAX(1,COUNTIF('93_TARGET_MEMBERSHIP'!BK$5:BK$27,1))-SUMPRODUCT(--('93_TARGET_MEMBERSHIP'!BK$5:BK$27=-1),'05_FEATURE_MODEL'!AI$5:AI$27)/MAX(1,COUNTIF('93_TARGET_MEMBERSHIP'!BK$5:BK$27,-1))))</f>
        <v/>
      </c>
      <c r="AI66" s="34">
        <f>IF($B66="ABSOLUTE SEMANTIC",ABS('06_ITEM_POLE_MODEL'!AR66),ABS('06_ITEM_POLE_MODEL'!AR66)*ABS(SUMPRODUCT(--('93_TARGET_MEMBERSHIP'!BK$5:BK$27=1),'05_FEATURE_MODEL'!AJ$5:AJ$27)/MAX(1,COUNTIF('93_TARGET_MEMBERSHIP'!BK$5:BK$27,1))-SUMPRODUCT(--('93_TARGET_MEMBERSHIP'!BK$5:BK$27=-1),'05_FEATURE_MODEL'!AJ$5:AJ$27)/MAX(1,COUNTIF('93_TARGET_MEMBERSHIP'!BK$5:BK$27,-1))))</f>
        <v/>
      </c>
      <c r="AJ66" s="34">
        <f>IF($B66="ABSOLUTE SEMANTIC",ABS('06_ITEM_POLE_MODEL'!AS66),ABS('06_ITEM_POLE_MODEL'!AS66)*ABS(SUMPRODUCT(--('93_TARGET_MEMBERSHIP'!BK$5:BK$27=1),'05_FEATURE_MODEL'!AK$5:AK$27)/MAX(1,COUNTIF('93_TARGET_MEMBERSHIP'!BK$5:BK$27,1))-SUMPRODUCT(--('93_TARGET_MEMBERSHIP'!BK$5:BK$27=-1),'05_FEATURE_MODEL'!AK$5:AK$27)/MAX(1,COUNTIF('93_TARGET_MEMBERSHIP'!BK$5:BK$27,-1))))</f>
        <v/>
      </c>
      <c r="AK66" s="34">
        <f>IF($B66="ABSOLUTE SEMANTIC",ABS('06_ITEM_POLE_MODEL'!AT66),ABS('06_ITEM_POLE_MODEL'!AT66)*ABS(SUMPRODUCT(--('93_TARGET_MEMBERSHIP'!BK$5:BK$27=1),'05_FEATURE_MODEL'!AL$5:AL$27)/MAX(1,COUNTIF('93_TARGET_MEMBERSHIP'!BK$5:BK$27,1))-SUMPRODUCT(--('93_TARGET_MEMBERSHIP'!BK$5:BK$27=-1),'05_FEATURE_MODEL'!AL$5:AL$27)/MAX(1,COUNTIF('93_TARGET_MEMBERSHIP'!BK$5:BK$27,-1))))</f>
        <v/>
      </c>
      <c r="AL66" s="34">
        <f>IF($B66="ABSOLUTE SEMANTIC",ABS('06_ITEM_POLE_MODEL'!AU66),ABS('06_ITEM_POLE_MODEL'!AU66)*ABS(SUMPRODUCT(--('93_TARGET_MEMBERSHIP'!BK$5:BK$27=1),'05_FEATURE_MODEL'!AM$5:AM$27)/MAX(1,COUNTIF('93_TARGET_MEMBERSHIP'!BK$5:BK$27,1))-SUMPRODUCT(--('93_TARGET_MEMBERSHIP'!BK$5:BK$27=-1),'05_FEATURE_MODEL'!AM$5:AM$27)/MAX(1,COUNTIF('93_TARGET_MEMBERSHIP'!BK$5:BK$27,-1))))</f>
        <v/>
      </c>
      <c r="AM66" s="34">
        <f>IF($B66="ABSOLUTE SEMANTIC",ABS('06_ITEM_POLE_MODEL'!AV66),ABS('06_ITEM_POLE_MODEL'!AV66)*ABS(SUMPRODUCT(--('93_TARGET_MEMBERSHIP'!BK$5:BK$27=1),'05_FEATURE_MODEL'!AN$5:AN$27)/MAX(1,COUNTIF('93_TARGET_MEMBERSHIP'!BK$5:BK$27,1))-SUMPRODUCT(--('93_TARGET_MEMBERSHIP'!BK$5:BK$27=-1),'05_FEATURE_MODEL'!AN$5:AN$27)/MAX(1,COUNTIF('93_TARGET_MEMBERSHIP'!BK$5:BK$27,-1))))</f>
        <v/>
      </c>
      <c r="AN66" s="34">
        <f>IF($B66="ABSOLUTE SEMANTIC",ABS('06_ITEM_POLE_MODEL'!AW66),ABS('06_ITEM_POLE_MODEL'!AW66)*ABS(SUMPRODUCT(--('93_TARGET_MEMBERSHIP'!BK$5:BK$27=1),'05_FEATURE_MODEL'!AO$5:AO$27)/MAX(1,COUNTIF('93_TARGET_MEMBERSHIP'!BK$5:BK$27,1))-SUMPRODUCT(--('93_TARGET_MEMBERSHIP'!BK$5:BK$27=-1),'05_FEATURE_MODEL'!AO$5:AO$27)/MAX(1,COUNTIF('93_TARGET_MEMBERSHIP'!BK$5:BK$27,-1))))</f>
        <v/>
      </c>
      <c r="AO66" s="34">
        <f>IF($B66="ABSOLUTE SEMANTIC",ABS('06_ITEM_POLE_MODEL'!AX66),ABS('06_ITEM_POLE_MODEL'!AX66)*ABS(SUMPRODUCT(--('93_TARGET_MEMBERSHIP'!BK$5:BK$27=1),'05_FEATURE_MODEL'!AP$5:AP$27)/MAX(1,COUNTIF('93_TARGET_MEMBERSHIP'!BK$5:BK$27,1))-SUMPRODUCT(--('93_TARGET_MEMBERSHIP'!BK$5:BK$27=-1),'05_FEATURE_MODEL'!AP$5:AP$27)/MAX(1,COUNTIF('93_TARGET_MEMBERSHIP'!BK$5:BK$27,-1))))</f>
        <v/>
      </c>
      <c r="AP66" s="34">
        <f>IF($B66="ABSOLUTE SEMANTIC",ABS('06_ITEM_POLE_MODEL'!AY66),ABS('06_ITEM_POLE_MODEL'!AY66)*ABS(SUMPRODUCT(--('93_TARGET_MEMBERSHIP'!BK$5:BK$27=1),'05_FEATURE_MODEL'!AQ$5:AQ$27)/MAX(1,COUNTIF('93_TARGET_MEMBERSHIP'!BK$5:BK$27,1))-SUMPRODUCT(--('93_TARGET_MEMBERSHIP'!BK$5:BK$27=-1),'05_FEATURE_MODEL'!AQ$5:AQ$27)/MAX(1,COUNTIF('93_TARGET_MEMBERSHIP'!BK$5:BK$27,-1))))</f>
        <v/>
      </c>
      <c r="AQ66" s="34">
        <f>IF($B66="ABSOLUTE SEMANTIC",ABS('06_ITEM_POLE_MODEL'!AZ66),ABS('06_ITEM_POLE_MODEL'!AZ66)*ABS(SUMPRODUCT(--('93_TARGET_MEMBERSHIP'!BK$5:BK$27=1),'05_FEATURE_MODEL'!AR$5:AR$27)/MAX(1,COUNTIF('93_TARGET_MEMBERSHIP'!BK$5:BK$27,1))-SUMPRODUCT(--('93_TARGET_MEMBERSHIP'!BK$5:BK$27=-1),'05_FEATURE_MODEL'!AR$5:AR$27)/MAX(1,COUNTIF('93_TARGET_MEMBERSHIP'!BK$5:BK$27,-1))))</f>
        <v/>
      </c>
    </row>
    <row r="67" ht="36" customHeight="1">
      <c r="A67" s="34">
        <f>'06_ITEM_POLE_MODEL'!A67</f>
        <v/>
      </c>
      <c r="B67" s="34">
        <f>'06_ITEM_POLE_MODEL'!E67</f>
        <v/>
      </c>
      <c r="C67" s="34">
        <f>IF($B67="ABSOLUTE SEMANTIC",ABS('06_ITEM_POLE_MODEL'!L67),ABS('06_ITEM_POLE_MODEL'!L67)*ABS(SUMPRODUCT(--('93_TARGET_MEMBERSHIP'!BL$5:BL$27=1),'05_FEATURE_MODEL'!D$5:D$27)/MAX(1,COUNTIF('93_TARGET_MEMBERSHIP'!BL$5:BL$27,1))-SUMPRODUCT(--('93_TARGET_MEMBERSHIP'!BL$5:BL$27=-1),'05_FEATURE_MODEL'!D$5:D$27)/MAX(1,COUNTIF('93_TARGET_MEMBERSHIP'!BL$5:BL$27,-1))))</f>
        <v/>
      </c>
      <c r="D67" s="34">
        <f>IF($B67="ABSOLUTE SEMANTIC",ABS('06_ITEM_POLE_MODEL'!M67),ABS('06_ITEM_POLE_MODEL'!M67)*ABS(SUMPRODUCT(--('93_TARGET_MEMBERSHIP'!BL$5:BL$27=1),'05_FEATURE_MODEL'!E$5:E$27)/MAX(1,COUNTIF('93_TARGET_MEMBERSHIP'!BL$5:BL$27,1))-SUMPRODUCT(--('93_TARGET_MEMBERSHIP'!BL$5:BL$27=-1),'05_FEATURE_MODEL'!E$5:E$27)/MAX(1,COUNTIF('93_TARGET_MEMBERSHIP'!BL$5:BL$27,-1))))</f>
        <v/>
      </c>
      <c r="E67" s="34">
        <f>IF($B67="ABSOLUTE SEMANTIC",ABS('06_ITEM_POLE_MODEL'!N67),ABS('06_ITEM_POLE_MODEL'!N67)*ABS(SUMPRODUCT(--('93_TARGET_MEMBERSHIP'!BL$5:BL$27=1),'05_FEATURE_MODEL'!F$5:F$27)/MAX(1,COUNTIF('93_TARGET_MEMBERSHIP'!BL$5:BL$27,1))-SUMPRODUCT(--('93_TARGET_MEMBERSHIP'!BL$5:BL$27=-1),'05_FEATURE_MODEL'!F$5:F$27)/MAX(1,COUNTIF('93_TARGET_MEMBERSHIP'!BL$5:BL$27,-1))))</f>
        <v/>
      </c>
      <c r="F67" s="34">
        <f>IF($B67="ABSOLUTE SEMANTIC",ABS('06_ITEM_POLE_MODEL'!O67),ABS('06_ITEM_POLE_MODEL'!O67)*ABS(SUMPRODUCT(--('93_TARGET_MEMBERSHIP'!BL$5:BL$27=1),'05_FEATURE_MODEL'!G$5:G$27)/MAX(1,COUNTIF('93_TARGET_MEMBERSHIP'!BL$5:BL$27,1))-SUMPRODUCT(--('93_TARGET_MEMBERSHIP'!BL$5:BL$27=-1),'05_FEATURE_MODEL'!G$5:G$27)/MAX(1,COUNTIF('93_TARGET_MEMBERSHIP'!BL$5:BL$27,-1))))</f>
        <v/>
      </c>
      <c r="G67" s="34">
        <f>IF($B67="ABSOLUTE SEMANTIC",ABS('06_ITEM_POLE_MODEL'!P67),ABS('06_ITEM_POLE_MODEL'!P67)*ABS(SUMPRODUCT(--('93_TARGET_MEMBERSHIP'!BL$5:BL$27=1),'05_FEATURE_MODEL'!H$5:H$27)/MAX(1,COUNTIF('93_TARGET_MEMBERSHIP'!BL$5:BL$27,1))-SUMPRODUCT(--('93_TARGET_MEMBERSHIP'!BL$5:BL$27=-1),'05_FEATURE_MODEL'!H$5:H$27)/MAX(1,COUNTIF('93_TARGET_MEMBERSHIP'!BL$5:BL$27,-1))))</f>
        <v/>
      </c>
      <c r="H67" s="34">
        <f>IF($B67="ABSOLUTE SEMANTIC",ABS('06_ITEM_POLE_MODEL'!Q67),ABS('06_ITEM_POLE_MODEL'!Q67)*ABS(SUMPRODUCT(--('93_TARGET_MEMBERSHIP'!BL$5:BL$27=1),'05_FEATURE_MODEL'!I$5:I$27)/MAX(1,COUNTIF('93_TARGET_MEMBERSHIP'!BL$5:BL$27,1))-SUMPRODUCT(--('93_TARGET_MEMBERSHIP'!BL$5:BL$27=-1),'05_FEATURE_MODEL'!I$5:I$27)/MAX(1,COUNTIF('93_TARGET_MEMBERSHIP'!BL$5:BL$27,-1))))</f>
        <v/>
      </c>
      <c r="I67" s="34">
        <f>IF($B67="ABSOLUTE SEMANTIC",ABS('06_ITEM_POLE_MODEL'!R67),ABS('06_ITEM_POLE_MODEL'!R67)*ABS(SUMPRODUCT(--('93_TARGET_MEMBERSHIP'!BL$5:BL$27=1),'05_FEATURE_MODEL'!J$5:J$27)/MAX(1,COUNTIF('93_TARGET_MEMBERSHIP'!BL$5:BL$27,1))-SUMPRODUCT(--('93_TARGET_MEMBERSHIP'!BL$5:BL$27=-1),'05_FEATURE_MODEL'!J$5:J$27)/MAX(1,COUNTIF('93_TARGET_MEMBERSHIP'!BL$5:BL$27,-1))))</f>
        <v/>
      </c>
      <c r="J67" s="34">
        <f>IF($B67="ABSOLUTE SEMANTIC",ABS('06_ITEM_POLE_MODEL'!S67),ABS('06_ITEM_POLE_MODEL'!S67)*ABS(SUMPRODUCT(--('93_TARGET_MEMBERSHIP'!BL$5:BL$27=1),'05_FEATURE_MODEL'!K$5:K$27)/MAX(1,COUNTIF('93_TARGET_MEMBERSHIP'!BL$5:BL$27,1))-SUMPRODUCT(--('93_TARGET_MEMBERSHIP'!BL$5:BL$27=-1),'05_FEATURE_MODEL'!K$5:K$27)/MAX(1,COUNTIF('93_TARGET_MEMBERSHIP'!BL$5:BL$27,-1))))</f>
        <v/>
      </c>
      <c r="K67" s="34">
        <f>IF($B67="ABSOLUTE SEMANTIC",ABS('06_ITEM_POLE_MODEL'!T67),ABS('06_ITEM_POLE_MODEL'!T67)*ABS(SUMPRODUCT(--('93_TARGET_MEMBERSHIP'!BL$5:BL$27=1),'05_FEATURE_MODEL'!L$5:L$27)/MAX(1,COUNTIF('93_TARGET_MEMBERSHIP'!BL$5:BL$27,1))-SUMPRODUCT(--('93_TARGET_MEMBERSHIP'!BL$5:BL$27=-1),'05_FEATURE_MODEL'!L$5:L$27)/MAX(1,COUNTIF('93_TARGET_MEMBERSHIP'!BL$5:BL$27,-1))))</f>
        <v/>
      </c>
      <c r="L67" s="34">
        <f>IF($B67="ABSOLUTE SEMANTIC",ABS('06_ITEM_POLE_MODEL'!U67),ABS('06_ITEM_POLE_MODEL'!U67)*ABS(SUMPRODUCT(--('93_TARGET_MEMBERSHIP'!BL$5:BL$27=1),'05_FEATURE_MODEL'!M$5:M$27)/MAX(1,COUNTIF('93_TARGET_MEMBERSHIP'!BL$5:BL$27,1))-SUMPRODUCT(--('93_TARGET_MEMBERSHIP'!BL$5:BL$27=-1),'05_FEATURE_MODEL'!M$5:M$27)/MAX(1,COUNTIF('93_TARGET_MEMBERSHIP'!BL$5:BL$27,-1))))</f>
        <v/>
      </c>
      <c r="M67" s="34">
        <f>IF($B67="ABSOLUTE SEMANTIC",ABS('06_ITEM_POLE_MODEL'!V67),ABS('06_ITEM_POLE_MODEL'!V67)*ABS(SUMPRODUCT(--('93_TARGET_MEMBERSHIP'!BL$5:BL$27=1),'05_FEATURE_MODEL'!N$5:N$27)/MAX(1,COUNTIF('93_TARGET_MEMBERSHIP'!BL$5:BL$27,1))-SUMPRODUCT(--('93_TARGET_MEMBERSHIP'!BL$5:BL$27=-1),'05_FEATURE_MODEL'!N$5:N$27)/MAX(1,COUNTIF('93_TARGET_MEMBERSHIP'!BL$5:BL$27,-1))))</f>
        <v/>
      </c>
      <c r="N67" s="34">
        <f>IF($B67="ABSOLUTE SEMANTIC",ABS('06_ITEM_POLE_MODEL'!W67),ABS('06_ITEM_POLE_MODEL'!W67)*ABS(SUMPRODUCT(--('93_TARGET_MEMBERSHIP'!BL$5:BL$27=1),'05_FEATURE_MODEL'!O$5:O$27)/MAX(1,COUNTIF('93_TARGET_MEMBERSHIP'!BL$5:BL$27,1))-SUMPRODUCT(--('93_TARGET_MEMBERSHIP'!BL$5:BL$27=-1),'05_FEATURE_MODEL'!O$5:O$27)/MAX(1,COUNTIF('93_TARGET_MEMBERSHIP'!BL$5:BL$27,-1))))</f>
        <v/>
      </c>
      <c r="O67" s="34">
        <f>IF($B67="ABSOLUTE SEMANTIC",ABS('06_ITEM_POLE_MODEL'!X67),ABS('06_ITEM_POLE_MODEL'!X67)*ABS(SUMPRODUCT(--('93_TARGET_MEMBERSHIP'!BL$5:BL$27=1),'05_FEATURE_MODEL'!P$5:P$27)/MAX(1,COUNTIF('93_TARGET_MEMBERSHIP'!BL$5:BL$27,1))-SUMPRODUCT(--('93_TARGET_MEMBERSHIP'!BL$5:BL$27=-1),'05_FEATURE_MODEL'!P$5:P$27)/MAX(1,COUNTIF('93_TARGET_MEMBERSHIP'!BL$5:BL$27,-1))))</f>
        <v/>
      </c>
      <c r="P67" s="34">
        <f>IF($B67="ABSOLUTE SEMANTIC",ABS('06_ITEM_POLE_MODEL'!Y67),ABS('06_ITEM_POLE_MODEL'!Y67)*ABS(SUMPRODUCT(--('93_TARGET_MEMBERSHIP'!BL$5:BL$27=1),'05_FEATURE_MODEL'!Q$5:Q$27)/MAX(1,COUNTIF('93_TARGET_MEMBERSHIP'!BL$5:BL$27,1))-SUMPRODUCT(--('93_TARGET_MEMBERSHIP'!BL$5:BL$27=-1),'05_FEATURE_MODEL'!Q$5:Q$27)/MAX(1,COUNTIF('93_TARGET_MEMBERSHIP'!BL$5:BL$27,-1))))</f>
        <v/>
      </c>
      <c r="Q67" s="34">
        <f>IF($B67="ABSOLUTE SEMANTIC",ABS('06_ITEM_POLE_MODEL'!Z67),ABS('06_ITEM_POLE_MODEL'!Z67)*ABS(SUMPRODUCT(--('93_TARGET_MEMBERSHIP'!BL$5:BL$27=1),'05_FEATURE_MODEL'!R$5:R$27)/MAX(1,COUNTIF('93_TARGET_MEMBERSHIP'!BL$5:BL$27,1))-SUMPRODUCT(--('93_TARGET_MEMBERSHIP'!BL$5:BL$27=-1),'05_FEATURE_MODEL'!R$5:R$27)/MAX(1,COUNTIF('93_TARGET_MEMBERSHIP'!BL$5:BL$27,-1))))</f>
        <v/>
      </c>
      <c r="R67" s="34">
        <f>IF($B67="ABSOLUTE SEMANTIC",ABS('06_ITEM_POLE_MODEL'!AA67),ABS('06_ITEM_POLE_MODEL'!AA67)*ABS(SUMPRODUCT(--('93_TARGET_MEMBERSHIP'!BL$5:BL$27=1),'05_FEATURE_MODEL'!S$5:S$27)/MAX(1,COUNTIF('93_TARGET_MEMBERSHIP'!BL$5:BL$27,1))-SUMPRODUCT(--('93_TARGET_MEMBERSHIP'!BL$5:BL$27=-1),'05_FEATURE_MODEL'!S$5:S$27)/MAX(1,COUNTIF('93_TARGET_MEMBERSHIP'!BL$5:BL$27,-1))))</f>
        <v/>
      </c>
      <c r="S67" s="34">
        <f>IF($B67="ABSOLUTE SEMANTIC",ABS('06_ITEM_POLE_MODEL'!AB67),ABS('06_ITEM_POLE_MODEL'!AB67)*ABS(SUMPRODUCT(--('93_TARGET_MEMBERSHIP'!BL$5:BL$27=1),'05_FEATURE_MODEL'!T$5:T$27)/MAX(1,COUNTIF('93_TARGET_MEMBERSHIP'!BL$5:BL$27,1))-SUMPRODUCT(--('93_TARGET_MEMBERSHIP'!BL$5:BL$27=-1),'05_FEATURE_MODEL'!T$5:T$27)/MAX(1,COUNTIF('93_TARGET_MEMBERSHIP'!BL$5:BL$27,-1))))</f>
        <v/>
      </c>
      <c r="T67" s="34">
        <f>IF($B67="ABSOLUTE SEMANTIC",ABS('06_ITEM_POLE_MODEL'!AC67),ABS('06_ITEM_POLE_MODEL'!AC67)*ABS(SUMPRODUCT(--('93_TARGET_MEMBERSHIP'!BL$5:BL$27=1),'05_FEATURE_MODEL'!U$5:U$27)/MAX(1,COUNTIF('93_TARGET_MEMBERSHIP'!BL$5:BL$27,1))-SUMPRODUCT(--('93_TARGET_MEMBERSHIP'!BL$5:BL$27=-1),'05_FEATURE_MODEL'!U$5:U$27)/MAX(1,COUNTIF('93_TARGET_MEMBERSHIP'!BL$5:BL$27,-1))))</f>
        <v/>
      </c>
      <c r="U67" s="34">
        <f>IF($B67="ABSOLUTE SEMANTIC",ABS('06_ITEM_POLE_MODEL'!AD67),ABS('06_ITEM_POLE_MODEL'!AD67)*ABS(SUMPRODUCT(--('93_TARGET_MEMBERSHIP'!BL$5:BL$27=1),'05_FEATURE_MODEL'!V$5:V$27)/MAX(1,COUNTIF('93_TARGET_MEMBERSHIP'!BL$5:BL$27,1))-SUMPRODUCT(--('93_TARGET_MEMBERSHIP'!BL$5:BL$27=-1),'05_FEATURE_MODEL'!V$5:V$27)/MAX(1,COUNTIF('93_TARGET_MEMBERSHIP'!BL$5:BL$27,-1))))</f>
        <v/>
      </c>
      <c r="V67" s="34">
        <f>IF($B67="ABSOLUTE SEMANTIC",ABS('06_ITEM_POLE_MODEL'!AE67),ABS('06_ITEM_POLE_MODEL'!AE67)*ABS(SUMPRODUCT(--('93_TARGET_MEMBERSHIP'!BL$5:BL$27=1),'05_FEATURE_MODEL'!W$5:W$27)/MAX(1,COUNTIF('93_TARGET_MEMBERSHIP'!BL$5:BL$27,1))-SUMPRODUCT(--('93_TARGET_MEMBERSHIP'!BL$5:BL$27=-1),'05_FEATURE_MODEL'!W$5:W$27)/MAX(1,COUNTIF('93_TARGET_MEMBERSHIP'!BL$5:BL$27,-1))))</f>
        <v/>
      </c>
      <c r="W67" s="34">
        <f>IF($B67="ABSOLUTE SEMANTIC",ABS('06_ITEM_POLE_MODEL'!AF67),ABS('06_ITEM_POLE_MODEL'!AF67)*ABS(SUMPRODUCT(--('93_TARGET_MEMBERSHIP'!BL$5:BL$27=1),'05_FEATURE_MODEL'!X$5:X$27)/MAX(1,COUNTIF('93_TARGET_MEMBERSHIP'!BL$5:BL$27,1))-SUMPRODUCT(--('93_TARGET_MEMBERSHIP'!BL$5:BL$27=-1),'05_FEATURE_MODEL'!X$5:X$27)/MAX(1,COUNTIF('93_TARGET_MEMBERSHIP'!BL$5:BL$27,-1))))</f>
        <v/>
      </c>
      <c r="X67" s="34">
        <f>IF($B67="ABSOLUTE SEMANTIC",ABS('06_ITEM_POLE_MODEL'!AG67),ABS('06_ITEM_POLE_MODEL'!AG67)*ABS(SUMPRODUCT(--('93_TARGET_MEMBERSHIP'!BL$5:BL$27=1),'05_FEATURE_MODEL'!Y$5:Y$27)/MAX(1,COUNTIF('93_TARGET_MEMBERSHIP'!BL$5:BL$27,1))-SUMPRODUCT(--('93_TARGET_MEMBERSHIP'!BL$5:BL$27=-1),'05_FEATURE_MODEL'!Y$5:Y$27)/MAX(1,COUNTIF('93_TARGET_MEMBERSHIP'!BL$5:BL$27,-1))))</f>
        <v/>
      </c>
      <c r="Y67" s="34">
        <f>IF($B67="ABSOLUTE SEMANTIC",ABS('06_ITEM_POLE_MODEL'!AH67),ABS('06_ITEM_POLE_MODEL'!AH67)*ABS(SUMPRODUCT(--('93_TARGET_MEMBERSHIP'!BL$5:BL$27=1),'05_FEATURE_MODEL'!Z$5:Z$27)/MAX(1,COUNTIF('93_TARGET_MEMBERSHIP'!BL$5:BL$27,1))-SUMPRODUCT(--('93_TARGET_MEMBERSHIP'!BL$5:BL$27=-1),'05_FEATURE_MODEL'!Z$5:Z$27)/MAX(1,COUNTIF('93_TARGET_MEMBERSHIP'!BL$5:BL$27,-1))))</f>
        <v/>
      </c>
      <c r="Z67" s="34">
        <f>IF($B67="ABSOLUTE SEMANTIC",ABS('06_ITEM_POLE_MODEL'!AI67),ABS('06_ITEM_POLE_MODEL'!AI67)*ABS(SUMPRODUCT(--('93_TARGET_MEMBERSHIP'!BL$5:BL$27=1),'05_FEATURE_MODEL'!AA$5:AA$27)/MAX(1,COUNTIF('93_TARGET_MEMBERSHIP'!BL$5:BL$27,1))-SUMPRODUCT(--('93_TARGET_MEMBERSHIP'!BL$5:BL$27=-1),'05_FEATURE_MODEL'!AA$5:AA$27)/MAX(1,COUNTIF('93_TARGET_MEMBERSHIP'!BL$5:BL$27,-1))))</f>
        <v/>
      </c>
      <c r="AA67" s="34">
        <f>IF($B67="ABSOLUTE SEMANTIC",ABS('06_ITEM_POLE_MODEL'!AJ67),ABS('06_ITEM_POLE_MODEL'!AJ67)*ABS(SUMPRODUCT(--('93_TARGET_MEMBERSHIP'!BL$5:BL$27=1),'05_FEATURE_MODEL'!AB$5:AB$27)/MAX(1,COUNTIF('93_TARGET_MEMBERSHIP'!BL$5:BL$27,1))-SUMPRODUCT(--('93_TARGET_MEMBERSHIP'!BL$5:BL$27=-1),'05_FEATURE_MODEL'!AB$5:AB$27)/MAX(1,COUNTIF('93_TARGET_MEMBERSHIP'!BL$5:BL$27,-1))))</f>
        <v/>
      </c>
      <c r="AB67" s="34">
        <f>IF($B67="ABSOLUTE SEMANTIC",ABS('06_ITEM_POLE_MODEL'!AK67),ABS('06_ITEM_POLE_MODEL'!AK67)*ABS(SUMPRODUCT(--('93_TARGET_MEMBERSHIP'!BL$5:BL$27=1),'05_FEATURE_MODEL'!AC$5:AC$27)/MAX(1,COUNTIF('93_TARGET_MEMBERSHIP'!BL$5:BL$27,1))-SUMPRODUCT(--('93_TARGET_MEMBERSHIP'!BL$5:BL$27=-1),'05_FEATURE_MODEL'!AC$5:AC$27)/MAX(1,COUNTIF('93_TARGET_MEMBERSHIP'!BL$5:BL$27,-1))))</f>
        <v/>
      </c>
      <c r="AC67" s="34">
        <f>IF($B67="ABSOLUTE SEMANTIC",ABS('06_ITEM_POLE_MODEL'!AL67),ABS('06_ITEM_POLE_MODEL'!AL67)*ABS(SUMPRODUCT(--('93_TARGET_MEMBERSHIP'!BL$5:BL$27=1),'05_FEATURE_MODEL'!AD$5:AD$27)/MAX(1,COUNTIF('93_TARGET_MEMBERSHIP'!BL$5:BL$27,1))-SUMPRODUCT(--('93_TARGET_MEMBERSHIP'!BL$5:BL$27=-1),'05_FEATURE_MODEL'!AD$5:AD$27)/MAX(1,COUNTIF('93_TARGET_MEMBERSHIP'!BL$5:BL$27,-1))))</f>
        <v/>
      </c>
      <c r="AD67" s="34">
        <f>IF($B67="ABSOLUTE SEMANTIC",ABS('06_ITEM_POLE_MODEL'!AM67),ABS('06_ITEM_POLE_MODEL'!AM67)*ABS(SUMPRODUCT(--('93_TARGET_MEMBERSHIP'!BL$5:BL$27=1),'05_FEATURE_MODEL'!AE$5:AE$27)/MAX(1,COUNTIF('93_TARGET_MEMBERSHIP'!BL$5:BL$27,1))-SUMPRODUCT(--('93_TARGET_MEMBERSHIP'!BL$5:BL$27=-1),'05_FEATURE_MODEL'!AE$5:AE$27)/MAX(1,COUNTIF('93_TARGET_MEMBERSHIP'!BL$5:BL$27,-1))))</f>
        <v/>
      </c>
      <c r="AE67" s="34">
        <f>IF($B67="ABSOLUTE SEMANTIC",ABS('06_ITEM_POLE_MODEL'!AN67),ABS('06_ITEM_POLE_MODEL'!AN67)*ABS(SUMPRODUCT(--('93_TARGET_MEMBERSHIP'!BL$5:BL$27=1),'05_FEATURE_MODEL'!AF$5:AF$27)/MAX(1,COUNTIF('93_TARGET_MEMBERSHIP'!BL$5:BL$27,1))-SUMPRODUCT(--('93_TARGET_MEMBERSHIP'!BL$5:BL$27=-1),'05_FEATURE_MODEL'!AF$5:AF$27)/MAX(1,COUNTIF('93_TARGET_MEMBERSHIP'!BL$5:BL$27,-1))))</f>
        <v/>
      </c>
      <c r="AF67" s="34">
        <f>IF($B67="ABSOLUTE SEMANTIC",ABS('06_ITEM_POLE_MODEL'!AO67),ABS('06_ITEM_POLE_MODEL'!AO67)*ABS(SUMPRODUCT(--('93_TARGET_MEMBERSHIP'!BL$5:BL$27=1),'05_FEATURE_MODEL'!AG$5:AG$27)/MAX(1,COUNTIF('93_TARGET_MEMBERSHIP'!BL$5:BL$27,1))-SUMPRODUCT(--('93_TARGET_MEMBERSHIP'!BL$5:BL$27=-1),'05_FEATURE_MODEL'!AG$5:AG$27)/MAX(1,COUNTIF('93_TARGET_MEMBERSHIP'!BL$5:BL$27,-1))))</f>
        <v/>
      </c>
      <c r="AG67" s="34">
        <f>IF($B67="ABSOLUTE SEMANTIC",ABS('06_ITEM_POLE_MODEL'!AP67),ABS('06_ITEM_POLE_MODEL'!AP67)*ABS(SUMPRODUCT(--('93_TARGET_MEMBERSHIP'!BL$5:BL$27=1),'05_FEATURE_MODEL'!AH$5:AH$27)/MAX(1,COUNTIF('93_TARGET_MEMBERSHIP'!BL$5:BL$27,1))-SUMPRODUCT(--('93_TARGET_MEMBERSHIP'!BL$5:BL$27=-1),'05_FEATURE_MODEL'!AH$5:AH$27)/MAX(1,COUNTIF('93_TARGET_MEMBERSHIP'!BL$5:BL$27,-1))))</f>
        <v/>
      </c>
      <c r="AH67" s="34">
        <f>IF($B67="ABSOLUTE SEMANTIC",ABS('06_ITEM_POLE_MODEL'!AQ67),ABS('06_ITEM_POLE_MODEL'!AQ67)*ABS(SUMPRODUCT(--('93_TARGET_MEMBERSHIP'!BL$5:BL$27=1),'05_FEATURE_MODEL'!AI$5:AI$27)/MAX(1,COUNTIF('93_TARGET_MEMBERSHIP'!BL$5:BL$27,1))-SUMPRODUCT(--('93_TARGET_MEMBERSHIP'!BL$5:BL$27=-1),'05_FEATURE_MODEL'!AI$5:AI$27)/MAX(1,COUNTIF('93_TARGET_MEMBERSHIP'!BL$5:BL$27,-1))))</f>
        <v/>
      </c>
      <c r="AI67" s="34">
        <f>IF($B67="ABSOLUTE SEMANTIC",ABS('06_ITEM_POLE_MODEL'!AR67),ABS('06_ITEM_POLE_MODEL'!AR67)*ABS(SUMPRODUCT(--('93_TARGET_MEMBERSHIP'!BL$5:BL$27=1),'05_FEATURE_MODEL'!AJ$5:AJ$27)/MAX(1,COUNTIF('93_TARGET_MEMBERSHIP'!BL$5:BL$27,1))-SUMPRODUCT(--('93_TARGET_MEMBERSHIP'!BL$5:BL$27=-1),'05_FEATURE_MODEL'!AJ$5:AJ$27)/MAX(1,COUNTIF('93_TARGET_MEMBERSHIP'!BL$5:BL$27,-1))))</f>
        <v/>
      </c>
      <c r="AJ67" s="34">
        <f>IF($B67="ABSOLUTE SEMANTIC",ABS('06_ITEM_POLE_MODEL'!AS67),ABS('06_ITEM_POLE_MODEL'!AS67)*ABS(SUMPRODUCT(--('93_TARGET_MEMBERSHIP'!BL$5:BL$27=1),'05_FEATURE_MODEL'!AK$5:AK$27)/MAX(1,COUNTIF('93_TARGET_MEMBERSHIP'!BL$5:BL$27,1))-SUMPRODUCT(--('93_TARGET_MEMBERSHIP'!BL$5:BL$27=-1),'05_FEATURE_MODEL'!AK$5:AK$27)/MAX(1,COUNTIF('93_TARGET_MEMBERSHIP'!BL$5:BL$27,-1))))</f>
        <v/>
      </c>
      <c r="AK67" s="34">
        <f>IF($B67="ABSOLUTE SEMANTIC",ABS('06_ITEM_POLE_MODEL'!AT67),ABS('06_ITEM_POLE_MODEL'!AT67)*ABS(SUMPRODUCT(--('93_TARGET_MEMBERSHIP'!BL$5:BL$27=1),'05_FEATURE_MODEL'!AL$5:AL$27)/MAX(1,COUNTIF('93_TARGET_MEMBERSHIP'!BL$5:BL$27,1))-SUMPRODUCT(--('93_TARGET_MEMBERSHIP'!BL$5:BL$27=-1),'05_FEATURE_MODEL'!AL$5:AL$27)/MAX(1,COUNTIF('93_TARGET_MEMBERSHIP'!BL$5:BL$27,-1))))</f>
        <v/>
      </c>
      <c r="AL67" s="34">
        <f>IF($B67="ABSOLUTE SEMANTIC",ABS('06_ITEM_POLE_MODEL'!AU67),ABS('06_ITEM_POLE_MODEL'!AU67)*ABS(SUMPRODUCT(--('93_TARGET_MEMBERSHIP'!BL$5:BL$27=1),'05_FEATURE_MODEL'!AM$5:AM$27)/MAX(1,COUNTIF('93_TARGET_MEMBERSHIP'!BL$5:BL$27,1))-SUMPRODUCT(--('93_TARGET_MEMBERSHIP'!BL$5:BL$27=-1),'05_FEATURE_MODEL'!AM$5:AM$27)/MAX(1,COUNTIF('93_TARGET_MEMBERSHIP'!BL$5:BL$27,-1))))</f>
        <v/>
      </c>
      <c r="AM67" s="34">
        <f>IF($B67="ABSOLUTE SEMANTIC",ABS('06_ITEM_POLE_MODEL'!AV67),ABS('06_ITEM_POLE_MODEL'!AV67)*ABS(SUMPRODUCT(--('93_TARGET_MEMBERSHIP'!BL$5:BL$27=1),'05_FEATURE_MODEL'!AN$5:AN$27)/MAX(1,COUNTIF('93_TARGET_MEMBERSHIP'!BL$5:BL$27,1))-SUMPRODUCT(--('93_TARGET_MEMBERSHIP'!BL$5:BL$27=-1),'05_FEATURE_MODEL'!AN$5:AN$27)/MAX(1,COUNTIF('93_TARGET_MEMBERSHIP'!BL$5:BL$27,-1))))</f>
        <v/>
      </c>
      <c r="AN67" s="34">
        <f>IF($B67="ABSOLUTE SEMANTIC",ABS('06_ITEM_POLE_MODEL'!AW67),ABS('06_ITEM_POLE_MODEL'!AW67)*ABS(SUMPRODUCT(--('93_TARGET_MEMBERSHIP'!BL$5:BL$27=1),'05_FEATURE_MODEL'!AO$5:AO$27)/MAX(1,COUNTIF('93_TARGET_MEMBERSHIP'!BL$5:BL$27,1))-SUMPRODUCT(--('93_TARGET_MEMBERSHIP'!BL$5:BL$27=-1),'05_FEATURE_MODEL'!AO$5:AO$27)/MAX(1,COUNTIF('93_TARGET_MEMBERSHIP'!BL$5:BL$27,-1))))</f>
        <v/>
      </c>
      <c r="AO67" s="34">
        <f>IF($B67="ABSOLUTE SEMANTIC",ABS('06_ITEM_POLE_MODEL'!AX67),ABS('06_ITEM_POLE_MODEL'!AX67)*ABS(SUMPRODUCT(--('93_TARGET_MEMBERSHIP'!BL$5:BL$27=1),'05_FEATURE_MODEL'!AP$5:AP$27)/MAX(1,COUNTIF('93_TARGET_MEMBERSHIP'!BL$5:BL$27,1))-SUMPRODUCT(--('93_TARGET_MEMBERSHIP'!BL$5:BL$27=-1),'05_FEATURE_MODEL'!AP$5:AP$27)/MAX(1,COUNTIF('93_TARGET_MEMBERSHIP'!BL$5:BL$27,-1))))</f>
        <v/>
      </c>
      <c r="AP67" s="34">
        <f>IF($B67="ABSOLUTE SEMANTIC",ABS('06_ITEM_POLE_MODEL'!AY67),ABS('06_ITEM_POLE_MODEL'!AY67)*ABS(SUMPRODUCT(--('93_TARGET_MEMBERSHIP'!BL$5:BL$27=1),'05_FEATURE_MODEL'!AQ$5:AQ$27)/MAX(1,COUNTIF('93_TARGET_MEMBERSHIP'!BL$5:BL$27,1))-SUMPRODUCT(--('93_TARGET_MEMBERSHIP'!BL$5:BL$27=-1),'05_FEATURE_MODEL'!AQ$5:AQ$27)/MAX(1,COUNTIF('93_TARGET_MEMBERSHIP'!BL$5:BL$27,-1))))</f>
        <v/>
      </c>
      <c r="AQ67" s="34">
        <f>IF($B67="ABSOLUTE SEMANTIC",ABS('06_ITEM_POLE_MODEL'!AZ67),ABS('06_ITEM_POLE_MODEL'!AZ67)*ABS(SUMPRODUCT(--('93_TARGET_MEMBERSHIP'!BL$5:BL$27=1),'05_FEATURE_MODEL'!AR$5:AR$27)/MAX(1,COUNTIF('93_TARGET_MEMBERSHIP'!BL$5:BL$27,1))-SUMPRODUCT(--('93_TARGET_MEMBERSHIP'!BL$5:BL$27=-1),'05_FEATURE_MODEL'!AR$5:AR$27)/MAX(1,COUNTIF('93_TARGET_MEMBERSHIP'!BL$5:BL$27,-1))))</f>
        <v/>
      </c>
    </row>
    <row r="68" ht="36" customHeight="1">
      <c r="A68" s="34">
        <f>'06_ITEM_POLE_MODEL'!A68</f>
        <v/>
      </c>
      <c r="B68" s="34">
        <f>'06_ITEM_POLE_MODEL'!E68</f>
        <v/>
      </c>
      <c r="C68" s="34">
        <f>IF($B68="ABSOLUTE SEMANTIC",ABS('06_ITEM_POLE_MODEL'!L68),ABS('06_ITEM_POLE_MODEL'!L68)*ABS(SUMPRODUCT(--('93_TARGET_MEMBERSHIP'!BM$5:BM$27=1),'05_FEATURE_MODEL'!D$5:D$27)/MAX(1,COUNTIF('93_TARGET_MEMBERSHIP'!BM$5:BM$27,1))-SUMPRODUCT(--('93_TARGET_MEMBERSHIP'!BM$5:BM$27=-1),'05_FEATURE_MODEL'!D$5:D$27)/MAX(1,COUNTIF('93_TARGET_MEMBERSHIP'!BM$5:BM$27,-1))))</f>
        <v/>
      </c>
      <c r="D68" s="34">
        <f>IF($B68="ABSOLUTE SEMANTIC",ABS('06_ITEM_POLE_MODEL'!M68),ABS('06_ITEM_POLE_MODEL'!M68)*ABS(SUMPRODUCT(--('93_TARGET_MEMBERSHIP'!BM$5:BM$27=1),'05_FEATURE_MODEL'!E$5:E$27)/MAX(1,COUNTIF('93_TARGET_MEMBERSHIP'!BM$5:BM$27,1))-SUMPRODUCT(--('93_TARGET_MEMBERSHIP'!BM$5:BM$27=-1),'05_FEATURE_MODEL'!E$5:E$27)/MAX(1,COUNTIF('93_TARGET_MEMBERSHIP'!BM$5:BM$27,-1))))</f>
        <v/>
      </c>
      <c r="E68" s="34">
        <f>IF($B68="ABSOLUTE SEMANTIC",ABS('06_ITEM_POLE_MODEL'!N68),ABS('06_ITEM_POLE_MODEL'!N68)*ABS(SUMPRODUCT(--('93_TARGET_MEMBERSHIP'!BM$5:BM$27=1),'05_FEATURE_MODEL'!F$5:F$27)/MAX(1,COUNTIF('93_TARGET_MEMBERSHIP'!BM$5:BM$27,1))-SUMPRODUCT(--('93_TARGET_MEMBERSHIP'!BM$5:BM$27=-1),'05_FEATURE_MODEL'!F$5:F$27)/MAX(1,COUNTIF('93_TARGET_MEMBERSHIP'!BM$5:BM$27,-1))))</f>
        <v/>
      </c>
      <c r="F68" s="34">
        <f>IF($B68="ABSOLUTE SEMANTIC",ABS('06_ITEM_POLE_MODEL'!O68),ABS('06_ITEM_POLE_MODEL'!O68)*ABS(SUMPRODUCT(--('93_TARGET_MEMBERSHIP'!BM$5:BM$27=1),'05_FEATURE_MODEL'!G$5:G$27)/MAX(1,COUNTIF('93_TARGET_MEMBERSHIP'!BM$5:BM$27,1))-SUMPRODUCT(--('93_TARGET_MEMBERSHIP'!BM$5:BM$27=-1),'05_FEATURE_MODEL'!G$5:G$27)/MAX(1,COUNTIF('93_TARGET_MEMBERSHIP'!BM$5:BM$27,-1))))</f>
        <v/>
      </c>
      <c r="G68" s="34">
        <f>IF($B68="ABSOLUTE SEMANTIC",ABS('06_ITEM_POLE_MODEL'!P68),ABS('06_ITEM_POLE_MODEL'!P68)*ABS(SUMPRODUCT(--('93_TARGET_MEMBERSHIP'!BM$5:BM$27=1),'05_FEATURE_MODEL'!H$5:H$27)/MAX(1,COUNTIF('93_TARGET_MEMBERSHIP'!BM$5:BM$27,1))-SUMPRODUCT(--('93_TARGET_MEMBERSHIP'!BM$5:BM$27=-1),'05_FEATURE_MODEL'!H$5:H$27)/MAX(1,COUNTIF('93_TARGET_MEMBERSHIP'!BM$5:BM$27,-1))))</f>
        <v/>
      </c>
      <c r="H68" s="34">
        <f>IF($B68="ABSOLUTE SEMANTIC",ABS('06_ITEM_POLE_MODEL'!Q68),ABS('06_ITEM_POLE_MODEL'!Q68)*ABS(SUMPRODUCT(--('93_TARGET_MEMBERSHIP'!BM$5:BM$27=1),'05_FEATURE_MODEL'!I$5:I$27)/MAX(1,COUNTIF('93_TARGET_MEMBERSHIP'!BM$5:BM$27,1))-SUMPRODUCT(--('93_TARGET_MEMBERSHIP'!BM$5:BM$27=-1),'05_FEATURE_MODEL'!I$5:I$27)/MAX(1,COUNTIF('93_TARGET_MEMBERSHIP'!BM$5:BM$27,-1))))</f>
        <v/>
      </c>
      <c r="I68" s="34">
        <f>IF($B68="ABSOLUTE SEMANTIC",ABS('06_ITEM_POLE_MODEL'!R68),ABS('06_ITEM_POLE_MODEL'!R68)*ABS(SUMPRODUCT(--('93_TARGET_MEMBERSHIP'!BM$5:BM$27=1),'05_FEATURE_MODEL'!J$5:J$27)/MAX(1,COUNTIF('93_TARGET_MEMBERSHIP'!BM$5:BM$27,1))-SUMPRODUCT(--('93_TARGET_MEMBERSHIP'!BM$5:BM$27=-1),'05_FEATURE_MODEL'!J$5:J$27)/MAX(1,COUNTIF('93_TARGET_MEMBERSHIP'!BM$5:BM$27,-1))))</f>
        <v/>
      </c>
      <c r="J68" s="34">
        <f>IF($B68="ABSOLUTE SEMANTIC",ABS('06_ITEM_POLE_MODEL'!S68),ABS('06_ITEM_POLE_MODEL'!S68)*ABS(SUMPRODUCT(--('93_TARGET_MEMBERSHIP'!BM$5:BM$27=1),'05_FEATURE_MODEL'!K$5:K$27)/MAX(1,COUNTIF('93_TARGET_MEMBERSHIP'!BM$5:BM$27,1))-SUMPRODUCT(--('93_TARGET_MEMBERSHIP'!BM$5:BM$27=-1),'05_FEATURE_MODEL'!K$5:K$27)/MAX(1,COUNTIF('93_TARGET_MEMBERSHIP'!BM$5:BM$27,-1))))</f>
        <v/>
      </c>
      <c r="K68" s="34">
        <f>IF($B68="ABSOLUTE SEMANTIC",ABS('06_ITEM_POLE_MODEL'!T68),ABS('06_ITEM_POLE_MODEL'!T68)*ABS(SUMPRODUCT(--('93_TARGET_MEMBERSHIP'!BM$5:BM$27=1),'05_FEATURE_MODEL'!L$5:L$27)/MAX(1,COUNTIF('93_TARGET_MEMBERSHIP'!BM$5:BM$27,1))-SUMPRODUCT(--('93_TARGET_MEMBERSHIP'!BM$5:BM$27=-1),'05_FEATURE_MODEL'!L$5:L$27)/MAX(1,COUNTIF('93_TARGET_MEMBERSHIP'!BM$5:BM$27,-1))))</f>
        <v/>
      </c>
      <c r="L68" s="34">
        <f>IF($B68="ABSOLUTE SEMANTIC",ABS('06_ITEM_POLE_MODEL'!U68),ABS('06_ITEM_POLE_MODEL'!U68)*ABS(SUMPRODUCT(--('93_TARGET_MEMBERSHIP'!BM$5:BM$27=1),'05_FEATURE_MODEL'!M$5:M$27)/MAX(1,COUNTIF('93_TARGET_MEMBERSHIP'!BM$5:BM$27,1))-SUMPRODUCT(--('93_TARGET_MEMBERSHIP'!BM$5:BM$27=-1),'05_FEATURE_MODEL'!M$5:M$27)/MAX(1,COUNTIF('93_TARGET_MEMBERSHIP'!BM$5:BM$27,-1))))</f>
        <v/>
      </c>
      <c r="M68" s="34">
        <f>IF($B68="ABSOLUTE SEMANTIC",ABS('06_ITEM_POLE_MODEL'!V68),ABS('06_ITEM_POLE_MODEL'!V68)*ABS(SUMPRODUCT(--('93_TARGET_MEMBERSHIP'!BM$5:BM$27=1),'05_FEATURE_MODEL'!N$5:N$27)/MAX(1,COUNTIF('93_TARGET_MEMBERSHIP'!BM$5:BM$27,1))-SUMPRODUCT(--('93_TARGET_MEMBERSHIP'!BM$5:BM$27=-1),'05_FEATURE_MODEL'!N$5:N$27)/MAX(1,COUNTIF('93_TARGET_MEMBERSHIP'!BM$5:BM$27,-1))))</f>
        <v/>
      </c>
      <c r="N68" s="34">
        <f>IF($B68="ABSOLUTE SEMANTIC",ABS('06_ITEM_POLE_MODEL'!W68),ABS('06_ITEM_POLE_MODEL'!W68)*ABS(SUMPRODUCT(--('93_TARGET_MEMBERSHIP'!BM$5:BM$27=1),'05_FEATURE_MODEL'!O$5:O$27)/MAX(1,COUNTIF('93_TARGET_MEMBERSHIP'!BM$5:BM$27,1))-SUMPRODUCT(--('93_TARGET_MEMBERSHIP'!BM$5:BM$27=-1),'05_FEATURE_MODEL'!O$5:O$27)/MAX(1,COUNTIF('93_TARGET_MEMBERSHIP'!BM$5:BM$27,-1))))</f>
        <v/>
      </c>
      <c r="O68" s="34">
        <f>IF($B68="ABSOLUTE SEMANTIC",ABS('06_ITEM_POLE_MODEL'!X68),ABS('06_ITEM_POLE_MODEL'!X68)*ABS(SUMPRODUCT(--('93_TARGET_MEMBERSHIP'!BM$5:BM$27=1),'05_FEATURE_MODEL'!P$5:P$27)/MAX(1,COUNTIF('93_TARGET_MEMBERSHIP'!BM$5:BM$27,1))-SUMPRODUCT(--('93_TARGET_MEMBERSHIP'!BM$5:BM$27=-1),'05_FEATURE_MODEL'!P$5:P$27)/MAX(1,COUNTIF('93_TARGET_MEMBERSHIP'!BM$5:BM$27,-1))))</f>
        <v/>
      </c>
      <c r="P68" s="34">
        <f>IF($B68="ABSOLUTE SEMANTIC",ABS('06_ITEM_POLE_MODEL'!Y68),ABS('06_ITEM_POLE_MODEL'!Y68)*ABS(SUMPRODUCT(--('93_TARGET_MEMBERSHIP'!BM$5:BM$27=1),'05_FEATURE_MODEL'!Q$5:Q$27)/MAX(1,COUNTIF('93_TARGET_MEMBERSHIP'!BM$5:BM$27,1))-SUMPRODUCT(--('93_TARGET_MEMBERSHIP'!BM$5:BM$27=-1),'05_FEATURE_MODEL'!Q$5:Q$27)/MAX(1,COUNTIF('93_TARGET_MEMBERSHIP'!BM$5:BM$27,-1))))</f>
        <v/>
      </c>
      <c r="Q68" s="34">
        <f>IF($B68="ABSOLUTE SEMANTIC",ABS('06_ITEM_POLE_MODEL'!Z68),ABS('06_ITEM_POLE_MODEL'!Z68)*ABS(SUMPRODUCT(--('93_TARGET_MEMBERSHIP'!BM$5:BM$27=1),'05_FEATURE_MODEL'!R$5:R$27)/MAX(1,COUNTIF('93_TARGET_MEMBERSHIP'!BM$5:BM$27,1))-SUMPRODUCT(--('93_TARGET_MEMBERSHIP'!BM$5:BM$27=-1),'05_FEATURE_MODEL'!R$5:R$27)/MAX(1,COUNTIF('93_TARGET_MEMBERSHIP'!BM$5:BM$27,-1))))</f>
        <v/>
      </c>
      <c r="R68" s="34">
        <f>IF($B68="ABSOLUTE SEMANTIC",ABS('06_ITEM_POLE_MODEL'!AA68),ABS('06_ITEM_POLE_MODEL'!AA68)*ABS(SUMPRODUCT(--('93_TARGET_MEMBERSHIP'!BM$5:BM$27=1),'05_FEATURE_MODEL'!S$5:S$27)/MAX(1,COUNTIF('93_TARGET_MEMBERSHIP'!BM$5:BM$27,1))-SUMPRODUCT(--('93_TARGET_MEMBERSHIP'!BM$5:BM$27=-1),'05_FEATURE_MODEL'!S$5:S$27)/MAX(1,COUNTIF('93_TARGET_MEMBERSHIP'!BM$5:BM$27,-1))))</f>
        <v/>
      </c>
      <c r="S68" s="34">
        <f>IF($B68="ABSOLUTE SEMANTIC",ABS('06_ITEM_POLE_MODEL'!AB68),ABS('06_ITEM_POLE_MODEL'!AB68)*ABS(SUMPRODUCT(--('93_TARGET_MEMBERSHIP'!BM$5:BM$27=1),'05_FEATURE_MODEL'!T$5:T$27)/MAX(1,COUNTIF('93_TARGET_MEMBERSHIP'!BM$5:BM$27,1))-SUMPRODUCT(--('93_TARGET_MEMBERSHIP'!BM$5:BM$27=-1),'05_FEATURE_MODEL'!T$5:T$27)/MAX(1,COUNTIF('93_TARGET_MEMBERSHIP'!BM$5:BM$27,-1))))</f>
        <v/>
      </c>
      <c r="T68" s="34">
        <f>IF($B68="ABSOLUTE SEMANTIC",ABS('06_ITEM_POLE_MODEL'!AC68),ABS('06_ITEM_POLE_MODEL'!AC68)*ABS(SUMPRODUCT(--('93_TARGET_MEMBERSHIP'!BM$5:BM$27=1),'05_FEATURE_MODEL'!U$5:U$27)/MAX(1,COUNTIF('93_TARGET_MEMBERSHIP'!BM$5:BM$27,1))-SUMPRODUCT(--('93_TARGET_MEMBERSHIP'!BM$5:BM$27=-1),'05_FEATURE_MODEL'!U$5:U$27)/MAX(1,COUNTIF('93_TARGET_MEMBERSHIP'!BM$5:BM$27,-1))))</f>
        <v/>
      </c>
      <c r="U68" s="34">
        <f>IF($B68="ABSOLUTE SEMANTIC",ABS('06_ITEM_POLE_MODEL'!AD68),ABS('06_ITEM_POLE_MODEL'!AD68)*ABS(SUMPRODUCT(--('93_TARGET_MEMBERSHIP'!BM$5:BM$27=1),'05_FEATURE_MODEL'!V$5:V$27)/MAX(1,COUNTIF('93_TARGET_MEMBERSHIP'!BM$5:BM$27,1))-SUMPRODUCT(--('93_TARGET_MEMBERSHIP'!BM$5:BM$27=-1),'05_FEATURE_MODEL'!V$5:V$27)/MAX(1,COUNTIF('93_TARGET_MEMBERSHIP'!BM$5:BM$27,-1))))</f>
        <v/>
      </c>
      <c r="V68" s="34">
        <f>IF($B68="ABSOLUTE SEMANTIC",ABS('06_ITEM_POLE_MODEL'!AE68),ABS('06_ITEM_POLE_MODEL'!AE68)*ABS(SUMPRODUCT(--('93_TARGET_MEMBERSHIP'!BM$5:BM$27=1),'05_FEATURE_MODEL'!W$5:W$27)/MAX(1,COUNTIF('93_TARGET_MEMBERSHIP'!BM$5:BM$27,1))-SUMPRODUCT(--('93_TARGET_MEMBERSHIP'!BM$5:BM$27=-1),'05_FEATURE_MODEL'!W$5:W$27)/MAX(1,COUNTIF('93_TARGET_MEMBERSHIP'!BM$5:BM$27,-1))))</f>
        <v/>
      </c>
      <c r="W68" s="34">
        <f>IF($B68="ABSOLUTE SEMANTIC",ABS('06_ITEM_POLE_MODEL'!AF68),ABS('06_ITEM_POLE_MODEL'!AF68)*ABS(SUMPRODUCT(--('93_TARGET_MEMBERSHIP'!BM$5:BM$27=1),'05_FEATURE_MODEL'!X$5:X$27)/MAX(1,COUNTIF('93_TARGET_MEMBERSHIP'!BM$5:BM$27,1))-SUMPRODUCT(--('93_TARGET_MEMBERSHIP'!BM$5:BM$27=-1),'05_FEATURE_MODEL'!X$5:X$27)/MAX(1,COUNTIF('93_TARGET_MEMBERSHIP'!BM$5:BM$27,-1))))</f>
        <v/>
      </c>
      <c r="X68" s="34">
        <f>IF($B68="ABSOLUTE SEMANTIC",ABS('06_ITEM_POLE_MODEL'!AG68),ABS('06_ITEM_POLE_MODEL'!AG68)*ABS(SUMPRODUCT(--('93_TARGET_MEMBERSHIP'!BM$5:BM$27=1),'05_FEATURE_MODEL'!Y$5:Y$27)/MAX(1,COUNTIF('93_TARGET_MEMBERSHIP'!BM$5:BM$27,1))-SUMPRODUCT(--('93_TARGET_MEMBERSHIP'!BM$5:BM$27=-1),'05_FEATURE_MODEL'!Y$5:Y$27)/MAX(1,COUNTIF('93_TARGET_MEMBERSHIP'!BM$5:BM$27,-1))))</f>
        <v/>
      </c>
      <c r="Y68" s="34">
        <f>IF($B68="ABSOLUTE SEMANTIC",ABS('06_ITEM_POLE_MODEL'!AH68),ABS('06_ITEM_POLE_MODEL'!AH68)*ABS(SUMPRODUCT(--('93_TARGET_MEMBERSHIP'!BM$5:BM$27=1),'05_FEATURE_MODEL'!Z$5:Z$27)/MAX(1,COUNTIF('93_TARGET_MEMBERSHIP'!BM$5:BM$27,1))-SUMPRODUCT(--('93_TARGET_MEMBERSHIP'!BM$5:BM$27=-1),'05_FEATURE_MODEL'!Z$5:Z$27)/MAX(1,COUNTIF('93_TARGET_MEMBERSHIP'!BM$5:BM$27,-1))))</f>
        <v/>
      </c>
      <c r="Z68" s="34">
        <f>IF($B68="ABSOLUTE SEMANTIC",ABS('06_ITEM_POLE_MODEL'!AI68),ABS('06_ITEM_POLE_MODEL'!AI68)*ABS(SUMPRODUCT(--('93_TARGET_MEMBERSHIP'!BM$5:BM$27=1),'05_FEATURE_MODEL'!AA$5:AA$27)/MAX(1,COUNTIF('93_TARGET_MEMBERSHIP'!BM$5:BM$27,1))-SUMPRODUCT(--('93_TARGET_MEMBERSHIP'!BM$5:BM$27=-1),'05_FEATURE_MODEL'!AA$5:AA$27)/MAX(1,COUNTIF('93_TARGET_MEMBERSHIP'!BM$5:BM$27,-1))))</f>
        <v/>
      </c>
      <c r="AA68" s="34">
        <f>IF($B68="ABSOLUTE SEMANTIC",ABS('06_ITEM_POLE_MODEL'!AJ68),ABS('06_ITEM_POLE_MODEL'!AJ68)*ABS(SUMPRODUCT(--('93_TARGET_MEMBERSHIP'!BM$5:BM$27=1),'05_FEATURE_MODEL'!AB$5:AB$27)/MAX(1,COUNTIF('93_TARGET_MEMBERSHIP'!BM$5:BM$27,1))-SUMPRODUCT(--('93_TARGET_MEMBERSHIP'!BM$5:BM$27=-1),'05_FEATURE_MODEL'!AB$5:AB$27)/MAX(1,COUNTIF('93_TARGET_MEMBERSHIP'!BM$5:BM$27,-1))))</f>
        <v/>
      </c>
      <c r="AB68" s="34">
        <f>IF($B68="ABSOLUTE SEMANTIC",ABS('06_ITEM_POLE_MODEL'!AK68),ABS('06_ITEM_POLE_MODEL'!AK68)*ABS(SUMPRODUCT(--('93_TARGET_MEMBERSHIP'!BM$5:BM$27=1),'05_FEATURE_MODEL'!AC$5:AC$27)/MAX(1,COUNTIF('93_TARGET_MEMBERSHIP'!BM$5:BM$27,1))-SUMPRODUCT(--('93_TARGET_MEMBERSHIP'!BM$5:BM$27=-1),'05_FEATURE_MODEL'!AC$5:AC$27)/MAX(1,COUNTIF('93_TARGET_MEMBERSHIP'!BM$5:BM$27,-1))))</f>
        <v/>
      </c>
      <c r="AC68" s="34">
        <f>IF($B68="ABSOLUTE SEMANTIC",ABS('06_ITEM_POLE_MODEL'!AL68),ABS('06_ITEM_POLE_MODEL'!AL68)*ABS(SUMPRODUCT(--('93_TARGET_MEMBERSHIP'!BM$5:BM$27=1),'05_FEATURE_MODEL'!AD$5:AD$27)/MAX(1,COUNTIF('93_TARGET_MEMBERSHIP'!BM$5:BM$27,1))-SUMPRODUCT(--('93_TARGET_MEMBERSHIP'!BM$5:BM$27=-1),'05_FEATURE_MODEL'!AD$5:AD$27)/MAX(1,COUNTIF('93_TARGET_MEMBERSHIP'!BM$5:BM$27,-1))))</f>
        <v/>
      </c>
      <c r="AD68" s="34">
        <f>IF($B68="ABSOLUTE SEMANTIC",ABS('06_ITEM_POLE_MODEL'!AM68),ABS('06_ITEM_POLE_MODEL'!AM68)*ABS(SUMPRODUCT(--('93_TARGET_MEMBERSHIP'!BM$5:BM$27=1),'05_FEATURE_MODEL'!AE$5:AE$27)/MAX(1,COUNTIF('93_TARGET_MEMBERSHIP'!BM$5:BM$27,1))-SUMPRODUCT(--('93_TARGET_MEMBERSHIP'!BM$5:BM$27=-1),'05_FEATURE_MODEL'!AE$5:AE$27)/MAX(1,COUNTIF('93_TARGET_MEMBERSHIP'!BM$5:BM$27,-1))))</f>
        <v/>
      </c>
      <c r="AE68" s="34">
        <f>IF($B68="ABSOLUTE SEMANTIC",ABS('06_ITEM_POLE_MODEL'!AN68),ABS('06_ITEM_POLE_MODEL'!AN68)*ABS(SUMPRODUCT(--('93_TARGET_MEMBERSHIP'!BM$5:BM$27=1),'05_FEATURE_MODEL'!AF$5:AF$27)/MAX(1,COUNTIF('93_TARGET_MEMBERSHIP'!BM$5:BM$27,1))-SUMPRODUCT(--('93_TARGET_MEMBERSHIP'!BM$5:BM$27=-1),'05_FEATURE_MODEL'!AF$5:AF$27)/MAX(1,COUNTIF('93_TARGET_MEMBERSHIP'!BM$5:BM$27,-1))))</f>
        <v/>
      </c>
      <c r="AF68" s="34">
        <f>IF($B68="ABSOLUTE SEMANTIC",ABS('06_ITEM_POLE_MODEL'!AO68),ABS('06_ITEM_POLE_MODEL'!AO68)*ABS(SUMPRODUCT(--('93_TARGET_MEMBERSHIP'!BM$5:BM$27=1),'05_FEATURE_MODEL'!AG$5:AG$27)/MAX(1,COUNTIF('93_TARGET_MEMBERSHIP'!BM$5:BM$27,1))-SUMPRODUCT(--('93_TARGET_MEMBERSHIP'!BM$5:BM$27=-1),'05_FEATURE_MODEL'!AG$5:AG$27)/MAX(1,COUNTIF('93_TARGET_MEMBERSHIP'!BM$5:BM$27,-1))))</f>
        <v/>
      </c>
      <c r="AG68" s="34">
        <f>IF($B68="ABSOLUTE SEMANTIC",ABS('06_ITEM_POLE_MODEL'!AP68),ABS('06_ITEM_POLE_MODEL'!AP68)*ABS(SUMPRODUCT(--('93_TARGET_MEMBERSHIP'!BM$5:BM$27=1),'05_FEATURE_MODEL'!AH$5:AH$27)/MAX(1,COUNTIF('93_TARGET_MEMBERSHIP'!BM$5:BM$27,1))-SUMPRODUCT(--('93_TARGET_MEMBERSHIP'!BM$5:BM$27=-1),'05_FEATURE_MODEL'!AH$5:AH$27)/MAX(1,COUNTIF('93_TARGET_MEMBERSHIP'!BM$5:BM$27,-1))))</f>
        <v/>
      </c>
      <c r="AH68" s="34">
        <f>IF($B68="ABSOLUTE SEMANTIC",ABS('06_ITEM_POLE_MODEL'!AQ68),ABS('06_ITEM_POLE_MODEL'!AQ68)*ABS(SUMPRODUCT(--('93_TARGET_MEMBERSHIP'!BM$5:BM$27=1),'05_FEATURE_MODEL'!AI$5:AI$27)/MAX(1,COUNTIF('93_TARGET_MEMBERSHIP'!BM$5:BM$27,1))-SUMPRODUCT(--('93_TARGET_MEMBERSHIP'!BM$5:BM$27=-1),'05_FEATURE_MODEL'!AI$5:AI$27)/MAX(1,COUNTIF('93_TARGET_MEMBERSHIP'!BM$5:BM$27,-1))))</f>
        <v/>
      </c>
      <c r="AI68" s="34">
        <f>IF($B68="ABSOLUTE SEMANTIC",ABS('06_ITEM_POLE_MODEL'!AR68),ABS('06_ITEM_POLE_MODEL'!AR68)*ABS(SUMPRODUCT(--('93_TARGET_MEMBERSHIP'!BM$5:BM$27=1),'05_FEATURE_MODEL'!AJ$5:AJ$27)/MAX(1,COUNTIF('93_TARGET_MEMBERSHIP'!BM$5:BM$27,1))-SUMPRODUCT(--('93_TARGET_MEMBERSHIP'!BM$5:BM$27=-1),'05_FEATURE_MODEL'!AJ$5:AJ$27)/MAX(1,COUNTIF('93_TARGET_MEMBERSHIP'!BM$5:BM$27,-1))))</f>
        <v/>
      </c>
      <c r="AJ68" s="34">
        <f>IF($B68="ABSOLUTE SEMANTIC",ABS('06_ITEM_POLE_MODEL'!AS68),ABS('06_ITEM_POLE_MODEL'!AS68)*ABS(SUMPRODUCT(--('93_TARGET_MEMBERSHIP'!BM$5:BM$27=1),'05_FEATURE_MODEL'!AK$5:AK$27)/MAX(1,COUNTIF('93_TARGET_MEMBERSHIP'!BM$5:BM$27,1))-SUMPRODUCT(--('93_TARGET_MEMBERSHIP'!BM$5:BM$27=-1),'05_FEATURE_MODEL'!AK$5:AK$27)/MAX(1,COUNTIF('93_TARGET_MEMBERSHIP'!BM$5:BM$27,-1))))</f>
        <v/>
      </c>
      <c r="AK68" s="34">
        <f>IF($B68="ABSOLUTE SEMANTIC",ABS('06_ITEM_POLE_MODEL'!AT68),ABS('06_ITEM_POLE_MODEL'!AT68)*ABS(SUMPRODUCT(--('93_TARGET_MEMBERSHIP'!BM$5:BM$27=1),'05_FEATURE_MODEL'!AL$5:AL$27)/MAX(1,COUNTIF('93_TARGET_MEMBERSHIP'!BM$5:BM$27,1))-SUMPRODUCT(--('93_TARGET_MEMBERSHIP'!BM$5:BM$27=-1),'05_FEATURE_MODEL'!AL$5:AL$27)/MAX(1,COUNTIF('93_TARGET_MEMBERSHIP'!BM$5:BM$27,-1))))</f>
        <v/>
      </c>
      <c r="AL68" s="34">
        <f>IF($B68="ABSOLUTE SEMANTIC",ABS('06_ITEM_POLE_MODEL'!AU68),ABS('06_ITEM_POLE_MODEL'!AU68)*ABS(SUMPRODUCT(--('93_TARGET_MEMBERSHIP'!BM$5:BM$27=1),'05_FEATURE_MODEL'!AM$5:AM$27)/MAX(1,COUNTIF('93_TARGET_MEMBERSHIP'!BM$5:BM$27,1))-SUMPRODUCT(--('93_TARGET_MEMBERSHIP'!BM$5:BM$27=-1),'05_FEATURE_MODEL'!AM$5:AM$27)/MAX(1,COUNTIF('93_TARGET_MEMBERSHIP'!BM$5:BM$27,-1))))</f>
        <v/>
      </c>
      <c r="AM68" s="34">
        <f>IF($B68="ABSOLUTE SEMANTIC",ABS('06_ITEM_POLE_MODEL'!AV68),ABS('06_ITEM_POLE_MODEL'!AV68)*ABS(SUMPRODUCT(--('93_TARGET_MEMBERSHIP'!BM$5:BM$27=1),'05_FEATURE_MODEL'!AN$5:AN$27)/MAX(1,COUNTIF('93_TARGET_MEMBERSHIP'!BM$5:BM$27,1))-SUMPRODUCT(--('93_TARGET_MEMBERSHIP'!BM$5:BM$27=-1),'05_FEATURE_MODEL'!AN$5:AN$27)/MAX(1,COUNTIF('93_TARGET_MEMBERSHIP'!BM$5:BM$27,-1))))</f>
        <v/>
      </c>
      <c r="AN68" s="34">
        <f>IF($B68="ABSOLUTE SEMANTIC",ABS('06_ITEM_POLE_MODEL'!AW68),ABS('06_ITEM_POLE_MODEL'!AW68)*ABS(SUMPRODUCT(--('93_TARGET_MEMBERSHIP'!BM$5:BM$27=1),'05_FEATURE_MODEL'!AO$5:AO$27)/MAX(1,COUNTIF('93_TARGET_MEMBERSHIP'!BM$5:BM$27,1))-SUMPRODUCT(--('93_TARGET_MEMBERSHIP'!BM$5:BM$27=-1),'05_FEATURE_MODEL'!AO$5:AO$27)/MAX(1,COUNTIF('93_TARGET_MEMBERSHIP'!BM$5:BM$27,-1))))</f>
        <v/>
      </c>
      <c r="AO68" s="34">
        <f>IF($B68="ABSOLUTE SEMANTIC",ABS('06_ITEM_POLE_MODEL'!AX68),ABS('06_ITEM_POLE_MODEL'!AX68)*ABS(SUMPRODUCT(--('93_TARGET_MEMBERSHIP'!BM$5:BM$27=1),'05_FEATURE_MODEL'!AP$5:AP$27)/MAX(1,COUNTIF('93_TARGET_MEMBERSHIP'!BM$5:BM$27,1))-SUMPRODUCT(--('93_TARGET_MEMBERSHIP'!BM$5:BM$27=-1),'05_FEATURE_MODEL'!AP$5:AP$27)/MAX(1,COUNTIF('93_TARGET_MEMBERSHIP'!BM$5:BM$27,-1))))</f>
        <v/>
      </c>
      <c r="AP68" s="34">
        <f>IF($B68="ABSOLUTE SEMANTIC",ABS('06_ITEM_POLE_MODEL'!AY68),ABS('06_ITEM_POLE_MODEL'!AY68)*ABS(SUMPRODUCT(--('93_TARGET_MEMBERSHIP'!BM$5:BM$27=1),'05_FEATURE_MODEL'!AQ$5:AQ$27)/MAX(1,COUNTIF('93_TARGET_MEMBERSHIP'!BM$5:BM$27,1))-SUMPRODUCT(--('93_TARGET_MEMBERSHIP'!BM$5:BM$27=-1),'05_FEATURE_MODEL'!AQ$5:AQ$27)/MAX(1,COUNTIF('93_TARGET_MEMBERSHIP'!BM$5:BM$27,-1))))</f>
        <v/>
      </c>
      <c r="AQ68" s="34">
        <f>IF($B68="ABSOLUTE SEMANTIC",ABS('06_ITEM_POLE_MODEL'!AZ68),ABS('06_ITEM_POLE_MODEL'!AZ68)*ABS(SUMPRODUCT(--('93_TARGET_MEMBERSHIP'!BM$5:BM$27=1),'05_FEATURE_MODEL'!AR$5:AR$27)/MAX(1,COUNTIF('93_TARGET_MEMBERSHIP'!BM$5:BM$27,1))-SUMPRODUCT(--('93_TARGET_MEMBERSHIP'!BM$5:BM$27=-1),'05_FEATURE_MODEL'!AR$5:AR$27)/MAX(1,COUNTIF('93_TARGET_MEMBERSHIP'!BM$5:BM$27,-1))))</f>
        <v/>
      </c>
    </row>
    <row r="69" ht="36" customHeight="1">
      <c r="A69" s="34">
        <f>'06_ITEM_POLE_MODEL'!A69</f>
        <v/>
      </c>
      <c r="B69" s="34">
        <f>'06_ITEM_POLE_MODEL'!E69</f>
        <v/>
      </c>
      <c r="C69" s="34">
        <f>IF($B69="ABSOLUTE SEMANTIC",ABS('06_ITEM_POLE_MODEL'!L69),ABS('06_ITEM_POLE_MODEL'!L69)*ABS(SUMPRODUCT(--('93_TARGET_MEMBERSHIP'!BN$5:BN$27=1),'05_FEATURE_MODEL'!D$5:D$27)/MAX(1,COUNTIF('93_TARGET_MEMBERSHIP'!BN$5:BN$27,1))-SUMPRODUCT(--('93_TARGET_MEMBERSHIP'!BN$5:BN$27=-1),'05_FEATURE_MODEL'!D$5:D$27)/MAX(1,COUNTIF('93_TARGET_MEMBERSHIP'!BN$5:BN$27,-1))))</f>
        <v/>
      </c>
      <c r="D69" s="34">
        <f>IF($B69="ABSOLUTE SEMANTIC",ABS('06_ITEM_POLE_MODEL'!M69),ABS('06_ITEM_POLE_MODEL'!M69)*ABS(SUMPRODUCT(--('93_TARGET_MEMBERSHIP'!BN$5:BN$27=1),'05_FEATURE_MODEL'!E$5:E$27)/MAX(1,COUNTIF('93_TARGET_MEMBERSHIP'!BN$5:BN$27,1))-SUMPRODUCT(--('93_TARGET_MEMBERSHIP'!BN$5:BN$27=-1),'05_FEATURE_MODEL'!E$5:E$27)/MAX(1,COUNTIF('93_TARGET_MEMBERSHIP'!BN$5:BN$27,-1))))</f>
        <v/>
      </c>
      <c r="E69" s="34">
        <f>IF($B69="ABSOLUTE SEMANTIC",ABS('06_ITEM_POLE_MODEL'!N69),ABS('06_ITEM_POLE_MODEL'!N69)*ABS(SUMPRODUCT(--('93_TARGET_MEMBERSHIP'!BN$5:BN$27=1),'05_FEATURE_MODEL'!F$5:F$27)/MAX(1,COUNTIF('93_TARGET_MEMBERSHIP'!BN$5:BN$27,1))-SUMPRODUCT(--('93_TARGET_MEMBERSHIP'!BN$5:BN$27=-1),'05_FEATURE_MODEL'!F$5:F$27)/MAX(1,COUNTIF('93_TARGET_MEMBERSHIP'!BN$5:BN$27,-1))))</f>
        <v/>
      </c>
      <c r="F69" s="34">
        <f>IF($B69="ABSOLUTE SEMANTIC",ABS('06_ITEM_POLE_MODEL'!O69),ABS('06_ITEM_POLE_MODEL'!O69)*ABS(SUMPRODUCT(--('93_TARGET_MEMBERSHIP'!BN$5:BN$27=1),'05_FEATURE_MODEL'!G$5:G$27)/MAX(1,COUNTIF('93_TARGET_MEMBERSHIP'!BN$5:BN$27,1))-SUMPRODUCT(--('93_TARGET_MEMBERSHIP'!BN$5:BN$27=-1),'05_FEATURE_MODEL'!G$5:G$27)/MAX(1,COUNTIF('93_TARGET_MEMBERSHIP'!BN$5:BN$27,-1))))</f>
        <v/>
      </c>
      <c r="G69" s="34">
        <f>IF($B69="ABSOLUTE SEMANTIC",ABS('06_ITEM_POLE_MODEL'!P69),ABS('06_ITEM_POLE_MODEL'!P69)*ABS(SUMPRODUCT(--('93_TARGET_MEMBERSHIP'!BN$5:BN$27=1),'05_FEATURE_MODEL'!H$5:H$27)/MAX(1,COUNTIF('93_TARGET_MEMBERSHIP'!BN$5:BN$27,1))-SUMPRODUCT(--('93_TARGET_MEMBERSHIP'!BN$5:BN$27=-1),'05_FEATURE_MODEL'!H$5:H$27)/MAX(1,COUNTIF('93_TARGET_MEMBERSHIP'!BN$5:BN$27,-1))))</f>
        <v/>
      </c>
      <c r="H69" s="34">
        <f>IF($B69="ABSOLUTE SEMANTIC",ABS('06_ITEM_POLE_MODEL'!Q69),ABS('06_ITEM_POLE_MODEL'!Q69)*ABS(SUMPRODUCT(--('93_TARGET_MEMBERSHIP'!BN$5:BN$27=1),'05_FEATURE_MODEL'!I$5:I$27)/MAX(1,COUNTIF('93_TARGET_MEMBERSHIP'!BN$5:BN$27,1))-SUMPRODUCT(--('93_TARGET_MEMBERSHIP'!BN$5:BN$27=-1),'05_FEATURE_MODEL'!I$5:I$27)/MAX(1,COUNTIF('93_TARGET_MEMBERSHIP'!BN$5:BN$27,-1))))</f>
        <v/>
      </c>
      <c r="I69" s="34">
        <f>IF($B69="ABSOLUTE SEMANTIC",ABS('06_ITEM_POLE_MODEL'!R69),ABS('06_ITEM_POLE_MODEL'!R69)*ABS(SUMPRODUCT(--('93_TARGET_MEMBERSHIP'!BN$5:BN$27=1),'05_FEATURE_MODEL'!J$5:J$27)/MAX(1,COUNTIF('93_TARGET_MEMBERSHIP'!BN$5:BN$27,1))-SUMPRODUCT(--('93_TARGET_MEMBERSHIP'!BN$5:BN$27=-1),'05_FEATURE_MODEL'!J$5:J$27)/MAX(1,COUNTIF('93_TARGET_MEMBERSHIP'!BN$5:BN$27,-1))))</f>
        <v/>
      </c>
      <c r="J69" s="34">
        <f>IF($B69="ABSOLUTE SEMANTIC",ABS('06_ITEM_POLE_MODEL'!S69),ABS('06_ITEM_POLE_MODEL'!S69)*ABS(SUMPRODUCT(--('93_TARGET_MEMBERSHIP'!BN$5:BN$27=1),'05_FEATURE_MODEL'!K$5:K$27)/MAX(1,COUNTIF('93_TARGET_MEMBERSHIP'!BN$5:BN$27,1))-SUMPRODUCT(--('93_TARGET_MEMBERSHIP'!BN$5:BN$27=-1),'05_FEATURE_MODEL'!K$5:K$27)/MAX(1,COUNTIF('93_TARGET_MEMBERSHIP'!BN$5:BN$27,-1))))</f>
        <v/>
      </c>
      <c r="K69" s="34">
        <f>IF($B69="ABSOLUTE SEMANTIC",ABS('06_ITEM_POLE_MODEL'!T69),ABS('06_ITEM_POLE_MODEL'!T69)*ABS(SUMPRODUCT(--('93_TARGET_MEMBERSHIP'!BN$5:BN$27=1),'05_FEATURE_MODEL'!L$5:L$27)/MAX(1,COUNTIF('93_TARGET_MEMBERSHIP'!BN$5:BN$27,1))-SUMPRODUCT(--('93_TARGET_MEMBERSHIP'!BN$5:BN$27=-1),'05_FEATURE_MODEL'!L$5:L$27)/MAX(1,COUNTIF('93_TARGET_MEMBERSHIP'!BN$5:BN$27,-1))))</f>
        <v/>
      </c>
      <c r="L69" s="34">
        <f>IF($B69="ABSOLUTE SEMANTIC",ABS('06_ITEM_POLE_MODEL'!U69),ABS('06_ITEM_POLE_MODEL'!U69)*ABS(SUMPRODUCT(--('93_TARGET_MEMBERSHIP'!BN$5:BN$27=1),'05_FEATURE_MODEL'!M$5:M$27)/MAX(1,COUNTIF('93_TARGET_MEMBERSHIP'!BN$5:BN$27,1))-SUMPRODUCT(--('93_TARGET_MEMBERSHIP'!BN$5:BN$27=-1),'05_FEATURE_MODEL'!M$5:M$27)/MAX(1,COUNTIF('93_TARGET_MEMBERSHIP'!BN$5:BN$27,-1))))</f>
        <v/>
      </c>
      <c r="M69" s="34">
        <f>IF($B69="ABSOLUTE SEMANTIC",ABS('06_ITEM_POLE_MODEL'!V69),ABS('06_ITEM_POLE_MODEL'!V69)*ABS(SUMPRODUCT(--('93_TARGET_MEMBERSHIP'!BN$5:BN$27=1),'05_FEATURE_MODEL'!N$5:N$27)/MAX(1,COUNTIF('93_TARGET_MEMBERSHIP'!BN$5:BN$27,1))-SUMPRODUCT(--('93_TARGET_MEMBERSHIP'!BN$5:BN$27=-1),'05_FEATURE_MODEL'!N$5:N$27)/MAX(1,COUNTIF('93_TARGET_MEMBERSHIP'!BN$5:BN$27,-1))))</f>
        <v/>
      </c>
      <c r="N69" s="34">
        <f>IF($B69="ABSOLUTE SEMANTIC",ABS('06_ITEM_POLE_MODEL'!W69),ABS('06_ITEM_POLE_MODEL'!W69)*ABS(SUMPRODUCT(--('93_TARGET_MEMBERSHIP'!BN$5:BN$27=1),'05_FEATURE_MODEL'!O$5:O$27)/MAX(1,COUNTIF('93_TARGET_MEMBERSHIP'!BN$5:BN$27,1))-SUMPRODUCT(--('93_TARGET_MEMBERSHIP'!BN$5:BN$27=-1),'05_FEATURE_MODEL'!O$5:O$27)/MAX(1,COUNTIF('93_TARGET_MEMBERSHIP'!BN$5:BN$27,-1))))</f>
        <v/>
      </c>
      <c r="O69" s="34">
        <f>IF($B69="ABSOLUTE SEMANTIC",ABS('06_ITEM_POLE_MODEL'!X69),ABS('06_ITEM_POLE_MODEL'!X69)*ABS(SUMPRODUCT(--('93_TARGET_MEMBERSHIP'!BN$5:BN$27=1),'05_FEATURE_MODEL'!P$5:P$27)/MAX(1,COUNTIF('93_TARGET_MEMBERSHIP'!BN$5:BN$27,1))-SUMPRODUCT(--('93_TARGET_MEMBERSHIP'!BN$5:BN$27=-1),'05_FEATURE_MODEL'!P$5:P$27)/MAX(1,COUNTIF('93_TARGET_MEMBERSHIP'!BN$5:BN$27,-1))))</f>
        <v/>
      </c>
      <c r="P69" s="34">
        <f>IF($B69="ABSOLUTE SEMANTIC",ABS('06_ITEM_POLE_MODEL'!Y69),ABS('06_ITEM_POLE_MODEL'!Y69)*ABS(SUMPRODUCT(--('93_TARGET_MEMBERSHIP'!BN$5:BN$27=1),'05_FEATURE_MODEL'!Q$5:Q$27)/MAX(1,COUNTIF('93_TARGET_MEMBERSHIP'!BN$5:BN$27,1))-SUMPRODUCT(--('93_TARGET_MEMBERSHIP'!BN$5:BN$27=-1),'05_FEATURE_MODEL'!Q$5:Q$27)/MAX(1,COUNTIF('93_TARGET_MEMBERSHIP'!BN$5:BN$27,-1))))</f>
        <v/>
      </c>
      <c r="Q69" s="34">
        <f>IF($B69="ABSOLUTE SEMANTIC",ABS('06_ITEM_POLE_MODEL'!Z69),ABS('06_ITEM_POLE_MODEL'!Z69)*ABS(SUMPRODUCT(--('93_TARGET_MEMBERSHIP'!BN$5:BN$27=1),'05_FEATURE_MODEL'!R$5:R$27)/MAX(1,COUNTIF('93_TARGET_MEMBERSHIP'!BN$5:BN$27,1))-SUMPRODUCT(--('93_TARGET_MEMBERSHIP'!BN$5:BN$27=-1),'05_FEATURE_MODEL'!R$5:R$27)/MAX(1,COUNTIF('93_TARGET_MEMBERSHIP'!BN$5:BN$27,-1))))</f>
        <v/>
      </c>
      <c r="R69" s="34">
        <f>IF($B69="ABSOLUTE SEMANTIC",ABS('06_ITEM_POLE_MODEL'!AA69),ABS('06_ITEM_POLE_MODEL'!AA69)*ABS(SUMPRODUCT(--('93_TARGET_MEMBERSHIP'!BN$5:BN$27=1),'05_FEATURE_MODEL'!S$5:S$27)/MAX(1,COUNTIF('93_TARGET_MEMBERSHIP'!BN$5:BN$27,1))-SUMPRODUCT(--('93_TARGET_MEMBERSHIP'!BN$5:BN$27=-1),'05_FEATURE_MODEL'!S$5:S$27)/MAX(1,COUNTIF('93_TARGET_MEMBERSHIP'!BN$5:BN$27,-1))))</f>
        <v/>
      </c>
      <c r="S69" s="34">
        <f>IF($B69="ABSOLUTE SEMANTIC",ABS('06_ITEM_POLE_MODEL'!AB69),ABS('06_ITEM_POLE_MODEL'!AB69)*ABS(SUMPRODUCT(--('93_TARGET_MEMBERSHIP'!BN$5:BN$27=1),'05_FEATURE_MODEL'!T$5:T$27)/MAX(1,COUNTIF('93_TARGET_MEMBERSHIP'!BN$5:BN$27,1))-SUMPRODUCT(--('93_TARGET_MEMBERSHIP'!BN$5:BN$27=-1),'05_FEATURE_MODEL'!T$5:T$27)/MAX(1,COUNTIF('93_TARGET_MEMBERSHIP'!BN$5:BN$27,-1))))</f>
        <v/>
      </c>
      <c r="T69" s="34">
        <f>IF($B69="ABSOLUTE SEMANTIC",ABS('06_ITEM_POLE_MODEL'!AC69),ABS('06_ITEM_POLE_MODEL'!AC69)*ABS(SUMPRODUCT(--('93_TARGET_MEMBERSHIP'!BN$5:BN$27=1),'05_FEATURE_MODEL'!U$5:U$27)/MAX(1,COUNTIF('93_TARGET_MEMBERSHIP'!BN$5:BN$27,1))-SUMPRODUCT(--('93_TARGET_MEMBERSHIP'!BN$5:BN$27=-1),'05_FEATURE_MODEL'!U$5:U$27)/MAX(1,COUNTIF('93_TARGET_MEMBERSHIP'!BN$5:BN$27,-1))))</f>
        <v/>
      </c>
      <c r="U69" s="34">
        <f>IF($B69="ABSOLUTE SEMANTIC",ABS('06_ITEM_POLE_MODEL'!AD69),ABS('06_ITEM_POLE_MODEL'!AD69)*ABS(SUMPRODUCT(--('93_TARGET_MEMBERSHIP'!BN$5:BN$27=1),'05_FEATURE_MODEL'!V$5:V$27)/MAX(1,COUNTIF('93_TARGET_MEMBERSHIP'!BN$5:BN$27,1))-SUMPRODUCT(--('93_TARGET_MEMBERSHIP'!BN$5:BN$27=-1),'05_FEATURE_MODEL'!V$5:V$27)/MAX(1,COUNTIF('93_TARGET_MEMBERSHIP'!BN$5:BN$27,-1))))</f>
        <v/>
      </c>
      <c r="V69" s="34">
        <f>IF($B69="ABSOLUTE SEMANTIC",ABS('06_ITEM_POLE_MODEL'!AE69),ABS('06_ITEM_POLE_MODEL'!AE69)*ABS(SUMPRODUCT(--('93_TARGET_MEMBERSHIP'!BN$5:BN$27=1),'05_FEATURE_MODEL'!W$5:W$27)/MAX(1,COUNTIF('93_TARGET_MEMBERSHIP'!BN$5:BN$27,1))-SUMPRODUCT(--('93_TARGET_MEMBERSHIP'!BN$5:BN$27=-1),'05_FEATURE_MODEL'!W$5:W$27)/MAX(1,COUNTIF('93_TARGET_MEMBERSHIP'!BN$5:BN$27,-1))))</f>
        <v/>
      </c>
      <c r="W69" s="34">
        <f>IF($B69="ABSOLUTE SEMANTIC",ABS('06_ITEM_POLE_MODEL'!AF69),ABS('06_ITEM_POLE_MODEL'!AF69)*ABS(SUMPRODUCT(--('93_TARGET_MEMBERSHIP'!BN$5:BN$27=1),'05_FEATURE_MODEL'!X$5:X$27)/MAX(1,COUNTIF('93_TARGET_MEMBERSHIP'!BN$5:BN$27,1))-SUMPRODUCT(--('93_TARGET_MEMBERSHIP'!BN$5:BN$27=-1),'05_FEATURE_MODEL'!X$5:X$27)/MAX(1,COUNTIF('93_TARGET_MEMBERSHIP'!BN$5:BN$27,-1))))</f>
        <v/>
      </c>
      <c r="X69" s="34">
        <f>IF($B69="ABSOLUTE SEMANTIC",ABS('06_ITEM_POLE_MODEL'!AG69),ABS('06_ITEM_POLE_MODEL'!AG69)*ABS(SUMPRODUCT(--('93_TARGET_MEMBERSHIP'!BN$5:BN$27=1),'05_FEATURE_MODEL'!Y$5:Y$27)/MAX(1,COUNTIF('93_TARGET_MEMBERSHIP'!BN$5:BN$27,1))-SUMPRODUCT(--('93_TARGET_MEMBERSHIP'!BN$5:BN$27=-1),'05_FEATURE_MODEL'!Y$5:Y$27)/MAX(1,COUNTIF('93_TARGET_MEMBERSHIP'!BN$5:BN$27,-1))))</f>
        <v/>
      </c>
      <c r="Y69" s="34">
        <f>IF($B69="ABSOLUTE SEMANTIC",ABS('06_ITEM_POLE_MODEL'!AH69),ABS('06_ITEM_POLE_MODEL'!AH69)*ABS(SUMPRODUCT(--('93_TARGET_MEMBERSHIP'!BN$5:BN$27=1),'05_FEATURE_MODEL'!Z$5:Z$27)/MAX(1,COUNTIF('93_TARGET_MEMBERSHIP'!BN$5:BN$27,1))-SUMPRODUCT(--('93_TARGET_MEMBERSHIP'!BN$5:BN$27=-1),'05_FEATURE_MODEL'!Z$5:Z$27)/MAX(1,COUNTIF('93_TARGET_MEMBERSHIP'!BN$5:BN$27,-1))))</f>
        <v/>
      </c>
      <c r="Z69" s="34">
        <f>IF($B69="ABSOLUTE SEMANTIC",ABS('06_ITEM_POLE_MODEL'!AI69),ABS('06_ITEM_POLE_MODEL'!AI69)*ABS(SUMPRODUCT(--('93_TARGET_MEMBERSHIP'!BN$5:BN$27=1),'05_FEATURE_MODEL'!AA$5:AA$27)/MAX(1,COUNTIF('93_TARGET_MEMBERSHIP'!BN$5:BN$27,1))-SUMPRODUCT(--('93_TARGET_MEMBERSHIP'!BN$5:BN$27=-1),'05_FEATURE_MODEL'!AA$5:AA$27)/MAX(1,COUNTIF('93_TARGET_MEMBERSHIP'!BN$5:BN$27,-1))))</f>
        <v/>
      </c>
      <c r="AA69" s="34">
        <f>IF($B69="ABSOLUTE SEMANTIC",ABS('06_ITEM_POLE_MODEL'!AJ69),ABS('06_ITEM_POLE_MODEL'!AJ69)*ABS(SUMPRODUCT(--('93_TARGET_MEMBERSHIP'!BN$5:BN$27=1),'05_FEATURE_MODEL'!AB$5:AB$27)/MAX(1,COUNTIF('93_TARGET_MEMBERSHIP'!BN$5:BN$27,1))-SUMPRODUCT(--('93_TARGET_MEMBERSHIP'!BN$5:BN$27=-1),'05_FEATURE_MODEL'!AB$5:AB$27)/MAX(1,COUNTIF('93_TARGET_MEMBERSHIP'!BN$5:BN$27,-1))))</f>
        <v/>
      </c>
      <c r="AB69" s="34">
        <f>IF($B69="ABSOLUTE SEMANTIC",ABS('06_ITEM_POLE_MODEL'!AK69),ABS('06_ITEM_POLE_MODEL'!AK69)*ABS(SUMPRODUCT(--('93_TARGET_MEMBERSHIP'!BN$5:BN$27=1),'05_FEATURE_MODEL'!AC$5:AC$27)/MAX(1,COUNTIF('93_TARGET_MEMBERSHIP'!BN$5:BN$27,1))-SUMPRODUCT(--('93_TARGET_MEMBERSHIP'!BN$5:BN$27=-1),'05_FEATURE_MODEL'!AC$5:AC$27)/MAX(1,COUNTIF('93_TARGET_MEMBERSHIP'!BN$5:BN$27,-1))))</f>
        <v/>
      </c>
      <c r="AC69" s="34">
        <f>IF($B69="ABSOLUTE SEMANTIC",ABS('06_ITEM_POLE_MODEL'!AL69),ABS('06_ITEM_POLE_MODEL'!AL69)*ABS(SUMPRODUCT(--('93_TARGET_MEMBERSHIP'!BN$5:BN$27=1),'05_FEATURE_MODEL'!AD$5:AD$27)/MAX(1,COUNTIF('93_TARGET_MEMBERSHIP'!BN$5:BN$27,1))-SUMPRODUCT(--('93_TARGET_MEMBERSHIP'!BN$5:BN$27=-1),'05_FEATURE_MODEL'!AD$5:AD$27)/MAX(1,COUNTIF('93_TARGET_MEMBERSHIP'!BN$5:BN$27,-1))))</f>
        <v/>
      </c>
      <c r="AD69" s="34">
        <f>IF($B69="ABSOLUTE SEMANTIC",ABS('06_ITEM_POLE_MODEL'!AM69),ABS('06_ITEM_POLE_MODEL'!AM69)*ABS(SUMPRODUCT(--('93_TARGET_MEMBERSHIP'!BN$5:BN$27=1),'05_FEATURE_MODEL'!AE$5:AE$27)/MAX(1,COUNTIF('93_TARGET_MEMBERSHIP'!BN$5:BN$27,1))-SUMPRODUCT(--('93_TARGET_MEMBERSHIP'!BN$5:BN$27=-1),'05_FEATURE_MODEL'!AE$5:AE$27)/MAX(1,COUNTIF('93_TARGET_MEMBERSHIP'!BN$5:BN$27,-1))))</f>
        <v/>
      </c>
      <c r="AE69" s="34">
        <f>IF($B69="ABSOLUTE SEMANTIC",ABS('06_ITEM_POLE_MODEL'!AN69),ABS('06_ITEM_POLE_MODEL'!AN69)*ABS(SUMPRODUCT(--('93_TARGET_MEMBERSHIP'!BN$5:BN$27=1),'05_FEATURE_MODEL'!AF$5:AF$27)/MAX(1,COUNTIF('93_TARGET_MEMBERSHIP'!BN$5:BN$27,1))-SUMPRODUCT(--('93_TARGET_MEMBERSHIP'!BN$5:BN$27=-1),'05_FEATURE_MODEL'!AF$5:AF$27)/MAX(1,COUNTIF('93_TARGET_MEMBERSHIP'!BN$5:BN$27,-1))))</f>
        <v/>
      </c>
      <c r="AF69" s="34">
        <f>IF($B69="ABSOLUTE SEMANTIC",ABS('06_ITEM_POLE_MODEL'!AO69),ABS('06_ITEM_POLE_MODEL'!AO69)*ABS(SUMPRODUCT(--('93_TARGET_MEMBERSHIP'!BN$5:BN$27=1),'05_FEATURE_MODEL'!AG$5:AG$27)/MAX(1,COUNTIF('93_TARGET_MEMBERSHIP'!BN$5:BN$27,1))-SUMPRODUCT(--('93_TARGET_MEMBERSHIP'!BN$5:BN$27=-1),'05_FEATURE_MODEL'!AG$5:AG$27)/MAX(1,COUNTIF('93_TARGET_MEMBERSHIP'!BN$5:BN$27,-1))))</f>
        <v/>
      </c>
      <c r="AG69" s="34">
        <f>IF($B69="ABSOLUTE SEMANTIC",ABS('06_ITEM_POLE_MODEL'!AP69),ABS('06_ITEM_POLE_MODEL'!AP69)*ABS(SUMPRODUCT(--('93_TARGET_MEMBERSHIP'!BN$5:BN$27=1),'05_FEATURE_MODEL'!AH$5:AH$27)/MAX(1,COUNTIF('93_TARGET_MEMBERSHIP'!BN$5:BN$27,1))-SUMPRODUCT(--('93_TARGET_MEMBERSHIP'!BN$5:BN$27=-1),'05_FEATURE_MODEL'!AH$5:AH$27)/MAX(1,COUNTIF('93_TARGET_MEMBERSHIP'!BN$5:BN$27,-1))))</f>
        <v/>
      </c>
      <c r="AH69" s="34">
        <f>IF($B69="ABSOLUTE SEMANTIC",ABS('06_ITEM_POLE_MODEL'!AQ69),ABS('06_ITEM_POLE_MODEL'!AQ69)*ABS(SUMPRODUCT(--('93_TARGET_MEMBERSHIP'!BN$5:BN$27=1),'05_FEATURE_MODEL'!AI$5:AI$27)/MAX(1,COUNTIF('93_TARGET_MEMBERSHIP'!BN$5:BN$27,1))-SUMPRODUCT(--('93_TARGET_MEMBERSHIP'!BN$5:BN$27=-1),'05_FEATURE_MODEL'!AI$5:AI$27)/MAX(1,COUNTIF('93_TARGET_MEMBERSHIP'!BN$5:BN$27,-1))))</f>
        <v/>
      </c>
      <c r="AI69" s="34">
        <f>IF($B69="ABSOLUTE SEMANTIC",ABS('06_ITEM_POLE_MODEL'!AR69),ABS('06_ITEM_POLE_MODEL'!AR69)*ABS(SUMPRODUCT(--('93_TARGET_MEMBERSHIP'!BN$5:BN$27=1),'05_FEATURE_MODEL'!AJ$5:AJ$27)/MAX(1,COUNTIF('93_TARGET_MEMBERSHIP'!BN$5:BN$27,1))-SUMPRODUCT(--('93_TARGET_MEMBERSHIP'!BN$5:BN$27=-1),'05_FEATURE_MODEL'!AJ$5:AJ$27)/MAX(1,COUNTIF('93_TARGET_MEMBERSHIP'!BN$5:BN$27,-1))))</f>
        <v/>
      </c>
      <c r="AJ69" s="34">
        <f>IF($B69="ABSOLUTE SEMANTIC",ABS('06_ITEM_POLE_MODEL'!AS69),ABS('06_ITEM_POLE_MODEL'!AS69)*ABS(SUMPRODUCT(--('93_TARGET_MEMBERSHIP'!BN$5:BN$27=1),'05_FEATURE_MODEL'!AK$5:AK$27)/MAX(1,COUNTIF('93_TARGET_MEMBERSHIP'!BN$5:BN$27,1))-SUMPRODUCT(--('93_TARGET_MEMBERSHIP'!BN$5:BN$27=-1),'05_FEATURE_MODEL'!AK$5:AK$27)/MAX(1,COUNTIF('93_TARGET_MEMBERSHIP'!BN$5:BN$27,-1))))</f>
        <v/>
      </c>
      <c r="AK69" s="34">
        <f>IF($B69="ABSOLUTE SEMANTIC",ABS('06_ITEM_POLE_MODEL'!AT69),ABS('06_ITEM_POLE_MODEL'!AT69)*ABS(SUMPRODUCT(--('93_TARGET_MEMBERSHIP'!BN$5:BN$27=1),'05_FEATURE_MODEL'!AL$5:AL$27)/MAX(1,COUNTIF('93_TARGET_MEMBERSHIP'!BN$5:BN$27,1))-SUMPRODUCT(--('93_TARGET_MEMBERSHIP'!BN$5:BN$27=-1),'05_FEATURE_MODEL'!AL$5:AL$27)/MAX(1,COUNTIF('93_TARGET_MEMBERSHIP'!BN$5:BN$27,-1))))</f>
        <v/>
      </c>
      <c r="AL69" s="34">
        <f>IF($B69="ABSOLUTE SEMANTIC",ABS('06_ITEM_POLE_MODEL'!AU69),ABS('06_ITEM_POLE_MODEL'!AU69)*ABS(SUMPRODUCT(--('93_TARGET_MEMBERSHIP'!BN$5:BN$27=1),'05_FEATURE_MODEL'!AM$5:AM$27)/MAX(1,COUNTIF('93_TARGET_MEMBERSHIP'!BN$5:BN$27,1))-SUMPRODUCT(--('93_TARGET_MEMBERSHIP'!BN$5:BN$27=-1),'05_FEATURE_MODEL'!AM$5:AM$27)/MAX(1,COUNTIF('93_TARGET_MEMBERSHIP'!BN$5:BN$27,-1))))</f>
        <v/>
      </c>
      <c r="AM69" s="34">
        <f>IF($B69="ABSOLUTE SEMANTIC",ABS('06_ITEM_POLE_MODEL'!AV69),ABS('06_ITEM_POLE_MODEL'!AV69)*ABS(SUMPRODUCT(--('93_TARGET_MEMBERSHIP'!BN$5:BN$27=1),'05_FEATURE_MODEL'!AN$5:AN$27)/MAX(1,COUNTIF('93_TARGET_MEMBERSHIP'!BN$5:BN$27,1))-SUMPRODUCT(--('93_TARGET_MEMBERSHIP'!BN$5:BN$27=-1),'05_FEATURE_MODEL'!AN$5:AN$27)/MAX(1,COUNTIF('93_TARGET_MEMBERSHIP'!BN$5:BN$27,-1))))</f>
        <v/>
      </c>
      <c r="AN69" s="34">
        <f>IF($B69="ABSOLUTE SEMANTIC",ABS('06_ITEM_POLE_MODEL'!AW69),ABS('06_ITEM_POLE_MODEL'!AW69)*ABS(SUMPRODUCT(--('93_TARGET_MEMBERSHIP'!BN$5:BN$27=1),'05_FEATURE_MODEL'!AO$5:AO$27)/MAX(1,COUNTIF('93_TARGET_MEMBERSHIP'!BN$5:BN$27,1))-SUMPRODUCT(--('93_TARGET_MEMBERSHIP'!BN$5:BN$27=-1),'05_FEATURE_MODEL'!AO$5:AO$27)/MAX(1,COUNTIF('93_TARGET_MEMBERSHIP'!BN$5:BN$27,-1))))</f>
        <v/>
      </c>
      <c r="AO69" s="34">
        <f>IF($B69="ABSOLUTE SEMANTIC",ABS('06_ITEM_POLE_MODEL'!AX69),ABS('06_ITEM_POLE_MODEL'!AX69)*ABS(SUMPRODUCT(--('93_TARGET_MEMBERSHIP'!BN$5:BN$27=1),'05_FEATURE_MODEL'!AP$5:AP$27)/MAX(1,COUNTIF('93_TARGET_MEMBERSHIP'!BN$5:BN$27,1))-SUMPRODUCT(--('93_TARGET_MEMBERSHIP'!BN$5:BN$27=-1),'05_FEATURE_MODEL'!AP$5:AP$27)/MAX(1,COUNTIF('93_TARGET_MEMBERSHIP'!BN$5:BN$27,-1))))</f>
        <v/>
      </c>
      <c r="AP69" s="34">
        <f>IF($B69="ABSOLUTE SEMANTIC",ABS('06_ITEM_POLE_MODEL'!AY69),ABS('06_ITEM_POLE_MODEL'!AY69)*ABS(SUMPRODUCT(--('93_TARGET_MEMBERSHIP'!BN$5:BN$27=1),'05_FEATURE_MODEL'!AQ$5:AQ$27)/MAX(1,COUNTIF('93_TARGET_MEMBERSHIP'!BN$5:BN$27,1))-SUMPRODUCT(--('93_TARGET_MEMBERSHIP'!BN$5:BN$27=-1),'05_FEATURE_MODEL'!AQ$5:AQ$27)/MAX(1,COUNTIF('93_TARGET_MEMBERSHIP'!BN$5:BN$27,-1))))</f>
        <v/>
      </c>
      <c r="AQ69" s="34">
        <f>IF($B69="ABSOLUTE SEMANTIC",ABS('06_ITEM_POLE_MODEL'!AZ69),ABS('06_ITEM_POLE_MODEL'!AZ69)*ABS(SUMPRODUCT(--('93_TARGET_MEMBERSHIP'!BN$5:BN$27=1),'05_FEATURE_MODEL'!AR$5:AR$27)/MAX(1,COUNTIF('93_TARGET_MEMBERSHIP'!BN$5:BN$27,1))-SUMPRODUCT(--('93_TARGET_MEMBERSHIP'!BN$5:BN$27=-1),'05_FEATURE_MODEL'!AR$5:AR$27)/MAX(1,COUNTIF('93_TARGET_MEMBERSHIP'!BN$5:BN$27,-1))))</f>
        <v/>
      </c>
    </row>
    <row r="70" ht="36" customHeight="1">
      <c r="A70" s="34">
        <f>'06_ITEM_POLE_MODEL'!A70</f>
        <v/>
      </c>
      <c r="B70" s="34">
        <f>'06_ITEM_POLE_MODEL'!E70</f>
        <v/>
      </c>
      <c r="C70" s="34">
        <f>IF($B70="ABSOLUTE SEMANTIC",ABS('06_ITEM_POLE_MODEL'!L70),ABS('06_ITEM_POLE_MODEL'!L70)*ABS(SUMPRODUCT(--('93_TARGET_MEMBERSHIP'!BO$5:BO$27=1),'05_FEATURE_MODEL'!D$5:D$27)/MAX(1,COUNTIF('93_TARGET_MEMBERSHIP'!BO$5:BO$27,1))-SUMPRODUCT(--('93_TARGET_MEMBERSHIP'!BO$5:BO$27=-1),'05_FEATURE_MODEL'!D$5:D$27)/MAX(1,COUNTIF('93_TARGET_MEMBERSHIP'!BO$5:BO$27,-1))))</f>
        <v/>
      </c>
      <c r="D70" s="34">
        <f>IF($B70="ABSOLUTE SEMANTIC",ABS('06_ITEM_POLE_MODEL'!M70),ABS('06_ITEM_POLE_MODEL'!M70)*ABS(SUMPRODUCT(--('93_TARGET_MEMBERSHIP'!BO$5:BO$27=1),'05_FEATURE_MODEL'!E$5:E$27)/MAX(1,COUNTIF('93_TARGET_MEMBERSHIP'!BO$5:BO$27,1))-SUMPRODUCT(--('93_TARGET_MEMBERSHIP'!BO$5:BO$27=-1),'05_FEATURE_MODEL'!E$5:E$27)/MAX(1,COUNTIF('93_TARGET_MEMBERSHIP'!BO$5:BO$27,-1))))</f>
        <v/>
      </c>
      <c r="E70" s="34">
        <f>IF($B70="ABSOLUTE SEMANTIC",ABS('06_ITEM_POLE_MODEL'!N70),ABS('06_ITEM_POLE_MODEL'!N70)*ABS(SUMPRODUCT(--('93_TARGET_MEMBERSHIP'!BO$5:BO$27=1),'05_FEATURE_MODEL'!F$5:F$27)/MAX(1,COUNTIF('93_TARGET_MEMBERSHIP'!BO$5:BO$27,1))-SUMPRODUCT(--('93_TARGET_MEMBERSHIP'!BO$5:BO$27=-1),'05_FEATURE_MODEL'!F$5:F$27)/MAX(1,COUNTIF('93_TARGET_MEMBERSHIP'!BO$5:BO$27,-1))))</f>
        <v/>
      </c>
      <c r="F70" s="34">
        <f>IF($B70="ABSOLUTE SEMANTIC",ABS('06_ITEM_POLE_MODEL'!O70),ABS('06_ITEM_POLE_MODEL'!O70)*ABS(SUMPRODUCT(--('93_TARGET_MEMBERSHIP'!BO$5:BO$27=1),'05_FEATURE_MODEL'!G$5:G$27)/MAX(1,COUNTIF('93_TARGET_MEMBERSHIP'!BO$5:BO$27,1))-SUMPRODUCT(--('93_TARGET_MEMBERSHIP'!BO$5:BO$27=-1),'05_FEATURE_MODEL'!G$5:G$27)/MAX(1,COUNTIF('93_TARGET_MEMBERSHIP'!BO$5:BO$27,-1))))</f>
        <v/>
      </c>
      <c r="G70" s="34">
        <f>IF($B70="ABSOLUTE SEMANTIC",ABS('06_ITEM_POLE_MODEL'!P70),ABS('06_ITEM_POLE_MODEL'!P70)*ABS(SUMPRODUCT(--('93_TARGET_MEMBERSHIP'!BO$5:BO$27=1),'05_FEATURE_MODEL'!H$5:H$27)/MAX(1,COUNTIF('93_TARGET_MEMBERSHIP'!BO$5:BO$27,1))-SUMPRODUCT(--('93_TARGET_MEMBERSHIP'!BO$5:BO$27=-1),'05_FEATURE_MODEL'!H$5:H$27)/MAX(1,COUNTIF('93_TARGET_MEMBERSHIP'!BO$5:BO$27,-1))))</f>
        <v/>
      </c>
      <c r="H70" s="34">
        <f>IF($B70="ABSOLUTE SEMANTIC",ABS('06_ITEM_POLE_MODEL'!Q70),ABS('06_ITEM_POLE_MODEL'!Q70)*ABS(SUMPRODUCT(--('93_TARGET_MEMBERSHIP'!BO$5:BO$27=1),'05_FEATURE_MODEL'!I$5:I$27)/MAX(1,COUNTIF('93_TARGET_MEMBERSHIP'!BO$5:BO$27,1))-SUMPRODUCT(--('93_TARGET_MEMBERSHIP'!BO$5:BO$27=-1),'05_FEATURE_MODEL'!I$5:I$27)/MAX(1,COUNTIF('93_TARGET_MEMBERSHIP'!BO$5:BO$27,-1))))</f>
        <v/>
      </c>
      <c r="I70" s="34">
        <f>IF($B70="ABSOLUTE SEMANTIC",ABS('06_ITEM_POLE_MODEL'!R70),ABS('06_ITEM_POLE_MODEL'!R70)*ABS(SUMPRODUCT(--('93_TARGET_MEMBERSHIP'!BO$5:BO$27=1),'05_FEATURE_MODEL'!J$5:J$27)/MAX(1,COUNTIF('93_TARGET_MEMBERSHIP'!BO$5:BO$27,1))-SUMPRODUCT(--('93_TARGET_MEMBERSHIP'!BO$5:BO$27=-1),'05_FEATURE_MODEL'!J$5:J$27)/MAX(1,COUNTIF('93_TARGET_MEMBERSHIP'!BO$5:BO$27,-1))))</f>
        <v/>
      </c>
      <c r="J70" s="34">
        <f>IF($B70="ABSOLUTE SEMANTIC",ABS('06_ITEM_POLE_MODEL'!S70),ABS('06_ITEM_POLE_MODEL'!S70)*ABS(SUMPRODUCT(--('93_TARGET_MEMBERSHIP'!BO$5:BO$27=1),'05_FEATURE_MODEL'!K$5:K$27)/MAX(1,COUNTIF('93_TARGET_MEMBERSHIP'!BO$5:BO$27,1))-SUMPRODUCT(--('93_TARGET_MEMBERSHIP'!BO$5:BO$27=-1),'05_FEATURE_MODEL'!K$5:K$27)/MAX(1,COUNTIF('93_TARGET_MEMBERSHIP'!BO$5:BO$27,-1))))</f>
        <v/>
      </c>
      <c r="K70" s="34">
        <f>IF($B70="ABSOLUTE SEMANTIC",ABS('06_ITEM_POLE_MODEL'!T70),ABS('06_ITEM_POLE_MODEL'!T70)*ABS(SUMPRODUCT(--('93_TARGET_MEMBERSHIP'!BO$5:BO$27=1),'05_FEATURE_MODEL'!L$5:L$27)/MAX(1,COUNTIF('93_TARGET_MEMBERSHIP'!BO$5:BO$27,1))-SUMPRODUCT(--('93_TARGET_MEMBERSHIP'!BO$5:BO$27=-1),'05_FEATURE_MODEL'!L$5:L$27)/MAX(1,COUNTIF('93_TARGET_MEMBERSHIP'!BO$5:BO$27,-1))))</f>
        <v/>
      </c>
      <c r="L70" s="34">
        <f>IF($B70="ABSOLUTE SEMANTIC",ABS('06_ITEM_POLE_MODEL'!U70),ABS('06_ITEM_POLE_MODEL'!U70)*ABS(SUMPRODUCT(--('93_TARGET_MEMBERSHIP'!BO$5:BO$27=1),'05_FEATURE_MODEL'!M$5:M$27)/MAX(1,COUNTIF('93_TARGET_MEMBERSHIP'!BO$5:BO$27,1))-SUMPRODUCT(--('93_TARGET_MEMBERSHIP'!BO$5:BO$27=-1),'05_FEATURE_MODEL'!M$5:M$27)/MAX(1,COUNTIF('93_TARGET_MEMBERSHIP'!BO$5:BO$27,-1))))</f>
        <v/>
      </c>
      <c r="M70" s="34">
        <f>IF($B70="ABSOLUTE SEMANTIC",ABS('06_ITEM_POLE_MODEL'!V70),ABS('06_ITEM_POLE_MODEL'!V70)*ABS(SUMPRODUCT(--('93_TARGET_MEMBERSHIP'!BO$5:BO$27=1),'05_FEATURE_MODEL'!N$5:N$27)/MAX(1,COUNTIF('93_TARGET_MEMBERSHIP'!BO$5:BO$27,1))-SUMPRODUCT(--('93_TARGET_MEMBERSHIP'!BO$5:BO$27=-1),'05_FEATURE_MODEL'!N$5:N$27)/MAX(1,COUNTIF('93_TARGET_MEMBERSHIP'!BO$5:BO$27,-1))))</f>
        <v/>
      </c>
      <c r="N70" s="34">
        <f>IF($B70="ABSOLUTE SEMANTIC",ABS('06_ITEM_POLE_MODEL'!W70),ABS('06_ITEM_POLE_MODEL'!W70)*ABS(SUMPRODUCT(--('93_TARGET_MEMBERSHIP'!BO$5:BO$27=1),'05_FEATURE_MODEL'!O$5:O$27)/MAX(1,COUNTIF('93_TARGET_MEMBERSHIP'!BO$5:BO$27,1))-SUMPRODUCT(--('93_TARGET_MEMBERSHIP'!BO$5:BO$27=-1),'05_FEATURE_MODEL'!O$5:O$27)/MAX(1,COUNTIF('93_TARGET_MEMBERSHIP'!BO$5:BO$27,-1))))</f>
        <v/>
      </c>
      <c r="O70" s="34">
        <f>IF($B70="ABSOLUTE SEMANTIC",ABS('06_ITEM_POLE_MODEL'!X70),ABS('06_ITEM_POLE_MODEL'!X70)*ABS(SUMPRODUCT(--('93_TARGET_MEMBERSHIP'!BO$5:BO$27=1),'05_FEATURE_MODEL'!P$5:P$27)/MAX(1,COUNTIF('93_TARGET_MEMBERSHIP'!BO$5:BO$27,1))-SUMPRODUCT(--('93_TARGET_MEMBERSHIP'!BO$5:BO$27=-1),'05_FEATURE_MODEL'!P$5:P$27)/MAX(1,COUNTIF('93_TARGET_MEMBERSHIP'!BO$5:BO$27,-1))))</f>
        <v/>
      </c>
      <c r="P70" s="34">
        <f>IF($B70="ABSOLUTE SEMANTIC",ABS('06_ITEM_POLE_MODEL'!Y70),ABS('06_ITEM_POLE_MODEL'!Y70)*ABS(SUMPRODUCT(--('93_TARGET_MEMBERSHIP'!BO$5:BO$27=1),'05_FEATURE_MODEL'!Q$5:Q$27)/MAX(1,COUNTIF('93_TARGET_MEMBERSHIP'!BO$5:BO$27,1))-SUMPRODUCT(--('93_TARGET_MEMBERSHIP'!BO$5:BO$27=-1),'05_FEATURE_MODEL'!Q$5:Q$27)/MAX(1,COUNTIF('93_TARGET_MEMBERSHIP'!BO$5:BO$27,-1))))</f>
        <v/>
      </c>
      <c r="Q70" s="34">
        <f>IF($B70="ABSOLUTE SEMANTIC",ABS('06_ITEM_POLE_MODEL'!Z70),ABS('06_ITEM_POLE_MODEL'!Z70)*ABS(SUMPRODUCT(--('93_TARGET_MEMBERSHIP'!BO$5:BO$27=1),'05_FEATURE_MODEL'!R$5:R$27)/MAX(1,COUNTIF('93_TARGET_MEMBERSHIP'!BO$5:BO$27,1))-SUMPRODUCT(--('93_TARGET_MEMBERSHIP'!BO$5:BO$27=-1),'05_FEATURE_MODEL'!R$5:R$27)/MAX(1,COUNTIF('93_TARGET_MEMBERSHIP'!BO$5:BO$27,-1))))</f>
        <v/>
      </c>
      <c r="R70" s="34">
        <f>IF($B70="ABSOLUTE SEMANTIC",ABS('06_ITEM_POLE_MODEL'!AA70),ABS('06_ITEM_POLE_MODEL'!AA70)*ABS(SUMPRODUCT(--('93_TARGET_MEMBERSHIP'!BO$5:BO$27=1),'05_FEATURE_MODEL'!S$5:S$27)/MAX(1,COUNTIF('93_TARGET_MEMBERSHIP'!BO$5:BO$27,1))-SUMPRODUCT(--('93_TARGET_MEMBERSHIP'!BO$5:BO$27=-1),'05_FEATURE_MODEL'!S$5:S$27)/MAX(1,COUNTIF('93_TARGET_MEMBERSHIP'!BO$5:BO$27,-1))))</f>
        <v/>
      </c>
      <c r="S70" s="34">
        <f>IF($B70="ABSOLUTE SEMANTIC",ABS('06_ITEM_POLE_MODEL'!AB70),ABS('06_ITEM_POLE_MODEL'!AB70)*ABS(SUMPRODUCT(--('93_TARGET_MEMBERSHIP'!BO$5:BO$27=1),'05_FEATURE_MODEL'!T$5:T$27)/MAX(1,COUNTIF('93_TARGET_MEMBERSHIP'!BO$5:BO$27,1))-SUMPRODUCT(--('93_TARGET_MEMBERSHIP'!BO$5:BO$27=-1),'05_FEATURE_MODEL'!T$5:T$27)/MAX(1,COUNTIF('93_TARGET_MEMBERSHIP'!BO$5:BO$27,-1))))</f>
        <v/>
      </c>
      <c r="T70" s="34">
        <f>IF($B70="ABSOLUTE SEMANTIC",ABS('06_ITEM_POLE_MODEL'!AC70),ABS('06_ITEM_POLE_MODEL'!AC70)*ABS(SUMPRODUCT(--('93_TARGET_MEMBERSHIP'!BO$5:BO$27=1),'05_FEATURE_MODEL'!U$5:U$27)/MAX(1,COUNTIF('93_TARGET_MEMBERSHIP'!BO$5:BO$27,1))-SUMPRODUCT(--('93_TARGET_MEMBERSHIP'!BO$5:BO$27=-1),'05_FEATURE_MODEL'!U$5:U$27)/MAX(1,COUNTIF('93_TARGET_MEMBERSHIP'!BO$5:BO$27,-1))))</f>
        <v/>
      </c>
      <c r="U70" s="34">
        <f>IF($B70="ABSOLUTE SEMANTIC",ABS('06_ITEM_POLE_MODEL'!AD70),ABS('06_ITEM_POLE_MODEL'!AD70)*ABS(SUMPRODUCT(--('93_TARGET_MEMBERSHIP'!BO$5:BO$27=1),'05_FEATURE_MODEL'!V$5:V$27)/MAX(1,COUNTIF('93_TARGET_MEMBERSHIP'!BO$5:BO$27,1))-SUMPRODUCT(--('93_TARGET_MEMBERSHIP'!BO$5:BO$27=-1),'05_FEATURE_MODEL'!V$5:V$27)/MAX(1,COUNTIF('93_TARGET_MEMBERSHIP'!BO$5:BO$27,-1))))</f>
        <v/>
      </c>
      <c r="V70" s="34">
        <f>IF($B70="ABSOLUTE SEMANTIC",ABS('06_ITEM_POLE_MODEL'!AE70),ABS('06_ITEM_POLE_MODEL'!AE70)*ABS(SUMPRODUCT(--('93_TARGET_MEMBERSHIP'!BO$5:BO$27=1),'05_FEATURE_MODEL'!W$5:W$27)/MAX(1,COUNTIF('93_TARGET_MEMBERSHIP'!BO$5:BO$27,1))-SUMPRODUCT(--('93_TARGET_MEMBERSHIP'!BO$5:BO$27=-1),'05_FEATURE_MODEL'!W$5:W$27)/MAX(1,COUNTIF('93_TARGET_MEMBERSHIP'!BO$5:BO$27,-1))))</f>
        <v/>
      </c>
      <c r="W70" s="34">
        <f>IF($B70="ABSOLUTE SEMANTIC",ABS('06_ITEM_POLE_MODEL'!AF70),ABS('06_ITEM_POLE_MODEL'!AF70)*ABS(SUMPRODUCT(--('93_TARGET_MEMBERSHIP'!BO$5:BO$27=1),'05_FEATURE_MODEL'!X$5:X$27)/MAX(1,COUNTIF('93_TARGET_MEMBERSHIP'!BO$5:BO$27,1))-SUMPRODUCT(--('93_TARGET_MEMBERSHIP'!BO$5:BO$27=-1),'05_FEATURE_MODEL'!X$5:X$27)/MAX(1,COUNTIF('93_TARGET_MEMBERSHIP'!BO$5:BO$27,-1))))</f>
        <v/>
      </c>
      <c r="X70" s="34">
        <f>IF($B70="ABSOLUTE SEMANTIC",ABS('06_ITEM_POLE_MODEL'!AG70),ABS('06_ITEM_POLE_MODEL'!AG70)*ABS(SUMPRODUCT(--('93_TARGET_MEMBERSHIP'!BO$5:BO$27=1),'05_FEATURE_MODEL'!Y$5:Y$27)/MAX(1,COUNTIF('93_TARGET_MEMBERSHIP'!BO$5:BO$27,1))-SUMPRODUCT(--('93_TARGET_MEMBERSHIP'!BO$5:BO$27=-1),'05_FEATURE_MODEL'!Y$5:Y$27)/MAX(1,COUNTIF('93_TARGET_MEMBERSHIP'!BO$5:BO$27,-1))))</f>
        <v/>
      </c>
      <c r="Y70" s="34">
        <f>IF($B70="ABSOLUTE SEMANTIC",ABS('06_ITEM_POLE_MODEL'!AH70),ABS('06_ITEM_POLE_MODEL'!AH70)*ABS(SUMPRODUCT(--('93_TARGET_MEMBERSHIP'!BO$5:BO$27=1),'05_FEATURE_MODEL'!Z$5:Z$27)/MAX(1,COUNTIF('93_TARGET_MEMBERSHIP'!BO$5:BO$27,1))-SUMPRODUCT(--('93_TARGET_MEMBERSHIP'!BO$5:BO$27=-1),'05_FEATURE_MODEL'!Z$5:Z$27)/MAX(1,COUNTIF('93_TARGET_MEMBERSHIP'!BO$5:BO$27,-1))))</f>
        <v/>
      </c>
      <c r="Z70" s="34">
        <f>IF($B70="ABSOLUTE SEMANTIC",ABS('06_ITEM_POLE_MODEL'!AI70),ABS('06_ITEM_POLE_MODEL'!AI70)*ABS(SUMPRODUCT(--('93_TARGET_MEMBERSHIP'!BO$5:BO$27=1),'05_FEATURE_MODEL'!AA$5:AA$27)/MAX(1,COUNTIF('93_TARGET_MEMBERSHIP'!BO$5:BO$27,1))-SUMPRODUCT(--('93_TARGET_MEMBERSHIP'!BO$5:BO$27=-1),'05_FEATURE_MODEL'!AA$5:AA$27)/MAX(1,COUNTIF('93_TARGET_MEMBERSHIP'!BO$5:BO$27,-1))))</f>
        <v/>
      </c>
      <c r="AA70" s="34">
        <f>IF($B70="ABSOLUTE SEMANTIC",ABS('06_ITEM_POLE_MODEL'!AJ70),ABS('06_ITEM_POLE_MODEL'!AJ70)*ABS(SUMPRODUCT(--('93_TARGET_MEMBERSHIP'!BO$5:BO$27=1),'05_FEATURE_MODEL'!AB$5:AB$27)/MAX(1,COUNTIF('93_TARGET_MEMBERSHIP'!BO$5:BO$27,1))-SUMPRODUCT(--('93_TARGET_MEMBERSHIP'!BO$5:BO$27=-1),'05_FEATURE_MODEL'!AB$5:AB$27)/MAX(1,COUNTIF('93_TARGET_MEMBERSHIP'!BO$5:BO$27,-1))))</f>
        <v/>
      </c>
      <c r="AB70" s="34">
        <f>IF($B70="ABSOLUTE SEMANTIC",ABS('06_ITEM_POLE_MODEL'!AK70),ABS('06_ITEM_POLE_MODEL'!AK70)*ABS(SUMPRODUCT(--('93_TARGET_MEMBERSHIP'!BO$5:BO$27=1),'05_FEATURE_MODEL'!AC$5:AC$27)/MAX(1,COUNTIF('93_TARGET_MEMBERSHIP'!BO$5:BO$27,1))-SUMPRODUCT(--('93_TARGET_MEMBERSHIP'!BO$5:BO$27=-1),'05_FEATURE_MODEL'!AC$5:AC$27)/MAX(1,COUNTIF('93_TARGET_MEMBERSHIP'!BO$5:BO$27,-1))))</f>
        <v/>
      </c>
      <c r="AC70" s="34">
        <f>IF($B70="ABSOLUTE SEMANTIC",ABS('06_ITEM_POLE_MODEL'!AL70),ABS('06_ITEM_POLE_MODEL'!AL70)*ABS(SUMPRODUCT(--('93_TARGET_MEMBERSHIP'!BO$5:BO$27=1),'05_FEATURE_MODEL'!AD$5:AD$27)/MAX(1,COUNTIF('93_TARGET_MEMBERSHIP'!BO$5:BO$27,1))-SUMPRODUCT(--('93_TARGET_MEMBERSHIP'!BO$5:BO$27=-1),'05_FEATURE_MODEL'!AD$5:AD$27)/MAX(1,COUNTIF('93_TARGET_MEMBERSHIP'!BO$5:BO$27,-1))))</f>
        <v/>
      </c>
      <c r="AD70" s="34">
        <f>IF($B70="ABSOLUTE SEMANTIC",ABS('06_ITEM_POLE_MODEL'!AM70),ABS('06_ITEM_POLE_MODEL'!AM70)*ABS(SUMPRODUCT(--('93_TARGET_MEMBERSHIP'!BO$5:BO$27=1),'05_FEATURE_MODEL'!AE$5:AE$27)/MAX(1,COUNTIF('93_TARGET_MEMBERSHIP'!BO$5:BO$27,1))-SUMPRODUCT(--('93_TARGET_MEMBERSHIP'!BO$5:BO$27=-1),'05_FEATURE_MODEL'!AE$5:AE$27)/MAX(1,COUNTIF('93_TARGET_MEMBERSHIP'!BO$5:BO$27,-1))))</f>
        <v/>
      </c>
      <c r="AE70" s="34">
        <f>IF($B70="ABSOLUTE SEMANTIC",ABS('06_ITEM_POLE_MODEL'!AN70),ABS('06_ITEM_POLE_MODEL'!AN70)*ABS(SUMPRODUCT(--('93_TARGET_MEMBERSHIP'!BO$5:BO$27=1),'05_FEATURE_MODEL'!AF$5:AF$27)/MAX(1,COUNTIF('93_TARGET_MEMBERSHIP'!BO$5:BO$27,1))-SUMPRODUCT(--('93_TARGET_MEMBERSHIP'!BO$5:BO$27=-1),'05_FEATURE_MODEL'!AF$5:AF$27)/MAX(1,COUNTIF('93_TARGET_MEMBERSHIP'!BO$5:BO$27,-1))))</f>
        <v/>
      </c>
      <c r="AF70" s="34">
        <f>IF($B70="ABSOLUTE SEMANTIC",ABS('06_ITEM_POLE_MODEL'!AO70),ABS('06_ITEM_POLE_MODEL'!AO70)*ABS(SUMPRODUCT(--('93_TARGET_MEMBERSHIP'!BO$5:BO$27=1),'05_FEATURE_MODEL'!AG$5:AG$27)/MAX(1,COUNTIF('93_TARGET_MEMBERSHIP'!BO$5:BO$27,1))-SUMPRODUCT(--('93_TARGET_MEMBERSHIP'!BO$5:BO$27=-1),'05_FEATURE_MODEL'!AG$5:AG$27)/MAX(1,COUNTIF('93_TARGET_MEMBERSHIP'!BO$5:BO$27,-1))))</f>
        <v/>
      </c>
      <c r="AG70" s="34">
        <f>IF($B70="ABSOLUTE SEMANTIC",ABS('06_ITEM_POLE_MODEL'!AP70),ABS('06_ITEM_POLE_MODEL'!AP70)*ABS(SUMPRODUCT(--('93_TARGET_MEMBERSHIP'!BO$5:BO$27=1),'05_FEATURE_MODEL'!AH$5:AH$27)/MAX(1,COUNTIF('93_TARGET_MEMBERSHIP'!BO$5:BO$27,1))-SUMPRODUCT(--('93_TARGET_MEMBERSHIP'!BO$5:BO$27=-1),'05_FEATURE_MODEL'!AH$5:AH$27)/MAX(1,COUNTIF('93_TARGET_MEMBERSHIP'!BO$5:BO$27,-1))))</f>
        <v/>
      </c>
      <c r="AH70" s="34">
        <f>IF($B70="ABSOLUTE SEMANTIC",ABS('06_ITEM_POLE_MODEL'!AQ70),ABS('06_ITEM_POLE_MODEL'!AQ70)*ABS(SUMPRODUCT(--('93_TARGET_MEMBERSHIP'!BO$5:BO$27=1),'05_FEATURE_MODEL'!AI$5:AI$27)/MAX(1,COUNTIF('93_TARGET_MEMBERSHIP'!BO$5:BO$27,1))-SUMPRODUCT(--('93_TARGET_MEMBERSHIP'!BO$5:BO$27=-1),'05_FEATURE_MODEL'!AI$5:AI$27)/MAX(1,COUNTIF('93_TARGET_MEMBERSHIP'!BO$5:BO$27,-1))))</f>
        <v/>
      </c>
      <c r="AI70" s="34">
        <f>IF($B70="ABSOLUTE SEMANTIC",ABS('06_ITEM_POLE_MODEL'!AR70),ABS('06_ITEM_POLE_MODEL'!AR70)*ABS(SUMPRODUCT(--('93_TARGET_MEMBERSHIP'!BO$5:BO$27=1),'05_FEATURE_MODEL'!AJ$5:AJ$27)/MAX(1,COUNTIF('93_TARGET_MEMBERSHIP'!BO$5:BO$27,1))-SUMPRODUCT(--('93_TARGET_MEMBERSHIP'!BO$5:BO$27=-1),'05_FEATURE_MODEL'!AJ$5:AJ$27)/MAX(1,COUNTIF('93_TARGET_MEMBERSHIP'!BO$5:BO$27,-1))))</f>
        <v/>
      </c>
      <c r="AJ70" s="34">
        <f>IF($B70="ABSOLUTE SEMANTIC",ABS('06_ITEM_POLE_MODEL'!AS70),ABS('06_ITEM_POLE_MODEL'!AS70)*ABS(SUMPRODUCT(--('93_TARGET_MEMBERSHIP'!BO$5:BO$27=1),'05_FEATURE_MODEL'!AK$5:AK$27)/MAX(1,COUNTIF('93_TARGET_MEMBERSHIP'!BO$5:BO$27,1))-SUMPRODUCT(--('93_TARGET_MEMBERSHIP'!BO$5:BO$27=-1),'05_FEATURE_MODEL'!AK$5:AK$27)/MAX(1,COUNTIF('93_TARGET_MEMBERSHIP'!BO$5:BO$27,-1))))</f>
        <v/>
      </c>
      <c r="AK70" s="34">
        <f>IF($B70="ABSOLUTE SEMANTIC",ABS('06_ITEM_POLE_MODEL'!AT70),ABS('06_ITEM_POLE_MODEL'!AT70)*ABS(SUMPRODUCT(--('93_TARGET_MEMBERSHIP'!BO$5:BO$27=1),'05_FEATURE_MODEL'!AL$5:AL$27)/MAX(1,COUNTIF('93_TARGET_MEMBERSHIP'!BO$5:BO$27,1))-SUMPRODUCT(--('93_TARGET_MEMBERSHIP'!BO$5:BO$27=-1),'05_FEATURE_MODEL'!AL$5:AL$27)/MAX(1,COUNTIF('93_TARGET_MEMBERSHIP'!BO$5:BO$27,-1))))</f>
        <v/>
      </c>
      <c r="AL70" s="34">
        <f>IF($B70="ABSOLUTE SEMANTIC",ABS('06_ITEM_POLE_MODEL'!AU70),ABS('06_ITEM_POLE_MODEL'!AU70)*ABS(SUMPRODUCT(--('93_TARGET_MEMBERSHIP'!BO$5:BO$27=1),'05_FEATURE_MODEL'!AM$5:AM$27)/MAX(1,COUNTIF('93_TARGET_MEMBERSHIP'!BO$5:BO$27,1))-SUMPRODUCT(--('93_TARGET_MEMBERSHIP'!BO$5:BO$27=-1),'05_FEATURE_MODEL'!AM$5:AM$27)/MAX(1,COUNTIF('93_TARGET_MEMBERSHIP'!BO$5:BO$27,-1))))</f>
        <v/>
      </c>
      <c r="AM70" s="34">
        <f>IF($B70="ABSOLUTE SEMANTIC",ABS('06_ITEM_POLE_MODEL'!AV70),ABS('06_ITEM_POLE_MODEL'!AV70)*ABS(SUMPRODUCT(--('93_TARGET_MEMBERSHIP'!BO$5:BO$27=1),'05_FEATURE_MODEL'!AN$5:AN$27)/MAX(1,COUNTIF('93_TARGET_MEMBERSHIP'!BO$5:BO$27,1))-SUMPRODUCT(--('93_TARGET_MEMBERSHIP'!BO$5:BO$27=-1),'05_FEATURE_MODEL'!AN$5:AN$27)/MAX(1,COUNTIF('93_TARGET_MEMBERSHIP'!BO$5:BO$27,-1))))</f>
        <v/>
      </c>
      <c r="AN70" s="34">
        <f>IF($B70="ABSOLUTE SEMANTIC",ABS('06_ITEM_POLE_MODEL'!AW70),ABS('06_ITEM_POLE_MODEL'!AW70)*ABS(SUMPRODUCT(--('93_TARGET_MEMBERSHIP'!BO$5:BO$27=1),'05_FEATURE_MODEL'!AO$5:AO$27)/MAX(1,COUNTIF('93_TARGET_MEMBERSHIP'!BO$5:BO$27,1))-SUMPRODUCT(--('93_TARGET_MEMBERSHIP'!BO$5:BO$27=-1),'05_FEATURE_MODEL'!AO$5:AO$27)/MAX(1,COUNTIF('93_TARGET_MEMBERSHIP'!BO$5:BO$27,-1))))</f>
        <v/>
      </c>
      <c r="AO70" s="34">
        <f>IF($B70="ABSOLUTE SEMANTIC",ABS('06_ITEM_POLE_MODEL'!AX70),ABS('06_ITEM_POLE_MODEL'!AX70)*ABS(SUMPRODUCT(--('93_TARGET_MEMBERSHIP'!BO$5:BO$27=1),'05_FEATURE_MODEL'!AP$5:AP$27)/MAX(1,COUNTIF('93_TARGET_MEMBERSHIP'!BO$5:BO$27,1))-SUMPRODUCT(--('93_TARGET_MEMBERSHIP'!BO$5:BO$27=-1),'05_FEATURE_MODEL'!AP$5:AP$27)/MAX(1,COUNTIF('93_TARGET_MEMBERSHIP'!BO$5:BO$27,-1))))</f>
        <v/>
      </c>
      <c r="AP70" s="34">
        <f>IF($B70="ABSOLUTE SEMANTIC",ABS('06_ITEM_POLE_MODEL'!AY70),ABS('06_ITEM_POLE_MODEL'!AY70)*ABS(SUMPRODUCT(--('93_TARGET_MEMBERSHIP'!BO$5:BO$27=1),'05_FEATURE_MODEL'!AQ$5:AQ$27)/MAX(1,COUNTIF('93_TARGET_MEMBERSHIP'!BO$5:BO$27,1))-SUMPRODUCT(--('93_TARGET_MEMBERSHIP'!BO$5:BO$27=-1),'05_FEATURE_MODEL'!AQ$5:AQ$27)/MAX(1,COUNTIF('93_TARGET_MEMBERSHIP'!BO$5:BO$27,-1))))</f>
        <v/>
      </c>
      <c r="AQ70" s="34">
        <f>IF($B70="ABSOLUTE SEMANTIC",ABS('06_ITEM_POLE_MODEL'!AZ70),ABS('06_ITEM_POLE_MODEL'!AZ70)*ABS(SUMPRODUCT(--('93_TARGET_MEMBERSHIP'!BO$5:BO$27=1),'05_FEATURE_MODEL'!AR$5:AR$27)/MAX(1,COUNTIF('93_TARGET_MEMBERSHIP'!BO$5:BO$27,1))-SUMPRODUCT(--('93_TARGET_MEMBERSHIP'!BO$5:BO$27=-1),'05_FEATURE_MODEL'!AR$5:AR$27)/MAX(1,COUNTIF('93_TARGET_MEMBERSHIP'!BO$5:BO$27,-1))))</f>
        <v/>
      </c>
    </row>
    <row r="71" ht="36" customHeight="1">
      <c r="A71" s="34">
        <f>'06_ITEM_POLE_MODEL'!A71</f>
        <v/>
      </c>
      <c r="B71" s="34">
        <f>'06_ITEM_POLE_MODEL'!E71</f>
        <v/>
      </c>
      <c r="C71" s="34">
        <f>IF($B71="ABSOLUTE SEMANTIC",ABS('06_ITEM_POLE_MODEL'!L71),ABS('06_ITEM_POLE_MODEL'!L71)*ABS(SUMPRODUCT(--('93_TARGET_MEMBERSHIP'!BP$5:BP$27=1),'05_FEATURE_MODEL'!D$5:D$27)/MAX(1,COUNTIF('93_TARGET_MEMBERSHIP'!BP$5:BP$27,1))-SUMPRODUCT(--('93_TARGET_MEMBERSHIP'!BP$5:BP$27=-1),'05_FEATURE_MODEL'!D$5:D$27)/MAX(1,COUNTIF('93_TARGET_MEMBERSHIP'!BP$5:BP$27,-1))))</f>
        <v/>
      </c>
      <c r="D71" s="34">
        <f>IF($B71="ABSOLUTE SEMANTIC",ABS('06_ITEM_POLE_MODEL'!M71),ABS('06_ITEM_POLE_MODEL'!M71)*ABS(SUMPRODUCT(--('93_TARGET_MEMBERSHIP'!BP$5:BP$27=1),'05_FEATURE_MODEL'!E$5:E$27)/MAX(1,COUNTIF('93_TARGET_MEMBERSHIP'!BP$5:BP$27,1))-SUMPRODUCT(--('93_TARGET_MEMBERSHIP'!BP$5:BP$27=-1),'05_FEATURE_MODEL'!E$5:E$27)/MAX(1,COUNTIF('93_TARGET_MEMBERSHIP'!BP$5:BP$27,-1))))</f>
        <v/>
      </c>
      <c r="E71" s="34">
        <f>IF($B71="ABSOLUTE SEMANTIC",ABS('06_ITEM_POLE_MODEL'!N71),ABS('06_ITEM_POLE_MODEL'!N71)*ABS(SUMPRODUCT(--('93_TARGET_MEMBERSHIP'!BP$5:BP$27=1),'05_FEATURE_MODEL'!F$5:F$27)/MAX(1,COUNTIF('93_TARGET_MEMBERSHIP'!BP$5:BP$27,1))-SUMPRODUCT(--('93_TARGET_MEMBERSHIP'!BP$5:BP$27=-1),'05_FEATURE_MODEL'!F$5:F$27)/MAX(1,COUNTIF('93_TARGET_MEMBERSHIP'!BP$5:BP$27,-1))))</f>
        <v/>
      </c>
      <c r="F71" s="34">
        <f>IF($B71="ABSOLUTE SEMANTIC",ABS('06_ITEM_POLE_MODEL'!O71),ABS('06_ITEM_POLE_MODEL'!O71)*ABS(SUMPRODUCT(--('93_TARGET_MEMBERSHIP'!BP$5:BP$27=1),'05_FEATURE_MODEL'!G$5:G$27)/MAX(1,COUNTIF('93_TARGET_MEMBERSHIP'!BP$5:BP$27,1))-SUMPRODUCT(--('93_TARGET_MEMBERSHIP'!BP$5:BP$27=-1),'05_FEATURE_MODEL'!G$5:G$27)/MAX(1,COUNTIF('93_TARGET_MEMBERSHIP'!BP$5:BP$27,-1))))</f>
        <v/>
      </c>
      <c r="G71" s="34">
        <f>IF($B71="ABSOLUTE SEMANTIC",ABS('06_ITEM_POLE_MODEL'!P71),ABS('06_ITEM_POLE_MODEL'!P71)*ABS(SUMPRODUCT(--('93_TARGET_MEMBERSHIP'!BP$5:BP$27=1),'05_FEATURE_MODEL'!H$5:H$27)/MAX(1,COUNTIF('93_TARGET_MEMBERSHIP'!BP$5:BP$27,1))-SUMPRODUCT(--('93_TARGET_MEMBERSHIP'!BP$5:BP$27=-1),'05_FEATURE_MODEL'!H$5:H$27)/MAX(1,COUNTIF('93_TARGET_MEMBERSHIP'!BP$5:BP$27,-1))))</f>
        <v/>
      </c>
      <c r="H71" s="34">
        <f>IF($B71="ABSOLUTE SEMANTIC",ABS('06_ITEM_POLE_MODEL'!Q71),ABS('06_ITEM_POLE_MODEL'!Q71)*ABS(SUMPRODUCT(--('93_TARGET_MEMBERSHIP'!BP$5:BP$27=1),'05_FEATURE_MODEL'!I$5:I$27)/MAX(1,COUNTIF('93_TARGET_MEMBERSHIP'!BP$5:BP$27,1))-SUMPRODUCT(--('93_TARGET_MEMBERSHIP'!BP$5:BP$27=-1),'05_FEATURE_MODEL'!I$5:I$27)/MAX(1,COUNTIF('93_TARGET_MEMBERSHIP'!BP$5:BP$27,-1))))</f>
        <v/>
      </c>
      <c r="I71" s="34">
        <f>IF($B71="ABSOLUTE SEMANTIC",ABS('06_ITEM_POLE_MODEL'!R71),ABS('06_ITEM_POLE_MODEL'!R71)*ABS(SUMPRODUCT(--('93_TARGET_MEMBERSHIP'!BP$5:BP$27=1),'05_FEATURE_MODEL'!J$5:J$27)/MAX(1,COUNTIF('93_TARGET_MEMBERSHIP'!BP$5:BP$27,1))-SUMPRODUCT(--('93_TARGET_MEMBERSHIP'!BP$5:BP$27=-1),'05_FEATURE_MODEL'!J$5:J$27)/MAX(1,COUNTIF('93_TARGET_MEMBERSHIP'!BP$5:BP$27,-1))))</f>
        <v/>
      </c>
      <c r="J71" s="34">
        <f>IF($B71="ABSOLUTE SEMANTIC",ABS('06_ITEM_POLE_MODEL'!S71),ABS('06_ITEM_POLE_MODEL'!S71)*ABS(SUMPRODUCT(--('93_TARGET_MEMBERSHIP'!BP$5:BP$27=1),'05_FEATURE_MODEL'!K$5:K$27)/MAX(1,COUNTIF('93_TARGET_MEMBERSHIP'!BP$5:BP$27,1))-SUMPRODUCT(--('93_TARGET_MEMBERSHIP'!BP$5:BP$27=-1),'05_FEATURE_MODEL'!K$5:K$27)/MAX(1,COUNTIF('93_TARGET_MEMBERSHIP'!BP$5:BP$27,-1))))</f>
        <v/>
      </c>
      <c r="K71" s="34">
        <f>IF($B71="ABSOLUTE SEMANTIC",ABS('06_ITEM_POLE_MODEL'!T71),ABS('06_ITEM_POLE_MODEL'!T71)*ABS(SUMPRODUCT(--('93_TARGET_MEMBERSHIP'!BP$5:BP$27=1),'05_FEATURE_MODEL'!L$5:L$27)/MAX(1,COUNTIF('93_TARGET_MEMBERSHIP'!BP$5:BP$27,1))-SUMPRODUCT(--('93_TARGET_MEMBERSHIP'!BP$5:BP$27=-1),'05_FEATURE_MODEL'!L$5:L$27)/MAX(1,COUNTIF('93_TARGET_MEMBERSHIP'!BP$5:BP$27,-1))))</f>
        <v/>
      </c>
      <c r="L71" s="34">
        <f>IF($B71="ABSOLUTE SEMANTIC",ABS('06_ITEM_POLE_MODEL'!U71),ABS('06_ITEM_POLE_MODEL'!U71)*ABS(SUMPRODUCT(--('93_TARGET_MEMBERSHIP'!BP$5:BP$27=1),'05_FEATURE_MODEL'!M$5:M$27)/MAX(1,COUNTIF('93_TARGET_MEMBERSHIP'!BP$5:BP$27,1))-SUMPRODUCT(--('93_TARGET_MEMBERSHIP'!BP$5:BP$27=-1),'05_FEATURE_MODEL'!M$5:M$27)/MAX(1,COUNTIF('93_TARGET_MEMBERSHIP'!BP$5:BP$27,-1))))</f>
        <v/>
      </c>
      <c r="M71" s="34">
        <f>IF($B71="ABSOLUTE SEMANTIC",ABS('06_ITEM_POLE_MODEL'!V71),ABS('06_ITEM_POLE_MODEL'!V71)*ABS(SUMPRODUCT(--('93_TARGET_MEMBERSHIP'!BP$5:BP$27=1),'05_FEATURE_MODEL'!N$5:N$27)/MAX(1,COUNTIF('93_TARGET_MEMBERSHIP'!BP$5:BP$27,1))-SUMPRODUCT(--('93_TARGET_MEMBERSHIP'!BP$5:BP$27=-1),'05_FEATURE_MODEL'!N$5:N$27)/MAX(1,COUNTIF('93_TARGET_MEMBERSHIP'!BP$5:BP$27,-1))))</f>
        <v/>
      </c>
      <c r="N71" s="34">
        <f>IF($B71="ABSOLUTE SEMANTIC",ABS('06_ITEM_POLE_MODEL'!W71),ABS('06_ITEM_POLE_MODEL'!W71)*ABS(SUMPRODUCT(--('93_TARGET_MEMBERSHIP'!BP$5:BP$27=1),'05_FEATURE_MODEL'!O$5:O$27)/MAX(1,COUNTIF('93_TARGET_MEMBERSHIP'!BP$5:BP$27,1))-SUMPRODUCT(--('93_TARGET_MEMBERSHIP'!BP$5:BP$27=-1),'05_FEATURE_MODEL'!O$5:O$27)/MAX(1,COUNTIF('93_TARGET_MEMBERSHIP'!BP$5:BP$27,-1))))</f>
        <v/>
      </c>
      <c r="O71" s="34">
        <f>IF($B71="ABSOLUTE SEMANTIC",ABS('06_ITEM_POLE_MODEL'!X71),ABS('06_ITEM_POLE_MODEL'!X71)*ABS(SUMPRODUCT(--('93_TARGET_MEMBERSHIP'!BP$5:BP$27=1),'05_FEATURE_MODEL'!P$5:P$27)/MAX(1,COUNTIF('93_TARGET_MEMBERSHIP'!BP$5:BP$27,1))-SUMPRODUCT(--('93_TARGET_MEMBERSHIP'!BP$5:BP$27=-1),'05_FEATURE_MODEL'!P$5:P$27)/MAX(1,COUNTIF('93_TARGET_MEMBERSHIP'!BP$5:BP$27,-1))))</f>
        <v/>
      </c>
      <c r="P71" s="34">
        <f>IF($B71="ABSOLUTE SEMANTIC",ABS('06_ITEM_POLE_MODEL'!Y71),ABS('06_ITEM_POLE_MODEL'!Y71)*ABS(SUMPRODUCT(--('93_TARGET_MEMBERSHIP'!BP$5:BP$27=1),'05_FEATURE_MODEL'!Q$5:Q$27)/MAX(1,COUNTIF('93_TARGET_MEMBERSHIP'!BP$5:BP$27,1))-SUMPRODUCT(--('93_TARGET_MEMBERSHIP'!BP$5:BP$27=-1),'05_FEATURE_MODEL'!Q$5:Q$27)/MAX(1,COUNTIF('93_TARGET_MEMBERSHIP'!BP$5:BP$27,-1))))</f>
        <v/>
      </c>
      <c r="Q71" s="34">
        <f>IF($B71="ABSOLUTE SEMANTIC",ABS('06_ITEM_POLE_MODEL'!Z71),ABS('06_ITEM_POLE_MODEL'!Z71)*ABS(SUMPRODUCT(--('93_TARGET_MEMBERSHIP'!BP$5:BP$27=1),'05_FEATURE_MODEL'!R$5:R$27)/MAX(1,COUNTIF('93_TARGET_MEMBERSHIP'!BP$5:BP$27,1))-SUMPRODUCT(--('93_TARGET_MEMBERSHIP'!BP$5:BP$27=-1),'05_FEATURE_MODEL'!R$5:R$27)/MAX(1,COUNTIF('93_TARGET_MEMBERSHIP'!BP$5:BP$27,-1))))</f>
        <v/>
      </c>
      <c r="R71" s="34">
        <f>IF($B71="ABSOLUTE SEMANTIC",ABS('06_ITEM_POLE_MODEL'!AA71),ABS('06_ITEM_POLE_MODEL'!AA71)*ABS(SUMPRODUCT(--('93_TARGET_MEMBERSHIP'!BP$5:BP$27=1),'05_FEATURE_MODEL'!S$5:S$27)/MAX(1,COUNTIF('93_TARGET_MEMBERSHIP'!BP$5:BP$27,1))-SUMPRODUCT(--('93_TARGET_MEMBERSHIP'!BP$5:BP$27=-1),'05_FEATURE_MODEL'!S$5:S$27)/MAX(1,COUNTIF('93_TARGET_MEMBERSHIP'!BP$5:BP$27,-1))))</f>
        <v/>
      </c>
      <c r="S71" s="34">
        <f>IF($B71="ABSOLUTE SEMANTIC",ABS('06_ITEM_POLE_MODEL'!AB71),ABS('06_ITEM_POLE_MODEL'!AB71)*ABS(SUMPRODUCT(--('93_TARGET_MEMBERSHIP'!BP$5:BP$27=1),'05_FEATURE_MODEL'!T$5:T$27)/MAX(1,COUNTIF('93_TARGET_MEMBERSHIP'!BP$5:BP$27,1))-SUMPRODUCT(--('93_TARGET_MEMBERSHIP'!BP$5:BP$27=-1),'05_FEATURE_MODEL'!T$5:T$27)/MAX(1,COUNTIF('93_TARGET_MEMBERSHIP'!BP$5:BP$27,-1))))</f>
        <v/>
      </c>
      <c r="T71" s="34">
        <f>IF($B71="ABSOLUTE SEMANTIC",ABS('06_ITEM_POLE_MODEL'!AC71),ABS('06_ITEM_POLE_MODEL'!AC71)*ABS(SUMPRODUCT(--('93_TARGET_MEMBERSHIP'!BP$5:BP$27=1),'05_FEATURE_MODEL'!U$5:U$27)/MAX(1,COUNTIF('93_TARGET_MEMBERSHIP'!BP$5:BP$27,1))-SUMPRODUCT(--('93_TARGET_MEMBERSHIP'!BP$5:BP$27=-1),'05_FEATURE_MODEL'!U$5:U$27)/MAX(1,COUNTIF('93_TARGET_MEMBERSHIP'!BP$5:BP$27,-1))))</f>
        <v/>
      </c>
      <c r="U71" s="34">
        <f>IF($B71="ABSOLUTE SEMANTIC",ABS('06_ITEM_POLE_MODEL'!AD71),ABS('06_ITEM_POLE_MODEL'!AD71)*ABS(SUMPRODUCT(--('93_TARGET_MEMBERSHIP'!BP$5:BP$27=1),'05_FEATURE_MODEL'!V$5:V$27)/MAX(1,COUNTIF('93_TARGET_MEMBERSHIP'!BP$5:BP$27,1))-SUMPRODUCT(--('93_TARGET_MEMBERSHIP'!BP$5:BP$27=-1),'05_FEATURE_MODEL'!V$5:V$27)/MAX(1,COUNTIF('93_TARGET_MEMBERSHIP'!BP$5:BP$27,-1))))</f>
        <v/>
      </c>
      <c r="V71" s="34">
        <f>IF($B71="ABSOLUTE SEMANTIC",ABS('06_ITEM_POLE_MODEL'!AE71),ABS('06_ITEM_POLE_MODEL'!AE71)*ABS(SUMPRODUCT(--('93_TARGET_MEMBERSHIP'!BP$5:BP$27=1),'05_FEATURE_MODEL'!W$5:W$27)/MAX(1,COUNTIF('93_TARGET_MEMBERSHIP'!BP$5:BP$27,1))-SUMPRODUCT(--('93_TARGET_MEMBERSHIP'!BP$5:BP$27=-1),'05_FEATURE_MODEL'!W$5:W$27)/MAX(1,COUNTIF('93_TARGET_MEMBERSHIP'!BP$5:BP$27,-1))))</f>
        <v/>
      </c>
      <c r="W71" s="34">
        <f>IF($B71="ABSOLUTE SEMANTIC",ABS('06_ITEM_POLE_MODEL'!AF71),ABS('06_ITEM_POLE_MODEL'!AF71)*ABS(SUMPRODUCT(--('93_TARGET_MEMBERSHIP'!BP$5:BP$27=1),'05_FEATURE_MODEL'!X$5:X$27)/MAX(1,COUNTIF('93_TARGET_MEMBERSHIP'!BP$5:BP$27,1))-SUMPRODUCT(--('93_TARGET_MEMBERSHIP'!BP$5:BP$27=-1),'05_FEATURE_MODEL'!X$5:X$27)/MAX(1,COUNTIF('93_TARGET_MEMBERSHIP'!BP$5:BP$27,-1))))</f>
        <v/>
      </c>
      <c r="X71" s="34">
        <f>IF($B71="ABSOLUTE SEMANTIC",ABS('06_ITEM_POLE_MODEL'!AG71),ABS('06_ITEM_POLE_MODEL'!AG71)*ABS(SUMPRODUCT(--('93_TARGET_MEMBERSHIP'!BP$5:BP$27=1),'05_FEATURE_MODEL'!Y$5:Y$27)/MAX(1,COUNTIF('93_TARGET_MEMBERSHIP'!BP$5:BP$27,1))-SUMPRODUCT(--('93_TARGET_MEMBERSHIP'!BP$5:BP$27=-1),'05_FEATURE_MODEL'!Y$5:Y$27)/MAX(1,COUNTIF('93_TARGET_MEMBERSHIP'!BP$5:BP$27,-1))))</f>
        <v/>
      </c>
      <c r="Y71" s="34">
        <f>IF($B71="ABSOLUTE SEMANTIC",ABS('06_ITEM_POLE_MODEL'!AH71),ABS('06_ITEM_POLE_MODEL'!AH71)*ABS(SUMPRODUCT(--('93_TARGET_MEMBERSHIP'!BP$5:BP$27=1),'05_FEATURE_MODEL'!Z$5:Z$27)/MAX(1,COUNTIF('93_TARGET_MEMBERSHIP'!BP$5:BP$27,1))-SUMPRODUCT(--('93_TARGET_MEMBERSHIP'!BP$5:BP$27=-1),'05_FEATURE_MODEL'!Z$5:Z$27)/MAX(1,COUNTIF('93_TARGET_MEMBERSHIP'!BP$5:BP$27,-1))))</f>
        <v/>
      </c>
      <c r="Z71" s="34">
        <f>IF($B71="ABSOLUTE SEMANTIC",ABS('06_ITEM_POLE_MODEL'!AI71),ABS('06_ITEM_POLE_MODEL'!AI71)*ABS(SUMPRODUCT(--('93_TARGET_MEMBERSHIP'!BP$5:BP$27=1),'05_FEATURE_MODEL'!AA$5:AA$27)/MAX(1,COUNTIF('93_TARGET_MEMBERSHIP'!BP$5:BP$27,1))-SUMPRODUCT(--('93_TARGET_MEMBERSHIP'!BP$5:BP$27=-1),'05_FEATURE_MODEL'!AA$5:AA$27)/MAX(1,COUNTIF('93_TARGET_MEMBERSHIP'!BP$5:BP$27,-1))))</f>
        <v/>
      </c>
      <c r="AA71" s="34">
        <f>IF($B71="ABSOLUTE SEMANTIC",ABS('06_ITEM_POLE_MODEL'!AJ71),ABS('06_ITEM_POLE_MODEL'!AJ71)*ABS(SUMPRODUCT(--('93_TARGET_MEMBERSHIP'!BP$5:BP$27=1),'05_FEATURE_MODEL'!AB$5:AB$27)/MAX(1,COUNTIF('93_TARGET_MEMBERSHIP'!BP$5:BP$27,1))-SUMPRODUCT(--('93_TARGET_MEMBERSHIP'!BP$5:BP$27=-1),'05_FEATURE_MODEL'!AB$5:AB$27)/MAX(1,COUNTIF('93_TARGET_MEMBERSHIP'!BP$5:BP$27,-1))))</f>
        <v/>
      </c>
      <c r="AB71" s="34">
        <f>IF($B71="ABSOLUTE SEMANTIC",ABS('06_ITEM_POLE_MODEL'!AK71),ABS('06_ITEM_POLE_MODEL'!AK71)*ABS(SUMPRODUCT(--('93_TARGET_MEMBERSHIP'!BP$5:BP$27=1),'05_FEATURE_MODEL'!AC$5:AC$27)/MAX(1,COUNTIF('93_TARGET_MEMBERSHIP'!BP$5:BP$27,1))-SUMPRODUCT(--('93_TARGET_MEMBERSHIP'!BP$5:BP$27=-1),'05_FEATURE_MODEL'!AC$5:AC$27)/MAX(1,COUNTIF('93_TARGET_MEMBERSHIP'!BP$5:BP$27,-1))))</f>
        <v/>
      </c>
      <c r="AC71" s="34">
        <f>IF($B71="ABSOLUTE SEMANTIC",ABS('06_ITEM_POLE_MODEL'!AL71),ABS('06_ITEM_POLE_MODEL'!AL71)*ABS(SUMPRODUCT(--('93_TARGET_MEMBERSHIP'!BP$5:BP$27=1),'05_FEATURE_MODEL'!AD$5:AD$27)/MAX(1,COUNTIF('93_TARGET_MEMBERSHIP'!BP$5:BP$27,1))-SUMPRODUCT(--('93_TARGET_MEMBERSHIP'!BP$5:BP$27=-1),'05_FEATURE_MODEL'!AD$5:AD$27)/MAX(1,COUNTIF('93_TARGET_MEMBERSHIP'!BP$5:BP$27,-1))))</f>
        <v/>
      </c>
      <c r="AD71" s="34">
        <f>IF($B71="ABSOLUTE SEMANTIC",ABS('06_ITEM_POLE_MODEL'!AM71),ABS('06_ITEM_POLE_MODEL'!AM71)*ABS(SUMPRODUCT(--('93_TARGET_MEMBERSHIP'!BP$5:BP$27=1),'05_FEATURE_MODEL'!AE$5:AE$27)/MAX(1,COUNTIF('93_TARGET_MEMBERSHIP'!BP$5:BP$27,1))-SUMPRODUCT(--('93_TARGET_MEMBERSHIP'!BP$5:BP$27=-1),'05_FEATURE_MODEL'!AE$5:AE$27)/MAX(1,COUNTIF('93_TARGET_MEMBERSHIP'!BP$5:BP$27,-1))))</f>
        <v/>
      </c>
      <c r="AE71" s="34">
        <f>IF($B71="ABSOLUTE SEMANTIC",ABS('06_ITEM_POLE_MODEL'!AN71),ABS('06_ITEM_POLE_MODEL'!AN71)*ABS(SUMPRODUCT(--('93_TARGET_MEMBERSHIP'!BP$5:BP$27=1),'05_FEATURE_MODEL'!AF$5:AF$27)/MAX(1,COUNTIF('93_TARGET_MEMBERSHIP'!BP$5:BP$27,1))-SUMPRODUCT(--('93_TARGET_MEMBERSHIP'!BP$5:BP$27=-1),'05_FEATURE_MODEL'!AF$5:AF$27)/MAX(1,COUNTIF('93_TARGET_MEMBERSHIP'!BP$5:BP$27,-1))))</f>
        <v/>
      </c>
      <c r="AF71" s="34">
        <f>IF($B71="ABSOLUTE SEMANTIC",ABS('06_ITEM_POLE_MODEL'!AO71),ABS('06_ITEM_POLE_MODEL'!AO71)*ABS(SUMPRODUCT(--('93_TARGET_MEMBERSHIP'!BP$5:BP$27=1),'05_FEATURE_MODEL'!AG$5:AG$27)/MAX(1,COUNTIF('93_TARGET_MEMBERSHIP'!BP$5:BP$27,1))-SUMPRODUCT(--('93_TARGET_MEMBERSHIP'!BP$5:BP$27=-1),'05_FEATURE_MODEL'!AG$5:AG$27)/MAX(1,COUNTIF('93_TARGET_MEMBERSHIP'!BP$5:BP$27,-1))))</f>
        <v/>
      </c>
      <c r="AG71" s="34">
        <f>IF($B71="ABSOLUTE SEMANTIC",ABS('06_ITEM_POLE_MODEL'!AP71),ABS('06_ITEM_POLE_MODEL'!AP71)*ABS(SUMPRODUCT(--('93_TARGET_MEMBERSHIP'!BP$5:BP$27=1),'05_FEATURE_MODEL'!AH$5:AH$27)/MAX(1,COUNTIF('93_TARGET_MEMBERSHIP'!BP$5:BP$27,1))-SUMPRODUCT(--('93_TARGET_MEMBERSHIP'!BP$5:BP$27=-1),'05_FEATURE_MODEL'!AH$5:AH$27)/MAX(1,COUNTIF('93_TARGET_MEMBERSHIP'!BP$5:BP$27,-1))))</f>
        <v/>
      </c>
      <c r="AH71" s="34">
        <f>IF($B71="ABSOLUTE SEMANTIC",ABS('06_ITEM_POLE_MODEL'!AQ71),ABS('06_ITEM_POLE_MODEL'!AQ71)*ABS(SUMPRODUCT(--('93_TARGET_MEMBERSHIP'!BP$5:BP$27=1),'05_FEATURE_MODEL'!AI$5:AI$27)/MAX(1,COUNTIF('93_TARGET_MEMBERSHIP'!BP$5:BP$27,1))-SUMPRODUCT(--('93_TARGET_MEMBERSHIP'!BP$5:BP$27=-1),'05_FEATURE_MODEL'!AI$5:AI$27)/MAX(1,COUNTIF('93_TARGET_MEMBERSHIP'!BP$5:BP$27,-1))))</f>
        <v/>
      </c>
      <c r="AI71" s="34">
        <f>IF($B71="ABSOLUTE SEMANTIC",ABS('06_ITEM_POLE_MODEL'!AR71),ABS('06_ITEM_POLE_MODEL'!AR71)*ABS(SUMPRODUCT(--('93_TARGET_MEMBERSHIP'!BP$5:BP$27=1),'05_FEATURE_MODEL'!AJ$5:AJ$27)/MAX(1,COUNTIF('93_TARGET_MEMBERSHIP'!BP$5:BP$27,1))-SUMPRODUCT(--('93_TARGET_MEMBERSHIP'!BP$5:BP$27=-1),'05_FEATURE_MODEL'!AJ$5:AJ$27)/MAX(1,COUNTIF('93_TARGET_MEMBERSHIP'!BP$5:BP$27,-1))))</f>
        <v/>
      </c>
      <c r="AJ71" s="34">
        <f>IF($B71="ABSOLUTE SEMANTIC",ABS('06_ITEM_POLE_MODEL'!AS71),ABS('06_ITEM_POLE_MODEL'!AS71)*ABS(SUMPRODUCT(--('93_TARGET_MEMBERSHIP'!BP$5:BP$27=1),'05_FEATURE_MODEL'!AK$5:AK$27)/MAX(1,COUNTIF('93_TARGET_MEMBERSHIP'!BP$5:BP$27,1))-SUMPRODUCT(--('93_TARGET_MEMBERSHIP'!BP$5:BP$27=-1),'05_FEATURE_MODEL'!AK$5:AK$27)/MAX(1,COUNTIF('93_TARGET_MEMBERSHIP'!BP$5:BP$27,-1))))</f>
        <v/>
      </c>
      <c r="AK71" s="34">
        <f>IF($B71="ABSOLUTE SEMANTIC",ABS('06_ITEM_POLE_MODEL'!AT71),ABS('06_ITEM_POLE_MODEL'!AT71)*ABS(SUMPRODUCT(--('93_TARGET_MEMBERSHIP'!BP$5:BP$27=1),'05_FEATURE_MODEL'!AL$5:AL$27)/MAX(1,COUNTIF('93_TARGET_MEMBERSHIP'!BP$5:BP$27,1))-SUMPRODUCT(--('93_TARGET_MEMBERSHIP'!BP$5:BP$27=-1),'05_FEATURE_MODEL'!AL$5:AL$27)/MAX(1,COUNTIF('93_TARGET_MEMBERSHIP'!BP$5:BP$27,-1))))</f>
        <v/>
      </c>
      <c r="AL71" s="34">
        <f>IF($B71="ABSOLUTE SEMANTIC",ABS('06_ITEM_POLE_MODEL'!AU71),ABS('06_ITEM_POLE_MODEL'!AU71)*ABS(SUMPRODUCT(--('93_TARGET_MEMBERSHIP'!BP$5:BP$27=1),'05_FEATURE_MODEL'!AM$5:AM$27)/MAX(1,COUNTIF('93_TARGET_MEMBERSHIP'!BP$5:BP$27,1))-SUMPRODUCT(--('93_TARGET_MEMBERSHIP'!BP$5:BP$27=-1),'05_FEATURE_MODEL'!AM$5:AM$27)/MAX(1,COUNTIF('93_TARGET_MEMBERSHIP'!BP$5:BP$27,-1))))</f>
        <v/>
      </c>
      <c r="AM71" s="34">
        <f>IF($B71="ABSOLUTE SEMANTIC",ABS('06_ITEM_POLE_MODEL'!AV71),ABS('06_ITEM_POLE_MODEL'!AV71)*ABS(SUMPRODUCT(--('93_TARGET_MEMBERSHIP'!BP$5:BP$27=1),'05_FEATURE_MODEL'!AN$5:AN$27)/MAX(1,COUNTIF('93_TARGET_MEMBERSHIP'!BP$5:BP$27,1))-SUMPRODUCT(--('93_TARGET_MEMBERSHIP'!BP$5:BP$27=-1),'05_FEATURE_MODEL'!AN$5:AN$27)/MAX(1,COUNTIF('93_TARGET_MEMBERSHIP'!BP$5:BP$27,-1))))</f>
        <v/>
      </c>
      <c r="AN71" s="34">
        <f>IF($B71="ABSOLUTE SEMANTIC",ABS('06_ITEM_POLE_MODEL'!AW71),ABS('06_ITEM_POLE_MODEL'!AW71)*ABS(SUMPRODUCT(--('93_TARGET_MEMBERSHIP'!BP$5:BP$27=1),'05_FEATURE_MODEL'!AO$5:AO$27)/MAX(1,COUNTIF('93_TARGET_MEMBERSHIP'!BP$5:BP$27,1))-SUMPRODUCT(--('93_TARGET_MEMBERSHIP'!BP$5:BP$27=-1),'05_FEATURE_MODEL'!AO$5:AO$27)/MAX(1,COUNTIF('93_TARGET_MEMBERSHIP'!BP$5:BP$27,-1))))</f>
        <v/>
      </c>
      <c r="AO71" s="34">
        <f>IF($B71="ABSOLUTE SEMANTIC",ABS('06_ITEM_POLE_MODEL'!AX71),ABS('06_ITEM_POLE_MODEL'!AX71)*ABS(SUMPRODUCT(--('93_TARGET_MEMBERSHIP'!BP$5:BP$27=1),'05_FEATURE_MODEL'!AP$5:AP$27)/MAX(1,COUNTIF('93_TARGET_MEMBERSHIP'!BP$5:BP$27,1))-SUMPRODUCT(--('93_TARGET_MEMBERSHIP'!BP$5:BP$27=-1),'05_FEATURE_MODEL'!AP$5:AP$27)/MAX(1,COUNTIF('93_TARGET_MEMBERSHIP'!BP$5:BP$27,-1))))</f>
        <v/>
      </c>
      <c r="AP71" s="34">
        <f>IF($B71="ABSOLUTE SEMANTIC",ABS('06_ITEM_POLE_MODEL'!AY71),ABS('06_ITEM_POLE_MODEL'!AY71)*ABS(SUMPRODUCT(--('93_TARGET_MEMBERSHIP'!BP$5:BP$27=1),'05_FEATURE_MODEL'!AQ$5:AQ$27)/MAX(1,COUNTIF('93_TARGET_MEMBERSHIP'!BP$5:BP$27,1))-SUMPRODUCT(--('93_TARGET_MEMBERSHIP'!BP$5:BP$27=-1),'05_FEATURE_MODEL'!AQ$5:AQ$27)/MAX(1,COUNTIF('93_TARGET_MEMBERSHIP'!BP$5:BP$27,-1))))</f>
        <v/>
      </c>
      <c r="AQ71" s="34">
        <f>IF($B71="ABSOLUTE SEMANTIC",ABS('06_ITEM_POLE_MODEL'!AZ71),ABS('06_ITEM_POLE_MODEL'!AZ71)*ABS(SUMPRODUCT(--('93_TARGET_MEMBERSHIP'!BP$5:BP$27=1),'05_FEATURE_MODEL'!AR$5:AR$27)/MAX(1,COUNTIF('93_TARGET_MEMBERSHIP'!BP$5:BP$27,1))-SUMPRODUCT(--('93_TARGET_MEMBERSHIP'!BP$5:BP$27=-1),'05_FEATURE_MODEL'!AR$5:AR$27)/MAX(1,COUNTIF('93_TARGET_MEMBERSHIP'!BP$5:BP$27,-1))))</f>
        <v/>
      </c>
    </row>
    <row r="72" ht="36" customHeight="1">
      <c r="A72" s="34">
        <f>'06_ITEM_POLE_MODEL'!A72</f>
        <v/>
      </c>
      <c r="B72" s="34">
        <f>'06_ITEM_POLE_MODEL'!E72</f>
        <v/>
      </c>
      <c r="C72" s="34">
        <f>IF($B72="ABSOLUTE SEMANTIC",ABS('06_ITEM_POLE_MODEL'!L72),ABS('06_ITEM_POLE_MODEL'!L72)*ABS(SUMPRODUCT(--('93_TARGET_MEMBERSHIP'!BQ$5:BQ$27=1),'05_FEATURE_MODEL'!D$5:D$27)/MAX(1,COUNTIF('93_TARGET_MEMBERSHIP'!BQ$5:BQ$27,1))-SUMPRODUCT(--('93_TARGET_MEMBERSHIP'!BQ$5:BQ$27=-1),'05_FEATURE_MODEL'!D$5:D$27)/MAX(1,COUNTIF('93_TARGET_MEMBERSHIP'!BQ$5:BQ$27,-1))))</f>
        <v/>
      </c>
      <c r="D72" s="34">
        <f>IF($B72="ABSOLUTE SEMANTIC",ABS('06_ITEM_POLE_MODEL'!M72),ABS('06_ITEM_POLE_MODEL'!M72)*ABS(SUMPRODUCT(--('93_TARGET_MEMBERSHIP'!BQ$5:BQ$27=1),'05_FEATURE_MODEL'!E$5:E$27)/MAX(1,COUNTIF('93_TARGET_MEMBERSHIP'!BQ$5:BQ$27,1))-SUMPRODUCT(--('93_TARGET_MEMBERSHIP'!BQ$5:BQ$27=-1),'05_FEATURE_MODEL'!E$5:E$27)/MAX(1,COUNTIF('93_TARGET_MEMBERSHIP'!BQ$5:BQ$27,-1))))</f>
        <v/>
      </c>
      <c r="E72" s="34">
        <f>IF($B72="ABSOLUTE SEMANTIC",ABS('06_ITEM_POLE_MODEL'!N72),ABS('06_ITEM_POLE_MODEL'!N72)*ABS(SUMPRODUCT(--('93_TARGET_MEMBERSHIP'!BQ$5:BQ$27=1),'05_FEATURE_MODEL'!F$5:F$27)/MAX(1,COUNTIF('93_TARGET_MEMBERSHIP'!BQ$5:BQ$27,1))-SUMPRODUCT(--('93_TARGET_MEMBERSHIP'!BQ$5:BQ$27=-1),'05_FEATURE_MODEL'!F$5:F$27)/MAX(1,COUNTIF('93_TARGET_MEMBERSHIP'!BQ$5:BQ$27,-1))))</f>
        <v/>
      </c>
      <c r="F72" s="34">
        <f>IF($B72="ABSOLUTE SEMANTIC",ABS('06_ITEM_POLE_MODEL'!O72),ABS('06_ITEM_POLE_MODEL'!O72)*ABS(SUMPRODUCT(--('93_TARGET_MEMBERSHIP'!BQ$5:BQ$27=1),'05_FEATURE_MODEL'!G$5:G$27)/MAX(1,COUNTIF('93_TARGET_MEMBERSHIP'!BQ$5:BQ$27,1))-SUMPRODUCT(--('93_TARGET_MEMBERSHIP'!BQ$5:BQ$27=-1),'05_FEATURE_MODEL'!G$5:G$27)/MAX(1,COUNTIF('93_TARGET_MEMBERSHIP'!BQ$5:BQ$27,-1))))</f>
        <v/>
      </c>
      <c r="G72" s="34">
        <f>IF($B72="ABSOLUTE SEMANTIC",ABS('06_ITEM_POLE_MODEL'!P72),ABS('06_ITEM_POLE_MODEL'!P72)*ABS(SUMPRODUCT(--('93_TARGET_MEMBERSHIP'!BQ$5:BQ$27=1),'05_FEATURE_MODEL'!H$5:H$27)/MAX(1,COUNTIF('93_TARGET_MEMBERSHIP'!BQ$5:BQ$27,1))-SUMPRODUCT(--('93_TARGET_MEMBERSHIP'!BQ$5:BQ$27=-1),'05_FEATURE_MODEL'!H$5:H$27)/MAX(1,COUNTIF('93_TARGET_MEMBERSHIP'!BQ$5:BQ$27,-1))))</f>
        <v/>
      </c>
      <c r="H72" s="34">
        <f>IF($B72="ABSOLUTE SEMANTIC",ABS('06_ITEM_POLE_MODEL'!Q72),ABS('06_ITEM_POLE_MODEL'!Q72)*ABS(SUMPRODUCT(--('93_TARGET_MEMBERSHIP'!BQ$5:BQ$27=1),'05_FEATURE_MODEL'!I$5:I$27)/MAX(1,COUNTIF('93_TARGET_MEMBERSHIP'!BQ$5:BQ$27,1))-SUMPRODUCT(--('93_TARGET_MEMBERSHIP'!BQ$5:BQ$27=-1),'05_FEATURE_MODEL'!I$5:I$27)/MAX(1,COUNTIF('93_TARGET_MEMBERSHIP'!BQ$5:BQ$27,-1))))</f>
        <v/>
      </c>
      <c r="I72" s="34">
        <f>IF($B72="ABSOLUTE SEMANTIC",ABS('06_ITEM_POLE_MODEL'!R72),ABS('06_ITEM_POLE_MODEL'!R72)*ABS(SUMPRODUCT(--('93_TARGET_MEMBERSHIP'!BQ$5:BQ$27=1),'05_FEATURE_MODEL'!J$5:J$27)/MAX(1,COUNTIF('93_TARGET_MEMBERSHIP'!BQ$5:BQ$27,1))-SUMPRODUCT(--('93_TARGET_MEMBERSHIP'!BQ$5:BQ$27=-1),'05_FEATURE_MODEL'!J$5:J$27)/MAX(1,COUNTIF('93_TARGET_MEMBERSHIP'!BQ$5:BQ$27,-1))))</f>
        <v/>
      </c>
      <c r="J72" s="34">
        <f>IF($B72="ABSOLUTE SEMANTIC",ABS('06_ITEM_POLE_MODEL'!S72),ABS('06_ITEM_POLE_MODEL'!S72)*ABS(SUMPRODUCT(--('93_TARGET_MEMBERSHIP'!BQ$5:BQ$27=1),'05_FEATURE_MODEL'!K$5:K$27)/MAX(1,COUNTIF('93_TARGET_MEMBERSHIP'!BQ$5:BQ$27,1))-SUMPRODUCT(--('93_TARGET_MEMBERSHIP'!BQ$5:BQ$27=-1),'05_FEATURE_MODEL'!K$5:K$27)/MAX(1,COUNTIF('93_TARGET_MEMBERSHIP'!BQ$5:BQ$27,-1))))</f>
        <v/>
      </c>
      <c r="K72" s="34">
        <f>IF($B72="ABSOLUTE SEMANTIC",ABS('06_ITEM_POLE_MODEL'!T72),ABS('06_ITEM_POLE_MODEL'!T72)*ABS(SUMPRODUCT(--('93_TARGET_MEMBERSHIP'!BQ$5:BQ$27=1),'05_FEATURE_MODEL'!L$5:L$27)/MAX(1,COUNTIF('93_TARGET_MEMBERSHIP'!BQ$5:BQ$27,1))-SUMPRODUCT(--('93_TARGET_MEMBERSHIP'!BQ$5:BQ$27=-1),'05_FEATURE_MODEL'!L$5:L$27)/MAX(1,COUNTIF('93_TARGET_MEMBERSHIP'!BQ$5:BQ$27,-1))))</f>
        <v/>
      </c>
      <c r="L72" s="34">
        <f>IF($B72="ABSOLUTE SEMANTIC",ABS('06_ITEM_POLE_MODEL'!U72),ABS('06_ITEM_POLE_MODEL'!U72)*ABS(SUMPRODUCT(--('93_TARGET_MEMBERSHIP'!BQ$5:BQ$27=1),'05_FEATURE_MODEL'!M$5:M$27)/MAX(1,COUNTIF('93_TARGET_MEMBERSHIP'!BQ$5:BQ$27,1))-SUMPRODUCT(--('93_TARGET_MEMBERSHIP'!BQ$5:BQ$27=-1),'05_FEATURE_MODEL'!M$5:M$27)/MAX(1,COUNTIF('93_TARGET_MEMBERSHIP'!BQ$5:BQ$27,-1))))</f>
        <v/>
      </c>
      <c r="M72" s="34">
        <f>IF($B72="ABSOLUTE SEMANTIC",ABS('06_ITEM_POLE_MODEL'!V72),ABS('06_ITEM_POLE_MODEL'!V72)*ABS(SUMPRODUCT(--('93_TARGET_MEMBERSHIP'!BQ$5:BQ$27=1),'05_FEATURE_MODEL'!N$5:N$27)/MAX(1,COUNTIF('93_TARGET_MEMBERSHIP'!BQ$5:BQ$27,1))-SUMPRODUCT(--('93_TARGET_MEMBERSHIP'!BQ$5:BQ$27=-1),'05_FEATURE_MODEL'!N$5:N$27)/MAX(1,COUNTIF('93_TARGET_MEMBERSHIP'!BQ$5:BQ$27,-1))))</f>
        <v/>
      </c>
      <c r="N72" s="34">
        <f>IF($B72="ABSOLUTE SEMANTIC",ABS('06_ITEM_POLE_MODEL'!W72),ABS('06_ITEM_POLE_MODEL'!W72)*ABS(SUMPRODUCT(--('93_TARGET_MEMBERSHIP'!BQ$5:BQ$27=1),'05_FEATURE_MODEL'!O$5:O$27)/MAX(1,COUNTIF('93_TARGET_MEMBERSHIP'!BQ$5:BQ$27,1))-SUMPRODUCT(--('93_TARGET_MEMBERSHIP'!BQ$5:BQ$27=-1),'05_FEATURE_MODEL'!O$5:O$27)/MAX(1,COUNTIF('93_TARGET_MEMBERSHIP'!BQ$5:BQ$27,-1))))</f>
        <v/>
      </c>
      <c r="O72" s="34">
        <f>IF($B72="ABSOLUTE SEMANTIC",ABS('06_ITEM_POLE_MODEL'!X72),ABS('06_ITEM_POLE_MODEL'!X72)*ABS(SUMPRODUCT(--('93_TARGET_MEMBERSHIP'!BQ$5:BQ$27=1),'05_FEATURE_MODEL'!P$5:P$27)/MAX(1,COUNTIF('93_TARGET_MEMBERSHIP'!BQ$5:BQ$27,1))-SUMPRODUCT(--('93_TARGET_MEMBERSHIP'!BQ$5:BQ$27=-1),'05_FEATURE_MODEL'!P$5:P$27)/MAX(1,COUNTIF('93_TARGET_MEMBERSHIP'!BQ$5:BQ$27,-1))))</f>
        <v/>
      </c>
      <c r="P72" s="34">
        <f>IF($B72="ABSOLUTE SEMANTIC",ABS('06_ITEM_POLE_MODEL'!Y72),ABS('06_ITEM_POLE_MODEL'!Y72)*ABS(SUMPRODUCT(--('93_TARGET_MEMBERSHIP'!BQ$5:BQ$27=1),'05_FEATURE_MODEL'!Q$5:Q$27)/MAX(1,COUNTIF('93_TARGET_MEMBERSHIP'!BQ$5:BQ$27,1))-SUMPRODUCT(--('93_TARGET_MEMBERSHIP'!BQ$5:BQ$27=-1),'05_FEATURE_MODEL'!Q$5:Q$27)/MAX(1,COUNTIF('93_TARGET_MEMBERSHIP'!BQ$5:BQ$27,-1))))</f>
        <v/>
      </c>
      <c r="Q72" s="34">
        <f>IF($B72="ABSOLUTE SEMANTIC",ABS('06_ITEM_POLE_MODEL'!Z72),ABS('06_ITEM_POLE_MODEL'!Z72)*ABS(SUMPRODUCT(--('93_TARGET_MEMBERSHIP'!BQ$5:BQ$27=1),'05_FEATURE_MODEL'!R$5:R$27)/MAX(1,COUNTIF('93_TARGET_MEMBERSHIP'!BQ$5:BQ$27,1))-SUMPRODUCT(--('93_TARGET_MEMBERSHIP'!BQ$5:BQ$27=-1),'05_FEATURE_MODEL'!R$5:R$27)/MAX(1,COUNTIF('93_TARGET_MEMBERSHIP'!BQ$5:BQ$27,-1))))</f>
        <v/>
      </c>
      <c r="R72" s="34">
        <f>IF($B72="ABSOLUTE SEMANTIC",ABS('06_ITEM_POLE_MODEL'!AA72),ABS('06_ITEM_POLE_MODEL'!AA72)*ABS(SUMPRODUCT(--('93_TARGET_MEMBERSHIP'!BQ$5:BQ$27=1),'05_FEATURE_MODEL'!S$5:S$27)/MAX(1,COUNTIF('93_TARGET_MEMBERSHIP'!BQ$5:BQ$27,1))-SUMPRODUCT(--('93_TARGET_MEMBERSHIP'!BQ$5:BQ$27=-1),'05_FEATURE_MODEL'!S$5:S$27)/MAX(1,COUNTIF('93_TARGET_MEMBERSHIP'!BQ$5:BQ$27,-1))))</f>
        <v/>
      </c>
      <c r="S72" s="34">
        <f>IF($B72="ABSOLUTE SEMANTIC",ABS('06_ITEM_POLE_MODEL'!AB72),ABS('06_ITEM_POLE_MODEL'!AB72)*ABS(SUMPRODUCT(--('93_TARGET_MEMBERSHIP'!BQ$5:BQ$27=1),'05_FEATURE_MODEL'!T$5:T$27)/MAX(1,COUNTIF('93_TARGET_MEMBERSHIP'!BQ$5:BQ$27,1))-SUMPRODUCT(--('93_TARGET_MEMBERSHIP'!BQ$5:BQ$27=-1),'05_FEATURE_MODEL'!T$5:T$27)/MAX(1,COUNTIF('93_TARGET_MEMBERSHIP'!BQ$5:BQ$27,-1))))</f>
        <v/>
      </c>
      <c r="T72" s="34">
        <f>IF($B72="ABSOLUTE SEMANTIC",ABS('06_ITEM_POLE_MODEL'!AC72),ABS('06_ITEM_POLE_MODEL'!AC72)*ABS(SUMPRODUCT(--('93_TARGET_MEMBERSHIP'!BQ$5:BQ$27=1),'05_FEATURE_MODEL'!U$5:U$27)/MAX(1,COUNTIF('93_TARGET_MEMBERSHIP'!BQ$5:BQ$27,1))-SUMPRODUCT(--('93_TARGET_MEMBERSHIP'!BQ$5:BQ$27=-1),'05_FEATURE_MODEL'!U$5:U$27)/MAX(1,COUNTIF('93_TARGET_MEMBERSHIP'!BQ$5:BQ$27,-1))))</f>
        <v/>
      </c>
      <c r="U72" s="34">
        <f>IF($B72="ABSOLUTE SEMANTIC",ABS('06_ITEM_POLE_MODEL'!AD72),ABS('06_ITEM_POLE_MODEL'!AD72)*ABS(SUMPRODUCT(--('93_TARGET_MEMBERSHIP'!BQ$5:BQ$27=1),'05_FEATURE_MODEL'!V$5:V$27)/MAX(1,COUNTIF('93_TARGET_MEMBERSHIP'!BQ$5:BQ$27,1))-SUMPRODUCT(--('93_TARGET_MEMBERSHIP'!BQ$5:BQ$27=-1),'05_FEATURE_MODEL'!V$5:V$27)/MAX(1,COUNTIF('93_TARGET_MEMBERSHIP'!BQ$5:BQ$27,-1))))</f>
        <v/>
      </c>
      <c r="V72" s="34">
        <f>IF($B72="ABSOLUTE SEMANTIC",ABS('06_ITEM_POLE_MODEL'!AE72),ABS('06_ITEM_POLE_MODEL'!AE72)*ABS(SUMPRODUCT(--('93_TARGET_MEMBERSHIP'!BQ$5:BQ$27=1),'05_FEATURE_MODEL'!W$5:W$27)/MAX(1,COUNTIF('93_TARGET_MEMBERSHIP'!BQ$5:BQ$27,1))-SUMPRODUCT(--('93_TARGET_MEMBERSHIP'!BQ$5:BQ$27=-1),'05_FEATURE_MODEL'!W$5:W$27)/MAX(1,COUNTIF('93_TARGET_MEMBERSHIP'!BQ$5:BQ$27,-1))))</f>
        <v/>
      </c>
      <c r="W72" s="34">
        <f>IF($B72="ABSOLUTE SEMANTIC",ABS('06_ITEM_POLE_MODEL'!AF72),ABS('06_ITEM_POLE_MODEL'!AF72)*ABS(SUMPRODUCT(--('93_TARGET_MEMBERSHIP'!BQ$5:BQ$27=1),'05_FEATURE_MODEL'!X$5:X$27)/MAX(1,COUNTIF('93_TARGET_MEMBERSHIP'!BQ$5:BQ$27,1))-SUMPRODUCT(--('93_TARGET_MEMBERSHIP'!BQ$5:BQ$27=-1),'05_FEATURE_MODEL'!X$5:X$27)/MAX(1,COUNTIF('93_TARGET_MEMBERSHIP'!BQ$5:BQ$27,-1))))</f>
        <v/>
      </c>
      <c r="X72" s="34">
        <f>IF($B72="ABSOLUTE SEMANTIC",ABS('06_ITEM_POLE_MODEL'!AG72),ABS('06_ITEM_POLE_MODEL'!AG72)*ABS(SUMPRODUCT(--('93_TARGET_MEMBERSHIP'!BQ$5:BQ$27=1),'05_FEATURE_MODEL'!Y$5:Y$27)/MAX(1,COUNTIF('93_TARGET_MEMBERSHIP'!BQ$5:BQ$27,1))-SUMPRODUCT(--('93_TARGET_MEMBERSHIP'!BQ$5:BQ$27=-1),'05_FEATURE_MODEL'!Y$5:Y$27)/MAX(1,COUNTIF('93_TARGET_MEMBERSHIP'!BQ$5:BQ$27,-1))))</f>
        <v/>
      </c>
      <c r="Y72" s="34">
        <f>IF($B72="ABSOLUTE SEMANTIC",ABS('06_ITEM_POLE_MODEL'!AH72),ABS('06_ITEM_POLE_MODEL'!AH72)*ABS(SUMPRODUCT(--('93_TARGET_MEMBERSHIP'!BQ$5:BQ$27=1),'05_FEATURE_MODEL'!Z$5:Z$27)/MAX(1,COUNTIF('93_TARGET_MEMBERSHIP'!BQ$5:BQ$27,1))-SUMPRODUCT(--('93_TARGET_MEMBERSHIP'!BQ$5:BQ$27=-1),'05_FEATURE_MODEL'!Z$5:Z$27)/MAX(1,COUNTIF('93_TARGET_MEMBERSHIP'!BQ$5:BQ$27,-1))))</f>
        <v/>
      </c>
      <c r="Z72" s="34">
        <f>IF($B72="ABSOLUTE SEMANTIC",ABS('06_ITEM_POLE_MODEL'!AI72),ABS('06_ITEM_POLE_MODEL'!AI72)*ABS(SUMPRODUCT(--('93_TARGET_MEMBERSHIP'!BQ$5:BQ$27=1),'05_FEATURE_MODEL'!AA$5:AA$27)/MAX(1,COUNTIF('93_TARGET_MEMBERSHIP'!BQ$5:BQ$27,1))-SUMPRODUCT(--('93_TARGET_MEMBERSHIP'!BQ$5:BQ$27=-1),'05_FEATURE_MODEL'!AA$5:AA$27)/MAX(1,COUNTIF('93_TARGET_MEMBERSHIP'!BQ$5:BQ$27,-1))))</f>
        <v/>
      </c>
      <c r="AA72" s="34">
        <f>IF($B72="ABSOLUTE SEMANTIC",ABS('06_ITEM_POLE_MODEL'!AJ72),ABS('06_ITEM_POLE_MODEL'!AJ72)*ABS(SUMPRODUCT(--('93_TARGET_MEMBERSHIP'!BQ$5:BQ$27=1),'05_FEATURE_MODEL'!AB$5:AB$27)/MAX(1,COUNTIF('93_TARGET_MEMBERSHIP'!BQ$5:BQ$27,1))-SUMPRODUCT(--('93_TARGET_MEMBERSHIP'!BQ$5:BQ$27=-1),'05_FEATURE_MODEL'!AB$5:AB$27)/MAX(1,COUNTIF('93_TARGET_MEMBERSHIP'!BQ$5:BQ$27,-1))))</f>
        <v/>
      </c>
      <c r="AB72" s="34">
        <f>IF($B72="ABSOLUTE SEMANTIC",ABS('06_ITEM_POLE_MODEL'!AK72),ABS('06_ITEM_POLE_MODEL'!AK72)*ABS(SUMPRODUCT(--('93_TARGET_MEMBERSHIP'!BQ$5:BQ$27=1),'05_FEATURE_MODEL'!AC$5:AC$27)/MAX(1,COUNTIF('93_TARGET_MEMBERSHIP'!BQ$5:BQ$27,1))-SUMPRODUCT(--('93_TARGET_MEMBERSHIP'!BQ$5:BQ$27=-1),'05_FEATURE_MODEL'!AC$5:AC$27)/MAX(1,COUNTIF('93_TARGET_MEMBERSHIP'!BQ$5:BQ$27,-1))))</f>
        <v/>
      </c>
      <c r="AC72" s="34">
        <f>IF($B72="ABSOLUTE SEMANTIC",ABS('06_ITEM_POLE_MODEL'!AL72),ABS('06_ITEM_POLE_MODEL'!AL72)*ABS(SUMPRODUCT(--('93_TARGET_MEMBERSHIP'!BQ$5:BQ$27=1),'05_FEATURE_MODEL'!AD$5:AD$27)/MAX(1,COUNTIF('93_TARGET_MEMBERSHIP'!BQ$5:BQ$27,1))-SUMPRODUCT(--('93_TARGET_MEMBERSHIP'!BQ$5:BQ$27=-1),'05_FEATURE_MODEL'!AD$5:AD$27)/MAX(1,COUNTIF('93_TARGET_MEMBERSHIP'!BQ$5:BQ$27,-1))))</f>
        <v/>
      </c>
      <c r="AD72" s="34">
        <f>IF($B72="ABSOLUTE SEMANTIC",ABS('06_ITEM_POLE_MODEL'!AM72),ABS('06_ITEM_POLE_MODEL'!AM72)*ABS(SUMPRODUCT(--('93_TARGET_MEMBERSHIP'!BQ$5:BQ$27=1),'05_FEATURE_MODEL'!AE$5:AE$27)/MAX(1,COUNTIF('93_TARGET_MEMBERSHIP'!BQ$5:BQ$27,1))-SUMPRODUCT(--('93_TARGET_MEMBERSHIP'!BQ$5:BQ$27=-1),'05_FEATURE_MODEL'!AE$5:AE$27)/MAX(1,COUNTIF('93_TARGET_MEMBERSHIP'!BQ$5:BQ$27,-1))))</f>
        <v/>
      </c>
      <c r="AE72" s="34">
        <f>IF($B72="ABSOLUTE SEMANTIC",ABS('06_ITEM_POLE_MODEL'!AN72),ABS('06_ITEM_POLE_MODEL'!AN72)*ABS(SUMPRODUCT(--('93_TARGET_MEMBERSHIP'!BQ$5:BQ$27=1),'05_FEATURE_MODEL'!AF$5:AF$27)/MAX(1,COUNTIF('93_TARGET_MEMBERSHIP'!BQ$5:BQ$27,1))-SUMPRODUCT(--('93_TARGET_MEMBERSHIP'!BQ$5:BQ$27=-1),'05_FEATURE_MODEL'!AF$5:AF$27)/MAX(1,COUNTIF('93_TARGET_MEMBERSHIP'!BQ$5:BQ$27,-1))))</f>
        <v/>
      </c>
      <c r="AF72" s="34">
        <f>IF($B72="ABSOLUTE SEMANTIC",ABS('06_ITEM_POLE_MODEL'!AO72),ABS('06_ITEM_POLE_MODEL'!AO72)*ABS(SUMPRODUCT(--('93_TARGET_MEMBERSHIP'!BQ$5:BQ$27=1),'05_FEATURE_MODEL'!AG$5:AG$27)/MAX(1,COUNTIF('93_TARGET_MEMBERSHIP'!BQ$5:BQ$27,1))-SUMPRODUCT(--('93_TARGET_MEMBERSHIP'!BQ$5:BQ$27=-1),'05_FEATURE_MODEL'!AG$5:AG$27)/MAX(1,COUNTIF('93_TARGET_MEMBERSHIP'!BQ$5:BQ$27,-1))))</f>
        <v/>
      </c>
      <c r="AG72" s="34">
        <f>IF($B72="ABSOLUTE SEMANTIC",ABS('06_ITEM_POLE_MODEL'!AP72),ABS('06_ITEM_POLE_MODEL'!AP72)*ABS(SUMPRODUCT(--('93_TARGET_MEMBERSHIP'!BQ$5:BQ$27=1),'05_FEATURE_MODEL'!AH$5:AH$27)/MAX(1,COUNTIF('93_TARGET_MEMBERSHIP'!BQ$5:BQ$27,1))-SUMPRODUCT(--('93_TARGET_MEMBERSHIP'!BQ$5:BQ$27=-1),'05_FEATURE_MODEL'!AH$5:AH$27)/MAX(1,COUNTIF('93_TARGET_MEMBERSHIP'!BQ$5:BQ$27,-1))))</f>
        <v/>
      </c>
      <c r="AH72" s="34">
        <f>IF($B72="ABSOLUTE SEMANTIC",ABS('06_ITEM_POLE_MODEL'!AQ72),ABS('06_ITEM_POLE_MODEL'!AQ72)*ABS(SUMPRODUCT(--('93_TARGET_MEMBERSHIP'!BQ$5:BQ$27=1),'05_FEATURE_MODEL'!AI$5:AI$27)/MAX(1,COUNTIF('93_TARGET_MEMBERSHIP'!BQ$5:BQ$27,1))-SUMPRODUCT(--('93_TARGET_MEMBERSHIP'!BQ$5:BQ$27=-1),'05_FEATURE_MODEL'!AI$5:AI$27)/MAX(1,COUNTIF('93_TARGET_MEMBERSHIP'!BQ$5:BQ$27,-1))))</f>
        <v/>
      </c>
      <c r="AI72" s="34">
        <f>IF($B72="ABSOLUTE SEMANTIC",ABS('06_ITEM_POLE_MODEL'!AR72),ABS('06_ITEM_POLE_MODEL'!AR72)*ABS(SUMPRODUCT(--('93_TARGET_MEMBERSHIP'!BQ$5:BQ$27=1),'05_FEATURE_MODEL'!AJ$5:AJ$27)/MAX(1,COUNTIF('93_TARGET_MEMBERSHIP'!BQ$5:BQ$27,1))-SUMPRODUCT(--('93_TARGET_MEMBERSHIP'!BQ$5:BQ$27=-1),'05_FEATURE_MODEL'!AJ$5:AJ$27)/MAX(1,COUNTIF('93_TARGET_MEMBERSHIP'!BQ$5:BQ$27,-1))))</f>
        <v/>
      </c>
      <c r="AJ72" s="34">
        <f>IF($B72="ABSOLUTE SEMANTIC",ABS('06_ITEM_POLE_MODEL'!AS72),ABS('06_ITEM_POLE_MODEL'!AS72)*ABS(SUMPRODUCT(--('93_TARGET_MEMBERSHIP'!BQ$5:BQ$27=1),'05_FEATURE_MODEL'!AK$5:AK$27)/MAX(1,COUNTIF('93_TARGET_MEMBERSHIP'!BQ$5:BQ$27,1))-SUMPRODUCT(--('93_TARGET_MEMBERSHIP'!BQ$5:BQ$27=-1),'05_FEATURE_MODEL'!AK$5:AK$27)/MAX(1,COUNTIF('93_TARGET_MEMBERSHIP'!BQ$5:BQ$27,-1))))</f>
        <v/>
      </c>
      <c r="AK72" s="34">
        <f>IF($B72="ABSOLUTE SEMANTIC",ABS('06_ITEM_POLE_MODEL'!AT72),ABS('06_ITEM_POLE_MODEL'!AT72)*ABS(SUMPRODUCT(--('93_TARGET_MEMBERSHIP'!BQ$5:BQ$27=1),'05_FEATURE_MODEL'!AL$5:AL$27)/MAX(1,COUNTIF('93_TARGET_MEMBERSHIP'!BQ$5:BQ$27,1))-SUMPRODUCT(--('93_TARGET_MEMBERSHIP'!BQ$5:BQ$27=-1),'05_FEATURE_MODEL'!AL$5:AL$27)/MAX(1,COUNTIF('93_TARGET_MEMBERSHIP'!BQ$5:BQ$27,-1))))</f>
        <v/>
      </c>
      <c r="AL72" s="34">
        <f>IF($B72="ABSOLUTE SEMANTIC",ABS('06_ITEM_POLE_MODEL'!AU72),ABS('06_ITEM_POLE_MODEL'!AU72)*ABS(SUMPRODUCT(--('93_TARGET_MEMBERSHIP'!BQ$5:BQ$27=1),'05_FEATURE_MODEL'!AM$5:AM$27)/MAX(1,COUNTIF('93_TARGET_MEMBERSHIP'!BQ$5:BQ$27,1))-SUMPRODUCT(--('93_TARGET_MEMBERSHIP'!BQ$5:BQ$27=-1),'05_FEATURE_MODEL'!AM$5:AM$27)/MAX(1,COUNTIF('93_TARGET_MEMBERSHIP'!BQ$5:BQ$27,-1))))</f>
        <v/>
      </c>
      <c r="AM72" s="34">
        <f>IF($B72="ABSOLUTE SEMANTIC",ABS('06_ITEM_POLE_MODEL'!AV72),ABS('06_ITEM_POLE_MODEL'!AV72)*ABS(SUMPRODUCT(--('93_TARGET_MEMBERSHIP'!BQ$5:BQ$27=1),'05_FEATURE_MODEL'!AN$5:AN$27)/MAX(1,COUNTIF('93_TARGET_MEMBERSHIP'!BQ$5:BQ$27,1))-SUMPRODUCT(--('93_TARGET_MEMBERSHIP'!BQ$5:BQ$27=-1),'05_FEATURE_MODEL'!AN$5:AN$27)/MAX(1,COUNTIF('93_TARGET_MEMBERSHIP'!BQ$5:BQ$27,-1))))</f>
        <v/>
      </c>
      <c r="AN72" s="34">
        <f>IF($B72="ABSOLUTE SEMANTIC",ABS('06_ITEM_POLE_MODEL'!AW72),ABS('06_ITEM_POLE_MODEL'!AW72)*ABS(SUMPRODUCT(--('93_TARGET_MEMBERSHIP'!BQ$5:BQ$27=1),'05_FEATURE_MODEL'!AO$5:AO$27)/MAX(1,COUNTIF('93_TARGET_MEMBERSHIP'!BQ$5:BQ$27,1))-SUMPRODUCT(--('93_TARGET_MEMBERSHIP'!BQ$5:BQ$27=-1),'05_FEATURE_MODEL'!AO$5:AO$27)/MAX(1,COUNTIF('93_TARGET_MEMBERSHIP'!BQ$5:BQ$27,-1))))</f>
        <v/>
      </c>
      <c r="AO72" s="34">
        <f>IF($B72="ABSOLUTE SEMANTIC",ABS('06_ITEM_POLE_MODEL'!AX72),ABS('06_ITEM_POLE_MODEL'!AX72)*ABS(SUMPRODUCT(--('93_TARGET_MEMBERSHIP'!BQ$5:BQ$27=1),'05_FEATURE_MODEL'!AP$5:AP$27)/MAX(1,COUNTIF('93_TARGET_MEMBERSHIP'!BQ$5:BQ$27,1))-SUMPRODUCT(--('93_TARGET_MEMBERSHIP'!BQ$5:BQ$27=-1),'05_FEATURE_MODEL'!AP$5:AP$27)/MAX(1,COUNTIF('93_TARGET_MEMBERSHIP'!BQ$5:BQ$27,-1))))</f>
        <v/>
      </c>
      <c r="AP72" s="34">
        <f>IF($B72="ABSOLUTE SEMANTIC",ABS('06_ITEM_POLE_MODEL'!AY72),ABS('06_ITEM_POLE_MODEL'!AY72)*ABS(SUMPRODUCT(--('93_TARGET_MEMBERSHIP'!BQ$5:BQ$27=1),'05_FEATURE_MODEL'!AQ$5:AQ$27)/MAX(1,COUNTIF('93_TARGET_MEMBERSHIP'!BQ$5:BQ$27,1))-SUMPRODUCT(--('93_TARGET_MEMBERSHIP'!BQ$5:BQ$27=-1),'05_FEATURE_MODEL'!AQ$5:AQ$27)/MAX(1,COUNTIF('93_TARGET_MEMBERSHIP'!BQ$5:BQ$27,-1))))</f>
        <v/>
      </c>
      <c r="AQ72" s="34">
        <f>IF($B72="ABSOLUTE SEMANTIC",ABS('06_ITEM_POLE_MODEL'!AZ72),ABS('06_ITEM_POLE_MODEL'!AZ72)*ABS(SUMPRODUCT(--('93_TARGET_MEMBERSHIP'!BQ$5:BQ$27=1),'05_FEATURE_MODEL'!AR$5:AR$27)/MAX(1,COUNTIF('93_TARGET_MEMBERSHIP'!BQ$5:BQ$27,1))-SUMPRODUCT(--('93_TARGET_MEMBERSHIP'!BQ$5:BQ$27=-1),'05_FEATURE_MODEL'!AR$5:AR$27)/MAX(1,COUNTIF('93_TARGET_MEMBERSHIP'!BQ$5:BQ$27,-1))))</f>
        <v/>
      </c>
    </row>
    <row r="73" ht="36" customHeight="1">
      <c r="A73" s="34">
        <f>'06_ITEM_POLE_MODEL'!A73</f>
        <v/>
      </c>
      <c r="B73" s="34">
        <f>'06_ITEM_POLE_MODEL'!E73</f>
        <v/>
      </c>
      <c r="C73" s="34">
        <f>IF($B73="ABSOLUTE SEMANTIC",ABS('06_ITEM_POLE_MODEL'!L73),ABS('06_ITEM_POLE_MODEL'!L73)*ABS(SUMPRODUCT(--('93_TARGET_MEMBERSHIP'!BR$5:BR$27=1),'05_FEATURE_MODEL'!D$5:D$27)/MAX(1,COUNTIF('93_TARGET_MEMBERSHIP'!BR$5:BR$27,1))-SUMPRODUCT(--('93_TARGET_MEMBERSHIP'!BR$5:BR$27=-1),'05_FEATURE_MODEL'!D$5:D$27)/MAX(1,COUNTIF('93_TARGET_MEMBERSHIP'!BR$5:BR$27,-1))))</f>
        <v/>
      </c>
      <c r="D73" s="34">
        <f>IF($B73="ABSOLUTE SEMANTIC",ABS('06_ITEM_POLE_MODEL'!M73),ABS('06_ITEM_POLE_MODEL'!M73)*ABS(SUMPRODUCT(--('93_TARGET_MEMBERSHIP'!BR$5:BR$27=1),'05_FEATURE_MODEL'!E$5:E$27)/MAX(1,COUNTIF('93_TARGET_MEMBERSHIP'!BR$5:BR$27,1))-SUMPRODUCT(--('93_TARGET_MEMBERSHIP'!BR$5:BR$27=-1),'05_FEATURE_MODEL'!E$5:E$27)/MAX(1,COUNTIF('93_TARGET_MEMBERSHIP'!BR$5:BR$27,-1))))</f>
        <v/>
      </c>
      <c r="E73" s="34">
        <f>IF($B73="ABSOLUTE SEMANTIC",ABS('06_ITEM_POLE_MODEL'!N73),ABS('06_ITEM_POLE_MODEL'!N73)*ABS(SUMPRODUCT(--('93_TARGET_MEMBERSHIP'!BR$5:BR$27=1),'05_FEATURE_MODEL'!F$5:F$27)/MAX(1,COUNTIF('93_TARGET_MEMBERSHIP'!BR$5:BR$27,1))-SUMPRODUCT(--('93_TARGET_MEMBERSHIP'!BR$5:BR$27=-1),'05_FEATURE_MODEL'!F$5:F$27)/MAX(1,COUNTIF('93_TARGET_MEMBERSHIP'!BR$5:BR$27,-1))))</f>
        <v/>
      </c>
      <c r="F73" s="34">
        <f>IF($B73="ABSOLUTE SEMANTIC",ABS('06_ITEM_POLE_MODEL'!O73),ABS('06_ITEM_POLE_MODEL'!O73)*ABS(SUMPRODUCT(--('93_TARGET_MEMBERSHIP'!BR$5:BR$27=1),'05_FEATURE_MODEL'!G$5:G$27)/MAX(1,COUNTIF('93_TARGET_MEMBERSHIP'!BR$5:BR$27,1))-SUMPRODUCT(--('93_TARGET_MEMBERSHIP'!BR$5:BR$27=-1),'05_FEATURE_MODEL'!G$5:G$27)/MAX(1,COUNTIF('93_TARGET_MEMBERSHIP'!BR$5:BR$27,-1))))</f>
        <v/>
      </c>
      <c r="G73" s="34">
        <f>IF($B73="ABSOLUTE SEMANTIC",ABS('06_ITEM_POLE_MODEL'!P73),ABS('06_ITEM_POLE_MODEL'!P73)*ABS(SUMPRODUCT(--('93_TARGET_MEMBERSHIP'!BR$5:BR$27=1),'05_FEATURE_MODEL'!H$5:H$27)/MAX(1,COUNTIF('93_TARGET_MEMBERSHIP'!BR$5:BR$27,1))-SUMPRODUCT(--('93_TARGET_MEMBERSHIP'!BR$5:BR$27=-1),'05_FEATURE_MODEL'!H$5:H$27)/MAX(1,COUNTIF('93_TARGET_MEMBERSHIP'!BR$5:BR$27,-1))))</f>
        <v/>
      </c>
      <c r="H73" s="34">
        <f>IF($B73="ABSOLUTE SEMANTIC",ABS('06_ITEM_POLE_MODEL'!Q73),ABS('06_ITEM_POLE_MODEL'!Q73)*ABS(SUMPRODUCT(--('93_TARGET_MEMBERSHIP'!BR$5:BR$27=1),'05_FEATURE_MODEL'!I$5:I$27)/MAX(1,COUNTIF('93_TARGET_MEMBERSHIP'!BR$5:BR$27,1))-SUMPRODUCT(--('93_TARGET_MEMBERSHIP'!BR$5:BR$27=-1),'05_FEATURE_MODEL'!I$5:I$27)/MAX(1,COUNTIF('93_TARGET_MEMBERSHIP'!BR$5:BR$27,-1))))</f>
        <v/>
      </c>
      <c r="I73" s="34">
        <f>IF($B73="ABSOLUTE SEMANTIC",ABS('06_ITEM_POLE_MODEL'!R73),ABS('06_ITEM_POLE_MODEL'!R73)*ABS(SUMPRODUCT(--('93_TARGET_MEMBERSHIP'!BR$5:BR$27=1),'05_FEATURE_MODEL'!J$5:J$27)/MAX(1,COUNTIF('93_TARGET_MEMBERSHIP'!BR$5:BR$27,1))-SUMPRODUCT(--('93_TARGET_MEMBERSHIP'!BR$5:BR$27=-1),'05_FEATURE_MODEL'!J$5:J$27)/MAX(1,COUNTIF('93_TARGET_MEMBERSHIP'!BR$5:BR$27,-1))))</f>
        <v/>
      </c>
      <c r="J73" s="34">
        <f>IF($B73="ABSOLUTE SEMANTIC",ABS('06_ITEM_POLE_MODEL'!S73),ABS('06_ITEM_POLE_MODEL'!S73)*ABS(SUMPRODUCT(--('93_TARGET_MEMBERSHIP'!BR$5:BR$27=1),'05_FEATURE_MODEL'!K$5:K$27)/MAX(1,COUNTIF('93_TARGET_MEMBERSHIP'!BR$5:BR$27,1))-SUMPRODUCT(--('93_TARGET_MEMBERSHIP'!BR$5:BR$27=-1),'05_FEATURE_MODEL'!K$5:K$27)/MAX(1,COUNTIF('93_TARGET_MEMBERSHIP'!BR$5:BR$27,-1))))</f>
        <v/>
      </c>
      <c r="K73" s="34">
        <f>IF($B73="ABSOLUTE SEMANTIC",ABS('06_ITEM_POLE_MODEL'!T73),ABS('06_ITEM_POLE_MODEL'!T73)*ABS(SUMPRODUCT(--('93_TARGET_MEMBERSHIP'!BR$5:BR$27=1),'05_FEATURE_MODEL'!L$5:L$27)/MAX(1,COUNTIF('93_TARGET_MEMBERSHIP'!BR$5:BR$27,1))-SUMPRODUCT(--('93_TARGET_MEMBERSHIP'!BR$5:BR$27=-1),'05_FEATURE_MODEL'!L$5:L$27)/MAX(1,COUNTIF('93_TARGET_MEMBERSHIP'!BR$5:BR$27,-1))))</f>
        <v/>
      </c>
      <c r="L73" s="34">
        <f>IF($B73="ABSOLUTE SEMANTIC",ABS('06_ITEM_POLE_MODEL'!U73),ABS('06_ITEM_POLE_MODEL'!U73)*ABS(SUMPRODUCT(--('93_TARGET_MEMBERSHIP'!BR$5:BR$27=1),'05_FEATURE_MODEL'!M$5:M$27)/MAX(1,COUNTIF('93_TARGET_MEMBERSHIP'!BR$5:BR$27,1))-SUMPRODUCT(--('93_TARGET_MEMBERSHIP'!BR$5:BR$27=-1),'05_FEATURE_MODEL'!M$5:M$27)/MAX(1,COUNTIF('93_TARGET_MEMBERSHIP'!BR$5:BR$27,-1))))</f>
        <v/>
      </c>
      <c r="M73" s="34">
        <f>IF($B73="ABSOLUTE SEMANTIC",ABS('06_ITEM_POLE_MODEL'!V73),ABS('06_ITEM_POLE_MODEL'!V73)*ABS(SUMPRODUCT(--('93_TARGET_MEMBERSHIP'!BR$5:BR$27=1),'05_FEATURE_MODEL'!N$5:N$27)/MAX(1,COUNTIF('93_TARGET_MEMBERSHIP'!BR$5:BR$27,1))-SUMPRODUCT(--('93_TARGET_MEMBERSHIP'!BR$5:BR$27=-1),'05_FEATURE_MODEL'!N$5:N$27)/MAX(1,COUNTIF('93_TARGET_MEMBERSHIP'!BR$5:BR$27,-1))))</f>
        <v/>
      </c>
      <c r="N73" s="34">
        <f>IF($B73="ABSOLUTE SEMANTIC",ABS('06_ITEM_POLE_MODEL'!W73),ABS('06_ITEM_POLE_MODEL'!W73)*ABS(SUMPRODUCT(--('93_TARGET_MEMBERSHIP'!BR$5:BR$27=1),'05_FEATURE_MODEL'!O$5:O$27)/MAX(1,COUNTIF('93_TARGET_MEMBERSHIP'!BR$5:BR$27,1))-SUMPRODUCT(--('93_TARGET_MEMBERSHIP'!BR$5:BR$27=-1),'05_FEATURE_MODEL'!O$5:O$27)/MAX(1,COUNTIF('93_TARGET_MEMBERSHIP'!BR$5:BR$27,-1))))</f>
        <v/>
      </c>
      <c r="O73" s="34">
        <f>IF($B73="ABSOLUTE SEMANTIC",ABS('06_ITEM_POLE_MODEL'!X73),ABS('06_ITEM_POLE_MODEL'!X73)*ABS(SUMPRODUCT(--('93_TARGET_MEMBERSHIP'!BR$5:BR$27=1),'05_FEATURE_MODEL'!P$5:P$27)/MAX(1,COUNTIF('93_TARGET_MEMBERSHIP'!BR$5:BR$27,1))-SUMPRODUCT(--('93_TARGET_MEMBERSHIP'!BR$5:BR$27=-1),'05_FEATURE_MODEL'!P$5:P$27)/MAX(1,COUNTIF('93_TARGET_MEMBERSHIP'!BR$5:BR$27,-1))))</f>
        <v/>
      </c>
      <c r="P73" s="34">
        <f>IF($B73="ABSOLUTE SEMANTIC",ABS('06_ITEM_POLE_MODEL'!Y73),ABS('06_ITEM_POLE_MODEL'!Y73)*ABS(SUMPRODUCT(--('93_TARGET_MEMBERSHIP'!BR$5:BR$27=1),'05_FEATURE_MODEL'!Q$5:Q$27)/MAX(1,COUNTIF('93_TARGET_MEMBERSHIP'!BR$5:BR$27,1))-SUMPRODUCT(--('93_TARGET_MEMBERSHIP'!BR$5:BR$27=-1),'05_FEATURE_MODEL'!Q$5:Q$27)/MAX(1,COUNTIF('93_TARGET_MEMBERSHIP'!BR$5:BR$27,-1))))</f>
        <v/>
      </c>
      <c r="Q73" s="34">
        <f>IF($B73="ABSOLUTE SEMANTIC",ABS('06_ITEM_POLE_MODEL'!Z73),ABS('06_ITEM_POLE_MODEL'!Z73)*ABS(SUMPRODUCT(--('93_TARGET_MEMBERSHIP'!BR$5:BR$27=1),'05_FEATURE_MODEL'!R$5:R$27)/MAX(1,COUNTIF('93_TARGET_MEMBERSHIP'!BR$5:BR$27,1))-SUMPRODUCT(--('93_TARGET_MEMBERSHIP'!BR$5:BR$27=-1),'05_FEATURE_MODEL'!R$5:R$27)/MAX(1,COUNTIF('93_TARGET_MEMBERSHIP'!BR$5:BR$27,-1))))</f>
        <v/>
      </c>
      <c r="R73" s="34">
        <f>IF($B73="ABSOLUTE SEMANTIC",ABS('06_ITEM_POLE_MODEL'!AA73),ABS('06_ITEM_POLE_MODEL'!AA73)*ABS(SUMPRODUCT(--('93_TARGET_MEMBERSHIP'!BR$5:BR$27=1),'05_FEATURE_MODEL'!S$5:S$27)/MAX(1,COUNTIF('93_TARGET_MEMBERSHIP'!BR$5:BR$27,1))-SUMPRODUCT(--('93_TARGET_MEMBERSHIP'!BR$5:BR$27=-1),'05_FEATURE_MODEL'!S$5:S$27)/MAX(1,COUNTIF('93_TARGET_MEMBERSHIP'!BR$5:BR$27,-1))))</f>
        <v/>
      </c>
      <c r="S73" s="34">
        <f>IF($B73="ABSOLUTE SEMANTIC",ABS('06_ITEM_POLE_MODEL'!AB73),ABS('06_ITEM_POLE_MODEL'!AB73)*ABS(SUMPRODUCT(--('93_TARGET_MEMBERSHIP'!BR$5:BR$27=1),'05_FEATURE_MODEL'!T$5:T$27)/MAX(1,COUNTIF('93_TARGET_MEMBERSHIP'!BR$5:BR$27,1))-SUMPRODUCT(--('93_TARGET_MEMBERSHIP'!BR$5:BR$27=-1),'05_FEATURE_MODEL'!T$5:T$27)/MAX(1,COUNTIF('93_TARGET_MEMBERSHIP'!BR$5:BR$27,-1))))</f>
        <v/>
      </c>
      <c r="T73" s="34">
        <f>IF($B73="ABSOLUTE SEMANTIC",ABS('06_ITEM_POLE_MODEL'!AC73),ABS('06_ITEM_POLE_MODEL'!AC73)*ABS(SUMPRODUCT(--('93_TARGET_MEMBERSHIP'!BR$5:BR$27=1),'05_FEATURE_MODEL'!U$5:U$27)/MAX(1,COUNTIF('93_TARGET_MEMBERSHIP'!BR$5:BR$27,1))-SUMPRODUCT(--('93_TARGET_MEMBERSHIP'!BR$5:BR$27=-1),'05_FEATURE_MODEL'!U$5:U$27)/MAX(1,COUNTIF('93_TARGET_MEMBERSHIP'!BR$5:BR$27,-1))))</f>
        <v/>
      </c>
      <c r="U73" s="34">
        <f>IF($B73="ABSOLUTE SEMANTIC",ABS('06_ITEM_POLE_MODEL'!AD73),ABS('06_ITEM_POLE_MODEL'!AD73)*ABS(SUMPRODUCT(--('93_TARGET_MEMBERSHIP'!BR$5:BR$27=1),'05_FEATURE_MODEL'!V$5:V$27)/MAX(1,COUNTIF('93_TARGET_MEMBERSHIP'!BR$5:BR$27,1))-SUMPRODUCT(--('93_TARGET_MEMBERSHIP'!BR$5:BR$27=-1),'05_FEATURE_MODEL'!V$5:V$27)/MAX(1,COUNTIF('93_TARGET_MEMBERSHIP'!BR$5:BR$27,-1))))</f>
        <v/>
      </c>
      <c r="V73" s="34">
        <f>IF($B73="ABSOLUTE SEMANTIC",ABS('06_ITEM_POLE_MODEL'!AE73),ABS('06_ITEM_POLE_MODEL'!AE73)*ABS(SUMPRODUCT(--('93_TARGET_MEMBERSHIP'!BR$5:BR$27=1),'05_FEATURE_MODEL'!W$5:W$27)/MAX(1,COUNTIF('93_TARGET_MEMBERSHIP'!BR$5:BR$27,1))-SUMPRODUCT(--('93_TARGET_MEMBERSHIP'!BR$5:BR$27=-1),'05_FEATURE_MODEL'!W$5:W$27)/MAX(1,COUNTIF('93_TARGET_MEMBERSHIP'!BR$5:BR$27,-1))))</f>
        <v/>
      </c>
      <c r="W73" s="34">
        <f>IF($B73="ABSOLUTE SEMANTIC",ABS('06_ITEM_POLE_MODEL'!AF73),ABS('06_ITEM_POLE_MODEL'!AF73)*ABS(SUMPRODUCT(--('93_TARGET_MEMBERSHIP'!BR$5:BR$27=1),'05_FEATURE_MODEL'!X$5:X$27)/MAX(1,COUNTIF('93_TARGET_MEMBERSHIP'!BR$5:BR$27,1))-SUMPRODUCT(--('93_TARGET_MEMBERSHIP'!BR$5:BR$27=-1),'05_FEATURE_MODEL'!X$5:X$27)/MAX(1,COUNTIF('93_TARGET_MEMBERSHIP'!BR$5:BR$27,-1))))</f>
        <v/>
      </c>
      <c r="X73" s="34">
        <f>IF($B73="ABSOLUTE SEMANTIC",ABS('06_ITEM_POLE_MODEL'!AG73),ABS('06_ITEM_POLE_MODEL'!AG73)*ABS(SUMPRODUCT(--('93_TARGET_MEMBERSHIP'!BR$5:BR$27=1),'05_FEATURE_MODEL'!Y$5:Y$27)/MAX(1,COUNTIF('93_TARGET_MEMBERSHIP'!BR$5:BR$27,1))-SUMPRODUCT(--('93_TARGET_MEMBERSHIP'!BR$5:BR$27=-1),'05_FEATURE_MODEL'!Y$5:Y$27)/MAX(1,COUNTIF('93_TARGET_MEMBERSHIP'!BR$5:BR$27,-1))))</f>
        <v/>
      </c>
      <c r="Y73" s="34">
        <f>IF($B73="ABSOLUTE SEMANTIC",ABS('06_ITEM_POLE_MODEL'!AH73),ABS('06_ITEM_POLE_MODEL'!AH73)*ABS(SUMPRODUCT(--('93_TARGET_MEMBERSHIP'!BR$5:BR$27=1),'05_FEATURE_MODEL'!Z$5:Z$27)/MAX(1,COUNTIF('93_TARGET_MEMBERSHIP'!BR$5:BR$27,1))-SUMPRODUCT(--('93_TARGET_MEMBERSHIP'!BR$5:BR$27=-1),'05_FEATURE_MODEL'!Z$5:Z$27)/MAX(1,COUNTIF('93_TARGET_MEMBERSHIP'!BR$5:BR$27,-1))))</f>
        <v/>
      </c>
      <c r="Z73" s="34">
        <f>IF($B73="ABSOLUTE SEMANTIC",ABS('06_ITEM_POLE_MODEL'!AI73),ABS('06_ITEM_POLE_MODEL'!AI73)*ABS(SUMPRODUCT(--('93_TARGET_MEMBERSHIP'!BR$5:BR$27=1),'05_FEATURE_MODEL'!AA$5:AA$27)/MAX(1,COUNTIF('93_TARGET_MEMBERSHIP'!BR$5:BR$27,1))-SUMPRODUCT(--('93_TARGET_MEMBERSHIP'!BR$5:BR$27=-1),'05_FEATURE_MODEL'!AA$5:AA$27)/MAX(1,COUNTIF('93_TARGET_MEMBERSHIP'!BR$5:BR$27,-1))))</f>
        <v/>
      </c>
      <c r="AA73" s="34">
        <f>IF($B73="ABSOLUTE SEMANTIC",ABS('06_ITEM_POLE_MODEL'!AJ73),ABS('06_ITEM_POLE_MODEL'!AJ73)*ABS(SUMPRODUCT(--('93_TARGET_MEMBERSHIP'!BR$5:BR$27=1),'05_FEATURE_MODEL'!AB$5:AB$27)/MAX(1,COUNTIF('93_TARGET_MEMBERSHIP'!BR$5:BR$27,1))-SUMPRODUCT(--('93_TARGET_MEMBERSHIP'!BR$5:BR$27=-1),'05_FEATURE_MODEL'!AB$5:AB$27)/MAX(1,COUNTIF('93_TARGET_MEMBERSHIP'!BR$5:BR$27,-1))))</f>
        <v/>
      </c>
      <c r="AB73" s="34">
        <f>IF($B73="ABSOLUTE SEMANTIC",ABS('06_ITEM_POLE_MODEL'!AK73),ABS('06_ITEM_POLE_MODEL'!AK73)*ABS(SUMPRODUCT(--('93_TARGET_MEMBERSHIP'!BR$5:BR$27=1),'05_FEATURE_MODEL'!AC$5:AC$27)/MAX(1,COUNTIF('93_TARGET_MEMBERSHIP'!BR$5:BR$27,1))-SUMPRODUCT(--('93_TARGET_MEMBERSHIP'!BR$5:BR$27=-1),'05_FEATURE_MODEL'!AC$5:AC$27)/MAX(1,COUNTIF('93_TARGET_MEMBERSHIP'!BR$5:BR$27,-1))))</f>
        <v/>
      </c>
      <c r="AC73" s="34">
        <f>IF($B73="ABSOLUTE SEMANTIC",ABS('06_ITEM_POLE_MODEL'!AL73),ABS('06_ITEM_POLE_MODEL'!AL73)*ABS(SUMPRODUCT(--('93_TARGET_MEMBERSHIP'!BR$5:BR$27=1),'05_FEATURE_MODEL'!AD$5:AD$27)/MAX(1,COUNTIF('93_TARGET_MEMBERSHIP'!BR$5:BR$27,1))-SUMPRODUCT(--('93_TARGET_MEMBERSHIP'!BR$5:BR$27=-1),'05_FEATURE_MODEL'!AD$5:AD$27)/MAX(1,COUNTIF('93_TARGET_MEMBERSHIP'!BR$5:BR$27,-1))))</f>
        <v/>
      </c>
      <c r="AD73" s="34">
        <f>IF($B73="ABSOLUTE SEMANTIC",ABS('06_ITEM_POLE_MODEL'!AM73),ABS('06_ITEM_POLE_MODEL'!AM73)*ABS(SUMPRODUCT(--('93_TARGET_MEMBERSHIP'!BR$5:BR$27=1),'05_FEATURE_MODEL'!AE$5:AE$27)/MAX(1,COUNTIF('93_TARGET_MEMBERSHIP'!BR$5:BR$27,1))-SUMPRODUCT(--('93_TARGET_MEMBERSHIP'!BR$5:BR$27=-1),'05_FEATURE_MODEL'!AE$5:AE$27)/MAX(1,COUNTIF('93_TARGET_MEMBERSHIP'!BR$5:BR$27,-1))))</f>
        <v/>
      </c>
      <c r="AE73" s="34">
        <f>IF($B73="ABSOLUTE SEMANTIC",ABS('06_ITEM_POLE_MODEL'!AN73),ABS('06_ITEM_POLE_MODEL'!AN73)*ABS(SUMPRODUCT(--('93_TARGET_MEMBERSHIP'!BR$5:BR$27=1),'05_FEATURE_MODEL'!AF$5:AF$27)/MAX(1,COUNTIF('93_TARGET_MEMBERSHIP'!BR$5:BR$27,1))-SUMPRODUCT(--('93_TARGET_MEMBERSHIP'!BR$5:BR$27=-1),'05_FEATURE_MODEL'!AF$5:AF$27)/MAX(1,COUNTIF('93_TARGET_MEMBERSHIP'!BR$5:BR$27,-1))))</f>
        <v/>
      </c>
      <c r="AF73" s="34">
        <f>IF($B73="ABSOLUTE SEMANTIC",ABS('06_ITEM_POLE_MODEL'!AO73),ABS('06_ITEM_POLE_MODEL'!AO73)*ABS(SUMPRODUCT(--('93_TARGET_MEMBERSHIP'!BR$5:BR$27=1),'05_FEATURE_MODEL'!AG$5:AG$27)/MAX(1,COUNTIF('93_TARGET_MEMBERSHIP'!BR$5:BR$27,1))-SUMPRODUCT(--('93_TARGET_MEMBERSHIP'!BR$5:BR$27=-1),'05_FEATURE_MODEL'!AG$5:AG$27)/MAX(1,COUNTIF('93_TARGET_MEMBERSHIP'!BR$5:BR$27,-1))))</f>
        <v/>
      </c>
      <c r="AG73" s="34">
        <f>IF($B73="ABSOLUTE SEMANTIC",ABS('06_ITEM_POLE_MODEL'!AP73),ABS('06_ITEM_POLE_MODEL'!AP73)*ABS(SUMPRODUCT(--('93_TARGET_MEMBERSHIP'!BR$5:BR$27=1),'05_FEATURE_MODEL'!AH$5:AH$27)/MAX(1,COUNTIF('93_TARGET_MEMBERSHIP'!BR$5:BR$27,1))-SUMPRODUCT(--('93_TARGET_MEMBERSHIP'!BR$5:BR$27=-1),'05_FEATURE_MODEL'!AH$5:AH$27)/MAX(1,COUNTIF('93_TARGET_MEMBERSHIP'!BR$5:BR$27,-1))))</f>
        <v/>
      </c>
      <c r="AH73" s="34">
        <f>IF($B73="ABSOLUTE SEMANTIC",ABS('06_ITEM_POLE_MODEL'!AQ73),ABS('06_ITEM_POLE_MODEL'!AQ73)*ABS(SUMPRODUCT(--('93_TARGET_MEMBERSHIP'!BR$5:BR$27=1),'05_FEATURE_MODEL'!AI$5:AI$27)/MAX(1,COUNTIF('93_TARGET_MEMBERSHIP'!BR$5:BR$27,1))-SUMPRODUCT(--('93_TARGET_MEMBERSHIP'!BR$5:BR$27=-1),'05_FEATURE_MODEL'!AI$5:AI$27)/MAX(1,COUNTIF('93_TARGET_MEMBERSHIP'!BR$5:BR$27,-1))))</f>
        <v/>
      </c>
      <c r="AI73" s="34">
        <f>IF($B73="ABSOLUTE SEMANTIC",ABS('06_ITEM_POLE_MODEL'!AR73),ABS('06_ITEM_POLE_MODEL'!AR73)*ABS(SUMPRODUCT(--('93_TARGET_MEMBERSHIP'!BR$5:BR$27=1),'05_FEATURE_MODEL'!AJ$5:AJ$27)/MAX(1,COUNTIF('93_TARGET_MEMBERSHIP'!BR$5:BR$27,1))-SUMPRODUCT(--('93_TARGET_MEMBERSHIP'!BR$5:BR$27=-1),'05_FEATURE_MODEL'!AJ$5:AJ$27)/MAX(1,COUNTIF('93_TARGET_MEMBERSHIP'!BR$5:BR$27,-1))))</f>
        <v/>
      </c>
      <c r="AJ73" s="34">
        <f>IF($B73="ABSOLUTE SEMANTIC",ABS('06_ITEM_POLE_MODEL'!AS73),ABS('06_ITEM_POLE_MODEL'!AS73)*ABS(SUMPRODUCT(--('93_TARGET_MEMBERSHIP'!BR$5:BR$27=1),'05_FEATURE_MODEL'!AK$5:AK$27)/MAX(1,COUNTIF('93_TARGET_MEMBERSHIP'!BR$5:BR$27,1))-SUMPRODUCT(--('93_TARGET_MEMBERSHIP'!BR$5:BR$27=-1),'05_FEATURE_MODEL'!AK$5:AK$27)/MAX(1,COUNTIF('93_TARGET_MEMBERSHIP'!BR$5:BR$27,-1))))</f>
        <v/>
      </c>
      <c r="AK73" s="34">
        <f>IF($B73="ABSOLUTE SEMANTIC",ABS('06_ITEM_POLE_MODEL'!AT73),ABS('06_ITEM_POLE_MODEL'!AT73)*ABS(SUMPRODUCT(--('93_TARGET_MEMBERSHIP'!BR$5:BR$27=1),'05_FEATURE_MODEL'!AL$5:AL$27)/MAX(1,COUNTIF('93_TARGET_MEMBERSHIP'!BR$5:BR$27,1))-SUMPRODUCT(--('93_TARGET_MEMBERSHIP'!BR$5:BR$27=-1),'05_FEATURE_MODEL'!AL$5:AL$27)/MAX(1,COUNTIF('93_TARGET_MEMBERSHIP'!BR$5:BR$27,-1))))</f>
        <v/>
      </c>
      <c r="AL73" s="34">
        <f>IF($B73="ABSOLUTE SEMANTIC",ABS('06_ITEM_POLE_MODEL'!AU73),ABS('06_ITEM_POLE_MODEL'!AU73)*ABS(SUMPRODUCT(--('93_TARGET_MEMBERSHIP'!BR$5:BR$27=1),'05_FEATURE_MODEL'!AM$5:AM$27)/MAX(1,COUNTIF('93_TARGET_MEMBERSHIP'!BR$5:BR$27,1))-SUMPRODUCT(--('93_TARGET_MEMBERSHIP'!BR$5:BR$27=-1),'05_FEATURE_MODEL'!AM$5:AM$27)/MAX(1,COUNTIF('93_TARGET_MEMBERSHIP'!BR$5:BR$27,-1))))</f>
        <v/>
      </c>
      <c r="AM73" s="34">
        <f>IF($B73="ABSOLUTE SEMANTIC",ABS('06_ITEM_POLE_MODEL'!AV73),ABS('06_ITEM_POLE_MODEL'!AV73)*ABS(SUMPRODUCT(--('93_TARGET_MEMBERSHIP'!BR$5:BR$27=1),'05_FEATURE_MODEL'!AN$5:AN$27)/MAX(1,COUNTIF('93_TARGET_MEMBERSHIP'!BR$5:BR$27,1))-SUMPRODUCT(--('93_TARGET_MEMBERSHIP'!BR$5:BR$27=-1),'05_FEATURE_MODEL'!AN$5:AN$27)/MAX(1,COUNTIF('93_TARGET_MEMBERSHIP'!BR$5:BR$27,-1))))</f>
        <v/>
      </c>
      <c r="AN73" s="34">
        <f>IF($B73="ABSOLUTE SEMANTIC",ABS('06_ITEM_POLE_MODEL'!AW73),ABS('06_ITEM_POLE_MODEL'!AW73)*ABS(SUMPRODUCT(--('93_TARGET_MEMBERSHIP'!BR$5:BR$27=1),'05_FEATURE_MODEL'!AO$5:AO$27)/MAX(1,COUNTIF('93_TARGET_MEMBERSHIP'!BR$5:BR$27,1))-SUMPRODUCT(--('93_TARGET_MEMBERSHIP'!BR$5:BR$27=-1),'05_FEATURE_MODEL'!AO$5:AO$27)/MAX(1,COUNTIF('93_TARGET_MEMBERSHIP'!BR$5:BR$27,-1))))</f>
        <v/>
      </c>
      <c r="AO73" s="34">
        <f>IF($B73="ABSOLUTE SEMANTIC",ABS('06_ITEM_POLE_MODEL'!AX73),ABS('06_ITEM_POLE_MODEL'!AX73)*ABS(SUMPRODUCT(--('93_TARGET_MEMBERSHIP'!BR$5:BR$27=1),'05_FEATURE_MODEL'!AP$5:AP$27)/MAX(1,COUNTIF('93_TARGET_MEMBERSHIP'!BR$5:BR$27,1))-SUMPRODUCT(--('93_TARGET_MEMBERSHIP'!BR$5:BR$27=-1),'05_FEATURE_MODEL'!AP$5:AP$27)/MAX(1,COUNTIF('93_TARGET_MEMBERSHIP'!BR$5:BR$27,-1))))</f>
        <v/>
      </c>
      <c r="AP73" s="34">
        <f>IF($B73="ABSOLUTE SEMANTIC",ABS('06_ITEM_POLE_MODEL'!AY73),ABS('06_ITEM_POLE_MODEL'!AY73)*ABS(SUMPRODUCT(--('93_TARGET_MEMBERSHIP'!BR$5:BR$27=1),'05_FEATURE_MODEL'!AQ$5:AQ$27)/MAX(1,COUNTIF('93_TARGET_MEMBERSHIP'!BR$5:BR$27,1))-SUMPRODUCT(--('93_TARGET_MEMBERSHIP'!BR$5:BR$27=-1),'05_FEATURE_MODEL'!AQ$5:AQ$27)/MAX(1,COUNTIF('93_TARGET_MEMBERSHIP'!BR$5:BR$27,-1))))</f>
        <v/>
      </c>
      <c r="AQ73" s="34">
        <f>IF($B73="ABSOLUTE SEMANTIC",ABS('06_ITEM_POLE_MODEL'!AZ73),ABS('06_ITEM_POLE_MODEL'!AZ73)*ABS(SUMPRODUCT(--('93_TARGET_MEMBERSHIP'!BR$5:BR$27=1),'05_FEATURE_MODEL'!AR$5:AR$27)/MAX(1,COUNTIF('93_TARGET_MEMBERSHIP'!BR$5:BR$27,1))-SUMPRODUCT(--('93_TARGET_MEMBERSHIP'!BR$5:BR$27=-1),'05_FEATURE_MODEL'!AR$5:AR$27)/MAX(1,COUNTIF('93_TARGET_MEMBERSHIP'!BR$5:BR$27,-1))))</f>
        <v/>
      </c>
    </row>
    <row r="74" ht="36" customHeight="1">
      <c r="A74" s="34">
        <f>'06_ITEM_POLE_MODEL'!A74</f>
        <v/>
      </c>
      <c r="B74" s="34">
        <f>'06_ITEM_POLE_MODEL'!E74</f>
        <v/>
      </c>
      <c r="C74" s="34">
        <f>IF($B74="ABSOLUTE SEMANTIC",ABS('06_ITEM_POLE_MODEL'!L74),ABS('06_ITEM_POLE_MODEL'!L74)*ABS(SUMPRODUCT(--('93_TARGET_MEMBERSHIP'!BS$5:BS$27=1),'05_FEATURE_MODEL'!D$5:D$27)/MAX(1,COUNTIF('93_TARGET_MEMBERSHIP'!BS$5:BS$27,1))-SUMPRODUCT(--('93_TARGET_MEMBERSHIP'!BS$5:BS$27=-1),'05_FEATURE_MODEL'!D$5:D$27)/MAX(1,COUNTIF('93_TARGET_MEMBERSHIP'!BS$5:BS$27,-1))))</f>
        <v/>
      </c>
      <c r="D74" s="34">
        <f>IF($B74="ABSOLUTE SEMANTIC",ABS('06_ITEM_POLE_MODEL'!M74),ABS('06_ITEM_POLE_MODEL'!M74)*ABS(SUMPRODUCT(--('93_TARGET_MEMBERSHIP'!BS$5:BS$27=1),'05_FEATURE_MODEL'!E$5:E$27)/MAX(1,COUNTIF('93_TARGET_MEMBERSHIP'!BS$5:BS$27,1))-SUMPRODUCT(--('93_TARGET_MEMBERSHIP'!BS$5:BS$27=-1),'05_FEATURE_MODEL'!E$5:E$27)/MAX(1,COUNTIF('93_TARGET_MEMBERSHIP'!BS$5:BS$27,-1))))</f>
        <v/>
      </c>
      <c r="E74" s="34">
        <f>IF($B74="ABSOLUTE SEMANTIC",ABS('06_ITEM_POLE_MODEL'!N74),ABS('06_ITEM_POLE_MODEL'!N74)*ABS(SUMPRODUCT(--('93_TARGET_MEMBERSHIP'!BS$5:BS$27=1),'05_FEATURE_MODEL'!F$5:F$27)/MAX(1,COUNTIF('93_TARGET_MEMBERSHIP'!BS$5:BS$27,1))-SUMPRODUCT(--('93_TARGET_MEMBERSHIP'!BS$5:BS$27=-1),'05_FEATURE_MODEL'!F$5:F$27)/MAX(1,COUNTIF('93_TARGET_MEMBERSHIP'!BS$5:BS$27,-1))))</f>
        <v/>
      </c>
      <c r="F74" s="34">
        <f>IF($B74="ABSOLUTE SEMANTIC",ABS('06_ITEM_POLE_MODEL'!O74),ABS('06_ITEM_POLE_MODEL'!O74)*ABS(SUMPRODUCT(--('93_TARGET_MEMBERSHIP'!BS$5:BS$27=1),'05_FEATURE_MODEL'!G$5:G$27)/MAX(1,COUNTIF('93_TARGET_MEMBERSHIP'!BS$5:BS$27,1))-SUMPRODUCT(--('93_TARGET_MEMBERSHIP'!BS$5:BS$27=-1),'05_FEATURE_MODEL'!G$5:G$27)/MAX(1,COUNTIF('93_TARGET_MEMBERSHIP'!BS$5:BS$27,-1))))</f>
        <v/>
      </c>
      <c r="G74" s="34">
        <f>IF($B74="ABSOLUTE SEMANTIC",ABS('06_ITEM_POLE_MODEL'!P74),ABS('06_ITEM_POLE_MODEL'!P74)*ABS(SUMPRODUCT(--('93_TARGET_MEMBERSHIP'!BS$5:BS$27=1),'05_FEATURE_MODEL'!H$5:H$27)/MAX(1,COUNTIF('93_TARGET_MEMBERSHIP'!BS$5:BS$27,1))-SUMPRODUCT(--('93_TARGET_MEMBERSHIP'!BS$5:BS$27=-1),'05_FEATURE_MODEL'!H$5:H$27)/MAX(1,COUNTIF('93_TARGET_MEMBERSHIP'!BS$5:BS$27,-1))))</f>
        <v/>
      </c>
      <c r="H74" s="34">
        <f>IF($B74="ABSOLUTE SEMANTIC",ABS('06_ITEM_POLE_MODEL'!Q74),ABS('06_ITEM_POLE_MODEL'!Q74)*ABS(SUMPRODUCT(--('93_TARGET_MEMBERSHIP'!BS$5:BS$27=1),'05_FEATURE_MODEL'!I$5:I$27)/MAX(1,COUNTIF('93_TARGET_MEMBERSHIP'!BS$5:BS$27,1))-SUMPRODUCT(--('93_TARGET_MEMBERSHIP'!BS$5:BS$27=-1),'05_FEATURE_MODEL'!I$5:I$27)/MAX(1,COUNTIF('93_TARGET_MEMBERSHIP'!BS$5:BS$27,-1))))</f>
        <v/>
      </c>
      <c r="I74" s="34">
        <f>IF($B74="ABSOLUTE SEMANTIC",ABS('06_ITEM_POLE_MODEL'!R74),ABS('06_ITEM_POLE_MODEL'!R74)*ABS(SUMPRODUCT(--('93_TARGET_MEMBERSHIP'!BS$5:BS$27=1),'05_FEATURE_MODEL'!J$5:J$27)/MAX(1,COUNTIF('93_TARGET_MEMBERSHIP'!BS$5:BS$27,1))-SUMPRODUCT(--('93_TARGET_MEMBERSHIP'!BS$5:BS$27=-1),'05_FEATURE_MODEL'!J$5:J$27)/MAX(1,COUNTIF('93_TARGET_MEMBERSHIP'!BS$5:BS$27,-1))))</f>
        <v/>
      </c>
      <c r="J74" s="34">
        <f>IF($B74="ABSOLUTE SEMANTIC",ABS('06_ITEM_POLE_MODEL'!S74),ABS('06_ITEM_POLE_MODEL'!S74)*ABS(SUMPRODUCT(--('93_TARGET_MEMBERSHIP'!BS$5:BS$27=1),'05_FEATURE_MODEL'!K$5:K$27)/MAX(1,COUNTIF('93_TARGET_MEMBERSHIP'!BS$5:BS$27,1))-SUMPRODUCT(--('93_TARGET_MEMBERSHIP'!BS$5:BS$27=-1),'05_FEATURE_MODEL'!K$5:K$27)/MAX(1,COUNTIF('93_TARGET_MEMBERSHIP'!BS$5:BS$27,-1))))</f>
        <v/>
      </c>
      <c r="K74" s="34">
        <f>IF($B74="ABSOLUTE SEMANTIC",ABS('06_ITEM_POLE_MODEL'!T74),ABS('06_ITEM_POLE_MODEL'!T74)*ABS(SUMPRODUCT(--('93_TARGET_MEMBERSHIP'!BS$5:BS$27=1),'05_FEATURE_MODEL'!L$5:L$27)/MAX(1,COUNTIF('93_TARGET_MEMBERSHIP'!BS$5:BS$27,1))-SUMPRODUCT(--('93_TARGET_MEMBERSHIP'!BS$5:BS$27=-1),'05_FEATURE_MODEL'!L$5:L$27)/MAX(1,COUNTIF('93_TARGET_MEMBERSHIP'!BS$5:BS$27,-1))))</f>
        <v/>
      </c>
      <c r="L74" s="34">
        <f>IF($B74="ABSOLUTE SEMANTIC",ABS('06_ITEM_POLE_MODEL'!U74),ABS('06_ITEM_POLE_MODEL'!U74)*ABS(SUMPRODUCT(--('93_TARGET_MEMBERSHIP'!BS$5:BS$27=1),'05_FEATURE_MODEL'!M$5:M$27)/MAX(1,COUNTIF('93_TARGET_MEMBERSHIP'!BS$5:BS$27,1))-SUMPRODUCT(--('93_TARGET_MEMBERSHIP'!BS$5:BS$27=-1),'05_FEATURE_MODEL'!M$5:M$27)/MAX(1,COUNTIF('93_TARGET_MEMBERSHIP'!BS$5:BS$27,-1))))</f>
        <v/>
      </c>
      <c r="M74" s="34">
        <f>IF($B74="ABSOLUTE SEMANTIC",ABS('06_ITEM_POLE_MODEL'!V74),ABS('06_ITEM_POLE_MODEL'!V74)*ABS(SUMPRODUCT(--('93_TARGET_MEMBERSHIP'!BS$5:BS$27=1),'05_FEATURE_MODEL'!N$5:N$27)/MAX(1,COUNTIF('93_TARGET_MEMBERSHIP'!BS$5:BS$27,1))-SUMPRODUCT(--('93_TARGET_MEMBERSHIP'!BS$5:BS$27=-1),'05_FEATURE_MODEL'!N$5:N$27)/MAX(1,COUNTIF('93_TARGET_MEMBERSHIP'!BS$5:BS$27,-1))))</f>
        <v/>
      </c>
      <c r="N74" s="34">
        <f>IF($B74="ABSOLUTE SEMANTIC",ABS('06_ITEM_POLE_MODEL'!W74),ABS('06_ITEM_POLE_MODEL'!W74)*ABS(SUMPRODUCT(--('93_TARGET_MEMBERSHIP'!BS$5:BS$27=1),'05_FEATURE_MODEL'!O$5:O$27)/MAX(1,COUNTIF('93_TARGET_MEMBERSHIP'!BS$5:BS$27,1))-SUMPRODUCT(--('93_TARGET_MEMBERSHIP'!BS$5:BS$27=-1),'05_FEATURE_MODEL'!O$5:O$27)/MAX(1,COUNTIF('93_TARGET_MEMBERSHIP'!BS$5:BS$27,-1))))</f>
        <v/>
      </c>
      <c r="O74" s="34">
        <f>IF($B74="ABSOLUTE SEMANTIC",ABS('06_ITEM_POLE_MODEL'!X74),ABS('06_ITEM_POLE_MODEL'!X74)*ABS(SUMPRODUCT(--('93_TARGET_MEMBERSHIP'!BS$5:BS$27=1),'05_FEATURE_MODEL'!P$5:P$27)/MAX(1,COUNTIF('93_TARGET_MEMBERSHIP'!BS$5:BS$27,1))-SUMPRODUCT(--('93_TARGET_MEMBERSHIP'!BS$5:BS$27=-1),'05_FEATURE_MODEL'!P$5:P$27)/MAX(1,COUNTIF('93_TARGET_MEMBERSHIP'!BS$5:BS$27,-1))))</f>
        <v/>
      </c>
      <c r="P74" s="34">
        <f>IF($B74="ABSOLUTE SEMANTIC",ABS('06_ITEM_POLE_MODEL'!Y74),ABS('06_ITEM_POLE_MODEL'!Y74)*ABS(SUMPRODUCT(--('93_TARGET_MEMBERSHIP'!BS$5:BS$27=1),'05_FEATURE_MODEL'!Q$5:Q$27)/MAX(1,COUNTIF('93_TARGET_MEMBERSHIP'!BS$5:BS$27,1))-SUMPRODUCT(--('93_TARGET_MEMBERSHIP'!BS$5:BS$27=-1),'05_FEATURE_MODEL'!Q$5:Q$27)/MAX(1,COUNTIF('93_TARGET_MEMBERSHIP'!BS$5:BS$27,-1))))</f>
        <v/>
      </c>
      <c r="Q74" s="34">
        <f>IF($B74="ABSOLUTE SEMANTIC",ABS('06_ITEM_POLE_MODEL'!Z74),ABS('06_ITEM_POLE_MODEL'!Z74)*ABS(SUMPRODUCT(--('93_TARGET_MEMBERSHIP'!BS$5:BS$27=1),'05_FEATURE_MODEL'!R$5:R$27)/MAX(1,COUNTIF('93_TARGET_MEMBERSHIP'!BS$5:BS$27,1))-SUMPRODUCT(--('93_TARGET_MEMBERSHIP'!BS$5:BS$27=-1),'05_FEATURE_MODEL'!R$5:R$27)/MAX(1,COUNTIF('93_TARGET_MEMBERSHIP'!BS$5:BS$27,-1))))</f>
        <v/>
      </c>
      <c r="R74" s="34">
        <f>IF($B74="ABSOLUTE SEMANTIC",ABS('06_ITEM_POLE_MODEL'!AA74),ABS('06_ITEM_POLE_MODEL'!AA74)*ABS(SUMPRODUCT(--('93_TARGET_MEMBERSHIP'!BS$5:BS$27=1),'05_FEATURE_MODEL'!S$5:S$27)/MAX(1,COUNTIF('93_TARGET_MEMBERSHIP'!BS$5:BS$27,1))-SUMPRODUCT(--('93_TARGET_MEMBERSHIP'!BS$5:BS$27=-1),'05_FEATURE_MODEL'!S$5:S$27)/MAX(1,COUNTIF('93_TARGET_MEMBERSHIP'!BS$5:BS$27,-1))))</f>
        <v/>
      </c>
      <c r="S74" s="34">
        <f>IF($B74="ABSOLUTE SEMANTIC",ABS('06_ITEM_POLE_MODEL'!AB74),ABS('06_ITEM_POLE_MODEL'!AB74)*ABS(SUMPRODUCT(--('93_TARGET_MEMBERSHIP'!BS$5:BS$27=1),'05_FEATURE_MODEL'!T$5:T$27)/MAX(1,COUNTIF('93_TARGET_MEMBERSHIP'!BS$5:BS$27,1))-SUMPRODUCT(--('93_TARGET_MEMBERSHIP'!BS$5:BS$27=-1),'05_FEATURE_MODEL'!T$5:T$27)/MAX(1,COUNTIF('93_TARGET_MEMBERSHIP'!BS$5:BS$27,-1))))</f>
        <v/>
      </c>
      <c r="T74" s="34">
        <f>IF($B74="ABSOLUTE SEMANTIC",ABS('06_ITEM_POLE_MODEL'!AC74),ABS('06_ITEM_POLE_MODEL'!AC74)*ABS(SUMPRODUCT(--('93_TARGET_MEMBERSHIP'!BS$5:BS$27=1),'05_FEATURE_MODEL'!U$5:U$27)/MAX(1,COUNTIF('93_TARGET_MEMBERSHIP'!BS$5:BS$27,1))-SUMPRODUCT(--('93_TARGET_MEMBERSHIP'!BS$5:BS$27=-1),'05_FEATURE_MODEL'!U$5:U$27)/MAX(1,COUNTIF('93_TARGET_MEMBERSHIP'!BS$5:BS$27,-1))))</f>
        <v/>
      </c>
      <c r="U74" s="34">
        <f>IF($B74="ABSOLUTE SEMANTIC",ABS('06_ITEM_POLE_MODEL'!AD74),ABS('06_ITEM_POLE_MODEL'!AD74)*ABS(SUMPRODUCT(--('93_TARGET_MEMBERSHIP'!BS$5:BS$27=1),'05_FEATURE_MODEL'!V$5:V$27)/MAX(1,COUNTIF('93_TARGET_MEMBERSHIP'!BS$5:BS$27,1))-SUMPRODUCT(--('93_TARGET_MEMBERSHIP'!BS$5:BS$27=-1),'05_FEATURE_MODEL'!V$5:V$27)/MAX(1,COUNTIF('93_TARGET_MEMBERSHIP'!BS$5:BS$27,-1))))</f>
        <v/>
      </c>
      <c r="V74" s="34">
        <f>IF($B74="ABSOLUTE SEMANTIC",ABS('06_ITEM_POLE_MODEL'!AE74),ABS('06_ITEM_POLE_MODEL'!AE74)*ABS(SUMPRODUCT(--('93_TARGET_MEMBERSHIP'!BS$5:BS$27=1),'05_FEATURE_MODEL'!W$5:W$27)/MAX(1,COUNTIF('93_TARGET_MEMBERSHIP'!BS$5:BS$27,1))-SUMPRODUCT(--('93_TARGET_MEMBERSHIP'!BS$5:BS$27=-1),'05_FEATURE_MODEL'!W$5:W$27)/MAX(1,COUNTIF('93_TARGET_MEMBERSHIP'!BS$5:BS$27,-1))))</f>
        <v/>
      </c>
      <c r="W74" s="34">
        <f>IF($B74="ABSOLUTE SEMANTIC",ABS('06_ITEM_POLE_MODEL'!AF74),ABS('06_ITEM_POLE_MODEL'!AF74)*ABS(SUMPRODUCT(--('93_TARGET_MEMBERSHIP'!BS$5:BS$27=1),'05_FEATURE_MODEL'!X$5:X$27)/MAX(1,COUNTIF('93_TARGET_MEMBERSHIP'!BS$5:BS$27,1))-SUMPRODUCT(--('93_TARGET_MEMBERSHIP'!BS$5:BS$27=-1),'05_FEATURE_MODEL'!X$5:X$27)/MAX(1,COUNTIF('93_TARGET_MEMBERSHIP'!BS$5:BS$27,-1))))</f>
        <v/>
      </c>
      <c r="X74" s="34">
        <f>IF($B74="ABSOLUTE SEMANTIC",ABS('06_ITEM_POLE_MODEL'!AG74),ABS('06_ITEM_POLE_MODEL'!AG74)*ABS(SUMPRODUCT(--('93_TARGET_MEMBERSHIP'!BS$5:BS$27=1),'05_FEATURE_MODEL'!Y$5:Y$27)/MAX(1,COUNTIF('93_TARGET_MEMBERSHIP'!BS$5:BS$27,1))-SUMPRODUCT(--('93_TARGET_MEMBERSHIP'!BS$5:BS$27=-1),'05_FEATURE_MODEL'!Y$5:Y$27)/MAX(1,COUNTIF('93_TARGET_MEMBERSHIP'!BS$5:BS$27,-1))))</f>
        <v/>
      </c>
      <c r="Y74" s="34">
        <f>IF($B74="ABSOLUTE SEMANTIC",ABS('06_ITEM_POLE_MODEL'!AH74),ABS('06_ITEM_POLE_MODEL'!AH74)*ABS(SUMPRODUCT(--('93_TARGET_MEMBERSHIP'!BS$5:BS$27=1),'05_FEATURE_MODEL'!Z$5:Z$27)/MAX(1,COUNTIF('93_TARGET_MEMBERSHIP'!BS$5:BS$27,1))-SUMPRODUCT(--('93_TARGET_MEMBERSHIP'!BS$5:BS$27=-1),'05_FEATURE_MODEL'!Z$5:Z$27)/MAX(1,COUNTIF('93_TARGET_MEMBERSHIP'!BS$5:BS$27,-1))))</f>
        <v/>
      </c>
      <c r="Z74" s="34">
        <f>IF($B74="ABSOLUTE SEMANTIC",ABS('06_ITEM_POLE_MODEL'!AI74),ABS('06_ITEM_POLE_MODEL'!AI74)*ABS(SUMPRODUCT(--('93_TARGET_MEMBERSHIP'!BS$5:BS$27=1),'05_FEATURE_MODEL'!AA$5:AA$27)/MAX(1,COUNTIF('93_TARGET_MEMBERSHIP'!BS$5:BS$27,1))-SUMPRODUCT(--('93_TARGET_MEMBERSHIP'!BS$5:BS$27=-1),'05_FEATURE_MODEL'!AA$5:AA$27)/MAX(1,COUNTIF('93_TARGET_MEMBERSHIP'!BS$5:BS$27,-1))))</f>
        <v/>
      </c>
      <c r="AA74" s="34">
        <f>IF($B74="ABSOLUTE SEMANTIC",ABS('06_ITEM_POLE_MODEL'!AJ74),ABS('06_ITEM_POLE_MODEL'!AJ74)*ABS(SUMPRODUCT(--('93_TARGET_MEMBERSHIP'!BS$5:BS$27=1),'05_FEATURE_MODEL'!AB$5:AB$27)/MAX(1,COUNTIF('93_TARGET_MEMBERSHIP'!BS$5:BS$27,1))-SUMPRODUCT(--('93_TARGET_MEMBERSHIP'!BS$5:BS$27=-1),'05_FEATURE_MODEL'!AB$5:AB$27)/MAX(1,COUNTIF('93_TARGET_MEMBERSHIP'!BS$5:BS$27,-1))))</f>
        <v/>
      </c>
      <c r="AB74" s="34">
        <f>IF($B74="ABSOLUTE SEMANTIC",ABS('06_ITEM_POLE_MODEL'!AK74),ABS('06_ITEM_POLE_MODEL'!AK74)*ABS(SUMPRODUCT(--('93_TARGET_MEMBERSHIP'!BS$5:BS$27=1),'05_FEATURE_MODEL'!AC$5:AC$27)/MAX(1,COUNTIF('93_TARGET_MEMBERSHIP'!BS$5:BS$27,1))-SUMPRODUCT(--('93_TARGET_MEMBERSHIP'!BS$5:BS$27=-1),'05_FEATURE_MODEL'!AC$5:AC$27)/MAX(1,COUNTIF('93_TARGET_MEMBERSHIP'!BS$5:BS$27,-1))))</f>
        <v/>
      </c>
      <c r="AC74" s="34">
        <f>IF($B74="ABSOLUTE SEMANTIC",ABS('06_ITEM_POLE_MODEL'!AL74),ABS('06_ITEM_POLE_MODEL'!AL74)*ABS(SUMPRODUCT(--('93_TARGET_MEMBERSHIP'!BS$5:BS$27=1),'05_FEATURE_MODEL'!AD$5:AD$27)/MAX(1,COUNTIF('93_TARGET_MEMBERSHIP'!BS$5:BS$27,1))-SUMPRODUCT(--('93_TARGET_MEMBERSHIP'!BS$5:BS$27=-1),'05_FEATURE_MODEL'!AD$5:AD$27)/MAX(1,COUNTIF('93_TARGET_MEMBERSHIP'!BS$5:BS$27,-1))))</f>
        <v/>
      </c>
      <c r="AD74" s="34">
        <f>IF($B74="ABSOLUTE SEMANTIC",ABS('06_ITEM_POLE_MODEL'!AM74),ABS('06_ITEM_POLE_MODEL'!AM74)*ABS(SUMPRODUCT(--('93_TARGET_MEMBERSHIP'!BS$5:BS$27=1),'05_FEATURE_MODEL'!AE$5:AE$27)/MAX(1,COUNTIF('93_TARGET_MEMBERSHIP'!BS$5:BS$27,1))-SUMPRODUCT(--('93_TARGET_MEMBERSHIP'!BS$5:BS$27=-1),'05_FEATURE_MODEL'!AE$5:AE$27)/MAX(1,COUNTIF('93_TARGET_MEMBERSHIP'!BS$5:BS$27,-1))))</f>
        <v/>
      </c>
      <c r="AE74" s="34">
        <f>IF($B74="ABSOLUTE SEMANTIC",ABS('06_ITEM_POLE_MODEL'!AN74),ABS('06_ITEM_POLE_MODEL'!AN74)*ABS(SUMPRODUCT(--('93_TARGET_MEMBERSHIP'!BS$5:BS$27=1),'05_FEATURE_MODEL'!AF$5:AF$27)/MAX(1,COUNTIF('93_TARGET_MEMBERSHIP'!BS$5:BS$27,1))-SUMPRODUCT(--('93_TARGET_MEMBERSHIP'!BS$5:BS$27=-1),'05_FEATURE_MODEL'!AF$5:AF$27)/MAX(1,COUNTIF('93_TARGET_MEMBERSHIP'!BS$5:BS$27,-1))))</f>
        <v/>
      </c>
      <c r="AF74" s="34">
        <f>IF($B74="ABSOLUTE SEMANTIC",ABS('06_ITEM_POLE_MODEL'!AO74),ABS('06_ITEM_POLE_MODEL'!AO74)*ABS(SUMPRODUCT(--('93_TARGET_MEMBERSHIP'!BS$5:BS$27=1),'05_FEATURE_MODEL'!AG$5:AG$27)/MAX(1,COUNTIF('93_TARGET_MEMBERSHIP'!BS$5:BS$27,1))-SUMPRODUCT(--('93_TARGET_MEMBERSHIP'!BS$5:BS$27=-1),'05_FEATURE_MODEL'!AG$5:AG$27)/MAX(1,COUNTIF('93_TARGET_MEMBERSHIP'!BS$5:BS$27,-1))))</f>
        <v/>
      </c>
      <c r="AG74" s="34">
        <f>IF($B74="ABSOLUTE SEMANTIC",ABS('06_ITEM_POLE_MODEL'!AP74),ABS('06_ITEM_POLE_MODEL'!AP74)*ABS(SUMPRODUCT(--('93_TARGET_MEMBERSHIP'!BS$5:BS$27=1),'05_FEATURE_MODEL'!AH$5:AH$27)/MAX(1,COUNTIF('93_TARGET_MEMBERSHIP'!BS$5:BS$27,1))-SUMPRODUCT(--('93_TARGET_MEMBERSHIP'!BS$5:BS$27=-1),'05_FEATURE_MODEL'!AH$5:AH$27)/MAX(1,COUNTIF('93_TARGET_MEMBERSHIP'!BS$5:BS$27,-1))))</f>
        <v/>
      </c>
      <c r="AH74" s="34">
        <f>IF($B74="ABSOLUTE SEMANTIC",ABS('06_ITEM_POLE_MODEL'!AQ74),ABS('06_ITEM_POLE_MODEL'!AQ74)*ABS(SUMPRODUCT(--('93_TARGET_MEMBERSHIP'!BS$5:BS$27=1),'05_FEATURE_MODEL'!AI$5:AI$27)/MAX(1,COUNTIF('93_TARGET_MEMBERSHIP'!BS$5:BS$27,1))-SUMPRODUCT(--('93_TARGET_MEMBERSHIP'!BS$5:BS$27=-1),'05_FEATURE_MODEL'!AI$5:AI$27)/MAX(1,COUNTIF('93_TARGET_MEMBERSHIP'!BS$5:BS$27,-1))))</f>
        <v/>
      </c>
      <c r="AI74" s="34">
        <f>IF($B74="ABSOLUTE SEMANTIC",ABS('06_ITEM_POLE_MODEL'!AR74),ABS('06_ITEM_POLE_MODEL'!AR74)*ABS(SUMPRODUCT(--('93_TARGET_MEMBERSHIP'!BS$5:BS$27=1),'05_FEATURE_MODEL'!AJ$5:AJ$27)/MAX(1,COUNTIF('93_TARGET_MEMBERSHIP'!BS$5:BS$27,1))-SUMPRODUCT(--('93_TARGET_MEMBERSHIP'!BS$5:BS$27=-1),'05_FEATURE_MODEL'!AJ$5:AJ$27)/MAX(1,COUNTIF('93_TARGET_MEMBERSHIP'!BS$5:BS$27,-1))))</f>
        <v/>
      </c>
      <c r="AJ74" s="34">
        <f>IF($B74="ABSOLUTE SEMANTIC",ABS('06_ITEM_POLE_MODEL'!AS74),ABS('06_ITEM_POLE_MODEL'!AS74)*ABS(SUMPRODUCT(--('93_TARGET_MEMBERSHIP'!BS$5:BS$27=1),'05_FEATURE_MODEL'!AK$5:AK$27)/MAX(1,COUNTIF('93_TARGET_MEMBERSHIP'!BS$5:BS$27,1))-SUMPRODUCT(--('93_TARGET_MEMBERSHIP'!BS$5:BS$27=-1),'05_FEATURE_MODEL'!AK$5:AK$27)/MAX(1,COUNTIF('93_TARGET_MEMBERSHIP'!BS$5:BS$27,-1))))</f>
        <v/>
      </c>
      <c r="AK74" s="34">
        <f>IF($B74="ABSOLUTE SEMANTIC",ABS('06_ITEM_POLE_MODEL'!AT74),ABS('06_ITEM_POLE_MODEL'!AT74)*ABS(SUMPRODUCT(--('93_TARGET_MEMBERSHIP'!BS$5:BS$27=1),'05_FEATURE_MODEL'!AL$5:AL$27)/MAX(1,COUNTIF('93_TARGET_MEMBERSHIP'!BS$5:BS$27,1))-SUMPRODUCT(--('93_TARGET_MEMBERSHIP'!BS$5:BS$27=-1),'05_FEATURE_MODEL'!AL$5:AL$27)/MAX(1,COUNTIF('93_TARGET_MEMBERSHIP'!BS$5:BS$27,-1))))</f>
        <v/>
      </c>
      <c r="AL74" s="34">
        <f>IF($B74="ABSOLUTE SEMANTIC",ABS('06_ITEM_POLE_MODEL'!AU74),ABS('06_ITEM_POLE_MODEL'!AU74)*ABS(SUMPRODUCT(--('93_TARGET_MEMBERSHIP'!BS$5:BS$27=1),'05_FEATURE_MODEL'!AM$5:AM$27)/MAX(1,COUNTIF('93_TARGET_MEMBERSHIP'!BS$5:BS$27,1))-SUMPRODUCT(--('93_TARGET_MEMBERSHIP'!BS$5:BS$27=-1),'05_FEATURE_MODEL'!AM$5:AM$27)/MAX(1,COUNTIF('93_TARGET_MEMBERSHIP'!BS$5:BS$27,-1))))</f>
        <v/>
      </c>
      <c r="AM74" s="34">
        <f>IF($B74="ABSOLUTE SEMANTIC",ABS('06_ITEM_POLE_MODEL'!AV74),ABS('06_ITEM_POLE_MODEL'!AV74)*ABS(SUMPRODUCT(--('93_TARGET_MEMBERSHIP'!BS$5:BS$27=1),'05_FEATURE_MODEL'!AN$5:AN$27)/MAX(1,COUNTIF('93_TARGET_MEMBERSHIP'!BS$5:BS$27,1))-SUMPRODUCT(--('93_TARGET_MEMBERSHIP'!BS$5:BS$27=-1),'05_FEATURE_MODEL'!AN$5:AN$27)/MAX(1,COUNTIF('93_TARGET_MEMBERSHIP'!BS$5:BS$27,-1))))</f>
        <v/>
      </c>
      <c r="AN74" s="34">
        <f>IF($B74="ABSOLUTE SEMANTIC",ABS('06_ITEM_POLE_MODEL'!AW74),ABS('06_ITEM_POLE_MODEL'!AW74)*ABS(SUMPRODUCT(--('93_TARGET_MEMBERSHIP'!BS$5:BS$27=1),'05_FEATURE_MODEL'!AO$5:AO$27)/MAX(1,COUNTIF('93_TARGET_MEMBERSHIP'!BS$5:BS$27,1))-SUMPRODUCT(--('93_TARGET_MEMBERSHIP'!BS$5:BS$27=-1),'05_FEATURE_MODEL'!AO$5:AO$27)/MAX(1,COUNTIF('93_TARGET_MEMBERSHIP'!BS$5:BS$27,-1))))</f>
        <v/>
      </c>
      <c r="AO74" s="34">
        <f>IF($B74="ABSOLUTE SEMANTIC",ABS('06_ITEM_POLE_MODEL'!AX74),ABS('06_ITEM_POLE_MODEL'!AX74)*ABS(SUMPRODUCT(--('93_TARGET_MEMBERSHIP'!BS$5:BS$27=1),'05_FEATURE_MODEL'!AP$5:AP$27)/MAX(1,COUNTIF('93_TARGET_MEMBERSHIP'!BS$5:BS$27,1))-SUMPRODUCT(--('93_TARGET_MEMBERSHIP'!BS$5:BS$27=-1),'05_FEATURE_MODEL'!AP$5:AP$27)/MAX(1,COUNTIF('93_TARGET_MEMBERSHIP'!BS$5:BS$27,-1))))</f>
        <v/>
      </c>
      <c r="AP74" s="34">
        <f>IF($B74="ABSOLUTE SEMANTIC",ABS('06_ITEM_POLE_MODEL'!AY74),ABS('06_ITEM_POLE_MODEL'!AY74)*ABS(SUMPRODUCT(--('93_TARGET_MEMBERSHIP'!BS$5:BS$27=1),'05_FEATURE_MODEL'!AQ$5:AQ$27)/MAX(1,COUNTIF('93_TARGET_MEMBERSHIP'!BS$5:BS$27,1))-SUMPRODUCT(--('93_TARGET_MEMBERSHIP'!BS$5:BS$27=-1),'05_FEATURE_MODEL'!AQ$5:AQ$27)/MAX(1,COUNTIF('93_TARGET_MEMBERSHIP'!BS$5:BS$27,-1))))</f>
        <v/>
      </c>
      <c r="AQ74" s="34">
        <f>IF($B74="ABSOLUTE SEMANTIC",ABS('06_ITEM_POLE_MODEL'!AZ74),ABS('06_ITEM_POLE_MODEL'!AZ74)*ABS(SUMPRODUCT(--('93_TARGET_MEMBERSHIP'!BS$5:BS$27=1),'05_FEATURE_MODEL'!AR$5:AR$27)/MAX(1,COUNTIF('93_TARGET_MEMBERSHIP'!BS$5:BS$27,1))-SUMPRODUCT(--('93_TARGET_MEMBERSHIP'!BS$5:BS$27=-1),'05_FEATURE_MODEL'!AR$5:AR$27)/MAX(1,COUNTIF('93_TARGET_MEMBERSHIP'!BS$5:BS$27,-1))))</f>
        <v/>
      </c>
    </row>
    <row r="75" ht="36" customHeight="1">
      <c r="A75" s="34">
        <f>'06_ITEM_POLE_MODEL'!A75</f>
        <v/>
      </c>
      <c r="B75" s="34">
        <f>'06_ITEM_POLE_MODEL'!E75</f>
        <v/>
      </c>
      <c r="C75" s="34">
        <f>IF($B75="ABSOLUTE SEMANTIC",ABS('06_ITEM_POLE_MODEL'!L75),ABS('06_ITEM_POLE_MODEL'!L75)*ABS(SUMPRODUCT(--('93_TARGET_MEMBERSHIP'!BT$5:BT$27=1),'05_FEATURE_MODEL'!D$5:D$27)/MAX(1,COUNTIF('93_TARGET_MEMBERSHIP'!BT$5:BT$27,1))-SUMPRODUCT(--('93_TARGET_MEMBERSHIP'!BT$5:BT$27=-1),'05_FEATURE_MODEL'!D$5:D$27)/MAX(1,COUNTIF('93_TARGET_MEMBERSHIP'!BT$5:BT$27,-1))))</f>
        <v/>
      </c>
      <c r="D75" s="34">
        <f>IF($B75="ABSOLUTE SEMANTIC",ABS('06_ITEM_POLE_MODEL'!M75),ABS('06_ITEM_POLE_MODEL'!M75)*ABS(SUMPRODUCT(--('93_TARGET_MEMBERSHIP'!BT$5:BT$27=1),'05_FEATURE_MODEL'!E$5:E$27)/MAX(1,COUNTIF('93_TARGET_MEMBERSHIP'!BT$5:BT$27,1))-SUMPRODUCT(--('93_TARGET_MEMBERSHIP'!BT$5:BT$27=-1),'05_FEATURE_MODEL'!E$5:E$27)/MAX(1,COUNTIF('93_TARGET_MEMBERSHIP'!BT$5:BT$27,-1))))</f>
        <v/>
      </c>
      <c r="E75" s="34">
        <f>IF($B75="ABSOLUTE SEMANTIC",ABS('06_ITEM_POLE_MODEL'!N75),ABS('06_ITEM_POLE_MODEL'!N75)*ABS(SUMPRODUCT(--('93_TARGET_MEMBERSHIP'!BT$5:BT$27=1),'05_FEATURE_MODEL'!F$5:F$27)/MAX(1,COUNTIF('93_TARGET_MEMBERSHIP'!BT$5:BT$27,1))-SUMPRODUCT(--('93_TARGET_MEMBERSHIP'!BT$5:BT$27=-1),'05_FEATURE_MODEL'!F$5:F$27)/MAX(1,COUNTIF('93_TARGET_MEMBERSHIP'!BT$5:BT$27,-1))))</f>
        <v/>
      </c>
      <c r="F75" s="34">
        <f>IF($B75="ABSOLUTE SEMANTIC",ABS('06_ITEM_POLE_MODEL'!O75),ABS('06_ITEM_POLE_MODEL'!O75)*ABS(SUMPRODUCT(--('93_TARGET_MEMBERSHIP'!BT$5:BT$27=1),'05_FEATURE_MODEL'!G$5:G$27)/MAX(1,COUNTIF('93_TARGET_MEMBERSHIP'!BT$5:BT$27,1))-SUMPRODUCT(--('93_TARGET_MEMBERSHIP'!BT$5:BT$27=-1),'05_FEATURE_MODEL'!G$5:G$27)/MAX(1,COUNTIF('93_TARGET_MEMBERSHIP'!BT$5:BT$27,-1))))</f>
        <v/>
      </c>
      <c r="G75" s="34">
        <f>IF($B75="ABSOLUTE SEMANTIC",ABS('06_ITEM_POLE_MODEL'!P75),ABS('06_ITEM_POLE_MODEL'!P75)*ABS(SUMPRODUCT(--('93_TARGET_MEMBERSHIP'!BT$5:BT$27=1),'05_FEATURE_MODEL'!H$5:H$27)/MAX(1,COUNTIF('93_TARGET_MEMBERSHIP'!BT$5:BT$27,1))-SUMPRODUCT(--('93_TARGET_MEMBERSHIP'!BT$5:BT$27=-1),'05_FEATURE_MODEL'!H$5:H$27)/MAX(1,COUNTIF('93_TARGET_MEMBERSHIP'!BT$5:BT$27,-1))))</f>
        <v/>
      </c>
      <c r="H75" s="34">
        <f>IF($B75="ABSOLUTE SEMANTIC",ABS('06_ITEM_POLE_MODEL'!Q75),ABS('06_ITEM_POLE_MODEL'!Q75)*ABS(SUMPRODUCT(--('93_TARGET_MEMBERSHIP'!BT$5:BT$27=1),'05_FEATURE_MODEL'!I$5:I$27)/MAX(1,COUNTIF('93_TARGET_MEMBERSHIP'!BT$5:BT$27,1))-SUMPRODUCT(--('93_TARGET_MEMBERSHIP'!BT$5:BT$27=-1),'05_FEATURE_MODEL'!I$5:I$27)/MAX(1,COUNTIF('93_TARGET_MEMBERSHIP'!BT$5:BT$27,-1))))</f>
        <v/>
      </c>
      <c r="I75" s="34">
        <f>IF($B75="ABSOLUTE SEMANTIC",ABS('06_ITEM_POLE_MODEL'!R75),ABS('06_ITEM_POLE_MODEL'!R75)*ABS(SUMPRODUCT(--('93_TARGET_MEMBERSHIP'!BT$5:BT$27=1),'05_FEATURE_MODEL'!J$5:J$27)/MAX(1,COUNTIF('93_TARGET_MEMBERSHIP'!BT$5:BT$27,1))-SUMPRODUCT(--('93_TARGET_MEMBERSHIP'!BT$5:BT$27=-1),'05_FEATURE_MODEL'!J$5:J$27)/MAX(1,COUNTIF('93_TARGET_MEMBERSHIP'!BT$5:BT$27,-1))))</f>
        <v/>
      </c>
      <c r="J75" s="34">
        <f>IF($B75="ABSOLUTE SEMANTIC",ABS('06_ITEM_POLE_MODEL'!S75),ABS('06_ITEM_POLE_MODEL'!S75)*ABS(SUMPRODUCT(--('93_TARGET_MEMBERSHIP'!BT$5:BT$27=1),'05_FEATURE_MODEL'!K$5:K$27)/MAX(1,COUNTIF('93_TARGET_MEMBERSHIP'!BT$5:BT$27,1))-SUMPRODUCT(--('93_TARGET_MEMBERSHIP'!BT$5:BT$27=-1),'05_FEATURE_MODEL'!K$5:K$27)/MAX(1,COUNTIF('93_TARGET_MEMBERSHIP'!BT$5:BT$27,-1))))</f>
        <v/>
      </c>
      <c r="K75" s="34">
        <f>IF($B75="ABSOLUTE SEMANTIC",ABS('06_ITEM_POLE_MODEL'!T75),ABS('06_ITEM_POLE_MODEL'!T75)*ABS(SUMPRODUCT(--('93_TARGET_MEMBERSHIP'!BT$5:BT$27=1),'05_FEATURE_MODEL'!L$5:L$27)/MAX(1,COUNTIF('93_TARGET_MEMBERSHIP'!BT$5:BT$27,1))-SUMPRODUCT(--('93_TARGET_MEMBERSHIP'!BT$5:BT$27=-1),'05_FEATURE_MODEL'!L$5:L$27)/MAX(1,COUNTIF('93_TARGET_MEMBERSHIP'!BT$5:BT$27,-1))))</f>
        <v/>
      </c>
      <c r="L75" s="34">
        <f>IF($B75="ABSOLUTE SEMANTIC",ABS('06_ITEM_POLE_MODEL'!U75),ABS('06_ITEM_POLE_MODEL'!U75)*ABS(SUMPRODUCT(--('93_TARGET_MEMBERSHIP'!BT$5:BT$27=1),'05_FEATURE_MODEL'!M$5:M$27)/MAX(1,COUNTIF('93_TARGET_MEMBERSHIP'!BT$5:BT$27,1))-SUMPRODUCT(--('93_TARGET_MEMBERSHIP'!BT$5:BT$27=-1),'05_FEATURE_MODEL'!M$5:M$27)/MAX(1,COUNTIF('93_TARGET_MEMBERSHIP'!BT$5:BT$27,-1))))</f>
        <v/>
      </c>
      <c r="M75" s="34">
        <f>IF($B75="ABSOLUTE SEMANTIC",ABS('06_ITEM_POLE_MODEL'!V75),ABS('06_ITEM_POLE_MODEL'!V75)*ABS(SUMPRODUCT(--('93_TARGET_MEMBERSHIP'!BT$5:BT$27=1),'05_FEATURE_MODEL'!N$5:N$27)/MAX(1,COUNTIF('93_TARGET_MEMBERSHIP'!BT$5:BT$27,1))-SUMPRODUCT(--('93_TARGET_MEMBERSHIP'!BT$5:BT$27=-1),'05_FEATURE_MODEL'!N$5:N$27)/MAX(1,COUNTIF('93_TARGET_MEMBERSHIP'!BT$5:BT$27,-1))))</f>
        <v/>
      </c>
      <c r="N75" s="34">
        <f>IF($B75="ABSOLUTE SEMANTIC",ABS('06_ITEM_POLE_MODEL'!W75),ABS('06_ITEM_POLE_MODEL'!W75)*ABS(SUMPRODUCT(--('93_TARGET_MEMBERSHIP'!BT$5:BT$27=1),'05_FEATURE_MODEL'!O$5:O$27)/MAX(1,COUNTIF('93_TARGET_MEMBERSHIP'!BT$5:BT$27,1))-SUMPRODUCT(--('93_TARGET_MEMBERSHIP'!BT$5:BT$27=-1),'05_FEATURE_MODEL'!O$5:O$27)/MAX(1,COUNTIF('93_TARGET_MEMBERSHIP'!BT$5:BT$27,-1))))</f>
        <v/>
      </c>
      <c r="O75" s="34">
        <f>IF($B75="ABSOLUTE SEMANTIC",ABS('06_ITEM_POLE_MODEL'!X75),ABS('06_ITEM_POLE_MODEL'!X75)*ABS(SUMPRODUCT(--('93_TARGET_MEMBERSHIP'!BT$5:BT$27=1),'05_FEATURE_MODEL'!P$5:P$27)/MAX(1,COUNTIF('93_TARGET_MEMBERSHIP'!BT$5:BT$27,1))-SUMPRODUCT(--('93_TARGET_MEMBERSHIP'!BT$5:BT$27=-1),'05_FEATURE_MODEL'!P$5:P$27)/MAX(1,COUNTIF('93_TARGET_MEMBERSHIP'!BT$5:BT$27,-1))))</f>
        <v/>
      </c>
      <c r="P75" s="34">
        <f>IF($B75="ABSOLUTE SEMANTIC",ABS('06_ITEM_POLE_MODEL'!Y75),ABS('06_ITEM_POLE_MODEL'!Y75)*ABS(SUMPRODUCT(--('93_TARGET_MEMBERSHIP'!BT$5:BT$27=1),'05_FEATURE_MODEL'!Q$5:Q$27)/MAX(1,COUNTIF('93_TARGET_MEMBERSHIP'!BT$5:BT$27,1))-SUMPRODUCT(--('93_TARGET_MEMBERSHIP'!BT$5:BT$27=-1),'05_FEATURE_MODEL'!Q$5:Q$27)/MAX(1,COUNTIF('93_TARGET_MEMBERSHIP'!BT$5:BT$27,-1))))</f>
        <v/>
      </c>
      <c r="Q75" s="34">
        <f>IF($B75="ABSOLUTE SEMANTIC",ABS('06_ITEM_POLE_MODEL'!Z75),ABS('06_ITEM_POLE_MODEL'!Z75)*ABS(SUMPRODUCT(--('93_TARGET_MEMBERSHIP'!BT$5:BT$27=1),'05_FEATURE_MODEL'!R$5:R$27)/MAX(1,COUNTIF('93_TARGET_MEMBERSHIP'!BT$5:BT$27,1))-SUMPRODUCT(--('93_TARGET_MEMBERSHIP'!BT$5:BT$27=-1),'05_FEATURE_MODEL'!R$5:R$27)/MAX(1,COUNTIF('93_TARGET_MEMBERSHIP'!BT$5:BT$27,-1))))</f>
        <v/>
      </c>
      <c r="R75" s="34">
        <f>IF($B75="ABSOLUTE SEMANTIC",ABS('06_ITEM_POLE_MODEL'!AA75),ABS('06_ITEM_POLE_MODEL'!AA75)*ABS(SUMPRODUCT(--('93_TARGET_MEMBERSHIP'!BT$5:BT$27=1),'05_FEATURE_MODEL'!S$5:S$27)/MAX(1,COUNTIF('93_TARGET_MEMBERSHIP'!BT$5:BT$27,1))-SUMPRODUCT(--('93_TARGET_MEMBERSHIP'!BT$5:BT$27=-1),'05_FEATURE_MODEL'!S$5:S$27)/MAX(1,COUNTIF('93_TARGET_MEMBERSHIP'!BT$5:BT$27,-1))))</f>
        <v/>
      </c>
      <c r="S75" s="34">
        <f>IF($B75="ABSOLUTE SEMANTIC",ABS('06_ITEM_POLE_MODEL'!AB75),ABS('06_ITEM_POLE_MODEL'!AB75)*ABS(SUMPRODUCT(--('93_TARGET_MEMBERSHIP'!BT$5:BT$27=1),'05_FEATURE_MODEL'!T$5:T$27)/MAX(1,COUNTIF('93_TARGET_MEMBERSHIP'!BT$5:BT$27,1))-SUMPRODUCT(--('93_TARGET_MEMBERSHIP'!BT$5:BT$27=-1),'05_FEATURE_MODEL'!T$5:T$27)/MAX(1,COUNTIF('93_TARGET_MEMBERSHIP'!BT$5:BT$27,-1))))</f>
        <v/>
      </c>
      <c r="T75" s="34">
        <f>IF($B75="ABSOLUTE SEMANTIC",ABS('06_ITEM_POLE_MODEL'!AC75),ABS('06_ITEM_POLE_MODEL'!AC75)*ABS(SUMPRODUCT(--('93_TARGET_MEMBERSHIP'!BT$5:BT$27=1),'05_FEATURE_MODEL'!U$5:U$27)/MAX(1,COUNTIF('93_TARGET_MEMBERSHIP'!BT$5:BT$27,1))-SUMPRODUCT(--('93_TARGET_MEMBERSHIP'!BT$5:BT$27=-1),'05_FEATURE_MODEL'!U$5:U$27)/MAX(1,COUNTIF('93_TARGET_MEMBERSHIP'!BT$5:BT$27,-1))))</f>
        <v/>
      </c>
      <c r="U75" s="34">
        <f>IF($B75="ABSOLUTE SEMANTIC",ABS('06_ITEM_POLE_MODEL'!AD75),ABS('06_ITEM_POLE_MODEL'!AD75)*ABS(SUMPRODUCT(--('93_TARGET_MEMBERSHIP'!BT$5:BT$27=1),'05_FEATURE_MODEL'!V$5:V$27)/MAX(1,COUNTIF('93_TARGET_MEMBERSHIP'!BT$5:BT$27,1))-SUMPRODUCT(--('93_TARGET_MEMBERSHIP'!BT$5:BT$27=-1),'05_FEATURE_MODEL'!V$5:V$27)/MAX(1,COUNTIF('93_TARGET_MEMBERSHIP'!BT$5:BT$27,-1))))</f>
        <v/>
      </c>
      <c r="V75" s="34">
        <f>IF($B75="ABSOLUTE SEMANTIC",ABS('06_ITEM_POLE_MODEL'!AE75),ABS('06_ITEM_POLE_MODEL'!AE75)*ABS(SUMPRODUCT(--('93_TARGET_MEMBERSHIP'!BT$5:BT$27=1),'05_FEATURE_MODEL'!W$5:W$27)/MAX(1,COUNTIF('93_TARGET_MEMBERSHIP'!BT$5:BT$27,1))-SUMPRODUCT(--('93_TARGET_MEMBERSHIP'!BT$5:BT$27=-1),'05_FEATURE_MODEL'!W$5:W$27)/MAX(1,COUNTIF('93_TARGET_MEMBERSHIP'!BT$5:BT$27,-1))))</f>
        <v/>
      </c>
      <c r="W75" s="34">
        <f>IF($B75="ABSOLUTE SEMANTIC",ABS('06_ITEM_POLE_MODEL'!AF75),ABS('06_ITEM_POLE_MODEL'!AF75)*ABS(SUMPRODUCT(--('93_TARGET_MEMBERSHIP'!BT$5:BT$27=1),'05_FEATURE_MODEL'!X$5:X$27)/MAX(1,COUNTIF('93_TARGET_MEMBERSHIP'!BT$5:BT$27,1))-SUMPRODUCT(--('93_TARGET_MEMBERSHIP'!BT$5:BT$27=-1),'05_FEATURE_MODEL'!X$5:X$27)/MAX(1,COUNTIF('93_TARGET_MEMBERSHIP'!BT$5:BT$27,-1))))</f>
        <v/>
      </c>
      <c r="X75" s="34">
        <f>IF($B75="ABSOLUTE SEMANTIC",ABS('06_ITEM_POLE_MODEL'!AG75),ABS('06_ITEM_POLE_MODEL'!AG75)*ABS(SUMPRODUCT(--('93_TARGET_MEMBERSHIP'!BT$5:BT$27=1),'05_FEATURE_MODEL'!Y$5:Y$27)/MAX(1,COUNTIF('93_TARGET_MEMBERSHIP'!BT$5:BT$27,1))-SUMPRODUCT(--('93_TARGET_MEMBERSHIP'!BT$5:BT$27=-1),'05_FEATURE_MODEL'!Y$5:Y$27)/MAX(1,COUNTIF('93_TARGET_MEMBERSHIP'!BT$5:BT$27,-1))))</f>
        <v/>
      </c>
      <c r="Y75" s="34">
        <f>IF($B75="ABSOLUTE SEMANTIC",ABS('06_ITEM_POLE_MODEL'!AH75),ABS('06_ITEM_POLE_MODEL'!AH75)*ABS(SUMPRODUCT(--('93_TARGET_MEMBERSHIP'!BT$5:BT$27=1),'05_FEATURE_MODEL'!Z$5:Z$27)/MAX(1,COUNTIF('93_TARGET_MEMBERSHIP'!BT$5:BT$27,1))-SUMPRODUCT(--('93_TARGET_MEMBERSHIP'!BT$5:BT$27=-1),'05_FEATURE_MODEL'!Z$5:Z$27)/MAX(1,COUNTIF('93_TARGET_MEMBERSHIP'!BT$5:BT$27,-1))))</f>
        <v/>
      </c>
      <c r="Z75" s="34">
        <f>IF($B75="ABSOLUTE SEMANTIC",ABS('06_ITEM_POLE_MODEL'!AI75),ABS('06_ITEM_POLE_MODEL'!AI75)*ABS(SUMPRODUCT(--('93_TARGET_MEMBERSHIP'!BT$5:BT$27=1),'05_FEATURE_MODEL'!AA$5:AA$27)/MAX(1,COUNTIF('93_TARGET_MEMBERSHIP'!BT$5:BT$27,1))-SUMPRODUCT(--('93_TARGET_MEMBERSHIP'!BT$5:BT$27=-1),'05_FEATURE_MODEL'!AA$5:AA$27)/MAX(1,COUNTIF('93_TARGET_MEMBERSHIP'!BT$5:BT$27,-1))))</f>
        <v/>
      </c>
      <c r="AA75" s="34">
        <f>IF($B75="ABSOLUTE SEMANTIC",ABS('06_ITEM_POLE_MODEL'!AJ75),ABS('06_ITEM_POLE_MODEL'!AJ75)*ABS(SUMPRODUCT(--('93_TARGET_MEMBERSHIP'!BT$5:BT$27=1),'05_FEATURE_MODEL'!AB$5:AB$27)/MAX(1,COUNTIF('93_TARGET_MEMBERSHIP'!BT$5:BT$27,1))-SUMPRODUCT(--('93_TARGET_MEMBERSHIP'!BT$5:BT$27=-1),'05_FEATURE_MODEL'!AB$5:AB$27)/MAX(1,COUNTIF('93_TARGET_MEMBERSHIP'!BT$5:BT$27,-1))))</f>
        <v/>
      </c>
      <c r="AB75" s="34">
        <f>IF($B75="ABSOLUTE SEMANTIC",ABS('06_ITEM_POLE_MODEL'!AK75),ABS('06_ITEM_POLE_MODEL'!AK75)*ABS(SUMPRODUCT(--('93_TARGET_MEMBERSHIP'!BT$5:BT$27=1),'05_FEATURE_MODEL'!AC$5:AC$27)/MAX(1,COUNTIF('93_TARGET_MEMBERSHIP'!BT$5:BT$27,1))-SUMPRODUCT(--('93_TARGET_MEMBERSHIP'!BT$5:BT$27=-1),'05_FEATURE_MODEL'!AC$5:AC$27)/MAX(1,COUNTIF('93_TARGET_MEMBERSHIP'!BT$5:BT$27,-1))))</f>
        <v/>
      </c>
      <c r="AC75" s="34">
        <f>IF($B75="ABSOLUTE SEMANTIC",ABS('06_ITEM_POLE_MODEL'!AL75),ABS('06_ITEM_POLE_MODEL'!AL75)*ABS(SUMPRODUCT(--('93_TARGET_MEMBERSHIP'!BT$5:BT$27=1),'05_FEATURE_MODEL'!AD$5:AD$27)/MAX(1,COUNTIF('93_TARGET_MEMBERSHIP'!BT$5:BT$27,1))-SUMPRODUCT(--('93_TARGET_MEMBERSHIP'!BT$5:BT$27=-1),'05_FEATURE_MODEL'!AD$5:AD$27)/MAX(1,COUNTIF('93_TARGET_MEMBERSHIP'!BT$5:BT$27,-1))))</f>
        <v/>
      </c>
      <c r="AD75" s="34">
        <f>IF($B75="ABSOLUTE SEMANTIC",ABS('06_ITEM_POLE_MODEL'!AM75),ABS('06_ITEM_POLE_MODEL'!AM75)*ABS(SUMPRODUCT(--('93_TARGET_MEMBERSHIP'!BT$5:BT$27=1),'05_FEATURE_MODEL'!AE$5:AE$27)/MAX(1,COUNTIF('93_TARGET_MEMBERSHIP'!BT$5:BT$27,1))-SUMPRODUCT(--('93_TARGET_MEMBERSHIP'!BT$5:BT$27=-1),'05_FEATURE_MODEL'!AE$5:AE$27)/MAX(1,COUNTIF('93_TARGET_MEMBERSHIP'!BT$5:BT$27,-1))))</f>
        <v/>
      </c>
      <c r="AE75" s="34">
        <f>IF($B75="ABSOLUTE SEMANTIC",ABS('06_ITEM_POLE_MODEL'!AN75),ABS('06_ITEM_POLE_MODEL'!AN75)*ABS(SUMPRODUCT(--('93_TARGET_MEMBERSHIP'!BT$5:BT$27=1),'05_FEATURE_MODEL'!AF$5:AF$27)/MAX(1,COUNTIF('93_TARGET_MEMBERSHIP'!BT$5:BT$27,1))-SUMPRODUCT(--('93_TARGET_MEMBERSHIP'!BT$5:BT$27=-1),'05_FEATURE_MODEL'!AF$5:AF$27)/MAX(1,COUNTIF('93_TARGET_MEMBERSHIP'!BT$5:BT$27,-1))))</f>
        <v/>
      </c>
      <c r="AF75" s="34">
        <f>IF($B75="ABSOLUTE SEMANTIC",ABS('06_ITEM_POLE_MODEL'!AO75),ABS('06_ITEM_POLE_MODEL'!AO75)*ABS(SUMPRODUCT(--('93_TARGET_MEMBERSHIP'!BT$5:BT$27=1),'05_FEATURE_MODEL'!AG$5:AG$27)/MAX(1,COUNTIF('93_TARGET_MEMBERSHIP'!BT$5:BT$27,1))-SUMPRODUCT(--('93_TARGET_MEMBERSHIP'!BT$5:BT$27=-1),'05_FEATURE_MODEL'!AG$5:AG$27)/MAX(1,COUNTIF('93_TARGET_MEMBERSHIP'!BT$5:BT$27,-1))))</f>
        <v/>
      </c>
      <c r="AG75" s="34">
        <f>IF($B75="ABSOLUTE SEMANTIC",ABS('06_ITEM_POLE_MODEL'!AP75),ABS('06_ITEM_POLE_MODEL'!AP75)*ABS(SUMPRODUCT(--('93_TARGET_MEMBERSHIP'!BT$5:BT$27=1),'05_FEATURE_MODEL'!AH$5:AH$27)/MAX(1,COUNTIF('93_TARGET_MEMBERSHIP'!BT$5:BT$27,1))-SUMPRODUCT(--('93_TARGET_MEMBERSHIP'!BT$5:BT$27=-1),'05_FEATURE_MODEL'!AH$5:AH$27)/MAX(1,COUNTIF('93_TARGET_MEMBERSHIP'!BT$5:BT$27,-1))))</f>
        <v/>
      </c>
      <c r="AH75" s="34">
        <f>IF($B75="ABSOLUTE SEMANTIC",ABS('06_ITEM_POLE_MODEL'!AQ75),ABS('06_ITEM_POLE_MODEL'!AQ75)*ABS(SUMPRODUCT(--('93_TARGET_MEMBERSHIP'!BT$5:BT$27=1),'05_FEATURE_MODEL'!AI$5:AI$27)/MAX(1,COUNTIF('93_TARGET_MEMBERSHIP'!BT$5:BT$27,1))-SUMPRODUCT(--('93_TARGET_MEMBERSHIP'!BT$5:BT$27=-1),'05_FEATURE_MODEL'!AI$5:AI$27)/MAX(1,COUNTIF('93_TARGET_MEMBERSHIP'!BT$5:BT$27,-1))))</f>
        <v/>
      </c>
      <c r="AI75" s="34">
        <f>IF($B75="ABSOLUTE SEMANTIC",ABS('06_ITEM_POLE_MODEL'!AR75),ABS('06_ITEM_POLE_MODEL'!AR75)*ABS(SUMPRODUCT(--('93_TARGET_MEMBERSHIP'!BT$5:BT$27=1),'05_FEATURE_MODEL'!AJ$5:AJ$27)/MAX(1,COUNTIF('93_TARGET_MEMBERSHIP'!BT$5:BT$27,1))-SUMPRODUCT(--('93_TARGET_MEMBERSHIP'!BT$5:BT$27=-1),'05_FEATURE_MODEL'!AJ$5:AJ$27)/MAX(1,COUNTIF('93_TARGET_MEMBERSHIP'!BT$5:BT$27,-1))))</f>
        <v/>
      </c>
      <c r="AJ75" s="34">
        <f>IF($B75="ABSOLUTE SEMANTIC",ABS('06_ITEM_POLE_MODEL'!AS75),ABS('06_ITEM_POLE_MODEL'!AS75)*ABS(SUMPRODUCT(--('93_TARGET_MEMBERSHIP'!BT$5:BT$27=1),'05_FEATURE_MODEL'!AK$5:AK$27)/MAX(1,COUNTIF('93_TARGET_MEMBERSHIP'!BT$5:BT$27,1))-SUMPRODUCT(--('93_TARGET_MEMBERSHIP'!BT$5:BT$27=-1),'05_FEATURE_MODEL'!AK$5:AK$27)/MAX(1,COUNTIF('93_TARGET_MEMBERSHIP'!BT$5:BT$27,-1))))</f>
        <v/>
      </c>
      <c r="AK75" s="34">
        <f>IF($B75="ABSOLUTE SEMANTIC",ABS('06_ITEM_POLE_MODEL'!AT75),ABS('06_ITEM_POLE_MODEL'!AT75)*ABS(SUMPRODUCT(--('93_TARGET_MEMBERSHIP'!BT$5:BT$27=1),'05_FEATURE_MODEL'!AL$5:AL$27)/MAX(1,COUNTIF('93_TARGET_MEMBERSHIP'!BT$5:BT$27,1))-SUMPRODUCT(--('93_TARGET_MEMBERSHIP'!BT$5:BT$27=-1),'05_FEATURE_MODEL'!AL$5:AL$27)/MAX(1,COUNTIF('93_TARGET_MEMBERSHIP'!BT$5:BT$27,-1))))</f>
        <v/>
      </c>
      <c r="AL75" s="34">
        <f>IF($B75="ABSOLUTE SEMANTIC",ABS('06_ITEM_POLE_MODEL'!AU75),ABS('06_ITEM_POLE_MODEL'!AU75)*ABS(SUMPRODUCT(--('93_TARGET_MEMBERSHIP'!BT$5:BT$27=1),'05_FEATURE_MODEL'!AM$5:AM$27)/MAX(1,COUNTIF('93_TARGET_MEMBERSHIP'!BT$5:BT$27,1))-SUMPRODUCT(--('93_TARGET_MEMBERSHIP'!BT$5:BT$27=-1),'05_FEATURE_MODEL'!AM$5:AM$27)/MAX(1,COUNTIF('93_TARGET_MEMBERSHIP'!BT$5:BT$27,-1))))</f>
        <v/>
      </c>
      <c r="AM75" s="34">
        <f>IF($B75="ABSOLUTE SEMANTIC",ABS('06_ITEM_POLE_MODEL'!AV75),ABS('06_ITEM_POLE_MODEL'!AV75)*ABS(SUMPRODUCT(--('93_TARGET_MEMBERSHIP'!BT$5:BT$27=1),'05_FEATURE_MODEL'!AN$5:AN$27)/MAX(1,COUNTIF('93_TARGET_MEMBERSHIP'!BT$5:BT$27,1))-SUMPRODUCT(--('93_TARGET_MEMBERSHIP'!BT$5:BT$27=-1),'05_FEATURE_MODEL'!AN$5:AN$27)/MAX(1,COUNTIF('93_TARGET_MEMBERSHIP'!BT$5:BT$27,-1))))</f>
        <v/>
      </c>
      <c r="AN75" s="34">
        <f>IF($B75="ABSOLUTE SEMANTIC",ABS('06_ITEM_POLE_MODEL'!AW75),ABS('06_ITEM_POLE_MODEL'!AW75)*ABS(SUMPRODUCT(--('93_TARGET_MEMBERSHIP'!BT$5:BT$27=1),'05_FEATURE_MODEL'!AO$5:AO$27)/MAX(1,COUNTIF('93_TARGET_MEMBERSHIP'!BT$5:BT$27,1))-SUMPRODUCT(--('93_TARGET_MEMBERSHIP'!BT$5:BT$27=-1),'05_FEATURE_MODEL'!AO$5:AO$27)/MAX(1,COUNTIF('93_TARGET_MEMBERSHIP'!BT$5:BT$27,-1))))</f>
        <v/>
      </c>
      <c r="AO75" s="34">
        <f>IF($B75="ABSOLUTE SEMANTIC",ABS('06_ITEM_POLE_MODEL'!AX75),ABS('06_ITEM_POLE_MODEL'!AX75)*ABS(SUMPRODUCT(--('93_TARGET_MEMBERSHIP'!BT$5:BT$27=1),'05_FEATURE_MODEL'!AP$5:AP$27)/MAX(1,COUNTIF('93_TARGET_MEMBERSHIP'!BT$5:BT$27,1))-SUMPRODUCT(--('93_TARGET_MEMBERSHIP'!BT$5:BT$27=-1),'05_FEATURE_MODEL'!AP$5:AP$27)/MAX(1,COUNTIF('93_TARGET_MEMBERSHIP'!BT$5:BT$27,-1))))</f>
        <v/>
      </c>
      <c r="AP75" s="34">
        <f>IF($B75="ABSOLUTE SEMANTIC",ABS('06_ITEM_POLE_MODEL'!AY75),ABS('06_ITEM_POLE_MODEL'!AY75)*ABS(SUMPRODUCT(--('93_TARGET_MEMBERSHIP'!BT$5:BT$27=1),'05_FEATURE_MODEL'!AQ$5:AQ$27)/MAX(1,COUNTIF('93_TARGET_MEMBERSHIP'!BT$5:BT$27,1))-SUMPRODUCT(--('93_TARGET_MEMBERSHIP'!BT$5:BT$27=-1),'05_FEATURE_MODEL'!AQ$5:AQ$27)/MAX(1,COUNTIF('93_TARGET_MEMBERSHIP'!BT$5:BT$27,-1))))</f>
        <v/>
      </c>
      <c r="AQ75" s="34">
        <f>IF($B75="ABSOLUTE SEMANTIC",ABS('06_ITEM_POLE_MODEL'!AZ75),ABS('06_ITEM_POLE_MODEL'!AZ75)*ABS(SUMPRODUCT(--('93_TARGET_MEMBERSHIP'!BT$5:BT$27=1),'05_FEATURE_MODEL'!AR$5:AR$27)/MAX(1,COUNTIF('93_TARGET_MEMBERSHIP'!BT$5:BT$27,1))-SUMPRODUCT(--('93_TARGET_MEMBERSHIP'!BT$5:BT$27=-1),'05_FEATURE_MODEL'!AR$5:AR$27)/MAX(1,COUNTIF('93_TARGET_MEMBERSHIP'!BT$5:BT$27,-1))))</f>
        <v/>
      </c>
    </row>
    <row r="76" ht="36" customHeight="1">
      <c r="A76" s="34">
        <f>'06_ITEM_POLE_MODEL'!A76</f>
        <v/>
      </c>
      <c r="B76" s="34">
        <f>'06_ITEM_POLE_MODEL'!E76</f>
        <v/>
      </c>
      <c r="C76" s="34">
        <f>IF($B76="ABSOLUTE SEMANTIC",ABS('06_ITEM_POLE_MODEL'!L76),ABS('06_ITEM_POLE_MODEL'!L76)*ABS(SUMPRODUCT(--('93_TARGET_MEMBERSHIP'!BU$5:BU$27=1),'05_FEATURE_MODEL'!D$5:D$27)/MAX(1,COUNTIF('93_TARGET_MEMBERSHIP'!BU$5:BU$27,1))-SUMPRODUCT(--('93_TARGET_MEMBERSHIP'!BU$5:BU$27=-1),'05_FEATURE_MODEL'!D$5:D$27)/MAX(1,COUNTIF('93_TARGET_MEMBERSHIP'!BU$5:BU$27,-1))))</f>
        <v/>
      </c>
      <c r="D76" s="34">
        <f>IF($B76="ABSOLUTE SEMANTIC",ABS('06_ITEM_POLE_MODEL'!M76),ABS('06_ITEM_POLE_MODEL'!M76)*ABS(SUMPRODUCT(--('93_TARGET_MEMBERSHIP'!BU$5:BU$27=1),'05_FEATURE_MODEL'!E$5:E$27)/MAX(1,COUNTIF('93_TARGET_MEMBERSHIP'!BU$5:BU$27,1))-SUMPRODUCT(--('93_TARGET_MEMBERSHIP'!BU$5:BU$27=-1),'05_FEATURE_MODEL'!E$5:E$27)/MAX(1,COUNTIF('93_TARGET_MEMBERSHIP'!BU$5:BU$27,-1))))</f>
        <v/>
      </c>
      <c r="E76" s="34">
        <f>IF($B76="ABSOLUTE SEMANTIC",ABS('06_ITEM_POLE_MODEL'!N76),ABS('06_ITEM_POLE_MODEL'!N76)*ABS(SUMPRODUCT(--('93_TARGET_MEMBERSHIP'!BU$5:BU$27=1),'05_FEATURE_MODEL'!F$5:F$27)/MAX(1,COUNTIF('93_TARGET_MEMBERSHIP'!BU$5:BU$27,1))-SUMPRODUCT(--('93_TARGET_MEMBERSHIP'!BU$5:BU$27=-1),'05_FEATURE_MODEL'!F$5:F$27)/MAX(1,COUNTIF('93_TARGET_MEMBERSHIP'!BU$5:BU$27,-1))))</f>
        <v/>
      </c>
      <c r="F76" s="34">
        <f>IF($B76="ABSOLUTE SEMANTIC",ABS('06_ITEM_POLE_MODEL'!O76),ABS('06_ITEM_POLE_MODEL'!O76)*ABS(SUMPRODUCT(--('93_TARGET_MEMBERSHIP'!BU$5:BU$27=1),'05_FEATURE_MODEL'!G$5:G$27)/MAX(1,COUNTIF('93_TARGET_MEMBERSHIP'!BU$5:BU$27,1))-SUMPRODUCT(--('93_TARGET_MEMBERSHIP'!BU$5:BU$27=-1),'05_FEATURE_MODEL'!G$5:G$27)/MAX(1,COUNTIF('93_TARGET_MEMBERSHIP'!BU$5:BU$27,-1))))</f>
        <v/>
      </c>
      <c r="G76" s="34">
        <f>IF($B76="ABSOLUTE SEMANTIC",ABS('06_ITEM_POLE_MODEL'!P76),ABS('06_ITEM_POLE_MODEL'!P76)*ABS(SUMPRODUCT(--('93_TARGET_MEMBERSHIP'!BU$5:BU$27=1),'05_FEATURE_MODEL'!H$5:H$27)/MAX(1,COUNTIF('93_TARGET_MEMBERSHIP'!BU$5:BU$27,1))-SUMPRODUCT(--('93_TARGET_MEMBERSHIP'!BU$5:BU$27=-1),'05_FEATURE_MODEL'!H$5:H$27)/MAX(1,COUNTIF('93_TARGET_MEMBERSHIP'!BU$5:BU$27,-1))))</f>
        <v/>
      </c>
      <c r="H76" s="34">
        <f>IF($B76="ABSOLUTE SEMANTIC",ABS('06_ITEM_POLE_MODEL'!Q76),ABS('06_ITEM_POLE_MODEL'!Q76)*ABS(SUMPRODUCT(--('93_TARGET_MEMBERSHIP'!BU$5:BU$27=1),'05_FEATURE_MODEL'!I$5:I$27)/MAX(1,COUNTIF('93_TARGET_MEMBERSHIP'!BU$5:BU$27,1))-SUMPRODUCT(--('93_TARGET_MEMBERSHIP'!BU$5:BU$27=-1),'05_FEATURE_MODEL'!I$5:I$27)/MAX(1,COUNTIF('93_TARGET_MEMBERSHIP'!BU$5:BU$27,-1))))</f>
        <v/>
      </c>
      <c r="I76" s="34">
        <f>IF($B76="ABSOLUTE SEMANTIC",ABS('06_ITEM_POLE_MODEL'!R76),ABS('06_ITEM_POLE_MODEL'!R76)*ABS(SUMPRODUCT(--('93_TARGET_MEMBERSHIP'!BU$5:BU$27=1),'05_FEATURE_MODEL'!J$5:J$27)/MAX(1,COUNTIF('93_TARGET_MEMBERSHIP'!BU$5:BU$27,1))-SUMPRODUCT(--('93_TARGET_MEMBERSHIP'!BU$5:BU$27=-1),'05_FEATURE_MODEL'!J$5:J$27)/MAX(1,COUNTIF('93_TARGET_MEMBERSHIP'!BU$5:BU$27,-1))))</f>
        <v/>
      </c>
      <c r="J76" s="34">
        <f>IF($B76="ABSOLUTE SEMANTIC",ABS('06_ITEM_POLE_MODEL'!S76),ABS('06_ITEM_POLE_MODEL'!S76)*ABS(SUMPRODUCT(--('93_TARGET_MEMBERSHIP'!BU$5:BU$27=1),'05_FEATURE_MODEL'!K$5:K$27)/MAX(1,COUNTIF('93_TARGET_MEMBERSHIP'!BU$5:BU$27,1))-SUMPRODUCT(--('93_TARGET_MEMBERSHIP'!BU$5:BU$27=-1),'05_FEATURE_MODEL'!K$5:K$27)/MAX(1,COUNTIF('93_TARGET_MEMBERSHIP'!BU$5:BU$27,-1))))</f>
        <v/>
      </c>
      <c r="K76" s="34">
        <f>IF($B76="ABSOLUTE SEMANTIC",ABS('06_ITEM_POLE_MODEL'!T76),ABS('06_ITEM_POLE_MODEL'!T76)*ABS(SUMPRODUCT(--('93_TARGET_MEMBERSHIP'!BU$5:BU$27=1),'05_FEATURE_MODEL'!L$5:L$27)/MAX(1,COUNTIF('93_TARGET_MEMBERSHIP'!BU$5:BU$27,1))-SUMPRODUCT(--('93_TARGET_MEMBERSHIP'!BU$5:BU$27=-1),'05_FEATURE_MODEL'!L$5:L$27)/MAX(1,COUNTIF('93_TARGET_MEMBERSHIP'!BU$5:BU$27,-1))))</f>
        <v/>
      </c>
      <c r="L76" s="34">
        <f>IF($B76="ABSOLUTE SEMANTIC",ABS('06_ITEM_POLE_MODEL'!U76),ABS('06_ITEM_POLE_MODEL'!U76)*ABS(SUMPRODUCT(--('93_TARGET_MEMBERSHIP'!BU$5:BU$27=1),'05_FEATURE_MODEL'!M$5:M$27)/MAX(1,COUNTIF('93_TARGET_MEMBERSHIP'!BU$5:BU$27,1))-SUMPRODUCT(--('93_TARGET_MEMBERSHIP'!BU$5:BU$27=-1),'05_FEATURE_MODEL'!M$5:M$27)/MAX(1,COUNTIF('93_TARGET_MEMBERSHIP'!BU$5:BU$27,-1))))</f>
        <v/>
      </c>
      <c r="M76" s="34">
        <f>IF($B76="ABSOLUTE SEMANTIC",ABS('06_ITEM_POLE_MODEL'!V76),ABS('06_ITEM_POLE_MODEL'!V76)*ABS(SUMPRODUCT(--('93_TARGET_MEMBERSHIP'!BU$5:BU$27=1),'05_FEATURE_MODEL'!N$5:N$27)/MAX(1,COUNTIF('93_TARGET_MEMBERSHIP'!BU$5:BU$27,1))-SUMPRODUCT(--('93_TARGET_MEMBERSHIP'!BU$5:BU$27=-1),'05_FEATURE_MODEL'!N$5:N$27)/MAX(1,COUNTIF('93_TARGET_MEMBERSHIP'!BU$5:BU$27,-1))))</f>
        <v/>
      </c>
      <c r="N76" s="34">
        <f>IF($B76="ABSOLUTE SEMANTIC",ABS('06_ITEM_POLE_MODEL'!W76),ABS('06_ITEM_POLE_MODEL'!W76)*ABS(SUMPRODUCT(--('93_TARGET_MEMBERSHIP'!BU$5:BU$27=1),'05_FEATURE_MODEL'!O$5:O$27)/MAX(1,COUNTIF('93_TARGET_MEMBERSHIP'!BU$5:BU$27,1))-SUMPRODUCT(--('93_TARGET_MEMBERSHIP'!BU$5:BU$27=-1),'05_FEATURE_MODEL'!O$5:O$27)/MAX(1,COUNTIF('93_TARGET_MEMBERSHIP'!BU$5:BU$27,-1))))</f>
        <v/>
      </c>
      <c r="O76" s="34">
        <f>IF($B76="ABSOLUTE SEMANTIC",ABS('06_ITEM_POLE_MODEL'!X76),ABS('06_ITEM_POLE_MODEL'!X76)*ABS(SUMPRODUCT(--('93_TARGET_MEMBERSHIP'!BU$5:BU$27=1),'05_FEATURE_MODEL'!P$5:P$27)/MAX(1,COUNTIF('93_TARGET_MEMBERSHIP'!BU$5:BU$27,1))-SUMPRODUCT(--('93_TARGET_MEMBERSHIP'!BU$5:BU$27=-1),'05_FEATURE_MODEL'!P$5:P$27)/MAX(1,COUNTIF('93_TARGET_MEMBERSHIP'!BU$5:BU$27,-1))))</f>
        <v/>
      </c>
      <c r="P76" s="34">
        <f>IF($B76="ABSOLUTE SEMANTIC",ABS('06_ITEM_POLE_MODEL'!Y76),ABS('06_ITEM_POLE_MODEL'!Y76)*ABS(SUMPRODUCT(--('93_TARGET_MEMBERSHIP'!BU$5:BU$27=1),'05_FEATURE_MODEL'!Q$5:Q$27)/MAX(1,COUNTIF('93_TARGET_MEMBERSHIP'!BU$5:BU$27,1))-SUMPRODUCT(--('93_TARGET_MEMBERSHIP'!BU$5:BU$27=-1),'05_FEATURE_MODEL'!Q$5:Q$27)/MAX(1,COUNTIF('93_TARGET_MEMBERSHIP'!BU$5:BU$27,-1))))</f>
        <v/>
      </c>
      <c r="Q76" s="34">
        <f>IF($B76="ABSOLUTE SEMANTIC",ABS('06_ITEM_POLE_MODEL'!Z76),ABS('06_ITEM_POLE_MODEL'!Z76)*ABS(SUMPRODUCT(--('93_TARGET_MEMBERSHIP'!BU$5:BU$27=1),'05_FEATURE_MODEL'!R$5:R$27)/MAX(1,COUNTIF('93_TARGET_MEMBERSHIP'!BU$5:BU$27,1))-SUMPRODUCT(--('93_TARGET_MEMBERSHIP'!BU$5:BU$27=-1),'05_FEATURE_MODEL'!R$5:R$27)/MAX(1,COUNTIF('93_TARGET_MEMBERSHIP'!BU$5:BU$27,-1))))</f>
        <v/>
      </c>
      <c r="R76" s="34">
        <f>IF($B76="ABSOLUTE SEMANTIC",ABS('06_ITEM_POLE_MODEL'!AA76),ABS('06_ITEM_POLE_MODEL'!AA76)*ABS(SUMPRODUCT(--('93_TARGET_MEMBERSHIP'!BU$5:BU$27=1),'05_FEATURE_MODEL'!S$5:S$27)/MAX(1,COUNTIF('93_TARGET_MEMBERSHIP'!BU$5:BU$27,1))-SUMPRODUCT(--('93_TARGET_MEMBERSHIP'!BU$5:BU$27=-1),'05_FEATURE_MODEL'!S$5:S$27)/MAX(1,COUNTIF('93_TARGET_MEMBERSHIP'!BU$5:BU$27,-1))))</f>
        <v/>
      </c>
      <c r="S76" s="34">
        <f>IF($B76="ABSOLUTE SEMANTIC",ABS('06_ITEM_POLE_MODEL'!AB76),ABS('06_ITEM_POLE_MODEL'!AB76)*ABS(SUMPRODUCT(--('93_TARGET_MEMBERSHIP'!BU$5:BU$27=1),'05_FEATURE_MODEL'!T$5:T$27)/MAX(1,COUNTIF('93_TARGET_MEMBERSHIP'!BU$5:BU$27,1))-SUMPRODUCT(--('93_TARGET_MEMBERSHIP'!BU$5:BU$27=-1),'05_FEATURE_MODEL'!T$5:T$27)/MAX(1,COUNTIF('93_TARGET_MEMBERSHIP'!BU$5:BU$27,-1))))</f>
        <v/>
      </c>
      <c r="T76" s="34">
        <f>IF($B76="ABSOLUTE SEMANTIC",ABS('06_ITEM_POLE_MODEL'!AC76),ABS('06_ITEM_POLE_MODEL'!AC76)*ABS(SUMPRODUCT(--('93_TARGET_MEMBERSHIP'!BU$5:BU$27=1),'05_FEATURE_MODEL'!U$5:U$27)/MAX(1,COUNTIF('93_TARGET_MEMBERSHIP'!BU$5:BU$27,1))-SUMPRODUCT(--('93_TARGET_MEMBERSHIP'!BU$5:BU$27=-1),'05_FEATURE_MODEL'!U$5:U$27)/MAX(1,COUNTIF('93_TARGET_MEMBERSHIP'!BU$5:BU$27,-1))))</f>
        <v/>
      </c>
      <c r="U76" s="34">
        <f>IF($B76="ABSOLUTE SEMANTIC",ABS('06_ITEM_POLE_MODEL'!AD76),ABS('06_ITEM_POLE_MODEL'!AD76)*ABS(SUMPRODUCT(--('93_TARGET_MEMBERSHIP'!BU$5:BU$27=1),'05_FEATURE_MODEL'!V$5:V$27)/MAX(1,COUNTIF('93_TARGET_MEMBERSHIP'!BU$5:BU$27,1))-SUMPRODUCT(--('93_TARGET_MEMBERSHIP'!BU$5:BU$27=-1),'05_FEATURE_MODEL'!V$5:V$27)/MAX(1,COUNTIF('93_TARGET_MEMBERSHIP'!BU$5:BU$27,-1))))</f>
        <v/>
      </c>
      <c r="V76" s="34">
        <f>IF($B76="ABSOLUTE SEMANTIC",ABS('06_ITEM_POLE_MODEL'!AE76),ABS('06_ITEM_POLE_MODEL'!AE76)*ABS(SUMPRODUCT(--('93_TARGET_MEMBERSHIP'!BU$5:BU$27=1),'05_FEATURE_MODEL'!W$5:W$27)/MAX(1,COUNTIF('93_TARGET_MEMBERSHIP'!BU$5:BU$27,1))-SUMPRODUCT(--('93_TARGET_MEMBERSHIP'!BU$5:BU$27=-1),'05_FEATURE_MODEL'!W$5:W$27)/MAX(1,COUNTIF('93_TARGET_MEMBERSHIP'!BU$5:BU$27,-1))))</f>
        <v/>
      </c>
      <c r="W76" s="34">
        <f>IF($B76="ABSOLUTE SEMANTIC",ABS('06_ITEM_POLE_MODEL'!AF76),ABS('06_ITEM_POLE_MODEL'!AF76)*ABS(SUMPRODUCT(--('93_TARGET_MEMBERSHIP'!BU$5:BU$27=1),'05_FEATURE_MODEL'!X$5:X$27)/MAX(1,COUNTIF('93_TARGET_MEMBERSHIP'!BU$5:BU$27,1))-SUMPRODUCT(--('93_TARGET_MEMBERSHIP'!BU$5:BU$27=-1),'05_FEATURE_MODEL'!X$5:X$27)/MAX(1,COUNTIF('93_TARGET_MEMBERSHIP'!BU$5:BU$27,-1))))</f>
        <v/>
      </c>
      <c r="X76" s="34">
        <f>IF($B76="ABSOLUTE SEMANTIC",ABS('06_ITEM_POLE_MODEL'!AG76),ABS('06_ITEM_POLE_MODEL'!AG76)*ABS(SUMPRODUCT(--('93_TARGET_MEMBERSHIP'!BU$5:BU$27=1),'05_FEATURE_MODEL'!Y$5:Y$27)/MAX(1,COUNTIF('93_TARGET_MEMBERSHIP'!BU$5:BU$27,1))-SUMPRODUCT(--('93_TARGET_MEMBERSHIP'!BU$5:BU$27=-1),'05_FEATURE_MODEL'!Y$5:Y$27)/MAX(1,COUNTIF('93_TARGET_MEMBERSHIP'!BU$5:BU$27,-1))))</f>
        <v/>
      </c>
      <c r="Y76" s="34">
        <f>IF($B76="ABSOLUTE SEMANTIC",ABS('06_ITEM_POLE_MODEL'!AH76),ABS('06_ITEM_POLE_MODEL'!AH76)*ABS(SUMPRODUCT(--('93_TARGET_MEMBERSHIP'!BU$5:BU$27=1),'05_FEATURE_MODEL'!Z$5:Z$27)/MAX(1,COUNTIF('93_TARGET_MEMBERSHIP'!BU$5:BU$27,1))-SUMPRODUCT(--('93_TARGET_MEMBERSHIP'!BU$5:BU$27=-1),'05_FEATURE_MODEL'!Z$5:Z$27)/MAX(1,COUNTIF('93_TARGET_MEMBERSHIP'!BU$5:BU$27,-1))))</f>
        <v/>
      </c>
      <c r="Z76" s="34">
        <f>IF($B76="ABSOLUTE SEMANTIC",ABS('06_ITEM_POLE_MODEL'!AI76),ABS('06_ITEM_POLE_MODEL'!AI76)*ABS(SUMPRODUCT(--('93_TARGET_MEMBERSHIP'!BU$5:BU$27=1),'05_FEATURE_MODEL'!AA$5:AA$27)/MAX(1,COUNTIF('93_TARGET_MEMBERSHIP'!BU$5:BU$27,1))-SUMPRODUCT(--('93_TARGET_MEMBERSHIP'!BU$5:BU$27=-1),'05_FEATURE_MODEL'!AA$5:AA$27)/MAX(1,COUNTIF('93_TARGET_MEMBERSHIP'!BU$5:BU$27,-1))))</f>
        <v/>
      </c>
      <c r="AA76" s="34">
        <f>IF($B76="ABSOLUTE SEMANTIC",ABS('06_ITEM_POLE_MODEL'!AJ76),ABS('06_ITEM_POLE_MODEL'!AJ76)*ABS(SUMPRODUCT(--('93_TARGET_MEMBERSHIP'!BU$5:BU$27=1),'05_FEATURE_MODEL'!AB$5:AB$27)/MAX(1,COUNTIF('93_TARGET_MEMBERSHIP'!BU$5:BU$27,1))-SUMPRODUCT(--('93_TARGET_MEMBERSHIP'!BU$5:BU$27=-1),'05_FEATURE_MODEL'!AB$5:AB$27)/MAX(1,COUNTIF('93_TARGET_MEMBERSHIP'!BU$5:BU$27,-1))))</f>
        <v/>
      </c>
      <c r="AB76" s="34">
        <f>IF($B76="ABSOLUTE SEMANTIC",ABS('06_ITEM_POLE_MODEL'!AK76),ABS('06_ITEM_POLE_MODEL'!AK76)*ABS(SUMPRODUCT(--('93_TARGET_MEMBERSHIP'!BU$5:BU$27=1),'05_FEATURE_MODEL'!AC$5:AC$27)/MAX(1,COUNTIF('93_TARGET_MEMBERSHIP'!BU$5:BU$27,1))-SUMPRODUCT(--('93_TARGET_MEMBERSHIP'!BU$5:BU$27=-1),'05_FEATURE_MODEL'!AC$5:AC$27)/MAX(1,COUNTIF('93_TARGET_MEMBERSHIP'!BU$5:BU$27,-1))))</f>
        <v/>
      </c>
      <c r="AC76" s="34">
        <f>IF($B76="ABSOLUTE SEMANTIC",ABS('06_ITEM_POLE_MODEL'!AL76),ABS('06_ITEM_POLE_MODEL'!AL76)*ABS(SUMPRODUCT(--('93_TARGET_MEMBERSHIP'!BU$5:BU$27=1),'05_FEATURE_MODEL'!AD$5:AD$27)/MAX(1,COUNTIF('93_TARGET_MEMBERSHIP'!BU$5:BU$27,1))-SUMPRODUCT(--('93_TARGET_MEMBERSHIP'!BU$5:BU$27=-1),'05_FEATURE_MODEL'!AD$5:AD$27)/MAX(1,COUNTIF('93_TARGET_MEMBERSHIP'!BU$5:BU$27,-1))))</f>
        <v/>
      </c>
      <c r="AD76" s="34">
        <f>IF($B76="ABSOLUTE SEMANTIC",ABS('06_ITEM_POLE_MODEL'!AM76),ABS('06_ITEM_POLE_MODEL'!AM76)*ABS(SUMPRODUCT(--('93_TARGET_MEMBERSHIP'!BU$5:BU$27=1),'05_FEATURE_MODEL'!AE$5:AE$27)/MAX(1,COUNTIF('93_TARGET_MEMBERSHIP'!BU$5:BU$27,1))-SUMPRODUCT(--('93_TARGET_MEMBERSHIP'!BU$5:BU$27=-1),'05_FEATURE_MODEL'!AE$5:AE$27)/MAX(1,COUNTIF('93_TARGET_MEMBERSHIP'!BU$5:BU$27,-1))))</f>
        <v/>
      </c>
      <c r="AE76" s="34">
        <f>IF($B76="ABSOLUTE SEMANTIC",ABS('06_ITEM_POLE_MODEL'!AN76),ABS('06_ITEM_POLE_MODEL'!AN76)*ABS(SUMPRODUCT(--('93_TARGET_MEMBERSHIP'!BU$5:BU$27=1),'05_FEATURE_MODEL'!AF$5:AF$27)/MAX(1,COUNTIF('93_TARGET_MEMBERSHIP'!BU$5:BU$27,1))-SUMPRODUCT(--('93_TARGET_MEMBERSHIP'!BU$5:BU$27=-1),'05_FEATURE_MODEL'!AF$5:AF$27)/MAX(1,COUNTIF('93_TARGET_MEMBERSHIP'!BU$5:BU$27,-1))))</f>
        <v/>
      </c>
      <c r="AF76" s="34">
        <f>IF($B76="ABSOLUTE SEMANTIC",ABS('06_ITEM_POLE_MODEL'!AO76),ABS('06_ITEM_POLE_MODEL'!AO76)*ABS(SUMPRODUCT(--('93_TARGET_MEMBERSHIP'!BU$5:BU$27=1),'05_FEATURE_MODEL'!AG$5:AG$27)/MAX(1,COUNTIF('93_TARGET_MEMBERSHIP'!BU$5:BU$27,1))-SUMPRODUCT(--('93_TARGET_MEMBERSHIP'!BU$5:BU$27=-1),'05_FEATURE_MODEL'!AG$5:AG$27)/MAX(1,COUNTIF('93_TARGET_MEMBERSHIP'!BU$5:BU$27,-1))))</f>
        <v/>
      </c>
      <c r="AG76" s="34">
        <f>IF($B76="ABSOLUTE SEMANTIC",ABS('06_ITEM_POLE_MODEL'!AP76),ABS('06_ITEM_POLE_MODEL'!AP76)*ABS(SUMPRODUCT(--('93_TARGET_MEMBERSHIP'!BU$5:BU$27=1),'05_FEATURE_MODEL'!AH$5:AH$27)/MAX(1,COUNTIF('93_TARGET_MEMBERSHIP'!BU$5:BU$27,1))-SUMPRODUCT(--('93_TARGET_MEMBERSHIP'!BU$5:BU$27=-1),'05_FEATURE_MODEL'!AH$5:AH$27)/MAX(1,COUNTIF('93_TARGET_MEMBERSHIP'!BU$5:BU$27,-1))))</f>
        <v/>
      </c>
      <c r="AH76" s="34">
        <f>IF($B76="ABSOLUTE SEMANTIC",ABS('06_ITEM_POLE_MODEL'!AQ76),ABS('06_ITEM_POLE_MODEL'!AQ76)*ABS(SUMPRODUCT(--('93_TARGET_MEMBERSHIP'!BU$5:BU$27=1),'05_FEATURE_MODEL'!AI$5:AI$27)/MAX(1,COUNTIF('93_TARGET_MEMBERSHIP'!BU$5:BU$27,1))-SUMPRODUCT(--('93_TARGET_MEMBERSHIP'!BU$5:BU$27=-1),'05_FEATURE_MODEL'!AI$5:AI$27)/MAX(1,COUNTIF('93_TARGET_MEMBERSHIP'!BU$5:BU$27,-1))))</f>
        <v/>
      </c>
      <c r="AI76" s="34">
        <f>IF($B76="ABSOLUTE SEMANTIC",ABS('06_ITEM_POLE_MODEL'!AR76),ABS('06_ITEM_POLE_MODEL'!AR76)*ABS(SUMPRODUCT(--('93_TARGET_MEMBERSHIP'!BU$5:BU$27=1),'05_FEATURE_MODEL'!AJ$5:AJ$27)/MAX(1,COUNTIF('93_TARGET_MEMBERSHIP'!BU$5:BU$27,1))-SUMPRODUCT(--('93_TARGET_MEMBERSHIP'!BU$5:BU$27=-1),'05_FEATURE_MODEL'!AJ$5:AJ$27)/MAX(1,COUNTIF('93_TARGET_MEMBERSHIP'!BU$5:BU$27,-1))))</f>
        <v/>
      </c>
      <c r="AJ76" s="34">
        <f>IF($B76="ABSOLUTE SEMANTIC",ABS('06_ITEM_POLE_MODEL'!AS76),ABS('06_ITEM_POLE_MODEL'!AS76)*ABS(SUMPRODUCT(--('93_TARGET_MEMBERSHIP'!BU$5:BU$27=1),'05_FEATURE_MODEL'!AK$5:AK$27)/MAX(1,COUNTIF('93_TARGET_MEMBERSHIP'!BU$5:BU$27,1))-SUMPRODUCT(--('93_TARGET_MEMBERSHIP'!BU$5:BU$27=-1),'05_FEATURE_MODEL'!AK$5:AK$27)/MAX(1,COUNTIF('93_TARGET_MEMBERSHIP'!BU$5:BU$27,-1))))</f>
        <v/>
      </c>
      <c r="AK76" s="34">
        <f>IF($B76="ABSOLUTE SEMANTIC",ABS('06_ITEM_POLE_MODEL'!AT76),ABS('06_ITEM_POLE_MODEL'!AT76)*ABS(SUMPRODUCT(--('93_TARGET_MEMBERSHIP'!BU$5:BU$27=1),'05_FEATURE_MODEL'!AL$5:AL$27)/MAX(1,COUNTIF('93_TARGET_MEMBERSHIP'!BU$5:BU$27,1))-SUMPRODUCT(--('93_TARGET_MEMBERSHIP'!BU$5:BU$27=-1),'05_FEATURE_MODEL'!AL$5:AL$27)/MAX(1,COUNTIF('93_TARGET_MEMBERSHIP'!BU$5:BU$27,-1))))</f>
        <v/>
      </c>
      <c r="AL76" s="34">
        <f>IF($B76="ABSOLUTE SEMANTIC",ABS('06_ITEM_POLE_MODEL'!AU76),ABS('06_ITEM_POLE_MODEL'!AU76)*ABS(SUMPRODUCT(--('93_TARGET_MEMBERSHIP'!BU$5:BU$27=1),'05_FEATURE_MODEL'!AM$5:AM$27)/MAX(1,COUNTIF('93_TARGET_MEMBERSHIP'!BU$5:BU$27,1))-SUMPRODUCT(--('93_TARGET_MEMBERSHIP'!BU$5:BU$27=-1),'05_FEATURE_MODEL'!AM$5:AM$27)/MAX(1,COUNTIF('93_TARGET_MEMBERSHIP'!BU$5:BU$27,-1))))</f>
        <v/>
      </c>
      <c r="AM76" s="34">
        <f>IF($B76="ABSOLUTE SEMANTIC",ABS('06_ITEM_POLE_MODEL'!AV76),ABS('06_ITEM_POLE_MODEL'!AV76)*ABS(SUMPRODUCT(--('93_TARGET_MEMBERSHIP'!BU$5:BU$27=1),'05_FEATURE_MODEL'!AN$5:AN$27)/MAX(1,COUNTIF('93_TARGET_MEMBERSHIP'!BU$5:BU$27,1))-SUMPRODUCT(--('93_TARGET_MEMBERSHIP'!BU$5:BU$27=-1),'05_FEATURE_MODEL'!AN$5:AN$27)/MAX(1,COUNTIF('93_TARGET_MEMBERSHIP'!BU$5:BU$27,-1))))</f>
        <v/>
      </c>
      <c r="AN76" s="34">
        <f>IF($B76="ABSOLUTE SEMANTIC",ABS('06_ITEM_POLE_MODEL'!AW76),ABS('06_ITEM_POLE_MODEL'!AW76)*ABS(SUMPRODUCT(--('93_TARGET_MEMBERSHIP'!BU$5:BU$27=1),'05_FEATURE_MODEL'!AO$5:AO$27)/MAX(1,COUNTIF('93_TARGET_MEMBERSHIP'!BU$5:BU$27,1))-SUMPRODUCT(--('93_TARGET_MEMBERSHIP'!BU$5:BU$27=-1),'05_FEATURE_MODEL'!AO$5:AO$27)/MAX(1,COUNTIF('93_TARGET_MEMBERSHIP'!BU$5:BU$27,-1))))</f>
        <v/>
      </c>
      <c r="AO76" s="34">
        <f>IF($B76="ABSOLUTE SEMANTIC",ABS('06_ITEM_POLE_MODEL'!AX76),ABS('06_ITEM_POLE_MODEL'!AX76)*ABS(SUMPRODUCT(--('93_TARGET_MEMBERSHIP'!BU$5:BU$27=1),'05_FEATURE_MODEL'!AP$5:AP$27)/MAX(1,COUNTIF('93_TARGET_MEMBERSHIP'!BU$5:BU$27,1))-SUMPRODUCT(--('93_TARGET_MEMBERSHIP'!BU$5:BU$27=-1),'05_FEATURE_MODEL'!AP$5:AP$27)/MAX(1,COUNTIF('93_TARGET_MEMBERSHIP'!BU$5:BU$27,-1))))</f>
        <v/>
      </c>
      <c r="AP76" s="34">
        <f>IF($B76="ABSOLUTE SEMANTIC",ABS('06_ITEM_POLE_MODEL'!AY76),ABS('06_ITEM_POLE_MODEL'!AY76)*ABS(SUMPRODUCT(--('93_TARGET_MEMBERSHIP'!BU$5:BU$27=1),'05_FEATURE_MODEL'!AQ$5:AQ$27)/MAX(1,COUNTIF('93_TARGET_MEMBERSHIP'!BU$5:BU$27,1))-SUMPRODUCT(--('93_TARGET_MEMBERSHIP'!BU$5:BU$27=-1),'05_FEATURE_MODEL'!AQ$5:AQ$27)/MAX(1,COUNTIF('93_TARGET_MEMBERSHIP'!BU$5:BU$27,-1))))</f>
        <v/>
      </c>
      <c r="AQ76" s="34">
        <f>IF($B76="ABSOLUTE SEMANTIC",ABS('06_ITEM_POLE_MODEL'!AZ76),ABS('06_ITEM_POLE_MODEL'!AZ76)*ABS(SUMPRODUCT(--('93_TARGET_MEMBERSHIP'!BU$5:BU$27=1),'05_FEATURE_MODEL'!AR$5:AR$27)/MAX(1,COUNTIF('93_TARGET_MEMBERSHIP'!BU$5:BU$27,1))-SUMPRODUCT(--('93_TARGET_MEMBERSHIP'!BU$5:BU$27=-1),'05_FEATURE_MODEL'!AR$5:AR$27)/MAX(1,COUNTIF('93_TARGET_MEMBERSHIP'!BU$5:BU$27,-1))))</f>
        <v/>
      </c>
    </row>
    <row r="77" ht="36" customHeight="1">
      <c r="A77" s="34">
        <f>'06_ITEM_POLE_MODEL'!A77</f>
        <v/>
      </c>
      <c r="B77" s="34">
        <f>'06_ITEM_POLE_MODEL'!E77</f>
        <v/>
      </c>
      <c r="C77" s="34">
        <f>IF($B77="ABSOLUTE SEMANTIC",ABS('06_ITEM_POLE_MODEL'!L77),ABS('06_ITEM_POLE_MODEL'!L77)*ABS(SUMPRODUCT(--('93_TARGET_MEMBERSHIP'!BV$5:BV$27=1),'05_FEATURE_MODEL'!D$5:D$27)/MAX(1,COUNTIF('93_TARGET_MEMBERSHIP'!BV$5:BV$27,1))-SUMPRODUCT(--('93_TARGET_MEMBERSHIP'!BV$5:BV$27=-1),'05_FEATURE_MODEL'!D$5:D$27)/MAX(1,COUNTIF('93_TARGET_MEMBERSHIP'!BV$5:BV$27,-1))))</f>
        <v/>
      </c>
      <c r="D77" s="34">
        <f>IF($B77="ABSOLUTE SEMANTIC",ABS('06_ITEM_POLE_MODEL'!M77),ABS('06_ITEM_POLE_MODEL'!M77)*ABS(SUMPRODUCT(--('93_TARGET_MEMBERSHIP'!BV$5:BV$27=1),'05_FEATURE_MODEL'!E$5:E$27)/MAX(1,COUNTIF('93_TARGET_MEMBERSHIP'!BV$5:BV$27,1))-SUMPRODUCT(--('93_TARGET_MEMBERSHIP'!BV$5:BV$27=-1),'05_FEATURE_MODEL'!E$5:E$27)/MAX(1,COUNTIF('93_TARGET_MEMBERSHIP'!BV$5:BV$27,-1))))</f>
        <v/>
      </c>
      <c r="E77" s="34">
        <f>IF($B77="ABSOLUTE SEMANTIC",ABS('06_ITEM_POLE_MODEL'!N77),ABS('06_ITEM_POLE_MODEL'!N77)*ABS(SUMPRODUCT(--('93_TARGET_MEMBERSHIP'!BV$5:BV$27=1),'05_FEATURE_MODEL'!F$5:F$27)/MAX(1,COUNTIF('93_TARGET_MEMBERSHIP'!BV$5:BV$27,1))-SUMPRODUCT(--('93_TARGET_MEMBERSHIP'!BV$5:BV$27=-1),'05_FEATURE_MODEL'!F$5:F$27)/MAX(1,COUNTIF('93_TARGET_MEMBERSHIP'!BV$5:BV$27,-1))))</f>
        <v/>
      </c>
      <c r="F77" s="34">
        <f>IF($B77="ABSOLUTE SEMANTIC",ABS('06_ITEM_POLE_MODEL'!O77),ABS('06_ITEM_POLE_MODEL'!O77)*ABS(SUMPRODUCT(--('93_TARGET_MEMBERSHIP'!BV$5:BV$27=1),'05_FEATURE_MODEL'!G$5:G$27)/MAX(1,COUNTIF('93_TARGET_MEMBERSHIP'!BV$5:BV$27,1))-SUMPRODUCT(--('93_TARGET_MEMBERSHIP'!BV$5:BV$27=-1),'05_FEATURE_MODEL'!G$5:G$27)/MAX(1,COUNTIF('93_TARGET_MEMBERSHIP'!BV$5:BV$27,-1))))</f>
        <v/>
      </c>
      <c r="G77" s="34">
        <f>IF($B77="ABSOLUTE SEMANTIC",ABS('06_ITEM_POLE_MODEL'!P77),ABS('06_ITEM_POLE_MODEL'!P77)*ABS(SUMPRODUCT(--('93_TARGET_MEMBERSHIP'!BV$5:BV$27=1),'05_FEATURE_MODEL'!H$5:H$27)/MAX(1,COUNTIF('93_TARGET_MEMBERSHIP'!BV$5:BV$27,1))-SUMPRODUCT(--('93_TARGET_MEMBERSHIP'!BV$5:BV$27=-1),'05_FEATURE_MODEL'!H$5:H$27)/MAX(1,COUNTIF('93_TARGET_MEMBERSHIP'!BV$5:BV$27,-1))))</f>
        <v/>
      </c>
      <c r="H77" s="34">
        <f>IF($B77="ABSOLUTE SEMANTIC",ABS('06_ITEM_POLE_MODEL'!Q77),ABS('06_ITEM_POLE_MODEL'!Q77)*ABS(SUMPRODUCT(--('93_TARGET_MEMBERSHIP'!BV$5:BV$27=1),'05_FEATURE_MODEL'!I$5:I$27)/MAX(1,COUNTIF('93_TARGET_MEMBERSHIP'!BV$5:BV$27,1))-SUMPRODUCT(--('93_TARGET_MEMBERSHIP'!BV$5:BV$27=-1),'05_FEATURE_MODEL'!I$5:I$27)/MAX(1,COUNTIF('93_TARGET_MEMBERSHIP'!BV$5:BV$27,-1))))</f>
        <v/>
      </c>
      <c r="I77" s="34">
        <f>IF($B77="ABSOLUTE SEMANTIC",ABS('06_ITEM_POLE_MODEL'!R77),ABS('06_ITEM_POLE_MODEL'!R77)*ABS(SUMPRODUCT(--('93_TARGET_MEMBERSHIP'!BV$5:BV$27=1),'05_FEATURE_MODEL'!J$5:J$27)/MAX(1,COUNTIF('93_TARGET_MEMBERSHIP'!BV$5:BV$27,1))-SUMPRODUCT(--('93_TARGET_MEMBERSHIP'!BV$5:BV$27=-1),'05_FEATURE_MODEL'!J$5:J$27)/MAX(1,COUNTIF('93_TARGET_MEMBERSHIP'!BV$5:BV$27,-1))))</f>
        <v/>
      </c>
      <c r="J77" s="34">
        <f>IF($B77="ABSOLUTE SEMANTIC",ABS('06_ITEM_POLE_MODEL'!S77),ABS('06_ITEM_POLE_MODEL'!S77)*ABS(SUMPRODUCT(--('93_TARGET_MEMBERSHIP'!BV$5:BV$27=1),'05_FEATURE_MODEL'!K$5:K$27)/MAX(1,COUNTIF('93_TARGET_MEMBERSHIP'!BV$5:BV$27,1))-SUMPRODUCT(--('93_TARGET_MEMBERSHIP'!BV$5:BV$27=-1),'05_FEATURE_MODEL'!K$5:K$27)/MAX(1,COUNTIF('93_TARGET_MEMBERSHIP'!BV$5:BV$27,-1))))</f>
        <v/>
      </c>
      <c r="K77" s="34">
        <f>IF($B77="ABSOLUTE SEMANTIC",ABS('06_ITEM_POLE_MODEL'!T77),ABS('06_ITEM_POLE_MODEL'!T77)*ABS(SUMPRODUCT(--('93_TARGET_MEMBERSHIP'!BV$5:BV$27=1),'05_FEATURE_MODEL'!L$5:L$27)/MAX(1,COUNTIF('93_TARGET_MEMBERSHIP'!BV$5:BV$27,1))-SUMPRODUCT(--('93_TARGET_MEMBERSHIP'!BV$5:BV$27=-1),'05_FEATURE_MODEL'!L$5:L$27)/MAX(1,COUNTIF('93_TARGET_MEMBERSHIP'!BV$5:BV$27,-1))))</f>
        <v/>
      </c>
      <c r="L77" s="34">
        <f>IF($B77="ABSOLUTE SEMANTIC",ABS('06_ITEM_POLE_MODEL'!U77),ABS('06_ITEM_POLE_MODEL'!U77)*ABS(SUMPRODUCT(--('93_TARGET_MEMBERSHIP'!BV$5:BV$27=1),'05_FEATURE_MODEL'!M$5:M$27)/MAX(1,COUNTIF('93_TARGET_MEMBERSHIP'!BV$5:BV$27,1))-SUMPRODUCT(--('93_TARGET_MEMBERSHIP'!BV$5:BV$27=-1),'05_FEATURE_MODEL'!M$5:M$27)/MAX(1,COUNTIF('93_TARGET_MEMBERSHIP'!BV$5:BV$27,-1))))</f>
        <v/>
      </c>
      <c r="M77" s="34">
        <f>IF($B77="ABSOLUTE SEMANTIC",ABS('06_ITEM_POLE_MODEL'!V77),ABS('06_ITEM_POLE_MODEL'!V77)*ABS(SUMPRODUCT(--('93_TARGET_MEMBERSHIP'!BV$5:BV$27=1),'05_FEATURE_MODEL'!N$5:N$27)/MAX(1,COUNTIF('93_TARGET_MEMBERSHIP'!BV$5:BV$27,1))-SUMPRODUCT(--('93_TARGET_MEMBERSHIP'!BV$5:BV$27=-1),'05_FEATURE_MODEL'!N$5:N$27)/MAX(1,COUNTIF('93_TARGET_MEMBERSHIP'!BV$5:BV$27,-1))))</f>
        <v/>
      </c>
      <c r="N77" s="34">
        <f>IF($B77="ABSOLUTE SEMANTIC",ABS('06_ITEM_POLE_MODEL'!W77),ABS('06_ITEM_POLE_MODEL'!W77)*ABS(SUMPRODUCT(--('93_TARGET_MEMBERSHIP'!BV$5:BV$27=1),'05_FEATURE_MODEL'!O$5:O$27)/MAX(1,COUNTIF('93_TARGET_MEMBERSHIP'!BV$5:BV$27,1))-SUMPRODUCT(--('93_TARGET_MEMBERSHIP'!BV$5:BV$27=-1),'05_FEATURE_MODEL'!O$5:O$27)/MAX(1,COUNTIF('93_TARGET_MEMBERSHIP'!BV$5:BV$27,-1))))</f>
        <v/>
      </c>
      <c r="O77" s="34">
        <f>IF($B77="ABSOLUTE SEMANTIC",ABS('06_ITEM_POLE_MODEL'!X77),ABS('06_ITEM_POLE_MODEL'!X77)*ABS(SUMPRODUCT(--('93_TARGET_MEMBERSHIP'!BV$5:BV$27=1),'05_FEATURE_MODEL'!P$5:P$27)/MAX(1,COUNTIF('93_TARGET_MEMBERSHIP'!BV$5:BV$27,1))-SUMPRODUCT(--('93_TARGET_MEMBERSHIP'!BV$5:BV$27=-1),'05_FEATURE_MODEL'!P$5:P$27)/MAX(1,COUNTIF('93_TARGET_MEMBERSHIP'!BV$5:BV$27,-1))))</f>
        <v/>
      </c>
      <c r="P77" s="34">
        <f>IF($B77="ABSOLUTE SEMANTIC",ABS('06_ITEM_POLE_MODEL'!Y77),ABS('06_ITEM_POLE_MODEL'!Y77)*ABS(SUMPRODUCT(--('93_TARGET_MEMBERSHIP'!BV$5:BV$27=1),'05_FEATURE_MODEL'!Q$5:Q$27)/MAX(1,COUNTIF('93_TARGET_MEMBERSHIP'!BV$5:BV$27,1))-SUMPRODUCT(--('93_TARGET_MEMBERSHIP'!BV$5:BV$27=-1),'05_FEATURE_MODEL'!Q$5:Q$27)/MAX(1,COUNTIF('93_TARGET_MEMBERSHIP'!BV$5:BV$27,-1))))</f>
        <v/>
      </c>
      <c r="Q77" s="34">
        <f>IF($B77="ABSOLUTE SEMANTIC",ABS('06_ITEM_POLE_MODEL'!Z77),ABS('06_ITEM_POLE_MODEL'!Z77)*ABS(SUMPRODUCT(--('93_TARGET_MEMBERSHIP'!BV$5:BV$27=1),'05_FEATURE_MODEL'!R$5:R$27)/MAX(1,COUNTIF('93_TARGET_MEMBERSHIP'!BV$5:BV$27,1))-SUMPRODUCT(--('93_TARGET_MEMBERSHIP'!BV$5:BV$27=-1),'05_FEATURE_MODEL'!R$5:R$27)/MAX(1,COUNTIF('93_TARGET_MEMBERSHIP'!BV$5:BV$27,-1))))</f>
        <v/>
      </c>
      <c r="R77" s="34">
        <f>IF($B77="ABSOLUTE SEMANTIC",ABS('06_ITEM_POLE_MODEL'!AA77),ABS('06_ITEM_POLE_MODEL'!AA77)*ABS(SUMPRODUCT(--('93_TARGET_MEMBERSHIP'!BV$5:BV$27=1),'05_FEATURE_MODEL'!S$5:S$27)/MAX(1,COUNTIF('93_TARGET_MEMBERSHIP'!BV$5:BV$27,1))-SUMPRODUCT(--('93_TARGET_MEMBERSHIP'!BV$5:BV$27=-1),'05_FEATURE_MODEL'!S$5:S$27)/MAX(1,COUNTIF('93_TARGET_MEMBERSHIP'!BV$5:BV$27,-1))))</f>
        <v/>
      </c>
      <c r="S77" s="34">
        <f>IF($B77="ABSOLUTE SEMANTIC",ABS('06_ITEM_POLE_MODEL'!AB77),ABS('06_ITEM_POLE_MODEL'!AB77)*ABS(SUMPRODUCT(--('93_TARGET_MEMBERSHIP'!BV$5:BV$27=1),'05_FEATURE_MODEL'!T$5:T$27)/MAX(1,COUNTIF('93_TARGET_MEMBERSHIP'!BV$5:BV$27,1))-SUMPRODUCT(--('93_TARGET_MEMBERSHIP'!BV$5:BV$27=-1),'05_FEATURE_MODEL'!T$5:T$27)/MAX(1,COUNTIF('93_TARGET_MEMBERSHIP'!BV$5:BV$27,-1))))</f>
        <v/>
      </c>
      <c r="T77" s="34">
        <f>IF($B77="ABSOLUTE SEMANTIC",ABS('06_ITEM_POLE_MODEL'!AC77),ABS('06_ITEM_POLE_MODEL'!AC77)*ABS(SUMPRODUCT(--('93_TARGET_MEMBERSHIP'!BV$5:BV$27=1),'05_FEATURE_MODEL'!U$5:U$27)/MAX(1,COUNTIF('93_TARGET_MEMBERSHIP'!BV$5:BV$27,1))-SUMPRODUCT(--('93_TARGET_MEMBERSHIP'!BV$5:BV$27=-1),'05_FEATURE_MODEL'!U$5:U$27)/MAX(1,COUNTIF('93_TARGET_MEMBERSHIP'!BV$5:BV$27,-1))))</f>
        <v/>
      </c>
      <c r="U77" s="34">
        <f>IF($B77="ABSOLUTE SEMANTIC",ABS('06_ITEM_POLE_MODEL'!AD77),ABS('06_ITEM_POLE_MODEL'!AD77)*ABS(SUMPRODUCT(--('93_TARGET_MEMBERSHIP'!BV$5:BV$27=1),'05_FEATURE_MODEL'!V$5:V$27)/MAX(1,COUNTIF('93_TARGET_MEMBERSHIP'!BV$5:BV$27,1))-SUMPRODUCT(--('93_TARGET_MEMBERSHIP'!BV$5:BV$27=-1),'05_FEATURE_MODEL'!V$5:V$27)/MAX(1,COUNTIF('93_TARGET_MEMBERSHIP'!BV$5:BV$27,-1))))</f>
        <v/>
      </c>
      <c r="V77" s="34">
        <f>IF($B77="ABSOLUTE SEMANTIC",ABS('06_ITEM_POLE_MODEL'!AE77),ABS('06_ITEM_POLE_MODEL'!AE77)*ABS(SUMPRODUCT(--('93_TARGET_MEMBERSHIP'!BV$5:BV$27=1),'05_FEATURE_MODEL'!W$5:W$27)/MAX(1,COUNTIF('93_TARGET_MEMBERSHIP'!BV$5:BV$27,1))-SUMPRODUCT(--('93_TARGET_MEMBERSHIP'!BV$5:BV$27=-1),'05_FEATURE_MODEL'!W$5:W$27)/MAX(1,COUNTIF('93_TARGET_MEMBERSHIP'!BV$5:BV$27,-1))))</f>
        <v/>
      </c>
      <c r="W77" s="34">
        <f>IF($B77="ABSOLUTE SEMANTIC",ABS('06_ITEM_POLE_MODEL'!AF77),ABS('06_ITEM_POLE_MODEL'!AF77)*ABS(SUMPRODUCT(--('93_TARGET_MEMBERSHIP'!BV$5:BV$27=1),'05_FEATURE_MODEL'!X$5:X$27)/MAX(1,COUNTIF('93_TARGET_MEMBERSHIP'!BV$5:BV$27,1))-SUMPRODUCT(--('93_TARGET_MEMBERSHIP'!BV$5:BV$27=-1),'05_FEATURE_MODEL'!X$5:X$27)/MAX(1,COUNTIF('93_TARGET_MEMBERSHIP'!BV$5:BV$27,-1))))</f>
        <v/>
      </c>
      <c r="X77" s="34">
        <f>IF($B77="ABSOLUTE SEMANTIC",ABS('06_ITEM_POLE_MODEL'!AG77),ABS('06_ITEM_POLE_MODEL'!AG77)*ABS(SUMPRODUCT(--('93_TARGET_MEMBERSHIP'!BV$5:BV$27=1),'05_FEATURE_MODEL'!Y$5:Y$27)/MAX(1,COUNTIF('93_TARGET_MEMBERSHIP'!BV$5:BV$27,1))-SUMPRODUCT(--('93_TARGET_MEMBERSHIP'!BV$5:BV$27=-1),'05_FEATURE_MODEL'!Y$5:Y$27)/MAX(1,COUNTIF('93_TARGET_MEMBERSHIP'!BV$5:BV$27,-1))))</f>
        <v/>
      </c>
      <c r="Y77" s="34">
        <f>IF($B77="ABSOLUTE SEMANTIC",ABS('06_ITEM_POLE_MODEL'!AH77),ABS('06_ITEM_POLE_MODEL'!AH77)*ABS(SUMPRODUCT(--('93_TARGET_MEMBERSHIP'!BV$5:BV$27=1),'05_FEATURE_MODEL'!Z$5:Z$27)/MAX(1,COUNTIF('93_TARGET_MEMBERSHIP'!BV$5:BV$27,1))-SUMPRODUCT(--('93_TARGET_MEMBERSHIP'!BV$5:BV$27=-1),'05_FEATURE_MODEL'!Z$5:Z$27)/MAX(1,COUNTIF('93_TARGET_MEMBERSHIP'!BV$5:BV$27,-1))))</f>
        <v/>
      </c>
      <c r="Z77" s="34">
        <f>IF($B77="ABSOLUTE SEMANTIC",ABS('06_ITEM_POLE_MODEL'!AI77),ABS('06_ITEM_POLE_MODEL'!AI77)*ABS(SUMPRODUCT(--('93_TARGET_MEMBERSHIP'!BV$5:BV$27=1),'05_FEATURE_MODEL'!AA$5:AA$27)/MAX(1,COUNTIF('93_TARGET_MEMBERSHIP'!BV$5:BV$27,1))-SUMPRODUCT(--('93_TARGET_MEMBERSHIP'!BV$5:BV$27=-1),'05_FEATURE_MODEL'!AA$5:AA$27)/MAX(1,COUNTIF('93_TARGET_MEMBERSHIP'!BV$5:BV$27,-1))))</f>
        <v/>
      </c>
      <c r="AA77" s="34">
        <f>IF($B77="ABSOLUTE SEMANTIC",ABS('06_ITEM_POLE_MODEL'!AJ77),ABS('06_ITEM_POLE_MODEL'!AJ77)*ABS(SUMPRODUCT(--('93_TARGET_MEMBERSHIP'!BV$5:BV$27=1),'05_FEATURE_MODEL'!AB$5:AB$27)/MAX(1,COUNTIF('93_TARGET_MEMBERSHIP'!BV$5:BV$27,1))-SUMPRODUCT(--('93_TARGET_MEMBERSHIP'!BV$5:BV$27=-1),'05_FEATURE_MODEL'!AB$5:AB$27)/MAX(1,COUNTIF('93_TARGET_MEMBERSHIP'!BV$5:BV$27,-1))))</f>
        <v/>
      </c>
      <c r="AB77" s="34">
        <f>IF($B77="ABSOLUTE SEMANTIC",ABS('06_ITEM_POLE_MODEL'!AK77),ABS('06_ITEM_POLE_MODEL'!AK77)*ABS(SUMPRODUCT(--('93_TARGET_MEMBERSHIP'!BV$5:BV$27=1),'05_FEATURE_MODEL'!AC$5:AC$27)/MAX(1,COUNTIF('93_TARGET_MEMBERSHIP'!BV$5:BV$27,1))-SUMPRODUCT(--('93_TARGET_MEMBERSHIP'!BV$5:BV$27=-1),'05_FEATURE_MODEL'!AC$5:AC$27)/MAX(1,COUNTIF('93_TARGET_MEMBERSHIP'!BV$5:BV$27,-1))))</f>
        <v/>
      </c>
      <c r="AC77" s="34">
        <f>IF($B77="ABSOLUTE SEMANTIC",ABS('06_ITEM_POLE_MODEL'!AL77),ABS('06_ITEM_POLE_MODEL'!AL77)*ABS(SUMPRODUCT(--('93_TARGET_MEMBERSHIP'!BV$5:BV$27=1),'05_FEATURE_MODEL'!AD$5:AD$27)/MAX(1,COUNTIF('93_TARGET_MEMBERSHIP'!BV$5:BV$27,1))-SUMPRODUCT(--('93_TARGET_MEMBERSHIP'!BV$5:BV$27=-1),'05_FEATURE_MODEL'!AD$5:AD$27)/MAX(1,COUNTIF('93_TARGET_MEMBERSHIP'!BV$5:BV$27,-1))))</f>
        <v/>
      </c>
      <c r="AD77" s="34">
        <f>IF($B77="ABSOLUTE SEMANTIC",ABS('06_ITEM_POLE_MODEL'!AM77),ABS('06_ITEM_POLE_MODEL'!AM77)*ABS(SUMPRODUCT(--('93_TARGET_MEMBERSHIP'!BV$5:BV$27=1),'05_FEATURE_MODEL'!AE$5:AE$27)/MAX(1,COUNTIF('93_TARGET_MEMBERSHIP'!BV$5:BV$27,1))-SUMPRODUCT(--('93_TARGET_MEMBERSHIP'!BV$5:BV$27=-1),'05_FEATURE_MODEL'!AE$5:AE$27)/MAX(1,COUNTIF('93_TARGET_MEMBERSHIP'!BV$5:BV$27,-1))))</f>
        <v/>
      </c>
      <c r="AE77" s="34">
        <f>IF($B77="ABSOLUTE SEMANTIC",ABS('06_ITEM_POLE_MODEL'!AN77),ABS('06_ITEM_POLE_MODEL'!AN77)*ABS(SUMPRODUCT(--('93_TARGET_MEMBERSHIP'!BV$5:BV$27=1),'05_FEATURE_MODEL'!AF$5:AF$27)/MAX(1,COUNTIF('93_TARGET_MEMBERSHIP'!BV$5:BV$27,1))-SUMPRODUCT(--('93_TARGET_MEMBERSHIP'!BV$5:BV$27=-1),'05_FEATURE_MODEL'!AF$5:AF$27)/MAX(1,COUNTIF('93_TARGET_MEMBERSHIP'!BV$5:BV$27,-1))))</f>
        <v/>
      </c>
      <c r="AF77" s="34">
        <f>IF($B77="ABSOLUTE SEMANTIC",ABS('06_ITEM_POLE_MODEL'!AO77),ABS('06_ITEM_POLE_MODEL'!AO77)*ABS(SUMPRODUCT(--('93_TARGET_MEMBERSHIP'!BV$5:BV$27=1),'05_FEATURE_MODEL'!AG$5:AG$27)/MAX(1,COUNTIF('93_TARGET_MEMBERSHIP'!BV$5:BV$27,1))-SUMPRODUCT(--('93_TARGET_MEMBERSHIP'!BV$5:BV$27=-1),'05_FEATURE_MODEL'!AG$5:AG$27)/MAX(1,COUNTIF('93_TARGET_MEMBERSHIP'!BV$5:BV$27,-1))))</f>
        <v/>
      </c>
      <c r="AG77" s="34">
        <f>IF($B77="ABSOLUTE SEMANTIC",ABS('06_ITEM_POLE_MODEL'!AP77),ABS('06_ITEM_POLE_MODEL'!AP77)*ABS(SUMPRODUCT(--('93_TARGET_MEMBERSHIP'!BV$5:BV$27=1),'05_FEATURE_MODEL'!AH$5:AH$27)/MAX(1,COUNTIF('93_TARGET_MEMBERSHIP'!BV$5:BV$27,1))-SUMPRODUCT(--('93_TARGET_MEMBERSHIP'!BV$5:BV$27=-1),'05_FEATURE_MODEL'!AH$5:AH$27)/MAX(1,COUNTIF('93_TARGET_MEMBERSHIP'!BV$5:BV$27,-1))))</f>
        <v/>
      </c>
      <c r="AH77" s="34">
        <f>IF($B77="ABSOLUTE SEMANTIC",ABS('06_ITEM_POLE_MODEL'!AQ77),ABS('06_ITEM_POLE_MODEL'!AQ77)*ABS(SUMPRODUCT(--('93_TARGET_MEMBERSHIP'!BV$5:BV$27=1),'05_FEATURE_MODEL'!AI$5:AI$27)/MAX(1,COUNTIF('93_TARGET_MEMBERSHIP'!BV$5:BV$27,1))-SUMPRODUCT(--('93_TARGET_MEMBERSHIP'!BV$5:BV$27=-1),'05_FEATURE_MODEL'!AI$5:AI$27)/MAX(1,COUNTIF('93_TARGET_MEMBERSHIP'!BV$5:BV$27,-1))))</f>
        <v/>
      </c>
      <c r="AI77" s="34">
        <f>IF($B77="ABSOLUTE SEMANTIC",ABS('06_ITEM_POLE_MODEL'!AR77),ABS('06_ITEM_POLE_MODEL'!AR77)*ABS(SUMPRODUCT(--('93_TARGET_MEMBERSHIP'!BV$5:BV$27=1),'05_FEATURE_MODEL'!AJ$5:AJ$27)/MAX(1,COUNTIF('93_TARGET_MEMBERSHIP'!BV$5:BV$27,1))-SUMPRODUCT(--('93_TARGET_MEMBERSHIP'!BV$5:BV$27=-1),'05_FEATURE_MODEL'!AJ$5:AJ$27)/MAX(1,COUNTIF('93_TARGET_MEMBERSHIP'!BV$5:BV$27,-1))))</f>
        <v/>
      </c>
      <c r="AJ77" s="34">
        <f>IF($B77="ABSOLUTE SEMANTIC",ABS('06_ITEM_POLE_MODEL'!AS77),ABS('06_ITEM_POLE_MODEL'!AS77)*ABS(SUMPRODUCT(--('93_TARGET_MEMBERSHIP'!BV$5:BV$27=1),'05_FEATURE_MODEL'!AK$5:AK$27)/MAX(1,COUNTIF('93_TARGET_MEMBERSHIP'!BV$5:BV$27,1))-SUMPRODUCT(--('93_TARGET_MEMBERSHIP'!BV$5:BV$27=-1),'05_FEATURE_MODEL'!AK$5:AK$27)/MAX(1,COUNTIF('93_TARGET_MEMBERSHIP'!BV$5:BV$27,-1))))</f>
        <v/>
      </c>
      <c r="AK77" s="34">
        <f>IF($B77="ABSOLUTE SEMANTIC",ABS('06_ITEM_POLE_MODEL'!AT77),ABS('06_ITEM_POLE_MODEL'!AT77)*ABS(SUMPRODUCT(--('93_TARGET_MEMBERSHIP'!BV$5:BV$27=1),'05_FEATURE_MODEL'!AL$5:AL$27)/MAX(1,COUNTIF('93_TARGET_MEMBERSHIP'!BV$5:BV$27,1))-SUMPRODUCT(--('93_TARGET_MEMBERSHIP'!BV$5:BV$27=-1),'05_FEATURE_MODEL'!AL$5:AL$27)/MAX(1,COUNTIF('93_TARGET_MEMBERSHIP'!BV$5:BV$27,-1))))</f>
        <v/>
      </c>
      <c r="AL77" s="34">
        <f>IF($B77="ABSOLUTE SEMANTIC",ABS('06_ITEM_POLE_MODEL'!AU77),ABS('06_ITEM_POLE_MODEL'!AU77)*ABS(SUMPRODUCT(--('93_TARGET_MEMBERSHIP'!BV$5:BV$27=1),'05_FEATURE_MODEL'!AM$5:AM$27)/MAX(1,COUNTIF('93_TARGET_MEMBERSHIP'!BV$5:BV$27,1))-SUMPRODUCT(--('93_TARGET_MEMBERSHIP'!BV$5:BV$27=-1),'05_FEATURE_MODEL'!AM$5:AM$27)/MAX(1,COUNTIF('93_TARGET_MEMBERSHIP'!BV$5:BV$27,-1))))</f>
        <v/>
      </c>
      <c r="AM77" s="34">
        <f>IF($B77="ABSOLUTE SEMANTIC",ABS('06_ITEM_POLE_MODEL'!AV77),ABS('06_ITEM_POLE_MODEL'!AV77)*ABS(SUMPRODUCT(--('93_TARGET_MEMBERSHIP'!BV$5:BV$27=1),'05_FEATURE_MODEL'!AN$5:AN$27)/MAX(1,COUNTIF('93_TARGET_MEMBERSHIP'!BV$5:BV$27,1))-SUMPRODUCT(--('93_TARGET_MEMBERSHIP'!BV$5:BV$27=-1),'05_FEATURE_MODEL'!AN$5:AN$27)/MAX(1,COUNTIF('93_TARGET_MEMBERSHIP'!BV$5:BV$27,-1))))</f>
        <v/>
      </c>
      <c r="AN77" s="34">
        <f>IF($B77="ABSOLUTE SEMANTIC",ABS('06_ITEM_POLE_MODEL'!AW77),ABS('06_ITEM_POLE_MODEL'!AW77)*ABS(SUMPRODUCT(--('93_TARGET_MEMBERSHIP'!BV$5:BV$27=1),'05_FEATURE_MODEL'!AO$5:AO$27)/MAX(1,COUNTIF('93_TARGET_MEMBERSHIP'!BV$5:BV$27,1))-SUMPRODUCT(--('93_TARGET_MEMBERSHIP'!BV$5:BV$27=-1),'05_FEATURE_MODEL'!AO$5:AO$27)/MAX(1,COUNTIF('93_TARGET_MEMBERSHIP'!BV$5:BV$27,-1))))</f>
        <v/>
      </c>
      <c r="AO77" s="34">
        <f>IF($B77="ABSOLUTE SEMANTIC",ABS('06_ITEM_POLE_MODEL'!AX77),ABS('06_ITEM_POLE_MODEL'!AX77)*ABS(SUMPRODUCT(--('93_TARGET_MEMBERSHIP'!BV$5:BV$27=1),'05_FEATURE_MODEL'!AP$5:AP$27)/MAX(1,COUNTIF('93_TARGET_MEMBERSHIP'!BV$5:BV$27,1))-SUMPRODUCT(--('93_TARGET_MEMBERSHIP'!BV$5:BV$27=-1),'05_FEATURE_MODEL'!AP$5:AP$27)/MAX(1,COUNTIF('93_TARGET_MEMBERSHIP'!BV$5:BV$27,-1))))</f>
        <v/>
      </c>
      <c r="AP77" s="34">
        <f>IF($B77="ABSOLUTE SEMANTIC",ABS('06_ITEM_POLE_MODEL'!AY77),ABS('06_ITEM_POLE_MODEL'!AY77)*ABS(SUMPRODUCT(--('93_TARGET_MEMBERSHIP'!BV$5:BV$27=1),'05_FEATURE_MODEL'!AQ$5:AQ$27)/MAX(1,COUNTIF('93_TARGET_MEMBERSHIP'!BV$5:BV$27,1))-SUMPRODUCT(--('93_TARGET_MEMBERSHIP'!BV$5:BV$27=-1),'05_FEATURE_MODEL'!AQ$5:AQ$27)/MAX(1,COUNTIF('93_TARGET_MEMBERSHIP'!BV$5:BV$27,-1))))</f>
        <v/>
      </c>
      <c r="AQ77" s="34">
        <f>IF($B77="ABSOLUTE SEMANTIC",ABS('06_ITEM_POLE_MODEL'!AZ77),ABS('06_ITEM_POLE_MODEL'!AZ77)*ABS(SUMPRODUCT(--('93_TARGET_MEMBERSHIP'!BV$5:BV$27=1),'05_FEATURE_MODEL'!AR$5:AR$27)/MAX(1,COUNTIF('93_TARGET_MEMBERSHIP'!BV$5:BV$27,1))-SUMPRODUCT(--('93_TARGET_MEMBERSHIP'!BV$5:BV$27=-1),'05_FEATURE_MODEL'!AR$5:AR$27)/MAX(1,COUNTIF('93_TARGET_MEMBERSHIP'!BV$5:BV$27,-1))))</f>
        <v/>
      </c>
    </row>
    <row r="78" ht="36" customHeight="1">
      <c r="A78" s="34">
        <f>'06_ITEM_POLE_MODEL'!A78</f>
        <v/>
      </c>
      <c r="B78" s="34">
        <f>'06_ITEM_POLE_MODEL'!E78</f>
        <v/>
      </c>
      <c r="C78" s="34">
        <f>IF($B78="ABSOLUTE SEMANTIC",ABS('06_ITEM_POLE_MODEL'!L78),ABS('06_ITEM_POLE_MODEL'!L78)*ABS(SUMPRODUCT(--('93_TARGET_MEMBERSHIP'!BW$5:BW$27=1),'05_FEATURE_MODEL'!D$5:D$27)/MAX(1,COUNTIF('93_TARGET_MEMBERSHIP'!BW$5:BW$27,1))-SUMPRODUCT(--('93_TARGET_MEMBERSHIP'!BW$5:BW$27=-1),'05_FEATURE_MODEL'!D$5:D$27)/MAX(1,COUNTIF('93_TARGET_MEMBERSHIP'!BW$5:BW$27,-1))))</f>
        <v/>
      </c>
      <c r="D78" s="34">
        <f>IF($B78="ABSOLUTE SEMANTIC",ABS('06_ITEM_POLE_MODEL'!M78),ABS('06_ITEM_POLE_MODEL'!M78)*ABS(SUMPRODUCT(--('93_TARGET_MEMBERSHIP'!BW$5:BW$27=1),'05_FEATURE_MODEL'!E$5:E$27)/MAX(1,COUNTIF('93_TARGET_MEMBERSHIP'!BW$5:BW$27,1))-SUMPRODUCT(--('93_TARGET_MEMBERSHIP'!BW$5:BW$27=-1),'05_FEATURE_MODEL'!E$5:E$27)/MAX(1,COUNTIF('93_TARGET_MEMBERSHIP'!BW$5:BW$27,-1))))</f>
        <v/>
      </c>
      <c r="E78" s="34">
        <f>IF($B78="ABSOLUTE SEMANTIC",ABS('06_ITEM_POLE_MODEL'!N78),ABS('06_ITEM_POLE_MODEL'!N78)*ABS(SUMPRODUCT(--('93_TARGET_MEMBERSHIP'!BW$5:BW$27=1),'05_FEATURE_MODEL'!F$5:F$27)/MAX(1,COUNTIF('93_TARGET_MEMBERSHIP'!BW$5:BW$27,1))-SUMPRODUCT(--('93_TARGET_MEMBERSHIP'!BW$5:BW$27=-1),'05_FEATURE_MODEL'!F$5:F$27)/MAX(1,COUNTIF('93_TARGET_MEMBERSHIP'!BW$5:BW$27,-1))))</f>
        <v/>
      </c>
      <c r="F78" s="34">
        <f>IF($B78="ABSOLUTE SEMANTIC",ABS('06_ITEM_POLE_MODEL'!O78),ABS('06_ITEM_POLE_MODEL'!O78)*ABS(SUMPRODUCT(--('93_TARGET_MEMBERSHIP'!BW$5:BW$27=1),'05_FEATURE_MODEL'!G$5:G$27)/MAX(1,COUNTIF('93_TARGET_MEMBERSHIP'!BW$5:BW$27,1))-SUMPRODUCT(--('93_TARGET_MEMBERSHIP'!BW$5:BW$27=-1),'05_FEATURE_MODEL'!G$5:G$27)/MAX(1,COUNTIF('93_TARGET_MEMBERSHIP'!BW$5:BW$27,-1))))</f>
        <v/>
      </c>
      <c r="G78" s="34">
        <f>IF($B78="ABSOLUTE SEMANTIC",ABS('06_ITEM_POLE_MODEL'!P78),ABS('06_ITEM_POLE_MODEL'!P78)*ABS(SUMPRODUCT(--('93_TARGET_MEMBERSHIP'!BW$5:BW$27=1),'05_FEATURE_MODEL'!H$5:H$27)/MAX(1,COUNTIF('93_TARGET_MEMBERSHIP'!BW$5:BW$27,1))-SUMPRODUCT(--('93_TARGET_MEMBERSHIP'!BW$5:BW$27=-1),'05_FEATURE_MODEL'!H$5:H$27)/MAX(1,COUNTIF('93_TARGET_MEMBERSHIP'!BW$5:BW$27,-1))))</f>
        <v/>
      </c>
      <c r="H78" s="34">
        <f>IF($B78="ABSOLUTE SEMANTIC",ABS('06_ITEM_POLE_MODEL'!Q78),ABS('06_ITEM_POLE_MODEL'!Q78)*ABS(SUMPRODUCT(--('93_TARGET_MEMBERSHIP'!BW$5:BW$27=1),'05_FEATURE_MODEL'!I$5:I$27)/MAX(1,COUNTIF('93_TARGET_MEMBERSHIP'!BW$5:BW$27,1))-SUMPRODUCT(--('93_TARGET_MEMBERSHIP'!BW$5:BW$27=-1),'05_FEATURE_MODEL'!I$5:I$27)/MAX(1,COUNTIF('93_TARGET_MEMBERSHIP'!BW$5:BW$27,-1))))</f>
        <v/>
      </c>
      <c r="I78" s="34">
        <f>IF($B78="ABSOLUTE SEMANTIC",ABS('06_ITEM_POLE_MODEL'!R78),ABS('06_ITEM_POLE_MODEL'!R78)*ABS(SUMPRODUCT(--('93_TARGET_MEMBERSHIP'!BW$5:BW$27=1),'05_FEATURE_MODEL'!J$5:J$27)/MAX(1,COUNTIF('93_TARGET_MEMBERSHIP'!BW$5:BW$27,1))-SUMPRODUCT(--('93_TARGET_MEMBERSHIP'!BW$5:BW$27=-1),'05_FEATURE_MODEL'!J$5:J$27)/MAX(1,COUNTIF('93_TARGET_MEMBERSHIP'!BW$5:BW$27,-1))))</f>
        <v/>
      </c>
      <c r="J78" s="34">
        <f>IF($B78="ABSOLUTE SEMANTIC",ABS('06_ITEM_POLE_MODEL'!S78),ABS('06_ITEM_POLE_MODEL'!S78)*ABS(SUMPRODUCT(--('93_TARGET_MEMBERSHIP'!BW$5:BW$27=1),'05_FEATURE_MODEL'!K$5:K$27)/MAX(1,COUNTIF('93_TARGET_MEMBERSHIP'!BW$5:BW$27,1))-SUMPRODUCT(--('93_TARGET_MEMBERSHIP'!BW$5:BW$27=-1),'05_FEATURE_MODEL'!K$5:K$27)/MAX(1,COUNTIF('93_TARGET_MEMBERSHIP'!BW$5:BW$27,-1))))</f>
        <v/>
      </c>
      <c r="K78" s="34">
        <f>IF($B78="ABSOLUTE SEMANTIC",ABS('06_ITEM_POLE_MODEL'!T78),ABS('06_ITEM_POLE_MODEL'!T78)*ABS(SUMPRODUCT(--('93_TARGET_MEMBERSHIP'!BW$5:BW$27=1),'05_FEATURE_MODEL'!L$5:L$27)/MAX(1,COUNTIF('93_TARGET_MEMBERSHIP'!BW$5:BW$27,1))-SUMPRODUCT(--('93_TARGET_MEMBERSHIP'!BW$5:BW$27=-1),'05_FEATURE_MODEL'!L$5:L$27)/MAX(1,COUNTIF('93_TARGET_MEMBERSHIP'!BW$5:BW$27,-1))))</f>
        <v/>
      </c>
      <c r="L78" s="34">
        <f>IF($B78="ABSOLUTE SEMANTIC",ABS('06_ITEM_POLE_MODEL'!U78),ABS('06_ITEM_POLE_MODEL'!U78)*ABS(SUMPRODUCT(--('93_TARGET_MEMBERSHIP'!BW$5:BW$27=1),'05_FEATURE_MODEL'!M$5:M$27)/MAX(1,COUNTIF('93_TARGET_MEMBERSHIP'!BW$5:BW$27,1))-SUMPRODUCT(--('93_TARGET_MEMBERSHIP'!BW$5:BW$27=-1),'05_FEATURE_MODEL'!M$5:M$27)/MAX(1,COUNTIF('93_TARGET_MEMBERSHIP'!BW$5:BW$27,-1))))</f>
        <v/>
      </c>
      <c r="M78" s="34">
        <f>IF($B78="ABSOLUTE SEMANTIC",ABS('06_ITEM_POLE_MODEL'!V78),ABS('06_ITEM_POLE_MODEL'!V78)*ABS(SUMPRODUCT(--('93_TARGET_MEMBERSHIP'!BW$5:BW$27=1),'05_FEATURE_MODEL'!N$5:N$27)/MAX(1,COUNTIF('93_TARGET_MEMBERSHIP'!BW$5:BW$27,1))-SUMPRODUCT(--('93_TARGET_MEMBERSHIP'!BW$5:BW$27=-1),'05_FEATURE_MODEL'!N$5:N$27)/MAX(1,COUNTIF('93_TARGET_MEMBERSHIP'!BW$5:BW$27,-1))))</f>
        <v/>
      </c>
      <c r="N78" s="34">
        <f>IF($B78="ABSOLUTE SEMANTIC",ABS('06_ITEM_POLE_MODEL'!W78),ABS('06_ITEM_POLE_MODEL'!W78)*ABS(SUMPRODUCT(--('93_TARGET_MEMBERSHIP'!BW$5:BW$27=1),'05_FEATURE_MODEL'!O$5:O$27)/MAX(1,COUNTIF('93_TARGET_MEMBERSHIP'!BW$5:BW$27,1))-SUMPRODUCT(--('93_TARGET_MEMBERSHIP'!BW$5:BW$27=-1),'05_FEATURE_MODEL'!O$5:O$27)/MAX(1,COUNTIF('93_TARGET_MEMBERSHIP'!BW$5:BW$27,-1))))</f>
        <v/>
      </c>
      <c r="O78" s="34">
        <f>IF($B78="ABSOLUTE SEMANTIC",ABS('06_ITEM_POLE_MODEL'!X78),ABS('06_ITEM_POLE_MODEL'!X78)*ABS(SUMPRODUCT(--('93_TARGET_MEMBERSHIP'!BW$5:BW$27=1),'05_FEATURE_MODEL'!P$5:P$27)/MAX(1,COUNTIF('93_TARGET_MEMBERSHIP'!BW$5:BW$27,1))-SUMPRODUCT(--('93_TARGET_MEMBERSHIP'!BW$5:BW$27=-1),'05_FEATURE_MODEL'!P$5:P$27)/MAX(1,COUNTIF('93_TARGET_MEMBERSHIP'!BW$5:BW$27,-1))))</f>
        <v/>
      </c>
      <c r="P78" s="34">
        <f>IF($B78="ABSOLUTE SEMANTIC",ABS('06_ITEM_POLE_MODEL'!Y78),ABS('06_ITEM_POLE_MODEL'!Y78)*ABS(SUMPRODUCT(--('93_TARGET_MEMBERSHIP'!BW$5:BW$27=1),'05_FEATURE_MODEL'!Q$5:Q$27)/MAX(1,COUNTIF('93_TARGET_MEMBERSHIP'!BW$5:BW$27,1))-SUMPRODUCT(--('93_TARGET_MEMBERSHIP'!BW$5:BW$27=-1),'05_FEATURE_MODEL'!Q$5:Q$27)/MAX(1,COUNTIF('93_TARGET_MEMBERSHIP'!BW$5:BW$27,-1))))</f>
        <v/>
      </c>
      <c r="Q78" s="34">
        <f>IF($B78="ABSOLUTE SEMANTIC",ABS('06_ITEM_POLE_MODEL'!Z78),ABS('06_ITEM_POLE_MODEL'!Z78)*ABS(SUMPRODUCT(--('93_TARGET_MEMBERSHIP'!BW$5:BW$27=1),'05_FEATURE_MODEL'!R$5:R$27)/MAX(1,COUNTIF('93_TARGET_MEMBERSHIP'!BW$5:BW$27,1))-SUMPRODUCT(--('93_TARGET_MEMBERSHIP'!BW$5:BW$27=-1),'05_FEATURE_MODEL'!R$5:R$27)/MAX(1,COUNTIF('93_TARGET_MEMBERSHIP'!BW$5:BW$27,-1))))</f>
        <v/>
      </c>
      <c r="R78" s="34">
        <f>IF($B78="ABSOLUTE SEMANTIC",ABS('06_ITEM_POLE_MODEL'!AA78),ABS('06_ITEM_POLE_MODEL'!AA78)*ABS(SUMPRODUCT(--('93_TARGET_MEMBERSHIP'!BW$5:BW$27=1),'05_FEATURE_MODEL'!S$5:S$27)/MAX(1,COUNTIF('93_TARGET_MEMBERSHIP'!BW$5:BW$27,1))-SUMPRODUCT(--('93_TARGET_MEMBERSHIP'!BW$5:BW$27=-1),'05_FEATURE_MODEL'!S$5:S$27)/MAX(1,COUNTIF('93_TARGET_MEMBERSHIP'!BW$5:BW$27,-1))))</f>
        <v/>
      </c>
      <c r="S78" s="34">
        <f>IF($B78="ABSOLUTE SEMANTIC",ABS('06_ITEM_POLE_MODEL'!AB78),ABS('06_ITEM_POLE_MODEL'!AB78)*ABS(SUMPRODUCT(--('93_TARGET_MEMBERSHIP'!BW$5:BW$27=1),'05_FEATURE_MODEL'!T$5:T$27)/MAX(1,COUNTIF('93_TARGET_MEMBERSHIP'!BW$5:BW$27,1))-SUMPRODUCT(--('93_TARGET_MEMBERSHIP'!BW$5:BW$27=-1),'05_FEATURE_MODEL'!T$5:T$27)/MAX(1,COUNTIF('93_TARGET_MEMBERSHIP'!BW$5:BW$27,-1))))</f>
        <v/>
      </c>
      <c r="T78" s="34">
        <f>IF($B78="ABSOLUTE SEMANTIC",ABS('06_ITEM_POLE_MODEL'!AC78),ABS('06_ITEM_POLE_MODEL'!AC78)*ABS(SUMPRODUCT(--('93_TARGET_MEMBERSHIP'!BW$5:BW$27=1),'05_FEATURE_MODEL'!U$5:U$27)/MAX(1,COUNTIF('93_TARGET_MEMBERSHIP'!BW$5:BW$27,1))-SUMPRODUCT(--('93_TARGET_MEMBERSHIP'!BW$5:BW$27=-1),'05_FEATURE_MODEL'!U$5:U$27)/MAX(1,COUNTIF('93_TARGET_MEMBERSHIP'!BW$5:BW$27,-1))))</f>
        <v/>
      </c>
      <c r="U78" s="34">
        <f>IF($B78="ABSOLUTE SEMANTIC",ABS('06_ITEM_POLE_MODEL'!AD78),ABS('06_ITEM_POLE_MODEL'!AD78)*ABS(SUMPRODUCT(--('93_TARGET_MEMBERSHIP'!BW$5:BW$27=1),'05_FEATURE_MODEL'!V$5:V$27)/MAX(1,COUNTIF('93_TARGET_MEMBERSHIP'!BW$5:BW$27,1))-SUMPRODUCT(--('93_TARGET_MEMBERSHIP'!BW$5:BW$27=-1),'05_FEATURE_MODEL'!V$5:V$27)/MAX(1,COUNTIF('93_TARGET_MEMBERSHIP'!BW$5:BW$27,-1))))</f>
        <v/>
      </c>
      <c r="V78" s="34">
        <f>IF($B78="ABSOLUTE SEMANTIC",ABS('06_ITEM_POLE_MODEL'!AE78),ABS('06_ITEM_POLE_MODEL'!AE78)*ABS(SUMPRODUCT(--('93_TARGET_MEMBERSHIP'!BW$5:BW$27=1),'05_FEATURE_MODEL'!W$5:W$27)/MAX(1,COUNTIF('93_TARGET_MEMBERSHIP'!BW$5:BW$27,1))-SUMPRODUCT(--('93_TARGET_MEMBERSHIP'!BW$5:BW$27=-1),'05_FEATURE_MODEL'!W$5:W$27)/MAX(1,COUNTIF('93_TARGET_MEMBERSHIP'!BW$5:BW$27,-1))))</f>
        <v/>
      </c>
      <c r="W78" s="34">
        <f>IF($B78="ABSOLUTE SEMANTIC",ABS('06_ITEM_POLE_MODEL'!AF78),ABS('06_ITEM_POLE_MODEL'!AF78)*ABS(SUMPRODUCT(--('93_TARGET_MEMBERSHIP'!BW$5:BW$27=1),'05_FEATURE_MODEL'!X$5:X$27)/MAX(1,COUNTIF('93_TARGET_MEMBERSHIP'!BW$5:BW$27,1))-SUMPRODUCT(--('93_TARGET_MEMBERSHIP'!BW$5:BW$27=-1),'05_FEATURE_MODEL'!X$5:X$27)/MAX(1,COUNTIF('93_TARGET_MEMBERSHIP'!BW$5:BW$27,-1))))</f>
        <v/>
      </c>
      <c r="X78" s="34">
        <f>IF($B78="ABSOLUTE SEMANTIC",ABS('06_ITEM_POLE_MODEL'!AG78),ABS('06_ITEM_POLE_MODEL'!AG78)*ABS(SUMPRODUCT(--('93_TARGET_MEMBERSHIP'!BW$5:BW$27=1),'05_FEATURE_MODEL'!Y$5:Y$27)/MAX(1,COUNTIF('93_TARGET_MEMBERSHIP'!BW$5:BW$27,1))-SUMPRODUCT(--('93_TARGET_MEMBERSHIP'!BW$5:BW$27=-1),'05_FEATURE_MODEL'!Y$5:Y$27)/MAX(1,COUNTIF('93_TARGET_MEMBERSHIP'!BW$5:BW$27,-1))))</f>
        <v/>
      </c>
      <c r="Y78" s="34">
        <f>IF($B78="ABSOLUTE SEMANTIC",ABS('06_ITEM_POLE_MODEL'!AH78),ABS('06_ITEM_POLE_MODEL'!AH78)*ABS(SUMPRODUCT(--('93_TARGET_MEMBERSHIP'!BW$5:BW$27=1),'05_FEATURE_MODEL'!Z$5:Z$27)/MAX(1,COUNTIF('93_TARGET_MEMBERSHIP'!BW$5:BW$27,1))-SUMPRODUCT(--('93_TARGET_MEMBERSHIP'!BW$5:BW$27=-1),'05_FEATURE_MODEL'!Z$5:Z$27)/MAX(1,COUNTIF('93_TARGET_MEMBERSHIP'!BW$5:BW$27,-1))))</f>
        <v/>
      </c>
      <c r="Z78" s="34">
        <f>IF($B78="ABSOLUTE SEMANTIC",ABS('06_ITEM_POLE_MODEL'!AI78),ABS('06_ITEM_POLE_MODEL'!AI78)*ABS(SUMPRODUCT(--('93_TARGET_MEMBERSHIP'!BW$5:BW$27=1),'05_FEATURE_MODEL'!AA$5:AA$27)/MAX(1,COUNTIF('93_TARGET_MEMBERSHIP'!BW$5:BW$27,1))-SUMPRODUCT(--('93_TARGET_MEMBERSHIP'!BW$5:BW$27=-1),'05_FEATURE_MODEL'!AA$5:AA$27)/MAX(1,COUNTIF('93_TARGET_MEMBERSHIP'!BW$5:BW$27,-1))))</f>
        <v/>
      </c>
      <c r="AA78" s="34">
        <f>IF($B78="ABSOLUTE SEMANTIC",ABS('06_ITEM_POLE_MODEL'!AJ78),ABS('06_ITEM_POLE_MODEL'!AJ78)*ABS(SUMPRODUCT(--('93_TARGET_MEMBERSHIP'!BW$5:BW$27=1),'05_FEATURE_MODEL'!AB$5:AB$27)/MAX(1,COUNTIF('93_TARGET_MEMBERSHIP'!BW$5:BW$27,1))-SUMPRODUCT(--('93_TARGET_MEMBERSHIP'!BW$5:BW$27=-1),'05_FEATURE_MODEL'!AB$5:AB$27)/MAX(1,COUNTIF('93_TARGET_MEMBERSHIP'!BW$5:BW$27,-1))))</f>
        <v/>
      </c>
      <c r="AB78" s="34">
        <f>IF($B78="ABSOLUTE SEMANTIC",ABS('06_ITEM_POLE_MODEL'!AK78),ABS('06_ITEM_POLE_MODEL'!AK78)*ABS(SUMPRODUCT(--('93_TARGET_MEMBERSHIP'!BW$5:BW$27=1),'05_FEATURE_MODEL'!AC$5:AC$27)/MAX(1,COUNTIF('93_TARGET_MEMBERSHIP'!BW$5:BW$27,1))-SUMPRODUCT(--('93_TARGET_MEMBERSHIP'!BW$5:BW$27=-1),'05_FEATURE_MODEL'!AC$5:AC$27)/MAX(1,COUNTIF('93_TARGET_MEMBERSHIP'!BW$5:BW$27,-1))))</f>
        <v/>
      </c>
      <c r="AC78" s="34">
        <f>IF($B78="ABSOLUTE SEMANTIC",ABS('06_ITEM_POLE_MODEL'!AL78),ABS('06_ITEM_POLE_MODEL'!AL78)*ABS(SUMPRODUCT(--('93_TARGET_MEMBERSHIP'!BW$5:BW$27=1),'05_FEATURE_MODEL'!AD$5:AD$27)/MAX(1,COUNTIF('93_TARGET_MEMBERSHIP'!BW$5:BW$27,1))-SUMPRODUCT(--('93_TARGET_MEMBERSHIP'!BW$5:BW$27=-1),'05_FEATURE_MODEL'!AD$5:AD$27)/MAX(1,COUNTIF('93_TARGET_MEMBERSHIP'!BW$5:BW$27,-1))))</f>
        <v/>
      </c>
      <c r="AD78" s="34">
        <f>IF($B78="ABSOLUTE SEMANTIC",ABS('06_ITEM_POLE_MODEL'!AM78),ABS('06_ITEM_POLE_MODEL'!AM78)*ABS(SUMPRODUCT(--('93_TARGET_MEMBERSHIP'!BW$5:BW$27=1),'05_FEATURE_MODEL'!AE$5:AE$27)/MAX(1,COUNTIF('93_TARGET_MEMBERSHIP'!BW$5:BW$27,1))-SUMPRODUCT(--('93_TARGET_MEMBERSHIP'!BW$5:BW$27=-1),'05_FEATURE_MODEL'!AE$5:AE$27)/MAX(1,COUNTIF('93_TARGET_MEMBERSHIP'!BW$5:BW$27,-1))))</f>
        <v/>
      </c>
      <c r="AE78" s="34">
        <f>IF($B78="ABSOLUTE SEMANTIC",ABS('06_ITEM_POLE_MODEL'!AN78),ABS('06_ITEM_POLE_MODEL'!AN78)*ABS(SUMPRODUCT(--('93_TARGET_MEMBERSHIP'!BW$5:BW$27=1),'05_FEATURE_MODEL'!AF$5:AF$27)/MAX(1,COUNTIF('93_TARGET_MEMBERSHIP'!BW$5:BW$27,1))-SUMPRODUCT(--('93_TARGET_MEMBERSHIP'!BW$5:BW$27=-1),'05_FEATURE_MODEL'!AF$5:AF$27)/MAX(1,COUNTIF('93_TARGET_MEMBERSHIP'!BW$5:BW$27,-1))))</f>
        <v/>
      </c>
      <c r="AF78" s="34">
        <f>IF($B78="ABSOLUTE SEMANTIC",ABS('06_ITEM_POLE_MODEL'!AO78),ABS('06_ITEM_POLE_MODEL'!AO78)*ABS(SUMPRODUCT(--('93_TARGET_MEMBERSHIP'!BW$5:BW$27=1),'05_FEATURE_MODEL'!AG$5:AG$27)/MAX(1,COUNTIF('93_TARGET_MEMBERSHIP'!BW$5:BW$27,1))-SUMPRODUCT(--('93_TARGET_MEMBERSHIP'!BW$5:BW$27=-1),'05_FEATURE_MODEL'!AG$5:AG$27)/MAX(1,COUNTIF('93_TARGET_MEMBERSHIP'!BW$5:BW$27,-1))))</f>
        <v/>
      </c>
      <c r="AG78" s="34">
        <f>IF($B78="ABSOLUTE SEMANTIC",ABS('06_ITEM_POLE_MODEL'!AP78),ABS('06_ITEM_POLE_MODEL'!AP78)*ABS(SUMPRODUCT(--('93_TARGET_MEMBERSHIP'!BW$5:BW$27=1),'05_FEATURE_MODEL'!AH$5:AH$27)/MAX(1,COUNTIF('93_TARGET_MEMBERSHIP'!BW$5:BW$27,1))-SUMPRODUCT(--('93_TARGET_MEMBERSHIP'!BW$5:BW$27=-1),'05_FEATURE_MODEL'!AH$5:AH$27)/MAX(1,COUNTIF('93_TARGET_MEMBERSHIP'!BW$5:BW$27,-1))))</f>
        <v/>
      </c>
      <c r="AH78" s="34">
        <f>IF($B78="ABSOLUTE SEMANTIC",ABS('06_ITEM_POLE_MODEL'!AQ78),ABS('06_ITEM_POLE_MODEL'!AQ78)*ABS(SUMPRODUCT(--('93_TARGET_MEMBERSHIP'!BW$5:BW$27=1),'05_FEATURE_MODEL'!AI$5:AI$27)/MAX(1,COUNTIF('93_TARGET_MEMBERSHIP'!BW$5:BW$27,1))-SUMPRODUCT(--('93_TARGET_MEMBERSHIP'!BW$5:BW$27=-1),'05_FEATURE_MODEL'!AI$5:AI$27)/MAX(1,COUNTIF('93_TARGET_MEMBERSHIP'!BW$5:BW$27,-1))))</f>
        <v/>
      </c>
      <c r="AI78" s="34">
        <f>IF($B78="ABSOLUTE SEMANTIC",ABS('06_ITEM_POLE_MODEL'!AR78),ABS('06_ITEM_POLE_MODEL'!AR78)*ABS(SUMPRODUCT(--('93_TARGET_MEMBERSHIP'!BW$5:BW$27=1),'05_FEATURE_MODEL'!AJ$5:AJ$27)/MAX(1,COUNTIF('93_TARGET_MEMBERSHIP'!BW$5:BW$27,1))-SUMPRODUCT(--('93_TARGET_MEMBERSHIP'!BW$5:BW$27=-1),'05_FEATURE_MODEL'!AJ$5:AJ$27)/MAX(1,COUNTIF('93_TARGET_MEMBERSHIP'!BW$5:BW$27,-1))))</f>
        <v/>
      </c>
      <c r="AJ78" s="34">
        <f>IF($B78="ABSOLUTE SEMANTIC",ABS('06_ITEM_POLE_MODEL'!AS78),ABS('06_ITEM_POLE_MODEL'!AS78)*ABS(SUMPRODUCT(--('93_TARGET_MEMBERSHIP'!BW$5:BW$27=1),'05_FEATURE_MODEL'!AK$5:AK$27)/MAX(1,COUNTIF('93_TARGET_MEMBERSHIP'!BW$5:BW$27,1))-SUMPRODUCT(--('93_TARGET_MEMBERSHIP'!BW$5:BW$27=-1),'05_FEATURE_MODEL'!AK$5:AK$27)/MAX(1,COUNTIF('93_TARGET_MEMBERSHIP'!BW$5:BW$27,-1))))</f>
        <v/>
      </c>
      <c r="AK78" s="34">
        <f>IF($B78="ABSOLUTE SEMANTIC",ABS('06_ITEM_POLE_MODEL'!AT78),ABS('06_ITEM_POLE_MODEL'!AT78)*ABS(SUMPRODUCT(--('93_TARGET_MEMBERSHIP'!BW$5:BW$27=1),'05_FEATURE_MODEL'!AL$5:AL$27)/MAX(1,COUNTIF('93_TARGET_MEMBERSHIP'!BW$5:BW$27,1))-SUMPRODUCT(--('93_TARGET_MEMBERSHIP'!BW$5:BW$27=-1),'05_FEATURE_MODEL'!AL$5:AL$27)/MAX(1,COUNTIF('93_TARGET_MEMBERSHIP'!BW$5:BW$27,-1))))</f>
        <v/>
      </c>
      <c r="AL78" s="34">
        <f>IF($B78="ABSOLUTE SEMANTIC",ABS('06_ITEM_POLE_MODEL'!AU78),ABS('06_ITEM_POLE_MODEL'!AU78)*ABS(SUMPRODUCT(--('93_TARGET_MEMBERSHIP'!BW$5:BW$27=1),'05_FEATURE_MODEL'!AM$5:AM$27)/MAX(1,COUNTIF('93_TARGET_MEMBERSHIP'!BW$5:BW$27,1))-SUMPRODUCT(--('93_TARGET_MEMBERSHIP'!BW$5:BW$27=-1),'05_FEATURE_MODEL'!AM$5:AM$27)/MAX(1,COUNTIF('93_TARGET_MEMBERSHIP'!BW$5:BW$27,-1))))</f>
        <v/>
      </c>
      <c r="AM78" s="34">
        <f>IF($B78="ABSOLUTE SEMANTIC",ABS('06_ITEM_POLE_MODEL'!AV78),ABS('06_ITEM_POLE_MODEL'!AV78)*ABS(SUMPRODUCT(--('93_TARGET_MEMBERSHIP'!BW$5:BW$27=1),'05_FEATURE_MODEL'!AN$5:AN$27)/MAX(1,COUNTIF('93_TARGET_MEMBERSHIP'!BW$5:BW$27,1))-SUMPRODUCT(--('93_TARGET_MEMBERSHIP'!BW$5:BW$27=-1),'05_FEATURE_MODEL'!AN$5:AN$27)/MAX(1,COUNTIF('93_TARGET_MEMBERSHIP'!BW$5:BW$27,-1))))</f>
        <v/>
      </c>
      <c r="AN78" s="34">
        <f>IF($B78="ABSOLUTE SEMANTIC",ABS('06_ITEM_POLE_MODEL'!AW78),ABS('06_ITEM_POLE_MODEL'!AW78)*ABS(SUMPRODUCT(--('93_TARGET_MEMBERSHIP'!BW$5:BW$27=1),'05_FEATURE_MODEL'!AO$5:AO$27)/MAX(1,COUNTIF('93_TARGET_MEMBERSHIP'!BW$5:BW$27,1))-SUMPRODUCT(--('93_TARGET_MEMBERSHIP'!BW$5:BW$27=-1),'05_FEATURE_MODEL'!AO$5:AO$27)/MAX(1,COUNTIF('93_TARGET_MEMBERSHIP'!BW$5:BW$27,-1))))</f>
        <v/>
      </c>
      <c r="AO78" s="34">
        <f>IF($B78="ABSOLUTE SEMANTIC",ABS('06_ITEM_POLE_MODEL'!AX78),ABS('06_ITEM_POLE_MODEL'!AX78)*ABS(SUMPRODUCT(--('93_TARGET_MEMBERSHIP'!BW$5:BW$27=1),'05_FEATURE_MODEL'!AP$5:AP$27)/MAX(1,COUNTIF('93_TARGET_MEMBERSHIP'!BW$5:BW$27,1))-SUMPRODUCT(--('93_TARGET_MEMBERSHIP'!BW$5:BW$27=-1),'05_FEATURE_MODEL'!AP$5:AP$27)/MAX(1,COUNTIF('93_TARGET_MEMBERSHIP'!BW$5:BW$27,-1))))</f>
        <v/>
      </c>
      <c r="AP78" s="34">
        <f>IF($B78="ABSOLUTE SEMANTIC",ABS('06_ITEM_POLE_MODEL'!AY78),ABS('06_ITEM_POLE_MODEL'!AY78)*ABS(SUMPRODUCT(--('93_TARGET_MEMBERSHIP'!BW$5:BW$27=1),'05_FEATURE_MODEL'!AQ$5:AQ$27)/MAX(1,COUNTIF('93_TARGET_MEMBERSHIP'!BW$5:BW$27,1))-SUMPRODUCT(--('93_TARGET_MEMBERSHIP'!BW$5:BW$27=-1),'05_FEATURE_MODEL'!AQ$5:AQ$27)/MAX(1,COUNTIF('93_TARGET_MEMBERSHIP'!BW$5:BW$27,-1))))</f>
        <v/>
      </c>
      <c r="AQ78" s="34">
        <f>IF($B78="ABSOLUTE SEMANTIC",ABS('06_ITEM_POLE_MODEL'!AZ78),ABS('06_ITEM_POLE_MODEL'!AZ78)*ABS(SUMPRODUCT(--('93_TARGET_MEMBERSHIP'!BW$5:BW$27=1),'05_FEATURE_MODEL'!AR$5:AR$27)/MAX(1,COUNTIF('93_TARGET_MEMBERSHIP'!BW$5:BW$27,1))-SUMPRODUCT(--('93_TARGET_MEMBERSHIP'!BW$5:BW$27=-1),'05_FEATURE_MODEL'!AR$5:AR$27)/MAX(1,COUNTIF('93_TARGET_MEMBERSHIP'!BW$5:BW$27,-1))))</f>
        <v/>
      </c>
    </row>
    <row r="79" ht="36" customHeight="1">
      <c r="A79" s="34">
        <f>'06_ITEM_POLE_MODEL'!A79</f>
        <v/>
      </c>
      <c r="B79" s="34">
        <f>'06_ITEM_POLE_MODEL'!E79</f>
        <v/>
      </c>
      <c r="C79" s="34">
        <f>IF($B79="ABSOLUTE SEMANTIC",ABS('06_ITEM_POLE_MODEL'!L79),ABS('06_ITEM_POLE_MODEL'!L79)*ABS(SUMPRODUCT(--('93_TARGET_MEMBERSHIP'!BX$5:BX$27=1),'05_FEATURE_MODEL'!D$5:D$27)/MAX(1,COUNTIF('93_TARGET_MEMBERSHIP'!BX$5:BX$27,1))-SUMPRODUCT(--('93_TARGET_MEMBERSHIP'!BX$5:BX$27=-1),'05_FEATURE_MODEL'!D$5:D$27)/MAX(1,COUNTIF('93_TARGET_MEMBERSHIP'!BX$5:BX$27,-1))))</f>
        <v/>
      </c>
      <c r="D79" s="34">
        <f>IF($B79="ABSOLUTE SEMANTIC",ABS('06_ITEM_POLE_MODEL'!M79),ABS('06_ITEM_POLE_MODEL'!M79)*ABS(SUMPRODUCT(--('93_TARGET_MEMBERSHIP'!BX$5:BX$27=1),'05_FEATURE_MODEL'!E$5:E$27)/MAX(1,COUNTIF('93_TARGET_MEMBERSHIP'!BX$5:BX$27,1))-SUMPRODUCT(--('93_TARGET_MEMBERSHIP'!BX$5:BX$27=-1),'05_FEATURE_MODEL'!E$5:E$27)/MAX(1,COUNTIF('93_TARGET_MEMBERSHIP'!BX$5:BX$27,-1))))</f>
        <v/>
      </c>
      <c r="E79" s="34">
        <f>IF($B79="ABSOLUTE SEMANTIC",ABS('06_ITEM_POLE_MODEL'!N79),ABS('06_ITEM_POLE_MODEL'!N79)*ABS(SUMPRODUCT(--('93_TARGET_MEMBERSHIP'!BX$5:BX$27=1),'05_FEATURE_MODEL'!F$5:F$27)/MAX(1,COUNTIF('93_TARGET_MEMBERSHIP'!BX$5:BX$27,1))-SUMPRODUCT(--('93_TARGET_MEMBERSHIP'!BX$5:BX$27=-1),'05_FEATURE_MODEL'!F$5:F$27)/MAX(1,COUNTIF('93_TARGET_MEMBERSHIP'!BX$5:BX$27,-1))))</f>
        <v/>
      </c>
      <c r="F79" s="34">
        <f>IF($B79="ABSOLUTE SEMANTIC",ABS('06_ITEM_POLE_MODEL'!O79),ABS('06_ITEM_POLE_MODEL'!O79)*ABS(SUMPRODUCT(--('93_TARGET_MEMBERSHIP'!BX$5:BX$27=1),'05_FEATURE_MODEL'!G$5:G$27)/MAX(1,COUNTIF('93_TARGET_MEMBERSHIP'!BX$5:BX$27,1))-SUMPRODUCT(--('93_TARGET_MEMBERSHIP'!BX$5:BX$27=-1),'05_FEATURE_MODEL'!G$5:G$27)/MAX(1,COUNTIF('93_TARGET_MEMBERSHIP'!BX$5:BX$27,-1))))</f>
        <v/>
      </c>
      <c r="G79" s="34">
        <f>IF($B79="ABSOLUTE SEMANTIC",ABS('06_ITEM_POLE_MODEL'!P79),ABS('06_ITEM_POLE_MODEL'!P79)*ABS(SUMPRODUCT(--('93_TARGET_MEMBERSHIP'!BX$5:BX$27=1),'05_FEATURE_MODEL'!H$5:H$27)/MAX(1,COUNTIF('93_TARGET_MEMBERSHIP'!BX$5:BX$27,1))-SUMPRODUCT(--('93_TARGET_MEMBERSHIP'!BX$5:BX$27=-1),'05_FEATURE_MODEL'!H$5:H$27)/MAX(1,COUNTIF('93_TARGET_MEMBERSHIP'!BX$5:BX$27,-1))))</f>
        <v/>
      </c>
      <c r="H79" s="34">
        <f>IF($B79="ABSOLUTE SEMANTIC",ABS('06_ITEM_POLE_MODEL'!Q79),ABS('06_ITEM_POLE_MODEL'!Q79)*ABS(SUMPRODUCT(--('93_TARGET_MEMBERSHIP'!BX$5:BX$27=1),'05_FEATURE_MODEL'!I$5:I$27)/MAX(1,COUNTIF('93_TARGET_MEMBERSHIP'!BX$5:BX$27,1))-SUMPRODUCT(--('93_TARGET_MEMBERSHIP'!BX$5:BX$27=-1),'05_FEATURE_MODEL'!I$5:I$27)/MAX(1,COUNTIF('93_TARGET_MEMBERSHIP'!BX$5:BX$27,-1))))</f>
        <v/>
      </c>
      <c r="I79" s="34">
        <f>IF($B79="ABSOLUTE SEMANTIC",ABS('06_ITEM_POLE_MODEL'!R79),ABS('06_ITEM_POLE_MODEL'!R79)*ABS(SUMPRODUCT(--('93_TARGET_MEMBERSHIP'!BX$5:BX$27=1),'05_FEATURE_MODEL'!J$5:J$27)/MAX(1,COUNTIF('93_TARGET_MEMBERSHIP'!BX$5:BX$27,1))-SUMPRODUCT(--('93_TARGET_MEMBERSHIP'!BX$5:BX$27=-1),'05_FEATURE_MODEL'!J$5:J$27)/MAX(1,COUNTIF('93_TARGET_MEMBERSHIP'!BX$5:BX$27,-1))))</f>
        <v/>
      </c>
      <c r="J79" s="34">
        <f>IF($B79="ABSOLUTE SEMANTIC",ABS('06_ITEM_POLE_MODEL'!S79),ABS('06_ITEM_POLE_MODEL'!S79)*ABS(SUMPRODUCT(--('93_TARGET_MEMBERSHIP'!BX$5:BX$27=1),'05_FEATURE_MODEL'!K$5:K$27)/MAX(1,COUNTIF('93_TARGET_MEMBERSHIP'!BX$5:BX$27,1))-SUMPRODUCT(--('93_TARGET_MEMBERSHIP'!BX$5:BX$27=-1),'05_FEATURE_MODEL'!K$5:K$27)/MAX(1,COUNTIF('93_TARGET_MEMBERSHIP'!BX$5:BX$27,-1))))</f>
        <v/>
      </c>
      <c r="K79" s="34">
        <f>IF($B79="ABSOLUTE SEMANTIC",ABS('06_ITEM_POLE_MODEL'!T79),ABS('06_ITEM_POLE_MODEL'!T79)*ABS(SUMPRODUCT(--('93_TARGET_MEMBERSHIP'!BX$5:BX$27=1),'05_FEATURE_MODEL'!L$5:L$27)/MAX(1,COUNTIF('93_TARGET_MEMBERSHIP'!BX$5:BX$27,1))-SUMPRODUCT(--('93_TARGET_MEMBERSHIP'!BX$5:BX$27=-1),'05_FEATURE_MODEL'!L$5:L$27)/MAX(1,COUNTIF('93_TARGET_MEMBERSHIP'!BX$5:BX$27,-1))))</f>
        <v/>
      </c>
      <c r="L79" s="34">
        <f>IF($B79="ABSOLUTE SEMANTIC",ABS('06_ITEM_POLE_MODEL'!U79),ABS('06_ITEM_POLE_MODEL'!U79)*ABS(SUMPRODUCT(--('93_TARGET_MEMBERSHIP'!BX$5:BX$27=1),'05_FEATURE_MODEL'!M$5:M$27)/MAX(1,COUNTIF('93_TARGET_MEMBERSHIP'!BX$5:BX$27,1))-SUMPRODUCT(--('93_TARGET_MEMBERSHIP'!BX$5:BX$27=-1),'05_FEATURE_MODEL'!M$5:M$27)/MAX(1,COUNTIF('93_TARGET_MEMBERSHIP'!BX$5:BX$27,-1))))</f>
        <v/>
      </c>
      <c r="M79" s="34">
        <f>IF($B79="ABSOLUTE SEMANTIC",ABS('06_ITEM_POLE_MODEL'!V79),ABS('06_ITEM_POLE_MODEL'!V79)*ABS(SUMPRODUCT(--('93_TARGET_MEMBERSHIP'!BX$5:BX$27=1),'05_FEATURE_MODEL'!N$5:N$27)/MAX(1,COUNTIF('93_TARGET_MEMBERSHIP'!BX$5:BX$27,1))-SUMPRODUCT(--('93_TARGET_MEMBERSHIP'!BX$5:BX$27=-1),'05_FEATURE_MODEL'!N$5:N$27)/MAX(1,COUNTIF('93_TARGET_MEMBERSHIP'!BX$5:BX$27,-1))))</f>
        <v/>
      </c>
      <c r="N79" s="34">
        <f>IF($B79="ABSOLUTE SEMANTIC",ABS('06_ITEM_POLE_MODEL'!W79),ABS('06_ITEM_POLE_MODEL'!W79)*ABS(SUMPRODUCT(--('93_TARGET_MEMBERSHIP'!BX$5:BX$27=1),'05_FEATURE_MODEL'!O$5:O$27)/MAX(1,COUNTIF('93_TARGET_MEMBERSHIP'!BX$5:BX$27,1))-SUMPRODUCT(--('93_TARGET_MEMBERSHIP'!BX$5:BX$27=-1),'05_FEATURE_MODEL'!O$5:O$27)/MAX(1,COUNTIF('93_TARGET_MEMBERSHIP'!BX$5:BX$27,-1))))</f>
        <v/>
      </c>
      <c r="O79" s="34">
        <f>IF($B79="ABSOLUTE SEMANTIC",ABS('06_ITEM_POLE_MODEL'!X79),ABS('06_ITEM_POLE_MODEL'!X79)*ABS(SUMPRODUCT(--('93_TARGET_MEMBERSHIP'!BX$5:BX$27=1),'05_FEATURE_MODEL'!P$5:P$27)/MAX(1,COUNTIF('93_TARGET_MEMBERSHIP'!BX$5:BX$27,1))-SUMPRODUCT(--('93_TARGET_MEMBERSHIP'!BX$5:BX$27=-1),'05_FEATURE_MODEL'!P$5:P$27)/MAX(1,COUNTIF('93_TARGET_MEMBERSHIP'!BX$5:BX$27,-1))))</f>
        <v/>
      </c>
      <c r="P79" s="34">
        <f>IF($B79="ABSOLUTE SEMANTIC",ABS('06_ITEM_POLE_MODEL'!Y79),ABS('06_ITEM_POLE_MODEL'!Y79)*ABS(SUMPRODUCT(--('93_TARGET_MEMBERSHIP'!BX$5:BX$27=1),'05_FEATURE_MODEL'!Q$5:Q$27)/MAX(1,COUNTIF('93_TARGET_MEMBERSHIP'!BX$5:BX$27,1))-SUMPRODUCT(--('93_TARGET_MEMBERSHIP'!BX$5:BX$27=-1),'05_FEATURE_MODEL'!Q$5:Q$27)/MAX(1,COUNTIF('93_TARGET_MEMBERSHIP'!BX$5:BX$27,-1))))</f>
        <v/>
      </c>
      <c r="Q79" s="34">
        <f>IF($B79="ABSOLUTE SEMANTIC",ABS('06_ITEM_POLE_MODEL'!Z79),ABS('06_ITEM_POLE_MODEL'!Z79)*ABS(SUMPRODUCT(--('93_TARGET_MEMBERSHIP'!BX$5:BX$27=1),'05_FEATURE_MODEL'!R$5:R$27)/MAX(1,COUNTIF('93_TARGET_MEMBERSHIP'!BX$5:BX$27,1))-SUMPRODUCT(--('93_TARGET_MEMBERSHIP'!BX$5:BX$27=-1),'05_FEATURE_MODEL'!R$5:R$27)/MAX(1,COUNTIF('93_TARGET_MEMBERSHIP'!BX$5:BX$27,-1))))</f>
        <v/>
      </c>
      <c r="R79" s="34">
        <f>IF($B79="ABSOLUTE SEMANTIC",ABS('06_ITEM_POLE_MODEL'!AA79),ABS('06_ITEM_POLE_MODEL'!AA79)*ABS(SUMPRODUCT(--('93_TARGET_MEMBERSHIP'!BX$5:BX$27=1),'05_FEATURE_MODEL'!S$5:S$27)/MAX(1,COUNTIF('93_TARGET_MEMBERSHIP'!BX$5:BX$27,1))-SUMPRODUCT(--('93_TARGET_MEMBERSHIP'!BX$5:BX$27=-1),'05_FEATURE_MODEL'!S$5:S$27)/MAX(1,COUNTIF('93_TARGET_MEMBERSHIP'!BX$5:BX$27,-1))))</f>
        <v/>
      </c>
      <c r="S79" s="34">
        <f>IF($B79="ABSOLUTE SEMANTIC",ABS('06_ITEM_POLE_MODEL'!AB79),ABS('06_ITEM_POLE_MODEL'!AB79)*ABS(SUMPRODUCT(--('93_TARGET_MEMBERSHIP'!BX$5:BX$27=1),'05_FEATURE_MODEL'!T$5:T$27)/MAX(1,COUNTIF('93_TARGET_MEMBERSHIP'!BX$5:BX$27,1))-SUMPRODUCT(--('93_TARGET_MEMBERSHIP'!BX$5:BX$27=-1),'05_FEATURE_MODEL'!T$5:T$27)/MAX(1,COUNTIF('93_TARGET_MEMBERSHIP'!BX$5:BX$27,-1))))</f>
        <v/>
      </c>
      <c r="T79" s="34">
        <f>IF($B79="ABSOLUTE SEMANTIC",ABS('06_ITEM_POLE_MODEL'!AC79),ABS('06_ITEM_POLE_MODEL'!AC79)*ABS(SUMPRODUCT(--('93_TARGET_MEMBERSHIP'!BX$5:BX$27=1),'05_FEATURE_MODEL'!U$5:U$27)/MAX(1,COUNTIF('93_TARGET_MEMBERSHIP'!BX$5:BX$27,1))-SUMPRODUCT(--('93_TARGET_MEMBERSHIP'!BX$5:BX$27=-1),'05_FEATURE_MODEL'!U$5:U$27)/MAX(1,COUNTIF('93_TARGET_MEMBERSHIP'!BX$5:BX$27,-1))))</f>
        <v/>
      </c>
      <c r="U79" s="34">
        <f>IF($B79="ABSOLUTE SEMANTIC",ABS('06_ITEM_POLE_MODEL'!AD79),ABS('06_ITEM_POLE_MODEL'!AD79)*ABS(SUMPRODUCT(--('93_TARGET_MEMBERSHIP'!BX$5:BX$27=1),'05_FEATURE_MODEL'!V$5:V$27)/MAX(1,COUNTIF('93_TARGET_MEMBERSHIP'!BX$5:BX$27,1))-SUMPRODUCT(--('93_TARGET_MEMBERSHIP'!BX$5:BX$27=-1),'05_FEATURE_MODEL'!V$5:V$27)/MAX(1,COUNTIF('93_TARGET_MEMBERSHIP'!BX$5:BX$27,-1))))</f>
        <v/>
      </c>
      <c r="V79" s="34">
        <f>IF($B79="ABSOLUTE SEMANTIC",ABS('06_ITEM_POLE_MODEL'!AE79),ABS('06_ITEM_POLE_MODEL'!AE79)*ABS(SUMPRODUCT(--('93_TARGET_MEMBERSHIP'!BX$5:BX$27=1),'05_FEATURE_MODEL'!W$5:W$27)/MAX(1,COUNTIF('93_TARGET_MEMBERSHIP'!BX$5:BX$27,1))-SUMPRODUCT(--('93_TARGET_MEMBERSHIP'!BX$5:BX$27=-1),'05_FEATURE_MODEL'!W$5:W$27)/MAX(1,COUNTIF('93_TARGET_MEMBERSHIP'!BX$5:BX$27,-1))))</f>
        <v/>
      </c>
      <c r="W79" s="34">
        <f>IF($B79="ABSOLUTE SEMANTIC",ABS('06_ITEM_POLE_MODEL'!AF79),ABS('06_ITEM_POLE_MODEL'!AF79)*ABS(SUMPRODUCT(--('93_TARGET_MEMBERSHIP'!BX$5:BX$27=1),'05_FEATURE_MODEL'!X$5:X$27)/MAX(1,COUNTIF('93_TARGET_MEMBERSHIP'!BX$5:BX$27,1))-SUMPRODUCT(--('93_TARGET_MEMBERSHIP'!BX$5:BX$27=-1),'05_FEATURE_MODEL'!X$5:X$27)/MAX(1,COUNTIF('93_TARGET_MEMBERSHIP'!BX$5:BX$27,-1))))</f>
        <v/>
      </c>
      <c r="X79" s="34">
        <f>IF($B79="ABSOLUTE SEMANTIC",ABS('06_ITEM_POLE_MODEL'!AG79),ABS('06_ITEM_POLE_MODEL'!AG79)*ABS(SUMPRODUCT(--('93_TARGET_MEMBERSHIP'!BX$5:BX$27=1),'05_FEATURE_MODEL'!Y$5:Y$27)/MAX(1,COUNTIF('93_TARGET_MEMBERSHIP'!BX$5:BX$27,1))-SUMPRODUCT(--('93_TARGET_MEMBERSHIP'!BX$5:BX$27=-1),'05_FEATURE_MODEL'!Y$5:Y$27)/MAX(1,COUNTIF('93_TARGET_MEMBERSHIP'!BX$5:BX$27,-1))))</f>
        <v/>
      </c>
      <c r="Y79" s="34">
        <f>IF($B79="ABSOLUTE SEMANTIC",ABS('06_ITEM_POLE_MODEL'!AH79),ABS('06_ITEM_POLE_MODEL'!AH79)*ABS(SUMPRODUCT(--('93_TARGET_MEMBERSHIP'!BX$5:BX$27=1),'05_FEATURE_MODEL'!Z$5:Z$27)/MAX(1,COUNTIF('93_TARGET_MEMBERSHIP'!BX$5:BX$27,1))-SUMPRODUCT(--('93_TARGET_MEMBERSHIP'!BX$5:BX$27=-1),'05_FEATURE_MODEL'!Z$5:Z$27)/MAX(1,COUNTIF('93_TARGET_MEMBERSHIP'!BX$5:BX$27,-1))))</f>
        <v/>
      </c>
      <c r="Z79" s="34">
        <f>IF($B79="ABSOLUTE SEMANTIC",ABS('06_ITEM_POLE_MODEL'!AI79),ABS('06_ITEM_POLE_MODEL'!AI79)*ABS(SUMPRODUCT(--('93_TARGET_MEMBERSHIP'!BX$5:BX$27=1),'05_FEATURE_MODEL'!AA$5:AA$27)/MAX(1,COUNTIF('93_TARGET_MEMBERSHIP'!BX$5:BX$27,1))-SUMPRODUCT(--('93_TARGET_MEMBERSHIP'!BX$5:BX$27=-1),'05_FEATURE_MODEL'!AA$5:AA$27)/MAX(1,COUNTIF('93_TARGET_MEMBERSHIP'!BX$5:BX$27,-1))))</f>
        <v/>
      </c>
      <c r="AA79" s="34">
        <f>IF($B79="ABSOLUTE SEMANTIC",ABS('06_ITEM_POLE_MODEL'!AJ79),ABS('06_ITEM_POLE_MODEL'!AJ79)*ABS(SUMPRODUCT(--('93_TARGET_MEMBERSHIP'!BX$5:BX$27=1),'05_FEATURE_MODEL'!AB$5:AB$27)/MAX(1,COUNTIF('93_TARGET_MEMBERSHIP'!BX$5:BX$27,1))-SUMPRODUCT(--('93_TARGET_MEMBERSHIP'!BX$5:BX$27=-1),'05_FEATURE_MODEL'!AB$5:AB$27)/MAX(1,COUNTIF('93_TARGET_MEMBERSHIP'!BX$5:BX$27,-1))))</f>
        <v/>
      </c>
      <c r="AB79" s="34">
        <f>IF($B79="ABSOLUTE SEMANTIC",ABS('06_ITEM_POLE_MODEL'!AK79),ABS('06_ITEM_POLE_MODEL'!AK79)*ABS(SUMPRODUCT(--('93_TARGET_MEMBERSHIP'!BX$5:BX$27=1),'05_FEATURE_MODEL'!AC$5:AC$27)/MAX(1,COUNTIF('93_TARGET_MEMBERSHIP'!BX$5:BX$27,1))-SUMPRODUCT(--('93_TARGET_MEMBERSHIP'!BX$5:BX$27=-1),'05_FEATURE_MODEL'!AC$5:AC$27)/MAX(1,COUNTIF('93_TARGET_MEMBERSHIP'!BX$5:BX$27,-1))))</f>
        <v/>
      </c>
      <c r="AC79" s="34">
        <f>IF($B79="ABSOLUTE SEMANTIC",ABS('06_ITEM_POLE_MODEL'!AL79),ABS('06_ITEM_POLE_MODEL'!AL79)*ABS(SUMPRODUCT(--('93_TARGET_MEMBERSHIP'!BX$5:BX$27=1),'05_FEATURE_MODEL'!AD$5:AD$27)/MAX(1,COUNTIF('93_TARGET_MEMBERSHIP'!BX$5:BX$27,1))-SUMPRODUCT(--('93_TARGET_MEMBERSHIP'!BX$5:BX$27=-1),'05_FEATURE_MODEL'!AD$5:AD$27)/MAX(1,COUNTIF('93_TARGET_MEMBERSHIP'!BX$5:BX$27,-1))))</f>
        <v/>
      </c>
      <c r="AD79" s="34">
        <f>IF($B79="ABSOLUTE SEMANTIC",ABS('06_ITEM_POLE_MODEL'!AM79),ABS('06_ITEM_POLE_MODEL'!AM79)*ABS(SUMPRODUCT(--('93_TARGET_MEMBERSHIP'!BX$5:BX$27=1),'05_FEATURE_MODEL'!AE$5:AE$27)/MAX(1,COUNTIF('93_TARGET_MEMBERSHIP'!BX$5:BX$27,1))-SUMPRODUCT(--('93_TARGET_MEMBERSHIP'!BX$5:BX$27=-1),'05_FEATURE_MODEL'!AE$5:AE$27)/MAX(1,COUNTIF('93_TARGET_MEMBERSHIP'!BX$5:BX$27,-1))))</f>
        <v/>
      </c>
      <c r="AE79" s="34">
        <f>IF($B79="ABSOLUTE SEMANTIC",ABS('06_ITEM_POLE_MODEL'!AN79),ABS('06_ITEM_POLE_MODEL'!AN79)*ABS(SUMPRODUCT(--('93_TARGET_MEMBERSHIP'!BX$5:BX$27=1),'05_FEATURE_MODEL'!AF$5:AF$27)/MAX(1,COUNTIF('93_TARGET_MEMBERSHIP'!BX$5:BX$27,1))-SUMPRODUCT(--('93_TARGET_MEMBERSHIP'!BX$5:BX$27=-1),'05_FEATURE_MODEL'!AF$5:AF$27)/MAX(1,COUNTIF('93_TARGET_MEMBERSHIP'!BX$5:BX$27,-1))))</f>
        <v/>
      </c>
      <c r="AF79" s="34">
        <f>IF($B79="ABSOLUTE SEMANTIC",ABS('06_ITEM_POLE_MODEL'!AO79),ABS('06_ITEM_POLE_MODEL'!AO79)*ABS(SUMPRODUCT(--('93_TARGET_MEMBERSHIP'!BX$5:BX$27=1),'05_FEATURE_MODEL'!AG$5:AG$27)/MAX(1,COUNTIF('93_TARGET_MEMBERSHIP'!BX$5:BX$27,1))-SUMPRODUCT(--('93_TARGET_MEMBERSHIP'!BX$5:BX$27=-1),'05_FEATURE_MODEL'!AG$5:AG$27)/MAX(1,COUNTIF('93_TARGET_MEMBERSHIP'!BX$5:BX$27,-1))))</f>
        <v/>
      </c>
      <c r="AG79" s="34">
        <f>IF($B79="ABSOLUTE SEMANTIC",ABS('06_ITEM_POLE_MODEL'!AP79),ABS('06_ITEM_POLE_MODEL'!AP79)*ABS(SUMPRODUCT(--('93_TARGET_MEMBERSHIP'!BX$5:BX$27=1),'05_FEATURE_MODEL'!AH$5:AH$27)/MAX(1,COUNTIF('93_TARGET_MEMBERSHIP'!BX$5:BX$27,1))-SUMPRODUCT(--('93_TARGET_MEMBERSHIP'!BX$5:BX$27=-1),'05_FEATURE_MODEL'!AH$5:AH$27)/MAX(1,COUNTIF('93_TARGET_MEMBERSHIP'!BX$5:BX$27,-1))))</f>
        <v/>
      </c>
      <c r="AH79" s="34">
        <f>IF($B79="ABSOLUTE SEMANTIC",ABS('06_ITEM_POLE_MODEL'!AQ79),ABS('06_ITEM_POLE_MODEL'!AQ79)*ABS(SUMPRODUCT(--('93_TARGET_MEMBERSHIP'!BX$5:BX$27=1),'05_FEATURE_MODEL'!AI$5:AI$27)/MAX(1,COUNTIF('93_TARGET_MEMBERSHIP'!BX$5:BX$27,1))-SUMPRODUCT(--('93_TARGET_MEMBERSHIP'!BX$5:BX$27=-1),'05_FEATURE_MODEL'!AI$5:AI$27)/MAX(1,COUNTIF('93_TARGET_MEMBERSHIP'!BX$5:BX$27,-1))))</f>
        <v/>
      </c>
      <c r="AI79" s="34">
        <f>IF($B79="ABSOLUTE SEMANTIC",ABS('06_ITEM_POLE_MODEL'!AR79),ABS('06_ITEM_POLE_MODEL'!AR79)*ABS(SUMPRODUCT(--('93_TARGET_MEMBERSHIP'!BX$5:BX$27=1),'05_FEATURE_MODEL'!AJ$5:AJ$27)/MAX(1,COUNTIF('93_TARGET_MEMBERSHIP'!BX$5:BX$27,1))-SUMPRODUCT(--('93_TARGET_MEMBERSHIP'!BX$5:BX$27=-1),'05_FEATURE_MODEL'!AJ$5:AJ$27)/MAX(1,COUNTIF('93_TARGET_MEMBERSHIP'!BX$5:BX$27,-1))))</f>
        <v/>
      </c>
      <c r="AJ79" s="34">
        <f>IF($B79="ABSOLUTE SEMANTIC",ABS('06_ITEM_POLE_MODEL'!AS79),ABS('06_ITEM_POLE_MODEL'!AS79)*ABS(SUMPRODUCT(--('93_TARGET_MEMBERSHIP'!BX$5:BX$27=1),'05_FEATURE_MODEL'!AK$5:AK$27)/MAX(1,COUNTIF('93_TARGET_MEMBERSHIP'!BX$5:BX$27,1))-SUMPRODUCT(--('93_TARGET_MEMBERSHIP'!BX$5:BX$27=-1),'05_FEATURE_MODEL'!AK$5:AK$27)/MAX(1,COUNTIF('93_TARGET_MEMBERSHIP'!BX$5:BX$27,-1))))</f>
        <v/>
      </c>
      <c r="AK79" s="34">
        <f>IF($B79="ABSOLUTE SEMANTIC",ABS('06_ITEM_POLE_MODEL'!AT79),ABS('06_ITEM_POLE_MODEL'!AT79)*ABS(SUMPRODUCT(--('93_TARGET_MEMBERSHIP'!BX$5:BX$27=1),'05_FEATURE_MODEL'!AL$5:AL$27)/MAX(1,COUNTIF('93_TARGET_MEMBERSHIP'!BX$5:BX$27,1))-SUMPRODUCT(--('93_TARGET_MEMBERSHIP'!BX$5:BX$27=-1),'05_FEATURE_MODEL'!AL$5:AL$27)/MAX(1,COUNTIF('93_TARGET_MEMBERSHIP'!BX$5:BX$27,-1))))</f>
        <v/>
      </c>
      <c r="AL79" s="34">
        <f>IF($B79="ABSOLUTE SEMANTIC",ABS('06_ITEM_POLE_MODEL'!AU79),ABS('06_ITEM_POLE_MODEL'!AU79)*ABS(SUMPRODUCT(--('93_TARGET_MEMBERSHIP'!BX$5:BX$27=1),'05_FEATURE_MODEL'!AM$5:AM$27)/MAX(1,COUNTIF('93_TARGET_MEMBERSHIP'!BX$5:BX$27,1))-SUMPRODUCT(--('93_TARGET_MEMBERSHIP'!BX$5:BX$27=-1),'05_FEATURE_MODEL'!AM$5:AM$27)/MAX(1,COUNTIF('93_TARGET_MEMBERSHIP'!BX$5:BX$27,-1))))</f>
        <v/>
      </c>
      <c r="AM79" s="34">
        <f>IF($B79="ABSOLUTE SEMANTIC",ABS('06_ITEM_POLE_MODEL'!AV79),ABS('06_ITEM_POLE_MODEL'!AV79)*ABS(SUMPRODUCT(--('93_TARGET_MEMBERSHIP'!BX$5:BX$27=1),'05_FEATURE_MODEL'!AN$5:AN$27)/MAX(1,COUNTIF('93_TARGET_MEMBERSHIP'!BX$5:BX$27,1))-SUMPRODUCT(--('93_TARGET_MEMBERSHIP'!BX$5:BX$27=-1),'05_FEATURE_MODEL'!AN$5:AN$27)/MAX(1,COUNTIF('93_TARGET_MEMBERSHIP'!BX$5:BX$27,-1))))</f>
        <v/>
      </c>
      <c r="AN79" s="34">
        <f>IF($B79="ABSOLUTE SEMANTIC",ABS('06_ITEM_POLE_MODEL'!AW79),ABS('06_ITEM_POLE_MODEL'!AW79)*ABS(SUMPRODUCT(--('93_TARGET_MEMBERSHIP'!BX$5:BX$27=1),'05_FEATURE_MODEL'!AO$5:AO$27)/MAX(1,COUNTIF('93_TARGET_MEMBERSHIP'!BX$5:BX$27,1))-SUMPRODUCT(--('93_TARGET_MEMBERSHIP'!BX$5:BX$27=-1),'05_FEATURE_MODEL'!AO$5:AO$27)/MAX(1,COUNTIF('93_TARGET_MEMBERSHIP'!BX$5:BX$27,-1))))</f>
        <v/>
      </c>
      <c r="AO79" s="34">
        <f>IF($B79="ABSOLUTE SEMANTIC",ABS('06_ITEM_POLE_MODEL'!AX79),ABS('06_ITEM_POLE_MODEL'!AX79)*ABS(SUMPRODUCT(--('93_TARGET_MEMBERSHIP'!BX$5:BX$27=1),'05_FEATURE_MODEL'!AP$5:AP$27)/MAX(1,COUNTIF('93_TARGET_MEMBERSHIP'!BX$5:BX$27,1))-SUMPRODUCT(--('93_TARGET_MEMBERSHIP'!BX$5:BX$27=-1),'05_FEATURE_MODEL'!AP$5:AP$27)/MAX(1,COUNTIF('93_TARGET_MEMBERSHIP'!BX$5:BX$27,-1))))</f>
        <v/>
      </c>
      <c r="AP79" s="34">
        <f>IF($B79="ABSOLUTE SEMANTIC",ABS('06_ITEM_POLE_MODEL'!AY79),ABS('06_ITEM_POLE_MODEL'!AY79)*ABS(SUMPRODUCT(--('93_TARGET_MEMBERSHIP'!BX$5:BX$27=1),'05_FEATURE_MODEL'!AQ$5:AQ$27)/MAX(1,COUNTIF('93_TARGET_MEMBERSHIP'!BX$5:BX$27,1))-SUMPRODUCT(--('93_TARGET_MEMBERSHIP'!BX$5:BX$27=-1),'05_FEATURE_MODEL'!AQ$5:AQ$27)/MAX(1,COUNTIF('93_TARGET_MEMBERSHIP'!BX$5:BX$27,-1))))</f>
        <v/>
      </c>
      <c r="AQ79" s="34">
        <f>IF($B79="ABSOLUTE SEMANTIC",ABS('06_ITEM_POLE_MODEL'!AZ79),ABS('06_ITEM_POLE_MODEL'!AZ79)*ABS(SUMPRODUCT(--('93_TARGET_MEMBERSHIP'!BX$5:BX$27=1),'05_FEATURE_MODEL'!AR$5:AR$27)/MAX(1,COUNTIF('93_TARGET_MEMBERSHIP'!BX$5:BX$27,1))-SUMPRODUCT(--('93_TARGET_MEMBERSHIP'!BX$5:BX$27=-1),'05_FEATURE_MODEL'!AR$5:AR$27)/MAX(1,COUNTIF('93_TARGET_MEMBERSHIP'!BX$5:BX$27,-1))))</f>
        <v/>
      </c>
    </row>
    <row r="80" ht="36" customHeight="1">
      <c r="A80" s="34">
        <f>'06_ITEM_POLE_MODEL'!A80</f>
        <v/>
      </c>
      <c r="B80" s="34">
        <f>'06_ITEM_POLE_MODEL'!E80</f>
        <v/>
      </c>
      <c r="C80" s="34">
        <f>IF($B80="ABSOLUTE SEMANTIC",ABS('06_ITEM_POLE_MODEL'!L80),ABS('06_ITEM_POLE_MODEL'!L80)*ABS(SUMPRODUCT(--('93_TARGET_MEMBERSHIP'!BY$5:BY$27=1),'05_FEATURE_MODEL'!D$5:D$27)/MAX(1,COUNTIF('93_TARGET_MEMBERSHIP'!BY$5:BY$27,1))-SUMPRODUCT(--('93_TARGET_MEMBERSHIP'!BY$5:BY$27=-1),'05_FEATURE_MODEL'!D$5:D$27)/MAX(1,COUNTIF('93_TARGET_MEMBERSHIP'!BY$5:BY$27,-1))))</f>
        <v/>
      </c>
      <c r="D80" s="34">
        <f>IF($B80="ABSOLUTE SEMANTIC",ABS('06_ITEM_POLE_MODEL'!M80),ABS('06_ITEM_POLE_MODEL'!M80)*ABS(SUMPRODUCT(--('93_TARGET_MEMBERSHIP'!BY$5:BY$27=1),'05_FEATURE_MODEL'!E$5:E$27)/MAX(1,COUNTIF('93_TARGET_MEMBERSHIP'!BY$5:BY$27,1))-SUMPRODUCT(--('93_TARGET_MEMBERSHIP'!BY$5:BY$27=-1),'05_FEATURE_MODEL'!E$5:E$27)/MAX(1,COUNTIF('93_TARGET_MEMBERSHIP'!BY$5:BY$27,-1))))</f>
        <v/>
      </c>
      <c r="E80" s="34">
        <f>IF($B80="ABSOLUTE SEMANTIC",ABS('06_ITEM_POLE_MODEL'!N80),ABS('06_ITEM_POLE_MODEL'!N80)*ABS(SUMPRODUCT(--('93_TARGET_MEMBERSHIP'!BY$5:BY$27=1),'05_FEATURE_MODEL'!F$5:F$27)/MAX(1,COUNTIF('93_TARGET_MEMBERSHIP'!BY$5:BY$27,1))-SUMPRODUCT(--('93_TARGET_MEMBERSHIP'!BY$5:BY$27=-1),'05_FEATURE_MODEL'!F$5:F$27)/MAX(1,COUNTIF('93_TARGET_MEMBERSHIP'!BY$5:BY$27,-1))))</f>
        <v/>
      </c>
      <c r="F80" s="34">
        <f>IF($B80="ABSOLUTE SEMANTIC",ABS('06_ITEM_POLE_MODEL'!O80),ABS('06_ITEM_POLE_MODEL'!O80)*ABS(SUMPRODUCT(--('93_TARGET_MEMBERSHIP'!BY$5:BY$27=1),'05_FEATURE_MODEL'!G$5:G$27)/MAX(1,COUNTIF('93_TARGET_MEMBERSHIP'!BY$5:BY$27,1))-SUMPRODUCT(--('93_TARGET_MEMBERSHIP'!BY$5:BY$27=-1),'05_FEATURE_MODEL'!G$5:G$27)/MAX(1,COUNTIF('93_TARGET_MEMBERSHIP'!BY$5:BY$27,-1))))</f>
        <v/>
      </c>
      <c r="G80" s="34">
        <f>IF($B80="ABSOLUTE SEMANTIC",ABS('06_ITEM_POLE_MODEL'!P80),ABS('06_ITEM_POLE_MODEL'!P80)*ABS(SUMPRODUCT(--('93_TARGET_MEMBERSHIP'!BY$5:BY$27=1),'05_FEATURE_MODEL'!H$5:H$27)/MAX(1,COUNTIF('93_TARGET_MEMBERSHIP'!BY$5:BY$27,1))-SUMPRODUCT(--('93_TARGET_MEMBERSHIP'!BY$5:BY$27=-1),'05_FEATURE_MODEL'!H$5:H$27)/MAX(1,COUNTIF('93_TARGET_MEMBERSHIP'!BY$5:BY$27,-1))))</f>
        <v/>
      </c>
      <c r="H80" s="34">
        <f>IF($B80="ABSOLUTE SEMANTIC",ABS('06_ITEM_POLE_MODEL'!Q80),ABS('06_ITEM_POLE_MODEL'!Q80)*ABS(SUMPRODUCT(--('93_TARGET_MEMBERSHIP'!BY$5:BY$27=1),'05_FEATURE_MODEL'!I$5:I$27)/MAX(1,COUNTIF('93_TARGET_MEMBERSHIP'!BY$5:BY$27,1))-SUMPRODUCT(--('93_TARGET_MEMBERSHIP'!BY$5:BY$27=-1),'05_FEATURE_MODEL'!I$5:I$27)/MAX(1,COUNTIF('93_TARGET_MEMBERSHIP'!BY$5:BY$27,-1))))</f>
        <v/>
      </c>
      <c r="I80" s="34">
        <f>IF($B80="ABSOLUTE SEMANTIC",ABS('06_ITEM_POLE_MODEL'!R80),ABS('06_ITEM_POLE_MODEL'!R80)*ABS(SUMPRODUCT(--('93_TARGET_MEMBERSHIP'!BY$5:BY$27=1),'05_FEATURE_MODEL'!J$5:J$27)/MAX(1,COUNTIF('93_TARGET_MEMBERSHIP'!BY$5:BY$27,1))-SUMPRODUCT(--('93_TARGET_MEMBERSHIP'!BY$5:BY$27=-1),'05_FEATURE_MODEL'!J$5:J$27)/MAX(1,COUNTIF('93_TARGET_MEMBERSHIP'!BY$5:BY$27,-1))))</f>
        <v/>
      </c>
      <c r="J80" s="34">
        <f>IF($B80="ABSOLUTE SEMANTIC",ABS('06_ITEM_POLE_MODEL'!S80),ABS('06_ITEM_POLE_MODEL'!S80)*ABS(SUMPRODUCT(--('93_TARGET_MEMBERSHIP'!BY$5:BY$27=1),'05_FEATURE_MODEL'!K$5:K$27)/MAX(1,COUNTIF('93_TARGET_MEMBERSHIP'!BY$5:BY$27,1))-SUMPRODUCT(--('93_TARGET_MEMBERSHIP'!BY$5:BY$27=-1),'05_FEATURE_MODEL'!K$5:K$27)/MAX(1,COUNTIF('93_TARGET_MEMBERSHIP'!BY$5:BY$27,-1))))</f>
        <v/>
      </c>
      <c r="K80" s="34">
        <f>IF($B80="ABSOLUTE SEMANTIC",ABS('06_ITEM_POLE_MODEL'!T80),ABS('06_ITEM_POLE_MODEL'!T80)*ABS(SUMPRODUCT(--('93_TARGET_MEMBERSHIP'!BY$5:BY$27=1),'05_FEATURE_MODEL'!L$5:L$27)/MAX(1,COUNTIF('93_TARGET_MEMBERSHIP'!BY$5:BY$27,1))-SUMPRODUCT(--('93_TARGET_MEMBERSHIP'!BY$5:BY$27=-1),'05_FEATURE_MODEL'!L$5:L$27)/MAX(1,COUNTIF('93_TARGET_MEMBERSHIP'!BY$5:BY$27,-1))))</f>
        <v/>
      </c>
      <c r="L80" s="34">
        <f>IF($B80="ABSOLUTE SEMANTIC",ABS('06_ITEM_POLE_MODEL'!U80),ABS('06_ITEM_POLE_MODEL'!U80)*ABS(SUMPRODUCT(--('93_TARGET_MEMBERSHIP'!BY$5:BY$27=1),'05_FEATURE_MODEL'!M$5:M$27)/MAX(1,COUNTIF('93_TARGET_MEMBERSHIP'!BY$5:BY$27,1))-SUMPRODUCT(--('93_TARGET_MEMBERSHIP'!BY$5:BY$27=-1),'05_FEATURE_MODEL'!M$5:M$27)/MAX(1,COUNTIF('93_TARGET_MEMBERSHIP'!BY$5:BY$27,-1))))</f>
        <v/>
      </c>
      <c r="M80" s="34">
        <f>IF($B80="ABSOLUTE SEMANTIC",ABS('06_ITEM_POLE_MODEL'!V80),ABS('06_ITEM_POLE_MODEL'!V80)*ABS(SUMPRODUCT(--('93_TARGET_MEMBERSHIP'!BY$5:BY$27=1),'05_FEATURE_MODEL'!N$5:N$27)/MAX(1,COUNTIF('93_TARGET_MEMBERSHIP'!BY$5:BY$27,1))-SUMPRODUCT(--('93_TARGET_MEMBERSHIP'!BY$5:BY$27=-1),'05_FEATURE_MODEL'!N$5:N$27)/MAX(1,COUNTIF('93_TARGET_MEMBERSHIP'!BY$5:BY$27,-1))))</f>
        <v/>
      </c>
      <c r="N80" s="34">
        <f>IF($B80="ABSOLUTE SEMANTIC",ABS('06_ITEM_POLE_MODEL'!W80),ABS('06_ITEM_POLE_MODEL'!W80)*ABS(SUMPRODUCT(--('93_TARGET_MEMBERSHIP'!BY$5:BY$27=1),'05_FEATURE_MODEL'!O$5:O$27)/MAX(1,COUNTIF('93_TARGET_MEMBERSHIP'!BY$5:BY$27,1))-SUMPRODUCT(--('93_TARGET_MEMBERSHIP'!BY$5:BY$27=-1),'05_FEATURE_MODEL'!O$5:O$27)/MAX(1,COUNTIF('93_TARGET_MEMBERSHIP'!BY$5:BY$27,-1))))</f>
        <v/>
      </c>
      <c r="O80" s="34">
        <f>IF($B80="ABSOLUTE SEMANTIC",ABS('06_ITEM_POLE_MODEL'!X80),ABS('06_ITEM_POLE_MODEL'!X80)*ABS(SUMPRODUCT(--('93_TARGET_MEMBERSHIP'!BY$5:BY$27=1),'05_FEATURE_MODEL'!P$5:P$27)/MAX(1,COUNTIF('93_TARGET_MEMBERSHIP'!BY$5:BY$27,1))-SUMPRODUCT(--('93_TARGET_MEMBERSHIP'!BY$5:BY$27=-1),'05_FEATURE_MODEL'!P$5:P$27)/MAX(1,COUNTIF('93_TARGET_MEMBERSHIP'!BY$5:BY$27,-1))))</f>
        <v/>
      </c>
      <c r="P80" s="34">
        <f>IF($B80="ABSOLUTE SEMANTIC",ABS('06_ITEM_POLE_MODEL'!Y80),ABS('06_ITEM_POLE_MODEL'!Y80)*ABS(SUMPRODUCT(--('93_TARGET_MEMBERSHIP'!BY$5:BY$27=1),'05_FEATURE_MODEL'!Q$5:Q$27)/MAX(1,COUNTIF('93_TARGET_MEMBERSHIP'!BY$5:BY$27,1))-SUMPRODUCT(--('93_TARGET_MEMBERSHIP'!BY$5:BY$27=-1),'05_FEATURE_MODEL'!Q$5:Q$27)/MAX(1,COUNTIF('93_TARGET_MEMBERSHIP'!BY$5:BY$27,-1))))</f>
        <v/>
      </c>
      <c r="Q80" s="34">
        <f>IF($B80="ABSOLUTE SEMANTIC",ABS('06_ITEM_POLE_MODEL'!Z80),ABS('06_ITEM_POLE_MODEL'!Z80)*ABS(SUMPRODUCT(--('93_TARGET_MEMBERSHIP'!BY$5:BY$27=1),'05_FEATURE_MODEL'!R$5:R$27)/MAX(1,COUNTIF('93_TARGET_MEMBERSHIP'!BY$5:BY$27,1))-SUMPRODUCT(--('93_TARGET_MEMBERSHIP'!BY$5:BY$27=-1),'05_FEATURE_MODEL'!R$5:R$27)/MAX(1,COUNTIF('93_TARGET_MEMBERSHIP'!BY$5:BY$27,-1))))</f>
        <v/>
      </c>
      <c r="R80" s="34">
        <f>IF($B80="ABSOLUTE SEMANTIC",ABS('06_ITEM_POLE_MODEL'!AA80),ABS('06_ITEM_POLE_MODEL'!AA80)*ABS(SUMPRODUCT(--('93_TARGET_MEMBERSHIP'!BY$5:BY$27=1),'05_FEATURE_MODEL'!S$5:S$27)/MAX(1,COUNTIF('93_TARGET_MEMBERSHIP'!BY$5:BY$27,1))-SUMPRODUCT(--('93_TARGET_MEMBERSHIP'!BY$5:BY$27=-1),'05_FEATURE_MODEL'!S$5:S$27)/MAX(1,COUNTIF('93_TARGET_MEMBERSHIP'!BY$5:BY$27,-1))))</f>
        <v/>
      </c>
      <c r="S80" s="34">
        <f>IF($B80="ABSOLUTE SEMANTIC",ABS('06_ITEM_POLE_MODEL'!AB80),ABS('06_ITEM_POLE_MODEL'!AB80)*ABS(SUMPRODUCT(--('93_TARGET_MEMBERSHIP'!BY$5:BY$27=1),'05_FEATURE_MODEL'!T$5:T$27)/MAX(1,COUNTIF('93_TARGET_MEMBERSHIP'!BY$5:BY$27,1))-SUMPRODUCT(--('93_TARGET_MEMBERSHIP'!BY$5:BY$27=-1),'05_FEATURE_MODEL'!T$5:T$27)/MAX(1,COUNTIF('93_TARGET_MEMBERSHIP'!BY$5:BY$27,-1))))</f>
        <v/>
      </c>
      <c r="T80" s="34">
        <f>IF($B80="ABSOLUTE SEMANTIC",ABS('06_ITEM_POLE_MODEL'!AC80),ABS('06_ITEM_POLE_MODEL'!AC80)*ABS(SUMPRODUCT(--('93_TARGET_MEMBERSHIP'!BY$5:BY$27=1),'05_FEATURE_MODEL'!U$5:U$27)/MAX(1,COUNTIF('93_TARGET_MEMBERSHIP'!BY$5:BY$27,1))-SUMPRODUCT(--('93_TARGET_MEMBERSHIP'!BY$5:BY$27=-1),'05_FEATURE_MODEL'!U$5:U$27)/MAX(1,COUNTIF('93_TARGET_MEMBERSHIP'!BY$5:BY$27,-1))))</f>
        <v/>
      </c>
      <c r="U80" s="34">
        <f>IF($B80="ABSOLUTE SEMANTIC",ABS('06_ITEM_POLE_MODEL'!AD80),ABS('06_ITEM_POLE_MODEL'!AD80)*ABS(SUMPRODUCT(--('93_TARGET_MEMBERSHIP'!BY$5:BY$27=1),'05_FEATURE_MODEL'!V$5:V$27)/MAX(1,COUNTIF('93_TARGET_MEMBERSHIP'!BY$5:BY$27,1))-SUMPRODUCT(--('93_TARGET_MEMBERSHIP'!BY$5:BY$27=-1),'05_FEATURE_MODEL'!V$5:V$27)/MAX(1,COUNTIF('93_TARGET_MEMBERSHIP'!BY$5:BY$27,-1))))</f>
        <v/>
      </c>
      <c r="V80" s="34">
        <f>IF($B80="ABSOLUTE SEMANTIC",ABS('06_ITEM_POLE_MODEL'!AE80),ABS('06_ITEM_POLE_MODEL'!AE80)*ABS(SUMPRODUCT(--('93_TARGET_MEMBERSHIP'!BY$5:BY$27=1),'05_FEATURE_MODEL'!W$5:W$27)/MAX(1,COUNTIF('93_TARGET_MEMBERSHIP'!BY$5:BY$27,1))-SUMPRODUCT(--('93_TARGET_MEMBERSHIP'!BY$5:BY$27=-1),'05_FEATURE_MODEL'!W$5:W$27)/MAX(1,COUNTIF('93_TARGET_MEMBERSHIP'!BY$5:BY$27,-1))))</f>
        <v/>
      </c>
      <c r="W80" s="34">
        <f>IF($B80="ABSOLUTE SEMANTIC",ABS('06_ITEM_POLE_MODEL'!AF80),ABS('06_ITEM_POLE_MODEL'!AF80)*ABS(SUMPRODUCT(--('93_TARGET_MEMBERSHIP'!BY$5:BY$27=1),'05_FEATURE_MODEL'!X$5:X$27)/MAX(1,COUNTIF('93_TARGET_MEMBERSHIP'!BY$5:BY$27,1))-SUMPRODUCT(--('93_TARGET_MEMBERSHIP'!BY$5:BY$27=-1),'05_FEATURE_MODEL'!X$5:X$27)/MAX(1,COUNTIF('93_TARGET_MEMBERSHIP'!BY$5:BY$27,-1))))</f>
        <v/>
      </c>
      <c r="X80" s="34">
        <f>IF($B80="ABSOLUTE SEMANTIC",ABS('06_ITEM_POLE_MODEL'!AG80),ABS('06_ITEM_POLE_MODEL'!AG80)*ABS(SUMPRODUCT(--('93_TARGET_MEMBERSHIP'!BY$5:BY$27=1),'05_FEATURE_MODEL'!Y$5:Y$27)/MAX(1,COUNTIF('93_TARGET_MEMBERSHIP'!BY$5:BY$27,1))-SUMPRODUCT(--('93_TARGET_MEMBERSHIP'!BY$5:BY$27=-1),'05_FEATURE_MODEL'!Y$5:Y$27)/MAX(1,COUNTIF('93_TARGET_MEMBERSHIP'!BY$5:BY$27,-1))))</f>
        <v/>
      </c>
      <c r="Y80" s="34">
        <f>IF($B80="ABSOLUTE SEMANTIC",ABS('06_ITEM_POLE_MODEL'!AH80),ABS('06_ITEM_POLE_MODEL'!AH80)*ABS(SUMPRODUCT(--('93_TARGET_MEMBERSHIP'!BY$5:BY$27=1),'05_FEATURE_MODEL'!Z$5:Z$27)/MAX(1,COUNTIF('93_TARGET_MEMBERSHIP'!BY$5:BY$27,1))-SUMPRODUCT(--('93_TARGET_MEMBERSHIP'!BY$5:BY$27=-1),'05_FEATURE_MODEL'!Z$5:Z$27)/MAX(1,COUNTIF('93_TARGET_MEMBERSHIP'!BY$5:BY$27,-1))))</f>
        <v/>
      </c>
      <c r="Z80" s="34">
        <f>IF($B80="ABSOLUTE SEMANTIC",ABS('06_ITEM_POLE_MODEL'!AI80),ABS('06_ITEM_POLE_MODEL'!AI80)*ABS(SUMPRODUCT(--('93_TARGET_MEMBERSHIP'!BY$5:BY$27=1),'05_FEATURE_MODEL'!AA$5:AA$27)/MAX(1,COUNTIF('93_TARGET_MEMBERSHIP'!BY$5:BY$27,1))-SUMPRODUCT(--('93_TARGET_MEMBERSHIP'!BY$5:BY$27=-1),'05_FEATURE_MODEL'!AA$5:AA$27)/MAX(1,COUNTIF('93_TARGET_MEMBERSHIP'!BY$5:BY$27,-1))))</f>
        <v/>
      </c>
      <c r="AA80" s="34">
        <f>IF($B80="ABSOLUTE SEMANTIC",ABS('06_ITEM_POLE_MODEL'!AJ80),ABS('06_ITEM_POLE_MODEL'!AJ80)*ABS(SUMPRODUCT(--('93_TARGET_MEMBERSHIP'!BY$5:BY$27=1),'05_FEATURE_MODEL'!AB$5:AB$27)/MAX(1,COUNTIF('93_TARGET_MEMBERSHIP'!BY$5:BY$27,1))-SUMPRODUCT(--('93_TARGET_MEMBERSHIP'!BY$5:BY$27=-1),'05_FEATURE_MODEL'!AB$5:AB$27)/MAX(1,COUNTIF('93_TARGET_MEMBERSHIP'!BY$5:BY$27,-1))))</f>
        <v/>
      </c>
      <c r="AB80" s="34">
        <f>IF($B80="ABSOLUTE SEMANTIC",ABS('06_ITEM_POLE_MODEL'!AK80),ABS('06_ITEM_POLE_MODEL'!AK80)*ABS(SUMPRODUCT(--('93_TARGET_MEMBERSHIP'!BY$5:BY$27=1),'05_FEATURE_MODEL'!AC$5:AC$27)/MAX(1,COUNTIF('93_TARGET_MEMBERSHIP'!BY$5:BY$27,1))-SUMPRODUCT(--('93_TARGET_MEMBERSHIP'!BY$5:BY$27=-1),'05_FEATURE_MODEL'!AC$5:AC$27)/MAX(1,COUNTIF('93_TARGET_MEMBERSHIP'!BY$5:BY$27,-1))))</f>
        <v/>
      </c>
      <c r="AC80" s="34">
        <f>IF($B80="ABSOLUTE SEMANTIC",ABS('06_ITEM_POLE_MODEL'!AL80),ABS('06_ITEM_POLE_MODEL'!AL80)*ABS(SUMPRODUCT(--('93_TARGET_MEMBERSHIP'!BY$5:BY$27=1),'05_FEATURE_MODEL'!AD$5:AD$27)/MAX(1,COUNTIF('93_TARGET_MEMBERSHIP'!BY$5:BY$27,1))-SUMPRODUCT(--('93_TARGET_MEMBERSHIP'!BY$5:BY$27=-1),'05_FEATURE_MODEL'!AD$5:AD$27)/MAX(1,COUNTIF('93_TARGET_MEMBERSHIP'!BY$5:BY$27,-1))))</f>
        <v/>
      </c>
      <c r="AD80" s="34">
        <f>IF($B80="ABSOLUTE SEMANTIC",ABS('06_ITEM_POLE_MODEL'!AM80),ABS('06_ITEM_POLE_MODEL'!AM80)*ABS(SUMPRODUCT(--('93_TARGET_MEMBERSHIP'!BY$5:BY$27=1),'05_FEATURE_MODEL'!AE$5:AE$27)/MAX(1,COUNTIF('93_TARGET_MEMBERSHIP'!BY$5:BY$27,1))-SUMPRODUCT(--('93_TARGET_MEMBERSHIP'!BY$5:BY$27=-1),'05_FEATURE_MODEL'!AE$5:AE$27)/MAX(1,COUNTIF('93_TARGET_MEMBERSHIP'!BY$5:BY$27,-1))))</f>
        <v/>
      </c>
      <c r="AE80" s="34">
        <f>IF($B80="ABSOLUTE SEMANTIC",ABS('06_ITEM_POLE_MODEL'!AN80),ABS('06_ITEM_POLE_MODEL'!AN80)*ABS(SUMPRODUCT(--('93_TARGET_MEMBERSHIP'!BY$5:BY$27=1),'05_FEATURE_MODEL'!AF$5:AF$27)/MAX(1,COUNTIF('93_TARGET_MEMBERSHIP'!BY$5:BY$27,1))-SUMPRODUCT(--('93_TARGET_MEMBERSHIP'!BY$5:BY$27=-1),'05_FEATURE_MODEL'!AF$5:AF$27)/MAX(1,COUNTIF('93_TARGET_MEMBERSHIP'!BY$5:BY$27,-1))))</f>
        <v/>
      </c>
      <c r="AF80" s="34">
        <f>IF($B80="ABSOLUTE SEMANTIC",ABS('06_ITEM_POLE_MODEL'!AO80),ABS('06_ITEM_POLE_MODEL'!AO80)*ABS(SUMPRODUCT(--('93_TARGET_MEMBERSHIP'!BY$5:BY$27=1),'05_FEATURE_MODEL'!AG$5:AG$27)/MAX(1,COUNTIF('93_TARGET_MEMBERSHIP'!BY$5:BY$27,1))-SUMPRODUCT(--('93_TARGET_MEMBERSHIP'!BY$5:BY$27=-1),'05_FEATURE_MODEL'!AG$5:AG$27)/MAX(1,COUNTIF('93_TARGET_MEMBERSHIP'!BY$5:BY$27,-1))))</f>
        <v/>
      </c>
      <c r="AG80" s="34">
        <f>IF($B80="ABSOLUTE SEMANTIC",ABS('06_ITEM_POLE_MODEL'!AP80),ABS('06_ITEM_POLE_MODEL'!AP80)*ABS(SUMPRODUCT(--('93_TARGET_MEMBERSHIP'!BY$5:BY$27=1),'05_FEATURE_MODEL'!AH$5:AH$27)/MAX(1,COUNTIF('93_TARGET_MEMBERSHIP'!BY$5:BY$27,1))-SUMPRODUCT(--('93_TARGET_MEMBERSHIP'!BY$5:BY$27=-1),'05_FEATURE_MODEL'!AH$5:AH$27)/MAX(1,COUNTIF('93_TARGET_MEMBERSHIP'!BY$5:BY$27,-1))))</f>
        <v/>
      </c>
      <c r="AH80" s="34">
        <f>IF($B80="ABSOLUTE SEMANTIC",ABS('06_ITEM_POLE_MODEL'!AQ80),ABS('06_ITEM_POLE_MODEL'!AQ80)*ABS(SUMPRODUCT(--('93_TARGET_MEMBERSHIP'!BY$5:BY$27=1),'05_FEATURE_MODEL'!AI$5:AI$27)/MAX(1,COUNTIF('93_TARGET_MEMBERSHIP'!BY$5:BY$27,1))-SUMPRODUCT(--('93_TARGET_MEMBERSHIP'!BY$5:BY$27=-1),'05_FEATURE_MODEL'!AI$5:AI$27)/MAX(1,COUNTIF('93_TARGET_MEMBERSHIP'!BY$5:BY$27,-1))))</f>
        <v/>
      </c>
      <c r="AI80" s="34">
        <f>IF($B80="ABSOLUTE SEMANTIC",ABS('06_ITEM_POLE_MODEL'!AR80),ABS('06_ITEM_POLE_MODEL'!AR80)*ABS(SUMPRODUCT(--('93_TARGET_MEMBERSHIP'!BY$5:BY$27=1),'05_FEATURE_MODEL'!AJ$5:AJ$27)/MAX(1,COUNTIF('93_TARGET_MEMBERSHIP'!BY$5:BY$27,1))-SUMPRODUCT(--('93_TARGET_MEMBERSHIP'!BY$5:BY$27=-1),'05_FEATURE_MODEL'!AJ$5:AJ$27)/MAX(1,COUNTIF('93_TARGET_MEMBERSHIP'!BY$5:BY$27,-1))))</f>
        <v/>
      </c>
      <c r="AJ80" s="34">
        <f>IF($B80="ABSOLUTE SEMANTIC",ABS('06_ITEM_POLE_MODEL'!AS80),ABS('06_ITEM_POLE_MODEL'!AS80)*ABS(SUMPRODUCT(--('93_TARGET_MEMBERSHIP'!BY$5:BY$27=1),'05_FEATURE_MODEL'!AK$5:AK$27)/MAX(1,COUNTIF('93_TARGET_MEMBERSHIP'!BY$5:BY$27,1))-SUMPRODUCT(--('93_TARGET_MEMBERSHIP'!BY$5:BY$27=-1),'05_FEATURE_MODEL'!AK$5:AK$27)/MAX(1,COUNTIF('93_TARGET_MEMBERSHIP'!BY$5:BY$27,-1))))</f>
        <v/>
      </c>
      <c r="AK80" s="34">
        <f>IF($B80="ABSOLUTE SEMANTIC",ABS('06_ITEM_POLE_MODEL'!AT80),ABS('06_ITEM_POLE_MODEL'!AT80)*ABS(SUMPRODUCT(--('93_TARGET_MEMBERSHIP'!BY$5:BY$27=1),'05_FEATURE_MODEL'!AL$5:AL$27)/MAX(1,COUNTIF('93_TARGET_MEMBERSHIP'!BY$5:BY$27,1))-SUMPRODUCT(--('93_TARGET_MEMBERSHIP'!BY$5:BY$27=-1),'05_FEATURE_MODEL'!AL$5:AL$27)/MAX(1,COUNTIF('93_TARGET_MEMBERSHIP'!BY$5:BY$27,-1))))</f>
        <v/>
      </c>
      <c r="AL80" s="34">
        <f>IF($B80="ABSOLUTE SEMANTIC",ABS('06_ITEM_POLE_MODEL'!AU80),ABS('06_ITEM_POLE_MODEL'!AU80)*ABS(SUMPRODUCT(--('93_TARGET_MEMBERSHIP'!BY$5:BY$27=1),'05_FEATURE_MODEL'!AM$5:AM$27)/MAX(1,COUNTIF('93_TARGET_MEMBERSHIP'!BY$5:BY$27,1))-SUMPRODUCT(--('93_TARGET_MEMBERSHIP'!BY$5:BY$27=-1),'05_FEATURE_MODEL'!AM$5:AM$27)/MAX(1,COUNTIF('93_TARGET_MEMBERSHIP'!BY$5:BY$27,-1))))</f>
        <v/>
      </c>
      <c r="AM80" s="34">
        <f>IF($B80="ABSOLUTE SEMANTIC",ABS('06_ITEM_POLE_MODEL'!AV80),ABS('06_ITEM_POLE_MODEL'!AV80)*ABS(SUMPRODUCT(--('93_TARGET_MEMBERSHIP'!BY$5:BY$27=1),'05_FEATURE_MODEL'!AN$5:AN$27)/MAX(1,COUNTIF('93_TARGET_MEMBERSHIP'!BY$5:BY$27,1))-SUMPRODUCT(--('93_TARGET_MEMBERSHIP'!BY$5:BY$27=-1),'05_FEATURE_MODEL'!AN$5:AN$27)/MAX(1,COUNTIF('93_TARGET_MEMBERSHIP'!BY$5:BY$27,-1))))</f>
        <v/>
      </c>
      <c r="AN80" s="34">
        <f>IF($B80="ABSOLUTE SEMANTIC",ABS('06_ITEM_POLE_MODEL'!AW80),ABS('06_ITEM_POLE_MODEL'!AW80)*ABS(SUMPRODUCT(--('93_TARGET_MEMBERSHIP'!BY$5:BY$27=1),'05_FEATURE_MODEL'!AO$5:AO$27)/MAX(1,COUNTIF('93_TARGET_MEMBERSHIP'!BY$5:BY$27,1))-SUMPRODUCT(--('93_TARGET_MEMBERSHIP'!BY$5:BY$27=-1),'05_FEATURE_MODEL'!AO$5:AO$27)/MAX(1,COUNTIF('93_TARGET_MEMBERSHIP'!BY$5:BY$27,-1))))</f>
        <v/>
      </c>
      <c r="AO80" s="34">
        <f>IF($B80="ABSOLUTE SEMANTIC",ABS('06_ITEM_POLE_MODEL'!AX80),ABS('06_ITEM_POLE_MODEL'!AX80)*ABS(SUMPRODUCT(--('93_TARGET_MEMBERSHIP'!BY$5:BY$27=1),'05_FEATURE_MODEL'!AP$5:AP$27)/MAX(1,COUNTIF('93_TARGET_MEMBERSHIP'!BY$5:BY$27,1))-SUMPRODUCT(--('93_TARGET_MEMBERSHIP'!BY$5:BY$27=-1),'05_FEATURE_MODEL'!AP$5:AP$27)/MAX(1,COUNTIF('93_TARGET_MEMBERSHIP'!BY$5:BY$27,-1))))</f>
        <v/>
      </c>
      <c r="AP80" s="34">
        <f>IF($B80="ABSOLUTE SEMANTIC",ABS('06_ITEM_POLE_MODEL'!AY80),ABS('06_ITEM_POLE_MODEL'!AY80)*ABS(SUMPRODUCT(--('93_TARGET_MEMBERSHIP'!BY$5:BY$27=1),'05_FEATURE_MODEL'!AQ$5:AQ$27)/MAX(1,COUNTIF('93_TARGET_MEMBERSHIP'!BY$5:BY$27,1))-SUMPRODUCT(--('93_TARGET_MEMBERSHIP'!BY$5:BY$27=-1),'05_FEATURE_MODEL'!AQ$5:AQ$27)/MAX(1,COUNTIF('93_TARGET_MEMBERSHIP'!BY$5:BY$27,-1))))</f>
        <v/>
      </c>
      <c r="AQ80" s="34">
        <f>IF($B80="ABSOLUTE SEMANTIC",ABS('06_ITEM_POLE_MODEL'!AZ80),ABS('06_ITEM_POLE_MODEL'!AZ80)*ABS(SUMPRODUCT(--('93_TARGET_MEMBERSHIP'!BY$5:BY$27=1),'05_FEATURE_MODEL'!AR$5:AR$27)/MAX(1,COUNTIF('93_TARGET_MEMBERSHIP'!BY$5:BY$27,1))-SUMPRODUCT(--('93_TARGET_MEMBERSHIP'!BY$5:BY$27=-1),'05_FEATURE_MODEL'!AR$5:AR$27)/MAX(1,COUNTIF('93_TARGET_MEMBERSHIP'!BY$5:BY$27,-1))))</f>
        <v/>
      </c>
    </row>
    <row r="81" ht="36" customHeight="1">
      <c r="A81" s="34">
        <f>'06_ITEM_POLE_MODEL'!A81</f>
        <v/>
      </c>
      <c r="B81" s="34">
        <f>'06_ITEM_POLE_MODEL'!E81</f>
        <v/>
      </c>
      <c r="C81" s="34">
        <f>IF($B81="ABSOLUTE SEMANTIC",ABS('06_ITEM_POLE_MODEL'!L81),ABS('06_ITEM_POLE_MODEL'!L81)*ABS(SUMPRODUCT(--('93_TARGET_MEMBERSHIP'!BZ$5:BZ$27=1),'05_FEATURE_MODEL'!D$5:D$27)/MAX(1,COUNTIF('93_TARGET_MEMBERSHIP'!BZ$5:BZ$27,1))-SUMPRODUCT(--('93_TARGET_MEMBERSHIP'!BZ$5:BZ$27=-1),'05_FEATURE_MODEL'!D$5:D$27)/MAX(1,COUNTIF('93_TARGET_MEMBERSHIP'!BZ$5:BZ$27,-1))))</f>
        <v/>
      </c>
      <c r="D81" s="34">
        <f>IF($B81="ABSOLUTE SEMANTIC",ABS('06_ITEM_POLE_MODEL'!M81),ABS('06_ITEM_POLE_MODEL'!M81)*ABS(SUMPRODUCT(--('93_TARGET_MEMBERSHIP'!BZ$5:BZ$27=1),'05_FEATURE_MODEL'!E$5:E$27)/MAX(1,COUNTIF('93_TARGET_MEMBERSHIP'!BZ$5:BZ$27,1))-SUMPRODUCT(--('93_TARGET_MEMBERSHIP'!BZ$5:BZ$27=-1),'05_FEATURE_MODEL'!E$5:E$27)/MAX(1,COUNTIF('93_TARGET_MEMBERSHIP'!BZ$5:BZ$27,-1))))</f>
        <v/>
      </c>
      <c r="E81" s="34">
        <f>IF($B81="ABSOLUTE SEMANTIC",ABS('06_ITEM_POLE_MODEL'!N81),ABS('06_ITEM_POLE_MODEL'!N81)*ABS(SUMPRODUCT(--('93_TARGET_MEMBERSHIP'!BZ$5:BZ$27=1),'05_FEATURE_MODEL'!F$5:F$27)/MAX(1,COUNTIF('93_TARGET_MEMBERSHIP'!BZ$5:BZ$27,1))-SUMPRODUCT(--('93_TARGET_MEMBERSHIP'!BZ$5:BZ$27=-1),'05_FEATURE_MODEL'!F$5:F$27)/MAX(1,COUNTIF('93_TARGET_MEMBERSHIP'!BZ$5:BZ$27,-1))))</f>
        <v/>
      </c>
      <c r="F81" s="34">
        <f>IF($B81="ABSOLUTE SEMANTIC",ABS('06_ITEM_POLE_MODEL'!O81),ABS('06_ITEM_POLE_MODEL'!O81)*ABS(SUMPRODUCT(--('93_TARGET_MEMBERSHIP'!BZ$5:BZ$27=1),'05_FEATURE_MODEL'!G$5:G$27)/MAX(1,COUNTIF('93_TARGET_MEMBERSHIP'!BZ$5:BZ$27,1))-SUMPRODUCT(--('93_TARGET_MEMBERSHIP'!BZ$5:BZ$27=-1),'05_FEATURE_MODEL'!G$5:G$27)/MAX(1,COUNTIF('93_TARGET_MEMBERSHIP'!BZ$5:BZ$27,-1))))</f>
        <v/>
      </c>
      <c r="G81" s="34">
        <f>IF($B81="ABSOLUTE SEMANTIC",ABS('06_ITEM_POLE_MODEL'!P81),ABS('06_ITEM_POLE_MODEL'!P81)*ABS(SUMPRODUCT(--('93_TARGET_MEMBERSHIP'!BZ$5:BZ$27=1),'05_FEATURE_MODEL'!H$5:H$27)/MAX(1,COUNTIF('93_TARGET_MEMBERSHIP'!BZ$5:BZ$27,1))-SUMPRODUCT(--('93_TARGET_MEMBERSHIP'!BZ$5:BZ$27=-1),'05_FEATURE_MODEL'!H$5:H$27)/MAX(1,COUNTIF('93_TARGET_MEMBERSHIP'!BZ$5:BZ$27,-1))))</f>
        <v/>
      </c>
      <c r="H81" s="34">
        <f>IF($B81="ABSOLUTE SEMANTIC",ABS('06_ITEM_POLE_MODEL'!Q81),ABS('06_ITEM_POLE_MODEL'!Q81)*ABS(SUMPRODUCT(--('93_TARGET_MEMBERSHIP'!BZ$5:BZ$27=1),'05_FEATURE_MODEL'!I$5:I$27)/MAX(1,COUNTIF('93_TARGET_MEMBERSHIP'!BZ$5:BZ$27,1))-SUMPRODUCT(--('93_TARGET_MEMBERSHIP'!BZ$5:BZ$27=-1),'05_FEATURE_MODEL'!I$5:I$27)/MAX(1,COUNTIF('93_TARGET_MEMBERSHIP'!BZ$5:BZ$27,-1))))</f>
        <v/>
      </c>
      <c r="I81" s="34">
        <f>IF($B81="ABSOLUTE SEMANTIC",ABS('06_ITEM_POLE_MODEL'!R81),ABS('06_ITEM_POLE_MODEL'!R81)*ABS(SUMPRODUCT(--('93_TARGET_MEMBERSHIP'!BZ$5:BZ$27=1),'05_FEATURE_MODEL'!J$5:J$27)/MAX(1,COUNTIF('93_TARGET_MEMBERSHIP'!BZ$5:BZ$27,1))-SUMPRODUCT(--('93_TARGET_MEMBERSHIP'!BZ$5:BZ$27=-1),'05_FEATURE_MODEL'!J$5:J$27)/MAX(1,COUNTIF('93_TARGET_MEMBERSHIP'!BZ$5:BZ$27,-1))))</f>
        <v/>
      </c>
      <c r="J81" s="34">
        <f>IF($B81="ABSOLUTE SEMANTIC",ABS('06_ITEM_POLE_MODEL'!S81),ABS('06_ITEM_POLE_MODEL'!S81)*ABS(SUMPRODUCT(--('93_TARGET_MEMBERSHIP'!BZ$5:BZ$27=1),'05_FEATURE_MODEL'!K$5:K$27)/MAX(1,COUNTIF('93_TARGET_MEMBERSHIP'!BZ$5:BZ$27,1))-SUMPRODUCT(--('93_TARGET_MEMBERSHIP'!BZ$5:BZ$27=-1),'05_FEATURE_MODEL'!K$5:K$27)/MAX(1,COUNTIF('93_TARGET_MEMBERSHIP'!BZ$5:BZ$27,-1))))</f>
        <v/>
      </c>
      <c r="K81" s="34">
        <f>IF($B81="ABSOLUTE SEMANTIC",ABS('06_ITEM_POLE_MODEL'!T81),ABS('06_ITEM_POLE_MODEL'!T81)*ABS(SUMPRODUCT(--('93_TARGET_MEMBERSHIP'!BZ$5:BZ$27=1),'05_FEATURE_MODEL'!L$5:L$27)/MAX(1,COUNTIF('93_TARGET_MEMBERSHIP'!BZ$5:BZ$27,1))-SUMPRODUCT(--('93_TARGET_MEMBERSHIP'!BZ$5:BZ$27=-1),'05_FEATURE_MODEL'!L$5:L$27)/MAX(1,COUNTIF('93_TARGET_MEMBERSHIP'!BZ$5:BZ$27,-1))))</f>
        <v/>
      </c>
      <c r="L81" s="34">
        <f>IF($B81="ABSOLUTE SEMANTIC",ABS('06_ITEM_POLE_MODEL'!U81),ABS('06_ITEM_POLE_MODEL'!U81)*ABS(SUMPRODUCT(--('93_TARGET_MEMBERSHIP'!BZ$5:BZ$27=1),'05_FEATURE_MODEL'!M$5:M$27)/MAX(1,COUNTIF('93_TARGET_MEMBERSHIP'!BZ$5:BZ$27,1))-SUMPRODUCT(--('93_TARGET_MEMBERSHIP'!BZ$5:BZ$27=-1),'05_FEATURE_MODEL'!M$5:M$27)/MAX(1,COUNTIF('93_TARGET_MEMBERSHIP'!BZ$5:BZ$27,-1))))</f>
        <v/>
      </c>
      <c r="M81" s="34">
        <f>IF($B81="ABSOLUTE SEMANTIC",ABS('06_ITEM_POLE_MODEL'!V81),ABS('06_ITEM_POLE_MODEL'!V81)*ABS(SUMPRODUCT(--('93_TARGET_MEMBERSHIP'!BZ$5:BZ$27=1),'05_FEATURE_MODEL'!N$5:N$27)/MAX(1,COUNTIF('93_TARGET_MEMBERSHIP'!BZ$5:BZ$27,1))-SUMPRODUCT(--('93_TARGET_MEMBERSHIP'!BZ$5:BZ$27=-1),'05_FEATURE_MODEL'!N$5:N$27)/MAX(1,COUNTIF('93_TARGET_MEMBERSHIP'!BZ$5:BZ$27,-1))))</f>
        <v/>
      </c>
      <c r="N81" s="34">
        <f>IF($B81="ABSOLUTE SEMANTIC",ABS('06_ITEM_POLE_MODEL'!W81),ABS('06_ITEM_POLE_MODEL'!W81)*ABS(SUMPRODUCT(--('93_TARGET_MEMBERSHIP'!BZ$5:BZ$27=1),'05_FEATURE_MODEL'!O$5:O$27)/MAX(1,COUNTIF('93_TARGET_MEMBERSHIP'!BZ$5:BZ$27,1))-SUMPRODUCT(--('93_TARGET_MEMBERSHIP'!BZ$5:BZ$27=-1),'05_FEATURE_MODEL'!O$5:O$27)/MAX(1,COUNTIF('93_TARGET_MEMBERSHIP'!BZ$5:BZ$27,-1))))</f>
        <v/>
      </c>
      <c r="O81" s="34">
        <f>IF($B81="ABSOLUTE SEMANTIC",ABS('06_ITEM_POLE_MODEL'!X81),ABS('06_ITEM_POLE_MODEL'!X81)*ABS(SUMPRODUCT(--('93_TARGET_MEMBERSHIP'!BZ$5:BZ$27=1),'05_FEATURE_MODEL'!P$5:P$27)/MAX(1,COUNTIF('93_TARGET_MEMBERSHIP'!BZ$5:BZ$27,1))-SUMPRODUCT(--('93_TARGET_MEMBERSHIP'!BZ$5:BZ$27=-1),'05_FEATURE_MODEL'!P$5:P$27)/MAX(1,COUNTIF('93_TARGET_MEMBERSHIP'!BZ$5:BZ$27,-1))))</f>
        <v/>
      </c>
      <c r="P81" s="34">
        <f>IF($B81="ABSOLUTE SEMANTIC",ABS('06_ITEM_POLE_MODEL'!Y81),ABS('06_ITEM_POLE_MODEL'!Y81)*ABS(SUMPRODUCT(--('93_TARGET_MEMBERSHIP'!BZ$5:BZ$27=1),'05_FEATURE_MODEL'!Q$5:Q$27)/MAX(1,COUNTIF('93_TARGET_MEMBERSHIP'!BZ$5:BZ$27,1))-SUMPRODUCT(--('93_TARGET_MEMBERSHIP'!BZ$5:BZ$27=-1),'05_FEATURE_MODEL'!Q$5:Q$27)/MAX(1,COUNTIF('93_TARGET_MEMBERSHIP'!BZ$5:BZ$27,-1))))</f>
        <v/>
      </c>
      <c r="Q81" s="34">
        <f>IF($B81="ABSOLUTE SEMANTIC",ABS('06_ITEM_POLE_MODEL'!Z81),ABS('06_ITEM_POLE_MODEL'!Z81)*ABS(SUMPRODUCT(--('93_TARGET_MEMBERSHIP'!BZ$5:BZ$27=1),'05_FEATURE_MODEL'!R$5:R$27)/MAX(1,COUNTIF('93_TARGET_MEMBERSHIP'!BZ$5:BZ$27,1))-SUMPRODUCT(--('93_TARGET_MEMBERSHIP'!BZ$5:BZ$27=-1),'05_FEATURE_MODEL'!R$5:R$27)/MAX(1,COUNTIF('93_TARGET_MEMBERSHIP'!BZ$5:BZ$27,-1))))</f>
        <v/>
      </c>
      <c r="R81" s="34">
        <f>IF($B81="ABSOLUTE SEMANTIC",ABS('06_ITEM_POLE_MODEL'!AA81),ABS('06_ITEM_POLE_MODEL'!AA81)*ABS(SUMPRODUCT(--('93_TARGET_MEMBERSHIP'!BZ$5:BZ$27=1),'05_FEATURE_MODEL'!S$5:S$27)/MAX(1,COUNTIF('93_TARGET_MEMBERSHIP'!BZ$5:BZ$27,1))-SUMPRODUCT(--('93_TARGET_MEMBERSHIP'!BZ$5:BZ$27=-1),'05_FEATURE_MODEL'!S$5:S$27)/MAX(1,COUNTIF('93_TARGET_MEMBERSHIP'!BZ$5:BZ$27,-1))))</f>
        <v/>
      </c>
      <c r="S81" s="34">
        <f>IF($B81="ABSOLUTE SEMANTIC",ABS('06_ITEM_POLE_MODEL'!AB81),ABS('06_ITEM_POLE_MODEL'!AB81)*ABS(SUMPRODUCT(--('93_TARGET_MEMBERSHIP'!BZ$5:BZ$27=1),'05_FEATURE_MODEL'!T$5:T$27)/MAX(1,COUNTIF('93_TARGET_MEMBERSHIP'!BZ$5:BZ$27,1))-SUMPRODUCT(--('93_TARGET_MEMBERSHIP'!BZ$5:BZ$27=-1),'05_FEATURE_MODEL'!T$5:T$27)/MAX(1,COUNTIF('93_TARGET_MEMBERSHIP'!BZ$5:BZ$27,-1))))</f>
        <v/>
      </c>
      <c r="T81" s="34">
        <f>IF($B81="ABSOLUTE SEMANTIC",ABS('06_ITEM_POLE_MODEL'!AC81),ABS('06_ITEM_POLE_MODEL'!AC81)*ABS(SUMPRODUCT(--('93_TARGET_MEMBERSHIP'!BZ$5:BZ$27=1),'05_FEATURE_MODEL'!U$5:U$27)/MAX(1,COUNTIF('93_TARGET_MEMBERSHIP'!BZ$5:BZ$27,1))-SUMPRODUCT(--('93_TARGET_MEMBERSHIP'!BZ$5:BZ$27=-1),'05_FEATURE_MODEL'!U$5:U$27)/MAX(1,COUNTIF('93_TARGET_MEMBERSHIP'!BZ$5:BZ$27,-1))))</f>
        <v/>
      </c>
      <c r="U81" s="34">
        <f>IF($B81="ABSOLUTE SEMANTIC",ABS('06_ITEM_POLE_MODEL'!AD81),ABS('06_ITEM_POLE_MODEL'!AD81)*ABS(SUMPRODUCT(--('93_TARGET_MEMBERSHIP'!BZ$5:BZ$27=1),'05_FEATURE_MODEL'!V$5:V$27)/MAX(1,COUNTIF('93_TARGET_MEMBERSHIP'!BZ$5:BZ$27,1))-SUMPRODUCT(--('93_TARGET_MEMBERSHIP'!BZ$5:BZ$27=-1),'05_FEATURE_MODEL'!V$5:V$27)/MAX(1,COUNTIF('93_TARGET_MEMBERSHIP'!BZ$5:BZ$27,-1))))</f>
        <v/>
      </c>
      <c r="V81" s="34">
        <f>IF($B81="ABSOLUTE SEMANTIC",ABS('06_ITEM_POLE_MODEL'!AE81),ABS('06_ITEM_POLE_MODEL'!AE81)*ABS(SUMPRODUCT(--('93_TARGET_MEMBERSHIP'!BZ$5:BZ$27=1),'05_FEATURE_MODEL'!W$5:W$27)/MAX(1,COUNTIF('93_TARGET_MEMBERSHIP'!BZ$5:BZ$27,1))-SUMPRODUCT(--('93_TARGET_MEMBERSHIP'!BZ$5:BZ$27=-1),'05_FEATURE_MODEL'!W$5:W$27)/MAX(1,COUNTIF('93_TARGET_MEMBERSHIP'!BZ$5:BZ$27,-1))))</f>
        <v/>
      </c>
      <c r="W81" s="34">
        <f>IF($B81="ABSOLUTE SEMANTIC",ABS('06_ITEM_POLE_MODEL'!AF81),ABS('06_ITEM_POLE_MODEL'!AF81)*ABS(SUMPRODUCT(--('93_TARGET_MEMBERSHIP'!BZ$5:BZ$27=1),'05_FEATURE_MODEL'!X$5:X$27)/MAX(1,COUNTIF('93_TARGET_MEMBERSHIP'!BZ$5:BZ$27,1))-SUMPRODUCT(--('93_TARGET_MEMBERSHIP'!BZ$5:BZ$27=-1),'05_FEATURE_MODEL'!X$5:X$27)/MAX(1,COUNTIF('93_TARGET_MEMBERSHIP'!BZ$5:BZ$27,-1))))</f>
        <v/>
      </c>
      <c r="X81" s="34">
        <f>IF($B81="ABSOLUTE SEMANTIC",ABS('06_ITEM_POLE_MODEL'!AG81),ABS('06_ITEM_POLE_MODEL'!AG81)*ABS(SUMPRODUCT(--('93_TARGET_MEMBERSHIP'!BZ$5:BZ$27=1),'05_FEATURE_MODEL'!Y$5:Y$27)/MAX(1,COUNTIF('93_TARGET_MEMBERSHIP'!BZ$5:BZ$27,1))-SUMPRODUCT(--('93_TARGET_MEMBERSHIP'!BZ$5:BZ$27=-1),'05_FEATURE_MODEL'!Y$5:Y$27)/MAX(1,COUNTIF('93_TARGET_MEMBERSHIP'!BZ$5:BZ$27,-1))))</f>
        <v/>
      </c>
      <c r="Y81" s="34">
        <f>IF($B81="ABSOLUTE SEMANTIC",ABS('06_ITEM_POLE_MODEL'!AH81),ABS('06_ITEM_POLE_MODEL'!AH81)*ABS(SUMPRODUCT(--('93_TARGET_MEMBERSHIP'!BZ$5:BZ$27=1),'05_FEATURE_MODEL'!Z$5:Z$27)/MAX(1,COUNTIF('93_TARGET_MEMBERSHIP'!BZ$5:BZ$27,1))-SUMPRODUCT(--('93_TARGET_MEMBERSHIP'!BZ$5:BZ$27=-1),'05_FEATURE_MODEL'!Z$5:Z$27)/MAX(1,COUNTIF('93_TARGET_MEMBERSHIP'!BZ$5:BZ$27,-1))))</f>
        <v/>
      </c>
      <c r="Z81" s="34">
        <f>IF($B81="ABSOLUTE SEMANTIC",ABS('06_ITEM_POLE_MODEL'!AI81),ABS('06_ITEM_POLE_MODEL'!AI81)*ABS(SUMPRODUCT(--('93_TARGET_MEMBERSHIP'!BZ$5:BZ$27=1),'05_FEATURE_MODEL'!AA$5:AA$27)/MAX(1,COUNTIF('93_TARGET_MEMBERSHIP'!BZ$5:BZ$27,1))-SUMPRODUCT(--('93_TARGET_MEMBERSHIP'!BZ$5:BZ$27=-1),'05_FEATURE_MODEL'!AA$5:AA$27)/MAX(1,COUNTIF('93_TARGET_MEMBERSHIP'!BZ$5:BZ$27,-1))))</f>
        <v/>
      </c>
      <c r="AA81" s="34">
        <f>IF($B81="ABSOLUTE SEMANTIC",ABS('06_ITEM_POLE_MODEL'!AJ81),ABS('06_ITEM_POLE_MODEL'!AJ81)*ABS(SUMPRODUCT(--('93_TARGET_MEMBERSHIP'!BZ$5:BZ$27=1),'05_FEATURE_MODEL'!AB$5:AB$27)/MAX(1,COUNTIF('93_TARGET_MEMBERSHIP'!BZ$5:BZ$27,1))-SUMPRODUCT(--('93_TARGET_MEMBERSHIP'!BZ$5:BZ$27=-1),'05_FEATURE_MODEL'!AB$5:AB$27)/MAX(1,COUNTIF('93_TARGET_MEMBERSHIP'!BZ$5:BZ$27,-1))))</f>
        <v/>
      </c>
      <c r="AB81" s="34">
        <f>IF($B81="ABSOLUTE SEMANTIC",ABS('06_ITEM_POLE_MODEL'!AK81),ABS('06_ITEM_POLE_MODEL'!AK81)*ABS(SUMPRODUCT(--('93_TARGET_MEMBERSHIP'!BZ$5:BZ$27=1),'05_FEATURE_MODEL'!AC$5:AC$27)/MAX(1,COUNTIF('93_TARGET_MEMBERSHIP'!BZ$5:BZ$27,1))-SUMPRODUCT(--('93_TARGET_MEMBERSHIP'!BZ$5:BZ$27=-1),'05_FEATURE_MODEL'!AC$5:AC$27)/MAX(1,COUNTIF('93_TARGET_MEMBERSHIP'!BZ$5:BZ$27,-1))))</f>
        <v/>
      </c>
      <c r="AC81" s="34">
        <f>IF($B81="ABSOLUTE SEMANTIC",ABS('06_ITEM_POLE_MODEL'!AL81),ABS('06_ITEM_POLE_MODEL'!AL81)*ABS(SUMPRODUCT(--('93_TARGET_MEMBERSHIP'!BZ$5:BZ$27=1),'05_FEATURE_MODEL'!AD$5:AD$27)/MAX(1,COUNTIF('93_TARGET_MEMBERSHIP'!BZ$5:BZ$27,1))-SUMPRODUCT(--('93_TARGET_MEMBERSHIP'!BZ$5:BZ$27=-1),'05_FEATURE_MODEL'!AD$5:AD$27)/MAX(1,COUNTIF('93_TARGET_MEMBERSHIP'!BZ$5:BZ$27,-1))))</f>
        <v/>
      </c>
      <c r="AD81" s="34">
        <f>IF($B81="ABSOLUTE SEMANTIC",ABS('06_ITEM_POLE_MODEL'!AM81),ABS('06_ITEM_POLE_MODEL'!AM81)*ABS(SUMPRODUCT(--('93_TARGET_MEMBERSHIP'!BZ$5:BZ$27=1),'05_FEATURE_MODEL'!AE$5:AE$27)/MAX(1,COUNTIF('93_TARGET_MEMBERSHIP'!BZ$5:BZ$27,1))-SUMPRODUCT(--('93_TARGET_MEMBERSHIP'!BZ$5:BZ$27=-1),'05_FEATURE_MODEL'!AE$5:AE$27)/MAX(1,COUNTIF('93_TARGET_MEMBERSHIP'!BZ$5:BZ$27,-1))))</f>
        <v/>
      </c>
      <c r="AE81" s="34">
        <f>IF($B81="ABSOLUTE SEMANTIC",ABS('06_ITEM_POLE_MODEL'!AN81),ABS('06_ITEM_POLE_MODEL'!AN81)*ABS(SUMPRODUCT(--('93_TARGET_MEMBERSHIP'!BZ$5:BZ$27=1),'05_FEATURE_MODEL'!AF$5:AF$27)/MAX(1,COUNTIF('93_TARGET_MEMBERSHIP'!BZ$5:BZ$27,1))-SUMPRODUCT(--('93_TARGET_MEMBERSHIP'!BZ$5:BZ$27=-1),'05_FEATURE_MODEL'!AF$5:AF$27)/MAX(1,COUNTIF('93_TARGET_MEMBERSHIP'!BZ$5:BZ$27,-1))))</f>
        <v/>
      </c>
      <c r="AF81" s="34">
        <f>IF($B81="ABSOLUTE SEMANTIC",ABS('06_ITEM_POLE_MODEL'!AO81),ABS('06_ITEM_POLE_MODEL'!AO81)*ABS(SUMPRODUCT(--('93_TARGET_MEMBERSHIP'!BZ$5:BZ$27=1),'05_FEATURE_MODEL'!AG$5:AG$27)/MAX(1,COUNTIF('93_TARGET_MEMBERSHIP'!BZ$5:BZ$27,1))-SUMPRODUCT(--('93_TARGET_MEMBERSHIP'!BZ$5:BZ$27=-1),'05_FEATURE_MODEL'!AG$5:AG$27)/MAX(1,COUNTIF('93_TARGET_MEMBERSHIP'!BZ$5:BZ$27,-1))))</f>
        <v/>
      </c>
      <c r="AG81" s="34">
        <f>IF($B81="ABSOLUTE SEMANTIC",ABS('06_ITEM_POLE_MODEL'!AP81),ABS('06_ITEM_POLE_MODEL'!AP81)*ABS(SUMPRODUCT(--('93_TARGET_MEMBERSHIP'!BZ$5:BZ$27=1),'05_FEATURE_MODEL'!AH$5:AH$27)/MAX(1,COUNTIF('93_TARGET_MEMBERSHIP'!BZ$5:BZ$27,1))-SUMPRODUCT(--('93_TARGET_MEMBERSHIP'!BZ$5:BZ$27=-1),'05_FEATURE_MODEL'!AH$5:AH$27)/MAX(1,COUNTIF('93_TARGET_MEMBERSHIP'!BZ$5:BZ$27,-1))))</f>
        <v/>
      </c>
      <c r="AH81" s="34">
        <f>IF($B81="ABSOLUTE SEMANTIC",ABS('06_ITEM_POLE_MODEL'!AQ81),ABS('06_ITEM_POLE_MODEL'!AQ81)*ABS(SUMPRODUCT(--('93_TARGET_MEMBERSHIP'!BZ$5:BZ$27=1),'05_FEATURE_MODEL'!AI$5:AI$27)/MAX(1,COUNTIF('93_TARGET_MEMBERSHIP'!BZ$5:BZ$27,1))-SUMPRODUCT(--('93_TARGET_MEMBERSHIP'!BZ$5:BZ$27=-1),'05_FEATURE_MODEL'!AI$5:AI$27)/MAX(1,COUNTIF('93_TARGET_MEMBERSHIP'!BZ$5:BZ$27,-1))))</f>
        <v/>
      </c>
      <c r="AI81" s="34">
        <f>IF($B81="ABSOLUTE SEMANTIC",ABS('06_ITEM_POLE_MODEL'!AR81),ABS('06_ITEM_POLE_MODEL'!AR81)*ABS(SUMPRODUCT(--('93_TARGET_MEMBERSHIP'!BZ$5:BZ$27=1),'05_FEATURE_MODEL'!AJ$5:AJ$27)/MAX(1,COUNTIF('93_TARGET_MEMBERSHIP'!BZ$5:BZ$27,1))-SUMPRODUCT(--('93_TARGET_MEMBERSHIP'!BZ$5:BZ$27=-1),'05_FEATURE_MODEL'!AJ$5:AJ$27)/MAX(1,COUNTIF('93_TARGET_MEMBERSHIP'!BZ$5:BZ$27,-1))))</f>
        <v/>
      </c>
      <c r="AJ81" s="34">
        <f>IF($B81="ABSOLUTE SEMANTIC",ABS('06_ITEM_POLE_MODEL'!AS81),ABS('06_ITEM_POLE_MODEL'!AS81)*ABS(SUMPRODUCT(--('93_TARGET_MEMBERSHIP'!BZ$5:BZ$27=1),'05_FEATURE_MODEL'!AK$5:AK$27)/MAX(1,COUNTIF('93_TARGET_MEMBERSHIP'!BZ$5:BZ$27,1))-SUMPRODUCT(--('93_TARGET_MEMBERSHIP'!BZ$5:BZ$27=-1),'05_FEATURE_MODEL'!AK$5:AK$27)/MAX(1,COUNTIF('93_TARGET_MEMBERSHIP'!BZ$5:BZ$27,-1))))</f>
        <v/>
      </c>
      <c r="AK81" s="34">
        <f>IF($B81="ABSOLUTE SEMANTIC",ABS('06_ITEM_POLE_MODEL'!AT81),ABS('06_ITEM_POLE_MODEL'!AT81)*ABS(SUMPRODUCT(--('93_TARGET_MEMBERSHIP'!BZ$5:BZ$27=1),'05_FEATURE_MODEL'!AL$5:AL$27)/MAX(1,COUNTIF('93_TARGET_MEMBERSHIP'!BZ$5:BZ$27,1))-SUMPRODUCT(--('93_TARGET_MEMBERSHIP'!BZ$5:BZ$27=-1),'05_FEATURE_MODEL'!AL$5:AL$27)/MAX(1,COUNTIF('93_TARGET_MEMBERSHIP'!BZ$5:BZ$27,-1))))</f>
        <v/>
      </c>
      <c r="AL81" s="34">
        <f>IF($B81="ABSOLUTE SEMANTIC",ABS('06_ITEM_POLE_MODEL'!AU81),ABS('06_ITEM_POLE_MODEL'!AU81)*ABS(SUMPRODUCT(--('93_TARGET_MEMBERSHIP'!BZ$5:BZ$27=1),'05_FEATURE_MODEL'!AM$5:AM$27)/MAX(1,COUNTIF('93_TARGET_MEMBERSHIP'!BZ$5:BZ$27,1))-SUMPRODUCT(--('93_TARGET_MEMBERSHIP'!BZ$5:BZ$27=-1),'05_FEATURE_MODEL'!AM$5:AM$27)/MAX(1,COUNTIF('93_TARGET_MEMBERSHIP'!BZ$5:BZ$27,-1))))</f>
        <v/>
      </c>
      <c r="AM81" s="34">
        <f>IF($B81="ABSOLUTE SEMANTIC",ABS('06_ITEM_POLE_MODEL'!AV81),ABS('06_ITEM_POLE_MODEL'!AV81)*ABS(SUMPRODUCT(--('93_TARGET_MEMBERSHIP'!BZ$5:BZ$27=1),'05_FEATURE_MODEL'!AN$5:AN$27)/MAX(1,COUNTIF('93_TARGET_MEMBERSHIP'!BZ$5:BZ$27,1))-SUMPRODUCT(--('93_TARGET_MEMBERSHIP'!BZ$5:BZ$27=-1),'05_FEATURE_MODEL'!AN$5:AN$27)/MAX(1,COUNTIF('93_TARGET_MEMBERSHIP'!BZ$5:BZ$27,-1))))</f>
        <v/>
      </c>
      <c r="AN81" s="34">
        <f>IF($B81="ABSOLUTE SEMANTIC",ABS('06_ITEM_POLE_MODEL'!AW81),ABS('06_ITEM_POLE_MODEL'!AW81)*ABS(SUMPRODUCT(--('93_TARGET_MEMBERSHIP'!BZ$5:BZ$27=1),'05_FEATURE_MODEL'!AO$5:AO$27)/MAX(1,COUNTIF('93_TARGET_MEMBERSHIP'!BZ$5:BZ$27,1))-SUMPRODUCT(--('93_TARGET_MEMBERSHIP'!BZ$5:BZ$27=-1),'05_FEATURE_MODEL'!AO$5:AO$27)/MAX(1,COUNTIF('93_TARGET_MEMBERSHIP'!BZ$5:BZ$27,-1))))</f>
        <v/>
      </c>
      <c r="AO81" s="34">
        <f>IF($B81="ABSOLUTE SEMANTIC",ABS('06_ITEM_POLE_MODEL'!AX81),ABS('06_ITEM_POLE_MODEL'!AX81)*ABS(SUMPRODUCT(--('93_TARGET_MEMBERSHIP'!BZ$5:BZ$27=1),'05_FEATURE_MODEL'!AP$5:AP$27)/MAX(1,COUNTIF('93_TARGET_MEMBERSHIP'!BZ$5:BZ$27,1))-SUMPRODUCT(--('93_TARGET_MEMBERSHIP'!BZ$5:BZ$27=-1),'05_FEATURE_MODEL'!AP$5:AP$27)/MAX(1,COUNTIF('93_TARGET_MEMBERSHIP'!BZ$5:BZ$27,-1))))</f>
        <v/>
      </c>
      <c r="AP81" s="34">
        <f>IF($B81="ABSOLUTE SEMANTIC",ABS('06_ITEM_POLE_MODEL'!AY81),ABS('06_ITEM_POLE_MODEL'!AY81)*ABS(SUMPRODUCT(--('93_TARGET_MEMBERSHIP'!BZ$5:BZ$27=1),'05_FEATURE_MODEL'!AQ$5:AQ$27)/MAX(1,COUNTIF('93_TARGET_MEMBERSHIP'!BZ$5:BZ$27,1))-SUMPRODUCT(--('93_TARGET_MEMBERSHIP'!BZ$5:BZ$27=-1),'05_FEATURE_MODEL'!AQ$5:AQ$27)/MAX(1,COUNTIF('93_TARGET_MEMBERSHIP'!BZ$5:BZ$27,-1))))</f>
        <v/>
      </c>
      <c r="AQ81" s="34">
        <f>IF($B81="ABSOLUTE SEMANTIC",ABS('06_ITEM_POLE_MODEL'!AZ81),ABS('06_ITEM_POLE_MODEL'!AZ81)*ABS(SUMPRODUCT(--('93_TARGET_MEMBERSHIP'!BZ$5:BZ$27=1),'05_FEATURE_MODEL'!AR$5:AR$27)/MAX(1,COUNTIF('93_TARGET_MEMBERSHIP'!BZ$5:BZ$27,1))-SUMPRODUCT(--('93_TARGET_MEMBERSHIP'!BZ$5:BZ$27=-1),'05_FEATURE_MODEL'!AR$5:AR$27)/MAX(1,COUNTIF('93_TARGET_MEMBERSHIP'!BZ$5:BZ$27,-1))))</f>
        <v/>
      </c>
    </row>
    <row r="82" ht="36" customHeight="1">
      <c r="A82" s="34">
        <f>'06_ITEM_POLE_MODEL'!A82</f>
        <v/>
      </c>
      <c r="B82" s="34">
        <f>'06_ITEM_POLE_MODEL'!E82</f>
        <v/>
      </c>
      <c r="C82" s="34">
        <f>IF($B82="ABSOLUTE SEMANTIC",ABS('06_ITEM_POLE_MODEL'!L82),ABS('06_ITEM_POLE_MODEL'!L82)*ABS(SUMPRODUCT(--('93_TARGET_MEMBERSHIP'!CA$5:CA$27=1),'05_FEATURE_MODEL'!D$5:D$27)/MAX(1,COUNTIF('93_TARGET_MEMBERSHIP'!CA$5:CA$27,1))-SUMPRODUCT(--('93_TARGET_MEMBERSHIP'!CA$5:CA$27=-1),'05_FEATURE_MODEL'!D$5:D$27)/MAX(1,COUNTIF('93_TARGET_MEMBERSHIP'!CA$5:CA$27,-1))))</f>
        <v/>
      </c>
      <c r="D82" s="34">
        <f>IF($B82="ABSOLUTE SEMANTIC",ABS('06_ITEM_POLE_MODEL'!M82),ABS('06_ITEM_POLE_MODEL'!M82)*ABS(SUMPRODUCT(--('93_TARGET_MEMBERSHIP'!CA$5:CA$27=1),'05_FEATURE_MODEL'!E$5:E$27)/MAX(1,COUNTIF('93_TARGET_MEMBERSHIP'!CA$5:CA$27,1))-SUMPRODUCT(--('93_TARGET_MEMBERSHIP'!CA$5:CA$27=-1),'05_FEATURE_MODEL'!E$5:E$27)/MAX(1,COUNTIF('93_TARGET_MEMBERSHIP'!CA$5:CA$27,-1))))</f>
        <v/>
      </c>
      <c r="E82" s="34">
        <f>IF($B82="ABSOLUTE SEMANTIC",ABS('06_ITEM_POLE_MODEL'!N82),ABS('06_ITEM_POLE_MODEL'!N82)*ABS(SUMPRODUCT(--('93_TARGET_MEMBERSHIP'!CA$5:CA$27=1),'05_FEATURE_MODEL'!F$5:F$27)/MAX(1,COUNTIF('93_TARGET_MEMBERSHIP'!CA$5:CA$27,1))-SUMPRODUCT(--('93_TARGET_MEMBERSHIP'!CA$5:CA$27=-1),'05_FEATURE_MODEL'!F$5:F$27)/MAX(1,COUNTIF('93_TARGET_MEMBERSHIP'!CA$5:CA$27,-1))))</f>
        <v/>
      </c>
      <c r="F82" s="34">
        <f>IF($B82="ABSOLUTE SEMANTIC",ABS('06_ITEM_POLE_MODEL'!O82),ABS('06_ITEM_POLE_MODEL'!O82)*ABS(SUMPRODUCT(--('93_TARGET_MEMBERSHIP'!CA$5:CA$27=1),'05_FEATURE_MODEL'!G$5:G$27)/MAX(1,COUNTIF('93_TARGET_MEMBERSHIP'!CA$5:CA$27,1))-SUMPRODUCT(--('93_TARGET_MEMBERSHIP'!CA$5:CA$27=-1),'05_FEATURE_MODEL'!G$5:G$27)/MAX(1,COUNTIF('93_TARGET_MEMBERSHIP'!CA$5:CA$27,-1))))</f>
        <v/>
      </c>
      <c r="G82" s="34">
        <f>IF($B82="ABSOLUTE SEMANTIC",ABS('06_ITEM_POLE_MODEL'!P82),ABS('06_ITEM_POLE_MODEL'!P82)*ABS(SUMPRODUCT(--('93_TARGET_MEMBERSHIP'!CA$5:CA$27=1),'05_FEATURE_MODEL'!H$5:H$27)/MAX(1,COUNTIF('93_TARGET_MEMBERSHIP'!CA$5:CA$27,1))-SUMPRODUCT(--('93_TARGET_MEMBERSHIP'!CA$5:CA$27=-1),'05_FEATURE_MODEL'!H$5:H$27)/MAX(1,COUNTIF('93_TARGET_MEMBERSHIP'!CA$5:CA$27,-1))))</f>
        <v/>
      </c>
      <c r="H82" s="34">
        <f>IF($B82="ABSOLUTE SEMANTIC",ABS('06_ITEM_POLE_MODEL'!Q82),ABS('06_ITEM_POLE_MODEL'!Q82)*ABS(SUMPRODUCT(--('93_TARGET_MEMBERSHIP'!CA$5:CA$27=1),'05_FEATURE_MODEL'!I$5:I$27)/MAX(1,COUNTIF('93_TARGET_MEMBERSHIP'!CA$5:CA$27,1))-SUMPRODUCT(--('93_TARGET_MEMBERSHIP'!CA$5:CA$27=-1),'05_FEATURE_MODEL'!I$5:I$27)/MAX(1,COUNTIF('93_TARGET_MEMBERSHIP'!CA$5:CA$27,-1))))</f>
        <v/>
      </c>
      <c r="I82" s="34">
        <f>IF($B82="ABSOLUTE SEMANTIC",ABS('06_ITEM_POLE_MODEL'!R82),ABS('06_ITEM_POLE_MODEL'!R82)*ABS(SUMPRODUCT(--('93_TARGET_MEMBERSHIP'!CA$5:CA$27=1),'05_FEATURE_MODEL'!J$5:J$27)/MAX(1,COUNTIF('93_TARGET_MEMBERSHIP'!CA$5:CA$27,1))-SUMPRODUCT(--('93_TARGET_MEMBERSHIP'!CA$5:CA$27=-1),'05_FEATURE_MODEL'!J$5:J$27)/MAX(1,COUNTIF('93_TARGET_MEMBERSHIP'!CA$5:CA$27,-1))))</f>
        <v/>
      </c>
      <c r="J82" s="34">
        <f>IF($B82="ABSOLUTE SEMANTIC",ABS('06_ITEM_POLE_MODEL'!S82),ABS('06_ITEM_POLE_MODEL'!S82)*ABS(SUMPRODUCT(--('93_TARGET_MEMBERSHIP'!CA$5:CA$27=1),'05_FEATURE_MODEL'!K$5:K$27)/MAX(1,COUNTIF('93_TARGET_MEMBERSHIP'!CA$5:CA$27,1))-SUMPRODUCT(--('93_TARGET_MEMBERSHIP'!CA$5:CA$27=-1),'05_FEATURE_MODEL'!K$5:K$27)/MAX(1,COUNTIF('93_TARGET_MEMBERSHIP'!CA$5:CA$27,-1))))</f>
        <v/>
      </c>
      <c r="K82" s="34">
        <f>IF($B82="ABSOLUTE SEMANTIC",ABS('06_ITEM_POLE_MODEL'!T82),ABS('06_ITEM_POLE_MODEL'!T82)*ABS(SUMPRODUCT(--('93_TARGET_MEMBERSHIP'!CA$5:CA$27=1),'05_FEATURE_MODEL'!L$5:L$27)/MAX(1,COUNTIF('93_TARGET_MEMBERSHIP'!CA$5:CA$27,1))-SUMPRODUCT(--('93_TARGET_MEMBERSHIP'!CA$5:CA$27=-1),'05_FEATURE_MODEL'!L$5:L$27)/MAX(1,COUNTIF('93_TARGET_MEMBERSHIP'!CA$5:CA$27,-1))))</f>
        <v/>
      </c>
      <c r="L82" s="34">
        <f>IF($B82="ABSOLUTE SEMANTIC",ABS('06_ITEM_POLE_MODEL'!U82),ABS('06_ITEM_POLE_MODEL'!U82)*ABS(SUMPRODUCT(--('93_TARGET_MEMBERSHIP'!CA$5:CA$27=1),'05_FEATURE_MODEL'!M$5:M$27)/MAX(1,COUNTIF('93_TARGET_MEMBERSHIP'!CA$5:CA$27,1))-SUMPRODUCT(--('93_TARGET_MEMBERSHIP'!CA$5:CA$27=-1),'05_FEATURE_MODEL'!M$5:M$27)/MAX(1,COUNTIF('93_TARGET_MEMBERSHIP'!CA$5:CA$27,-1))))</f>
        <v/>
      </c>
      <c r="M82" s="34">
        <f>IF($B82="ABSOLUTE SEMANTIC",ABS('06_ITEM_POLE_MODEL'!V82),ABS('06_ITEM_POLE_MODEL'!V82)*ABS(SUMPRODUCT(--('93_TARGET_MEMBERSHIP'!CA$5:CA$27=1),'05_FEATURE_MODEL'!N$5:N$27)/MAX(1,COUNTIF('93_TARGET_MEMBERSHIP'!CA$5:CA$27,1))-SUMPRODUCT(--('93_TARGET_MEMBERSHIP'!CA$5:CA$27=-1),'05_FEATURE_MODEL'!N$5:N$27)/MAX(1,COUNTIF('93_TARGET_MEMBERSHIP'!CA$5:CA$27,-1))))</f>
        <v/>
      </c>
      <c r="N82" s="34">
        <f>IF($B82="ABSOLUTE SEMANTIC",ABS('06_ITEM_POLE_MODEL'!W82),ABS('06_ITEM_POLE_MODEL'!W82)*ABS(SUMPRODUCT(--('93_TARGET_MEMBERSHIP'!CA$5:CA$27=1),'05_FEATURE_MODEL'!O$5:O$27)/MAX(1,COUNTIF('93_TARGET_MEMBERSHIP'!CA$5:CA$27,1))-SUMPRODUCT(--('93_TARGET_MEMBERSHIP'!CA$5:CA$27=-1),'05_FEATURE_MODEL'!O$5:O$27)/MAX(1,COUNTIF('93_TARGET_MEMBERSHIP'!CA$5:CA$27,-1))))</f>
        <v/>
      </c>
      <c r="O82" s="34">
        <f>IF($B82="ABSOLUTE SEMANTIC",ABS('06_ITEM_POLE_MODEL'!X82),ABS('06_ITEM_POLE_MODEL'!X82)*ABS(SUMPRODUCT(--('93_TARGET_MEMBERSHIP'!CA$5:CA$27=1),'05_FEATURE_MODEL'!P$5:P$27)/MAX(1,COUNTIF('93_TARGET_MEMBERSHIP'!CA$5:CA$27,1))-SUMPRODUCT(--('93_TARGET_MEMBERSHIP'!CA$5:CA$27=-1),'05_FEATURE_MODEL'!P$5:P$27)/MAX(1,COUNTIF('93_TARGET_MEMBERSHIP'!CA$5:CA$27,-1))))</f>
        <v/>
      </c>
      <c r="P82" s="34">
        <f>IF($B82="ABSOLUTE SEMANTIC",ABS('06_ITEM_POLE_MODEL'!Y82),ABS('06_ITEM_POLE_MODEL'!Y82)*ABS(SUMPRODUCT(--('93_TARGET_MEMBERSHIP'!CA$5:CA$27=1),'05_FEATURE_MODEL'!Q$5:Q$27)/MAX(1,COUNTIF('93_TARGET_MEMBERSHIP'!CA$5:CA$27,1))-SUMPRODUCT(--('93_TARGET_MEMBERSHIP'!CA$5:CA$27=-1),'05_FEATURE_MODEL'!Q$5:Q$27)/MAX(1,COUNTIF('93_TARGET_MEMBERSHIP'!CA$5:CA$27,-1))))</f>
        <v/>
      </c>
      <c r="Q82" s="34">
        <f>IF($B82="ABSOLUTE SEMANTIC",ABS('06_ITEM_POLE_MODEL'!Z82),ABS('06_ITEM_POLE_MODEL'!Z82)*ABS(SUMPRODUCT(--('93_TARGET_MEMBERSHIP'!CA$5:CA$27=1),'05_FEATURE_MODEL'!R$5:R$27)/MAX(1,COUNTIF('93_TARGET_MEMBERSHIP'!CA$5:CA$27,1))-SUMPRODUCT(--('93_TARGET_MEMBERSHIP'!CA$5:CA$27=-1),'05_FEATURE_MODEL'!R$5:R$27)/MAX(1,COUNTIF('93_TARGET_MEMBERSHIP'!CA$5:CA$27,-1))))</f>
        <v/>
      </c>
      <c r="R82" s="34">
        <f>IF($B82="ABSOLUTE SEMANTIC",ABS('06_ITEM_POLE_MODEL'!AA82),ABS('06_ITEM_POLE_MODEL'!AA82)*ABS(SUMPRODUCT(--('93_TARGET_MEMBERSHIP'!CA$5:CA$27=1),'05_FEATURE_MODEL'!S$5:S$27)/MAX(1,COUNTIF('93_TARGET_MEMBERSHIP'!CA$5:CA$27,1))-SUMPRODUCT(--('93_TARGET_MEMBERSHIP'!CA$5:CA$27=-1),'05_FEATURE_MODEL'!S$5:S$27)/MAX(1,COUNTIF('93_TARGET_MEMBERSHIP'!CA$5:CA$27,-1))))</f>
        <v/>
      </c>
      <c r="S82" s="34">
        <f>IF($B82="ABSOLUTE SEMANTIC",ABS('06_ITEM_POLE_MODEL'!AB82),ABS('06_ITEM_POLE_MODEL'!AB82)*ABS(SUMPRODUCT(--('93_TARGET_MEMBERSHIP'!CA$5:CA$27=1),'05_FEATURE_MODEL'!T$5:T$27)/MAX(1,COUNTIF('93_TARGET_MEMBERSHIP'!CA$5:CA$27,1))-SUMPRODUCT(--('93_TARGET_MEMBERSHIP'!CA$5:CA$27=-1),'05_FEATURE_MODEL'!T$5:T$27)/MAX(1,COUNTIF('93_TARGET_MEMBERSHIP'!CA$5:CA$27,-1))))</f>
        <v/>
      </c>
      <c r="T82" s="34">
        <f>IF($B82="ABSOLUTE SEMANTIC",ABS('06_ITEM_POLE_MODEL'!AC82),ABS('06_ITEM_POLE_MODEL'!AC82)*ABS(SUMPRODUCT(--('93_TARGET_MEMBERSHIP'!CA$5:CA$27=1),'05_FEATURE_MODEL'!U$5:U$27)/MAX(1,COUNTIF('93_TARGET_MEMBERSHIP'!CA$5:CA$27,1))-SUMPRODUCT(--('93_TARGET_MEMBERSHIP'!CA$5:CA$27=-1),'05_FEATURE_MODEL'!U$5:U$27)/MAX(1,COUNTIF('93_TARGET_MEMBERSHIP'!CA$5:CA$27,-1))))</f>
        <v/>
      </c>
      <c r="U82" s="34">
        <f>IF($B82="ABSOLUTE SEMANTIC",ABS('06_ITEM_POLE_MODEL'!AD82),ABS('06_ITEM_POLE_MODEL'!AD82)*ABS(SUMPRODUCT(--('93_TARGET_MEMBERSHIP'!CA$5:CA$27=1),'05_FEATURE_MODEL'!V$5:V$27)/MAX(1,COUNTIF('93_TARGET_MEMBERSHIP'!CA$5:CA$27,1))-SUMPRODUCT(--('93_TARGET_MEMBERSHIP'!CA$5:CA$27=-1),'05_FEATURE_MODEL'!V$5:V$27)/MAX(1,COUNTIF('93_TARGET_MEMBERSHIP'!CA$5:CA$27,-1))))</f>
        <v/>
      </c>
      <c r="V82" s="34">
        <f>IF($B82="ABSOLUTE SEMANTIC",ABS('06_ITEM_POLE_MODEL'!AE82),ABS('06_ITEM_POLE_MODEL'!AE82)*ABS(SUMPRODUCT(--('93_TARGET_MEMBERSHIP'!CA$5:CA$27=1),'05_FEATURE_MODEL'!W$5:W$27)/MAX(1,COUNTIF('93_TARGET_MEMBERSHIP'!CA$5:CA$27,1))-SUMPRODUCT(--('93_TARGET_MEMBERSHIP'!CA$5:CA$27=-1),'05_FEATURE_MODEL'!W$5:W$27)/MAX(1,COUNTIF('93_TARGET_MEMBERSHIP'!CA$5:CA$27,-1))))</f>
        <v/>
      </c>
      <c r="W82" s="34">
        <f>IF($B82="ABSOLUTE SEMANTIC",ABS('06_ITEM_POLE_MODEL'!AF82),ABS('06_ITEM_POLE_MODEL'!AF82)*ABS(SUMPRODUCT(--('93_TARGET_MEMBERSHIP'!CA$5:CA$27=1),'05_FEATURE_MODEL'!X$5:X$27)/MAX(1,COUNTIF('93_TARGET_MEMBERSHIP'!CA$5:CA$27,1))-SUMPRODUCT(--('93_TARGET_MEMBERSHIP'!CA$5:CA$27=-1),'05_FEATURE_MODEL'!X$5:X$27)/MAX(1,COUNTIF('93_TARGET_MEMBERSHIP'!CA$5:CA$27,-1))))</f>
        <v/>
      </c>
      <c r="X82" s="34">
        <f>IF($B82="ABSOLUTE SEMANTIC",ABS('06_ITEM_POLE_MODEL'!AG82),ABS('06_ITEM_POLE_MODEL'!AG82)*ABS(SUMPRODUCT(--('93_TARGET_MEMBERSHIP'!CA$5:CA$27=1),'05_FEATURE_MODEL'!Y$5:Y$27)/MAX(1,COUNTIF('93_TARGET_MEMBERSHIP'!CA$5:CA$27,1))-SUMPRODUCT(--('93_TARGET_MEMBERSHIP'!CA$5:CA$27=-1),'05_FEATURE_MODEL'!Y$5:Y$27)/MAX(1,COUNTIF('93_TARGET_MEMBERSHIP'!CA$5:CA$27,-1))))</f>
        <v/>
      </c>
      <c r="Y82" s="34">
        <f>IF($B82="ABSOLUTE SEMANTIC",ABS('06_ITEM_POLE_MODEL'!AH82),ABS('06_ITEM_POLE_MODEL'!AH82)*ABS(SUMPRODUCT(--('93_TARGET_MEMBERSHIP'!CA$5:CA$27=1),'05_FEATURE_MODEL'!Z$5:Z$27)/MAX(1,COUNTIF('93_TARGET_MEMBERSHIP'!CA$5:CA$27,1))-SUMPRODUCT(--('93_TARGET_MEMBERSHIP'!CA$5:CA$27=-1),'05_FEATURE_MODEL'!Z$5:Z$27)/MAX(1,COUNTIF('93_TARGET_MEMBERSHIP'!CA$5:CA$27,-1))))</f>
        <v/>
      </c>
      <c r="Z82" s="34">
        <f>IF($B82="ABSOLUTE SEMANTIC",ABS('06_ITEM_POLE_MODEL'!AI82),ABS('06_ITEM_POLE_MODEL'!AI82)*ABS(SUMPRODUCT(--('93_TARGET_MEMBERSHIP'!CA$5:CA$27=1),'05_FEATURE_MODEL'!AA$5:AA$27)/MAX(1,COUNTIF('93_TARGET_MEMBERSHIP'!CA$5:CA$27,1))-SUMPRODUCT(--('93_TARGET_MEMBERSHIP'!CA$5:CA$27=-1),'05_FEATURE_MODEL'!AA$5:AA$27)/MAX(1,COUNTIF('93_TARGET_MEMBERSHIP'!CA$5:CA$27,-1))))</f>
        <v/>
      </c>
      <c r="AA82" s="34">
        <f>IF($B82="ABSOLUTE SEMANTIC",ABS('06_ITEM_POLE_MODEL'!AJ82),ABS('06_ITEM_POLE_MODEL'!AJ82)*ABS(SUMPRODUCT(--('93_TARGET_MEMBERSHIP'!CA$5:CA$27=1),'05_FEATURE_MODEL'!AB$5:AB$27)/MAX(1,COUNTIF('93_TARGET_MEMBERSHIP'!CA$5:CA$27,1))-SUMPRODUCT(--('93_TARGET_MEMBERSHIP'!CA$5:CA$27=-1),'05_FEATURE_MODEL'!AB$5:AB$27)/MAX(1,COUNTIF('93_TARGET_MEMBERSHIP'!CA$5:CA$27,-1))))</f>
        <v/>
      </c>
      <c r="AB82" s="34">
        <f>IF($B82="ABSOLUTE SEMANTIC",ABS('06_ITEM_POLE_MODEL'!AK82),ABS('06_ITEM_POLE_MODEL'!AK82)*ABS(SUMPRODUCT(--('93_TARGET_MEMBERSHIP'!CA$5:CA$27=1),'05_FEATURE_MODEL'!AC$5:AC$27)/MAX(1,COUNTIF('93_TARGET_MEMBERSHIP'!CA$5:CA$27,1))-SUMPRODUCT(--('93_TARGET_MEMBERSHIP'!CA$5:CA$27=-1),'05_FEATURE_MODEL'!AC$5:AC$27)/MAX(1,COUNTIF('93_TARGET_MEMBERSHIP'!CA$5:CA$27,-1))))</f>
        <v/>
      </c>
      <c r="AC82" s="34">
        <f>IF($B82="ABSOLUTE SEMANTIC",ABS('06_ITEM_POLE_MODEL'!AL82),ABS('06_ITEM_POLE_MODEL'!AL82)*ABS(SUMPRODUCT(--('93_TARGET_MEMBERSHIP'!CA$5:CA$27=1),'05_FEATURE_MODEL'!AD$5:AD$27)/MAX(1,COUNTIF('93_TARGET_MEMBERSHIP'!CA$5:CA$27,1))-SUMPRODUCT(--('93_TARGET_MEMBERSHIP'!CA$5:CA$27=-1),'05_FEATURE_MODEL'!AD$5:AD$27)/MAX(1,COUNTIF('93_TARGET_MEMBERSHIP'!CA$5:CA$27,-1))))</f>
        <v/>
      </c>
      <c r="AD82" s="34">
        <f>IF($B82="ABSOLUTE SEMANTIC",ABS('06_ITEM_POLE_MODEL'!AM82),ABS('06_ITEM_POLE_MODEL'!AM82)*ABS(SUMPRODUCT(--('93_TARGET_MEMBERSHIP'!CA$5:CA$27=1),'05_FEATURE_MODEL'!AE$5:AE$27)/MAX(1,COUNTIF('93_TARGET_MEMBERSHIP'!CA$5:CA$27,1))-SUMPRODUCT(--('93_TARGET_MEMBERSHIP'!CA$5:CA$27=-1),'05_FEATURE_MODEL'!AE$5:AE$27)/MAX(1,COUNTIF('93_TARGET_MEMBERSHIP'!CA$5:CA$27,-1))))</f>
        <v/>
      </c>
      <c r="AE82" s="34">
        <f>IF($B82="ABSOLUTE SEMANTIC",ABS('06_ITEM_POLE_MODEL'!AN82),ABS('06_ITEM_POLE_MODEL'!AN82)*ABS(SUMPRODUCT(--('93_TARGET_MEMBERSHIP'!CA$5:CA$27=1),'05_FEATURE_MODEL'!AF$5:AF$27)/MAX(1,COUNTIF('93_TARGET_MEMBERSHIP'!CA$5:CA$27,1))-SUMPRODUCT(--('93_TARGET_MEMBERSHIP'!CA$5:CA$27=-1),'05_FEATURE_MODEL'!AF$5:AF$27)/MAX(1,COUNTIF('93_TARGET_MEMBERSHIP'!CA$5:CA$27,-1))))</f>
        <v/>
      </c>
      <c r="AF82" s="34">
        <f>IF($B82="ABSOLUTE SEMANTIC",ABS('06_ITEM_POLE_MODEL'!AO82),ABS('06_ITEM_POLE_MODEL'!AO82)*ABS(SUMPRODUCT(--('93_TARGET_MEMBERSHIP'!CA$5:CA$27=1),'05_FEATURE_MODEL'!AG$5:AG$27)/MAX(1,COUNTIF('93_TARGET_MEMBERSHIP'!CA$5:CA$27,1))-SUMPRODUCT(--('93_TARGET_MEMBERSHIP'!CA$5:CA$27=-1),'05_FEATURE_MODEL'!AG$5:AG$27)/MAX(1,COUNTIF('93_TARGET_MEMBERSHIP'!CA$5:CA$27,-1))))</f>
        <v/>
      </c>
      <c r="AG82" s="34">
        <f>IF($B82="ABSOLUTE SEMANTIC",ABS('06_ITEM_POLE_MODEL'!AP82),ABS('06_ITEM_POLE_MODEL'!AP82)*ABS(SUMPRODUCT(--('93_TARGET_MEMBERSHIP'!CA$5:CA$27=1),'05_FEATURE_MODEL'!AH$5:AH$27)/MAX(1,COUNTIF('93_TARGET_MEMBERSHIP'!CA$5:CA$27,1))-SUMPRODUCT(--('93_TARGET_MEMBERSHIP'!CA$5:CA$27=-1),'05_FEATURE_MODEL'!AH$5:AH$27)/MAX(1,COUNTIF('93_TARGET_MEMBERSHIP'!CA$5:CA$27,-1))))</f>
        <v/>
      </c>
      <c r="AH82" s="34">
        <f>IF($B82="ABSOLUTE SEMANTIC",ABS('06_ITEM_POLE_MODEL'!AQ82),ABS('06_ITEM_POLE_MODEL'!AQ82)*ABS(SUMPRODUCT(--('93_TARGET_MEMBERSHIP'!CA$5:CA$27=1),'05_FEATURE_MODEL'!AI$5:AI$27)/MAX(1,COUNTIF('93_TARGET_MEMBERSHIP'!CA$5:CA$27,1))-SUMPRODUCT(--('93_TARGET_MEMBERSHIP'!CA$5:CA$27=-1),'05_FEATURE_MODEL'!AI$5:AI$27)/MAX(1,COUNTIF('93_TARGET_MEMBERSHIP'!CA$5:CA$27,-1))))</f>
        <v/>
      </c>
      <c r="AI82" s="34">
        <f>IF($B82="ABSOLUTE SEMANTIC",ABS('06_ITEM_POLE_MODEL'!AR82),ABS('06_ITEM_POLE_MODEL'!AR82)*ABS(SUMPRODUCT(--('93_TARGET_MEMBERSHIP'!CA$5:CA$27=1),'05_FEATURE_MODEL'!AJ$5:AJ$27)/MAX(1,COUNTIF('93_TARGET_MEMBERSHIP'!CA$5:CA$27,1))-SUMPRODUCT(--('93_TARGET_MEMBERSHIP'!CA$5:CA$27=-1),'05_FEATURE_MODEL'!AJ$5:AJ$27)/MAX(1,COUNTIF('93_TARGET_MEMBERSHIP'!CA$5:CA$27,-1))))</f>
        <v/>
      </c>
      <c r="AJ82" s="34">
        <f>IF($B82="ABSOLUTE SEMANTIC",ABS('06_ITEM_POLE_MODEL'!AS82),ABS('06_ITEM_POLE_MODEL'!AS82)*ABS(SUMPRODUCT(--('93_TARGET_MEMBERSHIP'!CA$5:CA$27=1),'05_FEATURE_MODEL'!AK$5:AK$27)/MAX(1,COUNTIF('93_TARGET_MEMBERSHIP'!CA$5:CA$27,1))-SUMPRODUCT(--('93_TARGET_MEMBERSHIP'!CA$5:CA$27=-1),'05_FEATURE_MODEL'!AK$5:AK$27)/MAX(1,COUNTIF('93_TARGET_MEMBERSHIP'!CA$5:CA$27,-1))))</f>
        <v/>
      </c>
      <c r="AK82" s="34">
        <f>IF($B82="ABSOLUTE SEMANTIC",ABS('06_ITEM_POLE_MODEL'!AT82),ABS('06_ITEM_POLE_MODEL'!AT82)*ABS(SUMPRODUCT(--('93_TARGET_MEMBERSHIP'!CA$5:CA$27=1),'05_FEATURE_MODEL'!AL$5:AL$27)/MAX(1,COUNTIF('93_TARGET_MEMBERSHIP'!CA$5:CA$27,1))-SUMPRODUCT(--('93_TARGET_MEMBERSHIP'!CA$5:CA$27=-1),'05_FEATURE_MODEL'!AL$5:AL$27)/MAX(1,COUNTIF('93_TARGET_MEMBERSHIP'!CA$5:CA$27,-1))))</f>
        <v/>
      </c>
      <c r="AL82" s="34">
        <f>IF($B82="ABSOLUTE SEMANTIC",ABS('06_ITEM_POLE_MODEL'!AU82),ABS('06_ITEM_POLE_MODEL'!AU82)*ABS(SUMPRODUCT(--('93_TARGET_MEMBERSHIP'!CA$5:CA$27=1),'05_FEATURE_MODEL'!AM$5:AM$27)/MAX(1,COUNTIF('93_TARGET_MEMBERSHIP'!CA$5:CA$27,1))-SUMPRODUCT(--('93_TARGET_MEMBERSHIP'!CA$5:CA$27=-1),'05_FEATURE_MODEL'!AM$5:AM$27)/MAX(1,COUNTIF('93_TARGET_MEMBERSHIP'!CA$5:CA$27,-1))))</f>
        <v/>
      </c>
      <c r="AM82" s="34">
        <f>IF($B82="ABSOLUTE SEMANTIC",ABS('06_ITEM_POLE_MODEL'!AV82),ABS('06_ITEM_POLE_MODEL'!AV82)*ABS(SUMPRODUCT(--('93_TARGET_MEMBERSHIP'!CA$5:CA$27=1),'05_FEATURE_MODEL'!AN$5:AN$27)/MAX(1,COUNTIF('93_TARGET_MEMBERSHIP'!CA$5:CA$27,1))-SUMPRODUCT(--('93_TARGET_MEMBERSHIP'!CA$5:CA$27=-1),'05_FEATURE_MODEL'!AN$5:AN$27)/MAX(1,COUNTIF('93_TARGET_MEMBERSHIP'!CA$5:CA$27,-1))))</f>
        <v/>
      </c>
      <c r="AN82" s="34">
        <f>IF($B82="ABSOLUTE SEMANTIC",ABS('06_ITEM_POLE_MODEL'!AW82),ABS('06_ITEM_POLE_MODEL'!AW82)*ABS(SUMPRODUCT(--('93_TARGET_MEMBERSHIP'!CA$5:CA$27=1),'05_FEATURE_MODEL'!AO$5:AO$27)/MAX(1,COUNTIF('93_TARGET_MEMBERSHIP'!CA$5:CA$27,1))-SUMPRODUCT(--('93_TARGET_MEMBERSHIP'!CA$5:CA$27=-1),'05_FEATURE_MODEL'!AO$5:AO$27)/MAX(1,COUNTIF('93_TARGET_MEMBERSHIP'!CA$5:CA$27,-1))))</f>
        <v/>
      </c>
      <c r="AO82" s="34">
        <f>IF($B82="ABSOLUTE SEMANTIC",ABS('06_ITEM_POLE_MODEL'!AX82),ABS('06_ITEM_POLE_MODEL'!AX82)*ABS(SUMPRODUCT(--('93_TARGET_MEMBERSHIP'!CA$5:CA$27=1),'05_FEATURE_MODEL'!AP$5:AP$27)/MAX(1,COUNTIF('93_TARGET_MEMBERSHIP'!CA$5:CA$27,1))-SUMPRODUCT(--('93_TARGET_MEMBERSHIP'!CA$5:CA$27=-1),'05_FEATURE_MODEL'!AP$5:AP$27)/MAX(1,COUNTIF('93_TARGET_MEMBERSHIP'!CA$5:CA$27,-1))))</f>
        <v/>
      </c>
      <c r="AP82" s="34">
        <f>IF($B82="ABSOLUTE SEMANTIC",ABS('06_ITEM_POLE_MODEL'!AY82),ABS('06_ITEM_POLE_MODEL'!AY82)*ABS(SUMPRODUCT(--('93_TARGET_MEMBERSHIP'!CA$5:CA$27=1),'05_FEATURE_MODEL'!AQ$5:AQ$27)/MAX(1,COUNTIF('93_TARGET_MEMBERSHIP'!CA$5:CA$27,1))-SUMPRODUCT(--('93_TARGET_MEMBERSHIP'!CA$5:CA$27=-1),'05_FEATURE_MODEL'!AQ$5:AQ$27)/MAX(1,COUNTIF('93_TARGET_MEMBERSHIP'!CA$5:CA$27,-1))))</f>
        <v/>
      </c>
      <c r="AQ82" s="34">
        <f>IF($B82="ABSOLUTE SEMANTIC",ABS('06_ITEM_POLE_MODEL'!AZ82),ABS('06_ITEM_POLE_MODEL'!AZ82)*ABS(SUMPRODUCT(--('93_TARGET_MEMBERSHIP'!CA$5:CA$27=1),'05_FEATURE_MODEL'!AR$5:AR$27)/MAX(1,COUNTIF('93_TARGET_MEMBERSHIP'!CA$5:CA$27,1))-SUMPRODUCT(--('93_TARGET_MEMBERSHIP'!CA$5:CA$27=-1),'05_FEATURE_MODEL'!AR$5:AR$27)/MAX(1,COUNTIF('93_TARGET_MEMBERSHIP'!CA$5:CA$27,-1))))</f>
        <v/>
      </c>
    </row>
    <row r="83" ht="36" customHeight="1">
      <c r="A83" s="34">
        <f>'06_ITEM_POLE_MODEL'!A83</f>
        <v/>
      </c>
      <c r="B83" s="34">
        <f>'06_ITEM_POLE_MODEL'!E83</f>
        <v/>
      </c>
      <c r="C83" s="34">
        <f>IF($B83="ABSOLUTE SEMANTIC",ABS('06_ITEM_POLE_MODEL'!L83),ABS('06_ITEM_POLE_MODEL'!L83)*ABS(SUMPRODUCT(--('93_TARGET_MEMBERSHIP'!CB$5:CB$27=1),'05_FEATURE_MODEL'!D$5:D$27)/MAX(1,COUNTIF('93_TARGET_MEMBERSHIP'!CB$5:CB$27,1))-SUMPRODUCT(--('93_TARGET_MEMBERSHIP'!CB$5:CB$27=-1),'05_FEATURE_MODEL'!D$5:D$27)/MAX(1,COUNTIF('93_TARGET_MEMBERSHIP'!CB$5:CB$27,-1))))</f>
        <v/>
      </c>
      <c r="D83" s="34">
        <f>IF($B83="ABSOLUTE SEMANTIC",ABS('06_ITEM_POLE_MODEL'!M83),ABS('06_ITEM_POLE_MODEL'!M83)*ABS(SUMPRODUCT(--('93_TARGET_MEMBERSHIP'!CB$5:CB$27=1),'05_FEATURE_MODEL'!E$5:E$27)/MAX(1,COUNTIF('93_TARGET_MEMBERSHIP'!CB$5:CB$27,1))-SUMPRODUCT(--('93_TARGET_MEMBERSHIP'!CB$5:CB$27=-1),'05_FEATURE_MODEL'!E$5:E$27)/MAX(1,COUNTIF('93_TARGET_MEMBERSHIP'!CB$5:CB$27,-1))))</f>
        <v/>
      </c>
      <c r="E83" s="34">
        <f>IF($B83="ABSOLUTE SEMANTIC",ABS('06_ITEM_POLE_MODEL'!N83),ABS('06_ITEM_POLE_MODEL'!N83)*ABS(SUMPRODUCT(--('93_TARGET_MEMBERSHIP'!CB$5:CB$27=1),'05_FEATURE_MODEL'!F$5:F$27)/MAX(1,COUNTIF('93_TARGET_MEMBERSHIP'!CB$5:CB$27,1))-SUMPRODUCT(--('93_TARGET_MEMBERSHIP'!CB$5:CB$27=-1),'05_FEATURE_MODEL'!F$5:F$27)/MAX(1,COUNTIF('93_TARGET_MEMBERSHIP'!CB$5:CB$27,-1))))</f>
        <v/>
      </c>
      <c r="F83" s="34">
        <f>IF($B83="ABSOLUTE SEMANTIC",ABS('06_ITEM_POLE_MODEL'!O83),ABS('06_ITEM_POLE_MODEL'!O83)*ABS(SUMPRODUCT(--('93_TARGET_MEMBERSHIP'!CB$5:CB$27=1),'05_FEATURE_MODEL'!G$5:G$27)/MAX(1,COUNTIF('93_TARGET_MEMBERSHIP'!CB$5:CB$27,1))-SUMPRODUCT(--('93_TARGET_MEMBERSHIP'!CB$5:CB$27=-1),'05_FEATURE_MODEL'!G$5:G$27)/MAX(1,COUNTIF('93_TARGET_MEMBERSHIP'!CB$5:CB$27,-1))))</f>
        <v/>
      </c>
      <c r="G83" s="34">
        <f>IF($B83="ABSOLUTE SEMANTIC",ABS('06_ITEM_POLE_MODEL'!P83),ABS('06_ITEM_POLE_MODEL'!P83)*ABS(SUMPRODUCT(--('93_TARGET_MEMBERSHIP'!CB$5:CB$27=1),'05_FEATURE_MODEL'!H$5:H$27)/MAX(1,COUNTIF('93_TARGET_MEMBERSHIP'!CB$5:CB$27,1))-SUMPRODUCT(--('93_TARGET_MEMBERSHIP'!CB$5:CB$27=-1),'05_FEATURE_MODEL'!H$5:H$27)/MAX(1,COUNTIF('93_TARGET_MEMBERSHIP'!CB$5:CB$27,-1))))</f>
        <v/>
      </c>
      <c r="H83" s="34">
        <f>IF($B83="ABSOLUTE SEMANTIC",ABS('06_ITEM_POLE_MODEL'!Q83),ABS('06_ITEM_POLE_MODEL'!Q83)*ABS(SUMPRODUCT(--('93_TARGET_MEMBERSHIP'!CB$5:CB$27=1),'05_FEATURE_MODEL'!I$5:I$27)/MAX(1,COUNTIF('93_TARGET_MEMBERSHIP'!CB$5:CB$27,1))-SUMPRODUCT(--('93_TARGET_MEMBERSHIP'!CB$5:CB$27=-1),'05_FEATURE_MODEL'!I$5:I$27)/MAX(1,COUNTIF('93_TARGET_MEMBERSHIP'!CB$5:CB$27,-1))))</f>
        <v/>
      </c>
      <c r="I83" s="34">
        <f>IF($B83="ABSOLUTE SEMANTIC",ABS('06_ITEM_POLE_MODEL'!R83),ABS('06_ITEM_POLE_MODEL'!R83)*ABS(SUMPRODUCT(--('93_TARGET_MEMBERSHIP'!CB$5:CB$27=1),'05_FEATURE_MODEL'!J$5:J$27)/MAX(1,COUNTIF('93_TARGET_MEMBERSHIP'!CB$5:CB$27,1))-SUMPRODUCT(--('93_TARGET_MEMBERSHIP'!CB$5:CB$27=-1),'05_FEATURE_MODEL'!J$5:J$27)/MAX(1,COUNTIF('93_TARGET_MEMBERSHIP'!CB$5:CB$27,-1))))</f>
        <v/>
      </c>
      <c r="J83" s="34">
        <f>IF($B83="ABSOLUTE SEMANTIC",ABS('06_ITEM_POLE_MODEL'!S83),ABS('06_ITEM_POLE_MODEL'!S83)*ABS(SUMPRODUCT(--('93_TARGET_MEMBERSHIP'!CB$5:CB$27=1),'05_FEATURE_MODEL'!K$5:K$27)/MAX(1,COUNTIF('93_TARGET_MEMBERSHIP'!CB$5:CB$27,1))-SUMPRODUCT(--('93_TARGET_MEMBERSHIP'!CB$5:CB$27=-1),'05_FEATURE_MODEL'!K$5:K$27)/MAX(1,COUNTIF('93_TARGET_MEMBERSHIP'!CB$5:CB$27,-1))))</f>
        <v/>
      </c>
      <c r="K83" s="34">
        <f>IF($B83="ABSOLUTE SEMANTIC",ABS('06_ITEM_POLE_MODEL'!T83),ABS('06_ITEM_POLE_MODEL'!T83)*ABS(SUMPRODUCT(--('93_TARGET_MEMBERSHIP'!CB$5:CB$27=1),'05_FEATURE_MODEL'!L$5:L$27)/MAX(1,COUNTIF('93_TARGET_MEMBERSHIP'!CB$5:CB$27,1))-SUMPRODUCT(--('93_TARGET_MEMBERSHIP'!CB$5:CB$27=-1),'05_FEATURE_MODEL'!L$5:L$27)/MAX(1,COUNTIF('93_TARGET_MEMBERSHIP'!CB$5:CB$27,-1))))</f>
        <v/>
      </c>
      <c r="L83" s="34">
        <f>IF($B83="ABSOLUTE SEMANTIC",ABS('06_ITEM_POLE_MODEL'!U83),ABS('06_ITEM_POLE_MODEL'!U83)*ABS(SUMPRODUCT(--('93_TARGET_MEMBERSHIP'!CB$5:CB$27=1),'05_FEATURE_MODEL'!M$5:M$27)/MAX(1,COUNTIF('93_TARGET_MEMBERSHIP'!CB$5:CB$27,1))-SUMPRODUCT(--('93_TARGET_MEMBERSHIP'!CB$5:CB$27=-1),'05_FEATURE_MODEL'!M$5:M$27)/MAX(1,COUNTIF('93_TARGET_MEMBERSHIP'!CB$5:CB$27,-1))))</f>
        <v/>
      </c>
      <c r="M83" s="34">
        <f>IF($B83="ABSOLUTE SEMANTIC",ABS('06_ITEM_POLE_MODEL'!V83),ABS('06_ITEM_POLE_MODEL'!V83)*ABS(SUMPRODUCT(--('93_TARGET_MEMBERSHIP'!CB$5:CB$27=1),'05_FEATURE_MODEL'!N$5:N$27)/MAX(1,COUNTIF('93_TARGET_MEMBERSHIP'!CB$5:CB$27,1))-SUMPRODUCT(--('93_TARGET_MEMBERSHIP'!CB$5:CB$27=-1),'05_FEATURE_MODEL'!N$5:N$27)/MAX(1,COUNTIF('93_TARGET_MEMBERSHIP'!CB$5:CB$27,-1))))</f>
        <v/>
      </c>
      <c r="N83" s="34">
        <f>IF($B83="ABSOLUTE SEMANTIC",ABS('06_ITEM_POLE_MODEL'!W83),ABS('06_ITEM_POLE_MODEL'!W83)*ABS(SUMPRODUCT(--('93_TARGET_MEMBERSHIP'!CB$5:CB$27=1),'05_FEATURE_MODEL'!O$5:O$27)/MAX(1,COUNTIF('93_TARGET_MEMBERSHIP'!CB$5:CB$27,1))-SUMPRODUCT(--('93_TARGET_MEMBERSHIP'!CB$5:CB$27=-1),'05_FEATURE_MODEL'!O$5:O$27)/MAX(1,COUNTIF('93_TARGET_MEMBERSHIP'!CB$5:CB$27,-1))))</f>
        <v/>
      </c>
      <c r="O83" s="34">
        <f>IF($B83="ABSOLUTE SEMANTIC",ABS('06_ITEM_POLE_MODEL'!X83),ABS('06_ITEM_POLE_MODEL'!X83)*ABS(SUMPRODUCT(--('93_TARGET_MEMBERSHIP'!CB$5:CB$27=1),'05_FEATURE_MODEL'!P$5:P$27)/MAX(1,COUNTIF('93_TARGET_MEMBERSHIP'!CB$5:CB$27,1))-SUMPRODUCT(--('93_TARGET_MEMBERSHIP'!CB$5:CB$27=-1),'05_FEATURE_MODEL'!P$5:P$27)/MAX(1,COUNTIF('93_TARGET_MEMBERSHIP'!CB$5:CB$27,-1))))</f>
        <v/>
      </c>
      <c r="P83" s="34">
        <f>IF($B83="ABSOLUTE SEMANTIC",ABS('06_ITEM_POLE_MODEL'!Y83),ABS('06_ITEM_POLE_MODEL'!Y83)*ABS(SUMPRODUCT(--('93_TARGET_MEMBERSHIP'!CB$5:CB$27=1),'05_FEATURE_MODEL'!Q$5:Q$27)/MAX(1,COUNTIF('93_TARGET_MEMBERSHIP'!CB$5:CB$27,1))-SUMPRODUCT(--('93_TARGET_MEMBERSHIP'!CB$5:CB$27=-1),'05_FEATURE_MODEL'!Q$5:Q$27)/MAX(1,COUNTIF('93_TARGET_MEMBERSHIP'!CB$5:CB$27,-1))))</f>
        <v/>
      </c>
      <c r="Q83" s="34">
        <f>IF($B83="ABSOLUTE SEMANTIC",ABS('06_ITEM_POLE_MODEL'!Z83),ABS('06_ITEM_POLE_MODEL'!Z83)*ABS(SUMPRODUCT(--('93_TARGET_MEMBERSHIP'!CB$5:CB$27=1),'05_FEATURE_MODEL'!R$5:R$27)/MAX(1,COUNTIF('93_TARGET_MEMBERSHIP'!CB$5:CB$27,1))-SUMPRODUCT(--('93_TARGET_MEMBERSHIP'!CB$5:CB$27=-1),'05_FEATURE_MODEL'!R$5:R$27)/MAX(1,COUNTIF('93_TARGET_MEMBERSHIP'!CB$5:CB$27,-1))))</f>
        <v/>
      </c>
      <c r="R83" s="34">
        <f>IF($B83="ABSOLUTE SEMANTIC",ABS('06_ITEM_POLE_MODEL'!AA83),ABS('06_ITEM_POLE_MODEL'!AA83)*ABS(SUMPRODUCT(--('93_TARGET_MEMBERSHIP'!CB$5:CB$27=1),'05_FEATURE_MODEL'!S$5:S$27)/MAX(1,COUNTIF('93_TARGET_MEMBERSHIP'!CB$5:CB$27,1))-SUMPRODUCT(--('93_TARGET_MEMBERSHIP'!CB$5:CB$27=-1),'05_FEATURE_MODEL'!S$5:S$27)/MAX(1,COUNTIF('93_TARGET_MEMBERSHIP'!CB$5:CB$27,-1))))</f>
        <v/>
      </c>
      <c r="S83" s="34">
        <f>IF($B83="ABSOLUTE SEMANTIC",ABS('06_ITEM_POLE_MODEL'!AB83),ABS('06_ITEM_POLE_MODEL'!AB83)*ABS(SUMPRODUCT(--('93_TARGET_MEMBERSHIP'!CB$5:CB$27=1),'05_FEATURE_MODEL'!T$5:T$27)/MAX(1,COUNTIF('93_TARGET_MEMBERSHIP'!CB$5:CB$27,1))-SUMPRODUCT(--('93_TARGET_MEMBERSHIP'!CB$5:CB$27=-1),'05_FEATURE_MODEL'!T$5:T$27)/MAX(1,COUNTIF('93_TARGET_MEMBERSHIP'!CB$5:CB$27,-1))))</f>
        <v/>
      </c>
      <c r="T83" s="34">
        <f>IF($B83="ABSOLUTE SEMANTIC",ABS('06_ITEM_POLE_MODEL'!AC83),ABS('06_ITEM_POLE_MODEL'!AC83)*ABS(SUMPRODUCT(--('93_TARGET_MEMBERSHIP'!CB$5:CB$27=1),'05_FEATURE_MODEL'!U$5:U$27)/MAX(1,COUNTIF('93_TARGET_MEMBERSHIP'!CB$5:CB$27,1))-SUMPRODUCT(--('93_TARGET_MEMBERSHIP'!CB$5:CB$27=-1),'05_FEATURE_MODEL'!U$5:U$27)/MAX(1,COUNTIF('93_TARGET_MEMBERSHIP'!CB$5:CB$27,-1))))</f>
        <v/>
      </c>
      <c r="U83" s="34">
        <f>IF($B83="ABSOLUTE SEMANTIC",ABS('06_ITEM_POLE_MODEL'!AD83),ABS('06_ITEM_POLE_MODEL'!AD83)*ABS(SUMPRODUCT(--('93_TARGET_MEMBERSHIP'!CB$5:CB$27=1),'05_FEATURE_MODEL'!V$5:V$27)/MAX(1,COUNTIF('93_TARGET_MEMBERSHIP'!CB$5:CB$27,1))-SUMPRODUCT(--('93_TARGET_MEMBERSHIP'!CB$5:CB$27=-1),'05_FEATURE_MODEL'!V$5:V$27)/MAX(1,COUNTIF('93_TARGET_MEMBERSHIP'!CB$5:CB$27,-1))))</f>
        <v/>
      </c>
      <c r="V83" s="34">
        <f>IF($B83="ABSOLUTE SEMANTIC",ABS('06_ITEM_POLE_MODEL'!AE83),ABS('06_ITEM_POLE_MODEL'!AE83)*ABS(SUMPRODUCT(--('93_TARGET_MEMBERSHIP'!CB$5:CB$27=1),'05_FEATURE_MODEL'!W$5:W$27)/MAX(1,COUNTIF('93_TARGET_MEMBERSHIP'!CB$5:CB$27,1))-SUMPRODUCT(--('93_TARGET_MEMBERSHIP'!CB$5:CB$27=-1),'05_FEATURE_MODEL'!W$5:W$27)/MAX(1,COUNTIF('93_TARGET_MEMBERSHIP'!CB$5:CB$27,-1))))</f>
        <v/>
      </c>
      <c r="W83" s="34">
        <f>IF($B83="ABSOLUTE SEMANTIC",ABS('06_ITEM_POLE_MODEL'!AF83),ABS('06_ITEM_POLE_MODEL'!AF83)*ABS(SUMPRODUCT(--('93_TARGET_MEMBERSHIP'!CB$5:CB$27=1),'05_FEATURE_MODEL'!X$5:X$27)/MAX(1,COUNTIF('93_TARGET_MEMBERSHIP'!CB$5:CB$27,1))-SUMPRODUCT(--('93_TARGET_MEMBERSHIP'!CB$5:CB$27=-1),'05_FEATURE_MODEL'!X$5:X$27)/MAX(1,COUNTIF('93_TARGET_MEMBERSHIP'!CB$5:CB$27,-1))))</f>
        <v/>
      </c>
      <c r="X83" s="34">
        <f>IF($B83="ABSOLUTE SEMANTIC",ABS('06_ITEM_POLE_MODEL'!AG83),ABS('06_ITEM_POLE_MODEL'!AG83)*ABS(SUMPRODUCT(--('93_TARGET_MEMBERSHIP'!CB$5:CB$27=1),'05_FEATURE_MODEL'!Y$5:Y$27)/MAX(1,COUNTIF('93_TARGET_MEMBERSHIP'!CB$5:CB$27,1))-SUMPRODUCT(--('93_TARGET_MEMBERSHIP'!CB$5:CB$27=-1),'05_FEATURE_MODEL'!Y$5:Y$27)/MAX(1,COUNTIF('93_TARGET_MEMBERSHIP'!CB$5:CB$27,-1))))</f>
        <v/>
      </c>
      <c r="Y83" s="34">
        <f>IF($B83="ABSOLUTE SEMANTIC",ABS('06_ITEM_POLE_MODEL'!AH83),ABS('06_ITEM_POLE_MODEL'!AH83)*ABS(SUMPRODUCT(--('93_TARGET_MEMBERSHIP'!CB$5:CB$27=1),'05_FEATURE_MODEL'!Z$5:Z$27)/MAX(1,COUNTIF('93_TARGET_MEMBERSHIP'!CB$5:CB$27,1))-SUMPRODUCT(--('93_TARGET_MEMBERSHIP'!CB$5:CB$27=-1),'05_FEATURE_MODEL'!Z$5:Z$27)/MAX(1,COUNTIF('93_TARGET_MEMBERSHIP'!CB$5:CB$27,-1))))</f>
        <v/>
      </c>
      <c r="Z83" s="34">
        <f>IF($B83="ABSOLUTE SEMANTIC",ABS('06_ITEM_POLE_MODEL'!AI83),ABS('06_ITEM_POLE_MODEL'!AI83)*ABS(SUMPRODUCT(--('93_TARGET_MEMBERSHIP'!CB$5:CB$27=1),'05_FEATURE_MODEL'!AA$5:AA$27)/MAX(1,COUNTIF('93_TARGET_MEMBERSHIP'!CB$5:CB$27,1))-SUMPRODUCT(--('93_TARGET_MEMBERSHIP'!CB$5:CB$27=-1),'05_FEATURE_MODEL'!AA$5:AA$27)/MAX(1,COUNTIF('93_TARGET_MEMBERSHIP'!CB$5:CB$27,-1))))</f>
        <v/>
      </c>
      <c r="AA83" s="34">
        <f>IF($B83="ABSOLUTE SEMANTIC",ABS('06_ITEM_POLE_MODEL'!AJ83),ABS('06_ITEM_POLE_MODEL'!AJ83)*ABS(SUMPRODUCT(--('93_TARGET_MEMBERSHIP'!CB$5:CB$27=1),'05_FEATURE_MODEL'!AB$5:AB$27)/MAX(1,COUNTIF('93_TARGET_MEMBERSHIP'!CB$5:CB$27,1))-SUMPRODUCT(--('93_TARGET_MEMBERSHIP'!CB$5:CB$27=-1),'05_FEATURE_MODEL'!AB$5:AB$27)/MAX(1,COUNTIF('93_TARGET_MEMBERSHIP'!CB$5:CB$27,-1))))</f>
        <v/>
      </c>
      <c r="AB83" s="34">
        <f>IF($B83="ABSOLUTE SEMANTIC",ABS('06_ITEM_POLE_MODEL'!AK83),ABS('06_ITEM_POLE_MODEL'!AK83)*ABS(SUMPRODUCT(--('93_TARGET_MEMBERSHIP'!CB$5:CB$27=1),'05_FEATURE_MODEL'!AC$5:AC$27)/MAX(1,COUNTIF('93_TARGET_MEMBERSHIP'!CB$5:CB$27,1))-SUMPRODUCT(--('93_TARGET_MEMBERSHIP'!CB$5:CB$27=-1),'05_FEATURE_MODEL'!AC$5:AC$27)/MAX(1,COUNTIF('93_TARGET_MEMBERSHIP'!CB$5:CB$27,-1))))</f>
        <v/>
      </c>
      <c r="AC83" s="34">
        <f>IF($B83="ABSOLUTE SEMANTIC",ABS('06_ITEM_POLE_MODEL'!AL83),ABS('06_ITEM_POLE_MODEL'!AL83)*ABS(SUMPRODUCT(--('93_TARGET_MEMBERSHIP'!CB$5:CB$27=1),'05_FEATURE_MODEL'!AD$5:AD$27)/MAX(1,COUNTIF('93_TARGET_MEMBERSHIP'!CB$5:CB$27,1))-SUMPRODUCT(--('93_TARGET_MEMBERSHIP'!CB$5:CB$27=-1),'05_FEATURE_MODEL'!AD$5:AD$27)/MAX(1,COUNTIF('93_TARGET_MEMBERSHIP'!CB$5:CB$27,-1))))</f>
        <v/>
      </c>
      <c r="AD83" s="34">
        <f>IF($B83="ABSOLUTE SEMANTIC",ABS('06_ITEM_POLE_MODEL'!AM83),ABS('06_ITEM_POLE_MODEL'!AM83)*ABS(SUMPRODUCT(--('93_TARGET_MEMBERSHIP'!CB$5:CB$27=1),'05_FEATURE_MODEL'!AE$5:AE$27)/MAX(1,COUNTIF('93_TARGET_MEMBERSHIP'!CB$5:CB$27,1))-SUMPRODUCT(--('93_TARGET_MEMBERSHIP'!CB$5:CB$27=-1),'05_FEATURE_MODEL'!AE$5:AE$27)/MAX(1,COUNTIF('93_TARGET_MEMBERSHIP'!CB$5:CB$27,-1))))</f>
        <v/>
      </c>
      <c r="AE83" s="34">
        <f>IF($B83="ABSOLUTE SEMANTIC",ABS('06_ITEM_POLE_MODEL'!AN83),ABS('06_ITEM_POLE_MODEL'!AN83)*ABS(SUMPRODUCT(--('93_TARGET_MEMBERSHIP'!CB$5:CB$27=1),'05_FEATURE_MODEL'!AF$5:AF$27)/MAX(1,COUNTIF('93_TARGET_MEMBERSHIP'!CB$5:CB$27,1))-SUMPRODUCT(--('93_TARGET_MEMBERSHIP'!CB$5:CB$27=-1),'05_FEATURE_MODEL'!AF$5:AF$27)/MAX(1,COUNTIF('93_TARGET_MEMBERSHIP'!CB$5:CB$27,-1))))</f>
        <v/>
      </c>
      <c r="AF83" s="34">
        <f>IF($B83="ABSOLUTE SEMANTIC",ABS('06_ITEM_POLE_MODEL'!AO83),ABS('06_ITEM_POLE_MODEL'!AO83)*ABS(SUMPRODUCT(--('93_TARGET_MEMBERSHIP'!CB$5:CB$27=1),'05_FEATURE_MODEL'!AG$5:AG$27)/MAX(1,COUNTIF('93_TARGET_MEMBERSHIP'!CB$5:CB$27,1))-SUMPRODUCT(--('93_TARGET_MEMBERSHIP'!CB$5:CB$27=-1),'05_FEATURE_MODEL'!AG$5:AG$27)/MAX(1,COUNTIF('93_TARGET_MEMBERSHIP'!CB$5:CB$27,-1))))</f>
        <v/>
      </c>
      <c r="AG83" s="34">
        <f>IF($B83="ABSOLUTE SEMANTIC",ABS('06_ITEM_POLE_MODEL'!AP83),ABS('06_ITEM_POLE_MODEL'!AP83)*ABS(SUMPRODUCT(--('93_TARGET_MEMBERSHIP'!CB$5:CB$27=1),'05_FEATURE_MODEL'!AH$5:AH$27)/MAX(1,COUNTIF('93_TARGET_MEMBERSHIP'!CB$5:CB$27,1))-SUMPRODUCT(--('93_TARGET_MEMBERSHIP'!CB$5:CB$27=-1),'05_FEATURE_MODEL'!AH$5:AH$27)/MAX(1,COUNTIF('93_TARGET_MEMBERSHIP'!CB$5:CB$27,-1))))</f>
        <v/>
      </c>
      <c r="AH83" s="34">
        <f>IF($B83="ABSOLUTE SEMANTIC",ABS('06_ITEM_POLE_MODEL'!AQ83),ABS('06_ITEM_POLE_MODEL'!AQ83)*ABS(SUMPRODUCT(--('93_TARGET_MEMBERSHIP'!CB$5:CB$27=1),'05_FEATURE_MODEL'!AI$5:AI$27)/MAX(1,COUNTIF('93_TARGET_MEMBERSHIP'!CB$5:CB$27,1))-SUMPRODUCT(--('93_TARGET_MEMBERSHIP'!CB$5:CB$27=-1),'05_FEATURE_MODEL'!AI$5:AI$27)/MAX(1,COUNTIF('93_TARGET_MEMBERSHIP'!CB$5:CB$27,-1))))</f>
        <v/>
      </c>
      <c r="AI83" s="34">
        <f>IF($B83="ABSOLUTE SEMANTIC",ABS('06_ITEM_POLE_MODEL'!AR83),ABS('06_ITEM_POLE_MODEL'!AR83)*ABS(SUMPRODUCT(--('93_TARGET_MEMBERSHIP'!CB$5:CB$27=1),'05_FEATURE_MODEL'!AJ$5:AJ$27)/MAX(1,COUNTIF('93_TARGET_MEMBERSHIP'!CB$5:CB$27,1))-SUMPRODUCT(--('93_TARGET_MEMBERSHIP'!CB$5:CB$27=-1),'05_FEATURE_MODEL'!AJ$5:AJ$27)/MAX(1,COUNTIF('93_TARGET_MEMBERSHIP'!CB$5:CB$27,-1))))</f>
        <v/>
      </c>
      <c r="AJ83" s="34">
        <f>IF($B83="ABSOLUTE SEMANTIC",ABS('06_ITEM_POLE_MODEL'!AS83),ABS('06_ITEM_POLE_MODEL'!AS83)*ABS(SUMPRODUCT(--('93_TARGET_MEMBERSHIP'!CB$5:CB$27=1),'05_FEATURE_MODEL'!AK$5:AK$27)/MAX(1,COUNTIF('93_TARGET_MEMBERSHIP'!CB$5:CB$27,1))-SUMPRODUCT(--('93_TARGET_MEMBERSHIP'!CB$5:CB$27=-1),'05_FEATURE_MODEL'!AK$5:AK$27)/MAX(1,COUNTIF('93_TARGET_MEMBERSHIP'!CB$5:CB$27,-1))))</f>
        <v/>
      </c>
      <c r="AK83" s="34">
        <f>IF($B83="ABSOLUTE SEMANTIC",ABS('06_ITEM_POLE_MODEL'!AT83),ABS('06_ITEM_POLE_MODEL'!AT83)*ABS(SUMPRODUCT(--('93_TARGET_MEMBERSHIP'!CB$5:CB$27=1),'05_FEATURE_MODEL'!AL$5:AL$27)/MAX(1,COUNTIF('93_TARGET_MEMBERSHIP'!CB$5:CB$27,1))-SUMPRODUCT(--('93_TARGET_MEMBERSHIP'!CB$5:CB$27=-1),'05_FEATURE_MODEL'!AL$5:AL$27)/MAX(1,COUNTIF('93_TARGET_MEMBERSHIP'!CB$5:CB$27,-1))))</f>
        <v/>
      </c>
      <c r="AL83" s="34">
        <f>IF($B83="ABSOLUTE SEMANTIC",ABS('06_ITEM_POLE_MODEL'!AU83),ABS('06_ITEM_POLE_MODEL'!AU83)*ABS(SUMPRODUCT(--('93_TARGET_MEMBERSHIP'!CB$5:CB$27=1),'05_FEATURE_MODEL'!AM$5:AM$27)/MAX(1,COUNTIF('93_TARGET_MEMBERSHIP'!CB$5:CB$27,1))-SUMPRODUCT(--('93_TARGET_MEMBERSHIP'!CB$5:CB$27=-1),'05_FEATURE_MODEL'!AM$5:AM$27)/MAX(1,COUNTIF('93_TARGET_MEMBERSHIP'!CB$5:CB$27,-1))))</f>
        <v/>
      </c>
      <c r="AM83" s="34">
        <f>IF($B83="ABSOLUTE SEMANTIC",ABS('06_ITEM_POLE_MODEL'!AV83),ABS('06_ITEM_POLE_MODEL'!AV83)*ABS(SUMPRODUCT(--('93_TARGET_MEMBERSHIP'!CB$5:CB$27=1),'05_FEATURE_MODEL'!AN$5:AN$27)/MAX(1,COUNTIF('93_TARGET_MEMBERSHIP'!CB$5:CB$27,1))-SUMPRODUCT(--('93_TARGET_MEMBERSHIP'!CB$5:CB$27=-1),'05_FEATURE_MODEL'!AN$5:AN$27)/MAX(1,COUNTIF('93_TARGET_MEMBERSHIP'!CB$5:CB$27,-1))))</f>
        <v/>
      </c>
      <c r="AN83" s="34">
        <f>IF($B83="ABSOLUTE SEMANTIC",ABS('06_ITEM_POLE_MODEL'!AW83),ABS('06_ITEM_POLE_MODEL'!AW83)*ABS(SUMPRODUCT(--('93_TARGET_MEMBERSHIP'!CB$5:CB$27=1),'05_FEATURE_MODEL'!AO$5:AO$27)/MAX(1,COUNTIF('93_TARGET_MEMBERSHIP'!CB$5:CB$27,1))-SUMPRODUCT(--('93_TARGET_MEMBERSHIP'!CB$5:CB$27=-1),'05_FEATURE_MODEL'!AO$5:AO$27)/MAX(1,COUNTIF('93_TARGET_MEMBERSHIP'!CB$5:CB$27,-1))))</f>
        <v/>
      </c>
      <c r="AO83" s="34">
        <f>IF($B83="ABSOLUTE SEMANTIC",ABS('06_ITEM_POLE_MODEL'!AX83),ABS('06_ITEM_POLE_MODEL'!AX83)*ABS(SUMPRODUCT(--('93_TARGET_MEMBERSHIP'!CB$5:CB$27=1),'05_FEATURE_MODEL'!AP$5:AP$27)/MAX(1,COUNTIF('93_TARGET_MEMBERSHIP'!CB$5:CB$27,1))-SUMPRODUCT(--('93_TARGET_MEMBERSHIP'!CB$5:CB$27=-1),'05_FEATURE_MODEL'!AP$5:AP$27)/MAX(1,COUNTIF('93_TARGET_MEMBERSHIP'!CB$5:CB$27,-1))))</f>
        <v/>
      </c>
      <c r="AP83" s="34">
        <f>IF($B83="ABSOLUTE SEMANTIC",ABS('06_ITEM_POLE_MODEL'!AY83),ABS('06_ITEM_POLE_MODEL'!AY83)*ABS(SUMPRODUCT(--('93_TARGET_MEMBERSHIP'!CB$5:CB$27=1),'05_FEATURE_MODEL'!AQ$5:AQ$27)/MAX(1,COUNTIF('93_TARGET_MEMBERSHIP'!CB$5:CB$27,1))-SUMPRODUCT(--('93_TARGET_MEMBERSHIP'!CB$5:CB$27=-1),'05_FEATURE_MODEL'!AQ$5:AQ$27)/MAX(1,COUNTIF('93_TARGET_MEMBERSHIP'!CB$5:CB$27,-1))))</f>
        <v/>
      </c>
      <c r="AQ83" s="34">
        <f>IF($B83="ABSOLUTE SEMANTIC",ABS('06_ITEM_POLE_MODEL'!AZ83),ABS('06_ITEM_POLE_MODEL'!AZ83)*ABS(SUMPRODUCT(--('93_TARGET_MEMBERSHIP'!CB$5:CB$27=1),'05_FEATURE_MODEL'!AR$5:AR$27)/MAX(1,COUNTIF('93_TARGET_MEMBERSHIP'!CB$5:CB$27,1))-SUMPRODUCT(--('93_TARGET_MEMBERSHIP'!CB$5:CB$27=-1),'05_FEATURE_MODEL'!AR$5:AR$27)/MAX(1,COUNTIF('93_TARGET_MEMBERSHIP'!CB$5:CB$27,-1))))</f>
        <v/>
      </c>
    </row>
    <row r="84" ht="36" customHeight="1">
      <c r="A84" s="34">
        <f>'06_ITEM_POLE_MODEL'!A84</f>
        <v/>
      </c>
      <c r="B84" s="34">
        <f>'06_ITEM_POLE_MODEL'!E84</f>
        <v/>
      </c>
      <c r="C84" s="34">
        <f>IF($B84="ABSOLUTE SEMANTIC",ABS('06_ITEM_POLE_MODEL'!L84),ABS('06_ITEM_POLE_MODEL'!L84)*ABS(SUMPRODUCT(--('93_TARGET_MEMBERSHIP'!CC$5:CC$27=1),'05_FEATURE_MODEL'!D$5:D$27)/MAX(1,COUNTIF('93_TARGET_MEMBERSHIP'!CC$5:CC$27,1))-SUMPRODUCT(--('93_TARGET_MEMBERSHIP'!CC$5:CC$27=-1),'05_FEATURE_MODEL'!D$5:D$27)/MAX(1,COUNTIF('93_TARGET_MEMBERSHIP'!CC$5:CC$27,-1))))</f>
        <v/>
      </c>
      <c r="D84" s="34">
        <f>IF($B84="ABSOLUTE SEMANTIC",ABS('06_ITEM_POLE_MODEL'!M84),ABS('06_ITEM_POLE_MODEL'!M84)*ABS(SUMPRODUCT(--('93_TARGET_MEMBERSHIP'!CC$5:CC$27=1),'05_FEATURE_MODEL'!E$5:E$27)/MAX(1,COUNTIF('93_TARGET_MEMBERSHIP'!CC$5:CC$27,1))-SUMPRODUCT(--('93_TARGET_MEMBERSHIP'!CC$5:CC$27=-1),'05_FEATURE_MODEL'!E$5:E$27)/MAX(1,COUNTIF('93_TARGET_MEMBERSHIP'!CC$5:CC$27,-1))))</f>
        <v/>
      </c>
      <c r="E84" s="34">
        <f>IF($B84="ABSOLUTE SEMANTIC",ABS('06_ITEM_POLE_MODEL'!N84),ABS('06_ITEM_POLE_MODEL'!N84)*ABS(SUMPRODUCT(--('93_TARGET_MEMBERSHIP'!CC$5:CC$27=1),'05_FEATURE_MODEL'!F$5:F$27)/MAX(1,COUNTIF('93_TARGET_MEMBERSHIP'!CC$5:CC$27,1))-SUMPRODUCT(--('93_TARGET_MEMBERSHIP'!CC$5:CC$27=-1),'05_FEATURE_MODEL'!F$5:F$27)/MAX(1,COUNTIF('93_TARGET_MEMBERSHIP'!CC$5:CC$27,-1))))</f>
        <v/>
      </c>
      <c r="F84" s="34">
        <f>IF($B84="ABSOLUTE SEMANTIC",ABS('06_ITEM_POLE_MODEL'!O84),ABS('06_ITEM_POLE_MODEL'!O84)*ABS(SUMPRODUCT(--('93_TARGET_MEMBERSHIP'!CC$5:CC$27=1),'05_FEATURE_MODEL'!G$5:G$27)/MAX(1,COUNTIF('93_TARGET_MEMBERSHIP'!CC$5:CC$27,1))-SUMPRODUCT(--('93_TARGET_MEMBERSHIP'!CC$5:CC$27=-1),'05_FEATURE_MODEL'!G$5:G$27)/MAX(1,COUNTIF('93_TARGET_MEMBERSHIP'!CC$5:CC$27,-1))))</f>
        <v/>
      </c>
      <c r="G84" s="34">
        <f>IF($B84="ABSOLUTE SEMANTIC",ABS('06_ITEM_POLE_MODEL'!P84),ABS('06_ITEM_POLE_MODEL'!P84)*ABS(SUMPRODUCT(--('93_TARGET_MEMBERSHIP'!CC$5:CC$27=1),'05_FEATURE_MODEL'!H$5:H$27)/MAX(1,COUNTIF('93_TARGET_MEMBERSHIP'!CC$5:CC$27,1))-SUMPRODUCT(--('93_TARGET_MEMBERSHIP'!CC$5:CC$27=-1),'05_FEATURE_MODEL'!H$5:H$27)/MAX(1,COUNTIF('93_TARGET_MEMBERSHIP'!CC$5:CC$27,-1))))</f>
        <v/>
      </c>
      <c r="H84" s="34">
        <f>IF($B84="ABSOLUTE SEMANTIC",ABS('06_ITEM_POLE_MODEL'!Q84),ABS('06_ITEM_POLE_MODEL'!Q84)*ABS(SUMPRODUCT(--('93_TARGET_MEMBERSHIP'!CC$5:CC$27=1),'05_FEATURE_MODEL'!I$5:I$27)/MAX(1,COUNTIF('93_TARGET_MEMBERSHIP'!CC$5:CC$27,1))-SUMPRODUCT(--('93_TARGET_MEMBERSHIP'!CC$5:CC$27=-1),'05_FEATURE_MODEL'!I$5:I$27)/MAX(1,COUNTIF('93_TARGET_MEMBERSHIP'!CC$5:CC$27,-1))))</f>
        <v/>
      </c>
      <c r="I84" s="34">
        <f>IF($B84="ABSOLUTE SEMANTIC",ABS('06_ITEM_POLE_MODEL'!R84),ABS('06_ITEM_POLE_MODEL'!R84)*ABS(SUMPRODUCT(--('93_TARGET_MEMBERSHIP'!CC$5:CC$27=1),'05_FEATURE_MODEL'!J$5:J$27)/MAX(1,COUNTIF('93_TARGET_MEMBERSHIP'!CC$5:CC$27,1))-SUMPRODUCT(--('93_TARGET_MEMBERSHIP'!CC$5:CC$27=-1),'05_FEATURE_MODEL'!J$5:J$27)/MAX(1,COUNTIF('93_TARGET_MEMBERSHIP'!CC$5:CC$27,-1))))</f>
        <v/>
      </c>
      <c r="J84" s="34">
        <f>IF($B84="ABSOLUTE SEMANTIC",ABS('06_ITEM_POLE_MODEL'!S84),ABS('06_ITEM_POLE_MODEL'!S84)*ABS(SUMPRODUCT(--('93_TARGET_MEMBERSHIP'!CC$5:CC$27=1),'05_FEATURE_MODEL'!K$5:K$27)/MAX(1,COUNTIF('93_TARGET_MEMBERSHIP'!CC$5:CC$27,1))-SUMPRODUCT(--('93_TARGET_MEMBERSHIP'!CC$5:CC$27=-1),'05_FEATURE_MODEL'!K$5:K$27)/MAX(1,COUNTIF('93_TARGET_MEMBERSHIP'!CC$5:CC$27,-1))))</f>
        <v/>
      </c>
      <c r="K84" s="34">
        <f>IF($B84="ABSOLUTE SEMANTIC",ABS('06_ITEM_POLE_MODEL'!T84),ABS('06_ITEM_POLE_MODEL'!T84)*ABS(SUMPRODUCT(--('93_TARGET_MEMBERSHIP'!CC$5:CC$27=1),'05_FEATURE_MODEL'!L$5:L$27)/MAX(1,COUNTIF('93_TARGET_MEMBERSHIP'!CC$5:CC$27,1))-SUMPRODUCT(--('93_TARGET_MEMBERSHIP'!CC$5:CC$27=-1),'05_FEATURE_MODEL'!L$5:L$27)/MAX(1,COUNTIF('93_TARGET_MEMBERSHIP'!CC$5:CC$27,-1))))</f>
        <v/>
      </c>
      <c r="L84" s="34">
        <f>IF($B84="ABSOLUTE SEMANTIC",ABS('06_ITEM_POLE_MODEL'!U84),ABS('06_ITEM_POLE_MODEL'!U84)*ABS(SUMPRODUCT(--('93_TARGET_MEMBERSHIP'!CC$5:CC$27=1),'05_FEATURE_MODEL'!M$5:M$27)/MAX(1,COUNTIF('93_TARGET_MEMBERSHIP'!CC$5:CC$27,1))-SUMPRODUCT(--('93_TARGET_MEMBERSHIP'!CC$5:CC$27=-1),'05_FEATURE_MODEL'!M$5:M$27)/MAX(1,COUNTIF('93_TARGET_MEMBERSHIP'!CC$5:CC$27,-1))))</f>
        <v/>
      </c>
      <c r="M84" s="34">
        <f>IF($B84="ABSOLUTE SEMANTIC",ABS('06_ITEM_POLE_MODEL'!V84),ABS('06_ITEM_POLE_MODEL'!V84)*ABS(SUMPRODUCT(--('93_TARGET_MEMBERSHIP'!CC$5:CC$27=1),'05_FEATURE_MODEL'!N$5:N$27)/MAX(1,COUNTIF('93_TARGET_MEMBERSHIP'!CC$5:CC$27,1))-SUMPRODUCT(--('93_TARGET_MEMBERSHIP'!CC$5:CC$27=-1),'05_FEATURE_MODEL'!N$5:N$27)/MAX(1,COUNTIF('93_TARGET_MEMBERSHIP'!CC$5:CC$27,-1))))</f>
        <v/>
      </c>
      <c r="N84" s="34">
        <f>IF($B84="ABSOLUTE SEMANTIC",ABS('06_ITEM_POLE_MODEL'!W84),ABS('06_ITEM_POLE_MODEL'!W84)*ABS(SUMPRODUCT(--('93_TARGET_MEMBERSHIP'!CC$5:CC$27=1),'05_FEATURE_MODEL'!O$5:O$27)/MAX(1,COUNTIF('93_TARGET_MEMBERSHIP'!CC$5:CC$27,1))-SUMPRODUCT(--('93_TARGET_MEMBERSHIP'!CC$5:CC$27=-1),'05_FEATURE_MODEL'!O$5:O$27)/MAX(1,COUNTIF('93_TARGET_MEMBERSHIP'!CC$5:CC$27,-1))))</f>
        <v/>
      </c>
      <c r="O84" s="34">
        <f>IF($B84="ABSOLUTE SEMANTIC",ABS('06_ITEM_POLE_MODEL'!X84),ABS('06_ITEM_POLE_MODEL'!X84)*ABS(SUMPRODUCT(--('93_TARGET_MEMBERSHIP'!CC$5:CC$27=1),'05_FEATURE_MODEL'!P$5:P$27)/MAX(1,COUNTIF('93_TARGET_MEMBERSHIP'!CC$5:CC$27,1))-SUMPRODUCT(--('93_TARGET_MEMBERSHIP'!CC$5:CC$27=-1),'05_FEATURE_MODEL'!P$5:P$27)/MAX(1,COUNTIF('93_TARGET_MEMBERSHIP'!CC$5:CC$27,-1))))</f>
        <v/>
      </c>
      <c r="P84" s="34">
        <f>IF($B84="ABSOLUTE SEMANTIC",ABS('06_ITEM_POLE_MODEL'!Y84),ABS('06_ITEM_POLE_MODEL'!Y84)*ABS(SUMPRODUCT(--('93_TARGET_MEMBERSHIP'!CC$5:CC$27=1),'05_FEATURE_MODEL'!Q$5:Q$27)/MAX(1,COUNTIF('93_TARGET_MEMBERSHIP'!CC$5:CC$27,1))-SUMPRODUCT(--('93_TARGET_MEMBERSHIP'!CC$5:CC$27=-1),'05_FEATURE_MODEL'!Q$5:Q$27)/MAX(1,COUNTIF('93_TARGET_MEMBERSHIP'!CC$5:CC$27,-1))))</f>
        <v/>
      </c>
      <c r="Q84" s="34">
        <f>IF($B84="ABSOLUTE SEMANTIC",ABS('06_ITEM_POLE_MODEL'!Z84),ABS('06_ITEM_POLE_MODEL'!Z84)*ABS(SUMPRODUCT(--('93_TARGET_MEMBERSHIP'!CC$5:CC$27=1),'05_FEATURE_MODEL'!R$5:R$27)/MAX(1,COUNTIF('93_TARGET_MEMBERSHIP'!CC$5:CC$27,1))-SUMPRODUCT(--('93_TARGET_MEMBERSHIP'!CC$5:CC$27=-1),'05_FEATURE_MODEL'!R$5:R$27)/MAX(1,COUNTIF('93_TARGET_MEMBERSHIP'!CC$5:CC$27,-1))))</f>
        <v/>
      </c>
      <c r="R84" s="34">
        <f>IF($B84="ABSOLUTE SEMANTIC",ABS('06_ITEM_POLE_MODEL'!AA84),ABS('06_ITEM_POLE_MODEL'!AA84)*ABS(SUMPRODUCT(--('93_TARGET_MEMBERSHIP'!CC$5:CC$27=1),'05_FEATURE_MODEL'!S$5:S$27)/MAX(1,COUNTIF('93_TARGET_MEMBERSHIP'!CC$5:CC$27,1))-SUMPRODUCT(--('93_TARGET_MEMBERSHIP'!CC$5:CC$27=-1),'05_FEATURE_MODEL'!S$5:S$27)/MAX(1,COUNTIF('93_TARGET_MEMBERSHIP'!CC$5:CC$27,-1))))</f>
        <v/>
      </c>
      <c r="S84" s="34">
        <f>IF($B84="ABSOLUTE SEMANTIC",ABS('06_ITEM_POLE_MODEL'!AB84),ABS('06_ITEM_POLE_MODEL'!AB84)*ABS(SUMPRODUCT(--('93_TARGET_MEMBERSHIP'!CC$5:CC$27=1),'05_FEATURE_MODEL'!T$5:T$27)/MAX(1,COUNTIF('93_TARGET_MEMBERSHIP'!CC$5:CC$27,1))-SUMPRODUCT(--('93_TARGET_MEMBERSHIP'!CC$5:CC$27=-1),'05_FEATURE_MODEL'!T$5:T$27)/MAX(1,COUNTIF('93_TARGET_MEMBERSHIP'!CC$5:CC$27,-1))))</f>
        <v/>
      </c>
      <c r="T84" s="34">
        <f>IF($B84="ABSOLUTE SEMANTIC",ABS('06_ITEM_POLE_MODEL'!AC84),ABS('06_ITEM_POLE_MODEL'!AC84)*ABS(SUMPRODUCT(--('93_TARGET_MEMBERSHIP'!CC$5:CC$27=1),'05_FEATURE_MODEL'!U$5:U$27)/MAX(1,COUNTIF('93_TARGET_MEMBERSHIP'!CC$5:CC$27,1))-SUMPRODUCT(--('93_TARGET_MEMBERSHIP'!CC$5:CC$27=-1),'05_FEATURE_MODEL'!U$5:U$27)/MAX(1,COUNTIF('93_TARGET_MEMBERSHIP'!CC$5:CC$27,-1))))</f>
        <v/>
      </c>
      <c r="U84" s="34">
        <f>IF($B84="ABSOLUTE SEMANTIC",ABS('06_ITEM_POLE_MODEL'!AD84),ABS('06_ITEM_POLE_MODEL'!AD84)*ABS(SUMPRODUCT(--('93_TARGET_MEMBERSHIP'!CC$5:CC$27=1),'05_FEATURE_MODEL'!V$5:V$27)/MAX(1,COUNTIF('93_TARGET_MEMBERSHIP'!CC$5:CC$27,1))-SUMPRODUCT(--('93_TARGET_MEMBERSHIP'!CC$5:CC$27=-1),'05_FEATURE_MODEL'!V$5:V$27)/MAX(1,COUNTIF('93_TARGET_MEMBERSHIP'!CC$5:CC$27,-1))))</f>
        <v/>
      </c>
      <c r="V84" s="34">
        <f>IF($B84="ABSOLUTE SEMANTIC",ABS('06_ITEM_POLE_MODEL'!AE84),ABS('06_ITEM_POLE_MODEL'!AE84)*ABS(SUMPRODUCT(--('93_TARGET_MEMBERSHIP'!CC$5:CC$27=1),'05_FEATURE_MODEL'!W$5:W$27)/MAX(1,COUNTIF('93_TARGET_MEMBERSHIP'!CC$5:CC$27,1))-SUMPRODUCT(--('93_TARGET_MEMBERSHIP'!CC$5:CC$27=-1),'05_FEATURE_MODEL'!W$5:W$27)/MAX(1,COUNTIF('93_TARGET_MEMBERSHIP'!CC$5:CC$27,-1))))</f>
        <v/>
      </c>
      <c r="W84" s="34">
        <f>IF($B84="ABSOLUTE SEMANTIC",ABS('06_ITEM_POLE_MODEL'!AF84),ABS('06_ITEM_POLE_MODEL'!AF84)*ABS(SUMPRODUCT(--('93_TARGET_MEMBERSHIP'!CC$5:CC$27=1),'05_FEATURE_MODEL'!X$5:X$27)/MAX(1,COUNTIF('93_TARGET_MEMBERSHIP'!CC$5:CC$27,1))-SUMPRODUCT(--('93_TARGET_MEMBERSHIP'!CC$5:CC$27=-1),'05_FEATURE_MODEL'!X$5:X$27)/MAX(1,COUNTIF('93_TARGET_MEMBERSHIP'!CC$5:CC$27,-1))))</f>
        <v/>
      </c>
      <c r="X84" s="34">
        <f>IF($B84="ABSOLUTE SEMANTIC",ABS('06_ITEM_POLE_MODEL'!AG84),ABS('06_ITEM_POLE_MODEL'!AG84)*ABS(SUMPRODUCT(--('93_TARGET_MEMBERSHIP'!CC$5:CC$27=1),'05_FEATURE_MODEL'!Y$5:Y$27)/MAX(1,COUNTIF('93_TARGET_MEMBERSHIP'!CC$5:CC$27,1))-SUMPRODUCT(--('93_TARGET_MEMBERSHIP'!CC$5:CC$27=-1),'05_FEATURE_MODEL'!Y$5:Y$27)/MAX(1,COUNTIF('93_TARGET_MEMBERSHIP'!CC$5:CC$27,-1))))</f>
        <v/>
      </c>
      <c r="Y84" s="34">
        <f>IF($B84="ABSOLUTE SEMANTIC",ABS('06_ITEM_POLE_MODEL'!AH84),ABS('06_ITEM_POLE_MODEL'!AH84)*ABS(SUMPRODUCT(--('93_TARGET_MEMBERSHIP'!CC$5:CC$27=1),'05_FEATURE_MODEL'!Z$5:Z$27)/MAX(1,COUNTIF('93_TARGET_MEMBERSHIP'!CC$5:CC$27,1))-SUMPRODUCT(--('93_TARGET_MEMBERSHIP'!CC$5:CC$27=-1),'05_FEATURE_MODEL'!Z$5:Z$27)/MAX(1,COUNTIF('93_TARGET_MEMBERSHIP'!CC$5:CC$27,-1))))</f>
        <v/>
      </c>
      <c r="Z84" s="34">
        <f>IF($B84="ABSOLUTE SEMANTIC",ABS('06_ITEM_POLE_MODEL'!AI84),ABS('06_ITEM_POLE_MODEL'!AI84)*ABS(SUMPRODUCT(--('93_TARGET_MEMBERSHIP'!CC$5:CC$27=1),'05_FEATURE_MODEL'!AA$5:AA$27)/MAX(1,COUNTIF('93_TARGET_MEMBERSHIP'!CC$5:CC$27,1))-SUMPRODUCT(--('93_TARGET_MEMBERSHIP'!CC$5:CC$27=-1),'05_FEATURE_MODEL'!AA$5:AA$27)/MAX(1,COUNTIF('93_TARGET_MEMBERSHIP'!CC$5:CC$27,-1))))</f>
        <v/>
      </c>
      <c r="AA84" s="34">
        <f>IF($B84="ABSOLUTE SEMANTIC",ABS('06_ITEM_POLE_MODEL'!AJ84),ABS('06_ITEM_POLE_MODEL'!AJ84)*ABS(SUMPRODUCT(--('93_TARGET_MEMBERSHIP'!CC$5:CC$27=1),'05_FEATURE_MODEL'!AB$5:AB$27)/MAX(1,COUNTIF('93_TARGET_MEMBERSHIP'!CC$5:CC$27,1))-SUMPRODUCT(--('93_TARGET_MEMBERSHIP'!CC$5:CC$27=-1),'05_FEATURE_MODEL'!AB$5:AB$27)/MAX(1,COUNTIF('93_TARGET_MEMBERSHIP'!CC$5:CC$27,-1))))</f>
        <v/>
      </c>
      <c r="AB84" s="34">
        <f>IF($B84="ABSOLUTE SEMANTIC",ABS('06_ITEM_POLE_MODEL'!AK84),ABS('06_ITEM_POLE_MODEL'!AK84)*ABS(SUMPRODUCT(--('93_TARGET_MEMBERSHIP'!CC$5:CC$27=1),'05_FEATURE_MODEL'!AC$5:AC$27)/MAX(1,COUNTIF('93_TARGET_MEMBERSHIP'!CC$5:CC$27,1))-SUMPRODUCT(--('93_TARGET_MEMBERSHIP'!CC$5:CC$27=-1),'05_FEATURE_MODEL'!AC$5:AC$27)/MAX(1,COUNTIF('93_TARGET_MEMBERSHIP'!CC$5:CC$27,-1))))</f>
        <v/>
      </c>
      <c r="AC84" s="34">
        <f>IF($B84="ABSOLUTE SEMANTIC",ABS('06_ITEM_POLE_MODEL'!AL84),ABS('06_ITEM_POLE_MODEL'!AL84)*ABS(SUMPRODUCT(--('93_TARGET_MEMBERSHIP'!CC$5:CC$27=1),'05_FEATURE_MODEL'!AD$5:AD$27)/MAX(1,COUNTIF('93_TARGET_MEMBERSHIP'!CC$5:CC$27,1))-SUMPRODUCT(--('93_TARGET_MEMBERSHIP'!CC$5:CC$27=-1),'05_FEATURE_MODEL'!AD$5:AD$27)/MAX(1,COUNTIF('93_TARGET_MEMBERSHIP'!CC$5:CC$27,-1))))</f>
        <v/>
      </c>
      <c r="AD84" s="34">
        <f>IF($B84="ABSOLUTE SEMANTIC",ABS('06_ITEM_POLE_MODEL'!AM84),ABS('06_ITEM_POLE_MODEL'!AM84)*ABS(SUMPRODUCT(--('93_TARGET_MEMBERSHIP'!CC$5:CC$27=1),'05_FEATURE_MODEL'!AE$5:AE$27)/MAX(1,COUNTIF('93_TARGET_MEMBERSHIP'!CC$5:CC$27,1))-SUMPRODUCT(--('93_TARGET_MEMBERSHIP'!CC$5:CC$27=-1),'05_FEATURE_MODEL'!AE$5:AE$27)/MAX(1,COUNTIF('93_TARGET_MEMBERSHIP'!CC$5:CC$27,-1))))</f>
        <v/>
      </c>
      <c r="AE84" s="34">
        <f>IF($B84="ABSOLUTE SEMANTIC",ABS('06_ITEM_POLE_MODEL'!AN84),ABS('06_ITEM_POLE_MODEL'!AN84)*ABS(SUMPRODUCT(--('93_TARGET_MEMBERSHIP'!CC$5:CC$27=1),'05_FEATURE_MODEL'!AF$5:AF$27)/MAX(1,COUNTIF('93_TARGET_MEMBERSHIP'!CC$5:CC$27,1))-SUMPRODUCT(--('93_TARGET_MEMBERSHIP'!CC$5:CC$27=-1),'05_FEATURE_MODEL'!AF$5:AF$27)/MAX(1,COUNTIF('93_TARGET_MEMBERSHIP'!CC$5:CC$27,-1))))</f>
        <v/>
      </c>
      <c r="AF84" s="34">
        <f>IF($B84="ABSOLUTE SEMANTIC",ABS('06_ITEM_POLE_MODEL'!AO84),ABS('06_ITEM_POLE_MODEL'!AO84)*ABS(SUMPRODUCT(--('93_TARGET_MEMBERSHIP'!CC$5:CC$27=1),'05_FEATURE_MODEL'!AG$5:AG$27)/MAX(1,COUNTIF('93_TARGET_MEMBERSHIP'!CC$5:CC$27,1))-SUMPRODUCT(--('93_TARGET_MEMBERSHIP'!CC$5:CC$27=-1),'05_FEATURE_MODEL'!AG$5:AG$27)/MAX(1,COUNTIF('93_TARGET_MEMBERSHIP'!CC$5:CC$27,-1))))</f>
        <v/>
      </c>
      <c r="AG84" s="34">
        <f>IF($B84="ABSOLUTE SEMANTIC",ABS('06_ITEM_POLE_MODEL'!AP84),ABS('06_ITEM_POLE_MODEL'!AP84)*ABS(SUMPRODUCT(--('93_TARGET_MEMBERSHIP'!CC$5:CC$27=1),'05_FEATURE_MODEL'!AH$5:AH$27)/MAX(1,COUNTIF('93_TARGET_MEMBERSHIP'!CC$5:CC$27,1))-SUMPRODUCT(--('93_TARGET_MEMBERSHIP'!CC$5:CC$27=-1),'05_FEATURE_MODEL'!AH$5:AH$27)/MAX(1,COUNTIF('93_TARGET_MEMBERSHIP'!CC$5:CC$27,-1))))</f>
        <v/>
      </c>
      <c r="AH84" s="34">
        <f>IF($B84="ABSOLUTE SEMANTIC",ABS('06_ITEM_POLE_MODEL'!AQ84),ABS('06_ITEM_POLE_MODEL'!AQ84)*ABS(SUMPRODUCT(--('93_TARGET_MEMBERSHIP'!CC$5:CC$27=1),'05_FEATURE_MODEL'!AI$5:AI$27)/MAX(1,COUNTIF('93_TARGET_MEMBERSHIP'!CC$5:CC$27,1))-SUMPRODUCT(--('93_TARGET_MEMBERSHIP'!CC$5:CC$27=-1),'05_FEATURE_MODEL'!AI$5:AI$27)/MAX(1,COUNTIF('93_TARGET_MEMBERSHIP'!CC$5:CC$27,-1))))</f>
        <v/>
      </c>
      <c r="AI84" s="34">
        <f>IF($B84="ABSOLUTE SEMANTIC",ABS('06_ITEM_POLE_MODEL'!AR84),ABS('06_ITEM_POLE_MODEL'!AR84)*ABS(SUMPRODUCT(--('93_TARGET_MEMBERSHIP'!CC$5:CC$27=1),'05_FEATURE_MODEL'!AJ$5:AJ$27)/MAX(1,COUNTIF('93_TARGET_MEMBERSHIP'!CC$5:CC$27,1))-SUMPRODUCT(--('93_TARGET_MEMBERSHIP'!CC$5:CC$27=-1),'05_FEATURE_MODEL'!AJ$5:AJ$27)/MAX(1,COUNTIF('93_TARGET_MEMBERSHIP'!CC$5:CC$27,-1))))</f>
        <v/>
      </c>
      <c r="AJ84" s="34">
        <f>IF($B84="ABSOLUTE SEMANTIC",ABS('06_ITEM_POLE_MODEL'!AS84),ABS('06_ITEM_POLE_MODEL'!AS84)*ABS(SUMPRODUCT(--('93_TARGET_MEMBERSHIP'!CC$5:CC$27=1),'05_FEATURE_MODEL'!AK$5:AK$27)/MAX(1,COUNTIF('93_TARGET_MEMBERSHIP'!CC$5:CC$27,1))-SUMPRODUCT(--('93_TARGET_MEMBERSHIP'!CC$5:CC$27=-1),'05_FEATURE_MODEL'!AK$5:AK$27)/MAX(1,COUNTIF('93_TARGET_MEMBERSHIP'!CC$5:CC$27,-1))))</f>
        <v/>
      </c>
      <c r="AK84" s="34">
        <f>IF($B84="ABSOLUTE SEMANTIC",ABS('06_ITEM_POLE_MODEL'!AT84),ABS('06_ITEM_POLE_MODEL'!AT84)*ABS(SUMPRODUCT(--('93_TARGET_MEMBERSHIP'!CC$5:CC$27=1),'05_FEATURE_MODEL'!AL$5:AL$27)/MAX(1,COUNTIF('93_TARGET_MEMBERSHIP'!CC$5:CC$27,1))-SUMPRODUCT(--('93_TARGET_MEMBERSHIP'!CC$5:CC$27=-1),'05_FEATURE_MODEL'!AL$5:AL$27)/MAX(1,COUNTIF('93_TARGET_MEMBERSHIP'!CC$5:CC$27,-1))))</f>
        <v/>
      </c>
      <c r="AL84" s="34">
        <f>IF($B84="ABSOLUTE SEMANTIC",ABS('06_ITEM_POLE_MODEL'!AU84),ABS('06_ITEM_POLE_MODEL'!AU84)*ABS(SUMPRODUCT(--('93_TARGET_MEMBERSHIP'!CC$5:CC$27=1),'05_FEATURE_MODEL'!AM$5:AM$27)/MAX(1,COUNTIF('93_TARGET_MEMBERSHIP'!CC$5:CC$27,1))-SUMPRODUCT(--('93_TARGET_MEMBERSHIP'!CC$5:CC$27=-1),'05_FEATURE_MODEL'!AM$5:AM$27)/MAX(1,COUNTIF('93_TARGET_MEMBERSHIP'!CC$5:CC$27,-1))))</f>
        <v/>
      </c>
      <c r="AM84" s="34">
        <f>IF($B84="ABSOLUTE SEMANTIC",ABS('06_ITEM_POLE_MODEL'!AV84),ABS('06_ITEM_POLE_MODEL'!AV84)*ABS(SUMPRODUCT(--('93_TARGET_MEMBERSHIP'!CC$5:CC$27=1),'05_FEATURE_MODEL'!AN$5:AN$27)/MAX(1,COUNTIF('93_TARGET_MEMBERSHIP'!CC$5:CC$27,1))-SUMPRODUCT(--('93_TARGET_MEMBERSHIP'!CC$5:CC$27=-1),'05_FEATURE_MODEL'!AN$5:AN$27)/MAX(1,COUNTIF('93_TARGET_MEMBERSHIP'!CC$5:CC$27,-1))))</f>
        <v/>
      </c>
      <c r="AN84" s="34">
        <f>IF($B84="ABSOLUTE SEMANTIC",ABS('06_ITEM_POLE_MODEL'!AW84),ABS('06_ITEM_POLE_MODEL'!AW84)*ABS(SUMPRODUCT(--('93_TARGET_MEMBERSHIP'!CC$5:CC$27=1),'05_FEATURE_MODEL'!AO$5:AO$27)/MAX(1,COUNTIF('93_TARGET_MEMBERSHIP'!CC$5:CC$27,1))-SUMPRODUCT(--('93_TARGET_MEMBERSHIP'!CC$5:CC$27=-1),'05_FEATURE_MODEL'!AO$5:AO$27)/MAX(1,COUNTIF('93_TARGET_MEMBERSHIP'!CC$5:CC$27,-1))))</f>
        <v/>
      </c>
      <c r="AO84" s="34">
        <f>IF($B84="ABSOLUTE SEMANTIC",ABS('06_ITEM_POLE_MODEL'!AX84),ABS('06_ITEM_POLE_MODEL'!AX84)*ABS(SUMPRODUCT(--('93_TARGET_MEMBERSHIP'!CC$5:CC$27=1),'05_FEATURE_MODEL'!AP$5:AP$27)/MAX(1,COUNTIF('93_TARGET_MEMBERSHIP'!CC$5:CC$27,1))-SUMPRODUCT(--('93_TARGET_MEMBERSHIP'!CC$5:CC$27=-1),'05_FEATURE_MODEL'!AP$5:AP$27)/MAX(1,COUNTIF('93_TARGET_MEMBERSHIP'!CC$5:CC$27,-1))))</f>
        <v/>
      </c>
      <c r="AP84" s="34">
        <f>IF($B84="ABSOLUTE SEMANTIC",ABS('06_ITEM_POLE_MODEL'!AY84),ABS('06_ITEM_POLE_MODEL'!AY84)*ABS(SUMPRODUCT(--('93_TARGET_MEMBERSHIP'!CC$5:CC$27=1),'05_FEATURE_MODEL'!AQ$5:AQ$27)/MAX(1,COUNTIF('93_TARGET_MEMBERSHIP'!CC$5:CC$27,1))-SUMPRODUCT(--('93_TARGET_MEMBERSHIP'!CC$5:CC$27=-1),'05_FEATURE_MODEL'!AQ$5:AQ$27)/MAX(1,COUNTIF('93_TARGET_MEMBERSHIP'!CC$5:CC$27,-1))))</f>
        <v/>
      </c>
      <c r="AQ84" s="34">
        <f>IF($B84="ABSOLUTE SEMANTIC",ABS('06_ITEM_POLE_MODEL'!AZ84),ABS('06_ITEM_POLE_MODEL'!AZ84)*ABS(SUMPRODUCT(--('93_TARGET_MEMBERSHIP'!CC$5:CC$27=1),'05_FEATURE_MODEL'!AR$5:AR$27)/MAX(1,COUNTIF('93_TARGET_MEMBERSHIP'!CC$5:CC$27,1))-SUMPRODUCT(--('93_TARGET_MEMBERSHIP'!CC$5:CC$27=-1),'05_FEATURE_MODEL'!AR$5:AR$27)/MAX(1,COUNTIF('93_TARGET_MEMBERSHIP'!CC$5:CC$27,-1))))</f>
        <v/>
      </c>
    </row>
  </sheetData>
  <mergeCells count="2">
    <mergeCell ref="A1:AQ1"/>
    <mergeCell ref="A2:AQ2"/>
  </mergeCells>
  <pageMargins left="0.75" right="0.75" top="1" bottom="1" header="0.5" footer="0.5"/>
  <pageSetup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AQ8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</cols>
  <sheetData>
    <row r="1" ht="30" customHeight="1">
      <c r="A1" s="1" t="inlineStr">
        <is>
          <t>Item × Feature Evidence Confidence</t>
        </is>
      </c>
    </row>
    <row r="2" ht="34" customHeight="1">
      <c r="A2" s="29" t="inlineStr">
        <is>
          <t>Absolute items use global nonzero-evidence confidence. Comparative items use the geometric mean of target-side cell confidence for each separating feature.</t>
        </is>
      </c>
    </row>
    <row r="3"/>
    <row r="4" ht="32" customHeight="1">
      <c r="A4" s="30" t="inlineStr">
        <is>
          <t>Slot</t>
        </is>
      </c>
      <c r="B4" s="30" t="inlineStr">
        <is>
          <t>Mode</t>
        </is>
      </c>
      <c r="C4" s="30" t="inlineStr">
        <is>
          <t>D01</t>
        </is>
      </c>
      <c r="D4" s="30" t="inlineStr">
        <is>
          <t>D02</t>
        </is>
      </c>
      <c r="E4" s="30" t="inlineStr">
        <is>
          <t>D03</t>
        </is>
      </c>
      <c r="F4" s="30" t="inlineStr">
        <is>
          <t>D04</t>
        </is>
      </c>
      <c r="G4" s="30" t="inlineStr">
        <is>
          <t>D05</t>
        </is>
      </c>
      <c r="H4" s="30" t="inlineStr">
        <is>
          <t>D06</t>
        </is>
      </c>
      <c r="I4" s="30" t="inlineStr">
        <is>
          <t>D07</t>
        </is>
      </c>
      <c r="J4" s="30" t="inlineStr">
        <is>
          <t>D08</t>
        </is>
      </c>
      <c r="K4" s="30" t="inlineStr">
        <is>
          <t>D09</t>
        </is>
      </c>
      <c r="L4" s="30" t="inlineStr">
        <is>
          <t>D10</t>
        </is>
      </c>
      <c r="M4" s="30" t="inlineStr">
        <is>
          <t>D11</t>
        </is>
      </c>
      <c r="N4" s="30" t="inlineStr">
        <is>
          <t>D12</t>
        </is>
      </c>
      <c r="O4" s="30" t="inlineStr">
        <is>
          <t>D13</t>
        </is>
      </c>
      <c r="P4" s="30" t="inlineStr">
        <is>
          <t>D14</t>
        </is>
      </c>
      <c r="Q4" s="30" t="inlineStr">
        <is>
          <t>D15</t>
        </is>
      </c>
      <c r="R4" s="30" t="inlineStr">
        <is>
          <t>D16</t>
        </is>
      </c>
      <c r="S4" s="30" t="inlineStr">
        <is>
          <t>D17</t>
        </is>
      </c>
      <c r="T4" s="30" t="inlineStr">
        <is>
          <t>D18</t>
        </is>
      </c>
      <c r="U4" s="30" t="inlineStr">
        <is>
          <t>D19</t>
        </is>
      </c>
      <c r="V4" s="30" t="inlineStr">
        <is>
          <t>D20</t>
        </is>
      </c>
      <c r="W4" s="30" t="inlineStr">
        <is>
          <t>D21</t>
        </is>
      </c>
      <c r="X4" s="30" t="inlineStr">
        <is>
          <t>D22</t>
        </is>
      </c>
      <c r="Y4" s="30" t="inlineStr">
        <is>
          <t>M01</t>
        </is>
      </c>
      <c r="Z4" s="30" t="inlineStr">
        <is>
          <t>M02</t>
        </is>
      </c>
      <c r="AA4" s="30" t="inlineStr">
        <is>
          <t>M03</t>
        </is>
      </c>
      <c r="AB4" s="30" t="inlineStr">
        <is>
          <t>M04</t>
        </is>
      </c>
      <c r="AC4" s="30" t="inlineStr">
        <is>
          <t>M05</t>
        </is>
      </c>
      <c r="AD4" s="30" t="inlineStr">
        <is>
          <t>M06</t>
        </is>
      </c>
      <c r="AE4" s="30" t="inlineStr">
        <is>
          <t>M07</t>
        </is>
      </c>
      <c r="AF4" s="30" t="inlineStr">
        <is>
          <t>M08</t>
        </is>
      </c>
      <c r="AG4" s="30" t="inlineStr">
        <is>
          <t>M09</t>
        </is>
      </c>
      <c r="AH4" s="30" t="inlineStr">
        <is>
          <t>M10</t>
        </is>
      </c>
      <c r="AI4" s="30" t="inlineStr">
        <is>
          <t>M11</t>
        </is>
      </c>
      <c r="AJ4" s="30" t="inlineStr">
        <is>
          <t>M12</t>
        </is>
      </c>
      <c r="AK4" s="30" t="inlineStr">
        <is>
          <t>M13</t>
        </is>
      </c>
      <c r="AL4" s="30" t="inlineStr">
        <is>
          <t>M14</t>
        </is>
      </c>
      <c r="AM4" s="30" t="inlineStr">
        <is>
          <t>M15</t>
        </is>
      </c>
      <c r="AN4" s="30" t="inlineStr">
        <is>
          <t>M16</t>
        </is>
      </c>
      <c r="AO4" s="30" t="inlineStr">
        <is>
          <t>M17</t>
        </is>
      </c>
      <c r="AP4" s="30" t="inlineStr">
        <is>
          <t>M18</t>
        </is>
      </c>
      <c r="AQ4" s="30" t="inlineStr">
        <is>
          <t>M19</t>
        </is>
      </c>
    </row>
    <row r="5" ht="36" customHeight="1">
      <c r="A5" s="34">
        <f>'06_ITEM_POLE_MODEL'!A5</f>
        <v/>
      </c>
      <c r="B5" s="34">
        <f>'06_ITEM_POLE_MODEL'!E5</f>
        <v/>
      </c>
      <c r="C5" s="34">
        <f>IF($B5="ABSOLUTE SEMANTIC",'19_FEATURE_CONFIDENCE'!$D$5,SQRT((SUMPRODUCT(--('93_TARGET_MEMBERSHIP'!B$5:B$27=1),'92_FEATURE_CONF_NUMERIC'!D$5:D$27)/MAX(1,COUNTIF('93_TARGET_MEMBERSHIP'!B$5:B$27,1)))*(SUMPRODUCT(--('93_TARGET_MEMBERSHIP'!B$5:B$27=-1),'92_FEATURE_CONF_NUMERIC'!D$5:D$27)/MAX(1,COUNTIF('93_TARGET_MEMBERSHIP'!B$5:B$27,-1)))))</f>
        <v/>
      </c>
      <c r="D5" s="34">
        <f>IF($B5="ABSOLUTE SEMANTIC",'19_FEATURE_CONFIDENCE'!$D$6,SQRT((SUMPRODUCT(--('93_TARGET_MEMBERSHIP'!B$5:B$27=1),'92_FEATURE_CONF_NUMERIC'!E$5:E$27)/MAX(1,COUNTIF('93_TARGET_MEMBERSHIP'!B$5:B$27,1)))*(SUMPRODUCT(--('93_TARGET_MEMBERSHIP'!B$5:B$27=-1),'92_FEATURE_CONF_NUMERIC'!E$5:E$27)/MAX(1,COUNTIF('93_TARGET_MEMBERSHIP'!B$5:B$27,-1)))))</f>
        <v/>
      </c>
      <c r="E5" s="34">
        <f>IF($B5="ABSOLUTE SEMANTIC",'19_FEATURE_CONFIDENCE'!$D$7,SQRT((SUMPRODUCT(--('93_TARGET_MEMBERSHIP'!B$5:B$27=1),'92_FEATURE_CONF_NUMERIC'!F$5:F$27)/MAX(1,COUNTIF('93_TARGET_MEMBERSHIP'!B$5:B$27,1)))*(SUMPRODUCT(--('93_TARGET_MEMBERSHIP'!B$5:B$27=-1),'92_FEATURE_CONF_NUMERIC'!F$5:F$27)/MAX(1,COUNTIF('93_TARGET_MEMBERSHIP'!B$5:B$27,-1)))))</f>
        <v/>
      </c>
      <c r="F5" s="34">
        <f>IF($B5="ABSOLUTE SEMANTIC",'19_FEATURE_CONFIDENCE'!$D$8,SQRT((SUMPRODUCT(--('93_TARGET_MEMBERSHIP'!B$5:B$27=1),'92_FEATURE_CONF_NUMERIC'!G$5:G$27)/MAX(1,COUNTIF('93_TARGET_MEMBERSHIP'!B$5:B$27,1)))*(SUMPRODUCT(--('93_TARGET_MEMBERSHIP'!B$5:B$27=-1),'92_FEATURE_CONF_NUMERIC'!G$5:G$27)/MAX(1,COUNTIF('93_TARGET_MEMBERSHIP'!B$5:B$27,-1)))))</f>
        <v/>
      </c>
      <c r="G5" s="34">
        <f>IF($B5="ABSOLUTE SEMANTIC",'19_FEATURE_CONFIDENCE'!$D$9,SQRT((SUMPRODUCT(--('93_TARGET_MEMBERSHIP'!B$5:B$27=1),'92_FEATURE_CONF_NUMERIC'!H$5:H$27)/MAX(1,COUNTIF('93_TARGET_MEMBERSHIP'!B$5:B$27,1)))*(SUMPRODUCT(--('93_TARGET_MEMBERSHIP'!B$5:B$27=-1),'92_FEATURE_CONF_NUMERIC'!H$5:H$27)/MAX(1,COUNTIF('93_TARGET_MEMBERSHIP'!B$5:B$27,-1)))))</f>
        <v/>
      </c>
      <c r="H5" s="34">
        <f>IF($B5="ABSOLUTE SEMANTIC",'19_FEATURE_CONFIDENCE'!$D$10,SQRT((SUMPRODUCT(--('93_TARGET_MEMBERSHIP'!B$5:B$27=1),'92_FEATURE_CONF_NUMERIC'!I$5:I$27)/MAX(1,COUNTIF('93_TARGET_MEMBERSHIP'!B$5:B$27,1)))*(SUMPRODUCT(--('93_TARGET_MEMBERSHIP'!B$5:B$27=-1),'92_FEATURE_CONF_NUMERIC'!I$5:I$27)/MAX(1,COUNTIF('93_TARGET_MEMBERSHIP'!B$5:B$27,-1)))))</f>
        <v/>
      </c>
      <c r="I5" s="34">
        <f>IF($B5="ABSOLUTE SEMANTIC",'19_FEATURE_CONFIDENCE'!$D$11,SQRT((SUMPRODUCT(--('93_TARGET_MEMBERSHIP'!B$5:B$27=1),'92_FEATURE_CONF_NUMERIC'!J$5:J$27)/MAX(1,COUNTIF('93_TARGET_MEMBERSHIP'!B$5:B$27,1)))*(SUMPRODUCT(--('93_TARGET_MEMBERSHIP'!B$5:B$27=-1),'92_FEATURE_CONF_NUMERIC'!J$5:J$27)/MAX(1,COUNTIF('93_TARGET_MEMBERSHIP'!B$5:B$27,-1)))))</f>
        <v/>
      </c>
      <c r="J5" s="34">
        <f>IF($B5="ABSOLUTE SEMANTIC",'19_FEATURE_CONFIDENCE'!$D$12,SQRT((SUMPRODUCT(--('93_TARGET_MEMBERSHIP'!B$5:B$27=1),'92_FEATURE_CONF_NUMERIC'!K$5:K$27)/MAX(1,COUNTIF('93_TARGET_MEMBERSHIP'!B$5:B$27,1)))*(SUMPRODUCT(--('93_TARGET_MEMBERSHIP'!B$5:B$27=-1),'92_FEATURE_CONF_NUMERIC'!K$5:K$27)/MAX(1,COUNTIF('93_TARGET_MEMBERSHIP'!B$5:B$27,-1)))))</f>
        <v/>
      </c>
      <c r="K5" s="34">
        <f>IF($B5="ABSOLUTE SEMANTIC",'19_FEATURE_CONFIDENCE'!$D$13,SQRT((SUMPRODUCT(--('93_TARGET_MEMBERSHIP'!B$5:B$27=1),'92_FEATURE_CONF_NUMERIC'!L$5:L$27)/MAX(1,COUNTIF('93_TARGET_MEMBERSHIP'!B$5:B$27,1)))*(SUMPRODUCT(--('93_TARGET_MEMBERSHIP'!B$5:B$27=-1),'92_FEATURE_CONF_NUMERIC'!L$5:L$27)/MAX(1,COUNTIF('93_TARGET_MEMBERSHIP'!B$5:B$27,-1)))))</f>
        <v/>
      </c>
      <c r="L5" s="34">
        <f>IF($B5="ABSOLUTE SEMANTIC",'19_FEATURE_CONFIDENCE'!$D$14,SQRT((SUMPRODUCT(--('93_TARGET_MEMBERSHIP'!B$5:B$27=1),'92_FEATURE_CONF_NUMERIC'!M$5:M$27)/MAX(1,COUNTIF('93_TARGET_MEMBERSHIP'!B$5:B$27,1)))*(SUMPRODUCT(--('93_TARGET_MEMBERSHIP'!B$5:B$27=-1),'92_FEATURE_CONF_NUMERIC'!M$5:M$27)/MAX(1,COUNTIF('93_TARGET_MEMBERSHIP'!B$5:B$27,-1)))))</f>
        <v/>
      </c>
      <c r="M5" s="34">
        <f>IF($B5="ABSOLUTE SEMANTIC",'19_FEATURE_CONFIDENCE'!$D$15,SQRT((SUMPRODUCT(--('93_TARGET_MEMBERSHIP'!B$5:B$27=1),'92_FEATURE_CONF_NUMERIC'!N$5:N$27)/MAX(1,COUNTIF('93_TARGET_MEMBERSHIP'!B$5:B$27,1)))*(SUMPRODUCT(--('93_TARGET_MEMBERSHIP'!B$5:B$27=-1),'92_FEATURE_CONF_NUMERIC'!N$5:N$27)/MAX(1,COUNTIF('93_TARGET_MEMBERSHIP'!B$5:B$27,-1)))))</f>
        <v/>
      </c>
      <c r="N5" s="34">
        <f>IF($B5="ABSOLUTE SEMANTIC",'19_FEATURE_CONFIDENCE'!$D$16,SQRT((SUMPRODUCT(--('93_TARGET_MEMBERSHIP'!B$5:B$27=1),'92_FEATURE_CONF_NUMERIC'!O$5:O$27)/MAX(1,COUNTIF('93_TARGET_MEMBERSHIP'!B$5:B$27,1)))*(SUMPRODUCT(--('93_TARGET_MEMBERSHIP'!B$5:B$27=-1),'92_FEATURE_CONF_NUMERIC'!O$5:O$27)/MAX(1,COUNTIF('93_TARGET_MEMBERSHIP'!B$5:B$27,-1)))))</f>
        <v/>
      </c>
      <c r="O5" s="34">
        <f>IF($B5="ABSOLUTE SEMANTIC",'19_FEATURE_CONFIDENCE'!$D$17,SQRT((SUMPRODUCT(--('93_TARGET_MEMBERSHIP'!B$5:B$27=1),'92_FEATURE_CONF_NUMERIC'!P$5:P$27)/MAX(1,COUNTIF('93_TARGET_MEMBERSHIP'!B$5:B$27,1)))*(SUMPRODUCT(--('93_TARGET_MEMBERSHIP'!B$5:B$27=-1),'92_FEATURE_CONF_NUMERIC'!P$5:P$27)/MAX(1,COUNTIF('93_TARGET_MEMBERSHIP'!B$5:B$27,-1)))))</f>
        <v/>
      </c>
      <c r="P5" s="34">
        <f>IF($B5="ABSOLUTE SEMANTIC",'19_FEATURE_CONFIDENCE'!$D$18,SQRT((SUMPRODUCT(--('93_TARGET_MEMBERSHIP'!B$5:B$27=1),'92_FEATURE_CONF_NUMERIC'!Q$5:Q$27)/MAX(1,COUNTIF('93_TARGET_MEMBERSHIP'!B$5:B$27,1)))*(SUMPRODUCT(--('93_TARGET_MEMBERSHIP'!B$5:B$27=-1),'92_FEATURE_CONF_NUMERIC'!Q$5:Q$27)/MAX(1,COUNTIF('93_TARGET_MEMBERSHIP'!B$5:B$27,-1)))))</f>
        <v/>
      </c>
      <c r="Q5" s="34">
        <f>IF($B5="ABSOLUTE SEMANTIC",'19_FEATURE_CONFIDENCE'!$D$19,SQRT((SUMPRODUCT(--('93_TARGET_MEMBERSHIP'!B$5:B$27=1),'92_FEATURE_CONF_NUMERIC'!R$5:R$27)/MAX(1,COUNTIF('93_TARGET_MEMBERSHIP'!B$5:B$27,1)))*(SUMPRODUCT(--('93_TARGET_MEMBERSHIP'!B$5:B$27=-1),'92_FEATURE_CONF_NUMERIC'!R$5:R$27)/MAX(1,COUNTIF('93_TARGET_MEMBERSHIP'!B$5:B$27,-1)))))</f>
        <v/>
      </c>
      <c r="R5" s="34">
        <f>IF($B5="ABSOLUTE SEMANTIC",'19_FEATURE_CONFIDENCE'!$D$20,SQRT((SUMPRODUCT(--('93_TARGET_MEMBERSHIP'!B$5:B$27=1),'92_FEATURE_CONF_NUMERIC'!S$5:S$27)/MAX(1,COUNTIF('93_TARGET_MEMBERSHIP'!B$5:B$27,1)))*(SUMPRODUCT(--('93_TARGET_MEMBERSHIP'!B$5:B$27=-1),'92_FEATURE_CONF_NUMERIC'!S$5:S$27)/MAX(1,COUNTIF('93_TARGET_MEMBERSHIP'!B$5:B$27,-1)))))</f>
        <v/>
      </c>
      <c r="S5" s="34">
        <f>IF($B5="ABSOLUTE SEMANTIC",'19_FEATURE_CONFIDENCE'!$D$21,SQRT((SUMPRODUCT(--('93_TARGET_MEMBERSHIP'!B$5:B$27=1),'92_FEATURE_CONF_NUMERIC'!T$5:T$27)/MAX(1,COUNTIF('93_TARGET_MEMBERSHIP'!B$5:B$27,1)))*(SUMPRODUCT(--('93_TARGET_MEMBERSHIP'!B$5:B$27=-1),'92_FEATURE_CONF_NUMERIC'!T$5:T$27)/MAX(1,COUNTIF('93_TARGET_MEMBERSHIP'!B$5:B$27,-1)))))</f>
        <v/>
      </c>
      <c r="T5" s="34">
        <f>IF($B5="ABSOLUTE SEMANTIC",'19_FEATURE_CONFIDENCE'!$D$22,SQRT((SUMPRODUCT(--('93_TARGET_MEMBERSHIP'!B$5:B$27=1),'92_FEATURE_CONF_NUMERIC'!U$5:U$27)/MAX(1,COUNTIF('93_TARGET_MEMBERSHIP'!B$5:B$27,1)))*(SUMPRODUCT(--('93_TARGET_MEMBERSHIP'!B$5:B$27=-1),'92_FEATURE_CONF_NUMERIC'!U$5:U$27)/MAX(1,COUNTIF('93_TARGET_MEMBERSHIP'!B$5:B$27,-1)))))</f>
        <v/>
      </c>
      <c r="U5" s="34">
        <f>IF($B5="ABSOLUTE SEMANTIC",'19_FEATURE_CONFIDENCE'!$D$23,SQRT((SUMPRODUCT(--('93_TARGET_MEMBERSHIP'!B$5:B$27=1),'92_FEATURE_CONF_NUMERIC'!V$5:V$27)/MAX(1,COUNTIF('93_TARGET_MEMBERSHIP'!B$5:B$27,1)))*(SUMPRODUCT(--('93_TARGET_MEMBERSHIP'!B$5:B$27=-1),'92_FEATURE_CONF_NUMERIC'!V$5:V$27)/MAX(1,COUNTIF('93_TARGET_MEMBERSHIP'!B$5:B$27,-1)))))</f>
        <v/>
      </c>
      <c r="V5" s="34">
        <f>IF($B5="ABSOLUTE SEMANTIC",'19_FEATURE_CONFIDENCE'!$D$24,SQRT((SUMPRODUCT(--('93_TARGET_MEMBERSHIP'!B$5:B$27=1),'92_FEATURE_CONF_NUMERIC'!W$5:W$27)/MAX(1,COUNTIF('93_TARGET_MEMBERSHIP'!B$5:B$27,1)))*(SUMPRODUCT(--('93_TARGET_MEMBERSHIP'!B$5:B$27=-1),'92_FEATURE_CONF_NUMERIC'!W$5:W$27)/MAX(1,COUNTIF('93_TARGET_MEMBERSHIP'!B$5:B$27,-1)))))</f>
        <v/>
      </c>
      <c r="W5" s="34">
        <f>IF($B5="ABSOLUTE SEMANTIC",'19_FEATURE_CONFIDENCE'!$D$25,SQRT((SUMPRODUCT(--('93_TARGET_MEMBERSHIP'!B$5:B$27=1),'92_FEATURE_CONF_NUMERIC'!X$5:X$27)/MAX(1,COUNTIF('93_TARGET_MEMBERSHIP'!B$5:B$27,1)))*(SUMPRODUCT(--('93_TARGET_MEMBERSHIP'!B$5:B$27=-1),'92_FEATURE_CONF_NUMERIC'!X$5:X$27)/MAX(1,COUNTIF('93_TARGET_MEMBERSHIP'!B$5:B$27,-1)))))</f>
        <v/>
      </c>
      <c r="X5" s="34">
        <f>IF($B5="ABSOLUTE SEMANTIC",'19_FEATURE_CONFIDENCE'!$D$26,SQRT((SUMPRODUCT(--('93_TARGET_MEMBERSHIP'!B$5:B$27=1),'92_FEATURE_CONF_NUMERIC'!Y$5:Y$27)/MAX(1,COUNTIF('93_TARGET_MEMBERSHIP'!B$5:B$27,1)))*(SUMPRODUCT(--('93_TARGET_MEMBERSHIP'!B$5:B$27=-1),'92_FEATURE_CONF_NUMERIC'!Y$5:Y$27)/MAX(1,COUNTIF('93_TARGET_MEMBERSHIP'!B$5:B$27,-1)))))</f>
        <v/>
      </c>
      <c r="Y5" s="34">
        <f>IF($B5="ABSOLUTE SEMANTIC",'19_FEATURE_CONFIDENCE'!$D$27,SQRT((SUMPRODUCT(--('93_TARGET_MEMBERSHIP'!B$5:B$27=1),'92_FEATURE_CONF_NUMERIC'!Z$5:Z$27)/MAX(1,COUNTIF('93_TARGET_MEMBERSHIP'!B$5:B$27,1)))*(SUMPRODUCT(--('93_TARGET_MEMBERSHIP'!B$5:B$27=-1),'92_FEATURE_CONF_NUMERIC'!Z$5:Z$27)/MAX(1,COUNTIF('93_TARGET_MEMBERSHIP'!B$5:B$27,-1)))))</f>
        <v/>
      </c>
      <c r="Z5" s="34">
        <f>IF($B5="ABSOLUTE SEMANTIC",'19_FEATURE_CONFIDENCE'!$D$28,SQRT((SUMPRODUCT(--('93_TARGET_MEMBERSHIP'!B$5:B$27=1),'92_FEATURE_CONF_NUMERIC'!AA$5:AA$27)/MAX(1,COUNTIF('93_TARGET_MEMBERSHIP'!B$5:B$27,1)))*(SUMPRODUCT(--('93_TARGET_MEMBERSHIP'!B$5:B$27=-1),'92_FEATURE_CONF_NUMERIC'!AA$5:AA$27)/MAX(1,COUNTIF('93_TARGET_MEMBERSHIP'!B$5:B$27,-1)))))</f>
        <v/>
      </c>
      <c r="AA5" s="34">
        <f>IF($B5="ABSOLUTE SEMANTIC",'19_FEATURE_CONFIDENCE'!$D$29,SQRT((SUMPRODUCT(--('93_TARGET_MEMBERSHIP'!B$5:B$27=1),'92_FEATURE_CONF_NUMERIC'!AB$5:AB$27)/MAX(1,COUNTIF('93_TARGET_MEMBERSHIP'!B$5:B$27,1)))*(SUMPRODUCT(--('93_TARGET_MEMBERSHIP'!B$5:B$27=-1),'92_FEATURE_CONF_NUMERIC'!AB$5:AB$27)/MAX(1,COUNTIF('93_TARGET_MEMBERSHIP'!B$5:B$27,-1)))))</f>
        <v/>
      </c>
      <c r="AB5" s="34">
        <f>IF($B5="ABSOLUTE SEMANTIC",'19_FEATURE_CONFIDENCE'!$D$30,SQRT((SUMPRODUCT(--('93_TARGET_MEMBERSHIP'!B$5:B$27=1),'92_FEATURE_CONF_NUMERIC'!AC$5:AC$27)/MAX(1,COUNTIF('93_TARGET_MEMBERSHIP'!B$5:B$27,1)))*(SUMPRODUCT(--('93_TARGET_MEMBERSHIP'!B$5:B$27=-1),'92_FEATURE_CONF_NUMERIC'!AC$5:AC$27)/MAX(1,COUNTIF('93_TARGET_MEMBERSHIP'!B$5:B$27,-1)))))</f>
        <v/>
      </c>
      <c r="AC5" s="34">
        <f>IF($B5="ABSOLUTE SEMANTIC",'19_FEATURE_CONFIDENCE'!$D$31,SQRT((SUMPRODUCT(--('93_TARGET_MEMBERSHIP'!B$5:B$27=1),'92_FEATURE_CONF_NUMERIC'!AD$5:AD$27)/MAX(1,COUNTIF('93_TARGET_MEMBERSHIP'!B$5:B$27,1)))*(SUMPRODUCT(--('93_TARGET_MEMBERSHIP'!B$5:B$27=-1),'92_FEATURE_CONF_NUMERIC'!AD$5:AD$27)/MAX(1,COUNTIF('93_TARGET_MEMBERSHIP'!B$5:B$27,-1)))))</f>
        <v/>
      </c>
      <c r="AD5" s="34">
        <f>IF($B5="ABSOLUTE SEMANTIC",'19_FEATURE_CONFIDENCE'!$D$32,SQRT((SUMPRODUCT(--('93_TARGET_MEMBERSHIP'!B$5:B$27=1),'92_FEATURE_CONF_NUMERIC'!AE$5:AE$27)/MAX(1,COUNTIF('93_TARGET_MEMBERSHIP'!B$5:B$27,1)))*(SUMPRODUCT(--('93_TARGET_MEMBERSHIP'!B$5:B$27=-1),'92_FEATURE_CONF_NUMERIC'!AE$5:AE$27)/MAX(1,COUNTIF('93_TARGET_MEMBERSHIP'!B$5:B$27,-1)))))</f>
        <v/>
      </c>
      <c r="AE5" s="34">
        <f>IF($B5="ABSOLUTE SEMANTIC",'19_FEATURE_CONFIDENCE'!$D$33,SQRT((SUMPRODUCT(--('93_TARGET_MEMBERSHIP'!B$5:B$27=1),'92_FEATURE_CONF_NUMERIC'!AF$5:AF$27)/MAX(1,COUNTIF('93_TARGET_MEMBERSHIP'!B$5:B$27,1)))*(SUMPRODUCT(--('93_TARGET_MEMBERSHIP'!B$5:B$27=-1),'92_FEATURE_CONF_NUMERIC'!AF$5:AF$27)/MAX(1,COUNTIF('93_TARGET_MEMBERSHIP'!B$5:B$27,-1)))))</f>
        <v/>
      </c>
      <c r="AF5" s="34">
        <f>IF($B5="ABSOLUTE SEMANTIC",'19_FEATURE_CONFIDENCE'!$D$34,SQRT((SUMPRODUCT(--('93_TARGET_MEMBERSHIP'!B$5:B$27=1),'92_FEATURE_CONF_NUMERIC'!AG$5:AG$27)/MAX(1,COUNTIF('93_TARGET_MEMBERSHIP'!B$5:B$27,1)))*(SUMPRODUCT(--('93_TARGET_MEMBERSHIP'!B$5:B$27=-1),'92_FEATURE_CONF_NUMERIC'!AG$5:AG$27)/MAX(1,COUNTIF('93_TARGET_MEMBERSHIP'!B$5:B$27,-1)))))</f>
        <v/>
      </c>
      <c r="AG5" s="34">
        <f>IF($B5="ABSOLUTE SEMANTIC",'19_FEATURE_CONFIDENCE'!$D$35,SQRT((SUMPRODUCT(--('93_TARGET_MEMBERSHIP'!B$5:B$27=1),'92_FEATURE_CONF_NUMERIC'!AH$5:AH$27)/MAX(1,COUNTIF('93_TARGET_MEMBERSHIP'!B$5:B$27,1)))*(SUMPRODUCT(--('93_TARGET_MEMBERSHIP'!B$5:B$27=-1),'92_FEATURE_CONF_NUMERIC'!AH$5:AH$27)/MAX(1,COUNTIF('93_TARGET_MEMBERSHIP'!B$5:B$27,-1)))))</f>
        <v/>
      </c>
      <c r="AH5" s="34">
        <f>IF($B5="ABSOLUTE SEMANTIC",'19_FEATURE_CONFIDENCE'!$D$36,SQRT((SUMPRODUCT(--('93_TARGET_MEMBERSHIP'!B$5:B$27=1),'92_FEATURE_CONF_NUMERIC'!AI$5:AI$27)/MAX(1,COUNTIF('93_TARGET_MEMBERSHIP'!B$5:B$27,1)))*(SUMPRODUCT(--('93_TARGET_MEMBERSHIP'!B$5:B$27=-1),'92_FEATURE_CONF_NUMERIC'!AI$5:AI$27)/MAX(1,COUNTIF('93_TARGET_MEMBERSHIP'!B$5:B$27,-1)))))</f>
        <v/>
      </c>
      <c r="AI5" s="34">
        <f>IF($B5="ABSOLUTE SEMANTIC",'19_FEATURE_CONFIDENCE'!$D$37,SQRT((SUMPRODUCT(--('93_TARGET_MEMBERSHIP'!B$5:B$27=1),'92_FEATURE_CONF_NUMERIC'!AJ$5:AJ$27)/MAX(1,COUNTIF('93_TARGET_MEMBERSHIP'!B$5:B$27,1)))*(SUMPRODUCT(--('93_TARGET_MEMBERSHIP'!B$5:B$27=-1),'92_FEATURE_CONF_NUMERIC'!AJ$5:AJ$27)/MAX(1,COUNTIF('93_TARGET_MEMBERSHIP'!B$5:B$27,-1)))))</f>
        <v/>
      </c>
      <c r="AJ5" s="34">
        <f>IF($B5="ABSOLUTE SEMANTIC",'19_FEATURE_CONFIDENCE'!$D$38,SQRT((SUMPRODUCT(--('93_TARGET_MEMBERSHIP'!B$5:B$27=1),'92_FEATURE_CONF_NUMERIC'!AK$5:AK$27)/MAX(1,COUNTIF('93_TARGET_MEMBERSHIP'!B$5:B$27,1)))*(SUMPRODUCT(--('93_TARGET_MEMBERSHIP'!B$5:B$27=-1),'92_FEATURE_CONF_NUMERIC'!AK$5:AK$27)/MAX(1,COUNTIF('93_TARGET_MEMBERSHIP'!B$5:B$27,-1)))))</f>
        <v/>
      </c>
      <c r="AK5" s="34">
        <f>IF($B5="ABSOLUTE SEMANTIC",'19_FEATURE_CONFIDENCE'!$D$39,SQRT((SUMPRODUCT(--('93_TARGET_MEMBERSHIP'!B$5:B$27=1),'92_FEATURE_CONF_NUMERIC'!AL$5:AL$27)/MAX(1,COUNTIF('93_TARGET_MEMBERSHIP'!B$5:B$27,1)))*(SUMPRODUCT(--('93_TARGET_MEMBERSHIP'!B$5:B$27=-1),'92_FEATURE_CONF_NUMERIC'!AL$5:AL$27)/MAX(1,COUNTIF('93_TARGET_MEMBERSHIP'!B$5:B$27,-1)))))</f>
        <v/>
      </c>
      <c r="AL5" s="34">
        <f>IF($B5="ABSOLUTE SEMANTIC",'19_FEATURE_CONFIDENCE'!$D$40,SQRT((SUMPRODUCT(--('93_TARGET_MEMBERSHIP'!B$5:B$27=1),'92_FEATURE_CONF_NUMERIC'!AM$5:AM$27)/MAX(1,COUNTIF('93_TARGET_MEMBERSHIP'!B$5:B$27,1)))*(SUMPRODUCT(--('93_TARGET_MEMBERSHIP'!B$5:B$27=-1),'92_FEATURE_CONF_NUMERIC'!AM$5:AM$27)/MAX(1,COUNTIF('93_TARGET_MEMBERSHIP'!B$5:B$27,-1)))))</f>
        <v/>
      </c>
      <c r="AM5" s="34">
        <f>IF($B5="ABSOLUTE SEMANTIC",'19_FEATURE_CONFIDENCE'!$D$41,SQRT((SUMPRODUCT(--('93_TARGET_MEMBERSHIP'!B$5:B$27=1),'92_FEATURE_CONF_NUMERIC'!AN$5:AN$27)/MAX(1,COUNTIF('93_TARGET_MEMBERSHIP'!B$5:B$27,1)))*(SUMPRODUCT(--('93_TARGET_MEMBERSHIP'!B$5:B$27=-1),'92_FEATURE_CONF_NUMERIC'!AN$5:AN$27)/MAX(1,COUNTIF('93_TARGET_MEMBERSHIP'!B$5:B$27,-1)))))</f>
        <v/>
      </c>
      <c r="AN5" s="34">
        <f>IF($B5="ABSOLUTE SEMANTIC",'19_FEATURE_CONFIDENCE'!$D$42,SQRT((SUMPRODUCT(--('93_TARGET_MEMBERSHIP'!B$5:B$27=1),'92_FEATURE_CONF_NUMERIC'!AO$5:AO$27)/MAX(1,COUNTIF('93_TARGET_MEMBERSHIP'!B$5:B$27,1)))*(SUMPRODUCT(--('93_TARGET_MEMBERSHIP'!B$5:B$27=-1),'92_FEATURE_CONF_NUMERIC'!AO$5:AO$27)/MAX(1,COUNTIF('93_TARGET_MEMBERSHIP'!B$5:B$27,-1)))))</f>
        <v/>
      </c>
      <c r="AO5" s="34">
        <f>IF($B5="ABSOLUTE SEMANTIC",'19_FEATURE_CONFIDENCE'!$D$43,SQRT((SUMPRODUCT(--('93_TARGET_MEMBERSHIP'!B$5:B$27=1),'92_FEATURE_CONF_NUMERIC'!AP$5:AP$27)/MAX(1,COUNTIF('93_TARGET_MEMBERSHIP'!B$5:B$27,1)))*(SUMPRODUCT(--('93_TARGET_MEMBERSHIP'!B$5:B$27=-1),'92_FEATURE_CONF_NUMERIC'!AP$5:AP$27)/MAX(1,COUNTIF('93_TARGET_MEMBERSHIP'!B$5:B$27,-1)))))</f>
        <v/>
      </c>
      <c r="AP5" s="34">
        <f>IF($B5="ABSOLUTE SEMANTIC",'19_FEATURE_CONFIDENCE'!$D$44,SQRT((SUMPRODUCT(--('93_TARGET_MEMBERSHIP'!B$5:B$27=1),'92_FEATURE_CONF_NUMERIC'!AQ$5:AQ$27)/MAX(1,COUNTIF('93_TARGET_MEMBERSHIP'!B$5:B$27,1)))*(SUMPRODUCT(--('93_TARGET_MEMBERSHIP'!B$5:B$27=-1),'92_FEATURE_CONF_NUMERIC'!AQ$5:AQ$27)/MAX(1,COUNTIF('93_TARGET_MEMBERSHIP'!B$5:B$27,-1)))))</f>
        <v/>
      </c>
      <c r="AQ5" s="34">
        <f>IF($B5="ABSOLUTE SEMANTIC",'19_FEATURE_CONFIDENCE'!$D$45,SQRT((SUMPRODUCT(--('93_TARGET_MEMBERSHIP'!B$5:B$27=1),'92_FEATURE_CONF_NUMERIC'!AR$5:AR$27)/MAX(1,COUNTIF('93_TARGET_MEMBERSHIP'!B$5:B$27,1)))*(SUMPRODUCT(--('93_TARGET_MEMBERSHIP'!B$5:B$27=-1),'92_FEATURE_CONF_NUMERIC'!AR$5:AR$27)/MAX(1,COUNTIF('93_TARGET_MEMBERSHIP'!B$5:B$27,-1)))))</f>
        <v/>
      </c>
    </row>
    <row r="6" ht="36" customHeight="1">
      <c r="A6" s="34">
        <f>'06_ITEM_POLE_MODEL'!A6</f>
        <v/>
      </c>
      <c r="B6" s="34">
        <f>'06_ITEM_POLE_MODEL'!E6</f>
        <v/>
      </c>
      <c r="C6" s="34">
        <f>IF($B6="ABSOLUTE SEMANTIC",'19_FEATURE_CONFIDENCE'!$D$5,SQRT((SUMPRODUCT(--('93_TARGET_MEMBERSHIP'!C$5:C$27=1),'92_FEATURE_CONF_NUMERIC'!D$5:D$27)/MAX(1,COUNTIF('93_TARGET_MEMBERSHIP'!C$5:C$27,1)))*(SUMPRODUCT(--('93_TARGET_MEMBERSHIP'!C$5:C$27=-1),'92_FEATURE_CONF_NUMERIC'!D$5:D$27)/MAX(1,COUNTIF('93_TARGET_MEMBERSHIP'!C$5:C$27,-1)))))</f>
        <v/>
      </c>
      <c r="D6" s="34">
        <f>IF($B6="ABSOLUTE SEMANTIC",'19_FEATURE_CONFIDENCE'!$D$6,SQRT((SUMPRODUCT(--('93_TARGET_MEMBERSHIP'!C$5:C$27=1),'92_FEATURE_CONF_NUMERIC'!E$5:E$27)/MAX(1,COUNTIF('93_TARGET_MEMBERSHIP'!C$5:C$27,1)))*(SUMPRODUCT(--('93_TARGET_MEMBERSHIP'!C$5:C$27=-1),'92_FEATURE_CONF_NUMERIC'!E$5:E$27)/MAX(1,COUNTIF('93_TARGET_MEMBERSHIP'!C$5:C$27,-1)))))</f>
        <v/>
      </c>
      <c r="E6" s="34">
        <f>IF($B6="ABSOLUTE SEMANTIC",'19_FEATURE_CONFIDENCE'!$D$7,SQRT((SUMPRODUCT(--('93_TARGET_MEMBERSHIP'!C$5:C$27=1),'92_FEATURE_CONF_NUMERIC'!F$5:F$27)/MAX(1,COUNTIF('93_TARGET_MEMBERSHIP'!C$5:C$27,1)))*(SUMPRODUCT(--('93_TARGET_MEMBERSHIP'!C$5:C$27=-1),'92_FEATURE_CONF_NUMERIC'!F$5:F$27)/MAX(1,COUNTIF('93_TARGET_MEMBERSHIP'!C$5:C$27,-1)))))</f>
        <v/>
      </c>
      <c r="F6" s="34">
        <f>IF($B6="ABSOLUTE SEMANTIC",'19_FEATURE_CONFIDENCE'!$D$8,SQRT((SUMPRODUCT(--('93_TARGET_MEMBERSHIP'!C$5:C$27=1),'92_FEATURE_CONF_NUMERIC'!G$5:G$27)/MAX(1,COUNTIF('93_TARGET_MEMBERSHIP'!C$5:C$27,1)))*(SUMPRODUCT(--('93_TARGET_MEMBERSHIP'!C$5:C$27=-1),'92_FEATURE_CONF_NUMERIC'!G$5:G$27)/MAX(1,COUNTIF('93_TARGET_MEMBERSHIP'!C$5:C$27,-1)))))</f>
        <v/>
      </c>
      <c r="G6" s="34">
        <f>IF($B6="ABSOLUTE SEMANTIC",'19_FEATURE_CONFIDENCE'!$D$9,SQRT((SUMPRODUCT(--('93_TARGET_MEMBERSHIP'!C$5:C$27=1),'92_FEATURE_CONF_NUMERIC'!H$5:H$27)/MAX(1,COUNTIF('93_TARGET_MEMBERSHIP'!C$5:C$27,1)))*(SUMPRODUCT(--('93_TARGET_MEMBERSHIP'!C$5:C$27=-1),'92_FEATURE_CONF_NUMERIC'!H$5:H$27)/MAX(1,COUNTIF('93_TARGET_MEMBERSHIP'!C$5:C$27,-1)))))</f>
        <v/>
      </c>
      <c r="H6" s="34">
        <f>IF($B6="ABSOLUTE SEMANTIC",'19_FEATURE_CONFIDENCE'!$D$10,SQRT((SUMPRODUCT(--('93_TARGET_MEMBERSHIP'!C$5:C$27=1),'92_FEATURE_CONF_NUMERIC'!I$5:I$27)/MAX(1,COUNTIF('93_TARGET_MEMBERSHIP'!C$5:C$27,1)))*(SUMPRODUCT(--('93_TARGET_MEMBERSHIP'!C$5:C$27=-1),'92_FEATURE_CONF_NUMERIC'!I$5:I$27)/MAX(1,COUNTIF('93_TARGET_MEMBERSHIP'!C$5:C$27,-1)))))</f>
        <v/>
      </c>
      <c r="I6" s="34">
        <f>IF($B6="ABSOLUTE SEMANTIC",'19_FEATURE_CONFIDENCE'!$D$11,SQRT((SUMPRODUCT(--('93_TARGET_MEMBERSHIP'!C$5:C$27=1),'92_FEATURE_CONF_NUMERIC'!J$5:J$27)/MAX(1,COUNTIF('93_TARGET_MEMBERSHIP'!C$5:C$27,1)))*(SUMPRODUCT(--('93_TARGET_MEMBERSHIP'!C$5:C$27=-1),'92_FEATURE_CONF_NUMERIC'!J$5:J$27)/MAX(1,COUNTIF('93_TARGET_MEMBERSHIP'!C$5:C$27,-1)))))</f>
        <v/>
      </c>
      <c r="J6" s="34">
        <f>IF($B6="ABSOLUTE SEMANTIC",'19_FEATURE_CONFIDENCE'!$D$12,SQRT((SUMPRODUCT(--('93_TARGET_MEMBERSHIP'!C$5:C$27=1),'92_FEATURE_CONF_NUMERIC'!K$5:K$27)/MAX(1,COUNTIF('93_TARGET_MEMBERSHIP'!C$5:C$27,1)))*(SUMPRODUCT(--('93_TARGET_MEMBERSHIP'!C$5:C$27=-1),'92_FEATURE_CONF_NUMERIC'!K$5:K$27)/MAX(1,COUNTIF('93_TARGET_MEMBERSHIP'!C$5:C$27,-1)))))</f>
        <v/>
      </c>
      <c r="K6" s="34">
        <f>IF($B6="ABSOLUTE SEMANTIC",'19_FEATURE_CONFIDENCE'!$D$13,SQRT((SUMPRODUCT(--('93_TARGET_MEMBERSHIP'!C$5:C$27=1),'92_FEATURE_CONF_NUMERIC'!L$5:L$27)/MAX(1,COUNTIF('93_TARGET_MEMBERSHIP'!C$5:C$27,1)))*(SUMPRODUCT(--('93_TARGET_MEMBERSHIP'!C$5:C$27=-1),'92_FEATURE_CONF_NUMERIC'!L$5:L$27)/MAX(1,COUNTIF('93_TARGET_MEMBERSHIP'!C$5:C$27,-1)))))</f>
        <v/>
      </c>
      <c r="L6" s="34">
        <f>IF($B6="ABSOLUTE SEMANTIC",'19_FEATURE_CONFIDENCE'!$D$14,SQRT((SUMPRODUCT(--('93_TARGET_MEMBERSHIP'!C$5:C$27=1),'92_FEATURE_CONF_NUMERIC'!M$5:M$27)/MAX(1,COUNTIF('93_TARGET_MEMBERSHIP'!C$5:C$27,1)))*(SUMPRODUCT(--('93_TARGET_MEMBERSHIP'!C$5:C$27=-1),'92_FEATURE_CONF_NUMERIC'!M$5:M$27)/MAX(1,COUNTIF('93_TARGET_MEMBERSHIP'!C$5:C$27,-1)))))</f>
        <v/>
      </c>
      <c r="M6" s="34">
        <f>IF($B6="ABSOLUTE SEMANTIC",'19_FEATURE_CONFIDENCE'!$D$15,SQRT((SUMPRODUCT(--('93_TARGET_MEMBERSHIP'!C$5:C$27=1),'92_FEATURE_CONF_NUMERIC'!N$5:N$27)/MAX(1,COUNTIF('93_TARGET_MEMBERSHIP'!C$5:C$27,1)))*(SUMPRODUCT(--('93_TARGET_MEMBERSHIP'!C$5:C$27=-1),'92_FEATURE_CONF_NUMERIC'!N$5:N$27)/MAX(1,COUNTIF('93_TARGET_MEMBERSHIP'!C$5:C$27,-1)))))</f>
        <v/>
      </c>
      <c r="N6" s="34">
        <f>IF($B6="ABSOLUTE SEMANTIC",'19_FEATURE_CONFIDENCE'!$D$16,SQRT((SUMPRODUCT(--('93_TARGET_MEMBERSHIP'!C$5:C$27=1),'92_FEATURE_CONF_NUMERIC'!O$5:O$27)/MAX(1,COUNTIF('93_TARGET_MEMBERSHIP'!C$5:C$27,1)))*(SUMPRODUCT(--('93_TARGET_MEMBERSHIP'!C$5:C$27=-1),'92_FEATURE_CONF_NUMERIC'!O$5:O$27)/MAX(1,COUNTIF('93_TARGET_MEMBERSHIP'!C$5:C$27,-1)))))</f>
        <v/>
      </c>
      <c r="O6" s="34">
        <f>IF($B6="ABSOLUTE SEMANTIC",'19_FEATURE_CONFIDENCE'!$D$17,SQRT((SUMPRODUCT(--('93_TARGET_MEMBERSHIP'!C$5:C$27=1),'92_FEATURE_CONF_NUMERIC'!P$5:P$27)/MAX(1,COUNTIF('93_TARGET_MEMBERSHIP'!C$5:C$27,1)))*(SUMPRODUCT(--('93_TARGET_MEMBERSHIP'!C$5:C$27=-1),'92_FEATURE_CONF_NUMERIC'!P$5:P$27)/MAX(1,COUNTIF('93_TARGET_MEMBERSHIP'!C$5:C$27,-1)))))</f>
        <v/>
      </c>
      <c r="P6" s="34">
        <f>IF($B6="ABSOLUTE SEMANTIC",'19_FEATURE_CONFIDENCE'!$D$18,SQRT((SUMPRODUCT(--('93_TARGET_MEMBERSHIP'!C$5:C$27=1),'92_FEATURE_CONF_NUMERIC'!Q$5:Q$27)/MAX(1,COUNTIF('93_TARGET_MEMBERSHIP'!C$5:C$27,1)))*(SUMPRODUCT(--('93_TARGET_MEMBERSHIP'!C$5:C$27=-1),'92_FEATURE_CONF_NUMERIC'!Q$5:Q$27)/MAX(1,COUNTIF('93_TARGET_MEMBERSHIP'!C$5:C$27,-1)))))</f>
        <v/>
      </c>
      <c r="Q6" s="34">
        <f>IF($B6="ABSOLUTE SEMANTIC",'19_FEATURE_CONFIDENCE'!$D$19,SQRT((SUMPRODUCT(--('93_TARGET_MEMBERSHIP'!C$5:C$27=1),'92_FEATURE_CONF_NUMERIC'!R$5:R$27)/MAX(1,COUNTIF('93_TARGET_MEMBERSHIP'!C$5:C$27,1)))*(SUMPRODUCT(--('93_TARGET_MEMBERSHIP'!C$5:C$27=-1),'92_FEATURE_CONF_NUMERIC'!R$5:R$27)/MAX(1,COUNTIF('93_TARGET_MEMBERSHIP'!C$5:C$27,-1)))))</f>
        <v/>
      </c>
      <c r="R6" s="34">
        <f>IF($B6="ABSOLUTE SEMANTIC",'19_FEATURE_CONFIDENCE'!$D$20,SQRT((SUMPRODUCT(--('93_TARGET_MEMBERSHIP'!C$5:C$27=1),'92_FEATURE_CONF_NUMERIC'!S$5:S$27)/MAX(1,COUNTIF('93_TARGET_MEMBERSHIP'!C$5:C$27,1)))*(SUMPRODUCT(--('93_TARGET_MEMBERSHIP'!C$5:C$27=-1),'92_FEATURE_CONF_NUMERIC'!S$5:S$27)/MAX(1,COUNTIF('93_TARGET_MEMBERSHIP'!C$5:C$27,-1)))))</f>
        <v/>
      </c>
      <c r="S6" s="34">
        <f>IF($B6="ABSOLUTE SEMANTIC",'19_FEATURE_CONFIDENCE'!$D$21,SQRT((SUMPRODUCT(--('93_TARGET_MEMBERSHIP'!C$5:C$27=1),'92_FEATURE_CONF_NUMERIC'!T$5:T$27)/MAX(1,COUNTIF('93_TARGET_MEMBERSHIP'!C$5:C$27,1)))*(SUMPRODUCT(--('93_TARGET_MEMBERSHIP'!C$5:C$27=-1),'92_FEATURE_CONF_NUMERIC'!T$5:T$27)/MAX(1,COUNTIF('93_TARGET_MEMBERSHIP'!C$5:C$27,-1)))))</f>
        <v/>
      </c>
      <c r="T6" s="34">
        <f>IF($B6="ABSOLUTE SEMANTIC",'19_FEATURE_CONFIDENCE'!$D$22,SQRT((SUMPRODUCT(--('93_TARGET_MEMBERSHIP'!C$5:C$27=1),'92_FEATURE_CONF_NUMERIC'!U$5:U$27)/MAX(1,COUNTIF('93_TARGET_MEMBERSHIP'!C$5:C$27,1)))*(SUMPRODUCT(--('93_TARGET_MEMBERSHIP'!C$5:C$27=-1),'92_FEATURE_CONF_NUMERIC'!U$5:U$27)/MAX(1,COUNTIF('93_TARGET_MEMBERSHIP'!C$5:C$27,-1)))))</f>
        <v/>
      </c>
      <c r="U6" s="34">
        <f>IF($B6="ABSOLUTE SEMANTIC",'19_FEATURE_CONFIDENCE'!$D$23,SQRT((SUMPRODUCT(--('93_TARGET_MEMBERSHIP'!C$5:C$27=1),'92_FEATURE_CONF_NUMERIC'!V$5:V$27)/MAX(1,COUNTIF('93_TARGET_MEMBERSHIP'!C$5:C$27,1)))*(SUMPRODUCT(--('93_TARGET_MEMBERSHIP'!C$5:C$27=-1),'92_FEATURE_CONF_NUMERIC'!V$5:V$27)/MAX(1,COUNTIF('93_TARGET_MEMBERSHIP'!C$5:C$27,-1)))))</f>
        <v/>
      </c>
      <c r="V6" s="34">
        <f>IF($B6="ABSOLUTE SEMANTIC",'19_FEATURE_CONFIDENCE'!$D$24,SQRT((SUMPRODUCT(--('93_TARGET_MEMBERSHIP'!C$5:C$27=1),'92_FEATURE_CONF_NUMERIC'!W$5:W$27)/MAX(1,COUNTIF('93_TARGET_MEMBERSHIP'!C$5:C$27,1)))*(SUMPRODUCT(--('93_TARGET_MEMBERSHIP'!C$5:C$27=-1),'92_FEATURE_CONF_NUMERIC'!W$5:W$27)/MAX(1,COUNTIF('93_TARGET_MEMBERSHIP'!C$5:C$27,-1)))))</f>
        <v/>
      </c>
      <c r="W6" s="34">
        <f>IF($B6="ABSOLUTE SEMANTIC",'19_FEATURE_CONFIDENCE'!$D$25,SQRT((SUMPRODUCT(--('93_TARGET_MEMBERSHIP'!C$5:C$27=1),'92_FEATURE_CONF_NUMERIC'!X$5:X$27)/MAX(1,COUNTIF('93_TARGET_MEMBERSHIP'!C$5:C$27,1)))*(SUMPRODUCT(--('93_TARGET_MEMBERSHIP'!C$5:C$27=-1),'92_FEATURE_CONF_NUMERIC'!X$5:X$27)/MAX(1,COUNTIF('93_TARGET_MEMBERSHIP'!C$5:C$27,-1)))))</f>
        <v/>
      </c>
      <c r="X6" s="34">
        <f>IF($B6="ABSOLUTE SEMANTIC",'19_FEATURE_CONFIDENCE'!$D$26,SQRT((SUMPRODUCT(--('93_TARGET_MEMBERSHIP'!C$5:C$27=1),'92_FEATURE_CONF_NUMERIC'!Y$5:Y$27)/MAX(1,COUNTIF('93_TARGET_MEMBERSHIP'!C$5:C$27,1)))*(SUMPRODUCT(--('93_TARGET_MEMBERSHIP'!C$5:C$27=-1),'92_FEATURE_CONF_NUMERIC'!Y$5:Y$27)/MAX(1,COUNTIF('93_TARGET_MEMBERSHIP'!C$5:C$27,-1)))))</f>
        <v/>
      </c>
      <c r="Y6" s="34">
        <f>IF($B6="ABSOLUTE SEMANTIC",'19_FEATURE_CONFIDENCE'!$D$27,SQRT((SUMPRODUCT(--('93_TARGET_MEMBERSHIP'!C$5:C$27=1),'92_FEATURE_CONF_NUMERIC'!Z$5:Z$27)/MAX(1,COUNTIF('93_TARGET_MEMBERSHIP'!C$5:C$27,1)))*(SUMPRODUCT(--('93_TARGET_MEMBERSHIP'!C$5:C$27=-1),'92_FEATURE_CONF_NUMERIC'!Z$5:Z$27)/MAX(1,COUNTIF('93_TARGET_MEMBERSHIP'!C$5:C$27,-1)))))</f>
        <v/>
      </c>
      <c r="Z6" s="34">
        <f>IF($B6="ABSOLUTE SEMANTIC",'19_FEATURE_CONFIDENCE'!$D$28,SQRT((SUMPRODUCT(--('93_TARGET_MEMBERSHIP'!C$5:C$27=1),'92_FEATURE_CONF_NUMERIC'!AA$5:AA$27)/MAX(1,COUNTIF('93_TARGET_MEMBERSHIP'!C$5:C$27,1)))*(SUMPRODUCT(--('93_TARGET_MEMBERSHIP'!C$5:C$27=-1),'92_FEATURE_CONF_NUMERIC'!AA$5:AA$27)/MAX(1,COUNTIF('93_TARGET_MEMBERSHIP'!C$5:C$27,-1)))))</f>
        <v/>
      </c>
      <c r="AA6" s="34">
        <f>IF($B6="ABSOLUTE SEMANTIC",'19_FEATURE_CONFIDENCE'!$D$29,SQRT((SUMPRODUCT(--('93_TARGET_MEMBERSHIP'!C$5:C$27=1),'92_FEATURE_CONF_NUMERIC'!AB$5:AB$27)/MAX(1,COUNTIF('93_TARGET_MEMBERSHIP'!C$5:C$27,1)))*(SUMPRODUCT(--('93_TARGET_MEMBERSHIP'!C$5:C$27=-1),'92_FEATURE_CONF_NUMERIC'!AB$5:AB$27)/MAX(1,COUNTIF('93_TARGET_MEMBERSHIP'!C$5:C$27,-1)))))</f>
        <v/>
      </c>
      <c r="AB6" s="34">
        <f>IF($B6="ABSOLUTE SEMANTIC",'19_FEATURE_CONFIDENCE'!$D$30,SQRT((SUMPRODUCT(--('93_TARGET_MEMBERSHIP'!C$5:C$27=1),'92_FEATURE_CONF_NUMERIC'!AC$5:AC$27)/MAX(1,COUNTIF('93_TARGET_MEMBERSHIP'!C$5:C$27,1)))*(SUMPRODUCT(--('93_TARGET_MEMBERSHIP'!C$5:C$27=-1),'92_FEATURE_CONF_NUMERIC'!AC$5:AC$27)/MAX(1,COUNTIF('93_TARGET_MEMBERSHIP'!C$5:C$27,-1)))))</f>
        <v/>
      </c>
      <c r="AC6" s="34">
        <f>IF($B6="ABSOLUTE SEMANTIC",'19_FEATURE_CONFIDENCE'!$D$31,SQRT((SUMPRODUCT(--('93_TARGET_MEMBERSHIP'!C$5:C$27=1),'92_FEATURE_CONF_NUMERIC'!AD$5:AD$27)/MAX(1,COUNTIF('93_TARGET_MEMBERSHIP'!C$5:C$27,1)))*(SUMPRODUCT(--('93_TARGET_MEMBERSHIP'!C$5:C$27=-1),'92_FEATURE_CONF_NUMERIC'!AD$5:AD$27)/MAX(1,COUNTIF('93_TARGET_MEMBERSHIP'!C$5:C$27,-1)))))</f>
        <v/>
      </c>
      <c r="AD6" s="34">
        <f>IF($B6="ABSOLUTE SEMANTIC",'19_FEATURE_CONFIDENCE'!$D$32,SQRT((SUMPRODUCT(--('93_TARGET_MEMBERSHIP'!C$5:C$27=1),'92_FEATURE_CONF_NUMERIC'!AE$5:AE$27)/MAX(1,COUNTIF('93_TARGET_MEMBERSHIP'!C$5:C$27,1)))*(SUMPRODUCT(--('93_TARGET_MEMBERSHIP'!C$5:C$27=-1),'92_FEATURE_CONF_NUMERIC'!AE$5:AE$27)/MAX(1,COUNTIF('93_TARGET_MEMBERSHIP'!C$5:C$27,-1)))))</f>
        <v/>
      </c>
      <c r="AE6" s="34">
        <f>IF($B6="ABSOLUTE SEMANTIC",'19_FEATURE_CONFIDENCE'!$D$33,SQRT((SUMPRODUCT(--('93_TARGET_MEMBERSHIP'!C$5:C$27=1),'92_FEATURE_CONF_NUMERIC'!AF$5:AF$27)/MAX(1,COUNTIF('93_TARGET_MEMBERSHIP'!C$5:C$27,1)))*(SUMPRODUCT(--('93_TARGET_MEMBERSHIP'!C$5:C$27=-1),'92_FEATURE_CONF_NUMERIC'!AF$5:AF$27)/MAX(1,COUNTIF('93_TARGET_MEMBERSHIP'!C$5:C$27,-1)))))</f>
        <v/>
      </c>
      <c r="AF6" s="34">
        <f>IF($B6="ABSOLUTE SEMANTIC",'19_FEATURE_CONFIDENCE'!$D$34,SQRT((SUMPRODUCT(--('93_TARGET_MEMBERSHIP'!C$5:C$27=1),'92_FEATURE_CONF_NUMERIC'!AG$5:AG$27)/MAX(1,COUNTIF('93_TARGET_MEMBERSHIP'!C$5:C$27,1)))*(SUMPRODUCT(--('93_TARGET_MEMBERSHIP'!C$5:C$27=-1),'92_FEATURE_CONF_NUMERIC'!AG$5:AG$27)/MAX(1,COUNTIF('93_TARGET_MEMBERSHIP'!C$5:C$27,-1)))))</f>
        <v/>
      </c>
      <c r="AG6" s="34">
        <f>IF($B6="ABSOLUTE SEMANTIC",'19_FEATURE_CONFIDENCE'!$D$35,SQRT((SUMPRODUCT(--('93_TARGET_MEMBERSHIP'!C$5:C$27=1),'92_FEATURE_CONF_NUMERIC'!AH$5:AH$27)/MAX(1,COUNTIF('93_TARGET_MEMBERSHIP'!C$5:C$27,1)))*(SUMPRODUCT(--('93_TARGET_MEMBERSHIP'!C$5:C$27=-1),'92_FEATURE_CONF_NUMERIC'!AH$5:AH$27)/MAX(1,COUNTIF('93_TARGET_MEMBERSHIP'!C$5:C$27,-1)))))</f>
        <v/>
      </c>
      <c r="AH6" s="34">
        <f>IF($B6="ABSOLUTE SEMANTIC",'19_FEATURE_CONFIDENCE'!$D$36,SQRT((SUMPRODUCT(--('93_TARGET_MEMBERSHIP'!C$5:C$27=1),'92_FEATURE_CONF_NUMERIC'!AI$5:AI$27)/MAX(1,COUNTIF('93_TARGET_MEMBERSHIP'!C$5:C$27,1)))*(SUMPRODUCT(--('93_TARGET_MEMBERSHIP'!C$5:C$27=-1),'92_FEATURE_CONF_NUMERIC'!AI$5:AI$27)/MAX(1,COUNTIF('93_TARGET_MEMBERSHIP'!C$5:C$27,-1)))))</f>
        <v/>
      </c>
      <c r="AI6" s="34">
        <f>IF($B6="ABSOLUTE SEMANTIC",'19_FEATURE_CONFIDENCE'!$D$37,SQRT((SUMPRODUCT(--('93_TARGET_MEMBERSHIP'!C$5:C$27=1),'92_FEATURE_CONF_NUMERIC'!AJ$5:AJ$27)/MAX(1,COUNTIF('93_TARGET_MEMBERSHIP'!C$5:C$27,1)))*(SUMPRODUCT(--('93_TARGET_MEMBERSHIP'!C$5:C$27=-1),'92_FEATURE_CONF_NUMERIC'!AJ$5:AJ$27)/MAX(1,COUNTIF('93_TARGET_MEMBERSHIP'!C$5:C$27,-1)))))</f>
        <v/>
      </c>
      <c r="AJ6" s="34">
        <f>IF($B6="ABSOLUTE SEMANTIC",'19_FEATURE_CONFIDENCE'!$D$38,SQRT((SUMPRODUCT(--('93_TARGET_MEMBERSHIP'!C$5:C$27=1),'92_FEATURE_CONF_NUMERIC'!AK$5:AK$27)/MAX(1,COUNTIF('93_TARGET_MEMBERSHIP'!C$5:C$27,1)))*(SUMPRODUCT(--('93_TARGET_MEMBERSHIP'!C$5:C$27=-1),'92_FEATURE_CONF_NUMERIC'!AK$5:AK$27)/MAX(1,COUNTIF('93_TARGET_MEMBERSHIP'!C$5:C$27,-1)))))</f>
        <v/>
      </c>
      <c r="AK6" s="34">
        <f>IF($B6="ABSOLUTE SEMANTIC",'19_FEATURE_CONFIDENCE'!$D$39,SQRT((SUMPRODUCT(--('93_TARGET_MEMBERSHIP'!C$5:C$27=1),'92_FEATURE_CONF_NUMERIC'!AL$5:AL$27)/MAX(1,COUNTIF('93_TARGET_MEMBERSHIP'!C$5:C$27,1)))*(SUMPRODUCT(--('93_TARGET_MEMBERSHIP'!C$5:C$27=-1),'92_FEATURE_CONF_NUMERIC'!AL$5:AL$27)/MAX(1,COUNTIF('93_TARGET_MEMBERSHIP'!C$5:C$27,-1)))))</f>
        <v/>
      </c>
      <c r="AL6" s="34">
        <f>IF($B6="ABSOLUTE SEMANTIC",'19_FEATURE_CONFIDENCE'!$D$40,SQRT((SUMPRODUCT(--('93_TARGET_MEMBERSHIP'!C$5:C$27=1),'92_FEATURE_CONF_NUMERIC'!AM$5:AM$27)/MAX(1,COUNTIF('93_TARGET_MEMBERSHIP'!C$5:C$27,1)))*(SUMPRODUCT(--('93_TARGET_MEMBERSHIP'!C$5:C$27=-1),'92_FEATURE_CONF_NUMERIC'!AM$5:AM$27)/MAX(1,COUNTIF('93_TARGET_MEMBERSHIP'!C$5:C$27,-1)))))</f>
        <v/>
      </c>
      <c r="AM6" s="34">
        <f>IF($B6="ABSOLUTE SEMANTIC",'19_FEATURE_CONFIDENCE'!$D$41,SQRT((SUMPRODUCT(--('93_TARGET_MEMBERSHIP'!C$5:C$27=1),'92_FEATURE_CONF_NUMERIC'!AN$5:AN$27)/MAX(1,COUNTIF('93_TARGET_MEMBERSHIP'!C$5:C$27,1)))*(SUMPRODUCT(--('93_TARGET_MEMBERSHIP'!C$5:C$27=-1),'92_FEATURE_CONF_NUMERIC'!AN$5:AN$27)/MAX(1,COUNTIF('93_TARGET_MEMBERSHIP'!C$5:C$27,-1)))))</f>
        <v/>
      </c>
      <c r="AN6" s="34">
        <f>IF($B6="ABSOLUTE SEMANTIC",'19_FEATURE_CONFIDENCE'!$D$42,SQRT((SUMPRODUCT(--('93_TARGET_MEMBERSHIP'!C$5:C$27=1),'92_FEATURE_CONF_NUMERIC'!AO$5:AO$27)/MAX(1,COUNTIF('93_TARGET_MEMBERSHIP'!C$5:C$27,1)))*(SUMPRODUCT(--('93_TARGET_MEMBERSHIP'!C$5:C$27=-1),'92_FEATURE_CONF_NUMERIC'!AO$5:AO$27)/MAX(1,COUNTIF('93_TARGET_MEMBERSHIP'!C$5:C$27,-1)))))</f>
        <v/>
      </c>
      <c r="AO6" s="34">
        <f>IF($B6="ABSOLUTE SEMANTIC",'19_FEATURE_CONFIDENCE'!$D$43,SQRT((SUMPRODUCT(--('93_TARGET_MEMBERSHIP'!C$5:C$27=1),'92_FEATURE_CONF_NUMERIC'!AP$5:AP$27)/MAX(1,COUNTIF('93_TARGET_MEMBERSHIP'!C$5:C$27,1)))*(SUMPRODUCT(--('93_TARGET_MEMBERSHIP'!C$5:C$27=-1),'92_FEATURE_CONF_NUMERIC'!AP$5:AP$27)/MAX(1,COUNTIF('93_TARGET_MEMBERSHIP'!C$5:C$27,-1)))))</f>
        <v/>
      </c>
      <c r="AP6" s="34">
        <f>IF($B6="ABSOLUTE SEMANTIC",'19_FEATURE_CONFIDENCE'!$D$44,SQRT((SUMPRODUCT(--('93_TARGET_MEMBERSHIP'!C$5:C$27=1),'92_FEATURE_CONF_NUMERIC'!AQ$5:AQ$27)/MAX(1,COUNTIF('93_TARGET_MEMBERSHIP'!C$5:C$27,1)))*(SUMPRODUCT(--('93_TARGET_MEMBERSHIP'!C$5:C$27=-1),'92_FEATURE_CONF_NUMERIC'!AQ$5:AQ$27)/MAX(1,COUNTIF('93_TARGET_MEMBERSHIP'!C$5:C$27,-1)))))</f>
        <v/>
      </c>
      <c r="AQ6" s="34">
        <f>IF($B6="ABSOLUTE SEMANTIC",'19_FEATURE_CONFIDENCE'!$D$45,SQRT((SUMPRODUCT(--('93_TARGET_MEMBERSHIP'!C$5:C$27=1),'92_FEATURE_CONF_NUMERIC'!AR$5:AR$27)/MAX(1,COUNTIF('93_TARGET_MEMBERSHIP'!C$5:C$27,1)))*(SUMPRODUCT(--('93_TARGET_MEMBERSHIP'!C$5:C$27=-1),'92_FEATURE_CONF_NUMERIC'!AR$5:AR$27)/MAX(1,COUNTIF('93_TARGET_MEMBERSHIP'!C$5:C$27,-1)))))</f>
        <v/>
      </c>
    </row>
    <row r="7" ht="36" customHeight="1">
      <c r="A7" s="34">
        <f>'06_ITEM_POLE_MODEL'!A7</f>
        <v/>
      </c>
      <c r="B7" s="34">
        <f>'06_ITEM_POLE_MODEL'!E7</f>
        <v/>
      </c>
      <c r="C7" s="34">
        <f>IF($B7="ABSOLUTE SEMANTIC",'19_FEATURE_CONFIDENCE'!$D$5,SQRT((SUMPRODUCT(--('93_TARGET_MEMBERSHIP'!D$5:D$27=1),'92_FEATURE_CONF_NUMERIC'!D$5:D$27)/MAX(1,COUNTIF('93_TARGET_MEMBERSHIP'!D$5:D$27,1)))*(SUMPRODUCT(--('93_TARGET_MEMBERSHIP'!D$5:D$27=-1),'92_FEATURE_CONF_NUMERIC'!D$5:D$27)/MAX(1,COUNTIF('93_TARGET_MEMBERSHIP'!D$5:D$27,-1)))))</f>
        <v/>
      </c>
      <c r="D7" s="34">
        <f>IF($B7="ABSOLUTE SEMANTIC",'19_FEATURE_CONFIDENCE'!$D$6,SQRT((SUMPRODUCT(--('93_TARGET_MEMBERSHIP'!D$5:D$27=1),'92_FEATURE_CONF_NUMERIC'!E$5:E$27)/MAX(1,COUNTIF('93_TARGET_MEMBERSHIP'!D$5:D$27,1)))*(SUMPRODUCT(--('93_TARGET_MEMBERSHIP'!D$5:D$27=-1),'92_FEATURE_CONF_NUMERIC'!E$5:E$27)/MAX(1,COUNTIF('93_TARGET_MEMBERSHIP'!D$5:D$27,-1)))))</f>
        <v/>
      </c>
      <c r="E7" s="34">
        <f>IF($B7="ABSOLUTE SEMANTIC",'19_FEATURE_CONFIDENCE'!$D$7,SQRT((SUMPRODUCT(--('93_TARGET_MEMBERSHIP'!D$5:D$27=1),'92_FEATURE_CONF_NUMERIC'!F$5:F$27)/MAX(1,COUNTIF('93_TARGET_MEMBERSHIP'!D$5:D$27,1)))*(SUMPRODUCT(--('93_TARGET_MEMBERSHIP'!D$5:D$27=-1),'92_FEATURE_CONF_NUMERIC'!F$5:F$27)/MAX(1,COUNTIF('93_TARGET_MEMBERSHIP'!D$5:D$27,-1)))))</f>
        <v/>
      </c>
      <c r="F7" s="34">
        <f>IF($B7="ABSOLUTE SEMANTIC",'19_FEATURE_CONFIDENCE'!$D$8,SQRT((SUMPRODUCT(--('93_TARGET_MEMBERSHIP'!D$5:D$27=1),'92_FEATURE_CONF_NUMERIC'!G$5:G$27)/MAX(1,COUNTIF('93_TARGET_MEMBERSHIP'!D$5:D$27,1)))*(SUMPRODUCT(--('93_TARGET_MEMBERSHIP'!D$5:D$27=-1),'92_FEATURE_CONF_NUMERIC'!G$5:G$27)/MAX(1,COUNTIF('93_TARGET_MEMBERSHIP'!D$5:D$27,-1)))))</f>
        <v/>
      </c>
      <c r="G7" s="34">
        <f>IF($B7="ABSOLUTE SEMANTIC",'19_FEATURE_CONFIDENCE'!$D$9,SQRT((SUMPRODUCT(--('93_TARGET_MEMBERSHIP'!D$5:D$27=1),'92_FEATURE_CONF_NUMERIC'!H$5:H$27)/MAX(1,COUNTIF('93_TARGET_MEMBERSHIP'!D$5:D$27,1)))*(SUMPRODUCT(--('93_TARGET_MEMBERSHIP'!D$5:D$27=-1),'92_FEATURE_CONF_NUMERIC'!H$5:H$27)/MAX(1,COUNTIF('93_TARGET_MEMBERSHIP'!D$5:D$27,-1)))))</f>
        <v/>
      </c>
      <c r="H7" s="34">
        <f>IF($B7="ABSOLUTE SEMANTIC",'19_FEATURE_CONFIDENCE'!$D$10,SQRT((SUMPRODUCT(--('93_TARGET_MEMBERSHIP'!D$5:D$27=1),'92_FEATURE_CONF_NUMERIC'!I$5:I$27)/MAX(1,COUNTIF('93_TARGET_MEMBERSHIP'!D$5:D$27,1)))*(SUMPRODUCT(--('93_TARGET_MEMBERSHIP'!D$5:D$27=-1),'92_FEATURE_CONF_NUMERIC'!I$5:I$27)/MAX(1,COUNTIF('93_TARGET_MEMBERSHIP'!D$5:D$27,-1)))))</f>
        <v/>
      </c>
      <c r="I7" s="34">
        <f>IF($B7="ABSOLUTE SEMANTIC",'19_FEATURE_CONFIDENCE'!$D$11,SQRT((SUMPRODUCT(--('93_TARGET_MEMBERSHIP'!D$5:D$27=1),'92_FEATURE_CONF_NUMERIC'!J$5:J$27)/MAX(1,COUNTIF('93_TARGET_MEMBERSHIP'!D$5:D$27,1)))*(SUMPRODUCT(--('93_TARGET_MEMBERSHIP'!D$5:D$27=-1),'92_FEATURE_CONF_NUMERIC'!J$5:J$27)/MAX(1,COUNTIF('93_TARGET_MEMBERSHIP'!D$5:D$27,-1)))))</f>
        <v/>
      </c>
      <c r="J7" s="34">
        <f>IF($B7="ABSOLUTE SEMANTIC",'19_FEATURE_CONFIDENCE'!$D$12,SQRT((SUMPRODUCT(--('93_TARGET_MEMBERSHIP'!D$5:D$27=1),'92_FEATURE_CONF_NUMERIC'!K$5:K$27)/MAX(1,COUNTIF('93_TARGET_MEMBERSHIP'!D$5:D$27,1)))*(SUMPRODUCT(--('93_TARGET_MEMBERSHIP'!D$5:D$27=-1),'92_FEATURE_CONF_NUMERIC'!K$5:K$27)/MAX(1,COUNTIF('93_TARGET_MEMBERSHIP'!D$5:D$27,-1)))))</f>
        <v/>
      </c>
      <c r="K7" s="34">
        <f>IF($B7="ABSOLUTE SEMANTIC",'19_FEATURE_CONFIDENCE'!$D$13,SQRT((SUMPRODUCT(--('93_TARGET_MEMBERSHIP'!D$5:D$27=1),'92_FEATURE_CONF_NUMERIC'!L$5:L$27)/MAX(1,COUNTIF('93_TARGET_MEMBERSHIP'!D$5:D$27,1)))*(SUMPRODUCT(--('93_TARGET_MEMBERSHIP'!D$5:D$27=-1),'92_FEATURE_CONF_NUMERIC'!L$5:L$27)/MAX(1,COUNTIF('93_TARGET_MEMBERSHIP'!D$5:D$27,-1)))))</f>
        <v/>
      </c>
      <c r="L7" s="34">
        <f>IF($B7="ABSOLUTE SEMANTIC",'19_FEATURE_CONFIDENCE'!$D$14,SQRT((SUMPRODUCT(--('93_TARGET_MEMBERSHIP'!D$5:D$27=1),'92_FEATURE_CONF_NUMERIC'!M$5:M$27)/MAX(1,COUNTIF('93_TARGET_MEMBERSHIP'!D$5:D$27,1)))*(SUMPRODUCT(--('93_TARGET_MEMBERSHIP'!D$5:D$27=-1),'92_FEATURE_CONF_NUMERIC'!M$5:M$27)/MAX(1,COUNTIF('93_TARGET_MEMBERSHIP'!D$5:D$27,-1)))))</f>
        <v/>
      </c>
      <c r="M7" s="34">
        <f>IF($B7="ABSOLUTE SEMANTIC",'19_FEATURE_CONFIDENCE'!$D$15,SQRT((SUMPRODUCT(--('93_TARGET_MEMBERSHIP'!D$5:D$27=1),'92_FEATURE_CONF_NUMERIC'!N$5:N$27)/MAX(1,COUNTIF('93_TARGET_MEMBERSHIP'!D$5:D$27,1)))*(SUMPRODUCT(--('93_TARGET_MEMBERSHIP'!D$5:D$27=-1),'92_FEATURE_CONF_NUMERIC'!N$5:N$27)/MAX(1,COUNTIF('93_TARGET_MEMBERSHIP'!D$5:D$27,-1)))))</f>
        <v/>
      </c>
      <c r="N7" s="34">
        <f>IF($B7="ABSOLUTE SEMANTIC",'19_FEATURE_CONFIDENCE'!$D$16,SQRT((SUMPRODUCT(--('93_TARGET_MEMBERSHIP'!D$5:D$27=1),'92_FEATURE_CONF_NUMERIC'!O$5:O$27)/MAX(1,COUNTIF('93_TARGET_MEMBERSHIP'!D$5:D$27,1)))*(SUMPRODUCT(--('93_TARGET_MEMBERSHIP'!D$5:D$27=-1),'92_FEATURE_CONF_NUMERIC'!O$5:O$27)/MAX(1,COUNTIF('93_TARGET_MEMBERSHIP'!D$5:D$27,-1)))))</f>
        <v/>
      </c>
      <c r="O7" s="34">
        <f>IF($B7="ABSOLUTE SEMANTIC",'19_FEATURE_CONFIDENCE'!$D$17,SQRT((SUMPRODUCT(--('93_TARGET_MEMBERSHIP'!D$5:D$27=1),'92_FEATURE_CONF_NUMERIC'!P$5:P$27)/MAX(1,COUNTIF('93_TARGET_MEMBERSHIP'!D$5:D$27,1)))*(SUMPRODUCT(--('93_TARGET_MEMBERSHIP'!D$5:D$27=-1),'92_FEATURE_CONF_NUMERIC'!P$5:P$27)/MAX(1,COUNTIF('93_TARGET_MEMBERSHIP'!D$5:D$27,-1)))))</f>
        <v/>
      </c>
      <c r="P7" s="34">
        <f>IF($B7="ABSOLUTE SEMANTIC",'19_FEATURE_CONFIDENCE'!$D$18,SQRT((SUMPRODUCT(--('93_TARGET_MEMBERSHIP'!D$5:D$27=1),'92_FEATURE_CONF_NUMERIC'!Q$5:Q$27)/MAX(1,COUNTIF('93_TARGET_MEMBERSHIP'!D$5:D$27,1)))*(SUMPRODUCT(--('93_TARGET_MEMBERSHIP'!D$5:D$27=-1),'92_FEATURE_CONF_NUMERIC'!Q$5:Q$27)/MAX(1,COUNTIF('93_TARGET_MEMBERSHIP'!D$5:D$27,-1)))))</f>
        <v/>
      </c>
      <c r="Q7" s="34">
        <f>IF($B7="ABSOLUTE SEMANTIC",'19_FEATURE_CONFIDENCE'!$D$19,SQRT((SUMPRODUCT(--('93_TARGET_MEMBERSHIP'!D$5:D$27=1),'92_FEATURE_CONF_NUMERIC'!R$5:R$27)/MAX(1,COUNTIF('93_TARGET_MEMBERSHIP'!D$5:D$27,1)))*(SUMPRODUCT(--('93_TARGET_MEMBERSHIP'!D$5:D$27=-1),'92_FEATURE_CONF_NUMERIC'!R$5:R$27)/MAX(1,COUNTIF('93_TARGET_MEMBERSHIP'!D$5:D$27,-1)))))</f>
        <v/>
      </c>
      <c r="R7" s="34">
        <f>IF($B7="ABSOLUTE SEMANTIC",'19_FEATURE_CONFIDENCE'!$D$20,SQRT((SUMPRODUCT(--('93_TARGET_MEMBERSHIP'!D$5:D$27=1),'92_FEATURE_CONF_NUMERIC'!S$5:S$27)/MAX(1,COUNTIF('93_TARGET_MEMBERSHIP'!D$5:D$27,1)))*(SUMPRODUCT(--('93_TARGET_MEMBERSHIP'!D$5:D$27=-1),'92_FEATURE_CONF_NUMERIC'!S$5:S$27)/MAX(1,COUNTIF('93_TARGET_MEMBERSHIP'!D$5:D$27,-1)))))</f>
        <v/>
      </c>
      <c r="S7" s="34">
        <f>IF($B7="ABSOLUTE SEMANTIC",'19_FEATURE_CONFIDENCE'!$D$21,SQRT((SUMPRODUCT(--('93_TARGET_MEMBERSHIP'!D$5:D$27=1),'92_FEATURE_CONF_NUMERIC'!T$5:T$27)/MAX(1,COUNTIF('93_TARGET_MEMBERSHIP'!D$5:D$27,1)))*(SUMPRODUCT(--('93_TARGET_MEMBERSHIP'!D$5:D$27=-1),'92_FEATURE_CONF_NUMERIC'!T$5:T$27)/MAX(1,COUNTIF('93_TARGET_MEMBERSHIP'!D$5:D$27,-1)))))</f>
        <v/>
      </c>
      <c r="T7" s="34">
        <f>IF($B7="ABSOLUTE SEMANTIC",'19_FEATURE_CONFIDENCE'!$D$22,SQRT((SUMPRODUCT(--('93_TARGET_MEMBERSHIP'!D$5:D$27=1),'92_FEATURE_CONF_NUMERIC'!U$5:U$27)/MAX(1,COUNTIF('93_TARGET_MEMBERSHIP'!D$5:D$27,1)))*(SUMPRODUCT(--('93_TARGET_MEMBERSHIP'!D$5:D$27=-1),'92_FEATURE_CONF_NUMERIC'!U$5:U$27)/MAX(1,COUNTIF('93_TARGET_MEMBERSHIP'!D$5:D$27,-1)))))</f>
        <v/>
      </c>
      <c r="U7" s="34">
        <f>IF($B7="ABSOLUTE SEMANTIC",'19_FEATURE_CONFIDENCE'!$D$23,SQRT((SUMPRODUCT(--('93_TARGET_MEMBERSHIP'!D$5:D$27=1),'92_FEATURE_CONF_NUMERIC'!V$5:V$27)/MAX(1,COUNTIF('93_TARGET_MEMBERSHIP'!D$5:D$27,1)))*(SUMPRODUCT(--('93_TARGET_MEMBERSHIP'!D$5:D$27=-1),'92_FEATURE_CONF_NUMERIC'!V$5:V$27)/MAX(1,COUNTIF('93_TARGET_MEMBERSHIP'!D$5:D$27,-1)))))</f>
        <v/>
      </c>
      <c r="V7" s="34">
        <f>IF($B7="ABSOLUTE SEMANTIC",'19_FEATURE_CONFIDENCE'!$D$24,SQRT((SUMPRODUCT(--('93_TARGET_MEMBERSHIP'!D$5:D$27=1),'92_FEATURE_CONF_NUMERIC'!W$5:W$27)/MAX(1,COUNTIF('93_TARGET_MEMBERSHIP'!D$5:D$27,1)))*(SUMPRODUCT(--('93_TARGET_MEMBERSHIP'!D$5:D$27=-1),'92_FEATURE_CONF_NUMERIC'!W$5:W$27)/MAX(1,COUNTIF('93_TARGET_MEMBERSHIP'!D$5:D$27,-1)))))</f>
        <v/>
      </c>
      <c r="W7" s="34">
        <f>IF($B7="ABSOLUTE SEMANTIC",'19_FEATURE_CONFIDENCE'!$D$25,SQRT((SUMPRODUCT(--('93_TARGET_MEMBERSHIP'!D$5:D$27=1),'92_FEATURE_CONF_NUMERIC'!X$5:X$27)/MAX(1,COUNTIF('93_TARGET_MEMBERSHIP'!D$5:D$27,1)))*(SUMPRODUCT(--('93_TARGET_MEMBERSHIP'!D$5:D$27=-1),'92_FEATURE_CONF_NUMERIC'!X$5:X$27)/MAX(1,COUNTIF('93_TARGET_MEMBERSHIP'!D$5:D$27,-1)))))</f>
        <v/>
      </c>
      <c r="X7" s="34">
        <f>IF($B7="ABSOLUTE SEMANTIC",'19_FEATURE_CONFIDENCE'!$D$26,SQRT((SUMPRODUCT(--('93_TARGET_MEMBERSHIP'!D$5:D$27=1),'92_FEATURE_CONF_NUMERIC'!Y$5:Y$27)/MAX(1,COUNTIF('93_TARGET_MEMBERSHIP'!D$5:D$27,1)))*(SUMPRODUCT(--('93_TARGET_MEMBERSHIP'!D$5:D$27=-1),'92_FEATURE_CONF_NUMERIC'!Y$5:Y$27)/MAX(1,COUNTIF('93_TARGET_MEMBERSHIP'!D$5:D$27,-1)))))</f>
        <v/>
      </c>
      <c r="Y7" s="34">
        <f>IF($B7="ABSOLUTE SEMANTIC",'19_FEATURE_CONFIDENCE'!$D$27,SQRT((SUMPRODUCT(--('93_TARGET_MEMBERSHIP'!D$5:D$27=1),'92_FEATURE_CONF_NUMERIC'!Z$5:Z$27)/MAX(1,COUNTIF('93_TARGET_MEMBERSHIP'!D$5:D$27,1)))*(SUMPRODUCT(--('93_TARGET_MEMBERSHIP'!D$5:D$27=-1),'92_FEATURE_CONF_NUMERIC'!Z$5:Z$27)/MAX(1,COUNTIF('93_TARGET_MEMBERSHIP'!D$5:D$27,-1)))))</f>
        <v/>
      </c>
      <c r="Z7" s="34">
        <f>IF($B7="ABSOLUTE SEMANTIC",'19_FEATURE_CONFIDENCE'!$D$28,SQRT((SUMPRODUCT(--('93_TARGET_MEMBERSHIP'!D$5:D$27=1),'92_FEATURE_CONF_NUMERIC'!AA$5:AA$27)/MAX(1,COUNTIF('93_TARGET_MEMBERSHIP'!D$5:D$27,1)))*(SUMPRODUCT(--('93_TARGET_MEMBERSHIP'!D$5:D$27=-1),'92_FEATURE_CONF_NUMERIC'!AA$5:AA$27)/MAX(1,COUNTIF('93_TARGET_MEMBERSHIP'!D$5:D$27,-1)))))</f>
        <v/>
      </c>
      <c r="AA7" s="34">
        <f>IF($B7="ABSOLUTE SEMANTIC",'19_FEATURE_CONFIDENCE'!$D$29,SQRT((SUMPRODUCT(--('93_TARGET_MEMBERSHIP'!D$5:D$27=1),'92_FEATURE_CONF_NUMERIC'!AB$5:AB$27)/MAX(1,COUNTIF('93_TARGET_MEMBERSHIP'!D$5:D$27,1)))*(SUMPRODUCT(--('93_TARGET_MEMBERSHIP'!D$5:D$27=-1),'92_FEATURE_CONF_NUMERIC'!AB$5:AB$27)/MAX(1,COUNTIF('93_TARGET_MEMBERSHIP'!D$5:D$27,-1)))))</f>
        <v/>
      </c>
      <c r="AB7" s="34">
        <f>IF($B7="ABSOLUTE SEMANTIC",'19_FEATURE_CONFIDENCE'!$D$30,SQRT((SUMPRODUCT(--('93_TARGET_MEMBERSHIP'!D$5:D$27=1),'92_FEATURE_CONF_NUMERIC'!AC$5:AC$27)/MAX(1,COUNTIF('93_TARGET_MEMBERSHIP'!D$5:D$27,1)))*(SUMPRODUCT(--('93_TARGET_MEMBERSHIP'!D$5:D$27=-1),'92_FEATURE_CONF_NUMERIC'!AC$5:AC$27)/MAX(1,COUNTIF('93_TARGET_MEMBERSHIP'!D$5:D$27,-1)))))</f>
        <v/>
      </c>
      <c r="AC7" s="34">
        <f>IF($B7="ABSOLUTE SEMANTIC",'19_FEATURE_CONFIDENCE'!$D$31,SQRT((SUMPRODUCT(--('93_TARGET_MEMBERSHIP'!D$5:D$27=1),'92_FEATURE_CONF_NUMERIC'!AD$5:AD$27)/MAX(1,COUNTIF('93_TARGET_MEMBERSHIP'!D$5:D$27,1)))*(SUMPRODUCT(--('93_TARGET_MEMBERSHIP'!D$5:D$27=-1),'92_FEATURE_CONF_NUMERIC'!AD$5:AD$27)/MAX(1,COUNTIF('93_TARGET_MEMBERSHIP'!D$5:D$27,-1)))))</f>
        <v/>
      </c>
      <c r="AD7" s="34">
        <f>IF($B7="ABSOLUTE SEMANTIC",'19_FEATURE_CONFIDENCE'!$D$32,SQRT((SUMPRODUCT(--('93_TARGET_MEMBERSHIP'!D$5:D$27=1),'92_FEATURE_CONF_NUMERIC'!AE$5:AE$27)/MAX(1,COUNTIF('93_TARGET_MEMBERSHIP'!D$5:D$27,1)))*(SUMPRODUCT(--('93_TARGET_MEMBERSHIP'!D$5:D$27=-1),'92_FEATURE_CONF_NUMERIC'!AE$5:AE$27)/MAX(1,COUNTIF('93_TARGET_MEMBERSHIP'!D$5:D$27,-1)))))</f>
        <v/>
      </c>
      <c r="AE7" s="34">
        <f>IF($B7="ABSOLUTE SEMANTIC",'19_FEATURE_CONFIDENCE'!$D$33,SQRT((SUMPRODUCT(--('93_TARGET_MEMBERSHIP'!D$5:D$27=1),'92_FEATURE_CONF_NUMERIC'!AF$5:AF$27)/MAX(1,COUNTIF('93_TARGET_MEMBERSHIP'!D$5:D$27,1)))*(SUMPRODUCT(--('93_TARGET_MEMBERSHIP'!D$5:D$27=-1),'92_FEATURE_CONF_NUMERIC'!AF$5:AF$27)/MAX(1,COUNTIF('93_TARGET_MEMBERSHIP'!D$5:D$27,-1)))))</f>
        <v/>
      </c>
      <c r="AF7" s="34">
        <f>IF($B7="ABSOLUTE SEMANTIC",'19_FEATURE_CONFIDENCE'!$D$34,SQRT((SUMPRODUCT(--('93_TARGET_MEMBERSHIP'!D$5:D$27=1),'92_FEATURE_CONF_NUMERIC'!AG$5:AG$27)/MAX(1,COUNTIF('93_TARGET_MEMBERSHIP'!D$5:D$27,1)))*(SUMPRODUCT(--('93_TARGET_MEMBERSHIP'!D$5:D$27=-1),'92_FEATURE_CONF_NUMERIC'!AG$5:AG$27)/MAX(1,COUNTIF('93_TARGET_MEMBERSHIP'!D$5:D$27,-1)))))</f>
        <v/>
      </c>
      <c r="AG7" s="34">
        <f>IF($B7="ABSOLUTE SEMANTIC",'19_FEATURE_CONFIDENCE'!$D$35,SQRT((SUMPRODUCT(--('93_TARGET_MEMBERSHIP'!D$5:D$27=1),'92_FEATURE_CONF_NUMERIC'!AH$5:AH$27)/MAX(1,COUNTIF('93_TARGET_MEMBERSHIP'!D$5:D$27,1)))*(SUMPRODUCT(--('93_TARGET_MEMBERSHIP'!D$5:D$27=-1),'92_FEATURE_CONF_NUMERIC'!AH$5:AH$27)/MAX(1,COUNTIF('93_TARGET_MEMBERSHIP'!D$5:D$27,-1)))))</f>
        <v/>
      </c>
      <c r="AH7" s="34">
        <f>IF($B7="ABSOLUTE SEMANTIC",'19_FEATURE_CONFIDENCE'!$D$36,SQRT((SUMPRODUCT(--('93_TARGET_MEMBERSHIP'!D$5:D$27=1),'92_FEATURE_CONF_NUMERIC'!AI$5:AI$27)/MAX(1,COUNTIF('93_TARGET_MEMBERSHIP'!D$5:D$27,1)))*(SUMPRODUCT(--('93_TARGET_MEMBERSHIP'!D$5:D$27=-1),'92_FEATURE_CONF_NUMERIC'!AI$5:AI$27)/MAX(1,COUNTIF('93_TARGET_MEMBERSHIP'!D$5:D$27,-1)))))</f>
        <v/>
      </c>
      <c r="AI7" s="34">
        <f>IF($B7="ABSOLUTE SEMANTIC",'19_FEATURE_CONFIDENCE'!$D$37,SQRT((SUMPRODUCT(--('93_TARGET_MEMBERSHIP'!D$5:D$27=1),'92_FEATURE_CONF_NUMERIC'!AJ$5:AJ$27)/MAX(1,COUNTIF('93_TARGET_MEMBERSHIP'!D$5:D$27,1)))*(SUMPRODUCT(--('93_TARGET_MEMBERSHIP'!D$5:D$27=-1),'92_FEATURE_CONF_NUMERIC'!AJ$5:AJ$27)/MAX(1,COUNTIF('93_TARGET_MEMBERSHIP'!D$5:D$27,-1)))))</f>
        <v/>
      </c>
      <c r="AJ7" s="34">
        <f>IF($B7="ABSOLUTE SEMANTIC",'19_FEATURE_CONFIDENCE'!$D$38,SQRT((SUMPRODUCT(--('93_TARGET_MEMBERSHIP'!D$5:D$27=1),'92_FEATURE_CONF_NUMERIC'!AK$5:AK$27)/MAX(1,COUNTIF('93_TARGET_MEMBERSHIP'!D$5:D$27,1)))*(SUMPRODUCT(--('93_TARGET_MEMBERSHIP'!D$5:D$27=-1),'92_FEATURE_CONF_NUMERIC'!AK$5:AK$27)/MAX(1,COUNTIF('93_TARGET_MEMBERSHIP'!D$5:D$27,-1)))))</f>
        <v/>
      </c>
      <c r="AK7" s="34">
        <f>IF($B7="ABSOLUTE SEMANTIC",'19_FEATURE_CONFIDENCE'!$D$39,SQRT((SUMPRODUCT(--('93_TARGET_MEMBERSHIP'!D$5:D$27=1),'92_FEATURE_CONF_NUMERIC'!AL$5:AL$27)/MAX(1,COUNTIF('93_TARGET_MEMBERSHIP'!D$5:D$27,1)))*(SUMPRODUCT(--('93_TARGET_MEMBERSHIP'!D$5:D$27=-1),'92_FEATURE_CONF_NUMERIC'!AL$5:AL$27)/MAX(1,COUNTIF('93_TARGET_MEMBERSHIP'!D$5:D$27,-1)))))</f>
        <v/>
      </c>
      <c r="AL7" s="34">
        <f>IF($B7="ABSOLUTE SEMANTIC",'19_FEATURE_CONFIDENCE'!$D$40,SQRT((SUMPRODUCT(--('93_TARGET_MEMBERSHIP'!D$5:D$27=1),'92_FEATURE_CONF_NUMERIC'!AM$5:AM$27)/MAX(1,COUNTIF('93_TARGET_MEMBERSHIP'!D$5:D$27,1)))*(SUMPRODUCT(--('93_TARGET_MEMBERSHIP'!D$5:D$27=-1),'92_FEATURE_CONF_NUMERIC'!AM$5:AM$27)/MAX(1,COUNTIF('93_TARGET_MEMBERSHIP'!D$5:D$27,-1)))))</f>
        <v/>
      </c>
      <c r="AM7" s="34">
        <f>IF($B7="ABSOLUTE SEMANTIC",'19_FEATURE_CONFIDENCE'!$D$41,SQRT((SUMPRODUCT(--('93_TARGET_MEMBERSHIP'!D$5:D$27=1),'92_FEATURE_CONF_NUMERIC'!AN$5:AN$27)/MAX(1,COUNTIF('93_TARGET_MEMBERSHIP'!D$5:D$27,1)))*(SUMPRODUCT(--('93_TARGET_MEMBERSHIP'!D$5:D$27=-1),'92_FEATURE_CONF_NUMERIC'!AN$5:AN$27)/MAX(1,COUNTIF('93_TARGET_MEMBERSHIP'!D$5:D$27,-1)))))</f>
        <v/>
      </c>
      <c r="AN7" s="34">
        <f>IF($B7="ABSOLUTE SEMANTIC",'19_FEATURE_CONFIDENCE'!$D$42,SQRT((SUMPRODUCT(--('93_TARGET_MEMBERSHIP'!D$5:D$27=1),'92_FEATURE_CONF_NUMERIC'!AO$5:AO$27)/MAX(1,COUNTIF('93_TARGET_MEMBERSHIP'!D$5:D$27,1)))*(SUMPRODUCT(--('93_TARGET_MEMBERSHIP'!D$5:D$27=-1),'92_FEATURE_CONF_NUMERIC'!AO$5:AO$27)/MAX(1,COUNTIF('93_TARGET_MEMBERSHIP'!D$5:D$27,-1)))))</f>
        <v/>
      </c>
      <c r="AO7" s="34">
        <f>IF($B7="ABSOLUTE SEMANTIC",'19_FEATURE_CONFIDENCE'!$D$43,SQRT((SUMPRODUCT(--('93_TARGET_MEMBERSHIP'!D$5:D$27=1),'92_FEATURE_CONF_NUMERIC'!AP$5:AP$27)/MAX(1,COUNTIF('93_TARGET_MEMBERSHIP'!D$5:D$27,1)))*(SUMPRODUCT(--('93_TARGET_MEMBERSHIP'!D$5:D$27=-1),'92_FEATURE_CONF_NUMERIC'!AP$5:AP$27)/MAX(1,COUNTIF('93_TARGET_MEMBERSHIP'!D$5:D$27,-1)))))</f>
        <v/>
      </c>
      <c r="AP7" s="34">
        <f>IF($B7="ABSOLUTE SEMANTIC",'19_FEATURE_CONFIDENCE'!$D$44,SQRT((SUMPRODUCT(--('93_TARGET_MEMBERSHIP'!D$5:D$27=1),'92_FEATURE_CONF_NUMERIC'!AQ$5:AQ$27)/MAX(1,COUNTIF('93_TARGET_MEMBERSHIP'!D$5:D$27,1)))*(SUMPRODUCT(--('93_TARGET_MEMBERSHIP'!D$5:D$27=-1),'92_FEATURE_CONF_NUMERIC'!AQ$5:AQ$27)/MAX(1,COUNTIF('93_TARGET_MEMBERSHIP'!D$5:D$27,-1)))))</f>
        <v/>
      </c>
      <c r="AQ7" s="34">
        <f>IF($B7="ABSOLUTE SEMANTIC",'19_FEATURE_CONFIDENCE'!$D$45,SQRT((SUMPRODUCT(--('93_TARGET_MEMBERSHIP'!D$5:D$27=1),'92_FEATURE_CONF_NUMERIC'!AR$5:AR$27)/MAX(1,COUNTIF('93_TARGET_MEMBERSHIP'!D$5:D$27,1)))*(SUMPRODUCT(--('93_TARGET_MEMBERSHIP'!D$5:D$27=-1),'92_FEATURE_CONF_NUMERIC'!AR$5:AR$27)/MAX(1,COUNTIF('93_TARGET_MEMBERSHIP'!D$5:D$27,-1)))))</f>
        <v/>
      </c>
    </row>
    <row r="8" ht="36" customHeight="1">
      <c r="A8" s="34">
        <f>'06_ITEM_POLE_MODEL'!A8</f>
        <v/>
      </c>
      <c r="B8" s="34">
        <f>'06_ITEM_POLE_MODEL'!E8</f>
        <v/>
      </c>
      <c r="C8" s="34">
        <f>IF($B8="ABSOLUTE SEMANTIC",'19_FEATURE_CONFIDENCE'!$D$5,SQRT((SUMPRODUCT(--('93_TARGET_MEMBERSHIP'!E$5:E$27=1),'92_FEATURE_CONF_NUMERIC'!D$5:D$27)/MAX(1,COUNTIF('93_TARGET_MEMBERSHIP'!E$5:E$27,1)))*(SUMPRODUCT(--('93_TARGET_MEMBERSHIP'!E$5:E$27=-1),'92_FEATURE_CONF_NUMERIC'!D$5:D$27)/MAX(1,COUNTIF('93_TARGET_MEMBERSHIP'!E$5:E$27,-1)))))</f>
        <v/>
      </c>
      <c r="D8" s="34">
        <f>IF($B8="ABSOLUTE SEMANTIC",'19_FEATURE_CONFIDENCE'!$D$6,SQRT((SUMPRODUCT(--('93_TARGET_MEMBERSHIP'!E$5:E$27=1),'92_FEATURE_CONF_NUMERIC'!E$5:E$27)/MAX(1,COUNTIF('93_TARGET_MEMBERSHIP'!E$5:E$27,1)))*(SUMPRODUCT(--('93_TARGET_MEMBERSHIP'!E$5:E$27=-1),'92_FEATURE_CONF_NUMERIC'!E$5:E$27)/MAX(1,COUNTIF('93_TARGET_MEMBERSHIP'!E$5:E$27,-1)))))</f>
        <v/>
      </c>
      <c r="E8" s="34">
        <f>IF($B8="ABSOLUTE SEMANTIC",'19_FEATURE_CONFIDENCE'!$D$7,SQRT((SUMPRODUCT(--('93_TARGET_MEMBERSHIP'!E$5:E$27=1),'92_FEATURE_CONF_NUMERIC'!F$5:F$27)/MAX(1,COUNTIF('93_TARGET_MEMBERSHIP'!E$5:E$27,1)))*(SUMPRODUCT(--('93_TARGET_MEMBERSHIP'!E$5:E$27=-1),'92_FEATURE_CONF_NUMERIC'!F$5:F$27)/MAX(1,COUNTIF('93_TARGET_MEMBERSHIP'!E$5:E$27,-1)))))</f>
        <v/>
      </c>
      <c r="F8" s="34">
        <f>IF($B8="ABSOLUTE SEMANTIC",'19_FEATURE_CONFIDENCE'!$D$8,SQRT((SUMPRODUCT(--('93_TARGET_MEMBERSHIP'!E$5:E$27=1),'92_FEATURE_CONF_NUMERIC'!G$5:G$27)/MAX(1,COUNTIF('93_TARGET_MEMBERSHIP'!E$5:E$27,1)))*(SUMPRODUCT(--('93_TARGET_MEMBERSHIP'!E$5:E$27=-1),'92_FEATURE_CONF_NUMERIC'!G$5:G$27)/MAX(1,COUNTIF('93_TARGET_MEMBERSHIP'!E$5:E$27,-1)))))</f>
        <v/>
      </c>
      <c r="G8" s="34">
        <f>IF($B8="ABSOLUTE SEMANTIC",'19_FEATURE_CONFIDENCE'!$D$9,SQRT((SUMPRODUCT(--('93_TARGET_MEMBERSHIP'!E$5:E$27=1),'92_FEATURE_CONF_NUMERIC'!H$5:H$27)/MAX(1,COUNTIF('93_TARGET_MEMBERSHIP'!E$5:E$27,1)))*(SUMPRODUCT(--('93_TARGET_MEMBERSHIP'!E$5:E$27=-1),'92_FEATURE_CONF_NUMERIC'!H$5:H$27)/MAX(1,COUNTIF('93_TARGET_MEMBERSHIP'!E$5:E$27,-1)))))</f>
        <v/>
      </c>
      <c r="H8" s="34">
        <f>IF($B8="ABSOLUTE SEMANTIC",'19_FEATURE_CONFIDENCE'!$D$10,SQRT((SUMPRODUCT(--('93_TARGET_MEMBERSHIP'!E$5:E$27=1),'92_FEATURE_CONF_NUMERIC'!I$5:I$27)/MAX(1,COUNTIF('93_TARGET_MEMBERSHIP'!E$5:E$27,1)))*(SUMPRODUCT(--('93_TARGET_MEMBERSHIP'!E$5:E$27=-1),'92_FEATURE_CONF_NUMERIC'!I$5:I$27)/MAX(1,COUNTIF('93_TARGET_MEMBERSHIP'!E$5:E$27,-1)))))</f>
        <v/>
      </c>
      <c r="I8" s="34">
        <f>IF($B8="ABSOLUTE SEMANTIC",'19_FEATURE_CONFIDENCE'!$D$11,SQRT((SUMPRODUCT(--('93_TARGET_MEMBERSHIP'!E$5:E$27=1),'92_FEATURE_CONF_NUMERIC'!J$5:J$27)/MAX(1,COUNTIF('93_TARGET_MEMBERSHIP'!E$5:E$27,1)))*(SUMPRODUCT(--('93_TARGET_MEMBERSHIP'!E$5:E$27=-1),'92_FEATURE_CONF_NUMERIC'!J$5:J$27)/MAX(1,COUNTIF('93_TARGET_MEMBERSHIP'!E$5:E$27,-1)))))</f>
        <v/>
      </c>
      <c r="J8" s="34">
        <f>IF($B8="ABSOLUTE SEMANTIC",'19_FEATURE_CONFIDENCE'!$D$12,SQRT((SUMPRODUCT(--('93_TARGET_MEMBERSHIP'!E$5:E$27=1),'92_FEATURE_CONF_NUMERIC'!K$5:K$27)/MAX(1,COUNTIF('93_TARGET_MEMBERSHIP'!E$5:E$27,1)))*(SUMPRODUCT(--('93_TARGET_MEMBERSHIP'!E$5:E$27=-1),'92_FEATURE_CONF_NUMERIC'!K$5:K$27)/MAX(1,COUNTIF('93_TARGET_MEMBERSHIP'!E$5:E$27,-1)))))</f>
        <v/>
      </c>
      <c r="K8" s="34">
        <f>IF($B8="ABSOLUTE SEMANTIC",'19_FEATURE_CONFIDENCE'!$D$13,SQRT((SUMPRODUCT(--('93_TARGET_MEMBERSHIP'!E$5:E$27=1),'92_FEATURE_CONF_NUMERIC'!L$5:L$27)/MAX(1,COUNTIF('93_TARGET_MEMBERSHIP'!E$5:E$27,1)))*(SUMPRODUCT(--('93_TARGET_MEMBERSHIP'!E$5:E$27=-1),'92_FEATURE_CONF_NUMERIC'!L$5:L$27)/MAX(1,COUNTIF('93_TARGET_MEMBERSHIP'!E$5:E$27,-1)))))</f>
        <v/>
      </c>
      <c r="L8" s="34">
        <f>IF($B8="ABSOLUTE SEMANTIC",'19_FEATURE_CONFIDENCE'!$D$14,SQRT((SUMPRODUCT(--('93_TARGET_MEMBERSHIP'!E$5:E$27=1),'92_FEATURE_CONF_NUMERIC'!M$5:M$27)/MAX(1,COUNTIF('93_TARGET_MEMBERSHIP'!E$5:E$27,1)))*(SUMPRODUCT(--('93_TARGET_MEMBERSHIP'!E$5:E$27=-1),'92_FEATURE_CONF_NUMERIC'!M$5:M$27)/MAX(1,COUNTIF('93_TARGET_MEMBERSHIP'!E$5:E$27,-1)))))</f>
        <v/>
      </c>
      <c r="M8" s="34">
        <f>IF($B8="ABSOLUTE SEMANTIC",'19_FEATURE_CONFIDENCE'!$D$15,SQRT((SUMPRODUCT(--('93_TARGET_MEMBERSHIP'!E$5:E$27=1),'92_FEATURE_CONF_NUMERIC'!N$5:N$27)/MAX(1,COUNTIF('93_TARGET_MEMBERSHIP'!E$5:E$27,1)))*(SUMPRODUCT(--('93_TARGET_MEMBERSHIP'!E$5:E$27=-1),'92_FEATURE_CONF_NUMERIC'!N$5:N$27)/MAX(1,COUNTIF('93_TARGET_MEMBERSHIP'!E$5:E$27,-1)))))</f>
        <v/>
      </c>
      <c r="N8" s="34">
        <f>IF($B8="ABSOLUTE SEMANTIC",'19_FEATURE_CONFIDENCE'!$D$16,SQRT((SUMPRODUCT(--('93_TARGET_MEMBERSHIP'!E$5:E$27=1),'92_FEATURE_CONF_NUMERIC'!O$5:O$27)/MAX(1,COUNTIF('93_TARGET_MEMBERSHIP'!E$5:E$27,1)))*(SUMPRODUCT(--('93_TARGET_MEMBERSHIP'!E$5:E$27=-1),'92_FEATURE_CONF_NUMERIC'!O$5:O$27)/MAX(1,COUNTIF('93_TARGET_MEMBERSHIP'!E$5:E$27,-1)))))</f>
        <v/>
      </c>
      <c r="O8" s="34">
        <f>IF($B8="ABSOLUTE SEMANTIC",'19_FEATURE_CONFIDENCE'!$D$17,SQRT((SUMPRODUCT(--('93_TARGET_MEMBERSHIP'!E$5:E$27=1),'92_FEATURE_CONF_NUMERIC'!P$5:P$27)/MAX(1,COUNTIF('93_TARGET_MEMBERSHIP'!E$5:E$27,1)))*(SUMPRODUCT(--('93_TARGET_MEMBERSHIP'!E$5:E$27=-1),'92_FEATURE_CONF_NUMERIC'!P$5:P$27)/MAX(1,COUNTIF('93_TARGET_MEMBERSHIP'!E$5:E$27,-1)))))</f>
        <v/>
      </c>
      <c r="P8" s="34">
        <f>IF($B8="ABSOLUTE SEMANTIC",'19_FEATURE_CONFIDENCE'!$D$18,SQRT((SUMPRODUCT(--('93_TARGET_MEMBERSHIP'!E$5:E$27=1),'92_FEATURE_CONF_NUMERIC'!Q$5:Q$27)/MAX(1,COUNTIF('93_TARGET_MEMBERSHIP'!E$5:E$27,1)))*(SUMPRODUCT(--('93_TARGET_MEMBERSHIP'!E$5:E$27=-1),'92_FEATURE_CONF_NUMERIC'!Q$5:Q$27)/MAX(1,COUNTIF('93_TARGET_MEMBERSHIP'!E$5:E$27,-1)))))</f>
        <v/>
      </c>
      <c r="Q8" s="34">
        <f>IF($B8="ABSOLUTE SEMANTIC",'19_FEATURE_CONFIDENCE'!$D$19,SQRT((SUMPRODUCT(--('93_TARGET_MEMBERSHIP'!E$5:E$27=1),'92_FEATURE_CONF_NUMERIC'!R$5:R$27)/MAX(1,COUNTIF('93_TARGET_MEMBERSHIP'!E$5:E$27,1)))*(SUMPRODUCT(--('93_TARGET_MEMBERSHIP'!E$5:E$27=-1),'92_FEATURE_CONF_NUMERIC'!R$5:R$27)/MAX(1,COUNTIF('93_TARGET_MEMBERSHIP'!E$5:E$27,-1)))))</f>
        <v/>
      </c>
      <c r="R8" s="34">
        <f>IF($B8="ABSOLUTE SEMANTIC",'19_FEATURE_CONFIDENCE'!$D$20,SQRT((SUMPRODUCT(--('93_TARGET_MEMBERSHIP'!E$5:E$27=1),'92_FEATURE_CONF_NUMERIC'!S$5:S$27)/MAX(1,COUNTIF('93_TARGET_MEMBERSHIP'!E$5:E$27,1)))*(SUMPRODUCT(--('93_TARGET_MEMBERSHIP'!E$5:E$27=-1),'92_FEATURE_CONF_NUMERIC'!S$5:S$27)/MAX(1,COUNTIF('93_TARGET_MEMBERSHIP'!E$5:E$27,-1)))))</f>
        <v/>
      </c>
      <c r="S8" s="34">
        <f>IF($B8="ABSOLUTE SEMANTIC",'19_FEATURE_CONFIDENCE'!$D$21,SQRT((SUMPRODUCT(--('93_TARGET_MEMBERSHIP'!E$5:E$27=1),'92_FEATURE_CONF_NUMERIC'!T$5:T$27)/MAX(1,COUNTIF('93_TARGET_MEMBERSHIP'!E$5:E$27,1)))*(SUMPRODUCT(--('93_TARGET_MEMBERSHIP'!E$5:E$27=-1),'92_FEATURE_CONF_NUMERIC'!T$5:T$27)/MAX(1,COUNTIF('93_TARGET_MEMBERSHIP'!E$5:E$27,-1)))))</f>
        <v/>
      </c>
      <c r="T8" s="34">
        <f>IF($B8="ABSOLUTE SEMANTIC",'19_FEATURE_CONFIDENCE'!$D$22,SQRT((SUMPRODUCT(--('93_TARGET_MEMBERSHIP'!E$5:E$27=1),'92_FEATURE_CONF_NUMERIC'!U$5:U$27)/MAX(1,COUNTIF('93_TARGET_MEMBERSHIP'!E$5:E$27,1)))*(SUMPRODUCT(--('93_TARGET_MEMBERSHIP'!E$5:E$27=-1),'92_FEATURE_CONF_NUMERIC'!U$5:U$27)/MAX(1,COUNTIF('93_TARGET_MEMBERSHIP'!E$5:E$27,-1)))))</f>
        <v/>
      </c>
      <c r="U8" s="34">
        <f>IF($B8="ABSOLUTE SEMANTIC",'19_FEATURE_CONFIDENCE'!$D$23,SQRT((SUMPRODUCT(--('93_TARGET_MEMBERSHIP'!E$5:E$27=1),'92_FEATURE_CONF_NUMERIC'!V$5:V$27)/MAX(1,COUNTIF('93_TARGET_MEMBERSHIP'!E$5:E$27,1)))*(SUMPRODUCT(--('93_TARGET_MEMBERSHIP'!E$5:E$27=-1),'92_FEATURE_CONF_NUMERIC'!V$5:V$27)/MAX(1,COUNTIF('93_TARGET_MEMBERSHIP'!E$5:E$27,-1)))))</f>
        <v/>
      </c>
      <c r="V8" s="34">
        <f>IF($B8="ABSOLUTE SEMANTIC",'19_FEATURE_CONFIDENCE'!$D$24,SQRT((SUMPRODUCT(--('93_TARGET_MEMBERSHIP'!E$5:E$27=1),'92_FEATURE_CONF_NUMERIC'!W$5:W$27)/MAX(1,COUNTIF('93_TARGET_MEMBERSHIP'!E$5:E$27,1)))*(SUMPRODUCT(--('93_TARGET_MEMBERSHIP'!E$5:E$27=-1),'92_FEATURE_CONF_NUMERIC'!W$5:W$27)/MAX(1,COUNTIF('93_TARGET_MEMBERSHIP'!E$5:E$27,-1)))))</f>
        <v/>
      </c>
      <c r="W8" s="34">
        <f>IF($B8="ABSOLUTE SEMANTIC",'19_FEATURE_CONFIDENCE'!$D$25,SQRT((SUMPRODUCT(--('93_TARGET_MEMBERSHIP'!E$5:E$27=1),'92_FEATURE_CONF_NUMERIC'!X$5:X$27)/MAX(1,COUNTIF('93_TARGET_MEMBERSHIP'!E$5:E$27,1)))*(SUMPRODUCT(--('93_TARGET_MEMBERSHIP'!E$5:E$27=-1),'92_FEATURE_CONF_NUMERIC'!X$5:X$27)/MAX(1,COUNTIF('93_TARGET_MEMBERSHIP'!E$5:E$27,-1)))))</f>
        <v/>
      </c>
      <c r="X8" s="34">
        <f>IF($B8="ABSOLUTE SEMANTIC",'19_FEATURE_CONFIDENCE'!$D$26,SQRT((SUMPRODUCT(--('93_TARGET_MEMBERSHIP'!E$5:E$27=1),'92_FEATURE_CONF_NUMERIC'!Y$5:Y$27)/MAX(1,COUNTIF('93_TARGET_MEMBERSHIP'!E$5:E$27,1)))*(SUMPRODUCT(--('93_TARGET_MEMBERSHIP'!E$5:E$27=-1),'92_FEATURE_CONF_NUMERIC'!Y$5:Y$27)/MAX(1,COUNTIF('93_TARGET_MEMBERSHIP'!E$5:E$27,-1)))))</f>
        <v/>
      </c>
      <c r="Y8" s="34">
        <f>IF($B8="ABSOLUTE SEMANTIC",'19_FEATURE_CONFIDENCE'!$D$27,SQRT((SUMPRODUCT(--('93_TARGET_MEMBERSHIP'!E$5:E$27=1),'92_FEATURE_CONF_NUMERIC'!Z$5:Z$27)/MAX(1,COUNTIF('93_TARGET_MEMBERSHIP'!E$5:E$27,1)))*(SUMPRODUCT(--('93_TARGET_MEMBERSHIP'!E$5:E$27=-1),'92_FEATURE_CONF_NUMERIC'!Z$5:Z$27)/MAX(1,COUNTIF('93_TARGET_MEMBERSHIP'!E$5:E$27,-1)))))</f>
        <v/>
      </c>
      <c r="Z8" s="34">
        <f>IF($B8="ABSOLUTE SEMANTIC",'19_FEATURE_CONFIDENCE'!$D$28,SQRT((SUMPRODUCT(--('93_TARGET_MEMBERSHIP'!E$5:E$27=1),'92_FEATURE_CONF_NUMERIC'!AA$5:AA$27)/MAX(1,COUNTIF('93_TARGET_MEMBERSHIP'!E$5:E$27,1)))*(SUMPRODUCT(--('93_TARGET_MEMBERSHIP'!E$5:E$27=-1),'92_FEATURE_CONF_NUMERIC'!AA$5:AA$27)/MAX(1,COUNTIF('93_TARGET_MEMBERSHIP'!E$5:E$27,-1)))))</f>
        <v/>
      </c>
      <c r="AA8" s="34">
        <f>IF($B8="ABSOLUTE SEMANTIC",'19_FEATURE_CONFIDENCE'!$D$29,SQRT((SUMPRODUCT(--('93_TARGET_MEMBERSHIP'!E$5:E$27=1),'92_FEATURE_CONF_NUMERIC'!AB$5:AB$27)/MAX(1,COUNTIF('93_TARGET_MEMBERSHIP'!E$5:E$27,1)))*(SUMPRODUCT(--('93_TARGET_MEMBERSHIP'!E$5:E$27=-1),'92_FEATURE_CONF_NUMERIC'!AB$5:AB$27)/MAX(1,COUNTIF('93_TARGET_MEMBERSHIP'!E$5:E$27,-1)))))</f>
        <v/>
      </c>
      <c r="AB8" s="34">
        <f>IF($B8="ABSOLUTE SEMANTIC",'19_FEATURE_CONFIDENCE'!$D$30,SQRT((SUMPRODUCT(--('93_TARGET_MEMBERSHIP'!E$5:E$27=1),'92_FEATURE_CONF_NUMERIC'!AC$5:AC$27)/MAX(1,COUNTIF('93_TARGET_MEMBERSHIP'!E$5:E$27,1)))*(SUMPRODUCT(--('93_TARGET_MEMBERSHIP'!E$5:E$27=-1),'92_FEATURE_CONF_NUMERIC'!AC$5:AC$27)/MAX(1,COUNTIF('93_TARGET_MEMBERSHIP'!E$5:E$27,-1)))))</f>
        <v/>
      </c>
      <c r="AC8" s="34">
        <f>IF($B8="ABSOLUTE SEMANTIC",'19_FEATURE_CONFIDENCE'!$D$31,SQRT((SUMPRODUCT(--('93_TARGET_MEMBERSHIP'!E$5:E$27=1),'92_FEATURE_CONF_NUMERIC'!AD$5:AD$27)/MAX(1,COUNTIF('93_TARGET_MEMBERSHIP'!E$5:E$27,1)))*(SUMPRODUCT(--('93_TARGET_MEMBERSHIP'!E$5:E$27=-1),'92_FEATURE_CONF_NUMERIC'!AD$5:AD$27)/MAX(1,COUNTIF('93_TARGET_MEMBERSHIP'!E$5:E$27,-1)))))</f>
        <v/>
      </c>
      <c r="AD8" s="34">
        <f>IF($B8="ABSOLUTE SEMANTIC",'19_FEATURE_CONFIDENCE'!$D$32,SQRT((SUMPRODUCT(--('93_TARGET_MEMBERSHIP'!E$5:E$27=1),'92_FEATURE_CONF_NUMERIC'!AE$5:AE$27)/MAX(1,COUNTIF('93_TARGET_MEMBERSHIP'!E$5:E$27,1)))*(SUMPRODUCT(--('93_TARGET_MEMBERSHIP'!E$5:E$27=-1),'92_FEATURE_CONF_NUMERIC'!AE$5:AE$27)/MAX(1,COUNTIF('93_TARGET_MEMBERSHIP'!E$5:E$27,-1)))))</f>
        <v/>
      </c>
      <c r="AE8" s="34">
        <f>IF($B8="ABSOLUTE SEMANTIC",'19_FEATURE_CONFIDENCE'!$D$33,SQRT((SUMPRODUCT(--('93_TARGET_MEMBERSHIP'!E$5:E$27=1),'92_FEATURE_CONF_NUMERIC'!AF$5:AF$27)/MAX(1,COUNTIF('93_TARGET_MEMBERSHIP'!E$5:E$27,1)))*(SUMPRODUCT(--('93_TARGET_MEMBERSHIP'!E$5:E$27=-1),'92_FEATURE_CONF_NUMERIC'!AF$5:AF$27)/MAX(1,COUNTIF('93_TARGET_MEMBERSHIP'!E$5:E$27,-1)))))</f>
        <v/>
      </c>
      <c r="AF8" s="34">
        <f>IF($B8="ABSOLUTE SEMANTIC",'19_FEATURE_CONFIDENCE'!$D$34,SQRT((SUMPRODUCT(--('93_TARGET_MEMBERSHIP'!E$5:E$27=1),'92_FEATURE_CONF_NUMERIC'!AG$5:AG$27)/MAX(1,COUNTIF('93_TARGET_MEMBERSHIP'!E$5:E$27,1)))*(SUMPRODUCT(--('93_TARGET_MEMBERSHIP'!E$5:E$27=-1),'92_FEATURE_CONF_NUMERIC'!AG$5:AG$27)/MAX(1,COUNTIF('93_TARGET_MEMBERSHIP'!E$5:E$27,-1)))))</f>
        <v/>
      </c>
      <c r="AG8" s="34">
        <f>IF($B8="ABSOLUTE SEMANTIC",'19_FEATURE_CONFIDENCE'!$D$35,SQRT((SUMPRODUCT(--('93_TARGET_MEMBERSHIP'!E$5:E$27=1),'92_FEATURE_CONF_NUMERIC'!AH$5:AH$27)/MAX(1,COUNTIF('93_TARGET_MEMBERSHIP'!E$5:E$27,1)))*(SUMPRODUCT(--('93_TARGET_MEMBERSHIP'!E$5:E$27=-1),'92_FEATURE_CONF_NUMERIC'!AH$5:AH$27)/MAX(1,COUNTIF('93_TARGET_MEMBERSHIP'!E$5:E$27,-1)))))</f>
        <v/>
      </c>
      <c r="AH8" s="34">
        <f>IF($B8="ABSOLUTE SEMANTIC",'19_FEATURE_CONFIDENCE'!$D$36,SQRT((SUMPRODUCT(--('93_TARGET_MEMBERSHIP'!E$5:E$27=1),'92_FEATURE_CONF_NUMERIC'!AI$5:AI$27)/MAX(1,COUNTIF('93_TARGET_MEMBERSHIP'!E$5:E$27,1)))*(SUMPRODUCT(--('93_TARGET_MEMBERSHIP'!E$5:E$27=-1),'92_FEATURE_CONF_NUMERIC'!AI$5:AI$27)/MAX(1,COUNTIF('93_TARGET_MEMBERSHIP'!E$5:E$27,-1)))))</f>
        <v/>
      </c>
      <c r="AI8" s="34">
        <f>IF($B8="ABSOLUTE SEMANTIC",'19_FEATURE_CONFIDENCE'!$D$37,SQRT((SUMPRODUCT(--('93_TARGET_MEMBERSHIP'!E$5:E$27=1),'92_FEATURE_CONF_NUMERIC'!AJ$5:AJ$27)/MAX(1,COUNTIF('93_TARGET_MEMBERSHIP'!E$5:E$27,1)))*(SUMPRODUCT(--('93_TARGET_MEMBERSHIP'!E$5:E$27=-1),'92_FEATURE_CONF_NUMERIC'!AJ$5:AJ$27)/MAX(1,COUNTIF('93_TARGET_MEMBERSHIP'!E$5:E$27,-1)))))</f>
        <v/>
      </c>
      <c r="AJ8" s="34">
        <f>IF($B8="ABSOLUTE SEMANTIC",'19_FEATURE_CONFIDENCE'!$D$38,SQRT((SUMPRODUCT(--('93_TARGET_MEMBERSHIP'!E$5:E$27=1),'92_FEATURE_CONF_NUMERIC'!AK$5:AK$27)/MAX(1,COUNTIF('93_TARGET_MEMBERSHIP'!E$5:E$27,1)))*(SUMPRODUCT(--('93_TARGET_MEMBERSHIP'!E$5:E$27=-1),'92_FEATURE_CONF_NUMERIC'!AK$5:AK$27)/MAX(1,COUNTIF('93_TARGET_MEMBERSHIP'!E$5:E$27,-1)))))</f>
        <v/>
      </c>
      <c r="AK8" s="34">
        <f>IF($B8="ABSOLUTE SEMANTIC",'19_FEATURE_CONFIDENCE'!$D$39,SQRT((SUMPRODUCT(--('93_TARGET_MEMBERSHIP'!E$5:E$27=1),'92_FEATURE_CONF_NUMERIC'!AL$5:AL$27)/MAX(1,COUNTIF('93_TARGET_MEMBERSHIP'!E$5:E$27,1)))*(SUMPRODUCT(--('93_TARGET_MEMBERSHIP'!E$5:E$27=-1),'92_FEATURE_CONF_NUMERIC'!AL$5:AL$27)/MAX(1,COUNTIF('93_TARGET_MEMBERSHIP'!E$5:E$27,-1)))))</f>
        <v/>
      </c>
      <c r="AL8" s="34">
        <f>IF($B8="ABSOLUTE SEMANTIC",'19_FEATURE_CONFIDENCE'!$D$40,SQRT((SUMPRODUCT(--('93_TARGET_MEMBERSHIP'!E$5:E$27=1),'92_FEATURE_CONF_NUMERIC'!AM$5:AM$27)/MAX(1,COUNTIF('93_TARGET_MEMBERSHIP'!E$5:E$27,1)))*(SUMPRODUCT(--('93_TARGET_MEMBERSHIP'!E$5:E$27=-1),'92_FEATURE_CONF_NUMERIC'!AM$5:AM$27)/MAX(1,COUNTIF('93_TARGET_MEMBERSHIP'!E$5:E$27,-1)))))</f>
        <v/>
      </c>
      <c r="AM8" s="34">
        <f>IF($B8="ABSOLUTE SEMANTIC",'19_FEATURE_CONFIDENCE'!$D$41,SQRT((SUMPRODUCT(--('93_TARGET_MEMBERSHIP'!E$5:E$27=1),'92_FEATURE_CONF_NUMERIC'!AN$5:AN$27)/MAX(1,COUNTIF('93_TARGET_MEMBERSHIP'!E$5:E$27,1)))*(SUMPRODUCT(--('93_TARGET_MEMBERSHIP'!E$5:E$27=-1),'92_FEATURE_CONF_NUMERIC'!AN$5:AN$27)/MAX(1,COUNTIF('93_TARGET_MEMBERSHIP'!E$5:E$27,-1)))))</f>
        <v/>
      </c>
      <c r="AN8" s="34">
        <f>IF($B8="ABSOLUTE SEMANTIC",'19_FEATURE_CONFIDENCE'!$D$42,SQRT((SUMPRODUCT(--('93_TARGET_MEMBERSHIP'!E$5:E$27=1),'92_FEATURE_CONF_NUMERIC'!AO$5:AO$27)/MAX(1,COUNTIF('93_TARGET_MEMBERSHIP'!E$5:E$27,1)))*(SUMPRODUCT(--('93_TARGET_MEMBERSHIP'!E$5:E$27=-1),'92_FEATURE_CONF_NUMERIC'!AO$5:AO$27)/MAX(1,COUNTIF('93_TARGET_MEMBERSHIP'!E$5:E$27,-1)))))</f>
        <v/>
      </c>
      <c r="AO8" s="34">
        <f>IF($B8="ABSOLUTE SEMANTIC",'19_FEATURE_CONFIDENCE'!$D$43,SQRT((SUMPRODUCT(--('93_TARGET_MEMBERSHIP'!E$5:E$27=1),'92_FEATURE_CONF_NUMERIC'!AP$5:AP$27)/MAX(1,COUNTIF('93_TARGET_MEMBERSHIP'!E$5:E$27,1)))*(SUMPRODUCT(--('93_TARGET_MEMBERSHIP'!E$5:E$27=-1),'92_FEATURE_CONF_NUMERIC'!AP$5:AP$27)/MAX(1,COUNTIF('93_TARGET_MEMBERSHIP'!E$5:E$27,-1)))))</f>
        <v/>
      </c>
      <c r="AP8" s="34">
        <f>IF($B8="ABSOLUTE SEMANTIC",'19_FEATURE_CONFIDENCE'!$D$44,SQRT((SUMPRODUCT(--('93_TARGET_MEMBERSHIP'!E$5:E$27=1),'92_FEATURE_CONF_NUMERIC'!AQ$5:AQ$27)/MAX(1,COUNTIF('93_TARGET_MEMBERSHIP'!E$5:E$27,1)))*(SUMPRODUCT(--('93_TARGET_MEMBERSHIP'!E$5:E$27=-1),'92_FEATURE_CONF_NUMERIC'!AQ$5:AQ$27)/MAX(1,COUNTIF('93_TARGET_MEMBERSHIP'!E$5:E$27,-1)))))</f>
        <v/>
      </c>
      <c r="AQ8" s="34">
        <f>IF($B8="ABSOLUTE SEMANTIC",'19_FEATURE_CONFIDENCE'!$D$45,SQRT((SUMPRODUCT(--('93_TARGET_MEMBERSHIP'!E$5:E$27=1),'92_FEATURE_CONF_NUMERIC'!AR$5:AR$27)/MAX(1,COUNTIF('93_TARGET_MEMBERSHIP'!E$5:E$27,1)))*(SUMPRODUCT(--('93_TARGET_MEMBERSHIP'!E$5:E$27=-1),'92_FEATURE_CONF_NUMERIC'!AR$5:AR$27)/MAX(1,COUNTIF('93_TARGET_MEMBERSHIP'!E$5:E$27,-1)))))</f>
        <v/>
      </c>
    </row>
    <row r="9" ht="36" customHeight="1">
      <c r="A9" s="34">
        <f>'06_ITEM_POLE_MODEL'!A9</f>
        <v/>
      </c>
      <c r="B9" s="34">
        <f>'06_ITEM_POLE_MODEL'!E9</f>
        <v/>
      </c>
      <c r="C9" s="34">
        <f>IF($B9="ABSOLUTE SEMANTIC",'19_FEATURE_CONFIDENCE'!$D$5,SQRT((SUMPRODUCT(--('93_TARGET_MEMBERSHIP'!F$5:F$27=1),'92_FEATURE_CONF_NUMERIC'!D$5:D$27)/MAX(1,COUNTIF('93_TARGET_MEMBERSHIP'!F$5:F$27,1)))*(SUMPRODUCT(--('93_TARGET_MEMBERSHIP'!F$5:F$27=-1),'92_FEATURE_CONF_NUMERIC'!D$5:D$27)/MAX(1,COUNTIF('93_TARGET_MEMBERSHIP'!F$5:F$27,-1)))))</f>
        <v/>
      </c>
      <c r="D9" s="34">
        <f>IF($B9="ABSOLUTE SEMANTIC",'19_FEATURE_CONFIDENCE'!$D$6,SQRT((SUMPRODUCT(--('93_TARGET_MEMBERSHIP'!F$5:F$27=1),'92_FEATURE_CONF_NUMERIC'!E$5:E$27)/MAX(1,COUNTIF('93_TARGET_MEMBERSHIP'!F$5:F$27,1)))*(SUMPRODUCT(--('93_TARGET_MEMBERSHIP'!F$5:F$27=-1),'92_FEATURE_CONF_NUMERIC'!E$5:E$27)/MAX(1,COUNTIF('93_TARGET_MEMBERSHIP'!F$5:F$27,-1)))))</f>
        <v/>
      </c>
      <c r="E9" s="34">
        <f>IF($B9="ABSOLUTE SEMANTIC",'19_FEATURE_CONFIDENCE'!$D$7,SQRT((SUMPRODUCT(--('93_TARGET_MEMBERSHIP'!F$5:F$27=1),'92_FEATURE_CONF_NUMERIC'!F$5:F$27)/MAX(1,COUNTIF('93_TARGET_MEMBERSHIP'!F$5:F$27,1)))*(SUMPRODUCT(--('93_TARGET_MEMBERSHIP'!F$5:F$27=-1),'92_FEATURE_CONF_NUMERIC'!F$5:F$27)/MAX(1,COUNTIF('93_TARGET_MEMBERSHIP'!F$5:F$27,-1)))))</f>
        <v/>
      </c>
      <c r="F9" s="34">
        <f>IF($B9="ABSOLUTE SEMANTIC",'19_FEATURE_CONFIDENCE'!$D$8,SQRT((SUMPRODUCT(--('93_TARGET_MEMBERSHIP'!F$5:F$27=1),'92_FEATURE_CONF_NUMERIC'!G$5:G$27)/MAX(1,COUNTIF('93_TARGET_MEMBERSHIP'!F$5:F$27,1)))*(SUMPRODUCT(--('93_TARGET_MEMBERSHIP'!F$5:F$27=-1),'92_FEATURE_CONF_NUMERIC'!G$5:G$27)/MAX(1,COUNTIF('93_TARGET_MEMBERSHIP'!F$5:F$27,-1)))))</f>
        <v/>
      </c>
      <c r="G9" s="34">
        <f>IF($B9="ABSOLUTE SEMANTIC",'19_FEATURE_CONFIDENCE'!$D$9,SQRT((SUMPRODUCT(--('93_TARGET_MEMBERSHIP'!F$5:F$27=1),'92_FEATURE_CONF_NUMERIC'!H$5:H$27)/MAX(1,COUNTIF('93_TARGET_MEMBERSHIP'!F$5:F$27,1)))*(SUMPRODUCT(--('93_TARGET_MEMBERSHIP'!F$5:F$27=-1),'92_FEATURE_CONF_NUMERIC'!H$5:H$27)/MAX(1,COUNTIF('93_TARGET_MEMBERSHIP'!F$5:F$27,-1)))))</f>
        <v/>
      </c>
      <c r="H9" s="34">
        <f>IF($B9="ABSOLUTE SEMANTIC",'19_FEATURE_CONFIDENCE'!$D$10,SQRT((SUMPRODUCT(--('93_TARGET_MEMBERSHIP'!F$5:F$27=1),'92_FEATURE_CONF_NUMERIC'!I$5:I$27)/MAX(1,COUNTIF('93_TARGET_MEMBERSHIP'!F$5:F$27,1)))*(SUMPRODUCT(--('93_TARGET_MEMBERSHIP'!F$5:F$27=-1),'92_FEATURE_CONF_NUMERIC'!I$5:I$27)/MAX(1,COUNTIF('93_TARGET_MEMBERSHIP'!F$5:F$27,-1)))))</f>
        <v/>
      </c>
      <c r="I9" s="34">
        <f>IF($B9="ABSOLUTE SEMANTIC",'19_FEATURE_CONFIDENCE'!$D$11,SQRT((SUMPRODUCT(--('93_TARGET_MEMBERSHIP'!F$5:F$27=1),'92_FEATURE_CONF_NUMERIC'!J$5:J$27)/MAX(1,COUNTIF('93_TARGET_MEMBERSHIP'!F$5:F$27,1)))*(SUMPRODUCT(--('93_TARGET_MEMBERSHIP'!F$5:F$27=-1),'92_FEATURE_CONF_NUMERIC'!J$5:J$27)/MAX(1,COUNTIF('93_TARGET_MEMBERSHIP'!F$5:F$27,-1)))))</f>
        <v/>
      </c>
      <c r="J9" s="34">
        <f>IF($B9="ABSOLUTE SEMANTIC",'19_FEATURE_CONFIDENCE'!$D$12,SQRT((SUMPRODUCT(--('93_TARGET_MEMBERSHIP'!F$5:F$27=1),'92_FEATURE_CONF_NUMERIC'!K$5:K$27)/MAX(1,COUNTIF('93_TARGET_MEMBERSHIP'!F$5:F$27,1)))*(SUMPRODUCT(--('93_TARGET_MEMBERSHIP'!F$5:F$27=-1),'92_FEATURE_CONF_NUMERIC'!K$5:K$27)/MAX(1,COUNTIF('93_TARGET_MEMBERSHIP'!F$5:F$27,-1)))))</f>
        <v/>
      </c>
      <c r="K9" s="34">
        <f>IF($B9="ABSOLUTE SEMANTIC",'19_FEATURE_CONFIDENCE'!$D$13,SQRT((SUMPRODUCT(--('93_TARGET_MEMBERSHIP'!F$5:F$27=1),'92_FEATURE_CONF_NUMERIC'!L$5:L$27)/MAX(1,COUNTIF('93_TARGET_MEMBERSHIP'!F$5:F$27,1)))*(SUMPRODUCT(--('93_TARGET_MEMBERSHIP'!F$5:F$27=-1),'92_FEATURE_CONF_NUMERIC'!L$5:L$27)/MAX(1,COUNTIF('93_TARGET_MEMBERSHIP'!F$5:F$27,-1)))))</f>
        <v/>
      </c>
      <c r="L9" s="34">
        <f>IF($B9="ABSOLUTE SEMANTIC",'19_FEATURE_CONFIDENCE'!$D$14,SQRT((SUMPRODUCT(--('93_TARGET_MEMBERSHIP'!F$5:F$27=1),'92_FEATURE_CONF_NUMERIC'!M$5:M$27)/MAX(1,COUNTIF('93_TARGET_MEMBERSHIP'!F$5:F$27,1)))*(SUMPRODUCT(--('93_TARGET_MEMBERSHIP'!F$5:F$27=-1),'92_FEATURE_CONF_NUMERIC'!M$5:M$27)/MAX(1,COUNTIF('93_TARGET_MEMBERSHIP'!F$5:F$27,-1)))))</f>
        <v/>
      </c>
      <c r="M9" s="34">
        <f>IF($B9="ABSOLUTE SEMANTIC",'19_FEATURE_CONFIDENCE'!$D$15,SQRT((SUMPRODUCT(--('93_TARGET_MEMBERSHIP'!F$5:F$27=1),'92_FEATURE_CONF_NUMERIC'!N$5:N$27)/MAX(1,COUNTIF('93_TARGET_MEMBERSHIP'!F$5:F$27,1)))*(SUMPRODUCT(--('93_TARGET_MEMBERSHIP'!F$5:F$27=-1),'92_FEATURE_CONF_NUMERIC'!N$5:N$27)/MAX(1,COUNTIF('93_TARGET_MEMBERSHIP'!F$5:F$27,-1)))))</f>
        <v/>
      </c>
      <c r="N9" s="34">
        <f>IF($B9="ABSOLUTE SEMANTIC",'19_FEATURE_CONFIDENCE'!$D$16,SQRT((SUMPRODUCT(--('93_TARGET_MEMBERSHIP'!F$5:F$27=1),'92_FEATURE_CONF_NUMERIC'!O$5:O$27)/MAX(1,COUNTIF('93_TARGET_MEMBERSHIP'!F$5:F$27,1)))*(SUMPRODUCT(--('93_TARGET_MEMBERSHIP'!F$5:F$27=-1),'92_FEATURE_CONF_NUMERIC'!O$5:O$27)/MAX(1,COUNTIF('93_TARGET_MEMBERSHIP'!F$5:F$27,-1)))))</f>
        <v/>
      </c>
      <c r="O9" s="34">
        <f>IF($B9="ABSOLUTE SEMANTIC",'19_FEATURE_CONFIDENCE'!$D$17,SQRT((SUMPRODUCT(--('93_TARGET_MEMBERSHIP'!F$5:F$27=1),'92_FEATURE_CONF_NUMERIC'!P$5:P$27)/MAX(1,COUNTIF('93_TARGET_MEMBERSHIP'!F$5:F$27,1)))*(SUMPRODUCT(--('93_TARGET_MEMBERSHIP'!F$5:F$27=-1),'92_FEATURE_CONF_NUMERIC'!P$5:P$27)/MAX(1,COUNTIF('93_TARGET_MEMBERSHIP'!F$5:F$27,-1)))))</f>
        <v/>
      </c>
      <c r="P9" s="34">
        <f>IF($B9="ABSOLUTE SEMANTIC",'19_FEATURE_CONFIDENCE'!$D$18,SQRT((SUMPRODUCT(--('93_TARGET_MEMBERSHIP'!F$5:F$27=1),'92_FEATURE_CONF_NUMERIC'!Q$5:Q$27)/MAX(1,COUNTIF('93_TARGET_MEMBERSHIP'!F$5:F$27,1)))*(SUMPRODUCT(--('93_TARGET_MEMBERSHIP'!F$5:F$27=-1),'92_FEATURE_CONF_NUMERIC'!Q$5:Q$27)/MAX(1,COUNTIF('93_TARGET_MEMBERSHIP'!F$5:F$27,-1)))))</f>
        <v/>
      </c>
      <c r="Q9" s="34">
        <f>IF($B9="ABSOLUTE SEMANTIC",'19_FEATURE_CONFIDENCE'!$D$19,SQRT((SUMPRODUCT(--('93_TARGET_MEMBERSHIP'!F$5:F$27=1),'92_FEATURE_CONF_NUMERIC'!R$5:R$27)/MAX(1,COUNTIF('93_TARGET_MEMBERSHIP'!F$5:F$27,1)))*(SUMPRODUCT(--('93_TARGET_MEMBERSHIP'!F$5:F$27=-1),'92_FEATURE_CONF_NUMERIC'!R$5:R$27)/MAX(1,COUNTIF('93_TARGET_MEMBERSHIP'!F$5:F$27,-1)))))</f>
        <v/>
      </c>
      <c r="R9" s="34">
        <f>IF($B9="ABSOLUTE SEMANTIC",'19_FEATURE_CONFIDENCE'!$D$20,SQRT((SUMPRODUCT(--('93_TARGET_MEMBERSHIP'!F$5:F$27=1),'92_FEATURE_CONF_NUMERIC'!S$5:S$27)/MAX(1,COUNTIF('93_TARGET_MEMBERSHIP'!F$5:F$27,1)))*(SUMPRODUCT(--('93_TARGET_MEMBERSHIP'!F$5:F$27=-1),'92_FEATURE_CONF_NUMERIC'!S$5:S$27)/MAX(1,COUNTIF('93_TARGET_MEMBERSHIP'!F$5:F$27,-1)))))</f>
        <v/>
      </c>
      <c r="S9" s="34">
        <f>IF($B9="ABSOLUTE SEMANTIC",'19_FEATURE_CONFIDENCE'!$D$21,SQRT((SUMPRODUCT(--('93_TARGET_MEMBERSHIP'!F$5:F$27=1),'92_FEATURE_CONF_NUMERIC'!T$5:T$27)/MAX(1,COUNTIF('93_TARGET_MEMBERSHIP'!F$5:F$27,1)))*(SUMPRODUCT(--('93_TARGET_MEMBERSHIP'!F$5:F$27=-1),'92_FEATURE_CONF_NUMERIC'!T$5:T$27)/MAX(1,COUNTIF('93_TARGET_MEMBERSHIP'!F$5:F$27,-1)))))</f>
        <v/>
      </c>
      <c r="T9" s="34">
        <f>IF($B9="ABSOLUTE SEMANTIC",'19_FEATURE_CONFIDENCE'!$D$22,SQRT((SUMPRODUCT(--('93_TARGET_MEMBERSHIP'!F$5:F$27=1),'92_FEATURE_CONF_NUMERIC'!U$5:U$27)/MAX(1,COUNTIF('93_TARGET_MEMBERSHIP'!F$5:F$27,1)))*(SUMPRODUCT(--('93_TARGET_MEMBERSHIP'!F$5:F$27=-1),'92_FEATURE_CONF_NUMERIC'!U$5:U$27)/MAX(1,COUNTIF('93_TARGET_MEMBERSHIP'!F$5:F$27,-1)))))</f>
        <v/>
      </c>
      <c r="U9" s="34">
        <f>IF($B9="ABSOLUTE SEMANTIC",'19_FEATURE_CONFIDENCE'!$D$23,SQRT((SUMPRODUCT(--('93_TARGET_MEMBERSHIP'!F$5:F$27=1),'92_FEATURE_CONF_NUMERIC'!V$5:V$27)/MAX(1,COUNTIF('93_TARGET_MEMBERSHIP'!F$5:F$27,1)))*(SUMPRODUCT(--('93_TARGET_MEMBERSHIP'!F$5:F$27=-1),'92_FEATURE_CONF_NUMERIC'!V$5:V$27)/MAX(1,COUNTIF('93_TARGET_MEMBERSHIP'!F$5:F$27,-1)))))</f>
        <v/>
      </c>
      <c r="V9" s="34">
        <f>IF($B9="ABSOLUTE SEMANTIC",'19_FEATURE_CONFIDENCE'!$D$24,SQRT((SUMPRODUCT(--('93_TARGET_MEMBERSHIP'!F$5:F$27=1),'92_FEATURE_CONF_NUMERIC'!W$5:W$27)/MAX(1,COUNTIF('93_TARGET_MEMBERSHIP'!F$5:F$27,1)))*(SUMPRODUCT(--('93_TARGET_MEMBERSHIP'!F$5:F$27=-1),'92_FEATURE_CONF_NUMERIC'!W$5:W$27)/MAX(1,COUNTIF('93_TARGET_MEMBERSHIP'!F$5:F$27,-1)))))</f>
        <v/>
      </c>
      <c r="W9" s="34">
        <f>IF($B9="ABSOLUTE SEMANTIC",'19_FEATURE_CONFIDENCE'!$D$25,SQRT((SUMPRODUCT(--('93_TARGET_MEMBERSHIP'!F$5:F$27=1),'92_FEATURE_CONF_NUMERIC'!X$5:X$27)/MAX(1,COUNTIF('93_TARGET_MEMBERSHIP'!F$5:F$27,1)))*(SUMPRODUCT(--('93_TARGET_MEMBERSHIP'!F$5:F$27=-1),'92_FEATURE_CONF_NUMERIC'!X$5:X$27)/MAX(1,COUNTIF('93_TARGET_MEMBERSHIP'!F$5:F$27,-1)))))</f>
        <v/>
      </c>
      <c r="X9" s="34">
        <f>IF($B9="ABSOLUTE SEMANTIC",'19_FEATURE_CONFIDENCE'!$D$26,SQRT((SUMPRODUCT(--('93_TARGET_MEMBERSHIP'!F$5:F$27=1),'92_FEATURE_CONF_NUMERIC'!Y$5:Y$27)/MAX(1,COUNTIF('93_TARGET_MEMBERSHIP'!F$5:F$27,1)))*(SUMPRODUCT(--('93_TARGET_MEMBERSHIP'!F$5:F$27=-1),'92_FEATURE_CONF_NUMERIC'!Y$5:Y$27)/MAX(1,COUNTIF('93_TARGET_MEMBERSHIP'!F$5:F$27,-1)))))</f>
        <v/>
      </c>
      <c r="Y9" s="34">
        <f>IF($B9="ABSOLUTE SEMANTIC",'19_FEATURE_CONFIDENCE'!$D$27,SQRT((SUMPRODUCT(--('93_TARGET_MEMBERSHIP'!F$5:F$27=1),'92_FEATURE_CONF_NUMERIC'!Z$5:Z$27)/MAX(1,COUNTIF('93_TARGET_MEMBERSHIP'!F$5:F$27,1)))*(SUMPRODUCT(--('93_TARGET_MEMBERSHIP'!F$5:F$27=-1),'92_FEATURE_CONF_NUMERIC'!Z$5:Z$27)/MAX(1,COUNTIF('93_TARGET_MEMBERSHIP'!F$5:F$27,-1)))))</f>
        <v/>
      </c>
      <c r="Z9" s="34">
        <f>IF($B9="ABSOLUTE SEMANTIC",'19_FEATURE_CONFIDENCE'!$D$28,SQRT((SUMPRODUCT(--('93_TARGET_MEMBERSHIP'!F$5:F$27=1),'92_FEATURE_CONF_NUMERIC'!AA$5:AA$27)/MAX(1,COUNTIF('93_TARGET_MEMBERSHIP'!F$5:F$27,1)))*(SUMPRODUCT(--('93_TARGET_MEMBERSHIP'!F$5:F$27=-1),'92_FEATURE_CONF_NUMERIC'!AA$5:AA$27)/MAX(1,COUNTIF('93_TARGET_MEMBERSHIP'!F$5:F$27,-1)))))</f>
        <v/>
      </c>
      <c r="AA9" s="34">
        <f>IF($B9="ABSOLUTE SEMANTIC",'19_FEATURE_CONFIDENCE'!$D$29,SQRT((SUMPRODUCT(--('93_TARGET_MEMBERSHIP'!F$5:F$27=1),'92_FEATURE_CONF_NUMERIC'!AB$5:AB$27)/MAX(1,COUNTIF('93_TARGET_MEMBERSHIP'!F$5:F$27,1)))*(SUMPRODUCT(--('93_TARGET_MEMBERSHIP'!F$5:F$27=-1),'92_FEATURE_CONF_NUMERIC'!AB$5:AB$27)/MAX(1,COUNTIF('93_TARGET_MEMBERSHIP'!F$5:F$27,-1)))))</f>
        <v/>
      </c>
      <c r="AB9" s="34">
        <f>IF($B9="ABSOLUTE SEMANTIC",'19_FEATURE_CONFIDENCE'!$D$30,SQRT((SUMPRODUCT(--('93_TARGET_MEMBERSHIP'!F$5:F$27=1),'92_FEATURE_CONF_NUMERIC'!AC$5:AC$27)/MAX(1,COUNTIF('93_TARGET_MEMBERSHIP'!F$5:F$27,1)))*(SUMPRODUCT(--('93_TARGET_MEMBERSHIP'!F$5:F$27=-1),'92_FEATURE_CONF_NUMERIC'!AC$5:AC$27)/MAX(1,COUNTIF('93_TARGET_MEMBERSHIP'!F$5:F$27,-1)))))</f>
        <v/>
      </c>
      <c r="AC9" s="34">
        <f>IF($B9="ABSOLUTE SEMANTIC",'19_FEATURE_CONFIDENCE'!$D$31,SQRT((SUMPRODUCT(--('93_TARGET_MEMBERSHIP'!F$5:F$27=1),'92_FEATURE_CONF_NUMERIC'!AD$5:AD$27)/MAX(1,COUNTIF('93_TARGET_MEMBERSHIP'!F$5:F$27,1)))*(SUMPRODUCT(--('93_TARGET_MEMBERSHIP'!F$5:F$27=-1),'92_FEATURE_CONF_NUMERIC'!AD$5:AD$27)/MAX(1,COUNTIF('93_TARGET_MEMBERSHIP'!F$5:F$27,-1)))))</f>
        <v/>
      </c>
      <c r="AD9" s="34">
        <f>IF($B9="ABSOLUTE SEMANTIC",'19_FEATURE_CONFIDENCE'!$D$32,SQRT((SUMPRODUCT(--('93_TARGET_MEMBERSHIP'!F$5:F$27=1),'92_FEATURE_CONF_NUMERIC'!AE$5:AE$27)/MAX(1,COUNTIF('93_TARGET_MEMBERSHIP'!F$5:F$27,1)))*(SUMPRODUCT(--('93_TARGET_MEMBERSHIP'!F$5:F$27=-1),'92_FEATURE_CONF_NUMERIC'!AE$5:AE$27)/MAX(1,COUNTIF('93_TARGET_MEMBERSHIP'!F$5:F$27,-1)))))</f>
        <v/>
      </c>
      <c r="AE9" s="34">
        <f>IF($B9="ABSOLUTE SEMANTIC",'19_FEATURE_CONFIDENCE'!$D$33,SQRT((SUMPRODUCT(--('93_TARGET_MEMBERSHIP'!F$5:F$27=1),'92_FEATURE_CONF_NUMERIC'!AF$5:AF$27)/MAX(1,COUNTIF('93_TARGET_MEMBERSHIP'!F$5:F$27,1)))*(SUMPRODUCT(--('93_TARGET_MEMBERSHIP'!F$5:F$27=-1),'92_FEATURE_CONF_NUMERIC'!AF$5:AF$27)/MAX(1,COUNTIF('93_TARGET_MEMBERSHIP'!F$5:F$27,-1)))))</f>
        <v/>
      </c>
      <c r="AF9" s="34">
        <f>IF($B9="ABSOLUTE SEMANTIC",'19_FEATURE_CONFIDENCE'!$D$34,SQRT((SUMPRODUCT(--('93_TARGET_MEMBERSHIP'!F$5:F$27=1),'92_FEATURE_CONF_NUMERIC'!AG$5:AG$27)/MAX(1,COUNTIF('93_TARGET_MEMBERSHIP'!F$5:F$27,1)))*(SUMPRODUCT(--('93_TARGET_MEMBERSHIP'!F$5:F$27=-1),'92_FEATURE_CONF_NUMERIC'!AG$5:AG$27)/MAX(1,COUNTIF('93_TARGET_MEMBERSHIP'!F$5:F$27,-1)))))</f>
        <v/>
      </c>
      <c r="AG9" s="34">
        <f>IF($B9="ABSOLUTE SEMANTIC",'19_FEATURE_CONFIDENCE'!$D$35,SQRT((SUMPRODUCT(--('93_TARGET_MEMBERSHIP'!F$5:F$27=1),'92_FEATURE_CONF_NUMERIC'!AH$5:AH$27)/MAX(1,COUNTIF('93_TARGET_MEMBERSHIP'!F$5:F$27,1)))*(SUMPRODUCT(--('93_TARGET_MEMBERSHIP'!F$5:F$27=-1),'92_FEATURE_CONF_NUMERIC'!AH$5:AH$27)/MAX(1,COUNTIF('93_TARGET_MEMBERSHIP'!F$5:F$27,-1)))))</f>
        <v/>
      </c>
      <c r="AH9" s="34">
        <f>IF($B9="ABSOLUTE SEMANTIC",'19_FEATURE_CONFIDENCE'!$D$36,SQRT((SUMPRODUCT(--('93_TARGET_MEMBERSHIP'!F$5:F$27=1),'92_FEATURE_CONF_NUMERIC'!AI$5:AI$27)/MAX(1,COUNTIF('93_TARGET_MEMBERSHIP'!F$5:F$27,1)))*(SUMPRODUCT(--('93_TARGET_MEMBERSHIP'!F$5:F$27=-1),'92_FEATURE_CONF_NUMERIC'!AI$5:AI$27)/MAX(1,COUNTIF('93_TARGET_MEMBERSHIP'!F$5:F$27,-1)))))</f>
        <v/>
      </c>
      <c r="AI9" s="34">
        <f>IF($B9="ABSOLUTE SEMANTIC",'19_FEATURE_CONFIDENCE'!$D$37,SQRT((SUMPRODUCT(--('93_TARGET_MEMBERSHIP'!F$5:F$27=1),'92_FEATURE_CONF_NUMERIC'!AJ$5:AJ$27)/MAX(1,COUNTIF('93_TARGET_MEMBERSHIP'!F$5:F$27,1)))*(SUMPRODUCT(--('93_TARGET_MEMBERSHIP'!F$5:F$27=-1),'92_FEATURE_CONF_NUMERIC'!AJ$5:AJ$27)/MAX(1,COUNTIF('93_TARGET_MEMBERSHIP'!F$5:F$27,-1)))))</f>
        <v/>
      </c>
      <c r="AJ9" s="34">
        <f>IF($B9="ABSOLUTE SEMANTIC",'19_FEATURE_CONFIDENCE'!$D$38,SQRT((SUMPRODUCT(--('93_TARGET_MEMBERSHIP'!F$5:F$27=1),'92_FEATURE_CONF_NUMERIC'!AK$5:AK$27)/MAX(1,COUNTIF('93_TARGET_MEMBERSHIP'!F$5:F$27,1)))*(SUMPRODUCT(--('93_TARGET_MEMBERSHIP'!F$5:F$27=-1),'92_FEATURE_CONF_NUMERIC'!AK$5:AK$27)/MAX(1,COUNTIF('93_TARGET_MEMBERSHIP'!F$5:F$27,-1)))))</f>
        <v/>
      </c>
      <c r="AK9" s="34">
        <f>IF($B9="ABSOLUTE SEMANTIC",'19_FEATURE_CONFIDENCE'!$D$39,SQRT((SUMPRODUCT(--('93_TARGET_MEMBERSHIP'!F$5:F$27=1),'92_FEATURE_CONF_NUMERIC'!AL$5:AL$27)/MAX(1,COUNTIF('93_TARGET_MEMBERSHIP'!F$5:F$27,1)))*(SUMPRODUCT(--('93_TARGET_MEMBERSHIP'!F$5:F$27=-1),'92_FEATURE_CONF_NUMERIC'!AL$5:AL$27)/MAX(1,COUNTIF('93_TARGET_MEMBERSHIP'!F$5:F$27,-1)))))</f>
        <v/>
      </c>
      <c r="AL9" s="34">
        <f>IF($B9="ABSOLUTE SEMANTIC",'19_FEATURE_CONFIDENCE'!$D$40,SQRT((SUMPRODUCT(--('93_TARGET_MEMBERSHIP'!F$5:F$27=1),'92_FEATURE_CONF_NUMERIC'!AM$5:AM$27)/MAX(1,COUNTIF('93_TARGET_MEMBERSHIP'!F$5:F$27,1)))*(SUMPRODUCT(--('93_TARGET_MEMBERSHIP'!F$5:F$27=-1),'92_FEATURE_CONF_NUMERIC'!AM$5:AM$27)/MAX(1,COUNTIF('93_TARGET_MEMBERSHIP'!F$5:F$27,-1)))))</f>
        <v/>
      </c>
      <c r="AM9" s="34">
        <f>IF($B9="ABSOLUTE SEMANTIC",'19_FEATURE_CONFIDENCE'!$D$41,SQRT((SUMPRODUCT(--('93_TARGET_MEMBERSHIP'!F$5:F$27=1),'92_FEATURE_CONF_NUMERIC'!AN$5:AN$27)/MAX(1,COUNTIF('93_TARGET_MEMBERSHIP'!F$5:F$27,1)))*(SUMPRODUCT(--('93_TARGET_MEMBERSHIP'!F$5:F$27=-1),'92_FEATURE_CONF_NUMERIC'!AN$5:AN$27)/MAX(1,COUNTIF('93_TARGET_MEMBERSHIP'!F$5:F$27,-1)))))</f>
        <v/>
      </c>
      <c r="AN9" s="34">
        <f>IF($B9="ABSOLUTE SEMANTIC",'19_FEATURE_CONFIDENCE'!$D$42,SQRT((SUMPRODUCT(--('93_TARGET_MEMBERSHIP'!F$5:F$27=1),'92_FEATURE_CONF_NUMERIC'!AO$5:AO$27)/MAX(1,COUNTIF('93_TARGET_MEMBERSHIP'!F$5:F$27,1)))*(SUMPRODUCT(--('93_TARGET_MEMBERSHIP'!F$5:F$27=-1),'92_FEATURE_CONF_NUMERIC'!AO$5:AO$27)/MAX(1,COUNTIF('93_TARGET_MEMBERSHIP'!F$5:F$27,-1)))))</f>
        <v/>
      </c>
      <c r="AO9" s="34">
        <f>IF($B9="ABSOLUTE SEMANTIC",'19_FEATURE_CONFIDENCE'!$D$43,SQRT((SUMPRODUCT(--('93_TARGET_MEMBERSHIP'!F$5:F$27=1),'92_FEATURE_CONF_NUMERIC'!AP$5:AP$27)/MAX(1,COUNTIF('93_TARGET_MEMBERSHIP'!F$5:F$27,1)))*(SUMPRODUCT(--('93_TARGET_MEMBERSHIP'!F$5:F$27=-1),'92_FEATURE_CONF_NUMERIC'!AP$5:AP$27)/MAX(1,COUNTIF('93_TARGET_MEMBERSHIP'!F$5:F$27,-1)))))</f>
        <v/>
      </c>
      <c r="AP9" s="34">
        <f>IF($B9="ABSOLUTE SEMANTIC",'19_FEATURE_CONFIDENCE'!$D$44,SQRT((SUMPRODUCT(--('93_TARGET_MEMBERSHIP'!F$5:F$27=1),'92_FEATURE_CONF_NUMERIC'!AQ$5:AQ$27)/MAX(1,COUNTIF('93_TARGET_MEMBERSHIP'!F$5:F$27,1)))*(SUMPRODUCT(--('93_TARGET_MEMBERSHIP'!F$5:F$27=-1),'92_FEATURE_CONF_NUMERIC'!AQ$5:AQ$27)/MAX(1,COUNTIF('93_TARGET_MEMBERSHIP'!F$5:F$27,-1)))))</f>
        <v/>
      </c>
      <c r="AQ9" s="34">
        <f>IF($B9="ABSOLUTE SEMANTIC",'19_FEATURE_CONFIDENCE'!$D$45,SQRT((SUMPRODUCT(--('93_TARGET_MEMBERSHIP'!F$5:F$27=1),'92_FEATURE_CONF_NUMERIC'!AR$5:AR$27)/MAX(1,COUNTIF('93_TARGET_MEMBERSHIP'!F$5:F$27,1)))*(SUMPRODUCT(--('93_TARGET_MEMBERSHIP'!F$5:F$27=-1),'92_FEATURE_CONF_NUMERIC'!AR$5:AR$27)/MAX(1,COUNTIF('93_TARGET_MEMBERSHIP'!F$5:F$27,-1)))))</f>
        <v/>
      </c>
    </row>
    <row r="10" ht="36" customHeight="1">
      <c r="A10" s="34">
        <f>'06_ITEM_POLE_MODEL'!A10</f>
        <v/>
      </c>
      <c r="B10" s="34">
        <f>'06_ITEM_POLE_MODEL'!E10</f>
        <v/>
      </c>
      <c r="C10" s="34">
        <f>IF($B10="ABSOLUTE SEMANTIC",'19_FEATURE_CONFIDENCE'!$D$5,SQRT((SUMPRODUCT(--('93_TARGET_MEMBERSHIP'!G$5:G$27=1),'92_FEATURE_CONF_NUMERIC'!D$5:D$27)/MAX(1,COUNTIF('93_TARGET_MEMBERSHIP'!G$5:G$27,1)))*(SUMPRODUCT(--('93_TARGET_MEMBERSHIP'!G$5:G$27=-1),'92_FEATURE_CONF_NUMERIC'!D$5:D$27)/MAX(1,COUNTIF('93_TARGET_MEMBERSHIP'!G$5:G$27,-1)))))</f>
        <v/>
      </c>
      <c r="D10" s="34">
        <f>IF($B10="ABSOLUTE SEMANTIC",'19_FEATURE_CONFIDENCE'!$D$6,SQRT((SUMPRODUCT(--('93_TARGET_MEMBERSHIP'!G$5:G$27=1),'92_FEATURE_CONF_NUMERIC'!E$5:E$27)/MAX(1,COUNTIF('93_TARGET_MEMBERSHIP'!G$5:G$27,1)))*(SUMPRODUCT(--('93_TARGET_MEMBERSHIP'!G$5:G$27=-1),'92_FEATURE_CONF_NUMERIC'!E$5:E$27)/MAX(1,COUNTIF('93_TARGET_MEMBERSHIP'!G$5:G$27,-1)))))</f>
        <v/>
      </c>
      <c r="E10" s="34">
        <f>IF($B10="ABSOLUTE SEMANTIC",'19_FEATURE_CONFIDENCE'!$D$7,SQRT((SUMPRODUCT(--('93_TARGET_MEMBERSHIP'!G$5:G$27=1),'92_FEATURE_CONF_NUMERIC'!F$5:F$27)/MAX(1,COUNTIF('93_TARGET_MEMBERSHIP'!G$5:G$27,1)))*(SUMPRODUCT(--('93_TARGET_MEMBERSHIP'!G$5:G$27=-1),'92_FEATURE_CONF_NUMERIC'!F$5:F$27)/MAX(1,COUNTIF('93_TARGET_MEMBERSHIP'!G$5:G$27,-1)))))</f>
        <v/>
      </c>
      <c r="F10" s="34">
        <f>IF($B10="ABSOLUTE SEMANTIC",'19_FEATURE_CONFIDENCE'!$D$8,SQRT((SUMPRODUCT(--('93_TARGET_MEMBERSHIP'!G$5:G$27=1),'92_FEATURE_CONF_NUMERIC'!G$5:G$27)/MAX(1,COUNTIF('93_TARGET_MEMBERSHIP'!G$5:G$27,1)))*(SUMPRODUCT(--('93_TARGET_MEMBERSHIP'!G$5:G$27=-1),'92_FEATURE_CONF_NUMERIC'!G$5:G$27)/MAX(1,COUNTIF('93_TARGET_MEMBERSHIP'!G$5:G$27,-1)))))</f>
        <v/>
      </c>
      <c r="G10" s="34">
        <f>IF($B10="ABSOLUTE SEMANTIC",'19_FEATURE_CONFIDENCE'!$D$9,SQRT((SUMPRODUCT(--('93_TARGET_MEMBERSHIP'!G$5:G$27=1),'92_FEATURE_CONF_NUMERIC'!H$5:H$27)/MAX(1,COUNTIF('93_TARGET_MEMBERSHIP'!G$5:G$27,1)))*(SUMPRODUCT(--('93_TARGET_MEMBERSHIP'!G$5:G$27=-1),'92_FEATURE_CONF_NUMERIC'!H$5:H$27)/MAX(1,COUNTIF('93_TARGET_MEMBERSHIP'!G$5:G$27,-1)))))</f>
        <v/>
      </c>
      <c r="H10" s="34">
        <f>IF($B10="ABSOLUTE SEMANTIC",'19_FEATURE_CONFIDENCE'!$D$10,SQRT((SUMPRODUCT(--('93_TARGET_MEMBERSHIP'!G$5:G$27=1),'92_FEATURE_CONF_NUMERIC'!I$5:I$27)/MAX(1,COUNTIF('93_TARGET_MEMBERSHIP'!G$5:G$27,1)))*(SUMPRODUCT(--('93_TARGET_MEMBERSHIP'!G$5:G$27=-1),'92_FEATURE_CONF_NUMERIC'!I$5:I$27)/MAX(1,COUNTIF('93_TARGET_MEMBERSHIP'!G$5:G$27,-1)))))</f>
        <v/>
      </c>
      <c r="I10" s="34">
        <f>IF($B10="ABSOLUTE SEMANTIC",'19_FEATURE_CONFIDENCE'!$D$11,SQRT((SUMPRODUCT(--('93_TARGET_MEMBERSHIP'!G$5:G$27=1),'92_FEATURE_CONF_NUMERIC'!J$5:J$27)/MAX(1,COUNTIF('93_TARGET_MEMBERSHIP'!G$5:G$27,1)))*(SUMPRODUCT(--('93_TARGET_MEMBERSHIP'!G$5:G$27=-1),'92_FEATURE_CONF_NUMERIC'!J$5:J$27)/MAX(1,COUNTIF('93_TARGET_MEMBERSHIP'!G$5:G$27,-1)))))</f>
        <v/>
      </c>
      <c r="J10" s="34">
        <f>IF($B10="ABSOLUTE SEMANTIC",'19_FEATURE_CONFIDENCE'!$D$12,SQRT((SUMPRODUCT(--('93_TARGET_MEMBERSHIP'!G$5:G$27=1),'92_FEATURE_CONF_NUMERIC'!K$5:K$27)/MAX(1,COUNTIF('93_TARGET_MEMBERSHIP'!G$5:G$27,1)))*(SUMPRODUCT(--('93_TARGET_MEMBERSHIP'!G$5:G$27=-1),'92_FEATURE_CONF_NUMERIC'!K$5:K$27)/MAX(1,COUNTIF('93_TARGET_MEMBERSHIP'!G$5:G$27,-1)))))</f>
        <v/>
      </c>
      <c r="K10" s="34">
        <f>IF($B10="ABSOLUTE SEMANTIC",'19_FEATURE_CONFIDENCE'!$D$13,SQRT((SUMPRODUCT(--('93_TARGET_MEMBERSHIP'!G$5:G$27=1),'92_FEATURE_CONF_NUMERIC'!L$5:L$27)/MAX(1,COUNTIF('93_TARGET_MEMBERSHIP'!G$5:G$27,1)))*(SUMPRODUCT(--('93_TARGET_MEMBERSHIP'!G$5:G$27=-1),'92_FEATURE_CONF_NUMERIC'!L$5:L$27)/MAX(1,COUNTIF('93_TARGET_MEMBERSHIP'!G$5:G$27,-1)))))</f>
        <v/>
      </c>
      <c r="L10" s="34">
        <f>IF($B10="ABSOLUTE SEMANTIC",'19_FEATURE_CONFIDENCE'!$D$14,SQRT((SUMPRODUCT(--('93_TARGET_MEMBERSHIP'!G$5:G$27=1),'92_FEATURE_CONF_NUMERIC'!M$5:M$27)/MAX(1,COUNTIF('93_TARGET_MEMBERSHIP'!G$5:G$27,1)))*(SUMPRODUCT(--('93_TARGET_MEMBERSHIP'!G$5:G$27=-1),'92_FEATURE_CONF_NUMERIC'!M$5:M$27)/MAX(1,COUNTIF('93_TARGET_MEMBERSHIP'!G$5:G$27,-1)))))</f>
        <v/>
      </c>
      <c r="M10" s="34">
        <f>IF($B10="ABSOLUTE SEMANTIC",'19_FEATURE_CONFIDENCE'!$D$15,SQRT((SUMPRODUCT(--('93_TARGET_MEMBERSHIP'!G$5:G$27=1),'92_FEATURE_CONF_NUMERIC'!N$5:N$27)/MAX(1,COUNTIF('93_TARGET_MEMBERSHIP'!G$5:G$27,1)))*(SUMPRODUCT(--('93_TARGET_MEMBERSHIP'!G$5:G$27=-1),'92_FEATURE_CONF_NUMERIC'!N$5:N$27)/MAX(1,COUNTIF('93_TARGET_MEMBERSHIP'!G$5:G$27,-1)))))</f>
        <v/>
      </c>
      <c r="N10" s="34">
        <f>IF($B10="ABSOLUTE SEMANTIC",'19_FEATURE_CONFIDENCE'!$D$16,SQRT((SUMPRODUCT(--('93_TARGET_MEMBERSHIP'!G$5:G$27=1),'92_FEATURE_CONF_NUMERIC'!O$5:O$27)/MAX(1,COUNTIF('93_TARGET_MEMBERSHIP'!G$5:G$27,1)))*(SUMPRODUCT(--('93_TARGET_MEMBERSHIP'!G$5:G$27=-1),'92_FEATURE_CONF_NUMERIC'!O$5:O$27)/MAX(1,COUNTIF('93_TARGET_MEMBERSHIP'!G$5:G$27,-1)))))</f>
        <v/>
      </c>
      <c r="O10" s="34">
        <f>IF($B10="ABSOLUTE SEMANTIC",'19_FEATURE_CONFIDENCE'!$D$17,SQRT((SUMPRODUCT(--('93_TARGET_MEMBERSHIP'!G$5:G$27=1),'92_FEATURE_CONF_NUMERIC'!P$5:P$27)/MAX(1,COUNTIF('93_TARGET_MEMBERSHIP'!G$5:G$27,1)))*(SUMPRODUCT(--('93_TARGET_MEMBERSHIP'!G$5:G$27=-1),'92_FEATURE_CONF_NUMERIC'!P$5:P$27)/MAX(1,COUNTIF('93_TARGET_MEMBERSHIP'!G$5:G$27,-1)))))</f>
        <v/>
      </c>
      <c r="P10" s="34">
        <f>IF($B10="ABSOLUTE SEMANTIC",'19_FEATURE_CONFIDENCE'!$D$18,SQRT((SUMPRODUCT(--('93_TARGET_MEMBERSHIP'!G$5:G$27=1),'92_FEATURE_CONF_NUMERIC'!Q$5:Q$27)/MAX(1,COUNTIF('93_TARGET_MEMBERSHIP'!G$5:G$27,1)))*(SUMPRODUCT(--('93_TARGET_MEMBERSHIP'!G$5:G$27=-1),'92_FEATURE_CONF_NUMERIC'!Q$5:Q$27)/MAX(1,COUNTIF('93_TARGET_MEMBERSHIP'!G$5:G$27,-1)))))</f>
        <v/>
      </c>
      <c r="Q10" s="34">
        <f>IF($B10="ABSOLUTE SEMANTIC",'19_FEATURE_CONFIDENCE'!$D$19,SQRT((SUMPRODUCT(--('93_TARGET_MEMBERSHIP'!G$5:G$27=1),'92_FEATURE_CONF_NUMERIC'!R$5:R$27)/MAX(1,COUNTIF('93_TARGET_MEMBERSHIP'!G$5:G$27,1)))*(SUMPRODUCT(--('93_TARGET_MEMBERSHIP'!G$5:G$27=-1),'92_FEATURE_CONF_NUMERIC'!R$5:R$27)/MAX(1,COUNTIF('93_TARGET_MEMBERSHIP'!G$5:G$27,-1)))))</f>
        <v/>
      </c>
      <c r="R10" s="34">
        <f>IF($B10="ABSOLUTE SEMANTIC",'19_FEATURE_CONFIDENCE'!$D$20,SQRT((SUMPRODUCT(--('93_TARGET_MEMBERSHIP'!G$5:G$27=1),'92_FEATURE_CONF_NUMERIC'!S$5:S$27)/MAX(1,COUNTIF('93_TARGET_MEMBERSHIP'!G$5:G$27,1)))*(SUMPRODUCT(--('93_TARGET_MEMBERSHIP'!G$5:G$27=-1),'92_FEATURE_CONF_NUMERIC'!S$5:S$27)/MAX(1,COUNTIF('93_TARGET_MEMBERSHIP'!G$5:G$27,-1)))))</f>
        <v/>
      </c>
      <c r="S10" s="34">
        <f>IF($B10="ABSOLUTE SEMANTIC",'19_FEATURE_CONFIDENCE'!$D$21,SQRT((SUMPRODUCT(--('93_TARGET_MEMBERSHIP'!G$5:G$27=1),'92_FEATURE_CONF_NUMERIC'!T$5:T$27)/MAX(1,COUNTIF('93_TARGET_MEMBERSHIP'!G$5:G$27,1)))*(SUMPRODUCT(--('93_TARGET_MEMBERSHIP'!G$5:G$27=-1),'92_FEATURE_CONF_NUMERIC'!T$5:T$27)/MAX(1,COUNTIF('93_TARGET_MEMBERSHIP'!G$5:G$27,-1)))))</f>
        <v/>
      </c>
      <c r="T10" s="34">
        <f>IF($B10="ABSOLUTE SEMANTIC",'19_FEATURE_CONFIDENCE'!$D$22,SQRT((SUMPRODUCT(--('93_TARGET_MEMBERSHIP'!G$5:G$27=1),'92_FEATURE_CONF_NUMERIC'!U$5:U$27)/MAX(1,COUNTIF('93_TARGET_MEMBERSHIP'!G$5:G$27,1)))*(SUMPRODUCT(--('93_TARGET_MEMBERSHIP'!G$5:G$27=-1),'92_FEATURE_CONF_NUMERIC'!U$5:U$27)/MAX(1,COUNTIF('93_TARGET_MEMBERSHIP'!G$5:G$27,-1)))))</f>
        <v/>
      </c>
      <c r="U10" s="34">
        <f>IF($B10="ABSOLUTE SEMANTIC",'19_FEATURE_CONFIDENCE'!$D$23,SQRT((SUMPRODUCT(--('93_TARGET_MEMBERSHIP'!G$5:G$27=1),'92_FEATURE_CONF_NUMERIC'!V$5:V$27)/MAX(1,COUNTIF('93_TARGET_MEMBERSHIP'!G$5:G$27,1)))*(SUMPRODUCT(--('93_TARGET_MEMBERSHIP'!G$5:G$27=-1),'92_FEATURE_CONF_NUMERIC'!V$5:V$27)/MAX(1,COUNTIF('93_TARGET_MEMBERSHIP'!G$5:G$27,-1)))))</f>
        <v/>
      </c>
      <c r="V10" s="34">
        <f>IF($B10="ABSOLUTE SEMANTIC",'19_FEATURE_CONFIDENCE'!$D$24,SQRT((SUMPRODUCT(--('93_TARGET_MEMBERSHIP'!G$5:G$27=1),'92_FEATURE_CONF_NUMERIC'!W$5:W$27)/MAX(1,COUNTIF('93_TARGET_MEMBERSHIP'!G$5:G$27,1)))*(SUMPRODUCT(--('93_TARGET_MEMBERSHIP'!G$5:G$27=-1),'92_FEATURE_CONF_NUMERIC'!W$5:W$27)/MAX(1,COUNTIF('93_TARGET_MEMBERSHIP'!G$5:G$27,-1)))))</f>
        <v/>
      </c>
      <c r="W10" s="34">
        <f>IF($B10="ABSOLUTE SEMANTIC",'19_FEATURE_CONFIDENCE'!$D$25,SQRT((SUMPRODUCT(--('93_TARGET_MEMBERSHIP'!G$5:G$27=1),'92_FEATURE_CONF_NUMERIC'!X$5:X$27)/MAX(1,COUNTIF('93_TARGET_MEMBERSHIP'!G$5:G$27,1)))*(SUMPRODUCT(--('93_TARGET_MEMBERSHIP'!G$5:G$27=-1),'92_FEATURE_CONF_NUMERIC'!X$5:X$27)/MAX(1,COUNTIF('93_TARGET_MEMBERSHIP'!G$5:G$27,-1)))))</f>
        <v/>
      </c>
      <c r="X10" s="34">
        <f>IF($B10="ABSOLUTE SEMANTIC",'19_FEATURE_CONFIDENCE'!$D$26,SQRT((SUMPRODUCT(--('93_TARGET_MEMBERSHIP'!G$5:G$27=1),'92_FEATURE_CONF_NUMERIC'!Y$5:Y$27)/MAX(1,COUNTIF('93_TARGET_MEMBERSHIP'!G$5:G$27,1)))*(SUMPRODUCT(--('93_TARGET_MEMBERSHIP'!G$5:G$27=-1),'92_FEATURE_CONF_NUMERIC'!Y$5:Y$27)/MAX(1,COUNTIF('93_TARGET_MEMBERSHIP'!G$5:G$27,-1)))))</f>
        <v/>
      </c>
      <c r="Y10" s="34">
        <f>IF($B10="ABSOLUTE SEMANTIC",'19_FEATURE_CONFIDENCE'!$D$27,SQRT((SUMPRODUCT(--('93_TARGET_MEMBERSHIP'!G$5:G$27=1),'92_FEATURE_CONF_NUMERIC'!Z$5:Z$27)/MAX(1,COUNTIF('93_TARGET_MEMBERSHIP'!G$5:G$27,1)))*(SUMPRODUCT(--('93_TARGET_MEMBERSHIP'!G$5:G$27=-1),'92_FEATURE_CONF_NUMERIC'!Z$5:Z$27)/MAX(1,COUNTIF('93_TARGET_MEMBERSHIP'!G$5:G$27,-1)))))</f>
        <v/>
      </c>
      <c r="Z10" s="34">
        <f>IF($B10="ABSOLUTE SEMANTIC",'19_FEATURE_CONFIDENCE'!$D$28,SQRT((SUMPRODUCT(--('93_TARGET_MEMBERSHIP'!G$5:G$27=1),'92_FEATURE_CONF_NUMERIC'!AA$5:AA$27)/MAX(1,COUNTIF('93_TARGET_MEMBERSHIP'!G$5:G$27,1)))*(SUMPRODUCT(--('93_TARGET_MEMBERSHIP'!G$5:G$27=-1),'92_FEATURE_CONF_NUMERIC'!AA$5:AA$27)/MAX(1,COUNTIF('93_TARGET_MEMBERSHIP'!G$5:G$27,-1)))))</f>
        <v/>
      </c>
      <c r="AA10" s="34">
        <f>IF($B10="ABSOLUTE SEMANTIC",'19_FEATURE_CONFIDENCE'!$D$29,SQRT((SUMPRODUCT(--('93_TARGET_MEMBERSHIP'!G$5:G$27=1),'92_FEATURE_CONF_NUMERIC'!AB$5:AB$27)/MAX(1,COUNTIF('93_TARGET_MEMBERSHIP'!G$5:G$27,1)))*(SUMPRODUCT(--('93_TARGET_MEMBERSHIP'!G$5:G$27=-1),'92_FEATURE_CONF_NUMERIC'!AB$5:AB$27)/MAX(1,COUNTIF('93_TARGET_MEMBERSHIP'!G$5:G$27,-1)))))</f>
        <v/>
      </c>
      <c r="AB10" s="34">
        <f>IF($B10="ABSOLUTE SEMANTIC",'19_FEATURE_CONFIDENCE'!$D$30,SQRT((SUMPRODUCT(--('93_TARGET_MEMBERSHIP'!G$5:G$27=1),'92_FEATURE_CONF_NUMERIC'!AC$5:AC$27)/MAX(1,COUNTIF('93_TARGET_MEMBERSHIP'!G$5:G$27,1)))*(SUMPRODUCT(--('93_TARGET_MEMBERSHIP'!G$5:G$27=-1),'92_FEATURE_CONF_NUMERIC'!AC$5:AC$27)/MAX(1,COUNTIF('93_TARGET_MEMBERSHIP'!G$5:G$27,-1)))))</f>
        <v/>
      </c>
      <c r="AC10" s="34">
        <f>IF($B10="ABSOLUTE SEMANTIC",'19_FEATURE_CONFIDENCE'!$D$31,SQRT((SUMPRODUCT(--('93_TARGET_MEMBERSHIP'!G$5:G$27=1),'92_FEATURE_CONF_NUMERIC'!AD$5:AD$27)/MAX(1,COUNTIF('93_TARGET_MEMBERSHIP'!G$5:G$27,1)))*(SUMPRODUCT(--('93_TARGET_MEMBERSHIP'!G$5:G$27=-1),'92_FEATURE_CONF_NUMERIC'!AD$5:AD$27)/MAX(1,COUNTIF('93_TARGET_MEMBERSHIP'!G$5:G$27,-1)))))</f>
        <v/>
      </c>
      <c r="AD10" s="34">
        <f>IF($B10="ABSOLUTE SEMANTIC",'19_FEATURE_CONFIDENCE'!$D$32,SQRT((SUMPRODUCT(--('93_TARGET_MEMBERSHIP'!G$5:G$27=1),'92_FEATURE_CONF_NUMERIC'!AE$5:AE$27)/MAX(1,COUNTIF('93_TARGET_MEMBERSHIP'!G$5:G$27,1)))*(SUMPRODUCT(--('93_TARGET_MEMBERSHIP'!G$5:G$27=-1),'92_FEATURE_CONF_NUMERIC'!AE$5:AE$27)/MAX(1,COUNTIF('93_TARGET_MEMBERSHIP'!G$5:G$27,-1)))))</f>
        <v/>
      </c>
      <c r="AE10" s="34">
        <f>IF($B10="ABSOLUTE SEMANTIC",'19_FEATURE_CONFIDENCE'!$D$33,SQRT((SUMPRODUCT(--('93_TARGET_MEMBERSHIP'!G$5:G$27=1),'92_FEATURE_CONF_NUMERIC'!AF$5:AF$27)/MAX(1,COUNTIF('93_TARGET_MEMBERSHIP'!G$5:G$27,1)))*(SUMPRODUCT(--('93_TARGET_MEMBERSHIP'!G$5:G$27=-1),'92_FEATURE_CONF_NUMERIC'!AF$5:AF$27)/MAX(1,COUNTIF('93_TARGET_MEMBERSHIP'!G$5:G$27,-1)))))</f>
        <v/>
      </c>
      <c r="AF10" s="34">
        <f>IF($B10="ABSOLUTE SEMANTIC",'19_FEATURE_CONFIDENCE'!$D$34,SQRT((SUMPRODUCT(--('93_TARGET_MEMBERSHIP'!G$5:G$27=1),'92_FEATURE_CONF_NUMERIC'!AG$5:AG$27)/MAX(1,COUNTIF('93_TARGET_MEMBERSHIP'!G$5:G$27,1)))*(SUMPRODUCT(--('93_TARGET_MEMBERSHIP'!G$5:G$27=-1),'92_FEATURE_CONF_NUMERIC'!AG$5:AG$27)/MAX(1,COUNTIF('93_TARGET_MEMBERSHIP'!G$5:G$27,-1)))))</f>
        <v/>
      </c>
      <c r="AG10" s="34">
        <f>IF($B10="ABSOLUTE SEMANTIC",'19_FEATURE_CONFIDENCE'!$D$35,SQRT((SUMPRODUCT(--('93_TARGET_MEMBERSHIP'!G$5:G$27=1),'92_FEATURE_CONF_NUMERIC'!AH$5:AH$27)/MAX(1,COUNTIF('93_TARGET_MEMBERSHIP'!G$5:G$27,1)))*(SUMPRODUCT(--('93_TARGET_MEMBERSHIP'!G$5:G$27=-1),'92_FEATURE_CONF_NUMERIC'!AH$5:AH$27)/MAX(1,COUNTIF('93_TARGET_MEMBERSHIP'!G$5:G$27,-1)))))</f>
        <v/>
      </c>
      <c r="AH10" s="34">
        <f>IF($B10="ABSOLUTE SEMANTIC",'19_FEATURE_CONFIDENCE'!$D$36,SQRT((SUMPRODUCT(--('93_TARGET_MEMBERSHIP'!G$5:G$27=1),'92_FEATURE_CONF_NUMERIC'!AI$5:AI$27)/MAX(1,COUNTIF('93_TARGET_MEMBERSHIP'!G$5:G$27,1)))*(SUMPRODUCT(--('93_TARGET_MEMBERSHIP'!G$5:G$27=-1),'92_FEATURE_CONF_NUMERIC'!AI$5:AI$27)/MAX(1,COUNTIF('93_TARGET_MEMBERSHIP'!G$5:G$27,-1)))))</f>
        <v/>
      </c>
      <c r="AI10" s="34">
        <f>IF($B10="ABSOLUTE SEMANTIC",'19_FEATURE_CONFIDENCE'!$D$37,SQRT((SUMPRODUCT(--('93_TARGET_MEMBERSHIP'!G$5:G$27=1),'92_FEATURE_CONF_NUMERIC'!AJ$5:AJ$27)/MAX(1,COUNTIF('93_TARGET_MEMBERSHIP'!G$5:G$27,1)))*(SUMPRODUCT(--('93_TARGET_MEMBERSHIP'!G$5:G$27=-1),'92_FEATURE_CONF_NUMERIC'!AJ$5:AJ$27)/MAX(1,COUNTIF('93_TARGET_MEMBERSHIP'!G$5:G$27,-1)))))</f>
        <v/>
      </c>
      <c r="AJ10" s="34">
        <f>IF($B10="ABSOLUTE SEMANTIC",'19_FEATURE_CONFIDENCE'!$D$38,SQRT((SUMPRODUCT(--('93_TARGET_MEMBERSHIP'!G$5:G$27=1),'92_FEATURE_CONF_NUMERIC'!AK$5:AK$27)/MAX(1,COUNTIF('93_TARGET_MEMBERSHIP'!G$5:G$27,1)))*(SUMPRODUCT(--('93_TARGET_MEMBERSHIP'!G$5:G$27=-1),'92_FEATURE_CONF_NUMERIC'!AK$5:AK$27)/MAX(1,COUNTIF('93_TARGET_MEMBERSHIP'!G$5:G$27,-1)))))</f>
        <v/>
      </c>
      <c r="AK10" s="34">
        <f>IF($B10="ABSOLUTE SEMANTIC",'19_FEATURE_CONFIDENCE'!$D$39,SQRT((SUMPRODUCT(--('93_TARGET_MEMBERSHIP'!G$5:G$27=1),'92_FEATURE_CONF_NUMERIC'!AL$5:AL$27)/MAX(1,COUNTIF('93_TARGET_MEMBERSHIP'!G$5:G$27,1)))*(SUMPRODUCT(--('93_TARGET_MEMBERSHIP'!G$5:G$27=-1),'92_FEATURE_CONF_NUMERIC'!AL$5:AL$27)/MAX(1,COUNTIF('93_TARGET_MEMBERSHIP'!G$5:G$27,-1)))))</f>
        <v/>
      </c>
      <c r="AL10" s="34">
        <f>IF($B10="ABSOLUTE SEMANTIC",'19_FEATURE_CONFIDENCE'!$D$40,SQRT((SUMPRODUCT(--('93_TARGET_MEMBERSHIP'!G$5:G$27=1),'92_FEATURE_CONF_NUMERIC'!AM$5:AM$27)/MAX(1,COUNTIF('93_TARGET_MEMBERSHIP'!G$5:G$27,1)))*(SUMPRODUCT(--('93_TARGET_MEMBERSHIP'!G$5:G$27=-1),'92_FEATURE_CONF_NUMERIC'!AM$5:AM$27)/MAX(1,COUNTIF('93_TARGET_MEMBERSHIP'!G$5:G$27,-1)))))</f>
        <v/>
      </c>
      <c r="AM10" s="34">
        <f>IF($B10="ABSOLUTE SEMANTIC",'19_FEATURE_CONFIDENCE'!$D$41,SQRT((SUMPRODUCT(--('93_TARGET_MEMBERSHIP'!G$5:G$27=1),'92_FEATURE_CONF_NUMERIC'!AN$5:AN$27)/MAX(1,COUNTIF('93_TARGET_MEMBERSHIP'!G$5:G$27,1)))*(SUMPRODUCT(--('93_TARGET_MEMBERSHIP'!G$5:G$27=-1),'92_FEATURE_CONF_NUMERIC'!AN$5:AN$27)/MAX(1,COUNTIF('93_TARGET_MEMBERSHIP'!G$5:G$27,-1)))))</f>
        <v/>
      </c>
      <c r="AN10" s="34">
        <f>IF($B10="ABSOLUTE SEMANTIC",'19_FEATURE_CONFIDENCE'!$D$42,SQRT((SUMPRODUCT(--('93_TARGET_MEMBERSHIP'!G$5:G$27=1),'92_FEATURE_CONF_NUMERIC'!AO$5:AO$27)/MAX(1,COUNTIF('93_TARGET_MEMBERSHIP'!G$5:G$27,1)))*(SUMPRODUCT(--('93_TARGET_MEMBERSHIP'!G$5:G$27=-1),'92_FEATURE_CONF_NUMERIC'!AO$5:AO$27)/MAX(1,COUNTIF('93_TARGET_MEMBERSHIP'!G$5:G$27,-1)))))</f>
        <v/>
      </c>
      <c r="AO10" s="34">
        <f>IF($B10="ABSOLUTE SEMANTIC",'19_FEATURE_CONFIDENCE'!$D$43,SQRT((SUMPRODUCT(--('93_TARGET_MEMBERSHIP'!G$5:G$27=1),'92_FEATURE_CONF_NUMERIC'!AP$5:AP$27)/MAX(1,COUNTIF('93_TARGET_MEMBERSHIP'!G$5:G$27,1)))*(SUMPRODUCT(--('93_TARGET_MEMBERSHIP'!G$5:G$27=-1),'92_FEATURE_CONF_NUMERIC'!AP$5:AP$27)/MAX(1,COUNTIF('93_TARGET_MEMBERSHIP'!G$5:G$27,-1)))))</f>
        <v/>
      </c>
      <c r="AP10" s="34">
        <f>IF($B10="ABSOLUTE SEMANTIC",'19_FEATURE_CONFIDENCE'!$D$44,SQRT((SUMPRODUCT(--('93_TARGET_MEMBERSHIP'!G$5:G$27=1),'92_FEATURE_CONF_NUMERIC'!AQ$5:AQ$27)/MAX(1,COUNTIF('93_TARGET_MEMBERSHIP'!G$5:G$27,1)))*(SUMPRODUCT(--('93_TARGET_MEMBERSHIP'!G$5:G$27=-1),'92_FEATURE_CONF_NUMERIC'!AQ$5:AQ$27)/MAX(1,COUNTIF('93_TARGET_MEMBERSHIP'!G$5:G$27,-1)))))</f>
        <v/>
      </c>
      <c r="AQ10" s="34">
        <f>IF($B10="ABSOLUTE SEMANTIC",'19_FEATURE_CONFIDENCE'!$D$45,SQRT((SUMPRODUCT(--('93_TARGET_MEMBERSHIP'!G$5:G$27=1),'92_FEATURE_CONF_NUMERIC'!AR$5:AR$27)/MAX(1,COUNTIF('93_TARGET_MEMBERSHIP'!G$5:G$27,1)))*(SUMPRODUCT(--('93_TARGET_MEMBERSHIP'!G$5:G$27=-1),'92_FEATURE_CONF_NUMERIC'!AR$5:AR$27)/MAX(1,COUNTIF('93_TARGET_MEMBERSHIP'!G$5:G$27,-1)))))</f>
        <v/>
      </c>
    </row>
    <row r="11" ht="36" customHeight="1">
      <c r="A11" s="34">
        <f>'06_ITEM_POLE_MODEL'!A11</f>
        <v/>
      </c>
      <c r="B11" s="34">
        <f>'06_ITEM_POLE_MODEL'!E11</f>
        <v/>
      </c>
      <c r="C11" s="34">
        <f>IF($B11="ABSOLUTE SEMANTIC",'19_FEATURE_CONFIDENCE'!$D$5,SQRT((SUMPRODUCT(--('93_TARGET_MEMBERSHIP'!H$5:H$27=1),'92_FEATURE_CONF_NUMERIC'!D$5:D$27)/MAX(1,COUNTIF('93_TARGET_MEMBERSHIP'!H$5:H$27,1)))*(SUMPRODUCT(--('93_TARGET_MEMBERSHIP'!H$5:H$27=-1),'92_FEATURE_CONF_NUMERIC'!D$5:D$27)/MAX(1,COUNTIF('93_TARGET_MEMBERSHIP'!H$5:H$27,-1)))))</f>
        <v/>
      </c>
      <c r="D11" s="34">
        <f>IF($B11="ABSOLUTE SEMANTIC",'19_FEATURE_CONFIDENCE'!$D$6,SQRT((SUMPRODUCT(--('93_TARGET_MEMBERSHIP'!H$5:H$27=1),'92_FEATURE_CONF_NUMERIC'!E$5:E$27)/MAX(1,COUNTIF('93_TARGET_MEMBERSHIP'!H$5:H$27,1)))*(SUMPRODUCT(--('93_TARGET_MEMBERSHIP'!H$5:H$27=-1),'92_FEATURE_CONF_NUMERIC'!E$5:E$27)/MAX(1,COUNTIF('93_TARGET_MEMBERSHIP'!H$5:H$27,-1)))))</f>
        <v/>
      </c>
      <c r="E11" s="34">
        <f>IF($B11="ABSOLUTE SEMANTIC",'19_FEATURE_CONFIDENCE'!$D$7,SQRT((SUMPRODUCT(--('93_TARGET_MEMBERSHIP'!H$5:H$27=1),'92_FEATURE_CONF_NUMERIC'!F$5:F$27)/MAX(1,COUNTIF('93_TARGET_MEMBERSHIP'!H$5:H$27,1)))*(SUMPRODUCT(--('93_TARGET_MEMBERSHIP'!H$5:H$27=-1),'92_FEATURE_CONF_NUMERIC'!F$5:F$27)/MAX(1,COUNTIF('93_TARGET_MEMBERSHIP'!H$5:H$27,-1)))))</f>
        <v/>
      </c>
      <c r="F11" s="34">
        <f>IF($B11="ABSOLUTE SEMANTIC",'19_FEATURE_CONFIDENCE'!$D$8,SQRT((SUMPRODUCT(--('93_TARGET_MEMBERSHIP'!H$5:H$27=1),'92_FEATURE_CONF_NUMERIC'!G$5:G$27)/MAX(1,COUNTIF('93_TARGET_MEMBERSHIP'!H$5:H$27,1)))*(SUMPRODUCT(--('93_TARGET_MEMBERSHIP'!H$5:H$27=-1),'92_FEATURE_CONF_NUMERIC'!G$5:G$27)/MAX(1,COUNTIF('93_TARGET_MEMBERSHIP'!H$5:H$27,-1)))))</f>
        <v/>
      </c>
      <c r="G11" s="34">
        <f>IF($B11="ABSOLUTE SEMANTIC",'19_FEATURE_CONFIDENCE'!$D$9,SQRT((SUMPRODUCT(--('93_TARGET_MEMBERSHIP'!H$5:H$27=1),'92_FEATURE_CONF_NUMERIC'!H$5:H$27)/MAX(1,COUNTIF('93_TARGET_MEMBERSHIP'!H$5:H$27,1)))*(SUMPRODUCT(--('93_TARGET_MEMBERSHIP'!H$5:H$27=-1),'92_FEATURE_CONF_NUMERIC'!H$5:H$27)/MAX(1,COUNTIF('93_TARGET_MEMBERSHIP'!H$5:H$27,-1)))))</f>
        <v/>
      </c>
      <c r="H11" s="34">
        <f>IF($B11="ABSOLUTE SEMANTIC",'19_FEATURE_CONFIDENCE'!$D$10,SQRT((SUMPRODUCT(--('93_TARGET_MEMBERSHIP'!H$5:H$27=1),'92_FEATURE_CONF_NUMERIC'!I$5:I$27)/MAX(1,COUNTIF('93_TARGET_MEMBERSHIP'!H$5:H$27,1)))*(SUMPRODUCT(--('93_TARGET_MEMBERSHIP'!H$5:H$27=-1),'92_FEATURE_CONF_NUMERIC'!I$5:I$27)/MAX(1,COUNTIF('93_TARGET_MEMBERSHIP'!H$5:H$27,-1)))))</f>
        <v/>
      </c>
      <c r="I11" s="34">
        <f>IF($B11="ABSOLUTE SEMANTIC",'19_FEATURE_CONFIDENCE'!$D$11,SQRT((SUMPRODUCT(--('93_TARGET_MEMBERSHIP'!H$5:H$27=1),'92_FEATURE_CONF_NUMERIC'!J$5:J$27)/MAX(1,COUNTIF('93_TARGET_MEMBERSHIP'!H$5:H$27,1)))*(SUMPRODUCT(--('93_TARGET_MEMBERSHIP'!H$5:H$27=-1),'92_FEATURE_CONF_NUMERIC'!J$5:J$27)/MAX(1,COUNTIF('93_TARGET_MEMBERSHIP'!H$5:H$27,-1)))))</f>
        <v/>
      </c>
      <c r="J11" s="34">
        <f>IF($B11="ABSOLUTE SEMANTIC",'19_FEATURE_CONFIDENCE'!$D$12,SQRT((SUMPRODUCT(--('93_TARGET_MEMBERSHIP'!H$5:H$27=1),'92_FEATURE_CONF_NUMERIC'!K$5:K$27)/MAX(1,COUNTIF('93_TARGET_MEMBERSHIP'!H$5:H$27,1)))*(SUMPRODUCT(--('93_TARGET_MEMBERSHIP'!H$5:H$27=-1),'92_FEATURE_CONF_NUMERIC'!K$5:K$27)/MAX(1,COUNTIF('93_TARGET_MEMBERSHIP'!H$5:H$27,-1)))))</f>
        <v/>
      </c>
      <c r="K11" s="34">
        <f>IF($B11="ABSOLUTE SEMANTIC",'19_FEATURE_CONFIDENCE'!$D$13,SQRT((SUMPRODUCT(--('93_TARGET_MEMBERSHIP'!H$5:H$27=1),'92_FEATURE_CONF_NUMERIC'!L$5:L$27)/MAX(1,COUNTIF('93_TARGET_MEMBERSHIP'!H$5:H$27,1)))*(SUMPRODUCT(--('93_TARGET_MEMBERSHIP'!H$5:H$27=-1),'92_FEATURE_CONF_NUMERIC'!L$5:L$27)/MAX(1,COUNTIF('93_TARGET_MEMBERSHIP'!H$5:H$27,-1)))))</f>
        <v/>
      </c>
      <c r="L11" s="34">
        <f>IF($B11="ABSOLUTE SEMANTIC",'19_FEATURE_CONFIDENCE'!$D$14,SQRT((SUMPRODUCT(--('93_TARGET_MEMBERSHIP'!H$5:H$27=1),'92_FEATURE_CONF_NUMERIC'!M$5:M$27)/MAX(1,COUNTIF('93_TARGET_MEMBERSHIP'!H$5:H$27,1)))*(SUMPRODUCT(--('93_TARGET_MEMBERSHIP'!H$5:H$27=-1),'92_FEATURE_CONF_NUMERIC'!M$5:M$27)/MAX(1,COUNTIF('93_TARGET_MEMBERSHIP'!H$5:H$27,-1)))))</f>
        <v/>
      </c>
      <c r="M11" s="34">
        <f>IF($B11="ABSOLUTE SEMANTIC",'19_FEATURE_CONFIDENCE'!$D$15,SQRT((SUMPRODUCT(--('93_TARGET_MEMBERSHIP'!H$5:H$27=1),'92_FEATURE_CONF_NUMERIC'!N$5:N$27)/MAX(1,COUNTIF('93_TARGET_MEMBERSHIP'!H$5:H$27,1)))*(SUMPRODUCT(--('93_TARGET_MEMBERSHIP'!H$5:H$27=-1),'92_FEATURE_CONF_NUMERIC'!N$5:N$27)/MAX(1,COUNTIF('93_TARGET_MEMBERSHIP'!H$5:H$27,-1)))))</f>
        <v/>
      </c>
      <c r="N11" s="34">
        <f>IF($B11="ABSOLUTE SEMANTIC",'19_FEATURE_CONFIDENCE'!$D$16,SQRT((SUMPRODUCT(--('93_TARGET_MEMBERSHIP'!H$5:H$27=1),'92_FEATURE_CONF_NUMERIC'!O$5:O$27)/MAX(1,COUNTIF('93_TARGET_MEMBERSHIP'!H$5:H$27,1)))*(SUMPRODUCT(--('93_TARGET_MEMBERSHIP'!H$5:H$27=-1),'92_FEATURE_CONF_NUMERIC'!O$5:O$27)/MAX(1,COUNTIF('93_TARGET_MEMBERSHIP'!H$5:H$27,-1)))))</f>
        <v/>
      </c>
      <c r="O11" s="34">
        <f>IF($B11="ABSOLUTE SEMANTIC",'19_FEATURE_CONFIDENCE'!$D$17,SQRT((SUMPRODUCT(--('93_TARGET_MEMBERSHIP'!H$5:H$27=1),'92_FEATURE_CONF_NUMERIC'!P$5:P$27)/MAX(1,COUNTIF('93_TARGET_MEMBERSHIP'!H$5:H$27,1)))*(SUMPRODUCT(--('93_TARGET_MEMBERSHIP'!H$5:H$27=-1),'92_FEATURE_CONF_NUMERIC'!P$5:P$27)/MAX(1,COUNTIF('93_TARGET_MEMBERSHIP'!H$5:H$27,-1)))))</f>
        <v/>
      </c>
      <c r="P11" s="34">
        <f>IF($B11="ABSOLUTE SEMANTIC",'19_FEATURE_CONFIDENCE'!$D$18,SQRT((SUMPRODUCT(--('93_TARGET_MEMBERSHIP'!H$5:H$27=1),'92_FEATURE_CONF_NUMERIC'!Q$5:Q$27)/MAX(1,COUNTIF('93_TARGET_MEMBERSHIP'!H$5:H$27,1)))*(SUMPRODUCT(--('93_TARGET_MEMBERSHIP'!H$5:H$27=-1),'92_FEATURE_CONF_NUMERIC'!Q$5:Q$27)/MAX(1,COUNTIF('93_TARGET_MEMBERSHIP'!H$5:H$27,-1)))))</f>
        <v/>
      </c>
      <c r="Q11" s="34">
        <f>IF($B11="ABSOLUTE SEMANTIC",'19_FEATURE_CONFIDENCE'!$D$19,SQRT((SUMPRODUCT(--('93_TARGET_MEMBERSHIP'!H$5:H$27=1),'92_FEATURE_CONF_NUMERIC'!R$5:R$27)/MAX(1,COUNTIF('93_TARGET_MEMBERSHIP'!H$5:H$27,1)))*(SUMPRODUCT(--('93_TARGET_MEMBERSHIP'!H$5:H$27=-1),'92_FEATURE_CONF_NUMERIC'!R$5:R$27)/MAX(1,COUNTIF('93_TARGET_MEMBERSHIP'!H$5:H$27,-1)))))</f>
        <v/>
      </c>
      <c r="R11" s="34">
        <f>IF($B11="ABSOLUTE SEMANTIC",'19_FEATURE_CONFIDENCE'!$D$20,SQRT((SUMPRODUCT(--('93_TARGET_MEMBERSHIP'!H$5:H$27=1),'92_FEATURE_CONF_NUMERIC'!S$5:S$27)/MAX(1,COUNTIF('93_TARGET_MEMBERSHIP'!H$5:H$27,1)))*(SUMPRODUCT(--('93_TARGET_MEMBERSHIP'!H$5:H$27=-1),'92_FEATURE_CONF_NUMERIC'!S$5:S$27)/MAX(1,COUNTIF('93_TARGET_MEMBERSHIP'!H$5:H$27,-1)))))</f>
        <v/>
      </c>
      <c r="S11" s="34">
        <f>IF($B11="ABSOLUTE SEMANTIC",'19_FEATURE_CONFIDENCE'!$D$21,SQRT((SUMPRODUCT(--('93_TARGET_MEMBERSHIP'!H$5:H$27=1),'92_FEATURE_CONF_NUMERIC'!T$5:T$27)/MAX(1,COUNTIF('93_TARGET_MEMBERSHIP'!H$5:H$27,1)))*(SUMPRODUCT(--('93_TARGET_MEMBERSHIP'!H$5:H$27=-1),'92_FEATURE_CONF_NUMERIC'!T$5:T$27)/MAX(1,COUNTIF('93_TARGET_MEMBERSHIP'!H$5:H$27,-1)))))</f>
        <v/>
      </c>
      <c r="T11" s="34">
        <f>IF($B11="ABSOLUTE SEMANTIC",'19_FEATURE_CONFIDENCE'!$D$22,SQRT((SUMPRODUCT(--('93_TARGET_MEMBERSHIP'!H$5:H$27=1),'92_FEATURE_CONF_NUMERIC'!U$5:U$27)/MAX(1,COUNTIF('93_TARGET_MEMBERSHIP'!H$5:H$27,1)))*(SUMPRODUCT(--('93_TARGET_MEMBERSHIP'!H$5:H$27=-1),'92_FEATURE_CONF_NUMERIC'!U$5:U$27)/MAX(1,COUNTIF('93_TARGET_MEMBERSHIP'!H$5:H$27,-1)))))</f>
        <v/>
      </c>
      <c r="U11" s="34">
        <f>IF($B11="ABSOLUTE SEMANTIC",'19_FEATURE_CONFIDENCE'!$D$23,SQRT((SUMPRODUCT(--('93_TARGET_MEMBERSHIP'!H$5:H$27=1),'92_FEATURE_CONF_NUMERIC'!V$5:V$27)/MAX(1,COUNTIF('93_TARGET_MEMBERSHIP'!H$5:H$27,1)))*(SUMPRODUCT(--('93_TARGET_MEMBERSHIP'!H$5:H$27=-1),'92_FEATURE_CONF_NUMERIC'!V$5:V$27)/MAX(1,COUNTIF('93_TARGET_MEMBERSHIP'!H$5:H$27,-1)))))</f>
        <v/>
      </c>
      <c r="V11" s="34">
        <f>IF($B11="ABSOLUTE SEMANTIC",'19_FEATURE_CONFIDENCE'!$D$24,SQRT((SUMPRODUCT(--('93_TARGET_MEMBERSHIP'!H$5:H$27=1),'92_FEATURE_CONF_NUMERIC'!W$5:W$27)/MAX(1,COUNTIF('93_TARGET_MEMBERSHIP'!H$5:H$27,1)))*(SUMPRODUCT(--('93_TARGET_MEMBERSHIP'!H$5:H$27=-1),'92_FEATURE_CONF_NUMERIC'!W$5:W$27)/MAX(1,COUNTIF('93_TARGET_MEMBERSHIP'!H$5:H$27,-1)))))</f>
        <v/>
      </c>
      <c r="W11" s="34">
        <f>IF($B11="ABSOLUTE SEMANTIC",'19_FEATURE_CONFIDENCE'!$D$25,SQRT((SUMPRODUCT(--('93_TARGET_MEMBERSHIP'!H$5:H$27=1),'92_FEATURE_CONF_NUMERIC'!X$5:X$27)/MAX(1,COUNTIF('93_TARGET_MEMBERSHIP'!H$5:H$27,1)))*(SUMPRODUCT(--('93_TARGET_MEMBERSHIP'!H$5:H$27=-1),'92_FEATURE_CONF_NUMERIC'!X$5:X$27)/MAX(1,COUNTIF('93_TARGET_MEMBERSHIP'!H$5:H$27,-1)))))</f>
        <v/>
      </c>
      <c r="X11" s="34">
        <f>IF($B11="ABSOLUTE SEMANTIC",'19_FEATURE_CONFIDENCE'!$D$26,SQRT((SUMPRODUCT(--('93_TARGET_MEMBERSHIP'!H$5:H$27=1),'92_FEATURE_CONF_NUMERIC'!Y$5:Y$27)/MAX(1,COUNTIF('93_TARGET_MEMBERSHIP'!H$5:H$27,1)))*(SUMPRODUCT(--('93_TARGET_MEMBERSHIP'!H$5:H$27=-1),'92_FEATURE_CONF_NUMERIC'!Y$5:Y$27)/MAX(1,COUNTIF('93_TARGET_MEMBERSHIP'!H$5:H$27,-1)))))</f>
        <v/>
      </c>
      <c r="Y11" s="34">
        <f>IF($B11="ABSOLUTE SEMANTIC",'19_FEATURE_CONFIDENCE'!$D$27,SQRT((SUMPRODUCT(--('93_TARGET_MEMBERSHIP'!H$5:H$27=1),'92_FEATURE_CONF_NUMERIC'!Z$5:Z$27)/MAX(1,COUNTIF('93_TARGET_MEMBERSHIP'!H$5:H$27,1)))*(SUMPRODUCT(--('93_TARGET_MEMBERSHIP'!H$5:H$27=-1),'92_FEATURE_CONF_NUMERIC'!Z$5:Z$27)/MAX(1,COUNTIF('93_TARGET_MEMBERSHIP'!H$5:H$27,-1)))))</f>
        <v/>
      </c>
      <c r="Z11" s="34">
        <f>IF($B11="ABSOLUTE SEMANTIC",'19_FEATURE_CONFIDENCE'!$D$28,SQRT((SUMPRODUCT(--('93_TARGET_MEMBERSHIP'!H$5:H$27=1),'92_FEATURE_CONF_NUMERIC'!AA$5:AA$27)/MAX(1,COUNTIF('93_TARGET_MEMBERSHIP'!H$5:H$27,1)))*(SUMPRODUCT(--('93_TARGET_MEMBERSHIP'!H$5:H$27=-1),'92_FEATURE_CONF_NUMERIC'!AA$5:AA$27)/MAX(1,COUNTIF('93_TARGET_MEMBERSHIP'!H$5:H$27,-1)))))</f>
        <v/>
      </c>
      <c r="AA11" s="34">
        <f>IF($B11="ABSOLUTE SEMANTIC",'19_FEATURE_CONFIDENCE'!$D$29,SQRT((SUMPRODUCT(--('93_TARGET_MEMBERSHIP'!H$5:H$27=1),'92_FEATURE_CONF_NUMERIC'!AB$5:AB$27)/MAX(1,COUNTIF('93_TARGET_MEMBERSHIP'!H$5:H$27,1)))*(SUMPRODUCT(--('93_TARGET_MEMBERSHIP'!H$5:H$27=-1),'92_FEATURE_CONF_NUMERIC'!AB$5:AB$27)/MAX(1,COUNTIF('93_TARGET_MEMBERSHIP'!H$5:H$27,-1)))))</f>
        <v/>
      </c>
      <c r="AB11" s="34">
        <f>IF($B11="ABSOLUTE SEMANTIC",'19_FEATURE_CONFIDENCE'!$D$30,SQRT((SUMPRODUCT(--('93_TARGET_MEMBERSHIP'!H$5:H$27=1),'92_FEATURE_CONF_NUMERIC'!AC$5:AC$27)/MAX(1,COUNTIF('93_TARGET_MEMBERSHIP'!H$5:H$27,1)))*(SUMPRODUCT(--('93_TARGET_MEMBERSHIP'!H$5:H$27=-1),'92_FEATURE_CONF_NUMERIC'!AC$5:AC$27)/MAX(1,COUNTIF('93_TARGET_MEMBERSHIP'!H$5:H$27,-1)))))</f>
        <v/>
      </c>
      <c r="AC11" s="34">
        <f>IF($B11="ABSOLUTE SEMANTIC",'19_FEATURE_CONFIDENCE'!$D$31,SQRT((SUMPRODUCT(--('93_TARGET_MEMBERSHIP'!H$5:H$27=1),'92_FEATURE_CONF_NUMERIC'!AD$5:AD$27)/MAX(1,COUNTIF('93_TARGET_MEMBERSHIP'!H$5:H$27,1)))*(SUMPRODUCT(--('93_TARGET_MEMBERSHIP'!H$5:H$27=-1),'92_FEATURE_CONF_NUMERIC'!AD$5:AD$27)/MAX(1,COUNTIF('93_TARGET_MEMBERSHIP'!H$5:H$27,-1)))))</f>
        <v/>
      </c>
      <c r="AD11" s="34">
        <f>IF($B11="ABSOLUTE SEMANTIC",'19_FEATURE_CONFIDENCE'!$D$32,SQRT((SUMPRODUCT(--('93_TARGET_MEMBERSHIP'!H$5:H$27=1),'92_FEATURE_CONF_NUMERIC'!AE$5:AE$27)/MAX(1,COUNTIF('93_TARGET_MEMBERSHIP'!H$5:H$27,1)))*(SUMPRODUCT(--('93_TARGET_MEMBERSHIP'!H$5:H$27=-1),'92_FEATURE_CONF_NUMERIC'!AE$5:AE$27)/MAX(1,COUNTIF('93_TARGET_MEMBERSHIP'!H$5:H$27,-1)))))</f>
        <v/>
      </c>
      <c r="AE11" s="34">
        <f>IF($B11="ABSOLUTE SEMANTIC",'19_FEATURE_CONFIDENCE'!$D$33,SQRT((SUMPRODUCT(--('93_TARGET_MEMBERSHIP'!H$5:H$27=1),'92_FEATURE_CONF_NUMERIC'!AF$5:AF$27)/MAX(1,COUNTIF('93_TARGET_MEMBERSHIP'!H$5:H$27,1)))*(SUMPRODUCT(--('93_TARGET_MEMBERSHIP'!H$5:H$27=-1),'92_FEATURE_CONF_NUMERIC'!AF$5:AF$27)/MAX(1,COUNTIF('93_TARGET_MEMBERSHIP'!H$5:H$27,-1)))))</f>
        <v/>
      </c>
      <c r="AF11" s="34">
        <f>IF($B11="ABSOLUTE SEMANTIC",'19_FEATURE_CONFIDENCE'!$D$34,SQRT((SUMPRODUCT(--('93_TARGET_MEMBERSHIP'!H$5:H$27=1),'92_FEATURE_CONF_NUMERIC'!AG$5:AG$27)/MAX(1,COUNTIF('93_TARGET_MEMBERSHIP'!H$5:H$27,1)))*(SUMPRODUCT(--('93_TARGET_MEMBERSHIP'!H$5:H$27=-1),'92_FEATURE_CONF_NUMERIC'!AG$5:AG$27)/MAX(1,COUNTIF('93_TARGET_MEMBERSHIP'!H$5:H$27,-1)))))</f>
        <v/>
      </c>
      <c r="AG11" s="34">
        <f>IF($B11="ABSOLUTE SEMANTIC",'19_FEATURE_CONFIDENCE'!$D$35,SQRT((SUMPRODUCT(--('93_TARGET_MEMBERSHIP'!H$5:H$27=1),'92_FEATURE_CONF_NUMERIC'!AH$5:AH$27)/MAX(1,COUNTIF('93_TARGET_MEMBERSHIP'!H$5:H$27,1)))*(SUMPRODUCT(--('93_TARGET_MEMBERSHIP'!H$5:H$27=-1),'92_FEATURE_CONF_NUMERIC'!AH$5:AH$27)/MAX(1,COUNTIF('93_TARGET_MEMBERSHIP'!H$5:H$27,-1)))))</f>
        <v/>
      </c>
      <c r="AH11" s="34">
        <f>IF($B11="ABSOLUTE SEMANTIC",'19_FEATURE_CONFIDENCE'!$D$36,SQRT((SUMPRODUCT(--('93_TARGET_MEMBERSHIP'!H$5:H$27=1),'92_FEATURE_CONF_NUMERIC'!AI$5:AI$27)/MAX(1,COUNTIF('93_TARGET_MEMBERSHIP'!H$5:H$27,1)))*(SUMPRODUCT(--('93_TARGET_MEMBERSHIP'!H$5:H$27=-1),'92_FEATURE_CONF_NUMERIC'!AI$5:AI$27)/MAX(1,COUNTIF('93_TARGET_MEMBERSHIP'!H$5:H$27,-1)))))</f>
        <v/>
      </c>
      <c r="AI11" s="34">
        <f>IF($B11="ABSOLUTE SEMANTIC",'19_FEATURE_CONFIDENCE'!$D$37,SQRT((SUMPRODUCT(--('93_TARGET_MEMBERSHIP'!H$5:H$27=1),'92_FEATURE_CONF_NUMERIC'!AJ$5:AJ$27)/MAX(1,COUNTIF('93_TARGET_MEMBERSHIP'!H$5:H$27,1)))*(SUMPRODUCT(--('93_TARGET_MEMBERSHIP'!H$5:H$27=-1),'92_FEATURE_CONF_NUMERIC'!AJ$5:AJ$27)/MAX(1,COUNTIF('93_TARGET_MEMBERSHIP'!H$5:H$27,-1)))))</f>
        <v/>
      </c>
      <c r="AJ11" s="34">
        <f>IF($B11="ABSOLUTE SEMANTIC",'19_FEATURE_CONFIDENCE'!$D$38,SQRT((SUMPRODUCT(--('93_TARGET_MEMBERSHIP'!H$5:H$27=1),'92_FEATURE_CONF_NUMERIC'!AK$5:AK$27)/MAX(1,COUNTIF('93_TARGET_MEMBERSHIP'!H$5:H$27,1)))*(SUMPRODUCT(--('93_TARGET_MEMBERSHIP'!H$5:H$27=-1),'92_FEATURE_CONF_NUMERIC'!AK$5:AK$27)/MAX(1,COUNTIF('93_TARGET_MEMBERSHIP'!H$5:H$27,-1)))))</f>
        <v/>
      </c>
      <c r="AK11" s="34">
        <f>IF($B11="ABSOLUTE SEMANTIC",'19_FEATURE_CONFIDENCE'!$D$39,SQRT((SUMPRODUCT(--('93_TARGET_MEMBERSHIP'!H$5:H$27=1),'92_FEATURE_CONF_NUMERIC'!AL$5:AL$27)/MAX(1,COUNTIF('93_TARGET_MEMBERSHIP'!H$5:H$27,1)))*(SUMPRODUCT(--('93_TARGET_MEMBERSHIP'!H$5:H$27=-1),'92_FEATURE_CONF_NUMERIC'!AL$5:AL$27)/MAX(1,COUNTIF('93_TARGET_MEMBERSHIP'!H$5:H$27,-1)))))</f>
        <v/>
      </c>
      <c r="AL11" s="34">
        <f>IF($B11="ABSOLUTE SEMANTIC",'19_FEATURE_CONFIDENCE'!$D$40,SQRT((SUMPRODUCT(--('93_TARGET_MEMBERSHIP'!H$5:H$27=1),'92_FEATURE_CONF_NUMERIC'!AM$5:AM$27)/MAX(1,COUNTIF('93_TARGET_MEMBERSHIP'!H$5:H$27,1)))*(SUMPRODUCT(--('93_TARGET_MEMBERSHIP'!H$5:H$27=-1),'92_FEATURE_CONF_NUMERIC'!AM$5:AM$27)/MAX(1,COUNTIF('93_TARGET_MEMBERSHIP'!H$5:H$27,-1)))))</f>
        <v/>
      </c>
      <c r="AM11" s="34">
        <f>IF($B11="ABSOLUTE SEMANTIC",'19_FEATURE_CONFIDENCE'!$D$41,SQRT((SUMPRODUCT(--('93_TARGET_MEMBERSHIP'!H$5:H$27=1),'92_FEATURE_CONF_NUMERIC'!AN$5:AN$27)/MAX(1,COUNTIF('93_TARGET_MEMBERSHIP'!H$5:H$27,1)))*(SUMPRODUCT(--('93_TARGET_MEMBERSHIP'!H$5:H$27=-1),'92_FEATURE_CONF_NUMERIC'!AN$5:AN$27)/MAX(1,COUNTIF('93_TARGET_MEMBERSHIP'!H$5:H$27,-1)))))</f>
        <v/>
      </c>
      <c r="AN11" s="34">
        <f>IF($B11="ABSOLUTE SEMANTIC",'19_FEATURE_CONFIDENCE'!$D$42,SQRT((SUMPRODUCT(--('93_TARGET_MEMBERSHIP'!H$5:H$27=1),'92_FEATURE_CONF_NUMERIC'!AO$5:AO$27)/MAX(1,COUNTIF('93_TARGET_MEMBERSHIP'!H$5:H$27,1)))*(SUMPRODUCT(--('93_TARGET_MEMBERSHIP'!H$5:H$27=-1),'92_FEATURE_CONF_NUMERIC'!AO$5:AO$27)/MAX(1,COUNTIF('93_TARGET_MEMBERSHIP'!H$5:H$27,-1)))))</f>
        <v/>
      </c>
      <c r="AO11" s="34">
        <f>IF($B11="ABSOLUTE SEMANTIC",'19_FEATURE_CONFIDENCE'!$D$43,SQRT((SUMPRODUCT(--('93_TARGET_MEMBERSHIP'!H$5:H$27=1),'92_FEATURE_CONF_NUMERIC'!AP$5:AP$27)/MAX(1,COUNTIF('93_TARGET_MEMBERSHIP'!H$5:H$27,1)))*(SUMPRODUCT(--('93_TARGET_MEMBERSHIP'!H$5:H$27=-1),'92_FEATURE_CONF_NUMERIC'!AP$5:AP$27)/MAX(1,COUNTIF('93_TARGET_MEMBERSHIP'!H$5:H$27,-1)))))</f>
        <v/>
      </c>
      <c r="AP11" s="34">
        <f>IF($B11="ABSOLUTE SEMANTIC",'19_FEATURE_CONFIDENCE'!$D$44,SQRT((SUMPRODUCT(--('93_TARGET_MEMBERSHIP'!H$5:H$27=1),'92_FEATURE_CONF_NUMERIC'!AQ$5:AQ$27)/MAX(1,COUNTIF('93_TARGET_MEMBERSHIP'!H$5:H$27,1)))*(SUMPRODUCT(--('93_TARGET_MEMBERSHIP'!H$5:H$27=-1),'92_FEATURE_CONF_NUMERIC'!AQ$5:AQ$27)/MAX(1,COUNTIF('93_TARGET_MEMBERSHIP'!H$5:H$27,-1)))))</f>
        <v/>
      </c>
      <c r="AQ11" s="34">
        <f>IF($B11="ABSOLUTE SEMANTIC",'19_FEATURE_CONFIDENCE'!$D$45,SQRT((SUMPRODUCT(--('93_TARGET_MEMBERSHIP'!H$5:H$27=1),'92_FEATURE_CONF_NUMERIC'!AR$5:AR$27)/MAX(1,COUNTIF('93_TARGET_MEMBERSHIP'!H$5:H$27,1)))*(SUMPRODUCT(--('93_TARGET_MEMBERSHIP'!H$5:H$27=-1),'92_FEATURE_CONF_NUMERIC'!AR$5:AR$27)/MAX(1,COUNTIF('93_TARGET_MEMBERSHIP'!H$5:H$27,-1)))))</f>
        <v/>
      </c>
    </row>
    <row r="12" ht="36" customHeight="1">
      <c r="A12" s="34">
        <f>'06_ITEM_POLE_MODEL'!A12</f>
        <v/>
      </c>
      <c r="B12" s="34">
        <f>'06_ITEM_POLE_MODEL'!E12</f>
        <v/>
      </c>
      <c r="C12" s="34">
        <f>IF($B12="ABSOLUTE SEMANTIC",'19_FEATURE_CONFIDENCE'!$D$5,SQRT((SUMPRODUCT(--('93_TARGET_MEMBERSHIP'!I$5:I$27=1),'92_FEATURE_CONF_NUMERIC'!D$5:D$27)/MAX(1,COUNTIF('93_TARGET_MEMBERSHIP'!I$5:I$27,1)))*(SUMPRODUCT(--('93_TARGET_MEMBERSHIP'!I$5:I$27=-1),'92_FEATURE_CONF_NUMERIC'!D$5:D$27)/MAX(1,COUNTIF('93_TARGET_MEMBERSHIP'!I$5:I$27,-1)))))</f>
        <v/>
      </c>
      <c r="D12" s="34">
        <f>IF($B12="ABSOLUTE SEMANTIC",'19_FEATURE_CONFIDENCE'!$D$6,SQRT((SUMPRODUCT(--('93_TARGET_MEMBERSHIP'!I$5:I$27=1),'92_FEATURE_CONF_NUMERIC'!E$5:E$27)/MAX(1,COUNTIF('93_TARGET_MEMBERSHIP'!I$5:I$27,1)))*(SUMPRODUCT(--('93_TARGET_MEMBERSHIP'!I$5:I$27=-1),'92_FEATURE_CONF_NUMERIC'!E$5:E$27)/MAX(1,COUNTIF('93_TARGET_MEMBERSHIP'!I$5:I$27,-1)))))</f>
        <v/>
      </c>
      <c r="E12" s="34">
        <f>IF($B12="ABSOLUTE SEMANTIC",'19_FEATURE_CONFIDENCE'!$D$7,SQRT((SUMPRODUCT(--('93_TARGET_MEMBERSHIP'!I$5:I$27=1),'92_FEATURE_CONF_NUMERIC'!F$5:F$27)/MAX(1,COUNTIF('93_TARGET_MEMBERSHIP'!I$5:I$27,1)))*(SUMPRODUCT(--('93_TARGET_MEMBERSHIP'!I$5:I$27=-1),'92_FEATURE_CONF_NUMERIC'!F$5:F$27)/MAX(1,COUNTIF('93_TARGET_MEMBERSHIP'!I$5:I$27,-1)))))</f>
        <v/>
      </c>
      <c r="F12" s="34">
        <f>IF($B12="ABSOLUTE SEMANTIC",'19_FEATURE_CONFIDENCE'!$D$8,SQRT((SUMPRODUCT(--('93_TARGET_MEMBERSHIP'!I$5:I$27=1),'92_FEATURE_CONF_NUMERIC'!G$5:G$27)/MAX(1,COUNTIF('93_TARGET_MEMBERSHIP'!I$5:I$27,1)))*(SUMPRODUCT(--('93_TARGET_MEMBERSHIP'!I$5:I$27=-1),'92_FEATURE_CONF_NUMERIC'!G$5:G$27)/MAX(1,COUNTIF('93_TARGET_MEMBERSHIP'!I$5:I$27,-1)))))</f>
        <v/>
      </c>
      <c r="G12" s="34">
        <f>IF($B12="ABSOLUTE SEMANTIC",'19_FEATURE_CONFIDENCE'!$D$9,SQRT((SUMPRODUCT(--('93_TARGET_MEMBERSHIP'!I$5:I$27=1),'92_FEATURE_CONF_NUMERIC'!H$5:H$27)/MAX(1,COUNTIF('93_TARGET_MEMBERSHIP'!I$5:I$27,1)))*(SUMPRODUCT(--('93_TARGET_MEMBERSHIP'!I$5:I$27=-1),'92_FEATURE_CONF_NUMERIC'!H$5:H$27)/MAX(1,COUNTIF('93_TARGET_MEMBERSHIP'!I$5:I$27,-1)))))</f>
        <v/>
      </c>
      <c r="H12" s="34">
        <f>IF($B12="ABSOLUTE SEMANTIC",'19_FEATURE_CONFIDENCE'!$D$10,SQRT((SUMPRODUCT(--('93_TARGET_MEMBERSHIP'!I$5:I$27=1),'92_FEATURE_CONF_NUMERIC'!I$5:I$27)/MAX(1,COUNTIF('93_TARGET_MEMBERSHIP'!I$5:I$27,1)))*(SUMPRODUCT(--('93_TARGET_MEMBERSHIP'!I$5:I$27=-1),'92_FEATURE_CONF_NUMERIC'!I$5:I$27)/MAX(1,COUNTIF('93_TARGET_MEMBERSHIP'!I$5:I$27,-1)))))</f>
        <v/>
      </c>
      <c r="I12" s="34">
        <f>IF($B12="ABSOLUTE SEMANTIC",'19_FEATURE_CONFIDENCE'!$D$11,SQRT((SUMPRODUCT(--('93_TARGET_MEMBERSHIP'!I$5:I$27=1),'92_FEATURE_CONF_NUMERIC'!J$5:J$27)/MAX(1,COUNTIF('93_TARGET_MEMBERSHIP'!I$5:I$27,1)))*(SUMPRODUCT(--('93_TARGET_MEMBERSHIP'!I$5:I$27=-1),'92_FEATURE_CONF_NUMERIC'!J$5:J$27)/MAX(1,COUNTIF('93_TARGET_MEMBERSHIP'!I$5:I$27,-1)))))</f>
        <v/>
      </c>
      <c r="J12" s="34">
        <f>IF($B12="ABSOLUTE SEMANTIC",'19_FEATURE_CONFIDENCE'!$D$12,SQRT((SUMPRODUCT(--('93_TARGET_MEMBERSHIP'!I$5:I$27=1),'92_FEATURE_CONF_NUMERIC'!K$5:K$27)/MAX(1,COUNTIF('93_TARGET_MEMBERSHIP'!I$5:I$27,1)))*(SUMPRODUCT(--('93_TARGET_MEMBERSHIP'!I$5:I$27=-1),'92_FEATURE_CONF_NUMERIC'!K$5:K$27)/MAX(1,COUNTIF('93_TARGET_MEMBERSHIP'!I$5:I$27,-1)))))</f>
        <v/>
      </c>
      <c r="K12" s="34">
        <f>IF($B12="ABSOLUTE SEMANTIC",'19_FEATURE_CONFIDENCE'!$D$13,SQRT((SUMPRODUCT(--('93_TARGET_MEMBERSHIP'!I$5:I$27=1),'92_FEATURE_CONF_NUMERIC'!L$5:L$27)/MAX(1,COUNTIF('93_TARGET_MEMBERSHIP'!I$5:I$27,1)))*(SUMPRODUCT(--('93_TARGET_MEMBERSHIP'!I$5:I$27=-1),'92_FEATURE_CONF_NUMERIC'!L$5:L$27)/MAX(1,COUNTIF('93_TARGET_MEMBERSHIP'!I$5:I$27,-1)))))</f>
        <v/>
      </c>
      <c r="L12" s="34">
        <f>IF($B12="ABSOLUTE SEMANTIC",'19_FEATURE_CONFIDENCE'!$D$14,SQRT((SUMPRODUCT(--('93_TARGET_MEMBERSHIP'!I$5:I$27=1),'92_FEATURE_CONF_NUMERIC'!M$5:M$27)/MAX(1,COUNTIF('93_TARGET_MEMBERSHIP'!I$5:I$27,1)))*(SUMPRODUCT(--('93_TARGET_MEMBERSHIP'!I$5:I$27=-1),'92_FEATURE_CONF_NUMERIC'!M$5:M$27)/MAX(1,COUNTIF('93_TARGET_MEMBERSHIP'!I$5:I$27,-1)))))</f>
        <v/>
      </c>
      <c r="M12" s="34">
        <f>IF($B12="ABSOLUTE SEMANTIC",'19_FEATURE_CONFIDENCE'!$D$15,SQRT((SUMPRODUCT(--('93_TARGET_MEMBERSHIP'!I$5:I$27=1),'92_FEATURE_CONF_NUMERIC'!N$5:N$27)/MAX(1,COUNTIF('93_TARGET_MEMBERSHIP'!I$5:I$27,1)))*(SUMPRODUCT(--('93_TARGET_MEMBERSHIP'!I$5:I$27=-1),'92_FEATURE_CONF_NUMERIC'!N$5:N$27)/MAX(1,COUNTIF('93_TARGET_MEMBERSHIP'!I$5:I$27,-1)))))</f>
        <v/>
      </c>
      <c r="N12" s="34">
        <f>IF($B12="ABSOLUTE SEMANTIC",'19_FEATURE_CONFIDENCE'!$D$16,SQRT((SUMPRODUCT(--('93_TARGET_MEMBERSHIP'!I$5:I$27=1),'92_FEATURE_CONF_NUMERIC'!O$5:O$27)/MAX(1,COUNTIF('93_TARGET_MEMBERSHIP'!I$5:I$27,1)))*(SUMPRODUCT(--('93_TARGET_MEMBERSHIP'!I$5:I$27=-1),'92_FEATURE_CONF_NUMERIC'!O$5:O$27)/MAX(1,COUNTIF('93_TARGET_MEMBERSHIP'!I$5:I$27,-1)))))</f>
        <v/>
      </c>
      <c r="O12" s="34">
        <f>IF($B12="ABSOLUTE SEMANTIC",'19_FEATURE_CONFIDENCE'!$D$17,SQRT((SUMPRODUCT(--('93_TARGET_MEMBERSHIP'!I$5:I$27=1),'92_FEATURE_CONF_NUMERIC'!P$5:P$27)/MAX(1,COUNTIF('93_TARGET_MEMBERSHIP'!I$5:I$27,1)))*(SUMPRODUCT(--('93_TARGET_MEMBERSHIP'!I$5:I$27=-1),'92_FEATURE_CONF_NUMERIC'!P$5:P$27)/MAX(1,COUNTIF('93_TARGET_MEMBERSHIP'!I$5:I$27,-1)))))</f>
        <v/>
      </c>
      <c r="P12" s="34">
        <f>IF($B12="ABSOLUTE SEMANTIC",'19_FEATURE_CONFIDENCE'!$D$18,SQRT((SUMPRODUCT(--('93_TARGET_MEMBERSHIP'!I$5:I$27=1),'92_FEATURE_CONF_NUMERIC'!Q$5:Q$27)/MAX(1,COUNTIF('93_TARGET_MEMBERSHIP'!I$5:I$27,1)))*(SUMPRODUCT(--('93_TARGET_MEMBERSHIP'!I$5:I$27=-1),'92_FEATURE_CONF_NUMERIC'!Q$5:Q$27)/MAX(1,COUNTIF('93_TARGET_MEMBERSHIP'!I$5:I$27,-1)))))</f>
        <v/>
      </c>
      <c r="Q12" s="34">
        <f>IF($B12="ABSOLUTE SEMANTIC",'19_FEATURE_CONFIDENCE'!$D$19,SQRT((SUMPRODUCT(--('93_TARGET_MEMBERSHIP'!I$5:I$27=1),'92_FEATURE_CONF_NUMERIC'!R$5:R$27)/MAX(1,COUNTIF('93_TARGET_MEMBERSHIP'!I$5:I$27,1)))*(SUMPRODUCT(--('93_TARGET_MEMBERSHIP'!I$5:I$27=-1),'92_FEATURE_CONF_NUMERIC'!R$5:R$27)/MAX(1,COUNTIF('93_TARGET_MEMBERSHIP'!I$5:I$27,-1)))))</f>
        <v/>
      </c>
      <c r="R12" s="34">
        <f>IF($B12="ABSOLUTE SEMANTIC",'19_FEATURE_CONFIDENCE'!$D$20,SQRT((SUMPRODUCT(--('93_TARGET_MEMBERSHIP'!I$5:I$27=1),'92_FEATURE_CONF_NUMERIC'!S$5:S$27)/MAX(1,COUNTIF('93_TARGET_MEMBERSHIP'!I$5:I$27,1)))*(SUMPRODUCT(--('93_TARGET_MEMBERSHIP'!I$5:I$27=-1),'92_FEATURE_CONF_NUMERIC'!S$5:S$27)/MAX(1,COUNTIF('93_TARGET_MEMBERSHIP'!I$5:I$27,-1)))))</f>
        <v/>
      </c>
      <c r="S12" s="34">
        <f>IF($B12="ABSOLUTE SEMANTIC",'19_FEATURE_CONFIDENCE'!$D$21,SQRT((SUMPRODUCT(--('93_TARGET_MEMBERSHIP'!I$5:I$27=1),'92_FEATURE_CONF_NUMERIC'!T$5:T$27)/MAX(1,COUNTIF('93_TARGET_MEMBERSHIP'!I$5:I$27,1)))*(SUMPRODUCT(--('93_TARGET_MEMBERSHIP'!I$5:I$27=-1),'92_FEATURE_CONF_NUMERIC'!T$5:T$27)/MAX(1,COUNTIF('93_TARGET_MEMBERSHIP'!I$5:I$27,-1)))))</f>
        <v/>
      </c>
      <c r="T12" s="34">
        <f>IF($B12="ABSOLUTE SEMANTIC",'19_FEATURE_CONFIDENCE'!$D$22,SQRT((SUMPRODUCT(--('93_TARGET_MEMBERSHIP'!I$5:I$27=1),'92_FEATURE_CONF_NUMERIC'!U$5:U$27)/MAX(1,COUNTIF('93_TARGET_MEMBERSHIP'!I$5:I$27,1)))*(SUMPRODUCT(--('93_TARGET_MEMBERSHIP'!I$5:I$27=-1),'92_FEATURE_CONF_NUMERIC'!U$5:U$27)/MAX(1,COUNTIF('93_TARGET_MEMBERSHIP'!I$5:I$27,-1)))))</f>
        <v/>
      </c>
      <c r="U12" s="34">
        <f>IF($B12="ABSOLUTE SEMANTIC",'19_FEATURE_CONFIDENCE'!$D$23,SQRT((SUMPRODUCT(--('93_TARGET_MEMBERSHIP'!I$5:I$27=1),'92_FEATURE_CONF_NUMERIC'!V$5:V$27)/MAX(1,COUNTIF('93_TARGET_MEMBERSHIP'!I$5:I$27,1)))*(SUMPRODUCT(--('93_TARGET_MEMBERSHIP'!I$5:I$27=-1),'92_FEATURE_CONF_NUMERIC'!V$5:V$27)/MAX(1,COUNTIF('93_TARGET_MEMBERSHIP'!I$5:I$27,-1)))))</f>
        <v/>
      </c>
      <c r="V12" s="34">
        <f>IF($B12="ABSOLUTE SEMANTIC",'19_FEATURE_CONFIDENCE'!$D$24,SQRT((SUMPRODUCT(--('93_TARGET_MEMBERSHIP'!I$5:I$27=1),'92_FEATURE_CONF_NUMERIC'!W$5:W$27)/MAX(1,COUNTIF('93_TARGET_MEMBERSHIP'!I$5:I$27,1)))*(SUMPRODUCT(--('93_TARGET_MEMBERSHIP'!I$5:I$27=-1),'92_FEATURE_CONF_NUMERIC'!W$5:W$27)/MAX(1,COUNTIF('93_TARGET_MEMBERSHIP'!I$5:I$27,-1)))))</f>
        <v/>
      </c>
      <c r="W12" s="34">
        <f>IF($B12="ABSOLUTE SEMANTIC",'19_FEATURE_CONFIDENCE'!$D$25,SQRT((SUMPRODUCT(--('93_TARGET_MEMBERSHIP'!I$5:I$27=1),'92_FEATURE_CONF_NUMERIC'!X$5:X$27)/MAX(1,COUNTIF('93_TARGET_MEMBERSHIP'!I$5:I$27,1)))*(SUMPRODUCT(--('93_TARGET_MEMBERSHIP'!I$5:I$27=-1),'92_FEATURE_CONF_NUMERIC'!X$5:X$27)/MAX(1,COUNTIF('93_TARGET_MEMBERSHIP'!I$5:I$27,-1)))))</f>
        <v/>
      </c>
      <c r="X12" s="34">
        <f>IF($B12="ABSOLUTE SEMANTIC",'19_FEATURE_CONFIDENCE'!$D$26,SQRT((SUMPRODUCT(--('93_TARGET_MEMBERSHIP'!I$5:I$27=1),'92_FEATURE_CONF_NUMERIC'!Y$5:Y$27)/MAX(1,COUNTIF('93_TARGET_MEMBERSHIP'!I$5:I$27,1)))*(SUMPRODUCT(--('93_TARGET_MEMBERSHIP'!I$5:I$27=-1),'92_FEATURE_CONF_NUMERIC'!Y$5:Y$27)/MAX(1,COUNTIF('93_TARGET_MEMBERSHIP'!I$5:I$27,-1)))))</f>
        <v/>
      </c>
      <c r="Y12" s="34">
        <f>IF($B12="ABSOLUTE SEMANTIC",'19_FEATURE_CONFIDENCE'!$D$27,SQRT((SUMPRODUCT(--('93_TARGET_MEMBERSHIP'!I$5:I$27=1),'92_FEATURE_CONF_NUMERIC'!Z$5:Z$27)/MAX(1,COUNTIF('93_TARGET_MEMBERSHIP'!I$5:I$27,1)))*(SUMPRODUCT(--('93_TARGET_MEMBERSHIP'!I$5:I$27=-1),'92_FEATURE_CONF_NUMERIC'!Z$5:Z$27)/MAX(1,COUNTIF('93_TARGET_MEMBERSHIP'!I$5:I$27,-1)))))</f>
        <v/>
      </c>
      <c r="Z12" s="34">
        <f>IF($B12="ABSOLUTE SEMANTIC",'19_FEATURE_CONFIDENCE'!$D$28,SQRT((SUMPRODUCT(--('93_TARGET_MEMBERSHIP'!I$5:I$27=1),'92_FEATURE_CONF_NUMERIC'!AA$5:AA$27)/MAX(1,COUNTIF('93_TARGET_MEMBERSHIP'!I$5:I$27,1)))*(SUMPRODUCT(--('93_TARGET_MEMBERSHIP'!I$5:I$27=-1),'92_FEATURE_CONF_NUMERIC'!AA$5:AA$27)/MAX(1,COUNTIF('93_TARGET_MEMBERSHIP'!I$5:I$27,-1)))))</f>
        <v/>
      </c>
      <c r="AA12" s="34">
        <f>IF($B12="ABSOLUTE SEMANTIC",'19_FEATURE_CONFIDENCE'!$D$29,SQRT((SUMPRODUCT(--('93_TARGET_MEMBERSHIP'!I$5:I$27=1),'92_FEATURE_CONF_NUMERIC'!AB$5:AB$27)/MAX(1,COUNTIF('93_TARGET_MEMBERSHIP'!I$5:I$27,1)))*(SUMPRODUCT(--('93_TARGET_MEMBERSHIP'!I$5:I$27=-1),'92_FEATURE_CONF_NUMERIC'!AB$5:AB$27)/MAX(1,COUNTIF('93_TARGET_MEMBERSHIP'!I$5:I$27,-1)))))</f>
        <v/>
      </c>
      <c r="AB12" s="34">
        <f>IF($B12="ABSOLUTE SEMANTIC",'19_FEATURE_CONFIDENCE'!$D$30,SQRT((SUMPRODUCT(--('93_TARGET_MEMBERSHIP'!I$5:I$27=1),'92_FEATURE_CONF_NUMERIC'!AC$5:AC$27)/MAX(1,COUNTIF('93_TARGET_MEMBERSHIP'!I$5:I$27,1)))*(SUMPRODUCT(--('93_TARGET_MEMBERSHIP'!I$5:I$27=-1),'92_FEATURE_CONF_NUMERIC'!AC$5:AC$27)/MAX(1,COUNTIF('93_TARGET_MEMBERSHIP'!I$5:I$27,-1)))))</f>
        <v/>
      </c>
      <c r="AC12" s="34">
        <f>IF($B12="ABSOLUTE SEMANTIC",'19_FEATURE_CONFIDENCE'!$D$31,SQRT((SUMPRODUCT(--('93_TARGET_MEMBERSHIP'!I$5:I$27=1),'92_FEATURE_CONF_NUMERIC'!AD$5:AD$27)/MAX(1,COUNTIF('93_TARGET_MEMBERSHIP'!I$5:I$27,1)))*(SUMPRODUCT(--('93_TARGET_MEMBERSHIP'!I$5:I$27=-1),'92_FEATURE_CONF_NUMERIC'!AD$5:AD$27)/MAX(1,COUNTIF('93_TARGET_MEMBERSHIP'!I$5:I$27,-1)))))</f>
        <v/>
      </c>
      <c r="AD12" s="34">
        <f>IF($B12="ABSOLUTE SEMANTIC",'19_FEATURE_CONFIDENCE'!$D$32,SQRT((SUMPRODUCT(--('93_TARGET_MEMBERSHIP'!I$5:I$27=1),'92_FEATURE_CONF_NUMERIC'!AE$5:AE$27)/MAX(1,COUNTIF('93_TARGET_MEMBERSHIP'!I$5:I$27,1)))*(SUMPRODUCT(--('93_TARGET_MEMBERSHIP'!I$5:I$27=-1),'92_FEATURE_CONF_NUMERIC'!AE$5:AE$27)/MAX(1,COUNTIF('93_TARGET_MEMBERSHIP'!I$5:I$27,-1)))))</f>
        <v/>
      </c>
      <c r="AE12" s="34">
        <f>IF($B12="ABSOLUTE SEMANTIC",'19_FEATURE_CONFIDENCE'!$D$33,SQRT((SUMPRODUCT(--('93_TARGET_MEMBERSHIP'!I$5:I$27=1),'92_FEATURE_CONF_NUMERIC'!AF$5:AF$27)/MAX(1,COUNTIF('93_TARGET_MEMBERSHIP'!I$5:I$27,1)))*(SUMPRODUCT(--('93_TARGET_MEMBERSHIP'!I$5:I$27=-1),'92_FEATURE_CONF_NUMERIC'!AF$5:AF$27)/MAX(1,COUNTIF('93_TARGET_MEMBERSHIP'!I$5:I$27,-1)))))</f>
        <v/>
      </c>
      <c r="AF12" s="34">
        <f>IF($B12="ABSOLUTE SEMANTIC",'19_FEATURE_CONFIDENCE'!$D$34,SQRT((SUMPRODUCT(--('93_TARGET_MEMBERSHIP'!I$5:I$27=1),'92_FEATURE_CONF_NUMERIC'!AG$5:AG$27)/MAX(1,COUNTIF('93_TARGET_MEMBERSHIP'!I$5:I$27,1)))*(SUMPRODUCT(--('93_TARGET_MEMBERSHIP'!I$5:I$27=-1),'92_FEATURE_CONF_NUMERIC'!AG$5:AG$27)/MAX(1,COUNTIF('93_TARGET_MEMBERSHIP'!I$5:I$27,-1)))))</f>
        <v/>
      </c>
      <c r="AG12" s="34">
        <f>IF($B12="ABSOLUTE SEMANTIC",'19_FEATURE_CONFIDENCE'!$D$35,SQRT((SUMPRODUCT(--('93_TARGET_MEMBERSHIP'!I$5:I$27=1),'92_FEATURE_CONF_NUMERIC'!AH$5:AH$27)/MAX(1,COUNTIF('93_TARGET_MEMBERSHIP'!I$5:I$27,1)))*(SUMPRODUCT(--('93_TARGET_MEMBERSHIP'!I$5:I$27=-1),'92_FEATURE_CONF_NUMERIC'!AH$5:AH$27)/MAX(1,COUNTIF('93_TARGET_MEMBERSHIP'!I$5:I$27,-1)))))</f>
        <v/>
      </c>
      <c r="AH12" s="34">
        <f>IF($B12="ABSOLUTE SEMANTIC",'19_FEATURE_CONFIDENCE'!$D$36,SQRT((SUMPRODUCT(--('93_TARGET_MEMBERSHIP'!I$5:I$27=1),'92_FEATURE_CONF_NUMERIC'!AI$5:AI$27)/MAX(1,COUNTIF('93_TARGET_MEMBERSHIP'!I$5:I$27,1)))*(SUMPRODUCT(--('93_TARGET_MEMBERSHIP'!I$5:I$27=-1),'92_FEATURE_CONF_NUMERIC'!AI$5:AI$27)/MAX(1,COUNTIF('93_TARGET_MEMBERSHIP'!I$5:I$27,-1)))))</f>
        <v/>
      </c>
      <c r="AI12" s="34">
        <f>IF($B12="ABSOLUTE SEMANTIC",'19_FEATURE_CONFIDENCE'!$D$37,SQRT((SUMPRODUCT(--('93_TARGET_MEMBERSHIP'!I$5:I$27=1),'92_FEATURE_CONF_NUMERIC'!AJ$5:AJ$27)/MAX(1,COUNTIF('93_TARGET_MEMBERSHIP'!I$5:I$27,1)))*(SUMPRODUCT(--('93_TARGET_MEMBERSHIP'!I$5:I$27=-1),'92_FEATURE_CONF_NUMERIC'!AJ$5:AJ$27)/MAX(1,COUNTIF('93_TARGET_MEMBERSHIP'!I$5:I$27,-1)))))</f>
        <v/>
      </c>
      <c r="AJ12" s="34">
        <f>IF($B12="ABSOLUTE SEMANTIC",'19_FEATURE_CONFIDENCE'!$D$38,SQRT((SUMPRODUCT(--('93_TARGET_MEMBERSHIP'!I$5:I$27=1),'92_FEATURE_CONF_NUMERIC'!AK$5:AK$27)/MAX(1,COUNTIF('93_TARGET_MEMBERSHIP'!I$5:I$27,1)))*(SUMPRODUCT(--('93_TARGET_MEMBERSHIP'!I$5:I$27=-1),'92_FEATURE_CONF_NUMERIC'!AK$5:AK$27)/MAX(1,COUNTIF('93_TARGET_MEMBERSHIP'!I$5:I$27,-1)))))</f>
        <v/>
      </c>
      <c r="AK12" s="34">
        <f>IF($B12="ABSOLUTE SEMANTIC",'19_FEATURE_CONFIDENCE'!$D$39,SQRT((SUMPRODUCT(--('93_TARGET_MEMBERSHIP'!I$5:I$27=1),'92_FEATURE_CONF_NUMERIC'!AL$5:AL$27)/MAX(1,COUNTIF('93_TARGET_MEMBERSHIP'!I$5:I$27,1)))*(SUMPRODUCT(--('93_TARGET_MEMBERSHIP'!I$5:I$27=-1),'92_FEATURE_CONF_NUMERIC'!AL$5:AL$27)/MAX(1,COUNTIF('93_TARGET_MEMBERSHIP'!I$5:I$27,-1)))))</f>
        <v/>
      </c>
      <c r="AL12" s="34">
        <f>IF($B12="ABSOLUTE SEMANTIC",'19_FEATURE_CONFIDENCE'!$D$40,SQRT((SUMPRODUCT(--('93_TARGET_MEMBERSHIP'!I$5:I$27=1),'92_FEATURE_CONF_NUMERIC'!AM$5:AM$27)/MAX(1,COUNTIF('93_TARGET_MEMBERSHIP'!I$5:I$27,1)))*(SUMPRODUCT(--('93_TARGET_MEMBERSHIP'!I$5:I$27=-1),'92_FEATURE_CONF_NUMERIC'!AM$5:AM$27)/MAX(1,COUNTIF('93_TARGET_MEMBERSHIP'!I$5:I$27,-1)))))</f>
        <v/>
      </c>
      <c r="AM12" s="34">
        <f>IF($B12="ABSOLUTE SEMANTIC",'19_FEATURE_CONFIDENCE'!$D$41,SQRT((SUMPRODUCT(--('93_TARGET_MEMBERSHIP'!I$5:I$27=1),'92_FEATURE_CONF_NUMERIC'!AN$5:AN$27)/MAX(1,COUNTIF('93_TARGET_MEMBERSHIP'!I$5:I$27,1)))*(SUMPRODUCT(--('93_TARGET_MEMBERSHIP'!I$5:I$27=-1),'92_FEATURE_CONF_NUMERIC'!AN$5:AN$27)/MAX(1,COUNTIF('93_TARGET_MEMBERSHIP'!I$5:I$27,-1)))))</f>
        <v/>
      </c>
      <c r="AN12" s="34">
        <f>IF($B12="ABSOLUTE SEMANTIC",'19_FEATURE_CONFIDENCE'!$D$42,SQRT((SUMPRODUCT(--('93_TARGET_MEMBERSHIP'!I$5:I$27=1),'92_FEATURE_CONF_NUMERIC'!AO$5:AO$27)/MAX(1,COUNTIF('93_TARGET_MEMBERSHIP'!I$5:I$27,1)))*(SUMPRODUCT(--('93_TARGET_MEMBERSHIP'!I$5:I$27=-1),'92_FEATURE_CONF_NUMERIC'!AO$5:AO$27)/MAX(1,COUNTIF('93_TARGET_MEMBERSHIP'!I$5:I$27,-1)))))</f>
        <v/>
      </c>
      <c r="AO12" s="34">
        <f>IF($B12="ABSOLUTE SEMANTIC",'19_FEATURE_CONFIDENCE'!$D$43,SQRT((SUMPRODUCT(--('93_TARGET_MEMBERSHIP'!I$5:I$27=1),'92_FEATURE_CONF_NUMERIC'!AP$5:AP$27)/MAX(1,COUNTIF('93_TARGET_MEMBERSHIP'!I$5:I$27,1)))*(SUMPRODUCT(--('93_TARGET_MEMBERSHIP'!I$5:I$27=-1),'92_FEATURE_CONF_NUMERIC'!AP$5:AP$27)/MAX(1,COUNTIF('93_TARGET_MEMBERSHIP'!I$5:I$27,-1)))))</f>
        <v/>
      </c>
      <c r="AP12" s="34">
        <f>IF($B12="ABSOLUTE SEMANTIC",'19_FEATURE_CONFIDENCE'!$D$44,SQRT((SUMPRODUCT(--('93_TARGET_MEMBERSHIP'!I$5:I$27=1),'92_FEATURE_CONF_NUMERIC'!AQ$5:AQ$27)/MAX(1,COUNTIF('93_TARGET_MEMBERSHIP'!I$5:I$27,1)))*(SUMPRODUCT(--('93_TARGET_MEMBERSHIP'!I$5:I$27=-1),'92_FEATURE_CONF_NUMERIC'!AQ$5:AQ$27)/MAX(1,COUNTIF('93_TARGET_MEMBERSHIP'!I$5:I$27,-1)))))</f>
        <v/>
      </c>
      <c r="AQ12" s="34">
        <f>IF($B12="ABSOLUTE SEMANTIC",'19_FEATURE_CONFIDENCE'!$D$45,SQRT((SUMPRODUCT(--('93_TARGET_MEMBERSHIP'!I$5:I$27=1),'92_FEATURE_CONF_NUMERIC'!AR$5:AR$27)/MAX(1,COUNTIF('93_TARGET_MEMBERSHIP'!I$5:I$27,1)))*(SUMPRODUCT(--('93_TARGET_MEMBERSHIP'!I$5:I$27=-1),'92_FEATURE_CONF_NUMERIC'!AR$5:AR$27)/MAX(1,COUNTIF('93_TARGET_MEMBERSHIP'!I$5:I$27,-1)))))</f>
        <v/>
      </c>
    </row>
    <row r="13" ht="36" customHeight="1">
      <c r="A13" s="34">
        <f>'06_ITEM_POLE_MODEL'!A13</f>
        <v/>
      </c>
      <c r="B13" s="34">
        <f>'06_ITEM_POLE_MODEL'!E13</f>
        <v/>
      </c>
      <c r="C13" s="34">
        <f>IF($B13="ABSOLUTE SEMANTIC",'19_FEATURE_CONFIDENCE'!$D$5,SQRT((SUMPRODUCT(--('93_TARGET_MEMBERSHIP'!J$5:J$27=1),'92_FEATURE_CONF_NUMERIC'!D$5:D$27)/MAX(1,COUNTIF('93_TARGET_MEMBERSHIP'!J$5:J$27,1)))*(SUMPRODUCT(--('93_TARGET_MEMBERSHIP'!J$5:J$27=-1),'92_FEATURE_CONF_NUMERIC'!D$5:D$27)/MAX(1,COUNTIF('93_TARGET_MEMBERSHIP'!J$5:J$27,-1)))))</f>
        <v/>
      </c>
      <c r="D13" s="34">
        <f>IF($B13="ABSOLUTE SEMANTIC",'19_FEATURE_CONFIDENCE'!$D$6,SQRT((SUMPRODUCT(--('93_TARGET_MEMBERSHIP'!J$5:J$27=1),'92_FEATURE_CONF_NUMERIC'!E$5:E$27)/MAX(1,COUNTIF('93_TARGET_MEMBERSHIP'!J$5:J$27,1)))*(SUMPRODUCT(--('93_TARGET_MEMBERSHIP'!J$5:J$27=-1),'92_FEATURE_CONF_NUMERIC'!E$5:E$27)/MAX(1,COUNTIF('93_TARGET_MEMBERSHIP'!J$5:J$27,-1)))))</f>
        <v/>
      </c>
      <c r="E13" s="34">
        <f>IF($B13="ABSOLUTE SEMANTIC",'19_FEATURE_CONFIDENCE'!$D$7,SQRT((SUMPRODUCT(--('93_TARGET_MEMBERSHIP'!J$5:J$27=1),'92_FEATURE_CONF_NUMERIC'!F$5:F$27)/MAX(1,COUNTIF('93_TARGET_MEMBERSHIP'!J$5:J$27,1)))*(SUMPRODUCT(--('93_TARGET_MEMBERSHIP'!J$5:J$27=-1),'92_FEATURE_CONF_NUMERIC'!F$5:F$27)/MAX(1,COUNTIF('93_TARGET_MEMBERSHIP'!J$5:J$27,-1)))))</f>
        <v/>
      </c>
      <c r="F13" s="34">
        <f>IF($B13="ABSOLUTE SEMANTIC",'19_FEATURE_CONFIDENCE'!$D$8,SQRT((SUMPRODUCT(--('93_TARGET_MEMBERSHIP'!J$5:J$27=1),'92_FEATURE_CONF_NUMERIC'!G$5:G$27)/MAX(1,COUNTIF('93_TARGET_MEMBERSHIP'!J$5:J$27,1)))*(SUMPRODUCT(--('93_TARGET_MEMBERSHIP'!J$5:J$27=-1),'92_FEATURE_CONF_NUMERIC'!G$5:G$27)/MAX(1,COUNTIF('93_TARGET_MEMBERSHIP'!J$5:J$27,-1)))))</f>
        <v/>
      </c>
      <c r="G13" s="34">
        <f>IF($B13="ABSOLUTE SEMANTIC",'19_FEATURE_CONFIDENCE'!$D$9,SQRT((SUMPRODUCT(--('93_TARGET_MEMBERSHIP'!J$5:J$27=1),'92_FEATURE_CONF_NUMERIC'!H$5:H$27)/MAX(1,COUNTIF('93_TARGET_MEMBERSHIP'!J$5:J$27,1)))*(SUMPRODUCT(--('93_TARGET_MEMBERSHIP'!J$5:J$27=-1),'92_FEATURE_CONF_NUMERIC'!H$5:H$27)/MAX(1,COUNTIF('93_TARGET_MEMBERSHIP'!J$5:J$27,-1)))))</f>
        <v/>
      </c>
      <c r="H13" s="34">
        <f>IF($B13="ABSOLUTE SEMANTIC",'19_FEATURE_CONFIDENCE'!$D$10,SQRT((SUMPRODUCT(--('93_TARGET_MEMBERSHIP'!J$5:J$27=1),'92_FEATURE_CONF_NUMERIC'!I$5:I$27)/MAX(1,COUNTIF('93_TARGET_MEMBERSHIP'!J$5:J$27,1)))*(SUMPRODUCT(--('93_TARGET_MEMBERSHIP'!J$5:J$27=-1),'92_FEATURE_CONF_NUMERIC'!I$5:I$27)/MAX(1,COUNTIF('93_TARGET_MEMBERSHIP'!J$5:J$27,-1)))))</f>
        <v/>
      </c>
      <c r="I13" s="34">
        <f>IF($B13="ABSOLUTE SEMANTIC",'19_FEATURE_CONFIDENCE'!$D$11,SQRT((SUMPRODUCT(--('93_TARGET_MEMBERSHIP'!J$5:J$27=1),'92_FEATURE_CONF_NUMERIC'!J$5:J$27)/MAX(1,COUNTIF('93_TARGET_MEMBERSHIP'!J$5:J$27,1)))*(SUMPRODUCT(--('93_TARGET_MEMBERSHIP'!J$5:J$27=-1),'92_FEATURE_CONF_NUMERIC'!J$5:J$27)/MAX(1,COUNTIF('93_TARGET_MEMBERSHIP'!J$5:J$27,-1)))))</f>
        <v/>
      </c>
      <c r="J13" s="34">
        <f>IF($B13="ABSOLUTE SEMANTIC",'19_FEATURE_CONFIDENCE'!$D$12,SQRT((SUMPRODUCT(--('93_TARGET_MEMBERSHIP'!J$5:J$27=1),'92_FEATURE_CONF_NUMERIC'!K$5:K$27)/MAX(1,COUNTIF('93_TARGET_MEMBERSHIP'!J$5:J$27,1)))*(SUMPRODUCT(--('93_TARGET_MEMBERSHIP'!J$5:J$27=-1),'92_FEATURE_CONF_NUMERIC'!K$5:K$27)/MAX(1,COUNTIF('93_TARGET_MEMBERSHIP'!J$5:J$27,-1)))))</f>
        <v/>
      </c>
      <c r="K13" s="34">
        <f>IF($B13="ABSOLUTE SEMANTIC",'19_FEATURE_CONFIDENCE'!$D$13,SQRT((SUMPRODUCT(--('93_TARGET_MEMBERSHIP'!J$5:J$27=1),'92_FEATURE_CONF_NUMERIC'!L$5:L$27)/MAX(1,COUNTIF('93_TARGET_MEMBERSHIP'!J$5:J$27,1)))*(SUMPRODUCT(--('93_TARGET_MEMBERSHIP'!J$5:J$27=-1),'92_FEATURE_CONF_NUMERIC'!L$5:L$27)/MAX(1,COUNTIF('93_TARGET_MEMBERSHIP'!J$5:J$27,-1)))))</f>
        <v/>
      </c>
      <c r="L13" s="34">
        <f>IF($B13="ABSOLUTE SEMANTIC",'19_FEATURE_CONFIDENCE'!$D$14,SQRT((SUMPRODUCT(--('93_TARGET_MEMBERSHIP'!J$5:J$27=1),'92_FEATURE_CONF_NUMERIC'!M$5:M$27)/MAX(1,COUNTIF('93_TARGET_MEMBERSHIP'!J$5:J$27,1)))*(SUMPRODUCT(--('93_TARGET_MEMBERSHIP'!J$5:J$27=-1),'92_FEATURE_CONF_NUMERIC'!M$5:M$27)/MAX(1,COUNTIF('93_TARGET_MEMBERSHIP'!J$5:J$27,-1)))))</f>
        <v/>
      </c>
      <c r="M13" s="34">
        <f>IF($B13="ABSOLUTE SEMANTIC",'19_FEATURE_CONFIDENCE'!$D$15,SQRT((SUMPRODUCT(--('93_TARGET_MEMBERSHIP'!J$5:J$27=1),'92_FEATURE_CONF_NUMERIC'!N$5:N$27)/MAX(1,COUNTIF('93_TARGET_MEMBERSHIP'!J$5:J$27,1)))*(SUMPRODUCT(--('93_TARGET_MEMBERSHIP'!J$5:J$27=-1),'92_FEATURE_CONF_NUMERIC'!N$5:N$27)/MAX(1,COUNTIF('93_TARGET_MEMBERSHIP'!J$5:J$27,-1)))))</f>
        <v/>
      </c>
      <c r="N13" s="34">
        <f>IF($B13="ABSOLUTE SEMANTIC",'19_FEATURE_CONFIDENCE'!$D$16,SQRT((SUMPRODUCT(--('93_TARGET_MEMBERSHIP'!J$5:J$27=1),'92_FEATURE_CONF_NUMERIC'!O$5:O$27)/MAX(1,COUNTIF('93_TARGET_MEMBERSHIP'!J$5:J$27,1)))*(SUMPRODUCT(--('93_TARGET_MEMBERSHIP'!J$5:J$27=-1),'92_FEATURE_CONF_NUMERIC'!O$5:O$27)/MAX(1,COUNTIF('93_TARGET_MEMBERSHIP'!J$5:J$27,-1)))))</f>
        <v/>
      </c>
      <c r="O13" s="34">
        <f>IF($B13="ABSOLUTE SEMANTIC",'19_FEATURE_CONFIDENCE'!$D$17,SQRT((SUMPRODUCT(--('93_TARGET_MEMBERSHIP'!J$5:J$27=1),'92_FEATURE_CONF_NUMERIC'!P$5:P$27)/MAX(1,COUNTIF('93_TARGET_MEMBERSHIP'!J$5:J$27,1)))*(SUMPRODUCT(--('93_TARGET_MEMBERSHIP'!J$5:J$27=-1),'92_FEATURE_CONF_NUMERIC'!P$5:P$27)/MAX(1,COUNTIF('93_TARGET_MEMBERSHIP'!J$5:J$27,-1)))))</f>
        <v/>
      </c>
      <c r="P13" s="34">
        <f>IF($B13="ABSOLUTE SEMANTIC",'19_FEATURE_CONFIDENCE'!$D$18,SQRT((SUMPRODUCT(--('93_TARGET_MEMBERSHIP'!J$5:J$27=1),'92_FEATURE_CONF_NUMERIC'!Q$5:Q$27)/MAX(1,COUNTIF('93_TARGET_MEMBERSHIP'!J$5:J$27,1)))*(SUMPRODUCT(--('93_TARGET_MEMBERSHIP'!J$5:J$27=-1),'92_FEATURE_CONF_NUMERIC'!Q$5:Q$27)/MAX(1,COUNTIF('93_TARGET_MEMBERSHIP'!J$5:J$27,-1)))))</f>
        <v/>
      </c>
      <c r="Q13" s="34">
        <f>IF($B13="ABSOLUTE SEMANTIC",'19_FEATURE_CONFIDENCE'!$D$19,SQRT((SUMPRODUCT(--('93_TARGET_MEMBERSHIP'!J$5:J$27=1),'92_FEATURE_CONF_NUMERIC'!R$5:R$27)/MAX(1,COUNTIF('93_TARGET_MEMBERSHIP'!J$5:J$27,1)))*(SUMPRODUCT(--('93_TARGET_MEMBERSHIP'!J$5:J$27=-1),'92_FEATURE_CONF_NUMERIC'!R$5:R$27)/MAX(1,COUNTIF('93_TARGET_MEMBERSHIP'!J$5:J$27,-1)))))</f>
        <v/>
      </c>
      <c r="R13" s="34">
        <f>IF($B13="ABSOLUTE SEMANTIC",'19_FEATURE_CONFIDENCE'!$D$20,SQRT((SUMPRODUCT(--('93_TARGET_MEMBERSHIP'!J$5:J$27=1),'92_FEATURE_CONF_NUMERIC'!S$5:S$27)/MAX(1,COUNTIF('93_TARGET_MEMBERSHIP'!J$5:J$27,1)))*(SUMPRODUCT(--('93_TARGET_MEMBERSHIP'!J$5:J$27=-1),'92_FEATURE_CONF_NUMERIC'!S$5:S$27)/MAX(1,COUNTIF('93_TARGET_MEMBERSHIP'!J$5:J$27,-1)))))</f>
        <v/>
      </c>
      <c r="S13" s="34">
        <f>IF($B13="ABSOLUTE SEMANTIC",'19_FEATURE_CONFIDENCE'!$D$21,SQRT((SUMPRODUCT(--('93_TARGET_MEMBERSHIP'!J$5:J$27=1),'92_FEATURE_CONF_NUMERIC'!T$5:T$27)/MAX(1,COUNTIF('93_TARGET_MEMBERSHIP'!J$5:J$27,1)))*(SUMPRODUCT(--('93_TARGET_MEMBERSHIP'!J$5:J$27=-1),'92_FEATURE_CONF_NUMERIC'!T$5:T$27)/MAX(1,COUNTIF('93_TARGET_MEMBERSHIP'!J$5:J$27,-1)))))</f>
        <v/>
      </c>
      <c r="T13" s="34">
        <f>IF($B13="ABSOLUTE SEMANTIC",'19_FEATURE_CONFIDENCE'!$D$22,SQRT((SUMPRODUCT(--('93_TARGET_MEMBERSHIP'!J$5:J$27=1),'92_FEATURE_CONF_NUMERIC'!U$5:U$27)/MAX(1,COUNTIF('93_TARGET_MEMBERSHIP'!J$5:J$27,1)))*(SUMPRODUCT(--('93_TARGET_MEMBERSHIP'!J$5:J$27=-1),'92_FEATURE_CONF_NUMERIC'!U$5:U$27)/MAX(1,COUNTIF('93_TARGET_MEMBERSHIP'!J$5:J$27,-1)))))</f>
        <v/>
      </c>
      <c r="U13" s="34">
        <f>IF($B13="ABSOLUTE SEMANTIC",'19_FEATURE_CONFIDENCE'!$D$23,SQRT((SUMPRODUCT(--('93_TARGET_MEMBERSHIP'!J$5:J$27=1),'92_FEATURE_CONF_NUMERIC'!V$5:V$27)/MAX(1,COUNTIF('93_TARGET_MEMBERSHIP'!J$5:J$27,1)))*(SUMPRODUCT(--('93_TARGET_MEMBERSHIP'!J$5:J$27=-1),'92_FEATURE_CONF_NUMERIC'!V$5:V$27)/MAX(1,COUNTIF('93_TARGET_MEMBERSHIP'!J$5:J$27,-1)))))</f>
        <v/>
      </c>
      <c r="V13" s="34">
        <f>IF($B13="ABSOLUTE SEMANTIC",'19_FEATURE_CONFIDENCE'!$D$24,SQRT((SUMPRODUCT(--('93_TARGET_MEMBERSHIP'!J$5:J$27=1),'92_FEATURE_CONF_NUMERIC'!W$5:W$27)/MAX(1,COUNTIF('93_TARGET_MEMBERSHIP'!J$5:J$27,1)))*(SUMPRODUCT(--('93_TARGET_MEMBERSHIP'!J$5:J$27=-1),'92_FEATURE_CONF_NUMERIC'!W$5:W$27)/MAX(1,COUNTIF('93_TARGET_MEMBERSHIP'!J$5:J$27,-1)))))</f>
        <v/>
      </c>
      <c r="W13" s="34">
        <f>IF($B13="ABSOLUTE SEMANTIC",'19_FEATURE_CONFIDENCE'!$D$25,SQRT((SUMPRODUCT(--('93_TARGET_MEMBERSHIP'!J$5:J$27=1),'92_FEATURE_CONF_NUMERIC'!X$5:X$27)/MAX(1,COUNTIF('93_TARGET_MEMBERSHIP'!J$5:J$27,1)))*(SUMPRODUCT(--('93_TARGET_MEMBERSHIP'!J$5:J$27=-1),'92_FEATURE_CONF_NUMERIC'!X$5:X$27)/MAX(1,COUNTIF('93_TARGET_MEMBERSHIP'!J$5:J$27,-1)))))</f>
        <v/>
      </c>
      <c r="X13" s="34">
        <f>IF($B13="ABSOLUTE SEMANTIC",'19_FEATURE_CONFIDENCE'!$D$26,SQRT((SUMPRODUCT(--('93_TARGET_MEMBERSHIP'!J$5:J$27=1),'92_FEATURE_CONF_NUMERIC'!Y$5:Y$27)/MAX(1,COUNTIF('93_TARGET_MEMBERSHIP'!J$5:J$27,1)))*(SUMPRODUCT(--('93_TARGET_MEMBERSHIP'!J$5:J$27=-1),'92_FEATURE_CONF_NUMERIC'!Y$5:Y$27)/MAX(1,COUNTIF('93_TARGET_MEMBERSHIP'!J$5:J$27,-1)))))</f>
        <v/>
      </c>
      <c r="Y13" s="34">
        <f>IF($B13="ABSOLUTE SEMANTIC",'19_FEATURE_CONFIDENCE'!$D$27,SQRT((SUMPRODUCT(--('93_TARGET_MEMBERSHIP'!J$5:J$27=1),'92_FEATURE_CONF_NUMERIC'!Z$5:Z$27)/MAX(1,COUNTIF('93_TARGET_MEMBERSHIP'!J$5:J$27,1)))*(SUMPRODUCT(--('93_TARGET_MEMBERSHIP'!J$5:J$27=-1),'92_FEATURE_CONF_NUMERIC'!Z$5:Z$27)/MAX(1,COUNTIF('93_TARGET_MEMBERSHIP'!J$5:J$27,-1)))))</f>
        <v/>
      </c>
      <c r="Z13" s="34">
        <f>IF($B13="ABSOLUTE SEMANTIC",'19_FEATURE_CONFIDENCE'!$D$28,SQRT((SUMPRODUCT(--('93_TARGET_MEMBERSHIP'!J$5:J$27=1),'92_FEATURE_CONF_NUMERIC'!AA$5:AA$27)/MAX(1,COUNTIF('93_TARGET_MEMBERSHIP'!J$5:J$27,1)))*(SUMPRODUCT(--('93_TARGET_MEMBERSHIP'!J$5:J$27=-1),'92_FEATURE_CONF_NUMERIC'!AA$5:AA$27)/MAX(1,COUNTIF('93_TARGET_MEMBERSHIP'!J$5:J$27,-1)))))</f>
        <v/>
      </c>
      <c r="AA13" s="34">
        <f>IF($B13="ABSOLUTE SEMANTIC",'19_FEATURE_CONFIDENCE'!$D$29,SQRT((SUMPRODUCT(--('93_TARGET_MEMBERSHIP'!J$5:J$27=1),'92_FEATURE_CONF_NUMERIC'!AB$5:AB$27)/MAX(1,COUNTIF('93_TARGET_MEMBERSHIP'!J$5:J$27,1)))*(SUMPRODUCT(--('93_TARGET_MEMBERSHIP'!J$5:J$27=-1),'92_FEATURE_CONF_NUMERIC'!AB$5:AB$27)/MAX(1,COUNTIF('93_TARGET_MEMBERSHIP'!J$5:J$27,-1)))))</f>
        <v/>
      </c>
      <c r="AB13" s="34">
        <f>IF($B13="ABSOLUTE SEMANTIC",'19_FEATURE_CONFIDENCE'!$D$30,SQRT((SUMPRODUCT(--('93_TARGET_MEMBERSHIP'!J$5:J$27=1),'92_FEATURE_CONF_NUMERIC'!AC$5:AC$27)/MAX(1,COUNTIF('93_TARGET_MEMBERSHIP'!J$5:J$27,1)))*(SUMPRODUCT(--('93_TARGET_MEMBERSHIP'!J$5:J$27=-1),'92_FEATURE_CONF_NUMERIC'!AC$5:AC$27)/MAX(1,COUNTIF('93_TARGET_MEMBERSHIP'!J$5:J$27,-1)))))</f>
        <v/>
      </c>
      <c r="AC13" s="34">
        <f>IF($B13="ABSOLUTE SEMANTIC",'19_FEATURE_CONFIDENCE'!$D$31,SQRT((SUMPRODUCT(--('93_TARGET_MEMBERSHIP'!J$5:J$27=1),'92_FEATURE_CONF_NUMERIC'!AD$5:AD$27)/MAX(1,COUNTIF('93_TARGET_MEMBERSHIP'!J$5:J$27,1)))*(SUMPRODUCT(--('93_TARGET_MEMBERSHIP'!J$5:J$27=-1),'92_FEATURE_CONF_NUMERIC'!AD$5:AD$27)/MAX(1,COUNTIF('93_TARGET_MEMBERSHIP'!J$5:J$27,-1)))))</f>
        <v/>
      </c>
      <c r="AD13" s="34">
        <f>IF($B13="ABSOLUTE SEMANTIC",'19_FEATURE_CONFIDENCE'!$D$32,SQRT((SUMPRODUCT(--('93_TARGET_MEMBERSHIP'!J$5:J$27=1),'92_FEATURE_CONF_NUMERIC'!AE$5:AE$27)/MAX(1,COUNTIF('93_TARGET_MEMBERSHIP'!J$5:J$27,1)))*(SUMPRODUCT(--('93_TARGET_MEMBERSHIP'!J$5:J$27=-1),'92_FEATURE_CONF_NUMERIC'!AE$5:AE$27)/MAX(1,COUNTIF('93_TARGET_MEMBERSHIP'!J$5:J$27,-1)))))</f>
        <v/>
      </c>
      <c r="AE13" s="34">
        <f>IF($B13="ABSOLUTE SEMANTIC",'19_FEATURE_CONFIDENCE'!$D$33,SQRT((SUMPRODUCT(--('93_TARGET_MEMBERSHIP'!J$5:J$27=1),'92_FEATURE_CONF_NUMERIC'!AF$5:AF$27)/MAX(1,COUNTIF('93_TARGET_MEMBERSHIP'!J$5:J$27,1)))*(SUMPRODUCT(--('93_TARGET_MEMBERSHIP'!J$5:J$27=-1),'92_FEATURE_CONF_NUMERIC'!AF$5:AF$27)/MAX(1,COUNTIF('93_TARGET_MEMBERSHIP'!J$5:J$27,-1)))))</f>
        <v/>
      </c>
      <c r="AF13" s="34">
        <f>IF($B13="ABSOLUTE SEMANTIC",'19_FEATURE_CONFIDENCE'!$D$34,SQRT((SUMPRODUCT(--('93_TARGET_MEMBERSHIP'!J$5:J$27=1),'92_FEATURE_CONF_NUMERIC'!AG$5:AG$27)/MAX(1,COUNTIF('93_TARGET_MEMBERSHIP'!J$5:J$27,1)))*(SUMPRODUCT(--('93_TARGET_MEMBERSHIP'!J$5:J$27=-1),'92_FEATURE_CONF_NUMERIC'!AG$5:AG$27)/MAX(1,COUNTIF('93_TARGET_MEMBERSHIP'!J$5:J$27,-1)))))</f>
        <v/>
      </c>
      <c r="AG13" s="34">
        <f>IF($B13="ABSOLUTE SEMANTIC",'19_FEATURE_CONFIDENCE'!$D$35,SQRT((SUMPRODUCT(--('93_TARGET_MEMBERSHIP'!J$5:J$27=1),'92_FEATURE_CONF_NUMERIC'!AH$5:AH$27)/MAX(1,COUNTIF('93_TARGET_MEMBERSHIP'!J$5:J$27,1)))*(SUMPRODUCT(--('93_TARGET_MEMBERSHIP'!J$5:J$27=-1),'92_FEATURE_CONF_NUMERIC'!AH$5:AH$27)/MAX(1,COUNTIF('93_TARGET_MEMBERSHIP'!J$5:J$27,-1)))))</f>
        <v/>
      </c>
      <c r="AH13" s="34">
        <f>IF($B13="ABSOLUTE SEMANTIC",'19_FEATURE_CONFIDENCE'!$D$36,SQRT((SUMPRODUCT(--('93_TARGET_MEMBERSHIP'!J$5:J$27=1),'92_FEATURE_CONF_NUMERIC'!AI$5:AI$27)/MAX(1,COUNTIF('93_TARGET_MEMBERSHIP'!J$5:J$27,1)))*(SUMPRODUCT(--('93_TARGET_MEMBERSHIP'!J$5:J$27=-1),'92_FEATURE_CONF_NUMERIC'!AI$5:AI$27)/MAX(1,COUNTIF('93_TARGET_MEMBERSHIP'!J$5:J$27,-1)))))</f>
        <v/>
      </c>
      <c r="AI13" s="34">
        <f>IF($B13="ABSOLUTE SEMANTIC",'19_FEATURE_CONFIDENCE'!$D$37,SQRT((SUMPRODUCT(--('93_TARGET_MEMBERSHIP'!J$5:J$27=1),'92_FEATURE_CONF_NUMERIC'!AJ$5:AJ$27)/MAX(1,COUNTIF('93_TARGET_MEMBERSHIP'!J$5:J$27,1)))*(SUMPRODUCT(--('93_TARGET_MEMBERSHIP'!J$5:J$27=-1),'92_FEATURE_CONF_NUMERIC'!AJ$5:AJ$27)/MAX(1,COUNTIF('93_TARGET_MEMBERSHIP'!J$5:J$27,-1)))))</f>
        <v/>
      </c>
      <c r="AJ13" s="34">
        <f>IF($B13="ABSOLUTE SEMANTIC",'19_FEATURE_CONFIDENCE'!$D$38,SQRT((SUMPRODUCT(--('93_TARGET_MEMBERSHIP'!J$5:J$27=1),'92_FEATURE_CONF_NUMERIC'!AK$5:AK$27)/MAX(1,COUNTIF('93_TARGET_MEMBERSHIP'!J$5:J$27,1)))*(SUMPRODUCT(--('93_TARGET_MEMBERSHIP'!J$5:J$27=-1),'92_FEATURE_CONF_NUMERIC'!AK$5:AK$27)/MAX(1,COUNTIF('93_TARGET_MEMBERSHIP'!J$5:J$27,-1)))))</f>
        <v/>
      </c>
      <c r="AK13" s="34">
        <f>IF($B13="ABSOLUTE SEMANTIC",'19_FEATURE_CONFIDENCE'!$D$39,SQRT((SUMPRODUCT(--('93_TARGET_MEMBERSHIP'!J$5:J$27=1),'92_FEATURE_CONF_NUMERIC'!AL$5:AL$27)/MAX(1,COUNTIF('93_TARGET_MEMBERSHIP'!J$5:J$27,1)))*(SUMPRODUCT(--('93_TARGET_MEMBERSHIP'!J$5:J$27=-1),'92_FEATURE_CONF_NUMERIC'!AL$5:AL$27)/MAX(1,COUNTIF('93_TARGET_MEMBERSHIP'!J$5:J$27,-1)))))</f>
        <v/>
      </c>
      <c r="AL13" s="34">
        <f>IF($B13="ABSOLUTE SEMANTIC",'19_FEATURE_CONFIDENCE'!$D$40,SQRT((SUMPRODUCT(--('93_TARGET_MEMBERSHIP'!J$5:J$27=1),'92_FEATURE_CONF_NUMERIC'!AM$5:AM$27)/MAX(1,COUNTIF('93_TARGET_MEMBERSHIP'!J$5:J$27,1)))*(SUMPRODUCT(--('93_TARGET_MEMBERSHIP'!J$5:J$27=-1),'92_FEATURE_CONF_NUMERIC'!AM$5:AM$27)/MAX(1,COUNTIF('93_TARGET_MEMBERSHIP'!J$5:J$27,-1)))))</f>
        <v/>
      </c>
      <c r="AM13" s="34">
        <f>IF($B13="ABSOLUTE SEMANTIC",'19_FEATURE_CONFIDENCE'!$D$41,SQRT((SUMPRODUCT(--('93_TARGET_MEMBERSHIP'!J$5:J$27=1),'92_FEATURE_CONF_NUMERIC'!AN$5:AN$27)/MAX(1,COUNTIF('93_TARGET_MEMBERSHIP'!J$5:J$27,1)))*(SUMPRODUCT(--('93_TARGET_MEMBERSHIP'!J$5:J$27=-1),'92_FEATURE_CONF_NUMERIC'!AN$5:AN$27)/MAX(1,COUNTIF('93_TARGET_MEMBERSHIP'!J$5:J$27,-1)))))</f>
        <v/>
      </c>
      <c r="AN13" s="34">
        <f>IF($B13="ABSOLUTE SEMANTIC",'19_FEATURE_CONFIDENCE'!$D$42,SQRT((SUMPRODUCT(--('93_TARGET_MEMBERSHIP'!J$5:J$27=1),'92_FEATURE_CONF_NUMERIC'!AO$5:AO$27)/MAX(1,COUNTIF('93_TARGET_MEMBERSHIP'!J$5:J$27,1)))*(SUMPRODUCT(--('93_TARGET_MEMBERSHIP'!J$5:J$27=-1),'92_FEATURE_CONF_NUMERIC'!AO$5:AO$27)/MAX(1,COUNTIF('93_TARGET_MEMBERSHIP'!J$5:J$27,-1)))))</f>
        <v/>
      </c>
      <c r="AO13" s="34">
        <f>IF($B13="ABSOLUTE SEMANTIC",'19_FEATURE_CONFIDENCE'!$D$43,SQRT((SUMPRODUCT(--('93_TARGET_MEMBERSHIP'!J$5:J$27=1),'92_FEATURE_CONF_NUMERIC'!AP$5:AP$27)/MAX(1,COUNTIF('93_TARGET_MEMBERSHIP'!J$5:J$27,1)))*(SUMPRODUCT(--('93_TARGET_MEMBERSHIP'!J$5:J$27=-1),'92_FEATURE_CONF_NUMERIC'!AP$5:AP$27)/MAX(1,COUNTIF('93_TARGET_MEMBERSHIP'!J$5:J$27,-1)))))</f>
        <v/>
      </c>
      <c r="AP13" s="34">
        <f>IF($B13="ABSOLUTE SEMANTIC",'19_FEATURE_CONFIDENCE'!$D$44,SQRT((SUMPRODUCT(--('93_TARGET_MEMBERSHIP'!J$5:J$27=1),'92_FEATURE_CONF_NUMERIC'!AQ$5:AQ$27)/MAX(1,COUNTIF('93_TARGET_MEMBERSHIP'!J$5:J$27,1)))*(SUMPRODUCT(--('93_TARGET_MEMBERSHIP'!J$5:J$27=-1),'92_FEATURE_CONF_NUMERIC'!AQ$5:AQ$27)/MAX(1,COUNTIF('93_TARGET_MEMBERSHIP'!J$5:J$27,-1)))))</f>
        <v/>
      </c>
      <c r="AQ13" s="34">
        <f>IF($B13="ABSOLUTE SEMANTIC",'19_FEATURE_CONFIDENCE'!$D$45,SQRT((SUMPRODUCT(--('93_TARGET_MEMBERSHIP'!J$5:J$27=1),'92_FEATURE_CONF_NUMERIC'!AR$5:AR$27)/MAX(1,COUNTIF('93_TARGET_MEMBERSHIP'!J$5:J$27,1)))*(SUMPRODUCT(--('93_TARGET_MEMBERSHIP'!J$5:J$27=-1),'92_FEATURE_CONF_NUMERIC'!AR$5:AR$27)/MAX(1,COUNTIF('93_TARGET_MEMBERSHIP'!J$5:J$27,-1)))))</f>
        <v/>
      </c>
    </row>
    <row r="14" ht="36" customHeight="1">
      <c r="A14" s="34">
        <f>'06_ITEM_POLE_MODEL'!A14</f>
        <v/>
      </c>
      <c r="B14" s="34">
        <f>'06_ITEM_POLE_MODEL'!E14</f>
        <v/>
      </c>
      <c r="C14" s="34">
        <f>IF($B14="ABSOLUTE SEMANTIC",'19_FEATURE_CONFIDENCE'!$D$5,SQRT((SUMPRODUCT(--('93_TARGET_MEMBERSHIP'!K$5:K$27=1),'92_FEATURE_CONF_NUMERIC'!D$5:D$27)/MAX(1,COUNTIF('93_TARGET_MEMBERSHIP'!K$5:K$27,1)))*(SUMPRODUCT(--('93_TARGET_MEMBERSHIP'!K$5:K$27=-1),'92_FEATURE_CONF_NUMERIC'!D$5:D$27)/MAX(1,COUNTIF('93_TARGET_MEMBERSHIP'!K$5:K$27,-1)))))</f>
        <v/>
      </c>
      <c r="D14" s="34">
        <f>IF($B14="ABSOLUTE SEMANTIC",'19_FEATURE_CONFIDENCE'!$D$6,SQRT((SUMPRODUCT(--('93_TARGET_MEMBERSHIP'!K$5:K$27=1),'92_FEATURE_CONF_NUMERIC'!E$5:E$27)/MAX(1,COUNTIF('93_TARGET_MEMBERSHIP'!K$5:K$27,1)))*(SUMPRODUCT(--('93_TARGET_MEMBERSHIP'!K$5:K$27=-1),'92_FEATURE_CONF_NUMERIC'!E$5:E$27)/MAX(1,COUNTIF('93_TARGET_MEMBERSHIP'!K$5:K$27,-1)))))</f>
        <v/>
      </c>
      <c r="E14" s="34">
        <f>IF($B14="ABSOLUTE SEMANTIC",'19_FEATURE_CONFIDENCE'!$D$7,SQRT((SUMPRODUCT(--('93_TARGET_MEMBERSHIP'!K$5:K$27=1),'92_FEATURE_CONF_NUMERIC'!F$5:F$27)/MAX(1,COUNTIF('93_TARGET_MEMBERSHIP'!K$5:K$27,1)))*(SUMPRODUCT(--('93_TARGET_MEMBERSHIP'!K$5:K$27=-1),'92_FEATURE_CONF_NUMERIC'!F$5:F$27)/MAX(1,COUNTIF('93_TARGET_MEMBERSHIP'!K$5:K$27,-1)))))</f>
        <v/>
      </c>
      <c r="F14" s="34">
        <f>IF($B14="ABSOLUTE SEMANTIC",'19_FEATURE_CONFIDENCE'!$D$8,SQRT((SUMPRODUCT(--('93_TARGET_MEMBERSHIP'!K$5:K$27=1),'92_FEATURE_CONF_NUMERIC'!G$5:G$27)/MAX(1,COUNTIF('93_TARGET_MEMBERSHIP'!K$5:K$27,1)))*(SUMPRODUCT(--('93_TARGET_MEMBERSHIP'!K$5:K$27=-1),'92_FEATURE_CONF_NUMERIC'!G$5:G$27)/MAX(1,COUNTIF('93_TARGET_MEMBERSHIP'!K$5:K$27,-1)))))</f>
        <v/>
      </c>
      <c r="G14" s="34">
        <f>IF($B14="ABSOLUTE SEMANTIC",'19_FEATURE_CONFIDENCE'!$D$9,SQRT((SUMPRODUCT(--('93_TARGET_MEMBERSHIP'!K$5:K$27=1),'92_FEATURE_CONF_NUMERIC'!H$5:H$27)/MAX(1,COUNTIF('93_TARGET_MEMBERSHIP'!K$5:K$27,1)))*(SUMPRODUCT(--('93_TARGET_MEMBERSHIP'!K$5:K$27=-1),'92_FEATURE_CONF_NUMERIC'!H$5:H$27)/MAX(1,COUNTIF('93_TARGET_MEMBERSHIP'!K$5:K$27,-1)))))</f>
        <v/>
      </c>
      <c r="H14" s="34">
        <f>IF($B14="ABSOLUTE SEMANTIC",'19_FEATURE_CONFIDENCE'!$D$10,SQRT((SUMPRODUCT(--('93_TARGET_MEMBERSHIP'!K$5:K$27=1),'92_FEATURE_CONF_NUMERIC'!I$5:I$27)/MAX(1,COUNTIF('93_TARGET_MEMBERSHIP'!K$5:K$27,1)))*(SUMPRODUCT(--('93_TARGET_MEMBERSHIP'!K$5:K$27=-1),'92_FEATURE_CONF_NUMERIC'!I$5:I$27)/MAX(1,COUNTIF('93_TARGET_MEMBERSHIP'!K$5:K$27,-1)))))</f>
        <v/>
      </c>
      <c r="I14" s="34">
        <f>IF($B14="ABSOLUTE SEMANTIC",'19_FEATURE_CONFIDENCE'!$D$11,SQRT((SUMPRODUCT(--('93_TARGET_MEMBERSHIP'!K$5:K$27=1),'92_FEATURE_CONF_NUMERIC'!J$5:J$27)/MAX(1,COUNTIF('93_TARGET_MEMBERSHIP'!K$5:K$27,1)))*(SUMPRODUCT(--('93_TARGET_MEMBERSHIP'!K$5:K$27=-1),'92_FEATURE_CONF_NUMERIC'!J$5:J$27)/MAX(1,COUNTIF('93_TARGET_MEMBERSHIP'!K$5:K$27,-1)))))</f>
        <v/>
      </c>
      <c r="J14" s="34">
        <f>IF($B14="ABSOLUTE SEMANTIC",'19_FEATURE_CONFIDENCE'!$D$12,SQRT((SUMPRODUCT(--('93_TARGET_MEMBERSHIP'!K$5:K$27=1),'92_FEATURE_CONF_NUMERIC'!K$5:K$27)/MAX(1,COUNTIF('93_TARGET_MEMBERSHIP'!K$5:K$27,1)))*(SUMPRODUCT(--('93_TARGET_MEMBERSHIP'!K$5:K$27=-1),'92_FEATURE_CONF_NUMERIC'!K$5:K$27)/MAX(1,COUNTIF('93_TARGET_MEMBERSHIP'!K$5:K$27,-1)))))</f>
        <v/>
      </c>
      <c r="K14" s="34">
        <f>IF($B14="ABSOLUTE SEMANTIC",'19_FEATURE_CONFIDENCE'!$D$13,SQRT((SUMPRODUCT(--('93_TARGET_MEMBERSHIP'!K$5:K$27=1),'92_FEATURE_CONF_NUMERIC'!L$5:L$27)/MAX(1,COUNTIF('93_TARGET_MEMBERSHIP'!K$5:K$27,1)))*(SUMPRODUCT(--('93_TARGET_MEMBERSHIP'!K$5:K$27=-1),'92_FEATURE_CONF_NUMERIC'!L$5:L$27)/MAX(1,COUNTIF('93_TARGET_MEMBERSHIP'!K$5:K$27,-1)))))</f>
        <v/>
      </c>
      <c r="L14" s="34">
        <f>IF($B14="ABSOLUTE SEMANTIC",'19_FEATURE_CONFIDENCE'!$D$14,SQRT((SUMPRODUCT(--('93_TARGET_MEMBERSHIP'!K$5:K$27=1),'92_FEATURE_CONF_NUMERIC'!M$5:M$27)/MAX(1,COUNTIF('93_TARGET_MEMBERSHIP'!K$5:K$27,1)))*(SUMPRODUCT(--('93_TARGET_MEMBERSHIP'!K$5:K$27=-1),'92_FEATURE_CONF_NUMERIC'!M$5:M$27)/MAX(1,COUNTIF('93_TARGET_MEMBERSHIP'!K$5:K$27,-1)))))</f>
        <v/>
      </c>
      <c r="M14" s="34">
        <f>IF($B14="ABSOLUTE SEMANTIC",'19_FEATURE_CONFIDENCE'!$D$15,SQRT((SUMPRODUCT(--('93_TARGET_MEMBERSHIP'!K$5:K$27=1),'92_FEATURE_CONF_NUMERIC'!N$5:N$27)/MAX(1,COUNTIF('93_TARGET_MEMBERSHIP'!K$5:K$27,1)))*(SUMPRODUCT(--('93_TARGET_MEMBERSHIP'!K$5:K$27=-1),'92_FEATURE_CONF_NUMERIC'!N$5:N$27)/MAX(1,COUNTIF('93_TARGET_MEMBERSHIP'!K$5:K$27,-1)))))</f>
        <v/>
      </c>
      <c r="N14" s="34">
        <f>IF($B14="ABSOLUTE SEMANTIC",'19_FEATURE_CONFIDENCE'!$D$16,SQRT((SUMPRODUCT(--('93_TARGET_MEMBERSHIP'!K$5:K$27=1),'92_FEATURE_CONF_NUMERIC'!O$5:O$27)/MAX(1,COUNTIF('93_TARGET_MEMBERSHIP'!K$5:K$27,1)))*(SUMPRODUCT(--('93_TARGET_MEMBERSHIP'!K$5:K$27=-1),'92_FEATURE_CONF_NUMERIC'!O$5:O$27)/MAX(1,COUNTIF('93_TARGET_MEMBERSHIP'!K$5:K$27,-1)))))</f>
        <v/>
      </c>
      <c r="O14" s="34">
        <f>IF($B14="ABSOLUTE SEMANTIC",'19_FEATURE_CONFIDENCE'!$D$17,SQRT((SUMPRODUCT(--('93_TARGET_MEMBERSHIP'!K$5:K$27=1),'92_FEATURE_CONF_NUMERIC'!P$5:P$27)/MAX(1,COUNTIF('93_TARGET_MEMBERSHIP'!K$5:K$27,1)))*(SUMPRODUCT(--('93_TARGET_MEMBERSHIP'!K$5:K$27=-1),'92_FEATURE_CONF_NUMERIC'!P$5:P$27)/MAX(1,COUNTIF('93_TARGET_MEMBERSHIP'!K$5:K$27,-1)))))</f>
        <v/>
      </c>
      <c r="P14" s="34">
        <f>IF($B14="ABSOLUTE SEMANTIC",'19_FEATURE_CONFIDENCE'!$D$18,SQRT((SUMPRODUCT(--('93_TARGET_MEMBERSHIP'!K$5:K$27=1),'92_FEATURE_CONF_NUMERIC'!Q$5:Q$27)/MAX(1,COUNTIF('93_TARGET_MEMBERSHIP'!K$5:K$27,1)))*(SUMPRODUCT(--('93_TARGET_MEMBERSHIP'!K$5:K$27=-1),'92_FEATURE_CONF_NUMERIC'!Q$5:Q$27)/MAX(1,COUNTIF('93_TARGET_MEMBERSHIP'!K$5:K$27,-1)))))</f>
        <v/>
      </c>
      <c r="Q14" s="34">
        <f>IF($B14="ABSOLUTE SEMANTIC",'19_FEATURE_CONFIDENCE'!$D$19,SQRT((SUMPRODUCT(--('93_TARGET_MEMBERSHIP'!K$5:K$27=1),'92_FEATURE_CONF_NUMERIC'!R$5:R$27)/MAX(1,COUNTIF('93_TARGET_MEMBERSHIP'!K$5:K$27,1)))*(SUMPRODUCT(--('93_TARGET_MEMBERSHIP'!K$5:K$27=-1),'92_FEATURE_CONF_NUMERIC'!R$5:R$27)/MAX(1,COUNTIF('93_TARGET_MEMBERSHIP'!K$5:K$27,-1)))))</f>
        <v/>
      </c>
      <c r="R14" s="34">
        <f>IF($B14="ABSOLUTE SEMANTIC",'19_FEATURE_CONFIDENCE'!$D$20,SQRT((SUMPRODUCT(--('93_TARGET_MEMBERSHIP'!K$5:K$27=1),'92_FEATURE_CONF_NUMERIC'!S$5:S$27)/MAX(1,COUNTIF('93_TARGET_MEMBERSHIP'!K$5:K$27,1)))*(SUMPRODUCT(--('93_TARGET_MEMBERSHIP'!K$5:K$27=-1),'92_FEATURE_CONF_NUMERIC'!S$5:S$27)/MAX(1,COUNTIF('93_TARGET_MEMBERSHIP'!K$5:K$27,-1)))))</f>
        <v/>
      </c>
      <c r="S14" s="34">
        <f>IF($B14="ABSOLUTE SEMANTIC",'19_FEATURE_CONFIDENCE'!$D$21,SQRT((SUMPRODUCT(--('93_TARGET_MEMBERSHIP'!K$5:K$27=1),'92_FEATURE_CONF_NUMERIC'!T$5:T$27)/MAX(1,COUNTIF('93_TARGET_MEMBERSHIP'!K$5:K$27,1)))*(SUMPRODUCT(--('93_TARGET_MEMBERSHIP'!K$5:K$27=-1),'92_FEATURE_CONF_NUMERIC'!T$5:T$27)/MAX(1,COUNTIF('93_TARGET_MEMBERSHIP'!K$5:K$27,-1)))))</f>
        <v/>
      </c>
      <c r="T14" s="34">
        <f>IF($B14="ABSOLUTE SEMANTIC",'19_FEATURE_CONFIDENCE'!$D$22,SQRT((SUMPRODUCT(--('93_TARGET_MEMBERSHIP'!K$5:K$27=1),'92_FEATURE_CONF_NUMERIC'!U$5:U$27)/MAX(1,COUNTIF('93_TARGET_MEMBERSHIP'!K$5:K$27,1)))*(SUMPRODUCT(--('93_TARGET_MEMBERSHIP'!K$5:K$27=-1),'92_FEATURE_CONF_NUMERIC'!U$5:U$27)/MAX(1,COUNTIF('93_TARGET_MEMBERSHIP'!K$5:K$27,-1)))))</f>
        <v/>
      </c>
      <c r="U14" s="34">
        <f>IF($B14="ABSOLUTE SEMANTIC",'19_FEATURE_CONFIDENCE'!$D$23,SQRT((SUMPRODUCT(--('93_TARGET_MEMBERSHIP'!K$5:K$27=1),'92_FEATURE_CONF_NUMERIC'!V$5:V$27)/MAX(1,COUNTIF('93_TARGET_MEMBERSHIP'!K$5:K$27,1)))*(SUMPRODUCT(--('93_TARGET_MEMBERSHIP'!K$5:K$27=-1),'92_FEATURE_CONF_NUMERIC'!V$5:V$27)/MAX(1,COUNTIF('93_TARGET_MEMBERSHIP'!K$5:K$27,-1)))))</f>
        <v/>
      </c>
      <c r="V14" s="34">
        <f>IF($B14="ABSOLUTE SEMANTIC",'19_FEATURE_CONFIDENCE'!$D$24,SQRT((SUMPRODUCT(--('93_TARGET_MEMBERSHIP'!K$5:K$27=1),'92_FEATURE_CONF_NUMERIC'!W$5:W$27)/MAX(1,COUNTIF('93_TARGET_MEMBERSHIP'!K$5:K$27,1)))*(SUMPRODUCT(--('93_TARGET_MEMBERSHIP'!K$5:K$27=-1),'92_FEATURE_CONF_NUMERIC'!W$5:W$27)/MAX(1,COUNTIF('93_TARGET_MEMBERSHIP'!K$5:K$27,-1)))))</f>
        <v/>
      </c>
      <c r="W14" s="34">
        <f>IF($B14="ABSOLUTE SEMANTIC",'19_FEATURE_CONFIDENCE'!$D$25,SQRT((SUMPRODUCT(--('93_TARGET_MEMBERSHIP'!K$5:K$27=1),'92_FEATURE_CONF_NUMERIC'!X$5:X$27)/MAX(1,COUNTIF('93_TARGET_MEMBERSHIP'!K$5:K$27,1)))*(SUMPRODUCT(--('93_TARGET_MEMBERSHIP'!K$5:K$27=-1),'92_FEATURE_CONF_NUMERIC'!X$5:X$27)/MAX(1,COUNTIF('93_TARGET_MEMBERSHIP'!K$5:K$27,-1)))))</f>
        <v/>
      </c>
      <c r="X14" s="34">
        <f>IF($B14="ABSOLUTE SEMANTIC",'19_FEATURE_CONFIDENCE'!$D$26,SQRT((SUMPRODUCT(--('93_TARGET_MEMBERSHIP'!K$5:K$27=1),'92_FEATURE_CONF_NUMERIC'!Y$5:Y$27)/MAX(1,COUNTIF('93_TARGET_MEMBERSHIP'!K$5:K$27,1)))*(SUMPRODUCT(--('93_TARGET_MEMBERSHIP'!K$5:K$27=-1),'92_FEATURE_CONF_NUMERIC'!Y$5:Y$27)/MAX(1,COUNTIF('93_TARGET_MEMBERSHIP'!K$5:K$27,-1)))))</f>
        <v/>
      </c>
      <c r="Y14" s="34">
        <f>IF($B14="ABSOLUTE SEMANTIC",'19_FEATURE_CONFIDENCE'!$D$27,SQRT((SUMPRODUCT(--('93_TARGET_MEMBERSHIP'!K$5:K$27=1),'92_FEATURE_CONF_NUMERIC'!Z$5:Z$27)/MAX(1,COUNTIF('93_TARGET_MEMBERSHIP'!K$5:K$27,1)))*(SUMPRODUCT(--('93_TARGET_MEMBERSHIP'!K$5:K$27=-1),'92_FEATURE_CONF_NUMERIC'!Z$5:Z$27)/MAX(1,COUNTIF('93_TARGET_MEMBERSHIP'!K$5:K$27,-1)))))</f>
        <v/>
      </c>
      <c r="Z14" s="34">
        <f>IF($B14="ABSOLUTE SEMANTIC",'19_FEATURE_CONFIDENCE'!$D$28,SQRT((SUMPRODUCT(--('93_TARGET_MEMBERSHIP'!K$5:K$27=1),'92_FEATURE_CONF_NUMERIC'!AA$5:AA$27)/MAX(1,COUNTIF('93_TARGET_MEMBERSHIP'!K$5:K$27,1)))*(SUMPRODUCT(--('93_TARGET_MEMBERSHIP'!K$5:K$27=-1),'92_FEATURE_CONF_NUMERIC'!AA$5:AA$27)/MAX(1,COUNTIF('93_TARGET_MEMBERSHIP'!K$5:K$27,-1)))))</f>
        <v/>
      </c>
      <c r="AA14" s="34">
        <f>IF($B14="ABSOLUTE SEMANTIC",'19_FEATURE_CONFIDENCE'!$D$29,SQRT((SUMPRODUCT(--('93_TARGET_MEMBERSHIP'!K$5:K$27=1),'92_FEATURE_CONF_NUMERIC'!AB$5:AB$27)/MAX(1,COUNTIF('93_TARGET_MEMBERSHIP'!K$5:K$27,1)))*(SUMPRODUCT(--('93_TARGET_MEMBERSHIP'!K$5:K$27=-1),'92_FEATURE_CONF_NUMERIC'!AB$5:AB$27)/MAX(1,COUNTIF('93_TARGET_MEMBERSHIP'!K$5:K$27,-1)))))</f>
        <v/>
      </c>
      <c r="AB14" s="34">
        <f>IF($B14="ABSOLUTE SEMANTIC",'19_FEATURE_CONFIDENCE'!$D$30,SQRT((SUMPRODUCT(--('93_TARGET_MEMBERSHIP'!K$5:K$27=1),'92_FEATURE_CONF_NUMERIC'!AC$5:AC$27)/MAX(1,COUNTIF('93_TARGET_MEMBERSHIP'!K$5:K$27,1)))*(SUMPRODUCT(--('93_TARGET_MEMBERSHIP'!K$5:K$27=-1),'92_FEATURE_CONF_NUMERIC'!AC$5:AC$27)/MAX(1,COUNTIF('93_TARGET_MEMBERSHIP'!K$5:K$27,-1)))))</f>
        <v/>
      </c>
      <c r="AC14" s="34">
        <f>IF($B14="ABSOLUTE SEMANTIC",'19_FEATURE_CONFIDENCE'!$D$31,SQRT((SUMPRODUCT(--('93_TARGET_MEMBERSHIP'!K$5:K$27=1),'92_FEATURE_CONF_NUMERIC'!AD$5:AD$27)/MAX(1,COUNTIF('93_TARGET_MEMBERSHIP'!K$5:K$27,1)))*(SUMPRODUCT(--('93_TARGET_MEMBERSHIP'!K$5:K$27=-1),'92_FEATURE_CONF_NUMERIC'!AD$5:AD$27)/MAX(1,COUNTIF('93_TARGET_MEMBERSHIP'!K$5:K$27,-1)))))</f>
        <v/>
      </c>
      <c r="AD14" s="34">
        <f>IF($B14="ABSOLUTE SEMANTIC",'19_FEATURE_CONFIDENCE'!$D$32,SQRT((SUMPRODUCT(--('93_TARGET_MEMBERSHIP'!K$5:K$27=1),'92_FEATURE_CONF_NUMERIC'!AE$5:AE$27)/MAX(1,COUNTIF('93_TARGET_MEMBERSHIP'!K$5:K$27,1)))*(SUMPRODUCT(--('93_TARGET_MEMBERSHIP'!K$5:K$27=-1),'92_FEATURE_CONF_NUMERIC'!AE$5:AE$27)/MAX(1,COUNTIF('93_TARGET_MEMBERSHIP'!K$5:K$27,-1)))))</f>
        <v/>
      </c>
      <c r="AE14" s="34">
        <f>IF($B14="ABSOLUTE SEMANTIC",'19_FEATURE_CONFIDENCE'!$D$33,SQRT((SUMPRODUCT(--('93_TARGET_MEMBERSHIP'!K$5:K$27=1),'92_FEATURE_CONF_NUMERIC'!AF$5:AF$27)/MAX(1,COUNTIF('93_TARGET_MEMBERSHIP'!K$5:K$27,1)))*(SUMPRODUCT(--('93_TARGET_MEMBERSHIP'!K$5:K$27=-1),'92_FEATURE_CONF_NUMERIC'!AF$5:AF$27)/MAX(1,COUNTIF('93_TARGET_MEMBERSHIP'!K$5:K$27,-1)))))</f>
        <v/>
      </c>
      <c r="AF14" s="34">
        <f>IF($B14="ABSOLUTE SEMANTIC",'19_FEATURE_CONFIDENCE'!$D$34,SQRT((SUMPRODUCT(--('93_TARGET_MEMBERSHIP'!K$5:K$27=1),'92_FEATURE_CONF_NUMERIC'!AG$5:AG$27)/MAX(1,COUNTIF('93_TARGET_MEMBERSHIP'!K$5:K$27,1)))*(SUMPRODUCT(--('93_TARGET_MEMBERSHIP'!K$5:K$27=-1),'92_FEATURE_CONF_NUMERIC'!AG$5:AG$27)/MAX(1,COUNTIF('93_TARGET_MEMBERSHIP'!K$5:K$27,-1)))))</f>
        <v/>
      </c>
      <c r="AG14" s="34">
        <f>IF($B14="ABSOLUTE SEMANTIC",'19_FEATURE_CONFIDENCE'!$D$35,SQRT((SUMPRODUCT(--('93_TARGET_MEMBERSHIP'!K$5:K$27=1),'92_FEATURE_CONF_NUMERIC'!AH$5:AH$27)/MAX(1,COUNTIF('93_TARGET_MEMBERSHIP'!K$5:K$27,1)))*(SUMPRODUCT(--('93_TARGET_MEMBERSHIP'!K$5:K$27=-1),'92_FEATURE_CONF_NUMERIC'!AH$5:AH$27)/MAX(1,COUNTIF('93_TARGET_MEMBERSHIP'!K$5:K$27,-1)))))</f>
        <v/>
      </c>
      <c r="AH14" s="34">
        <f>IF($B14="ABSOLUTE SEMANTIC",'19_FEATURE_CONFIDENCE'!$D$36,SQRT((SUMPRODUCT(--('93_TARGET_MEMBERSHIP'!K$5:K$27=1),'92_FEATURE_CONF_NUMERIC'!AI$5:AI$27)/MAX(1,COUNTIF('93_TARGET_MEMBERSHIP'!K$5:K$27,1)))*(SUMPRODUCT(--('93_TARGET_MEMBERSHIP'!K$5:K$27=-1),'92_FEATURE_CONF_NUMERIC'!AI$5:AI$27)/MAX(1,COUNTIF('93_TARGET_MEMBERSHIP'!K$5:K$27,-1)))))</f>
        <v/>
      </c>
      <c r="AI14" s="34">
        <f>IF($B14="ABSOLUTE SEMANTIC",'19_FEATURE_CONFIDENCE'!$D$37,SQRT((SUMPRODUCT(--('93_TARGET_MEMBERSHIP'!K$5:K$27=1),'92_FEATURE_CONF_NUMERIC'!AJ$5:AJ$27)/MAX(1,COUNTIF('93_TARGET_MEMBERSHIP'!K$5:K$27,1)))*(SUMPRODUCT(--('93_TARGET_MEMBERSHIP'!K$5:K$27=-1),'92_FEATURE_CONF_NUMERIC'!AJ$5:AJ$27)/MAX(1,COUNTIF('93_TARGET_MEMBERSHIP'!K$5:K$27,-1)))))</f>
        <v/>
      </c>
      <c r="AJ14" s="34">
        <f>IF($B14="ABSOLUTE SEMANTIC",'19_FEATURE_CONFIDENCE'!$D$38,SQRT((SUMPRODUCT(--('93_TARGET_MEMBERSHIP'!K$5:K$27=1),'92_FEATURE_CONF_NUMERIC'!AK$5:AK$27)/MAX(1,COUNTIF('93_TARGET_MEMBERSHIP'!K$5:K$27,1)))*(SUMPRODUCT(--('93_TARGET_MEMBERSHIP'!K$5:K$27=-1),'92_FEATURE_CONF_NUMERIC'!AK$5:AK$27)/MAX(1,COUNTIF('93_TARGET_MEMBERSHIP'!K$5:K$27,-1)))))</f>
        <v/>
      </c>
      <c r="AK14" s="34">
        <f>IF($B14="ABSOLUTE SEMANTIC",'19_FEATURE_CONFIDENCE'!$D$39,SQRT((SUMPRODUCT(--('93_TARGET_MEMBERSHIP'!K$5:K$27=1),'92_FEATURE_CONF_NUMERIC'!AL$5:AL$27)/MAX(1,COUNTIF('93_TARGET_MEMBERSHIP'!K$5:K$27,1)))*(SUMPRODUCT(--('93_TARGET_MEMBERSHIP'!K$5:K$27=-1),'92_FEATURE_CONF_NUMERIC'!AL$5:AL$27)/MAX(1,COUNTIF('93_TARGET_MEMBERSHIP'!K$5:K$27,-1)))))</f>
        <v/>
      </c>
      <c r="AL14" s="34">
        <f>IF($B14="ABSOLUTE SEMANTIC",'19_FEATURE_CONFIDENCE'!$D$40,SQRT((SUMPRODUCT(--('93_TARGET_MEMBERSHIP'!K$5:K$27=1),'92_FEATURE_CONF_NUMERIC'!AM$5:AM$27)/MAX(1,COUNTIF('93_TARGET_MEMBERSHIP'!K$5:K$27,1)))*(SUMPRODUCT(--('93_TARGET_MEMBERSHIP'!K$5:K$27=-1),'92_FEATURE_CONF_NUMERIC'!AM$5:AM$27)/MAX(1,COUNTIF('93_TARGET_MEMBERSHIP'!K$5:K$27,-1)))))</f>
        <v/>
      </c>
      <c r="AM14" s="34">
        <f>IF($B14="ABSOLUTE SEMANTIC",'19_FEATURE_CONFIDENCE'!$D$41,SQRT((SUMPRODUCT(--('93_TARGET_MEMBERSHIP'!K$5:K$27=1),'92_FEATURE_CONF_NUMERIC'!AN$5:AN$27)/MAX(1,COUNTIF('93_TARGET_MEMBERSHIP'!K$5:K$27,1)))*(SUMPRODUCT(--('93_TARGET_MEMBERSHIP'!K$5:K$27=-1),'92_FEATURE_CONF_NUMERIC'!AN$5:AN$27)/MAX(1,COUNTIF('93_TARGET_MEMBERSHIP'!K$5:K$27,-1)))))</f>
        <v/>
      </c>
      <c r="AN14" s="34">
        <f>IF($B14="ABSOLUTE SEMANTIC",'19_FEATURE_CONFIDENCE'!$D$42,SQRT((SUMPRODUCT(--('93_TARGET_MEMBERSHIP'!K$5:K$27=1),'92_FEATURE_CONF_NUMERIC'!AO$5:AO$27)/MAX(1,COUNTIF('93_TARGET_MEMBERSHIP'!K$5:K$27,1)))*(SUMPRODUCT(--('93_TARGET_MEMBERSHIP'!K$5:K$27=-1),'92_FEATURE_CONF_NUMERIC'!AO$5:AO$27)/MAX(1,COUNTIF('93_TARGET_MEMBERSHIP'!K$5:K$27,-1)))))</f>
        <v/>
      </c>
      <c r="AO14" s="34">
        <f>IF($B14="ABSOLUTE SEMANTIC",'19_FEATURE_CONFIDENCE'!$D$43,SQRT((SUMPRODUCT(--('93_TARGET_MEMBERSHIP'!K$5:K$27=1),'92_FEATURE_CONF_NUMERIC'!AP$5:AP$27)/MAX(1,COUNTIF('93_TARGET_MEMBERSHIP'!K$5:K$27,1)))*(SUMPRODUCT(--('93_TARGET_MEMBERSHIP'!K$5:K$27=-1),'92_FEATURE_CONF_NUMERIC'!AP$5:AP$27)/MAX(1,COUNTIF('93_TARGET_MEMBERSHIP'!K$5:K$27,-1)))))</f>
        <v/>
      </c>
      <c r="AP14" s="34">
        <f>IF($B14="ABSOLUTE SEMANTIC",'19_FEATURE_CONFIDENCE'!$D$44,SQRT((SUMPRODUCT(--('93_TARGET_MEMBERSHIP'!K$5:K$27=1),'92_FEATURE_CONF_NUMERIC'!AQ$5:AQ$27)/MAX(1,COUNTIF('93_TARGET_MEMBERSHIP'!K$5:K$27,1)))*(SUMPRODUCT(--('93_TARGET_MEMBERSHIP'!K$5:K$27=-1),'92_FEATURE_CONF_NUMERIC'!AQ$5:AQ$27)/MAX(1,COUNTIF('93_TARGET_MEMBERSHIP'!K$5:K$27,-1)))))</f>
        <v/>
      </c>
      <c r="AQ14" s="34">
        <f>IF($B14="ABSOLUTE SEMANTIC",'19_FEATURE_CONFIDENCE'!$D$45,SQRT((SUMPRODUCT(--('93_TARGET_MEMBERSHIP'!K$5:K$27=1),'92_FEATURE_CONF_NUMERIC'!AR$5:AR$27)/MAX(1,COUNTIF('93_TARGET_MEMBERSHIP'!K$5:K$27,1)))*(SUMPRODUCT(--('93_TARGET_MEMBERSHIP'!K$5:K$27=-1),'92_FEATURE_CONF_NUMERIC'!AR$5:AR$27)/MAX(1,COUNTIF('93_TARGET_MEMBERSHIP'!K$5:K$27,-1)))))</f>
        <v/>
      </c>
    </row>
    <row r="15" ht="36" customHeight="1">
      <c r="A15" s="34">
        <f>'06_ITEM_POLE_MODEL'!A15</f>
        <v/>
      </c>
      <c r="B15" s="34">
        <f>'06_ITEM_POLE_MODEL'!E15</f>
        <v/>
      </c>
      <c r="C15" s="34">
        <f>IF($B15="ABSOLUTE SEMANTIC",'19_FEATURE_CONFIDENCE'!$D$5,SQRT((SUMPRODUCT(--('93_TARGET_MEMBERSHIP'!L$5:L$27=1),'92_FEATURE_CONF_NUMERIC'!D$5:D$27)/MAX(1,COUNTIF('93_TARGET_MEMBERSHIP'!L$5:L$27,1)))*(SUMPRODUCT(--('93_TARGET_MEMBERSHIP'!L$5:L$27=-1),'92_FEATURE_CONF_NUMERIC'!D$5:D$27)/MAX(1,COUNTIF('93_TARGET_MEMBERSHIP'!L$5:L$27,-1)))))</f>
        <v/>
      </c>
      <c r="D15" s="34">
        <f>IF($B15="ABSOLUTE SEMANTIC",'19_FEATURE_CONFIDENCE'!$D$6,SQRT((SUMPRODUCT(--('93_TARGET_MEMBERSHIP'!L$5:L$27=1),'92_FEATURE_CONF_NUMERIC'!E$5:E$27)/MAX(1,COUNTIF('93_TARGET_MEMBERSHIP'!L$5:L$27,1)))*(SUMPRODUCT(--('93_TARGET_MEMBERSHIP'!L$5:L$27=-1),'92_FEATURE_CONF_NUMERIC'!E$5:E$27)/MAX(1,COUNTIF('93_TARGET_MEMBERSHIP'!L$5:L$27,-1)))))</f>
        <v/>
      </c>
      <c r="E15" s="34">
        <f>IF($B15="ABSOLUTE SEMANTIC",'19_FEATURE_CONFIDENCE'!$D$7,SQRT((SUMPRODUCT(--('93_TARGET_MEMBERSHIP'!L$5:L$27=1),'92_FEATURE_CONF_NUMERIC'!F$5:F$27)/MAX(1,COUNTIF('93_TARGET_MEMBERSHIP'!L$5:L$27,1)))*(SUMPRODUCT(--('93_TARGET_MEMBERSHIP'!L$5:L$27=-1),'92_FEATURE_CONF_NUMERIC'!F$5:F$27)/MAX(1,COUNTIF('93_TARGET_MEMBERSHIP'!L$5:L$27,-1)))))</f>
        <v/>
      </c>
      <c r="F15" s="34">
        <f>IF($B15="ABSOLUTE SEMANTIC",'19_FEATURE_CONFIDENCE'!$D$8,SQRT((SUMPRODUCT(--('93_TARGET_MEMBERSHIP'!L$5:L$27=1),'92_FEATURE_CONF_NUMERIC'!G$5:G$27)/MAX(1,COUNTIF('93_TARGET_MEMBERSHIP'!L$5:L$27,1)))*(SUMPRODUCT(--('93_TARGET_MEMBERSHIP'!L$5:L$27=-1),'92_FEATURE_CONF_NUMERIC'!G$5:G$27)/MAX(1,COUNTIF('93_TARGET_MEMBERSHIP'!L$5:L$27,-1)))))</f>
        <v/>
      </c>
      <c r="G15" s="34">
        <f>IF($B15="ABSOLUTE SEMANTIC",'19_FEATURE_CONFIDENCE'!$D$9,SQRT((SUMPRODUCT(--('93_TARGET_MEMBERSHIP'!L$5:L$27=1),'92_FEATURE_CONF_NUMERIC'!H$5:H$27)/MAX(1,COUNTIF('93_TARGET_MEMBERSHIP'!L$5:L$27,1)))*(SUMPRODUCT(--('93_TARGET_MEMBERSHIP'!L$5:L$27=-1),'92_FEATURE_CONF_NUMERIC'!H$5:H$27)/MAX(1,COUNTIF('93_TARGET_MEMBERSHIP'!L$5:L$27,-1)))))</f>
        <v/>
      </c>
      <c r="H15" s="34">
        <f>IF($B15="ABSOLUTE SEMANTIC",'19_FEATURE_CONFIDENCE'!$D$10,SQRT((SUMPRODUCT(--('93_TARGET_MEMBERSHIP'!L$5:L$27=1),'92_FEATURE_CONF_NUMERIC'!I$5:I$27)/MAX(1,COUNTIF('93_TARGET_MEMBERSHIP'!L$5:L$27,1)))*(SUMPRODUCT(--('93_TARGET_MEMBERSHIP'!L$5:L$27=-1),'92_FEATURE_CONF_NUMERIC'!I$5:I$27)/MAX(1,COUNTIF('93_TARGET_MEMBERSHIP'!L$5:L$27,-1)))))</f>
        <v/>
      </c>
      <c r="I15" s="34">
        <f>IF($B15="ABSOLUTE SEMANTIC",'19_FEATURE_CONFIDENCE'!$D$11,SQRT((SUMPRODUCT(--('93_TARGET_MEMBERSHIP'!L$5:L$27=1),'92_FEATURE_CONF_NUMERIC'!J$5:J$27)/MAX(1,COUNTIF('93_TARGET_MEMBERSHIP'!L$5:L$27,1)))*(SUMPRODUCT(--('93_TARGET_MEMBERSHIP'!L$5:L$27=-1),'92_FEATURE_CONF_NUMERIC'!J$5:J$27)/MAX(1,COUNTIF('93_TARGET_MEMBERSHIP'!L$5:L$27,-1)))))</f>
        <v/>
      </c>
      <c r="J15" s="34">
        <f>IF($B15="ABSOLUTE SEMANTIC",'19_FEATURE_CONFIDENCE'!$D$12,SQRT((SUMPRODUCT(--('93_TARGET_MEMBERSHIP'!L$5:L$27=1),'92_FEATURE_CONF_NUMERIC'!K$5:K$27)/MAX(1,COUNTIF('93_TARGET_MEMBERSHIP'!L$5:L$27,1)))*(SUMPRODUCT(--('93_TARGET_MEMBERSHIP'!L$5:L$27=-1),'92_FEATURE_CONF_NUMERIC'!K$5:K$27)/MAX(1,COUNTIF('93_TARGET_MEMBERSHIP'!L$5:L$27,-1)))))</f>
        <v/>
      </c>
      <c r="K15" s="34">
        <f>IF($B15="ABSOLUTE SEMANTIC",'19_FEATURE_CONFIDENCE'!$D$13,SQRT((SUMPRODUCT(--('93_TARGET_MEMBERSHIP'!L$5:L$27=1),'92_FEATURE_CONF_NUMERIC'!L$5:L$27)/MAX(1,COUNTIF('93_TARGET_MEMBERSHIP'!L$5:L$27,1)))*(SUMPRODUCT(--('93_TARGET_MEMBERSHIP'!L$5:L$27=-1),'92_FEATURE_CONF_NUMERIC'!L$5:L$27)/MAX(1,COUNTIF('93_TARGET_MEMBERSHIP'!L$5:L$27,-1)))))</f>
        <v/>
      </c>
      <c r="L15" s="34">
        <f>IF($B15="ABSOLUTE SEMANTIC",'19_FEATURE_CONFIDENCE'!$D$14,SQRT((SUMPRODUCT(--('93_TARGET_MEMBERSHIP'!L$5:L$27=1),'92_FEATURE_CONF_NUMERIC'!M$5:M$27)/MAX(1,COUNTIF('93_TARGET_MEMBERSHIP'!L$5:L$27,1)))*(SUMPRODUCT(--('93_TARGET_MEMBERSHIP'!L$5:L$27=-1),'92_FEATURE_CONF_NUMERIC'!M$5:M$27)/MAX(1,COUNTIF('93_TARGET_MEMBERSHIP'!L$5:L$27,-1)))))</f>
        <v/>
      </c>
      <c r="M15" s="34">
        <f>IF($B15="ABSOLUTE SEMANTIC",'19_FEATURE_CONFIDENCE'!$D$15,SQRT((SUMPRODUCT(--('93_TARGET_MEMBERSHIP'!L$5:L$27=1),'92_FEATURE_CONF_NUMERIC'!N$5:N$27)/MAX(1,COUNTIF('93_TARGET_MEMBERSHIP'!L$5:L$27,1)))*(SUMPRODUCT(--('93_TARGET_MEMBERSHIP'!L$5:L$27=-1),'92_FEATURE_CONF_NUMERIC'!N$5:N$27)/MAX(1,COUNTIF('93_TARGET_MEMBERSHIP'!L$5:L$27,-1)))))</f>
        <v/>
      </c>
      <c r="N15" s="34">
        <f>IF($B15="ABSOLUTE SEMANTIC",'19_FEATURE_CONFIDENCE'!$D$16,SQRT((SUMPRODUCT(--('93_TARGET_MEMBERSHIP'!L$5:L$27=1),'92_FEATURE_CONF_NUMERIC'!O$5:O$27)/MAX(1,COUNTIF('93_TARGET_MEMBERSHIP'!L$5:L$27,1)))*(SUMPRODUCT(--('93_TARGET_MEMBERSHIP'!L$5:L$27=-1),'92_FEATURE_CONF_NUMERIC'!O$5:O$27)/MAX(1,COUNTIF('93_TARGET_MEMBERSHIP'!L$5:L$27,-1)))))</f>
        <v/>
      </c>
      <c r="O15" s="34">
        <f>IF($B15="ABSOLUTE SEMANTIC",'19_FEATURE_CONFIDENCE'!$D$17,SQRT((SUMPRODUCT(--('93_TARGET_MEMBERSHIP'!L$5:L$27=1),'92_FEATURE_CONF_NUMERIC'!P$5:P$27)/MAX(1,COUNTIF('93_TARGET_MEMBERSHIP'!L$5:L$27,1)))*(SUMPRODUCT(--('93_TARGET_MEMBERSHIP'!L$5:L$27=-1),'92_FEATURE_CONF_NUMERIC'!P$5:P$27)/MAX(1,COUNTIF('93_TARGET_MEMBERSHIP'!L$5:L$27,-1)))))</f>
        <v/>
      </c>
      <c r="P15" s="34">
        <f>IF($B15="ABSOLUTE SEMANTIC",'19_FEATURE_CONFIDENCE'!$D$18,SQRT((SUMPRODUCT(--('93_TARGET_MEMBERSHIP'!L$5:L$27=1),'92_FEATURE_CONF_NUMERIC'!Q$5:Q$27)/MAX(1,COUNTIF('93_TARGET_MEMBERSHIP'!L$5:L$27,1)))*(SUMPRODUCT(--('93_TARGET_MEMBERSHIP'!L$5:L$27=-1),'92_FEATURE_CONF_NUMERIC'!Q$5:Q$27)/MAX(1,COUNTIF('93_TARGET_MEMBERSHIP'!L$5:L$27,-1)))))</f>
        <v/>
      </c>
      <c r="Q15" s="34">
        <f>IF($B15="ABSOLUTE SEMANTIC",'19_FEATURE_CONFIDENCE'!$D$19,SQRT((SUMPRODUCT(--('93_TARGET_MEMBERSHIP'!L$5:L$27=1),'92_FEATURE_CONF_NUMERIC'!R$5:R$27)/MAX(1,COUNTIF('93_TARGET_MEMBERSHIP'!L$5:L$27,1)))*(SUMPRODUCT(--('93_TARGET_MEMBERSHIP'!L$5:L$27=-1),'92_FEATURE_CONF_NUMERIC'!R$5:R$27)/MAX(1,COUNTIF('93_TARGET_MEMBERSHIP'!L$5:L$27,-1)))))</f>
        <v/>
      </c>
      <c r="R15" s="34">
        <f>IF($B15="ABSOLUTE SEMANTIC",'19_FEATURE_CONFIDENCE'!$D$20,SQRT((SUMPRODUCT(--('93_TARGET_MEMBERSHIP'!L$5:L$27=1),'92_FEATURE_CONF_NUMERIC'!S$5:S$27)/MAX(1,COUNTIF('93_TARGET_MEMBERSHIP'!L$5:L$27,1)))*(SUMPRODUCT(--('93_TARGET_MEMBERSHIP'!L$5:L$27=-1),'92_FEATURE_CONF_NUMERIC'!S$5:S$27)/MAX(1,COUNTIF('93_TARGET_MEMBERSHIP'!L$5:L$27,-1)))))</f>
        <v/>
      </c>
      <c r="S15" s="34">
        <f>IF($B15="ABSOLUTE SEMANTIC",'19_FEATURE_CONFIDENCE'!$D$21,SQRT((SUMPRODUCT(--('93_TARGET_MEMBERSHIP'!L$5:L$27=1),'92_FEATURE_CONF_NUMERIC'!T$5:T$27)/MAX(1,COUNTIF('93_TARGET_MEMBERSHIP'!L$5:L$27,1)))*(SUMPRODUCT(--('93_TARGET_MEMBERSHIP'!L$5:L$27=-1),'92_FEATURE_CONF_NUMERIC'!T$5:T$27)/MAX(1,COUNTIF('93_TARGET_MEMBERSHIP'!L$5:L$27,-1)))))</f>
        <v/>
      </c>
      <c r="T15" s="34">
        <f>IF($B15="ABSOLUTE SEMANTIC",'19_FEATURE_CONFIDENCE'!$D$22,SQRT((SUMPRODUCT(--('93_TARGET_MEMBERSHIP'!L$5:L$27=1),'92_FEATURE_CONF_NUMERIC'!U$5:U$27)/MAX(1,COUNTIF('93_TARGET_MEMBERSHIP'!L$5:L$27,1)))*(SUMPRODUCT(--('93_TARGET_MEMBERSHIP'!L$5:L$27=-1),'92_FEATURE_CONF_NUMERIC'!U$5:U$27)/MAX(1,COUNTIF('93_TARGET_MEMBERSHIP'!L$5:L$27,-1)))))</f>
        <v/>
      </c>
      <c r="U15" s="34">
        <f>IF($B15="ABSOLUTE SEMANTIC",'19_FEATURE_CONFIDENCE'!$D$23,SQRT((SUMPRODUCT(--('93_TARGET_MEMBERSHIP'!L$5:L$27=1),'92_FEATURE_CONF_NUMERIC'!V$5:V$27)/MAX(1,COUNTIF('93_TARGET_MEMBERSHIP'!L$5:L$27,1)))*(SUMPRODUCT(--('93_TARGET_MEMBERSHIP'!L$5:L$27=-1),'92_FEATURE_CONF_NUMERIC'!V$5:V$27)/MAX(1,COUNTIF('93_TARGET_MEMBERSHIP'!L$5:L$27,-1)))))</f>
        <v/>
      </c>
      <c r="V15" s="34">
        <f>IF($B15="ABSOLUTE SEMANTIC",'19_FEATURE_CONFIDENCE'!$D$24,SQRT((SUMPRODUCT(--('93_TARGET_MEMBERSHIP'!L$5:L$27=1),'92_FEATURE_CONF_NUMERIC'!W$5:W$27)/MAX(1,COUNTIF('93_TARGET_MEMBERSHIP'!L$5:L$27,1)))*(SUMPRODUCT(--('93_TARGET_MEMBERSHIP'!L$5:L$27=-1),'92_FEATURE_CONF_NUMERIC'!W$5:W$27)/MAX(1,COUNTIF('93_TARGET_MEMBERSHIP'!L$5:L$27,-1)))))</f>
        <v/>
      </c>
      <c r="W15" s="34">
        <f>IF($B15="ABSOLUTE SEMANTIC",'19_FEATURE_CONFIDENCE'!$D$25,SQRT((SUMPRODUCT(--('93_TARGET_MEMBERSHIP'!L$5:L$27=1),'92_FEATURE_CONF_NUMERIC'!X$5:X$27)/MAX(1,COUNTIF('93_TARGET_MEMBERSHIP'!L$5:L$27,1)))*(SUMPRODUCT(--('93_TARGET_MEMBERSHIP'!L$5:L$27=-1),'92_FEATURE_CONF_NUMERIC'!X$5:X$27)/MAX(1,COUNTIF('93_TARGET_MEMBERSHIP'!L$5:L$27,-1)))))</f>
        <v/>
      </c>
      <c r="X15" s="34">
        <f>IF($B15="ABSOLUTE SEMANTIC",'19_FEATURE_CONFIDENCE'!$D$26,SQRT((SUMPRODUCT(--('93_TARGET_MEMBERSHIP'!L$5:L$27=1),'92_FEATURE_CONF_NUMERIC'!Y$5:Y$27)/MAX(1,COUNTIF('93_TARGET_MEMBERSHIP'!L$5:L$27,1)))*(SUMPRODUCT(--('93_TARGET_MEMBERSHIP'!L$5:L$27=-1),'92_FEATURE_CONF_NUMERIC'!Y$5:Y$27)/MAX(1,COUNTIF('93_TARGET_MEMBERSHIP'!L$5:L$27,-1)))))</f>
        <v/>
      </c>
      <c r="Y15" s="34">
        <f>IF($B15="ABSOLUTE SEMANTIC",'19_FEATURE_CONFIDENCE'!$D$27,SQRT((SUMPRODUCT(--('93_TARGET_MEMBERSHIP'!L$5:L$27=1),'92_FEATURE_CONF_NUMERIC'!Z$5:Z$27)/MAX(1,COUNTIF('93_TARGET_MEMBERSHIP'!L$5:L$27,1)))*(SUMPRODUCT(--('93_TARGET_MEMBERSHIP'!L$5:L$27=-1),'92_FEATURE_CONF_NUMERIC'!Z$5:Z$27)/MAX(1,COUNTIF('93_TARGET_MEMBERSHIP'!L$5:L$27,-1)))))</f>
        <v/>
      </c>
      <c r="Z15" s="34">
        <f>IF($B15="ABSOLUTE SEMANTIC",'19_FEATURE_CONFIDENCE'!$D$28,SQRT((SUMPRODUCT(--('93_TARGET_MEMBERSHIP'!L$5:L$27=1),'92_FEATURE_CONF_NUMERIC'!AA$5:AA$27)/MAX(1,COUNTIF('93_TARGET_MEMBERSHIP'!L$5:L$27,1)))*(SUMPRODUCT(--('93_TARGET_MEMBERSHIP'!L$5:L$27=-1),'92_FEATURE_CONF_NUMERIC'!AA$5:AA$27)/MAX(1,COUNTIF('93_TARGET_MEMBERSHIP'!L$5:L$27,-1)))))</f>
        <v/>
      </c>
      <c r="AA15" s="34">
        <f>IF($B15="ABSOLUTE SEMANTIC",'19_FEATURE_CONFIDENCE'!$D$29,SQRT((SUMPRODUCT(--('93_TARGET_MEMBERSHIP'!L$5:L$27=1),'92_FEATURE_CONF_NUMERIC'!AB$5:AB$27)/MAX(1,COUNTIF('93_TARGET_MEMBERSHIP'!L$5:L$27,1)))*(SUMPRODUCT(--('93_TARGET_MEMBERSHIP'!L$5:L$27=-1),'92_FEATURE_CONF_NUMERIC'!AB$5:AB$27)/MAX(1,COUNTIF('93_TARGET_MEMBERSHIP'!L$5:L$27,-1)))))</f>
        <v/>
      </c>
      <c r="AB15" s="34">
        <f>IF($B15="ABSOLUTE SEMANTIC",'19_FEATURE_CONFIDENCE'!$D$30,SQRT((SUMPRODUCT(--('93_TARGET_MEMBERSHIP'!L$5:L$27=1),'92_FEATURE_CONF_NUMERIC'!AC$5:AC$27)/MAX(1,COUNTIF('93_TARGET_MEMBERSHIP'!L$5:L$27,1)))*(SUMPRODUCT(--('93_TARGET_MEMBERSHIP'!L$5:L$27=-1),'92_FEATURE_CONF_NUMERIC'!AC$5:AC$27)/MAX(1,COUNTIF('93_TARGET_MEMBERSHIP'!L$5:L$27,-1)))))</f>
        <v/>
      </c>
      <c r="AC15" s="34">
        <f>IF($B15="ABSOLUTE SEMANTIC",'19_FEATURE_CONFIDENCE'!$D$31,SQRT((SUMPRODUCT(--('93_TARGET_MEMBERSHIP'!L$5:L$27=1),'92_FEATURE_CONF_NUMERIC'!AD$5:AD$27)/MAX(1,COUNTIF('93_TARGET_MEMBERSHIP'!L$5:L$27,1)))*(SUMPRODUCT(--('93_TARGET_MEMBERSHIP'!L$5:L$27=-1),'92_FEATURE_CONF_NUMERIC'!AD$5:AD$27)/MAX(1,COUNTIF('93_TARGET_MEMBERSHIP'!L$5:L$27,-1)))))</f>
        <v/>
      </c>
      <c r="AD15" s="34">
        <f>IF($B15="ABSOLUTE SEMANTIC",'19_FEATURE_CONFIDENCE'!$D$32,SQRT((SUMPRODUCT(--('93_TARGET_MEMBERSHIP'!L$5:L$27=1),'92_FEATURE_CONF_NUMERIC'!AE$5:AE$27)/MAX(1,COUNTIF('93_TARGET_MEMBERSHIP'!L$5:L$27,1)))*(SUMPRODUCT(--('93_TARGET_MEMBERSHIP'!L$5:L$27=-1),'92_FEATURE_CONF_NUMERIC'!AE$5:AE$27)/MAX(1,COUNTIF('93_TARGET_MEMBERSHIP'!L$5:L$27,-1)))))</f>
        <v/>
      </c>
      <c r="AE15" s="34">
        <f>IF($B15="ABSOLUTE SEMANTIC",'19_FEATURE_CONFIDENCE'!$D$33,SQRT((SUMPRODUCT(--('93_TARGET_MEMBERSHIP'!L$5:L$27=1),'92_FEATURE_CONF_NUMERIC'!AF$5:AF$27)/MAX(1,COUNTIF('93_TARGET_MEMBERSHIP'!L$5:L$27,1)))*(SUMPRODUCT(--('93_TARGET_MEMBERSHIP'!L$5:L$27=-1),'92_FEATURE_CONF_NUMERIC'!AF$5:AF$27)/MAX(1,COUNTIF('93_TARGET_MEMBERSHIP'!L$5:L$27,-1)))))</f>
        <v/>
      </c>
      <c r="AF15" s="34">
        <f>IF($B15="ABSOLUTE SEMANTIC",'19_FEATURE_CONFIDENCE'!$D$34,SQRT((SUMPRODUCT(--('93_TARGET_MEMBERSHIP'!L$5:L$27=1),'92_FEATURE_CONF_NUMERIC'!AG$5:AG$27)/MAX(1,COUNTIF('93_TARGET_MEMBERSHIP'!L$5:L$27,1)))*(SUMPRODUCT(--('93_TARGET_MEMBERSHIP'!L$5:L$27=-1),'92_FEATURE_CONF_NUMERIC'!AG$5:AG$27)/MAX(1,COUNTIF('93_TARGET_MEMBERSHIP'!L$5:L$27,-1)))))</f>
        <v/>
      </c>
      <c r="AG15" s="34">
        <f>IF($B15="ABSOLUTE SEMANTIC",'19_FEATURE_CONFIDENCE'!$D$35,SQRT((SUMPRODUCT(--('93_TARGET_MEMBERSHIP'!L$5:L$27=1),'92_FEATURE_CONF_NUMERIC'!AH$5:AH$27)/MAX(1,COUNTIF('93_TARGET_MEMBERSHIP'!L$5:L$27,1)))*(SUMPRODUCT(--('93_TARGET_MEMBERSHIP'!L$5:L$27=-1),'92_FEATURE_CONF_NUMERIC'!AH$5:AH$27)/MAX(1,COUNTIF('93_TARGET_MEMBERSHIP'!L$5:L$27,-1)))))</f>
        <v/>
      </c>
      <c r="AH15" s="34">
        <f>IF($B15="ABSOLUTE SEMANTIC",'19_FEATURE_CONFIDENCE'!$D$36,SQRT((SUMPRODUCT(--('93_TARGET_MEMBERSHIP'!L$5:L$27=1),'92_FEATURE_CONF_NUMERIC'!AI$5:AI$27)/MAX(1,COUNTIF('93_TARGET_MEMBERSHIP'!L$5:L$27,1)))*(SUMPRODUCT(--('93_TARGET_MEMBERSHIP'!L$5:L$27=-1),'92_FEATURE_CONF_NUMERIC'!AI$5:AI$27)/MAX(1,COUNTIF('93_TARGET_MEMBERSHIP'!L$5:L$27,-1)))))</f>
        <v/>
      </c>
      <c r="AI15" s="34">
        <f>IF($B15="ABSOLUTE SEMANTIC",'19_FEATURE_CONFIDENCE'!$D$37,SQRT((SUMPRODUCT(--('93_TARGET_MEMBERSHIP'!L$5:L$27=1),'92_FEATURE_CONF_NUMERIC'!AJ$5:AJ$27)/MAX(1,COUNTIF('93_TARGET_MEMBERSHIP'!L$5:L$27,1)))*(SUMPRODUCT(--('93_TARGET_MEMBERSHIP'!L$5:L$27=-1),'92_FEATURE_CONF_NUMERIC'!AJ$5:AJ$27)/MAX(1,COUNTIF('93_TARGET_MEMBERSHIP'!L$5:L$27,-1)))))</f>
        <v/>
      </c>
      <c r="AJ15" s="34">
        <f>IF($B15="ABSOLUTE SEMANTIC",'19_FEATURE_CONFIDENCE'!$D$38,SQRT((SUMPRODUCT(--('93_TARGET_MEMBERSHIP'!L$5:L$27=1),'92_FEATURE_CONF_NUMERIC'!AK$5:AK$27)/MAX(1,COUNTIF('93_TARGET_MEMBERSHIP'!L$5:L$27,1)))*(SUMPRODUCT(--('93_TARGET_MEMBERSHIP'!L$5:L$27=-1),'92_FEATURE_CONF_NUMERIC'!AK$5:AK$27)/MAX(1,COUNTIF('93_TARGET_MEMBERSHIP'!L$5:L$27,-1)))))</f>
        <v/>
      </c>
      <c r="AK15" s="34">
        <f>IF($B15="ABSOLUTE SEMANTIC",'19_FEATURE_CONFIDENCE'!$D$39,SQRT((SUMPRODUCT(--('93_TARGET_MEMBERSHIP'!L$5:L$27=1),'92_FEATURE_CONF_NUMERIC'!AL$5:AL$27)/MAX(1,COUNTIF('93_TARGET_MEMBERSHIP'!L$5:L$27,1)))*(SUMPRODUCT(--('93_TARGET_MEMBERSHIP'!L$5:L$27=-1),'92_FEATURE_CONF_NUMERIC'!AL$5:AL$27)/MAX(1,COUNTIF('93_TARGET_MEMBERSHIP'!L$5:L$27,-1)))))</f>
        <v/>
      </c>
      <c r="AL15" s="34">
        <f>IF($B15="ABSOLUTE SEMANTIC",'19_FEATURE_CONFIDENCE'!$D$40,SQRT((SUMPRODUCT(--('93_TARGET_MEMBERSHIP'!L$5:L$27=1),'92_FEATURE_CONF_NUMERIC'!AM$5:AM$27)/MAX(1,COUNTIF('93_TARGET_MEMBERSHIP'!L$5:L$27,1)))*(SUMPRODUCT(--('93_TARGET_MEMBERSHIP'!L$5:L$27=-1),'92_FEATURE_CONF_NUMERIC'!AM$5:AM$27)/MAX(1,COUNTIF('93_TARGET_MEMBERSHIP'!L$5:L$27,-1)))))</f>
        <v/>
      </c>
      <c r="AM15" s="34">
        <f>IF($B15="ABSOLUTE SEMANTIC",'19_FEATURE_CONFIDENCE'!$D$41,SQRT((SUMPRODUCT(--('93_TARGET_MEMBERSHIP'!L$5:L$27=1),'92_FEATURE_CONF_NUMERIC'!AN$5:AN$27)/MAX(1,COUNTIF('93_TARGET_MEMBERSHIP'!L$5:L$27,1)))*(SUMPRODUCT(--('93_TARGET_MEMBERSHIP'!L$5:L$27=-1),'92_FEATURE_CONF_NUMERIC'!AN$5:AN$27)/MAX(1,COUNTIF('93_TARGET_MEMBERSHIP'!L$5:L$27,-1)))))</f>
        <v/>
      </c>
      <c r="AN15" s="34">
        <f>IF($B15="ABSOLUTE SEMANTIC",'19_FEATURE_CONFIDENCE'!$D$42,SQRT((SUMPRODUCT(--('93_TARGET_MEMBERSHIP'!L$5:L$27=1),'92_FEATURE_CONF_NUMERIC'!AO$5:AO$27)/MAX(1,COUNTIF('93_TARGET_MEMBERSHIP'!L$5:L$27,1)))*(SUMPRODUCT(--('93_TARGET_MEMBERSHIP'!L$5:L$27=-1),'92_FEATURE_CONF_NUMERIC'!AO$5:AO$27)/MAX(1,COUNTIF('93_TARGET_MEMBERSHIP'!L$5:L$27,-1)))))</f>
        <v/>
      </c>
      <c r="AO15" s="34">
        <f>IF($B15="ABSOLUTE SEMANTIC",'19_FEATURE_CONFIDENCE'!$D$43,SQRT((SUMPRODUCT(--('93_TARGET_MEMBERSHIP'!L$5:L$27=1),'92_FEATURE_CONF_NUMERIC'!AP$5:AP$27)/MAX(1,COUNTIF('93_TARGET_MEMBERSHIP'!L$5:L$27,1)))*(SUMPRODUCT(--('93_TARGET_MEMBERSHIP'!L$5:L$27=-1),'92_FEATURE_CONF_NUMERIC'!AP$5:AP$27)/MAX(1,COUNTIF('93_TARGET_MEMBERSHIP'!L$5:L$27,-1)))))</f>
        <v/>
      </c>
      <c r="AP15" s="34">
        <f>IF($B15="ABSOLUTE SEMANTIC",'19_FEATURE_CONFIDENCE'!$D$44,SQRT((SUMPRODUCT(--('93_TARGET_MEMBERSHIP'!L$5:L$27=1),'92_FEATURE_CONF_NUMERIC'!AQ$5:AQ$27)/MAX(1,COUNTIF('93_TARGET_MEMBERSHIP'!L$5:L$27,1)))*(SUMPRODUCT(--('93_TARGET_MEMBERSHIP'!L$5:L$27=-1),'92_FEATURE_CONF_NUMERIC'!AQ$5:AQ$27)/MAX(1,COUNTIF('93_TARGET_MEMBERSHIP'!L$5:L$27,-1)))))</f>
        <v/>
      </c>
      <c r="AQ15" s="34">
        <f>IF($B15="ABSOLUTE SEMANTIC",'19_FEATURE_CONFIDENCE'!$D$45,SQRT((SUMPRODUCT(--('93_TARGET_MEMBERSHIP'!L$5:L$27=1),'92_FEATURE_CONF_NUMERIC'!AR$5:AR$27)/MAX(1,COUNTIF('93_TARGET_MEMBERSHIP'!L$5:L$27,1)))*(SUMPRODUCT(--('93_TARGET_MEMBERSHIP'!L$5:L$27=-1),'92_FEATURE_CONF_NUMERIC'!AR$5:AR$27)/MAX(1,COUNTIF('93_TARGET_MEMBERSHIP'!L$5:L$27,-1)))))</f>
        <v/>
      </c>
    </row>
    <row r="16" ht="36" customHeight="1">
      <c r="A16" s="34">
        <f>'06_ITEM_POLE_MODEL'!A16</f>
        <v/>
      </c>
      <c r="B16" s="34">
        <f>'06_ITEM_POLE_MODEL'!E16</f>
        <v/>
      </c>
      <c r="C16" s="34">
        <f>IF($B16="ABSOLUTE SEMANTIC",'19_FEATURE_CONFIDENCE'!$D$5,SQRT((SUMPRODUCT(--('93_TARGET_MEMBERSHIP'!M$5:M$27=1),'92_FEATURE_CONF_NUMERIC'!D$5:D$27)/MAX(1,COUNTIF('93_TARGET_MEMBERSHIP'!M$5:M$27,1)))*(SUMPRODUCT(--('93_TARGET_MEMBERSHIP'!M$5:M$27=-1),'92_FEATURE_CONF_NUMERIC'!D$5:D$27)/MAX(1,COUNTIF('93_TARGET_MEMBERSHIP'!M$5:M$27,-1)))))</f>
        <v/>
      </c>
      <c r="D16" s="34">
        <f>IF($B16="ABSOLUTE SEMANTIC",'19_FEATURE_CONFIDENCE'!$D$6,SQRT((SUMPRODUCT(--('93_TARGET_MEMBERSHIP'!M$5:M$27=1),'92_FEATURE_CONF_NUMERIC'!E$5:E$27)/MAX(1,COUNTIF('93_TARGET_MEMBERSHIP'!M$5:M$27,1)))*(SUMPRODUCT(--('93_TARGET_MEMBERSHIP'!M$5:M$27=-1),'92_FEATURE_CONF_NUMERIC'!E$5:E$27)/MAX(1,COUNTIF('93_TARGET_MEMBERSHIP'!M$5:M$27,-1)))))</f>
        <v/>
      </c>
      <c r="E16" s="34">
        <f>IF($B16="ABSOLUTE SEMANTIC",'19_FEATURE_CONFIDENCE'!$D$7,SQRT((SUMPRODUCT(--('93_TARGET_MEMBERSHIP'!M$5:M$27=1),'92_FEATURE_CONF_NUMERIC'!F$5:F$27)/MAX(1,COUNTIF('93_TARGET_MEMBERSHIP'!M$5:M$27,1)))*(SUMPRODUCT(--('93_TARGET_MEMBERSHIP'!M$5:M$27=-1),'92_FEATURE_CONF_NUMERIC'!F$5:F$27)/MAX(1,COUNTIF('93_TARGET_MEMBERSHIP'!M$5:M$27,-1)))))</f>
        <v/>
      </c>
      <c r="F16" s="34">
        <f>IF($B16="ABSOLUTE SEMANTIC",'19_FEATURE_CONFIDENCE'!$D$8,SQRT((SUMPRODUCT(--('93_TARGET_MEMBERSHIP'!M$5:M$27=1),'92_FEATURE_CONF_NUMERIC'!G$5:G$27)/MAX(1,COUNTIF('93_TARGET_MEMBERSHIP'!M$5:M$27,1)))*(SUMPRODUCT(--('93_TARGET_MEMBERSHIP'!M$5:M$27=-1),'92_FEATURE_CONF_NUMERIC'!G$5:G$27)/MAX(1,COUNTIF('93_TARGET_MEMBERSHIP'!M$5:M$27,-1)))))</f>
        <v/>
      </c>
      <c r="G16" s="34">
        <f>IF($B16="ABSOLUTE SEMANTIC",'19_FEATURE_CONFIDENCE'!$D$9,SQRT((SUMPRODUCT(--('93_TARGET_MEMBERSHIP'!M$5:M$27=1),'92_FEATURE_CONF_NUMERIC'!H$5:H$27)/MAX(1,COUNTIF('93_TARGET_MEMBERSHIP'!M$5:M$27,1)))*(SUMPRODUCT(--('93_TARGET_MEMBERSHIP'!M$5:M$27=-1),'92_FEATURE_CONF_NUMERIC'!H$5:H$27)/MAX(1,COUNTIF('93_TARGET_MEMBERSHIP'!M$5:M$27,-1)))))</f>
        <v/>
      </c>
      <c r="H16" s="34">
        <f>IF($B16="ABSOLUTE SEMANTIC",'19_FEATURE_CONFIDENCE'!$D$10,SQRT((SUMPRODUCT(--('93_TARGET_MEMBERSHIP'!M$5:M$27=1),'92_FEATURE_CONF_NUMERIC'!I$5:I$27)/MAX(1,COUNTIF('93_TARGET_MEMBERSHIP'!M$5:M$27,1)))*(SUMPRODUCT(--('93_TARGET_MEMBERSHIP'!M$5:M$27=-1),'92_FEATURE_CONF_NUMERIC'!I$5:I$27)/MAX(1,COUNTIF('93_TARGET_MEMBERSHIP'!M$5:M$27,-1)))))</f>
        <v/>
      </c>
      <c r="I16" s="34">
        <f>IF($B16="ABSOLUTE SEMANTIC",'19_FEATURE_CONFIDENCE'!$D$11,SQRT((SUMPRODUCT(--('93_TARGET_MEMBERSHIP'!M$5:M$27=1),'92_FEATURE_CONF_NUMERIC'!J$5:J$27)/MAX(1,COUNTIF('93_TARGET_MEMBERSHIP'!M$5:M$27,1)))*(SUMPRODUCT(--('93_TARGET_MEMBERSHIP'!M$5:M$27=-1),'92_FEATURE_CONF_NUMERIC'!J$5:J$27)/MAX(1,COUNTIF('93_TARGET_MEMBERSHIP'!M$5:M$27,-1)))))</f>
        <v/>
      </c>
      <c r="J16" s="34">
        <f>IF($B16="ABSOLUTE SEMANTIC",'19_FEATURE_CONFIDENCE'!$D$12,SQRT((SUMPRODUCT(--('93_TARGET_MEMBERSHIP'!M$5:M$27=1),'92_FEATURE_CONF_NUMERIC'!K$5:K$27)/MAX(1,COUNTIF('93_TARGET_MEMBERSHIP'!M$5:M$27,1)))*(SUMPRODUCT(--('93_TARGET_MEMBERSHIP'!M$5:M$27=-1),'92_FEATURE_CONF_NUMERIC'!K$5:K$27)/MAX(1,COUNTIF('93_TARGET_MEMBERSHIP'!M$5:M$27,-1)))))</f>
        <v/>
      </c>
      <c r="K16" s="34">
        <f>IF($B16="ABSOLUTE SEMANTIC",'19_FEATURE_CONFIDENCE'!$D$13,SQRT((SUMPRODUCT(--('93_TARGET_MEMBERSHIP'!M$5:M$27=1),'92_FEATURE_CONF_NUMERIC'!L$5:L$27)/MAX(1,COUNTIF('93_TARGET_MEMBERSHIP'!M$5:M$27,1)))*(SUMPRODUCT(--('93_TARGET_MEMBERSHIP'!M$5:M$27=-1),'92_FEATURE_CONF_NUMERIC'!L$5:L$27)/MAX(1,COUNTIF('93_TARGET_MEMBERSHIP'!M$5:M$27,-1)))))</f>
        <v/>
      </c>
      <c r="L16" s="34">
        <f>IF($B16="ABSOLUTE SEMANTIC",'19_FEATURE_CONFIDENCE'!$D$14,SQRT((SUMPRODUCT(--('93_TARGET_MEMBERSHIP'!M$5:M$27=1),'92_FEATURE_CONF_NUMERIC'!M$5:M$27)/MAX(1,COUNTIF('93_TARGET_MEMBERSHIP'!M$5:M$27,1)))*(SUMPRODUCT(--('93_TARGET_MEMBERSHIP'!M$5:M$27=-1),'92_FEATURE_CONF_NUMERIC'!M$5:M$27)/MAX(1,COUNTIF('93_TARGET_MEMBERSHIP'!M$5:M$27,-1)))))</f>
        <v/>
      </c>
      <c r="M16" s="34">
        <f>IF($B16="ABSOLUTE SEMANTIC",'19_FEATURE_CONFIDENCE'!$D$15,SQRT((SUMPRODUCT(--('93_TARGET_MEMBERSHIP'!M$5:M$27=1),'92_FEATURE_CONF_NUMERIC'!N$5:N$27)/MAX(1,COUNTIF('93_TARGET_MEMBERSHIP'!M$5:M$27,1)))*(SUMPRODUCT(--('93_TARGET_MEMBERSHIP'!M$5:M$27=-1),'92_FEATURE_CONF_NUMERIC'!N$5:N$27)/MAX(1,COUNTIF('93_TARGET_MEMBERSHIP'!M$5:M$27,-1)))))</f>
        <v/>
      </c>
      <c r="N16" s="34">
        <f>IF($B16="ABSOLUTE SEMANTIC",'19_FEATURE_CONFIDENCE'!$D$16,SQRT((SUMPRODUCT(--('93_TARGET_MEMBERSHIP'!M$5:M$27=1),'92_FEATURE_CONF_NUMERIC'!O$5:O$27)/MAX(1,COUNTIF('93_TARGET_MEMBERSHIP'!M$5:M$27,1)))*(SUMPRODUCT(--('93_TARGET_MEMBERSHIP'!M$5:M$27=-1),'92_FEATURE_CONF_NUMERIC'!O$5:O$27)/MAX(1,COUNTIF('93_TARGET_MEMBERSHIP'!M$5:M$27,-1)))))</f>
        <v/>
      </c>
      <c r="O16" s="34">
        <f>IF($B16="ABSOLUTE SEMANTIC",'19_FEATURE_CONFIDENCE'!$D$17,SQRT((SUMPRODUCT(--('93_TARGET_MEMBERSHIP'!M$5:M$27=1),'92_FEATURE_CONF_NUMERIC'!P$5:P$27)/MAX(1,COUNTIF('93_TARGET_MEMBERSHIP'!M$5:M$27,1)))*(SUMPRODUCT(--('93_TARGET_MEMBERSHIP'!M$5:M$27=-1),'92_FEATURE_CONF_NUMERIC'!P$5:P$27)/MAX(1,COUNTIF('93_TARGET_MEMBERSHIP'!M$5:M$27,-1)))))</f>
        <v/>
      </c>
      <c r="P16" s="34">
        <f>IF($B16="ABSOLUTE SEMANTIC",'19_FEATURE_CONFIDENCE'!$D$18,SQRT((SUMPRODUCT(--('93_TARGET_MEMBERSHIP'!M$5:M$27=1),'92_FEATURE_CONF_NUMERIC'!Q$5:Q$27)/MAX(1,COUNTIF('93_TARGET_MEMBERSHIP'!M$5:M$27,1)))*(SUMPRODUCT(--('93_TARGET_MEMBERSHIP'!M$5:M$27=-1),'92_FEATURE_CONF_NUMERIC'!Q$5:Q$27)/MAX(1,COUNTIF('93_TARGET_MEMBERSHIP'!M$5:M$27,-1)))))</f>
        <v/>
      </c>
      <c r="Q16" s="34">
        <f>IF($B16="ABSOLUTE SEMANTIC",'19_FEATURE_CONFIDENCE'!$D$19,SQRT((SUMPRODUCT(--('93_TARGET_MEMBERSHIP'!M$5:M$27=1),'92_FEATURE_CONF_NUMERIC'!R$5:R$27)/MAX(1,COUNTIF('93_TARGET_MEMBERSHIP'!M$5:M$27,1)))*(SUMPRODUCT(--('93_TARGET_MEMBERSHIP'!M$5:M$27=-1),'92_FEATURE_CONF_NUMERIC'!R$5:R$27)/MAX(1,COUNTIF('93_TARGET_MEMBERSHIP'!M$5:M$27,-1)))))</f>
        <v/>
      </c>
      <c r="R16" s="34">
        <f>IF($B16="ABSOLUTE SEMANTIC",'19_FEATURE_CONFIDENCE'!$D$20,SQRT((SUMPRODUCT(--('93_TARGET_MEMBERSHIP'!M$5:M$27=1),'92_FEATURE_CONF_NUMERIC'!S$5:S$27)/MAX(1,COUNTIF('93_TARGET_MEMBERSHIP'!M$5:M$27,1)))*(SUMPRODUCT(--('93_TARGET_MEMBERSHIP'!M$5:M$27=-1),'92_FEATURE_CONF_NUMERIC'!S$5:S$27)/MAX(1,COUNTIF('93_TARGET_MEMBERSHIP'!M$5:M$27,-1)))))</f>
        <v/>
      </c>
      <c r="S16" s="34">
        <f>IF($B16="ABSOLUTE SEMANTIC",'19_FEATURE_CONFIDENCE'!$D$21,SQRT((SUMPRODUCT(--('93_TARGET_MEMBERSHIP'!M$5:M$27=1),'92_FEATURE_CONF_NUMERIC'!T$5:T$27)/MAX(1,COUNTIF('93_TARGET_MEMBERSHIP'!M$5:M$27,1)))*(SUMPRODUCT(--('93_TARGET_MEMBERSHIP'!M$5:M$27=-1),'92_FEATURE_CONF_NUMERIC'!T$5:T$27)/MAX(1,COUNTIF('93_TARGET_MEMBERSHIP'!M$5:M$27,-1)))))</f>
        <v/>
      </c>
      <c r="T16" s="34">
        <f>IF($B16="ABSOLUTE SEMANTIC",'19_FEATURE_CONFIDENCE'!$D$22,SQRT((SUMPRODUCT(--('93_TARGET_MEMBERSHIP'!M$5:M$27=1),'92_FEATURE_CONF_NUMERIC'!U$5:U$27)/MAX(1,COUNTIF('93_TARGET_MEMBERSHIP'!M$5:M$27,1)))*(SUMPRODUCT(--('93_TARGET_MEMBERSHIP'!M$5:M$27=-1),'92_FEATURE_CONF_NUMERIC'!U$5:U$27)/MAX(1,COUNTIF('93_TARGET_MEMBERSHIP'!M$5:M$27,-1)))))</f>
        <v/>
      </c>
      <c r="U16" s="34">
        <f>IF($B16="ABSOLUTE SEMANTIC",'19_FEATURE_CONFIDENCE'!$D$23,SQRT((SUMPRODUCT(--('93_TARGET_MEMBERSHIP'!M$5:M$27=1),'92_FEATURE_CONF_NUMERIC'!V$5:V$27)/MAX(1,COUNTIF('93_TARGET_MEMBERSHIP'!M$5:M$27,1)))*(SUMPRODUCT(--('93_TARGET_MEMBERSHIP'!M$5:M$27=-1),'92_FEATURE_CONF_NUMERIC'!V$5:V$27)/MAX(1,COUNTIF('93_TARGET_MEMBERSHIP'!M$5:M$27,-1)))))</f>
        <v/>
      </c>
      <c r="V16" s="34">
        <f>IF($B16="ABSOLUTE SEMANTIC",'19_FEATURE_CONFIDENCE'!$D$24,SQRT((SUMPRODUCT(--('93_TARGET_MEMBERSHIP'!M$5:M$27=1),'92_FEATURE_CONF_NUMERIC'!W$5:W$27)/MAX(1,COUNTIF('93_TARGET_MEMBERSHIP'!M$5:M$27,1)))*(SUMPRODUCT(--('93_TARGET_MEMBERSHIP'!M$5:M$27=-1),'92_FEATURE_CONF_NUMERIC'!W$5:W$27)/MAX(1,COUNTIF('93_TARGET_MEMBERSHIP'!M$5:M$27,-1)))))</f>
        <v/>
      </c>
      <c r="W16" s="34">
        <f>IF($B16="ABSOLUTE SEMANTIC",'19_FEATURE_CONFIDENCE'!$D$25,SQRT((SUMPRODUCT(--('93_TARGET_MEMBERSHIP'!M$5:M$27=1),'92_FEATURE_CONF_NUMERIC'!X$5:X$27)/MAX(1,COUNTIF('93_TARGET_MEMBERSHIP'!M$5:M$27,1)))*(SUMPRODUCT(--('93_TARGET_MEMBERSHIP'!M$5:M$27=-1),'92_FEATURE_CONF_NUMERIC'!X$5:X$27)/MAX(1,COUNTIF('93_TARGET_MEMBERSHIP'!M$5:M$27,-1)))))</f>
        <v/>
      </c>
      <c r="X16" s="34">
        <f>IF($B16="ABSOLUTE SEMANTIC",'19_FEATURE_CONFIDENCE'!$D$26,SQRT((SUMPRODUCT(--('93_TARGET_MEMBERSHIP'!M$5:M$27=1),'92_FEATURE_CONF_NUMERIC'!Y$5:Y$27)/MAX(1,COUNTIF('93_TARGET_MEMBERSHIP'!M$5:M$27,1)))*(SUMPRODUCT(--('93_TARGET_MEMBERSHIP'!M$5:M$27=-1),'92_FEATURE_CONF_NUMERIC'!Y$5:Y$27)/MAX(1,COUNTIF('93_TARGET_MEMBERSHIP'!M$5:M$27,-1)))))</f>
        <v/>
      </c>
      <c r="Y16" s="34">
        <f>IF($B16="ABSOLUTE SEMANTIC",'19_FEATURE_CONFIDENCE'!$D$27,SQRT((SUMPRODUCT(--('93_TARGET_MEMBERSHIP'!M$5:M$27=1),'92_FEATURE_CONF_NUMERIC'!Z$5:Z$27)/MAX(1,COUNTIF('93_TARGET_MEMBERSHIP'!M$5:M$27,1)))*(SUMPRODUCT(--('93_TARGET_MEMBERSHIP'!M$5:M$27=-1),'92_FEATURE_CONF_NUMERIC'!Z$5:Z$27)/MAX(1,COUNTIF('93_TARGET_MEMBERSHIP'!M$5:M$27,-1)))))</f>
        <v/>
      </c>
      <c r="Z16" s="34">
        <f>IF($B16="ABSOLUTE SEMANTIC",'19_FEATURE_CONFIDENCE'!$D$28,SQRT((SUMPRODUCT(--('93_TARGET_MEMBERSHIP'!M$5:M$27=1),'92_FEATURE_CONF_NUMERIC'!AA$5:AA$27)/MAX(1,COUNTIF('93_TARGET_MEMBERSHIP'!M$5:M$27,1)))*(SUMPRODUCT(--('93_TARGET_MEMBERSHIP'!M$5:M$27=-1),'92_FEATURE_CONF_NUMERIC'!AA$5:AA$27)/MAX(1,COUNTIF('93_TARGET_MEMBERSHIP'!M$5:M$27,-1)))))</f>
        <v/>
      </c>
      <c r="AA16" s="34">
        <f>IF($B16="ABSOLUTE SEMANTIC",'19_FEATURE_CONFIDENCE'!$D$29,SQRT((SUMPRODUCT(--('93_TARGET_MEMBERSHIP'!M$5:M$27=1),'92_FEATURE_CONF_NUMERIC'!AB$5:AB$27)/MAX(1,COUNTIF('93_TARGET_MEMBERSHIP'!M$5:M$27,1)))*(SUMPRODUCT(--('93_TARGET_MEMBERSHIP'!M$5:M$27=-1),'92_FEATURE_CONF_NUMERIC'!AB$5:AB$27)/MAX(1,COUNTIF('93_TARGET_MEMBERSHIP'!M$5:M$27,-1)))))</f>
        <v/>
      </c>
      <c r="AB16" s="34">
        <f>IF($B16="ABSOLUTE SEMANTIC",'19_FEATURE_CONFIDENCE'!$D$30,SQRT((SUMPRODUCT(--('93_TARGET_MEMBERSHIP'!M$5:M$27=1),'92_FEATURE_CONF_NUMERIC'!AC$5:AC$27)/MAX(1,COUNTIF('93_TARGET_MEMBERSHIP'!M$5:M$27,1)))*(SUMPRODUCT(--('93_TARGET_MEMBERSHIP'!M$5:M$27=-1),'92_FEATURE_CONF_NUMERIC'!AC$5:AC$27)/MAX(1,COUNTIF('93_TARGET_MEMBERSHIP'!M$5:M$27,-1)))))</f>
        <v/>
      </c>
      <c r="AC16" s="34">
        <f>IF($B16="ABSOLUTE SEMANTIC",'19_FEATURE_CONFIDENCE'!$D$31,SQRT((SUMPRODUCT(--('93_TARGET_MEMBERSHIP'!M$5:M$27=1),'92_FEATURE_CONF_NUMERIC'!AD$5:AD$27)/MAX(1,COUNTIF('93_TARGET_MEMBERSHIP'!M$5:M$27,1)))*(SUMPRODUCT(--('93_TARGET_MEMBERSHIP'!M$5:M$27=-1),'92_FEATURE_CONF_NUMERIC'!AD$5:AD$27)/MAX(1,COUNTIF('93_TARGET_MEMBERSHIP'!M$5:M$27,-1)))))</f>
        <v/>
      </c>
      <c r="AD16" s="34">
        <f>IF($B16="ABSOLUTE SEMANTIC",'19_FEATURE_CONFIDENCE'!$D$32,SQRT((SUMPRODUCT(--('93_TARGET_MEMBERSHIP'!M$5:M$27=1),'92_FEATURE_CONF_NUMERIC'!AE$5:AE$27)/MAX(1,COUNTIF('93_TARGET_MEMBERSHIP'!M$5:M$27,1)))*(SUMPRODUCT(--('93_TARGET_MEMBERSHIP'!M$5:M$27=-1),'92_FEATURE_CONF_NUMERIC'!AE$5:AE$27)/MAX(1,COUNTIF('93_TARGET_MEMBERSHIP'!M$5:M$27,-1)))))</f>
        <v/>
      </c>
      <c r="AE16" s="34">
        <f>IF($B16="ABSOLUTE SEMANTIC",'19_FEATURE_CONFIDENCE'!$D$33,SQRT((SUMPRODUCT(--('93_TARGET_MEMBERSHIP'!M$5:M$27=1),'92_FEATURE_CONF_NUMERIC'!AF$5:AF$27)/MAX(1,COUNTIF('93_TARGET_MEMBERSHIP'!M$5:M$27,1)))*(SUMPRODUCT(--('93_TARGET_MEMBERSHIP'!M$5:M$27=-1),'92_FEATURE_CONF_NUMERIC'!AF$5:AF$27)/MAX(1,COUNTIF('93_TARGET_MEMBERSHIP'!M$5:M$27,-1)))))</f>
        <v/>
      </c>
      <c r="AF16" s="34">
        <f>IF($B16="ABSOLUTE SEMANTIC",'19_FEATURE_CONFIDENCE'!$D$34,SQRT((SUMPRODUCT(--('93_TARGET_MEMBERSHIP'!M$5:M$27=1),'92_FEATURE_CONF_NUMERIC'!AG$5:AG$27)/MAX(1,COUNTIF('93_TARGET_MEMBERSHIP'!M$5:M$27,1)))*(SUMPRODUCT(--('93_TARGET_MEMBERSHIP'!M$5:M$27=-1),'92_FEATURE_CONF_NUMERIC'!AG$5:AG$27)/MAX(1,COUNTIF('93_TARGET_MEMBERSHIP'!M$5:M$27,-1)))))</f>
        <v/>
      </c>
      <c r="AG16" s="34">
        <f>IF($B16="ABSOLUTE SEMANTIC",'19_FEATURE_CONFIDENCE'!$D$35,SQRT((SUMPRODUCT(--('93_TARGET_MEMBERSHIP'!M$5:M$27=1),'92_FEATURE_CONF_NUMERIC'!AH$5:AH$27)/MAX(1,COUNTIF('93_TARGET_MEMBERSHIP'!M$5:M$27,1)))*(SUMPRODUCT(--('93_TARGET_MEMBERSHIP'!M$5:M$27=-1),'92_FEATURE_CONF_NUMERIC'!AH$5:AH$27)/MAX(1,COUNTIF('93_TARGET_MEMBERSHIP'!M$5:M$27,-1)))))</f>
        <v/>
      </c>
      <c r="AH16" s="34">
        <f>IF($B16="ABSOLUTE SEMANTIC",'19_FEATURE_CONFIDENCE'!$D$36,SQRT((SUMPRODUCT(--('93_TARGET_MEMBERSHIP'!M$5:M$27=1),'92_FEATURE_CONF_NUMERIC'!AI$5:AI$27)/MAX(1,COUNTIF('93_TARGET_MEMBERSHIP'!M$5:M$27,1)))*(SUMPRODUCT(--('93_TARGET_MEMBERSHIP'!M$5:M$27=-1),'92_FEATURE_CONF_NUMERIC'!AI$5:AI$27)/MAX(1,COUNTIF('93_TARGET_MEMBERSHIP'!M$5:M$27,-1)))))</f>
        <v/>
      </c>
      <c r="AI16" s="34">
        <f>IF($B16="ABSOLUTE SEMANTIC",'19_FEATURE_CONFIDENCE'!$D$37,SQRT((SUMPRODUCT(--('93_TARGET_MEMBERSHIP'!M$5:M$27=1),'92_FEATURE_CONF_NUMERIC'!AJ$5:AJ$27)/MAX(1,COUNTIF('93_TARGET_MEMBERSHIP'!M$5:M$27,1)))*(SUMPRODUCT(--('93_TARGET_MEMBERSHIP'!M$5:M$27=-1),'92_FEATURE_CONF_NUMERIC'!AJ$5:AJ$27)/MAX(1,COUNTIF('93_TARGET_MEMBERSHIP'!M$5:M$27,-1)))))</f>
        <v/>
      </c>
      <c r="AJ16" s="34">
        <f>IF($B16="ABSOLUTE SEMANTIC",'19_FEATURE_CONFIDENCE'!$D$38,SQRT((SUMPRODUCT(--('93_TARGET_MEMBERSHIP'!M$5:M$27=1),'92_FEATURE_CONF_NUMERIC'!AK$5:AK$27)/MAX(1,COUNTIF('93_TARGET_MEMBERSHIP'!M$5:M$27,1)))*(SUMPRODUCT(--('93_TARGET_MEMBERSHIP'!M$5:M$27=-1),'92_FEATURE_CONF_NUMERIC'!AK$5:AK$27)/MAX(1,COUNTIF('93_TARGET_MEMBERSHIP'!M$5:M$27,-1)))))</f>
        <v/>
      </c>
      <c r="AK16" s="34">
        <f>IF($B16="ABSOLUTE SEMANTIC",'19_FEATURE_CONFIDENCE'!$D$39,SQRT((SUMPRODUCT(--('93_TARGET_MEMBERSHIP'!M$5:M$27=1),'92_FEATURE_CONF_NUMERIC'!AL$5:AL$27)/MAX(1,COUNTIF('93_TARGET_MEMBERSHIP'!M$5:M$27,1)))*(SUMPRODUCT(--('93_TARGET_MEMBERSHIP'!M$5:M$27=-1),'92_FEATURE_CONF_NUMERIC'!AL$5:AL$27)/MAX(1,COUNTIF('93_TARGET_MEMBERSHIP'!M$5:M$27,-1)))))</f>
        <v/>
      </c>
      <c r="AL16" s="34">
        <f>IF($B16="ABSOLUTE SEMANTIC",'19_FEATURE_CONFIDENCE'!$D$40,SQRT((SUMPRODUCT(--('93_TARGET_MEMBERSHIP'!M$5:M$27=1),'92_FEATURE_CONF_NUMERIC'!AM$5:AM$27)/MAX(1,COUNTIF('93_TARGET_MEMBERSHIP'!M$5:M$27,1)))*(SUMPRODUCT(--('93_TARGET_MEMBERSHIP'!M$5:M$27=-1),'92_FEATURE_CONF_NUMERIC'!AM$5:AM$27)/MAX(1,COUNTIF('93_TARGET_MEMBERSHIP'!M$5:M$27,-1)))))</f>
        <v/>
      </c>
      <c r="AM16" s="34">
        <f>IF($B16="ABSOLUTE SEMANTIC",'19_FEATURE_CONFIDENCE'!$D$41,SQRT((SUMPRODUCT(--('93_TARGET_MEMBERSHIP'!M$5:M$27=1),'92_FEATURE_CONF_NUMERIC'!AN$5:AN$27)/MAX(1,COUNTIF('93_TARGET_MEMBERSHIP'!M$5:M$27,1)))*(SUMPRODUCT(--('93_TARGET_MEMBERSHIP'!M$5:M$27=-1),'92_FEATURE_CONF_NUMERIC'!AN$5:AN$27)/MAX(1,COUNTIF('93_TARGET_MEMBERSHIP'!M$5:M$27,-1)))))</f>
        <v/>
      </c>
      <c r="AN16" s="34">
        <f>IF($B16="ABSOLUTE SEMANTIC",'19_FEATURE_CONFIDENCE'!$D$42,SQRT((SUMPRODUCT(--('93_TARGET_MEMBERSHIP'!M$5:M$27=1),'92_FEATURE_CONF_NUMERIC'!AO$5:AO$27)/MAX(1,COUNTIF('93_TARGET_MEMBERSHIP'!M$5:M$27,1)))*(SUMPRODUCT(--('93_TARGET_MEMBERSHIP'!M$5:M$27=-1),'92_FEATURE_CONF_NUMERIC'!AO$5:AO$27)/MAX(1,COUNTIF('93_TARGET_MEMBERSHIP'!M$5:M$27,-1)))))</f>
        <v/>
      </c>
      <c r="AO16" s="34">
        <f>IF($B16="ABSOLUTE SEMANTIC",'19_FEATURE_CONFIDENCE'!$D$43,SQRT((SUMPRODUCT(--('93_TARGET_MEMBERSHIP'!M$5:M$27=1),'92_FEATURE_CONF_NUMERIC'!AP$5:AP$27)/MAX(1,COUNTIF('93_TARGET_MEMBERSHIP'!M$5:M$27,1)))*(SUMPRODUCT(--('93_TARGET_MEMBERSHIP'!M$5:M$27=-1),'92_FEATURE_CONF_NUMERIC'!AP$5:AP$27)/MAX(1,COUNTIF('93_TARGET_MEMBERSHIP'!M$5:M$27,-1)))))</f>
        <v/>
      </c>
      <c r="AP16" s="34">
        <f>IF($B16="ABSOLUTE SEMANTIC",'19_FEATURE_CONFIDENCE'!$D$44,SQRT((SUMPRODUCT(--('93_TARGET_MEMBERSHIP'!M$5:M$27=1),'92_FEATURE_CONF_NUMERIC'!AQ$5:AQ$27)/MAX(1,COUNTIF('93_TARGET_MEMBERSHIP'!M$5:M$27,1)))*(SUMPRODUCT(--('93_TARGET_MEMBERSHIP'!M$5:M$27=-1),'92_FEATURE_CONF_NUMERIC'!AQ$5:AQ$27)/MAX(1,COUNTIF('93_TARGET_MEMBERSHIP'!M$5:M$27,-1)))))</f>
        <v/>
      </c>
      <c r="AQ16" s="34">
        <f>IF($B16="ABSOLUTE SEMANTIC",'19_FEATURE_CONFIDENCE'!$D$45,SQRT((SUMPRODUCT(--('93_TARGET_MEMBERSHIP'!M$5:M$27=1),'92_FEATURE_CONF_NUMERIC'!AR$5:AR$27)/MAX(1,COUNTIF('93_TARGET_MEMBERSHIP'!M$5:M$27,1)))*(SUMPRODUCT(--('93_TARGET_MEMBERSHIP'!M$5:M$27=-1),'92_FEATURE_CONF_NUMERIC'!AR$5:AR$27)/MAX(1,COUNTIF('93_TARGET_MEMBERSHIP'!M$5:M$27,-1)))))</f>
        <v/>
      </c>
    </row>
    <row r="17" ht="36" customHeight="1">
      <c r="A17" s="34">
        <f>'06_ITEM_POLE_MODEL'!A17</f>
        <v/>
      </c>
      <c r="B17" s="34">
        <f>'06_ITEM_POLE_MODEL'!E17</f>
        <v/>
      </c>
      <c r="C17" s="34">
        <f>IF($B17="ABSOLUTE SEMANTIC",'19_FEATURE_CONFIDENCE'!$D$5,SQRT((SUMPRODUCT(--('93_TARGET_MEMBERSHIP'!N$5:N$27=1),'92_FEATURE_CONF_NUMERIC'!D$5:D$27)/MAX(1,COUNTIF('93_TARGET_MEMBERSHIP'!N$5:N$27,1)))*(SUMPRODUCT(--('93_TARGET_MEMBERSHIP'!N$5:N$27=-1),'92_FEATURE_CONF_NUMERIC'!D$5:D$27)/MAX(1,COUNTIF('93_TARGET_MEMBERSHIP'!N$5:N$27,-1)))))</f>
        <v/>
      </c>
      <c r="D17" s="34">
        <f>IF($B17="ABSOLUTE SEMANTIC",'19_FEATURE_CONFIDENCE'!$D$6,SQRT((SUMPRODUCT(--('93_TARGET_MEMBERSHIP'!N$5:N$27=1),'92_FEATURE_CONF_NUMERIC'!E$5:E$27)/MAX(1,COUNTIF('93_TARGET_MEMBERSHIP'!N$5:N$27,1)))*(SUMPRODUCT(--('93_TARGET_MEMBERSHIP'!N$5:N$27=-1),'92_FEATURE_CONF_NUMERIC'!E$5:E$27)/MAX(1,COUNTIF('93_TARGET_MEMBERSHIP'!N$5:N$27,-1)))))</f>
        <v/>
      </c>
      <c r="E17" s="34">
        <f>IF($B17="ABSOLUTE SEMANTIC",'19_FEATURE_CONFIDENCE'!$D$7,SQRT((SUMPRODUCT(--('93_TARGET_MEMBERSHIP'!N$5:N$27=1),'92_FEATURE_CONF_NUMERIC'!F$5:F$27)/MAX(1,COUNTIF('93_TARGET_MEMBERSHIP'!N$5:N$27,1)))*(SUMPRODUCT(--('93_TARGET_MEMBERSHIP'!N$5:N$27=-1),'92_FEATURE_CONF_NUMERIC'!F$5:F$27)/MAX(1,COUNTIF('93_TARGET_MEMBERSHIP'!N$5:N$27,-1)))))</f>
        <v/>
      </c>
      <c r="F17" s="34">
        <f>IF($B17="ABSOLUTE SEMANTIC",'19_FEATURE_CONFIDENCE'!$D$8,SQRT((SUMPRODUCT(--('93_TARGET_MEMBERSHIP'!N$5:N$27=1),'92_FEATURE_CONF_NUMERIC'!G$5:G$27)/MAX(1,COUNTIF('93_TARGET_MEMBERSHIP'!N$5:N$27,1)))*(SUMPRODUCT(--('93_TARGET_MEMBERSHIP'!N$5:N$27=-1),'92_FEATURE_CONF_NUMERIC'!G$5:G$27)/MAX(1,COUNTIF('93_TARGET_MEMBERSHIP'!N$5:N$27,-1)))))</f>
        <v/>
      </c>
      <c r="G17" s="34">
        <f>IF($B17="ABSOLUTE SEMANTIC",'19_FEATURE_CONFIDENCE'!$D$9,SQRT((SUMPRODUCT(--('93_TARGET_MEMBERSHIP'!N$5:N$27=1),'92_FEATURE_CONF_NUMERIC'!H$5:H$27)/MAX(1,COUNTIF('93_TARGET_MEMBERSHIP'!N$5:N$27,1)))*(SUMPRODUCT(--('93_TARGET_MEMBERSHIP'!N$5:N$27=-1),'92_FEATURE_CONF_NUMERIC'!H$5:H$27)/MAX(1,COUNTIF('93_TARGET_MEMBERSHIP'!N$5:N$27,-1)))))</f>
        <v/>
      </c>
      <c r="H17" s="34">
        <f>IF($B17="ABSOLUTE SEMANTIC",'19_FEATURE_CONFIDENCE'!$D$10,SQRT((SUMPRODUCT(--('93_TARGET_MEMBERSHIP'!N$5:N$27=1),'92_FEATURE_CONF_NUMERIC'!I$5:I$27)/MAX(1,COUNTIF('93_TARGET_MEMBERSHIP'!N$5:N$27,1)))*(SUMPRODUCT(--('93_TARGET_MEMBERSHIP'!N$5:N$27=-1),'92_FEATURE_CONF_NUMERIC'!I$5:I$27)/MAX(1,COUNTIF('93_TARGET_MEMBERSHIP'!N$5:N$27,-1)))))</f>
        <v/>
      </c>
      <c r="I17" s="34">
        <f>IF($B17="ABSOLUTE SEMANTIC",'19_FEATURE_CONFIDENCE'!$D$11,SQRT((SUMPRODUCT(--('93_TARGET_MEMBERSHIP'!N$5:N$27=1),'92_FEATURE_CONF_NUMERIC'!J$5:J$27)/MAX(1,COUNTIF('93_TARGET_MEMBERSHIP'!N$5:N$27,1)))*(SUMPRODUCT(--('93_TARGET_MEMBERSHIP'!N$5:N$27=-1),'92_FEATURE_CONF_NUMERIC'!J$5:J$27)/MAX(1,COUNTIF('93_TARGET_MEMBERSHIP'!N$5:N$27,-1)))))</f>
        <v/>
      </c>
      <c r="J17" s="34">
        <f>IF($B17="ABSOLUTE SEMANTIC",'19_FEATURE_CONFIDENCE'!$D$12,SQRT((SUMPRODUCT(--('93_TARGET_MEMBERSHIP'!N$5:N$27=1),'92_FEATURE_CONF_NUMERIC'!K$5:K$27)/MAX(1,COUNTIF('93_TARGET_MEMBERSHIP'!N$5:N$27,1)))*(SUMPRODUCT(--('93_TARGET_MEMBERSHIP'!N$5:N$27=-1),'92_FEATURE_CONF_NUMERIC'!K$5:K$27)/MAX(1,COUNTIF('93_TARGET_MEMBERSHIP'!N$5:N$27,-1)))))</f>
        <v/>
      </c>
      <c r="K17" s="34">
        <f>IF($B17="ABSOLUTE SEMANTIC",'19_FEATURE_CONFIDENCE'!$D$13,SQRT((SUMPRODUCT(--('93_TARGET_MEMBERSHIP'!N$5:N$27=1),'92_FEATURE_CONF_NUMERIC'!L$5:L$27)/MAX(1,COUNTIF('93_TARGET_MEMBERSHIP'!N$5:N$27,1)))*(SUMPRODUCT(--('93_TARGET_MEMBERSHIP'!N$5:N$27=-1),'92_FEATURE_CONF_NUMERIC'!L$5:L$27)/MAX(1,COUNTIF('93_TARGET_MEMBERSHIP'!N$5:N$27,-1)))))</f>
        <v/>
      </c>
      <c r="L17" s="34">
        <f>IF($B17="ABSOLUTE SEMANTIC",'19_FEATURE_CONFIDENCE'!$D$14,SQRT((SUMPRODUCT(--('93_TARGET_MEMBERSHIP'!N$5:N$27=1),'92_FEATURE_CONF_NUMERIC'!M$5:M$27)/MAX(1,COUNTIF('93_TARGET_MEMBERSHIP'!N$5:N$27,1)))*(SUMPRODUCT(--('93_TARGET_MEMBERSHIP'!N$5:N$27=-1),'92_FEATURE_CONF_NUMERIC'!M$5:M$27)/MAX(1,COUNTIF('93_TARGET_MEMBERSHIP'!N$5:N$27,-1)))))</f>
        <v/>
      </c>
      <c r="M17" s="34">
        <f>IF($B17="ABSOLUTE SEMANTIC",'19_FEATURE_CONFIDENCE'!$D$15,SQRT((SUMPRODUCT(--('93_TARGET_MEMBERSHIP'!N$5:N$27=1),'92_FEATURE_CONF_NUMERIC'!N$5:N$27)/MAX(1,COUNTIF('93_TARGET_MEMBERSHIP'!N$5:N$27,1)))*(SUMPRODUCT(--('93_TARGET_MEMBERSHIP'!N$5:N$27=-1),'92_FEATURE_CONF_NUMERIC'!N$5:N$27)/MAX(1,COUNTIF('93_TARGET_MEMBERSHIP'!N$5:N$27,-1)))))</f>
        <v/>
      </c>
      <c r="N17" s="34">
        <f>IF($B17="ABSOLUTE SEMANTIC",'19_FEATURE_CONFIDENCE'!$D$16,SQRT((SUMPRODUCT(--('93_TARGET_MEMBERSHIP'!N$5:N$27=1),'92_FEATURE_CONF_NUMERIC'!O$5:O$27)/MAX(1,COUNTIF('93_TARGET_MEMBERSHIP'!N$5:N$27,1)))*(SUMPRODUCT(--('93_TARGET_MEMBERSHIP'!N$5:N$27=-1),'92_FEATURE_CONF_NUMERIC'!O$5:O$27)/MAX(1,COUNTIF('93_TARGET_MEMBERSHIP'!N$5:N$27,-1)))))</f>
        <v/>
      </c>
      <c r="O17" s="34">
        <f>IF($B17="ABSOLUTE SEMANTIC",'19_FEATURE_CONFIDENCE'!$D$17,SQRT((SUMPRODUCT(--('93_TARGET_MEMBERSHIP'!N$5:N$27=1),'92_FEATURE_CONF_NUMERIC'!P$5:P$27)/MAX(1,COUNTIF('93_TARGET_MEMBERSHIP'!N$5:N$27,1)))*(SUMPRODUCT(--('93_TARGET_MEMBERSHIP'!N$5:N$27=-1),'92_FEATURE_CONF_NUMERIC'!P$5:P$27)/MAX(1,COUNTIF('93_TARGET_MEMBERSHIP'!N$5:N$27,-1)))))</f>
        <v/>
      </c>
      <c r="P17" s="34">
        <f>IF($B17="ABSOLUTE SEMANTIC",'19_FEATURE_CONFIDENCE'!$D$18,SQRT((SUMPRODUCT(--('93_TARGET_MEMBERSHIP'!N$5:N$27=1),'92_FEATURE_CONF_NUMERIC'!Q$5:Q$27)/MAX(1,COUNTIF('93_TARGET_MEMBERSHIP'!N$5:N$27,1)))*(SUMPRODUCT(--('93_TARGET_MEMBERSHIP'!N$5:N$27=-1),'92_FEATURE_CONF_NUMERIC'!Q$5:Q$27)/MAX(1,COUNTIF('93_TARGET_MEMBERSHIP'!N$5:N$27,-1)))))</f>
        <v/>
      </c>
      <c r="Q17" s="34">
        <f>IF($B17="ABSOLUTE SEMANTIC",'19_FEATURE_CONFIDENCE'!$D$19,SQRT((SUMPRODUCT(--('93_TARGET_MEMBERSHIP'!N$5:N$27=1),'92_FEATURE_CONF_NUMERIC'!R$5:R$27)/MAX(1,COUNTIF('93_TARGET_MEMBERSHIP'!N$5:N$27,1)))*(SUMPRODUCT(--('93_TARGET_MEMBERSHIP'!N$5:N$27=-1),'92_FEATURE_CONF_NUMERIC'!R$5:R$27)/MAX(1,COUNTIF('93_TARGET_MEMBERSHIP'!N$5:N$27,-1)))))</f>
        <v/>
      </c>
      <c r="R17" s="34">
        <f>IF($B17="ABSOLUTE SEMANTIC",'19_FEATURE_CONFIDENCE'!$D$20,SQRT((SUMPRODUCT(--('93_TARGET_MEMBERSHIP'!N$5:N$27=1),'92_FEATURE_CONF_NUMERIC'!S$5:S$27)/MAX(1,COUNTIF('93_TARGET_MEMBERSHIP'!N$5:N$27,1)))*(SUMPRODUCT(--('93_TARGET_MEMBERSHIP'!N$5:N$27=-1),'92_FEATURE_CONF_NUMERIC'!S$5:S$27)/MAX(1,COUNTIF('93_TARGET_MEMBERSHIP'!N$5:N$27,-1)))))</f>
        <v/>
      </c>
      <c r="S17" s="34">
        <f>IF($B17="ABSOLUTE SEMANTIC",'19_FEATURE_CONFIDENCE'!$D$21,SQRT((SUMPRODUCT(--('93_TARGET_MEMBERSHIP'!N$5:N$27=1),'92_FEATURE_CONF_NUMERIC'!T$5:T$27)/MAX(1,COUNTIF('93_TARGET_MEMBERSHIP'!N$5:N$27,1)))*(SUMPRODUCT(--('93_TARGET_MEMBERSHIP'!N$5:N$27=-1),'92_FEATURE_CONF_NUMERIC'!T$5:T$27)/MAX(1,COUNTIF('93_TARGET_MEMBERSHIP'!N$5:N$27,-1)))))</f>
        <v/>
      </c>
      <c r="T17" s="34">
        <f>IF($B17="ABSOLUTE SEMANTIC",'19_FEATURE_CONFIDENCE'!$D$22,SQRT((SUMPRODUCT(--('93_TARGET_MEMBERSHIP'!N$5:N$27=1),'92_FEATURE_CONF_NUMERIC'!U$5:U$27)/MAX(1,COUNTIF('93_TARGET_MEMBERSHIP'!N$5:N$27,1)))*(SUMPRODUCT(--('93_TARGET_MEMBERSHIP'!N$5:N$27=-1),'92_FEATURE_CONF_NUMERIC'!U$5:U$27)/MAX(1,COUNTIF('93_TARGET_MEMBERSHIP'!N$5:N$27,-1)))))</f>
        <v/>
      </c>
      <c r="U17" s="34">
        <f>IF($B17="ABSOLUTE SEMANTIC",'19_FEATURE_CONFIDENCE'!$D$23,SQRT((SUMPRODUCT(--('93_TARGET_MEMBERSHIP'!N$5:N$27=1),'92_FEATURE_CONF_NUMERIC'!V$5:V$27)/MAX(1,COUNTIF('93_TARGET_MEMBERSHIP'!N$5:N$27,1)))*(SUMPRODUCT(--('93_TARGET_MEMBERSHIP'!N$5:N$27=-1),'92_FEATURE_CONF_NUMERIC'!V$5:V$27)/MAX(1,COUNTIF('93_TARGET_MEMBERSHIP'!N$5:N$27,-1)))))</f>
        <v/>
      </c>
      <c r="V17" s="34">
        <f>IF($B17="ABSOLUTE SEMANTIC",'19_FEATURE_CONFIDENCE'!$D$24,SQRT((SUMPRODUCT(--('93_TARGET_MEMBERSHIP'!N$5:N$27=1),'92_FEATURE_CONF_NUMERIC'!W$5:W$27)/MAX(1,COUNTIF('93_TARGET_MEMBERSHIP'!N$5:N$27,1)))*(SUMPRODUCT(--('93_TARGET_MEMBERSHIP'!N$5:N$27=-1),'92_FEATURE_CONF_NUMERIC'!W$5:W$27)/MAX(1,COUNTIF('93_TARGET_MEMBERSHIP'!N$5:N$27,-1)))))</f>
        <v/>
      </c>
      <c r="W17" s="34">
        <f>IF($B17="ABSOLUTE SEMANTIC",'19_FEATURE_CONFIDENCE'!$D$25,SQRT((SUMPRODUCT(--('93_TARGET_MEMBERSHIP'!N$5:N$27=1),'92_FEATURE_CONF_NUMERIC'!X$5:X$27)/MAX(1,COUNTIF('93_TARGET_MEMBERSHIP'!N$5:N$27,1)))*(SUMPRODUCT(--('93_TARGET_MEMBERSHIP'!N$5:N$27=-1),'92_FEATURE_CONF_NUMERIC'!X$5:X$27)/MAX(1,COUNTIF('93_TARGET_MEMBERSHIP'!N$5:N$27,-1)))))</f>
        <v/>
      </c>
      <c r="X17" s="34">
        <f>IF($B17="ABSOLUTE SEMANTIC",'19_FEATURE_CONFIDENCE'!$D$26,SQRT((SUMPRODUCT(--('93_TARGET_MEMBERSHIP'!N$5:N$27=1),'92_FEATURE_CONF_NUMERIC'!Y$5:Y$27)/MAX(1,COUNTIF('93_TARGET_MEMBERSHIP'!N$5:N$27,1)))*(SUMPRODUCT(--('93_TARGET_MEMBERSHIP'!N$5:N$27=-1),'92_FEATURE_CONF_NUMERIC'!Y$5:Y$27)/MAX(1,COUNTIF('93_TARGET_MEMBERSHIP'!N$5:N$27,-1)))))</f>
        <v/>
      </c>
      <c r="Y17" s="34">
        <f>IF($B17="ABSOLUTE SEMANTIC",'19_FEATURE_CONFIDENCE'!$D$27,SQRT((SUMPRODUCT(--('93_TARGET_MEMBERSHIP'!N$5:N$27=1),'92_FEATURE_CONF_NUMERIC'!Z$5:Z$27)/MAX(1,COUNTIF('93_TARGET_MEMBERSHIP'!N$5:N$27,1)))*(SUMPRODUCT(--('93_TARGET_MEMBERSHIP'!N$5:N$27=-1),'92_FEATURE_CONF_NUMERIC'!Z$5:Z$27)/MAX(1,COUNTIF('93_TARGET_MEMBERSHIP'!N$5:N$27,-1)))))</f>
        <v/>
      </c>
      <c r="Z17" s="34">
        <f>IF($B17="ABSOLUTE SEMANTIC",'19_FEATURE_CONFIDENCE'!$D$28,SQRT((SUMPRODUCT(--('93_TARGET_MEMBERSHIP'!N$5:N$27=1),'92_FEATURE_CONF_NUMERIC'!AA$5:AA$27)/MAX(1,COUNTIF('93_TARGET_MEMBERSHIP'!N$5:N$27,1)))*(SUMPRODUCT(--('93_TARGET_MEMBERSHIP'!N$5:N$27=-1),'92_FEATURE_CONF_NUMERIC'!AA$5:AA$27)/MAX(1,COUNTIF('93_TARGET_MEMBERSHIP'!N$5:N$27,-1)))))</f>
        <v/>
      </c>
      <c r="AA17" s="34">
        <f>IF($B17="ABSOLUTE SEMANTIC",'19_FEATURE_CONFIDENCE'!$D$29,SQRT((SUMPRODUCT(--('93_TARGET_MEMBERSHIP'!N$5:N$27=1),'92_FEATURE_CONF_NUMERIC'!AB$5:AB$27)/MAX(1,COUNTIF('93_TARGET_MEMBERSHIP'!N$5:N$27,1)))*(SUMPRODUCT(--('93_TARGET_MEMBERSHIP'!N$5:N$27=-1),'92_FEATURE_CONF_NUMERIC'!AB$5:AB$27)/MAX(1,COUNTIF('93_TARGET_MEMBERSHIP'!N$5:N$27,-1)))))</f>
        <v/>
      </c>
      <c r="AB17" s="34">
        <f>IF($B17="ABSOLUTE SEMANTIC",'19_FEATURE_CONFIDENCE'!$D$30,SQRT((SUMPRODUCT(--('93_TARGET_MEMBERSHIP'!N$5:N$27=1),'92_FEATURE_CONF_NUMERIC'!AC$5:AC$27)/MAX(1,COUNTIF('93_TARGET_MEMBERSHIP'!N$5:N$27,1)))*(SUMPRODUCT(--('93_TARGET_MEMBERSHIP'!N$5:N$27=-1),'92_FEATURE_CONF_NUMERIC'!AC$5:AC$27)/MAX(1,COUNTIF('93_TARGET_MEMBERSHIP'!N$5:N$27,-1)))))</f>
        <v/>
      </c>
      <c r="AC17" s="34">
        <f>IF($B17="ABSOLUTE SEMANTIC",'19_FEATURE_CONFIDENCE'!$D$31,SQRT((SUMPRODUCT(--('93_TARGET_MEMBERSHIP'!N$5:N$27=1),'92_FEATURE_CONF_NUMERIC'!AD$5:AD$27)/MAX(1,COUNTIF('93_TARGET_MEMBERSHIP'!N$5:N$27,1)))*(SUMPRODUCT(--('93_TARGET_MEMBERSHIP'!N$5:N$27=-1),'92_FEATURE_CONF_NUMERIC'!AD$5:AD$27)/MAX(1,COUNTIF('93_TARGET_MEMBERSHIP'!N$5:N$27,-1)))))</f>
        <v/>
      </c>
      <c r="AD17" s="34">
        <f>IF($B17="ABSOLUTE SEMANTIC",'19_FEATURE_CONFIDENCE'!$D$32,SQRT((SUMPRODUCT(--('93_TARGET_MEMBERSHIP'!N$5:N$27=1),'92_FEATURE_CONF_NUMERIC'!AE$5:AE$27)/MAX(1,COUNTIF('93_TARGET_MEMBERSHIP'!N$5:N$27,1)))*(SUMPRODUCT(--('93_TARGET_MEMBERSHIP'!N$5:N$27=-1),'92_FEATURE_CONF_NUMERIC'!AE$5:AE$27)/MAX(1,COUNTIF('93_TARGET_MEMBERSHIP'!N$5:N$27,-1)))))</f>
        <v/>
      </c>
      <c r="AE17" s="34">
        <f>IF($B17="ABSOLUTE SEMANTIC",'19_FEATURE_CONFIDENCE'!$D$33,SQRT((SUMPRODUCT(--('93_TARGET_MEMBERSHIP'!N$5:N$27=1),'92_FEATURE_CONF_NUMERIC'!AF$5:AF$27)/MAX(1,COUNTIF('93_TARGET_MEMBERSHIP'!N$5:N$27,1)))*(SUMPRODUCT(--('93_TARGET_MEMBERSHIP'!N$5:N$27=-1),'92_FEATURE_CONF_NUMERIC'!AF$5:AF$27)/MAX(1,COUNTIF('93_TARGET_MEMBERSHIP'!N$5:N$27,-1)))))</f>
        <v/>
      </c>
      <c r="AF17" s="34">
        <f>IF($B17="ABSOLUTE SEMANTIC",'19_FEATURE_CONFIDENCE'!$D$34,SQRT((SUMPRODUCT(--('93_TARGET_MEMBERSHIP'!N$5:N$27=1),'92_FEATURE_CONF_NUMERIC'!AG$5:AG$27)/MAX(1,COUNTIF('93_TARGET_MEMBERSHIP'!N$5:N$27,1)))*(SUMPRODUCT(--('93_TARGET_MEMBERSHIP'!N$5:N$27=-1),'92_FEATURE_CONF_NUMERIC'!AG$5:AG$27)/MAX(1,COUNTIF('93_TARGET_MEMBERSHIP'!N$5:N$27,-1)))))</f>
        <v/>
      </c>
      <c r="AG17" s="34">
        <f>IF($B17="ABSOLUTE SEMANTIC",'19_FEATURE_CONFIDENCE'!$D$35,SQRT((SUMPRODUCT(--('93_TARGET_MEMBERSHIP'!N$5:N$27=1),'92_FEATURE_CONF_NUMERIC'!AH$5:AH$27)/MAX(1,COUNTIF('93_TARGET_MEMBERSHIP'!N$5:N$27,1)))*(SUMPRODUCT(--('93_TARGET_MEMBERSHIP'!N$5:N$27=-1),'92_FEATURE_CONF_NUMERIC'!AH$5:AH$27)/MAX(1,COUNTIF('93_TARGET_MEMBERSHIP'!N$5:N$27,-1)))))</f>
        <v/>
      </c>
      <c r="AH17" s="34">
        <f>IF($B17="ABSOLUTE SEMANTIC",'19_FEATURE_CONFIDENCE'!$D$36,SQRT((SUMPRODUCT(--('93_TARGET_MEMBERSHIP'!N$5:N$27=1),'92_FEATURE_CONF_NUMERIC'!AI$5:AI$27)/MAX(1,COUNTIF('93_TARGET_MEMBERSHIP'!N$5:N$27,1)))*(SUMPRODUCT(--('93_TARGET_MEMBERSHIP'!N$5:N$27=-1),'92_FEATURE_CONF_NUMERIC'!AI$5:AI$27)/MAX(1,COUNTIF('93_TARGET_MEMBERSHIP'!N$5:N$27,-1)))))</f>
        <v/>
      </c>
      <c r="AI17" s="34">
        <f>IF($B17="ABSOLUTE SEMANTIC",'19_FEATURE_CONFIDENCE'!$D$37,SQRT((SUMPRODUCT(--('93_TARGET_MEMBERSHIP'!N$5:N$27=1),'92_FEATURE_CONF_NUMERIC'!AJ$5:AJ$27)/MAX(1,COUNTIF('93_TARGET_MEMBERSHIP'!N$5:N$27,1)))*(SUMPRODUCT(--('93_TARGET_MEMBERSHIP'!N$5:N$27=-1),'92_FEATURE_CONF_NUMERIC'!AJ$5:AJ$27)/MAX(1,COUNTIF('93_TARGET_MEMBERSHIP'!N$5:N$27,-1)))))</f>
        <v/>
      </c>
      <c r="AJ17" s="34">
        <f>IF($B17="ABSOLUTE SEMANTIC",'19_FEATURE_CONFIDENCE'!$D$38,SQRT((SUMPRODUCT(--('93_TARGET_MEMBERSHIP'!N$5:N$27=1),'92_FEATURE_CONF_NUMERIC'!AK$5:AK$27)/MAX(1,COUNTIF('93_TARGET_MEMBERSHIP'!N$5:N$27,1)))*(SUMPRODUCT(--('93_TARGET_MEMBERSHIP'!N$5:N$27=-1),'92_FEATURE_CONF_NUMERIC'!AK$5:AK$27)/MAX(1,COUNTIF('93_TARGET_MEMBERSHIP'!N$5:N$27,-1)))))</f>
        <v/>
      </c>
      <c r="AK17" s="34">
        <f>IF($B17="ABSOLUTE SEMANTIC",'19_FEATURE_CONFIDENCE'!$D$39,SQRT((SUMPRODUCT(--('93_TARGET_MEMBERSHIP'!N$5:N$27=1),'92_FEATURE_CONF_NUMERIC'!AL$5:AL$27)/MAX(1,COUNTIF('93_TARGET_MEMBERSHIP'!N$5:N$27,1)))*(SUMPRODUCT(--('93_TARGET_MEMBERSHIP'!N$5:N$27=-1),'92_FEATURE_CONF_NUMERIC'!AL$5:AL$27)/MAX(1,COUNTIF('93_TARGET_MEMBERSHIP'!N$5:N$27,-1)))))</f>
        <v/>
      </c>
      <c r="AL17" s="34">
        <f>IF($B17="ABSOLUTE SEMANTIC",'19_FEATURE_CONFIDENCE'!$D$40,SQRT((SUMPRODUCT(--('93_TARGET_MEMBERSHIP'!N$5:N$27=1),'92_FEATURE_CONF_NUMERIC'!AM$5:AM$27)/MAX(1,COUNTIF('93_TARGET_MEMBERSHIP'!N$5:N$27,1)))*(SUMPRODUCT(--('93_TARGET_MEMBERSHIP'!N$5:N$27=-1),'92_FEATURE_CONF_NUMERIC'!AM$5:AM$27)/MAX(1,COUNTIF('93_TARGET_MEMBERSHIP'!N$5:N$27,-1)))))</f>
        <v/>
      </c>
      <c r="AM17" s="34">
        <f>IF($B17="ABSOLUTE SEMANTIC",'19_FEATURE_CONFIDENCE'!$D$41,SQRT((SUMPRODUCT(--('93_TARGET_MEMBERSHIP'!N$5:N$27=1),'92_FEATURE_CONF_NUMERIC'!AN$5:AN$27)/MAX(1,COUNTIF('93_TARGET_MEMBERSHIP'!N$5:N$27,1)))*(SUMPRODUCT(--('93_TARGET_MEMBERSHIP'!N$5:N$27=-1),'92_FEATURE_CONF_NUMERIC'!AN$5:AN$27)/MAX(1,COUNTIF('93_TARGET_MEMBERSHIP'!N$5:N$27,-1)))))</f>
        <v/>
      </c>
      <c r="AN17" s="34">
        <f>IF($B17="ABSOLUTE SEMANTIC",'19_FEATURE_CONFIDENCE'!$D$42,SQRT((SUMPRODUCT(--('93_TARGET_MEMBERSHIP'!N$5:N$27=1),'92_FEATURE_CONF_NUMERIC'!AO$5:AO$27)/MAX(1,COUNTIF('93_TARGET_MEMBERSHIP'!N$5:N$27,1)))*(SUMPRODUCT(--('93_TARGET_MEMBERSHIP'!N$5:N$27=-1),'92_FEATURE_CONF_NUMERIC'!AO$5:AO$27)/MAX(1,COUNTIF('93_TARGET_MEMBERSHIP'!N$5:N$27,-1)))))</f>
        <v/>
      </c>
      <c r="AO17" s="34">
        <f>IF($B17="ABSOLUTE SEMANTIC",'19_FEATURE_CONFIDENCE'!$D$43,SQRT((SUMPRODUCT(--('93_TARGET_MEMBERSHIP'!N$5:N$27=1),'92_FEATURE_CONF_NUMERIC'!AP$5:AP$27)/MAX(1,COUNTIF('93_TARGET_MEMBERSHIP'!N$5:N$27,1)))*(SUMPRODUCT(--('93_TARGET_MEMBERSHIP'!N$5:N$27=-1),'92_FEATURE_CONF_NUMERIC'!AP$5:AP$27)/MAX(1,COUNTIF('93_TARGET_MEMBERSHIP'!N$5:N$27,-1)))))</f>
        <v/>
      </c>
      <c r="AP17" s="34">
        <f>IF($B17="ABSOLUTE SEMANTIC",'19_FEATURE_CONFIDENCE'!$D$44,SQRT((SUMPRODUCT(--('93_TARGET_MEMBERSHIP'!N$5:N$27=1),'92_FEATURE_CONF_NUMERIC'!AQ$5:AQ$27)/MAX(1,COUNTIF('93_TARGET_MEMBERSHIP'!N$5:N$27,1)))*(SUMPRODUCT(--('93_TARGET_MEMBERSHIP'!N$5:N$27=-1),'92_FEATURE_CONF_NUMERIC'!AQ$5:AQ$27)/MAX(1,COUNTIF('93_TARGET_MEMBERSHIP'!N$5:N$27,-1)))))</f>
        <v/>
      </c>
      <c r="AQ17" s="34">
        <f>IF($B17="ABSOLUTE SEMANTIC",'19_FEATURE_CONFIDENCE'!$D$45,SQRT((SUMPRODUCT(--('93_TARGET_MEMBERSHIP'!N$5:N$27=1),'92_FEATURE_CONF_NUMERIC'!AR$5:AR$27)/MAX(1,COUNTIF('93_TARGET_MEMBERSHIP'!N$5:N$27,1)))*(SUMPRODUCT(--('93_TARGET_MEMBERSHIP'!N$5:N$27=-1),'92_FEATURE_CONF_NUMERIC'!AR$5:AR$27)/MAX(1,COUNTIF('93_TARGET_MEMBERSHIP'!N$5:N$27,-1)))))</f>
        <v/>
      </c>
    </row>
    <row r="18" ht="36" customHeight="1">
      <c r="A18" s="34">
        <f>'06_ITEM_POLE_MODEL'!A18</f>
        <v/>
      </c>
      <c r="B18" s="34">
        <f>'06_ITEM_POLE_MODEL'!E18</f>
        <v/>
      </c>
      <c r="C18" s="34">
        <f>IF($B18="ABSOLUTE SEMANTIC",'19_FEATURE_CONFIDENCE'!$D$5,SQRT((SUMPRODUCT(--('93_TARGET_MEMBERSHIP'!O$5:O$27=1),'92_FEATURE_CONF_NUMERIC'!D$5:D$27)/MAX(1,COUNTIF('93_TARGET_MEMBERSHIP'!O$5:O$27,1)))*(SUMPRODUCT(--('93_TARGET_MEMBERSHIP'!O$5:O$27=-1),'92_FEATURE_CONF_NUMERIC'!D$5:D$27)/MAX(1,COUNTIF('93_TARGET_MEMBERSHIP'!O$5:O$27,-1)))))</f>
        <v/>
      </c>
      <c r="D18" s="34">
        <f>IF($B18="ABSOLUTE SEMANTIC",'19_FEATURE_CONFIDENCE'!$D$6,SQRT((SUMPRODUCT(--('93_TARGET_MEMBERSHIP'!O$5:O$27=1),'92_FEATURE_CONF_NUMERIC'!E$5:E$27)/MAX(1,COUNTIF('93_TARGET_MEMBERSHIP'!O$5:O$27,1)))*(SUMPRODUCT(--('93_TARGET_MEMBERSHIP'!O$5:O$27=-1),'92_FEATURE_CONF_NUMERIC'!E$5:E$27)/MAX(1,COUNTIF('93_TARGET_MEMBERSHIP'!O$5:O$27,-1)))))</f>
        <v/>
      </c>
      <c r="E18" s="34">
        <f>IF($B18="ABSOLUTE SEMANTIC",'19_FEATURE_CONFIDENCE'!$D$7,SQRT((SUMPRODUCT(--('93_TARGET_MEMBERSHIP'!O$5:O$27=1),'92_FEATURE_CONF_NUMERIC'!F$5:F$27)/MAX(1,COUNTIF('93_TARGET_MEMBERSHIP'!O$5:O$27,1)))*(SUMPRODUCT(--('93_TARGET_MEMBERSHIP'!O$5:O$27=-1),'92_FEATURE_CONF_NUMERIC'!F$5:F$27)/MAX(1,COUNTIF('93_TARGET_MEMBERSHIP'!O$5:O$27,-1)))))</f>
        <v/>
      </c>
      <c r="F18" s="34">
        <f>IF($B18="ABSOLUTE SEMANTIC",'19_FEATURE_CONFIDENCE'!$D$8,SQRT((SUMPRODUCT(--('93_TARGET_MEMBERSHIP'!O$5:O$27=1),'92_FEATURE_CONF_NUMERIC'!G$5:G$27)/MAX(1,COUNTIF('93_TARGET_MEMBERSHIP'!O$5:O$27,1)))*(SUMPRODUCT(--('93_TARGET_MEMBERSHIP'!O$5:O$27=-1),'92_FEATURE_CONF_NUMERIC'!G$5:G$27)/MAX(1,COUNTIF('93_TARGET_MEMBERSHIP'!O$5:O$27,-1)))))</f>
        <v/>
      </c>
      <c r="G18" s="34">
        <f>IF($B18="ABSOLUTE SEMANTIC",'19_FEATURE_CONFIDENCE'!$D$9,SQRT((SUMPRODUCT(--('93_TARGET_MEMBERSHIP'!O$5:O$27=1),'92_FEATURE_CONF_NUMERIC'!H$5:H$27)/MAX(1,COUNTIF('93_TARGET_MEMBERSHIP'!O$5:O$27,1)))*(SUMPRODUCT(--('93_TARGET_MEMBERSHIP'!O$5:O$27=-1),'92_FEATURE_CONF_NUMERIC'!H$5:H$27)/MAX(1,COUNTIF('93_TARGET_MEMBERSHIP'!O$5:O$27,-1)))))</f>
        <v/>
      </c>
      <c r="H18" s="34">
        <f>IF($B18="ABSOLUTE SEMANTIC",'19_FEATURE_CONFIDENCE'!$D$10,SQRT((SUMPRODUCT(--('93_TARGET_MEMBERSHIP'!O$5:O$27=1),'92_FEATURE_CONF_NUMERIC'!I$5:I$27)/MAX(1,COUNTIF('93_TARGET_MEMBERSHIP'!O$5:O$27,1)))*(SUMPRODUCT(--('93_TARGET_MEMBERSHIP'!O$5:O$27=-1),'92_FEATURE_CONF_NUMERIC'!I$5:I$27)/MAX(1,COUNTIF('93_TARGET_MEMBERSHIP'!O$5:O$27,-1)))))</f>
        <v/>
      </c>
      <c r="I18" s="34">
        <f>IF($B18="ABSOLUTE SEMANTIC",'19_FEATURE_CONFIDENCE'!$D$11,SQRT((SUMPRODUCT(--('93_TARGET_MEMBERSHIP'!O$5:O$27=1),'92_FEATURE_CONF_NUMERIC'!J$5:J$27)/MAX(1,COUNTIF('93_TARGET_MEMBERSHIP'!O$5:O$27,1)))*(SUMPRODUCT(--('93_TARGET_MEMBERSHIP'!O$5:O$27=-1),'92_FEATURE_CONF_NUMERIC'!J$5:J$27)/MAX(1,COUNTIF('93_TARGET_MEMBERSHIP'!O$5:O$27,-1)))))</f>
        <v/>
      </c>
      <c r="J18" s="34">
        <f>IF($B18="ABSOLUTE SEMANTIC",'19_FEATURE_CONFIDENCE'!$D$12,SQRT((SUMPRODUCT(--('93_TARGET_MEMBERSHIP'!O$5:O$27=1),'92_FEATURE_CONF_NUMERIC'!K$5:K$27)/MAX(1,COUNTIF('93_TARGET_MEMBERSHIP'!O$5:O$27,1)))*(SUMPRODUCT(--('93_TARGET_MEMBERSHIP'!O$5:O$27=-1),'92_FEATURE_CONF_NUMERIC'!K$5:K$27)/MAX(1,COUNTIF('93_TARGET_MEMBERSHIP'!O$5:O$27,-1)))))</f>
        <v/>
      </c>
      <c r="K18" s="34">
        <f>IF($B18="ABSOLUTE SEMANTIC",'19_FEATURE_CONFIDENCE'!$D$13,SQRT((SUMPRODUCT(--('93_TARGET_MEMBERSHIP'!O$5:O$27=1),'92_FEATURE_CONF_NUMERIC'!L$5:L$27)/MAX(1,COUNTIF('93_TARGET_MEMBERSHIP'!O$5:O$27,1)))*(SUMPRODUCT(--('93_TARGET_MEMBERSHIP'!O$5:O$27=-1),'92_FEATURE_CONF_NUMERIC'!L$5:L$27)/MAX(1,COUNTIF('93_TARGET_MEMBERSHIP'!O$5:O$27,-1)))))</f>
        <v/>
      </c>
      <c r="L18" s="34">
        <f>IF($B18="ABSOLUTE SEMANTIC",'19_FEATURE_CONFIDENCE'!$D$14,SQRT((SUMPRODUCT(--('93_TARGET_MEMBERSHIP'!O$5:O$27=1),'92_FEATURE_CONF_NUMERIC'!M$5:M$27)/MAX(1,COUNTIF('93_TARGET_MEMBERSHIP'!O$5:O$27,1)))*(SUMPRODUCT(--('93_TARGET_MEMBERSHIP'!O$5:O$27=-1),'92_FEATURE_CONF_NUMERIC'!M$5:M$27)/MAX(1,COUNTIF('93_TARGET_MEMBERSHIP'!O$5:O$27,-1)))))</f>
        <v/>
      </c>
      <c r="M18" s="34">
        <f>IF($B18="ABSOLUTE SEMANTIC",'19_FEATURE_CONFIDENCE'!$D$15,SQRT((SUMPRODUCT(--('93_TARGET_MEMBERSHIP'!O$5:O$27=1),'92_FEATURE_CONF_NUMERIC'!N$5:N$27)/MAX(1,COUNTIF('93_TARGET_MEMBERSHIP'!O$5:O$27,1)))*(SUMPRODUCT(--('93_TARGET_MEMBERSHIP'!O$5:O$27=-1),'92_FEATURE_CONF_NUMERIC'!N$5:N$27)/MAX(1,COUNTIF('93_TARGET_MEMBERSHIP'!O$5:O$27,-1)))))</f>
        <v/>
      </c>
      <c r="N18" s="34">
        <f>IF($B18="ABSOLUTE SEMANTIC",'19_FEATURE_CONFIDENCE'!$D$16,SQRT((SUMPRODUCT(--('93_TARGET_MEMBERSHIP'!O$5:O$27=1),'92_FEATURE_CONF_NUMERIC'!O$5:O$27)/MAX(1,COUNTIF('93_TARGET_MEMBERSHIP'!O$5:O$27,1)))*(SUMPRODUCT(--('93_TARGET_MEMBERSHIP'!O$5:O$27=-1),'92_FEATURE_CONF_NUMERIC'!O$5:O$27)/MAX(1,COUNTIF('93_TARGET_MEMBERSHIP'!O$5:O$27,-1)))))</f>
        <v/>
      </c>
      <c r="O18" s="34">
        <f>IF($B18="ABSOLUTE SEMANTIC",'19_FEATURE_CONFIDENCE'!$D$17,SQRT((SUMPRODUCT(--('93_TARGET_MEMBERSHIP'!O$5:O$27=1),'92_FEATURE_CONF_NUMERIC'!P$5:P$27)/MAX(1,COUNTIF('93_TARGET_MEMBERSHIP'!O$5:O$27,1)))*(SUMPRODUCT(--('93_TARGET_MEMBERSHIP'!O$5:O$27=-1),'92_FEATURE_CONF_NUMERIC'!P$5:P$27)/MAX(1,COUNTIF('93_TARGET_MEMBERSHIP'!O$5:O$27,-1)))))</f>
        <v/>
      </c>
      <c r="P18" s="34">
        <f>IF($B18="ABSOLUTE SEMANTIC",'19_FEATURE_CONFIDENCE'!$D$18,SQRT((SUMPRODUCT(--('93_TARGET_MEMBERSHIP'!O$5:O$27=1),'92_FEATURE_CONF_NUMERIC'!Q$5:Q$27)/MAX(1,COUNTIF('93_TARGET_MEMBERSHIP'!O$5:O$27,1)))*(SUMPRODUCT(--('93_TARGET_MEMBERSHIP'!O$5:O$27=-1),'92_FEATURE_CONF_NUMERIC'!Q$5:Q$27)/MAX(1,COUNTIF('93_TARGET_MEMBERSHIP'!O$5:O$27,-1)))))</f>
        <v/>
      </c>
      <c r="Q18" s="34">
        <f>IF($B18="ABSOLUTE SEMANTIC",'19_FEATURE_CONFIDENCE'!$D$19,SQRT((SUMPRODUCT(--('93_TARGET_MEMBERSHIP'!O$5:O$27=1),'92_FEATURE_CONF_NUMERIC'!R$5:R$27)/MAX(1,COUNTIF('93_TARGET_MEMBERSHIP'!O$5:O$27,1)))*(SUMPRODUCT(--('93_TARGET_MEMBERSHIP'!O$5:O$27=-1),'92_FEATURE_CONF_NUMERIC'!R$5:R$27)/MAX(1,COUNTIF('93_TARGET_MEMBERSHIP'!O$5:O$27,-1)))))</f>
        <v/>
      </c>
      <c r="R18" s="34">
        <f>IF($B18="ABSOLUTE SEMANTIC",'19_FEATURE_CONFIDENCE'!$D$20,SQRT((SUMPRODUCT(--('93_TARGET_MEMBERSHIP'!O$5:O$27=1),'92_FEATURE_CONF_NUMERIC'!S$5:S$27)/MAX(1,COUNTIF('93_TARGET_MEMBERSHIP'!O$5:O$27,1)))*(SUMPRODUCT(--('93_TARGET_MEMBERSHIP'!O$5:O$27=-1),'92_FEATURE_CONF_NUMERIC'!S$5:S$27)/MAX(1,COUNTIF('93_TARGET_MEMBERSHIP'!O$5:O$27,-1)))))</f>
        <v/>
      </c>
      <c r="S18" s="34">
        <f>IF($B18="ABSOLUTE SEMANTIC",'19_FEATURE_CONFIDENCE'!$D$21,SQRT((SUMPRODUCT(--('93_TARGET_MEMBERSHIP'!O$5:O$27=1),'92_FEATURE_CONF_NUMERIC'!T$5:T$27)/MAX(1,COUNTIF('93_TARGET_MEMBERSHIP'!O$5:O$27,1)))*(SUMPRODUCT(--('93_TARGET_MEMBERSHIP'!O$5:O$27=-1),'92_FEATURE_CONF_NUMERIC'!T$5:T$27)/MAX(1,COUNTIF('93_TARGET_MEMBERSHIP'!O$5:O$27,-1)))))</f>
        <v/>
      </c>
      <c r="T18" s="34">
        <f>IF($B18="ABSOLUTE SEMANTIC",'19_FEATURE_CONFIDENCE'!$D$22,SQRT((SUMPRODUCT(--('93_TARGET_MEMBERSHIP'!O$5:O$27=1),'92_FEATURE_CONF_NUMERIC'!U$5:U$27)/MAX(1,COUNTIF('93_TARGET_MEMBERSHIP'!O$5:O$27,1)))*(SUMPRODUCT(--('93_TARGET_MEMBERSHIP'!O$5:O$27=-1),'92_FEATURE_CONF_NUMERIC'!U$5:U$27)/MAX(1,COUNTIF('93_TARGET_MEMBERSHIP'!O$5:O$27,-1)))))</f>
        <v/>
      </c>
      <c r="U18" s="34">
        <f>IF($B18="ABSOLUTE SEMANTIC",'19_FEATURE_CONFIDENCE'!$D$23,SQRT((SUMPRODUCT(--('93_TARGET_MEMBERSHIP'!O$5:O$27=1),'92_FEATURE_CONF_NUMERIC'!V$5:V$27)/MAX(1,COUNTIF('93_TARGET_MEMBERSHIP'!O$5:O$27,1)))*(SUMPRODUCT(--('93_TARGET_MEMBERSHIP'!O$5:O$27=-1),'92_FEATURE_CONF_NUMERIC'!V$5:V$27)/MAX(1,COUNTIF('93_TARGET_MEMBERSHIP'!O$5:O$27,-1)))))</f>
        <v/>
      </c>
      <c r="V18" s="34">
        <f>IF($B18="ABSOLUTE SEMANTIC",'19_FEATURE_CONFIDENCE'!$D$24,SQRT((SUMPRODUCT(--('93_TARGET_MEMBERSHIP'!O$5:O$27=1),'92_FEATURE_CONF_NUMERIC'!W$5:W$27)/MAX(1,COUNTIF('93_TARGET_MEMBERSHIP'!O$5:O$27,1)))*(SUMPRODUCT(--('93_TARGET_MEMBERSHIP'!O$5:O$27=-1),'92_FEATURE_CONF_NUMERIC'!W$5:W$27)/MAX(1,COUNTIF('93_TARGET_MEMBERSHIP'!O$5:O$27,-1)))))</f>
        <v/>
      </c>
      <c r="W18" s="34">
        <f>IF($B18="ABSOLUTE SEMANTIC",'19_FEATURE_CONFIDENCE'!$D$25,SQRT((SUMPRODUCT(--('93_TARGET_MEMBERSHIP'!O$5:O$27=1),'92_FEATURE_CONF_NUMERIC'!X$5:X$27)/MAX(1,COUNTIF('93_TARGET_MEMBERSHIP'!O$5:O$27,1)))*(SUMPRODUCT(--('93_TARGET_MEMBERSHIP'!O$5:O$27=-1),'92_FEATURE_CONF_NUMERIC'!X$5:X$27)/MAX(1,COUNTIF('93_TARGET_MEMBERSHIP'!O$5:O$27,-1)))))</f>
        <v/>
      </c>
      <c r="X18" s="34">
        <f>IF($B18="ABSOLUTE SEMANTIC",'19_FEATURE_CONFIDENCE'!$D$26,SQRT((SUMPRODUCT(--('93_TARGET_MEMBERSHIP'!O$5:O$27=1),'92_FEATURE_CONF_NUMERIC'!Y$5:Y$27)/MAX(1,COUNTIF('93_TARGET_MEMBERSHIP'!O$5:O$27,1)))*(SUMPRODUCT(--('93_TARGET_MEMBERSHIP'!O$5:O$27=-1),'92_FEATURE_CONF_NUMERIC'!Y$5:Y$27)/MAX(1,COUNTIF('93_TARGET_MEMBERSHIP'!O$5:O$27,-1)))))</f>
        <v/>
      </c>
      <c r="Y18" s="34">
        <f>IF($B18="ABSOLUTE SEMANTIC",'19_FEATURE_CONFIDENCE'!$D$27,SQRT((SUMPRODUCT(--('93_TARGET_MEMBERSHIP'!O$5:O$27=1),'92_FEATURE_CONF_NUMERIC'!Z$5:Z$27)/MAX(1,COUNTIF('93_TARGET_MEMBERSHIP'!O$5:O$27,1)))*(SUMPRODUCT(--('93_TARGET_MEMBERSHIP'!O$5:O$27=-1),'92_FEATURE_CONF_NUMERIC'!Z$5:Z$27)/MAX(1,COUNTIF('93_TARGET_MEMBERSHIP'!O$5:O$27,-1)))))</f>
        <v/>
      </c>
      <c r="Z18" s="34">
        <f>IF($B18="ABSOLUTE SEMANTIC",'19_FEATURE_CONFIDENCE'!$D$28,SQRT((SUMPRODUCT(--('93_TARGET_MEMBERSHIP'!O$5:O$27=1),'92_FEATURE_CONF_NUMERIC'!AA$5:AA$27)/MAX(1,COUNTIF('93_TARGET_MEMBERSHIP'!O$5:O$27,1)))*(SUMPRODUCT(--('93_TARGET_MEMBERSHIP'!O$5:O$27=-1),'92_FEATURE_CONF_NUMERIC'!AA$5:AA$27)/MAX(1,COUNTIF('93_TARGET_MEMBERSHIP'!O$5:O$27,-1)))))</f>
        <v/>
      </c>
      <c r="AA18" s="34">
        <f>IF($B18="ABSOLUTE SEMANTIC",'19_FEATURE_CONFIDENCE'!$D$29,SQRT((SUMPRODUCT(--('93_TARGET_MEMBERSHIP'!O$5:O$27=1),'92_FEATURE_CONF_NUMERIC'!AB$5:AB$27)/MAX(1,COUNTIF('93_TARGET_MEMBERSHIP'!O$5:O$27,1)))*(SUMPRODUCT(--('93_TARGET_MEMBERSHIP'!O$5:O$27=-1),'92_FEATURE_CONF_NUMERIC'!AB$5:AB$27)/MAX(1,COUNTIF('93_TARGET_MEMBERSHIP'!O$5:O$27,-1)))))</f>
        <v/>
      </c>
      <c r="AB18" s="34">
        <f>IF($B18="ABSOLUTE SEMANTIC",'19_FEATURE_CONFIDENCE'!$D$30,SQRT((SUMPRODUCT(--('93_TARGET_MEMBERSHIP'!O$5:O$27=1),'92_FEATURE_CONF_NUMERIC'!AC$5:AC$27)/MAX(1,COUNTIF('93_TARGET_MEMBERSHIP'!O$5:O$27,1)))*(SUMPRODUCT(--('93_TARGET_MEMBERSHIP'!O$5:O$27=-1),'92_FEATURE_CONF_NUMERIC'!AC$5:AC$27)/MAX(1,COUNTIF('93_TARGET_MEMBERSHIP'!O$5:O$27,-1)))))</f>
        <v/>
      </c>
      <c r="AC18" s="34">
        <f>IF($B18="ABSOLUTE SEMANTIC",'19_FEATURE_CONFIDENCE'!$D$31,SQRT((SUMPRODUCT(--('93_TARGET_MEMBERSHIP'!O$5:O$27=1),'92_FEATURE_CONF_NUMERIC'!AD$5:AD$27)/MAX(1,COUNTIF('93_TARGET_MEMBERSHIP'!O$5:O$27,1)))*(SUMPRODUCT(--('93_TARGET_MEMBERSHIP'!O$5:O$27=-1),'92_FEATURE_CONF_NUMERIC'!AD$5:AD$27)/MAX(1,COUNTIF('93_TARGET_MEMBERSHIP'!O$5:O$27,-1)))))</f>
        <v/>
      </c>
      <c r="AD18" s="34">
        <f>IF($B18="ABSOLUTE SEMANTIC",'19_FEATURE_CONFIDENCE'!$D$32,SQRT((SUMPRODUCT(--('93_TARGET_MEMBERSHIP'!O$5:O$27=1),'92_FEATURE_CONF_NUMERIC'!AE$5:AE$27)/MAX(1,COUNTIF('93_TARGET_MEMBERSHIP'!O$5:O$27,1)))*(SUMPRODUCT(--('93_TARGET_MEMBERSHIP'!O$5:O$27=-1),'92_FEATURE_CONF_NUMERIC'!AE$5:AE$27)/MAX(1,COUNTIF('93_TARGET_MEMBERSHIP'!O$5:O$27,-1)))))</f>
        <v/>
      </c>
      <c r="AE18" s="34">
        <f>IF($B18="ABSOLUTE SEMANTIC",'19_FEATURE_CONFIDENCE'!$D$33,SQRT((SUMPRODUCT(--('93_TARGET_MEMBERSHIP'!O$5:O$27=1),'92_FEATURE_CONF_NUMERIC'!AF$5:AF$27)/MAX(1,COUNTIF('93_TARGET_MEMBERSHIP'!O$5:O$27,1)))*(SUMPRODUCT(--('93_TARGET_MEMBERSHIP'!O$5:O$27=-1),'92_FEATURE_CONF_NUMERIC'!AF$5:AF$27)/MAX(1,COUNTIF('93_TARGET_MEMBERSHIP'!O$5:O$27,-1)))))</f>
        <v/>
      </c>
      <c r="AF18" s="34">
        <f>IF($B18="ABSOLUTE SEMANTIC",'19_FEATURE_CONFIDENCE'!$D$34,SQRT((SUMPRODUCT(--('93_TARGET_MEMBERSHIP'!O$5:O$27=1),'92_FEATURE_CONF_NUMERIC'!AG$5:AG$27)/MAX(1,COUNTIF('93_TARGET_MEMBERSHIP'!O$5:O$27,1)))*(SUMPRODUCT(--('93_TARGET_MEMBERSHIP'!O$5:O$27=-1),'92_FEATURE_CONF_NUMERIC'!AG$5:AG$27)/MAX(1,COUNTIF('93_TARGET_MEMBERSHIP'!O$5:O$27,-1)))))</f>
        <v/>
      </c>
      <c r="AG18" s="34">
        <f>IF($B18="ABSOLUTE SEMANTIC",'19_FEATURE_CONFIDENCE'!$D$35,SQRT((SUMPRODUCT(--('93_TARGET_MEMBERSHIP'!O$5:O$27=1),'92_FEATURE_CONF_NUMERIC'!AH$5:AH$27)/MAX(1,COUNTIF('93_TARGET_MEMBERSHIP'!O$5:O$27,1)))*(SUMPRODUCT(--('93_TARGET_MEMBERSHIP'!O$5:O$27=-1),'92_FEATURE_CONF_NUMERIC'!AH$5:AH$27)/MAX(1,COUNTIF('93_TARGET_MEMBERSHIP'!O$5:O$27,-1)))))</f>
        <v/>
      </c>
      <c r="AH18" s="34">
        <f>IF($B18="ABSOLUTE SEMANTIC",'19_FEATURE_CONFIDENCE'!$D$36,SQRT((SUMPRODUCT(--('93_TARGET_MEMBERSHIP'!O$5:O$27=1),'92_FEATURE_CONF_NUMERIC'!AI$5:AI$27)/MAX(1,COUNTIF('93_TARGET_MEMBERSHIP'!O$5:O$27,1)))*(SUMPRODUCT(--('93_TARGET_MEMBERSHIP'!O$5:O$27=-1),'92_FEATURE_CONF_NUMERIC'!AI$5:AI$27)/MAX(1,COUNTIF('93_TARGET_MEMBERSHIP'!O$5:O$27,-1)))))</f>
        <v/>
      </c>
      <c r="AI18" s="34">
        <f>IF($B18="ABSOLUTE SEMANTIC",'19_FEATURE_CONFIDENCE'!$D$37,SQRT((SUMPRODUCT(--('93_TARGET_MEMBERSHIP'!O$5:O$27=1),'92_FEATURE_CONF_NUMERIC'!AJ$5:AJ$27)/MAX(1,COUNTIF('93_TARGET_MEMBERSHIP'!O$5:O$27,1)))*(SUMPRODUCT(--('93_TARGET_MEMBERSHIP'!O$5:O$27=-1),'92_FEATURE_CONF_NUMERIC'!AJ$5:AJ$27)/MAX(1,COUNTIF('93_TARGET_MEMBERSHIP'!O$5:O$27,-1)))))</f>
        <v/>
      </c>
      <c r="AJ18" s="34">
        <f>IF($B18="ABSOLUTE SEMANTIC",'19_FEATURE_CONFIDENCE'!$D$38,SQRT((SUMPRODUCT(--('93_TARGET_MEMBERSHIP'!O$5:O$27=1),'92_FEATURE_CONF_NUMERIC'!AK$5:AK$27)/MAX(1,COUNTIF('93_TARGET_MEMBERSHIP'!O$5:O$27,1)))*(SUMPRODUCT(--('93_TARGET_MEMBERSHIP'!O$5:O$27=-1),'92_FEATURE_CONF_NUMERIC'!AK$5:AK$27)/MAX(1,COUNTIF('93_TARGET_MEMBERSHIP'!O$5:O$27,-1)))))</f>
        <v/>
      </c>
      <c r="AK18" s="34">
        <f>IF($B18="ABSOLUTE SEMANTIC",'19_FEATURE_CONFIDENCE'!$D$39,SQRT((SUMPRODUCT(--('93_TARGET_MEMBERSHIP'!O$5:O$27=1),'92_FEATURE_CONF_NUMERIC'!AL$5:AL$27)/MAX(1,COUNTIF('93_TARGET_MEMBERSHIP'!O$5:O$27,1)))*(SUMPRODUCT(--('93_TARGET_MEMBERSHIP'!O$5:O$27=-1),'92_FEATURE_CONF_NUMERIC'!AL$5:AL$27)/MAX(1,COUNTIF('93_TARGET_MEMBERSHIP'!O$5:O$27,-1)))))</f>
        <v/>
      </c>
      <c r="AL18" s="34">
        <f>IF($B18="ABSOLUTE SEMANTIC",'19_FEATURE_CONFIDENCE'!$D$40,SQRT((SUMPRODUCT(--('93_TARGET_MEMBERSHIP'!O$5:O$27=1),'92_FEATURE_CONF_NUMERIC'!AM$5:AM$27)/MAX(1,COUNTIF('93_TARGET_MEMBERSHIP'!O$5:O$27,1)))*(SUMPRODUCT(--('93_TARGET_MEMBERSHIP'!O$5:O$27=-1),'92_FEATURE_CONF_NUMERIC'!AM$5:AM$27)/MAX(1,COUNTIF('93_TARGET_MEMBERSHIP'!O$5:O$27,-1)))))</f>
        <v/>
      </c>
      <c r="AM18" s="34">
        <f>IF($B18="ABSOLUTE SEMANTIC",'19_FEATURE_CONFIDENCE'!$D$41,SQRT((SUMPRODUCT(--('93_TARGET_MEMBERSHIP'!O$5:O$27=1),'92_FEATURE_CONF_NUMERIC'!AN$5:AN$27)/MAX(1,COUNTIF('93_TARGET_MEMBERSHIP'!O$5:O$27,1)))*(SUMPRODUCT(--('93_TARGET_MEMBERSHIP'!O$5:O$27=-1),'92_FEATURE_CONF_NUMERIC'!AN$5:AN$27)/MAX(1,COUNTIF('93_TARGET_MEMBERSHIP'!O$5:O$27,-1)))))</f>
        <v/>
      </c>
      <c r="AN18" s="34">
        <f>IF($B18="ABSOLUTE SEMANTIC",'19_FEATURE_CONFIDENCE'!$D$42,SQRT((SUMPRODUCT(--('93_TARGET_MEMBERSHIP'!O$5:O$27=1),'92_FEATURE_CONF_NUMERIC'!AO$5:AO$27)/MAX(1,COUNTIF('93_TARGET_MEMBERSHIP'!O$5:O$27,1)))*(SUMPRODUCT(--('93_TARGET_MEMBERSHIP'!O$5:O$27=-1),'92_FEATURE_CONF_NUMERIC'!AO$5:AO$27)/MAX(1,COUNTIF('93_TARGET_MEMBERSHIP'!O$5:O$27,-1)))))</f>
        <v/>
      </c>
      <c r="AO18" s="34">
        <f>IF($B18="ABSOLUTE SEMANTIC",'19_FEATURE_CONFIDENCE'!$D$43,SQRT((SUMPRODUCT(--('93_TARGET_MEMBERSHIP'!O$5:O$27=1),'92_FEATURE_CONF_NUMERIC'!AP$5:AP$27)/MAX(1,COUNTIF('93_TARGET_MEMBERSHIP'!O$5:O$27,1)))*(SUMPRODUCT(--('93_TARGET_MEMBERSHIP'!O$5:O$27=-1),'92_FEATURE_CONF_NUMERIC'!AP$5:AP$27)/MAX(1,COUNTIF('93_TARGET_MEMBERSHIP'!O$5:O$27,-1)))))</f>
        <v/>
      </c>
      <c r="AP18" s="34">
        <f>IF($B18="ABSOLUTE SEMANTIC",'19_FEATURE_CONFIDENCE'!$D$44,SQRT((SUMPRODUCT(--('93_TARGET_MEMBERSHIP'!O$5:O$27=1),'92_FEATURE_CONF_NUMERIC'!AQ$5:AQ$27)/MAX(1,COUNTIF('93_TARGET_MEMBERSHIP'!O$5:O$27,1)))*(SUMPRODUCT(--('93_TARGET_MEMBERSHIP'!O$5:O$27=-1),'92_FEATURE_CONF_NUMERIC'!AQ$5:AQ$27)/MAX(1,COUNTIF('93_TARGET_MEMBERSHIP'!O$5:O$27,-1)))))</f>
        <v/>
      </c>
      <c r="AQ18" s="34">
        <f>IF($B18="ABSOLUTE SEMANTIC",'19_FEATURE_CONFIDENCE'!$D$45,SQRT((SUMPRODUCT(--('93_TARGET_MEMBERSHIP'!O$5:O$27=1),'92_FEATURE_CONF_NUMERIC'!AR$5:AR$27)/MAX(1,COUNTIF('93_TARGET_MEMBERSHIP'!O$5:O$27,1)))*(SUMPRODUCT(--('93_TARGET_MEMBERSHIP'!O$5:O$27=-1),'92_FEATURE_CONF_NUMERIC'!AR$5:AR$27)/MAX(1,COUNTIF('93_TARGET_MEMBERSHIP'!O$5:O$27,-1)))))</f>
        <v/>
      </c>
    </row>
    <row r="19" ht="36" customHeight="1">
      <c r="A19" s="34">
        <f>'06_ITEM_POLE_MODEL'!A19</f>
        <v/>
      </c>
      <c r="B19" s="34">
        <f>'06_ITEM_POLE_MODEL'!E19</f>
        <v/>
      </c>
      <c r="C19" s="34">
        <f>IF($B19="ABSOLUTE SEMANTIC",'19_FEATURE_CONFIDENCE'!$D$5,SQRT((SUMPRODUCT(--('93_TARGET_MEMBERSHIP'!P$5:P$27=1),'92_FEATURE_CONF_NUMERIC'!D$5:D$27)/MAX(1,COUNTIF('93_TARGET_MEMBERSHIP'!P$5:P$27,1)))*(SUMPRODUCT(--('93_TARGET_MEMBERSHIP'!P$5:P$27=-1),'92_FEATURE_CONF_NUMERIC'!D$5:D$27)/MAX(1,COUNTIF('93_TARGET_MEMBERSHIP'!P$5:P$27,-1)))))</f>
        <v/>
      </c>
      <c r="D19" s="34">
        <f>IF($B19="ABSOLUTE SEMANTIC",'19_FEATURE_CONFIDENCE'!$D$6,SQRT((SUMPRODUCT(--('93_TARGET_MEMBERSHIP'!P$5:P$27=1),'92_FEATURE_CONF_NUMERIC'!E$5:E$27)/MAX(1,COUNTIF('93_TARGET_MEMBERSHIP'!P$5:P$27,1)))*(SUMPRODUCT(--('93_TARGET_MEMBERSHIP'!P$5:P$27=-1),'92_FEATURE_CONF_NUMERIC'!E$5:E$27)/MAX(1,COUNTIF('93_TARGET_MEMBERSHIP'!P$5:P$27,-1)))))</f>
        <v/>
      </c>
      <c r="E19" s="34">
        <f>IF($B19="ABSOLUTE SEMANTIC",'19_FEATURE_CONFIDENCE'!$D$7,SQRT((SUMPRODUCT(--('93_TARGET_MEMBERSHIP'!P$5:P$27=1),'92_FEATURE_CONF_NUMERIC'!F$5:F$27)/MAX(1,COUNTIF('93_TARGET_MEMBERSHIP'!P$5:P$27,1)))*(SUMPRODUCT(--('93_TARGET_MEMBERSHIP'!P$5:P$27=-1),'92_FEATURE_CONF_NUMERIC'!F$5:F$27)/MAX(1,COUNTIF('93_TARGET_MEMBERSHIP'!P$5:P$27,-1)))))</f>
        <v/>
      </c>
      <c r="F19" s="34">
        <f>IF($B19="ABSOLUTE SEMANTIC",'19_FEATURE_CONFIDENCE'!$D$8,SQRT((SUMPRODUCT(--('93_TARGET_MEMBERSHIP'!P$5:P$27=1),'92_FEATURE_CONF_NUMERIC'!G$5:G$27)/MAX(1,COUNTIF('93_TARGET_MEMBERSHIP'!P$5:P$27,1)))*(SUMPRODUCT(--('93_TARGET_MEMBERSHIP'!P$5:P$27=-1),'92_FEATURE_CONF_NUMERIC'!G$5:G$27)/MAX(1,COUNTIF('93_TARGET_MEMBERSHIP'!P$5:P$27,-1)))))</f>
        <v/>
      </c>
      <c r="G19" s="34">
        <f>IF($B19="ABSOLUTE SEMANTIC",'19_FEATURE_CONFIDENCE'!$D$9,SQRT((SUMPRODUCT(--('93_TARGET_MEMBERSHIP'!P$5:P$27=1),'92_FEATURE_CONF_NUMERIC'!H$5:H$27)/MAX(1,COUNTIF('93_TARGET_MEMBERSHIP'!P$5:P$27,1)))*(SUMPRODUCT(--('93_TARGET_MEMBERSHIP'!P$5:P$27=-1),'92_FEATURE_CONF_NUMERIC'!H$5:H$27)/MAX(1,COUNTIF('93_TARGET_MEMBERSHIP'!P$5:P$27,-1)))))</f>
        <v/>
      </c>
      <c r="H19" s="34">
        <f>IF($B19="ABSOLUTE SEMANTIC",'19_FEATURE_CONFIDENCE'!$D$10,SQRT((SUMPRODUCT(--('93_TARGET_MEMBERSHIP'!P$5:P$27=1),'92_FEATURE_CONF_NUMERIC'!I$5:I$27)/MAX(1,COUNTIF('93_TARGET_MEMBERSHIP'!P$5:P$27,1)))*(SUMPRODUCT(--('93_TARGET_MEMBERSHIP'!P$5:P$27=-1),'92_FEATURE_CONF_NUMERIC'!I$5:I$27)/MAX(1,COUNTIF('93_TARGET_MEMBERSHIP'!P$5:P$27,-1)))))</f>
        <v/>
      </c>
      <c r="I19" s="34">
        <f>IF($B19="ABSOLUTE SEMANTIC",'19_FEATURE_CONFIDENCE'!$D$11,SQRT((SUMPRODUCT(--('93_TARGET_MEMBERSHIP'!P$5:P$27=1),'92_FEATURE_CONF_NUMERIC'!J$5:J$27)/MAX(1,COUNTIF('93_TARGET_MEMBERSHIP'!P$5:P$27,1)))*(SUMPRODUCT(--('93_TARGET_MEMBERSHIP'!P$5:P$27=-1),'92_FEATURE_CONF_NUMERIC'!J$5:J$27)/MAX(1,COUNTIF('93_TARGET_MEMBERSHIP'!P$5:P$27,-1)))))</f>
        <v/>
      </c>
      <c r="J19" s="34">
        <f>IF($B19="ABSOLUTE SEMANTIC",'19_FEATURE_CONFIDENCE'!$D$12,SQRT((SUMPRODUCT(--('93_TARGET_MEMBERSHIP'!P$5:P$27=1),'92_FEATURE_CONF_NUMERIC'!K$5:K$27)/MAX(1,COUNTIF('93_TARGET_MEMBERSHIP'!P$5:P$27,1)))*(SUMPRODUCT(--('93_TARGET_MEMBERSHIP'!P$5:P$27=-1),'92_FEATURE_CONF_NUMERIC'!K$5:K$27)/MAX(1,COUNTIF('93_TARGET_MEMBERSHIP'!P$5:P$27,-1)))))</f>
        <v/>
      </c>
      <c r="K19" s="34">
        <f>IF($B19="ABSOLUTE SEMANTIC",'19_FEATURE_CONFIDENCE'!$D$13,SQRT((SUMPRODUCT(--('93_TARGET_MEMBERSHIP'!P$5:P$27=1),'92_FEATURE_CONF_NUMERIC'!L$5:L$27)/MAX(1,COUNTIF('93_TARGET_MEMBERSHIP'!P$5:P$27,1)))*(SUMPRODUCT(--('93_TARGET_MEMBERSHIP'!P$5:P$27=-1),'92_FEATURE_CONF_NUMERIC'!L$5:L$27)/MAX(1,COUNTIF('93_TARGET_MEMBERSHIP'!P$5:P$27,-1)))))</f>
        <v/>
      </c>
      <c r="L19" s="34">
        <f>IF($B19="ABSOLUTE SEMANTIC",'19_FEATURE_CONFIDENCE'!$D$14,SQRT((SUMPRODUCT(--('93_TARGET_MEMBERSHIP'!P$5:P$27=1),'92_FEATURE_CONF_NUMERIC'!M$5:M$27)/MAX(1,COUNTIF('93_TARGET_MEMBERSHIP'!P$5:P$27,1)))*(SUMPRODUCT(--('93_TARGET_MEMBERSHIP'!P$5:P$27=-1),'92_FEATURE_CONF_NUMERIC'!M$5:M$27)/MAX(1,COUNTIF('93_TARGET_MEMBERSHIP'!P$5:P$27,-1)))))</f>
        <v/>
      </c>
      <c r="M19" s="34">
        <f>IF($B19="ABSOLUTE SEMANTIC",'19_FEATURE_CONFIDENCE'!$D$15,SQRT((SUMPRODUCT(--('93_TARGET_MEMBERSHIP'!P$5:P$27=1),'92_FEATURE_CONF_NUMERIC'!N$5:N$27)/MAX(1,COUNTIF('93_TARGET_MEMBERSHIP'!P$5:P$27,1)))*(SUMPRODUCT(--('93_TARGET_MEMBERSHIP'!P$5:P$27=-1),'92_FEATURE_CONF_NUMERIC'!N$5:N$27)/MAX(1,COUNTIF('93_TARGET_MEMBERSHIP'!P$5:P$27,-1)))))</f>
        <v/>
      </c>
      <c r="N19" s="34">
        <f>IF($B19="ABSOLUTE SEMANTIC",'19_FEATURE_CONFIDENCE'!$D$16,SQRT((SUMPRODUCT(--('93_TARGET_MEMBERSHIP'!P$5:P$27=1),'92_FEATURE_CONF_NUMERIC'!O$5:O$27)/MAX(1,COUNTIF('93_TARGET_MEMBERSHIP'!P$5:P$27,1)))*(SUMPRODUCT(--('93_TARGET_MEMBERSHIP'!P$5:P$27=-1),'92_FEATURE_CONF_NUMERIC'!O$5:O$27)/MAX(1,COUNTIF('93_TARGET_MEMBERSHIP'!P$5:P$27,-1)))))</f>
        <v/>
      </c>
      <c r="O19" s="34">
        <f>IF($B19="ABSOLUTE SEMANTIC",'19_FEATURE_CONFIDENCE'!$D$17,SQRT((SUMPRODUCT(--('93_TARGET_MEMBERSHIP'!P$5:P$27=1),'92_FEATURE_CONF_NUMERIC'!P$5:P$27)/MAX(1,COUNTIF('93_TARGET_MEMBERSHIP'!P$5:P$27,1)))*(SUMPRODUCT(--('93_TARGET_MEMBERSHIP'!P$5:P$27=-1),'92_FEATURE_CONF_NUMERIC'!P$5:P$27)/MAX(1,COUNTIF('93_TARGET_MEMBERSHIP'!P$5:P$27,-1)))))</f>
        <v/>
      </c>
      <c r="P19" s="34">
        <f>IF($B19="ABSOLUTE SEMANTIC",'19_FEATURE_CONFIDENCE'!$D$18,SQRT((SUMPRODUCT(--('93_TARGET_MEMBERSHIP'!P$5:P$27=1),'92_FEATURE_CONF_NUMERIC'!Q$5:Q$27)/MAX(1,COUNTIF('93_TARGET_MEMBERSHIP'!P$5:P$27,1)))*(SUMPRODUCT(--('93_TARGET_MEMBERSHIP'!P$5:P$27=-1),'92_FEATURE_CONF_NUMERIC'!Q$5:Q$27)/MAX(1,COUNTIF('93_TARGET_MEMBERSHIP'!P$5:P$27,-1)))))</f>
        <v/>
      </c>
      <c r="Q19" s="34">
        <f>IF($B19="ABSOLUTE SEMANTIC",'19_FEATURE_CONFIDENCE'!$D$19,SQRT((SUMPRODUCT(--('93_TARGET_MEMBERSHIP'!P$5:P$27=1),'92_FEATURE_CONF_NUMERIC'!R$5:R$27)/MAX(1,COUNTIF('93_TARGET_MEMBERSHIP'!P$5:P$27,1)))*(SUMPRODUCT(--('93_TARGET_MEMBERSHIP'!P$5:P$27=-1),'92_FEATURE_CONF_NUMERIC'!R$5:R$27)/MAX(1,COUNTIF('93_TARGET_MEMBERSHIP'!P$5:P$27,-1)))))</f>
        <v/>
      </c>
      <c r="R19" s="34">
        <f>IF($B19="ABSOLUTE SEMANTIC",'19_FEATURE_CONFIDENCE'!$D$20,SQRT((SUMPRODUCT(--('93_TARGET_MEMBERSHIP'!P$5:P$27=1),'92_FEATURE_CONF_NUMERIC'!S$5:S$27)/MAX(1,COUNTIF('93_TARGET_MEMBERSHIP'!P$5:P$27,1)))*(SUMPRODUCT(--('93_TARGET_MEMBERSHIP'!P$5:P$27=-1),'92_FEATURE_CONF_NUMERIC'!S$5:S$27)/MAX(1,COUNTIF('93_TARGET_MEMBERSHIP'!P$5:P$27,-1)))))</f>
        <v/>
      </c>
      <c r="S19" s="34">
        <f>IF($B19="ABSOLUTE SEMANTIC",'19_FEATURE_CONFIDENCE'!$D$21,SQRT((SUMPRODUCT(--('93_TARGET_MEMBERSHIP'!P$5:P$27=1),'92_FEATURE_CONF_NUMERIC'!T$5:T$27)/MAX(1,COUNTIF('93_TARGET_MEMBERSHIP'!P$5:P$27,1)))*(SUMPRODUCT(--('93_TARGET_MEMBERSHIP'!P$5:P$27=-1),'92_FEATURE_CONF_NUMERIC'!T$5:T$27)/MAX(1,COUNTIF('93_TARGET_MEMBERSHIP'!P$5:P$27,-1)))))</f>
        <v/>
      </c>
      <c r="T19" s="34">
        <f>IF($B19="ABSOLUTE SEMANTIC",'19_FEATURE_CONFIDENCE'!$D$22,SQRT((SUMPRODUCT(--('93_TARGET_MEMBERSHIP'!P$5:P$27=1),'92_FEATURE_CONF_NUMERIC'!U$5:U$27)/MAX(1,COUNTIF('93_TARGET_MEMBERSHIP'!P$5:P$27,1)))*(SUMPRODUCT(--('93_TARGET_MEMBERSHIP'!P$5:P$27=-1),'92_FEATURE_CONF_NUMERIC'!U$5:U$27)/MAX(1,COUNTIF('93_TARGET_MEMBERSHIP'!P$5:P$27,-1)))))</f>
        <v/>
      </c>
      <c r="U19" s="34">
        <f>IF($B19="ABSOLUTE SEMANTIC",'19_FEATURE_CONFIDENCE'!$D$23,SQRT((SUMPRODUCT(--('93_TARGET_MEMBERSHIP'!P$5:P$27=1),'92_FEATURE_CONF_NUMERIC'!V$5:V$27)/MAX(1,COUNTIF('93_TARGET_MEMBERSHIP'!P$5:P$27,1)))*(SUMPRODUCT(--('93_TARGET_MEMBERSHIP'!P$5:P$27=-1),'92_FEATURE_CONF_NUMERIC'!V$5:V$27)/MAX(1,COUNTIF('93_TARGET_MEMBERSHIP'!P$5:P$27,-1)))))</f>
        <v/>
      </c>
      <c r="V19" s="34">
        <f>IF($B19="ABSOLUTE SEMANTIC",'19_FEATURE_CONFIDENCE'!$D$24,SQRT((SUMPRODUCT(--('93_TARGET_MEMBERSHIP'!P$5:P$27=1),'92_FEATURE_CONF_NUMERIC'!W$5:W$27)/MAX(1,COUNTIF('93_TARGET_MEMBERSHIP'!P$5:P$27,1)))*(SUMPRODUCT(--('93_TARGET_MEMBERSHIP'!P$5:P$27=-1),'92_FEATURE_CONF_NUMERIC'!W$5:W$27)/MAX(1,COUNTIF('93_TARGET_MEMBERSHIP'!P$5:P$27,-1)))))</f>
        <v/>
      </c>
      <c r="W19" s="34">
        <f>IF($B19="ABSOLUTE SEMANTIC",'19_FEATURE_CONFIDENCE'!$D$25,SQRT((SUMPRODUCT(--('93_TARGET_MEMBERSHIP'!P$5:P$27=1),'92_FEATURE_CONF_NUMERIC'!X$5:X$27)/MAX(1,COUNTIF('93_TARGET_MEMBERSHIP'!P$5:P$27,1)))*(SUMPRODUCT(--('93_TARGET_MEMBERSHIP'!P$5:P$27=-1),'92_FEATURE_CONF_NUMERIC'!X$5:X$27)/MAX(1,COUNTIF('93_TARGET_MEMBERSHIP'!P$5:P$27,-1)))))</f>
        <v/>
      </c>
      <c r="X19" s="34">
        <f>IF($B19="ABSOLUTE SEMANTIC",'19_FEATURE_CONFIDENCE'!$D$26,SQRT((SUMPRODUCT(--('93_TARGET_MEMBERSHIP'!P$5:P$27=1),'92_FEATURE_CONF_NUMERIC'!Y$5:Y$27)/MAX(1,COUNTIF('93_TARGET_MEMBERSHIP'!P$5:P$27,1)))*(SUMPRODUCT(--('93_TARGET_MEMBERSHIP'!P$5:P$27=-1),'92_FEATURE_CONF_NUMERIC'!Y$5:Y$27)/MAX(1,COUNTIF('93_TARGET_MEMBERSHIP'!P$5:P$27,-1)))))</f>
        <v/>
      </c>
      <c r="Y19" s="34">
        <f>IF($B19="ABSOLUTE SEMANTIC",'19_FEATURE_CONFIDENCE'!$D$27,SQRT((SUMPRODUCT(--('93_TARGET_MEMBERSHIP'!P$5:P$27=1),'92_FEATURE_CONF_NUMERIC'!Z$5:Z$27)/MAX(1,COUNTIF('93_TARGET_MEMBERSHIP'!P$5:P$27,1)))*(SUMPRODUCT(--('93_TARGET_MEMBERSHIP'!P$5:P$27=-1),'92_FEATURE_CONF_NUMERIC'!Z$5:Z$27)/MAX(1,COUNTIF('93_TARGET_MEMBERSHIP'!P$5:P$27,-1)))))</f>
        <v/>
      </c>
      <c r="Z19" s="34">
        <f>IF($B19="ABSOLUTE SEMANTIC",'19_FEATURE_CONFIDENCE'!$D$28,SQRT((SUMPRODUCT(--('93_TARGET_MEMBERSHIP'!P$5:P$27=1),'92_FEATURE_CONF_NUMERIC'!AA$5:AA$27)/MAX(1,COUNTIF('93_TARGET_MEMBERSHIP'!P$5:P$27,1)))*(SUMPRODUCT(--('93_TARGET_MEMBERSHIP'!P$5:P$27=-1),'92_FEATURE_CONF_NUMERIC'!AA$5:AA$27)/MAX(1,COUNTIF('93_TARGET_MEMBERSHIP'!P$5:P$27,-1)))))</f>
        <v/>
      </c>
      <c r="AA19" s="34">
        <f>IF($B19="ABSOLUTE SEMANTIC",'19_FEATURE_CONFIDENCE'!$D$29,SQRT((SUMPRODUCT(--('93_TARGET_MEMBERSHIP'!P$5:P$27=1),'92_FEATURE_CONF_NUMERIC'!AB$5:AB$27)/MAX(1,COUNTIF('93_TARGET_MEMBERSHIP'!P$5:P$27,1)))*(SUMPRODUCT(--('93_TARGET_MEMBERSHIP'!P$5:P$27=-1),'92_FEATURE_CONF_NUMERIC'!AB$5:AB$27)/MAX(1,COUNTIF('93_TARGET_MEMBERSHIP'!P$5:P$27,-1)))))</f>
        <v/>
      </c>
      <c r="AB19" s="34">
        <f>IF($B19="ABSOLUTE SEMANTIC",'19_FEATURE_CONFIDENCE'!$D$30,SQRT((SUMPRODUCT(--('93_TARGET_MEMBERSHIP'!P$5:P$27=1),'92_FEATURE_CONF_NUMERIC'!AC$5:AC$27)/MAX(1,COUNTIF('93_TARGET_MEMBERSHIP'!P$5:P$27,1)))*(SUMPRODUCT(--('93_TARGET_MEMBERSHIP'!P$5:P$27=-1),'92_FEATURE_CONF_NUMERIC'!AC$5:AC$27)/MAX(1,COUNTIF('93_TARGET_MEMBERSHIP'!P$5:P$27,-1)))))</f>
        <v/>
      </c>
      <c r="AC19" s="34">
        <f>IF($B19="ABSOLUTE SEMANTIC",'19_FEATURE_CONFIDENCE'!$D$31,SQRT((SUMPRODUCT(--('93_TARGET_MEMBERSHIP'!P$5:P$27=1),'92_FEATURE_CONF_NUMERIC'!AD$5:AD$27)/MAX(1,COUNTIF('93_TARGET_MEMBERSHIP'!P$5:P$27,1)))*(SUMPRODUCT(--('93_TARGET_MEMBERSHIP'!P$5:P$27=-1),'92_FEATURE_CONF_NUMERIC'!AD$5:AD$27)/MAX(1,COUNTIF('93_TARGET_MEMBERSHIP'!P$5:P$27,-1)))))</f>
        <v/>
      </c>
      <c r="AD19" s="34">
        <f>IF($B19="ABSOLUTE SEMANTIC",'19_FEATURE_CONFIDENCE'!$D$32,SQRT((SUMPRODUCT(--('93_TARGET_MEMBERSHIP'!P$5:P$27=1),'92_FEATURE_CONF_NUMERIC'!AE$5:AE$27)/MAX(1,COUNTIF('93_TARGET_MEMBERSHIP'!P$5:P$27,1)))*(SUMPRODUCT(--('93_TARGET_MEMBERSHIP'!P$5:P$27=-1),'92_FEATURE_CONF_NUMERIC'!AE$5:AE$27)/MAX(1,COUNTIF('93_TARGET_MEMBERSHIP'!P$5:P$27,-1)))))</f>
        <v/>
      </c>
      <c r="AE19" s="34">
        <f>IF($B19="ABSOLUTE SEMANTIC",'19_FEATURE_CONFIDENCE'!$D$33,SQRT((SUMPRODUCT(--('93_TARGET_MEMBERSHIP'!P$5:P$27=1),'92_FEATURE_CONF_NUMERIC'!AF$5:AF$27)/MAX(1,COUNTIF('93_TARGET_MEMBERSHIP'!P$5:P$27,1)))*(SUMPRODUCT(--('93_TARGET_MEMBERSHIP'!P$5:P$27=-1),'92_FEATURE_CONF_NUMERIC'!AF$5:AF$27)/MAX(1,COUNTIF('93_TARGET_MEMBERSHIP'!P$5:P$27,-1)))))</f>
        <v/>
      </c>
      <c r="AF19" s="34">
        <f>IF($B19="ABSOLUTE SEMANTIC",'19_FEATURE_CONFIDENCE'!$D$34,SQRT((SUMPRODUCT(--('93_TARGET_MEMBERSHIP'!P$5:P$27=1),'92_FEATURE_CONF_NUMERIC'!AG$5:AG$27)/MAX(1,COUNTIF('93_TARGET_MEMBERSHIP'!P$5:P$27,1)))*(SUMPRODUCT(--('93_TARGET_MEMBERSHIP'!P$5:P$27=-1),'92_FEATURE_CONF_NUMERIC'!AG$5:AG$27)/MAX(1,COUNTIF('93_TARGET_MEMBERSHIP'!P$5:P$27,-1)))))</f>
        <v/>
      </c>
      <c r="AG19" s="34">
        <f>IF($B19="ABSOLUTE SEMANTIC",'19_FEATURE_CONFIDENCE'!$D$35,SQRT((SUMPRODUCT(--('93_TARGET_MEMBERSHIP'!P$5:P$27=1),'92_FEATURE_CONF_NUMERIC'!AH$5:AH$27)/MAX(1,COUNTIF('93_TARGET_MEMBERSHIP'!P$5:P$27,1)))*(SUMPRODUCT(--('93_TARGET_MEMBERSHIP'!P$5:P$27=-1),'92_FEATURE_CONF_NUMERIC'!AH$5:AH$27)/MAX(1,COUNTIF('93_TARGET_MEMBERSHIP'!P$5:P$27,-1)))))</f>
        <v/>
      </c>
      <c r="AH19" s="34">
        <f>IF($B19="ABSOLUTE SEMANTIC",'19_FEATURE_CONFIDENCE'!$D$36,SQRT((SUMPRODUCT(--('93_TARGET_MEMBERSHIP'!P$5:P$27=1),'92_FEATURE_CONF_NUMERIC'!AI$5:AI$27)/MAX(1,COUNTIF('93_TARGET_MEMBERSHIP'!P$5:P$27,1)))*(SUMPRODUCT(--('93_TARGET_MEMBERSHIP'!P$5:P$27=-1),'92_FEATURE_CONF_NUMERIC'!AI$5:AI$27)/MAX(1,COUNTIF('93_TARGET_MEMBERSHIP'!P$5:P$27,-1)))))</f>
        <v/>
      </c>
      <c r="AI19" s="34">
        <f>IF($B19="ABSOLUTE SEMANTIC",'19_FEATURE_CONFIDENCE'!$D$37,SQRT((SUMPRODUCT(--('93_TARGET_MEMBERSHIP'!P$5:P$27=1),'92_FEATURE_CONF_NUMERIC'!AJ$5:AJ$27)/MAX(1,COUNTIF('93_TARGET_MEMBERSHIP'!P$5:P$27,1)))*(SUMPRODUCT(--('93_TARGET_MEMBERSHIP'!P$5:P$27=-1),'92_FEATURE_CONF_NUMERIC'!AJ$5:AJ$27)/MAX(1,COUNTIF('93_TARGET_MEMBERSHIP'!P$5:P$27,-1)))))</f>
        <v/>
      </c>
      <c r="AJ19" s="34">
        <f>IF($B19="ABSOLUTE SEMANTIC",'19_FEATURE_CONFIDENCE'!$D$38,SQRT((SUMPRODUCT(--('93_TARGET_MEMBERSHIP'!P$5:P$27=1),'92_FEATURE_CONF_NUMERIC'!AK$5:AK$27)/MAX(1,COUNTIF('93_TARGET_MEMBERSHIP'!P$5:P$27,1)))*(SUMPRODUCT(--('93_TARGET_MEMBERSHIP'!P$5:P$27=-1),'92_FEATURE_CONF_NUMERIC'!AK$5:AK$27)/MAX(1,COUNTIF('93_TARGET_MEMBERSHIP'!P$5:P$27,-1)))))</f>
        <v/>
      </c>
      <c r="AK19" s="34">
        <f>IF($B19="ABSOLUTE SEMANTIC",'19_FEATURE_CONFIDENCE'!$D$39,SQRT((SUMPRODUCT(--('93_TARGET_MEMBERSHIP'!P$5:P$27=1),'92_FEATURE_CONF_NUMERIC'!AL$5:AL$27)/MAX(1,COUNTIF('93_TARGET_MEMBERSHIP'!P$5:P$27,1)))*(SUMPRODUCT(--('93_TARGET_MEMBERSHIP'!P$5:P$27=-1),'92_FEATURE_CONF_NUMERIC'!AL$5:AL$27)/MAX(1,COUNTIF('93_TARGET_MEMBERSHIP'!P$5:P$27,-1)))))</f>
        <v/>
      </c>
      <c r="AL19" s="34">
        <f>IF($B19="ABSOLUTE SEMANTIC",'19_FEATURE_CONFIDENCE'!$D$40,SQRT((SUMPRODUCT(--('93_TARGET_MEMBERSHIP'!P$5:P$27=1),'92_FEATURE_CONF_NUMERIC'!AM$5:AM$27)/MAX(1,COUNTIF('93_TARGET_MEMBERSHIP'!P$5:P$27,1)))*(SUMPRODUCT(--('93_TARGET_MEMBERSHIP'!P$5:P$27=-1),'92_FEATURE_CONF_NUMERIC'!AM$5:AM$27)/MAX(1,COUNTIF('93_TARGET_MEMBERSHIP'!P$5:P$27,-1)))))</f>
        <v/>
      </c>
      <c r="AM19" s="34">
        <f>IF($B19="ABSOLUTE SEMANTIC",'19_FEATURE_CONFIDENCE'!$D$41,SQRT((SUMPRODUCT(--('93_TARGET_MEMBERSHIP'!P$5:P$27=1),'92_FEATURE_CONF_NUMERIC'!AN$5:AN$27)/MAX(1,COUNTIF('93_TARGET_MEMBERSHIP'!P$5:P$27,1)))*(SUMPRODUCT(--('93_TARGET_MEMBERSHIP'!P$5:P$27=-1),'92_FEATURE_CONF_NUMERIC'!AN$5:AN$27)/MAX(1,COUNTIF('93_TARGET_MEMBERSHIP'!P$5:P$27,-1)))))</f>
        <v/>
      </c>
      <c r="AN19" s="34">
        <f>IF($B19="ABSOLUTE SEMANTIC",'19_FEATURE_CONFIDENCE'!$D$42,SQRT((SUMPRODUCT(--('93_TARGET_MEMBERSHIP'!P$5:P$27=1),'92_FEATURE_CONF_NUMERIC'!AO$5:AO$27)/MAX(1,COUNTIF('93_TARGET_MEMBERSHIP'!P$5:P$27,1)))*(SUMPRODUCT(--('93_TARGET_MEMBERSHIP'!P$5:P$27=-1),'92_FEATURE_CONF_NUMERIC'!AO$5:AO$27)/MAX(1,COUNTIF('93_TARGET_MEMBERSHIP'!P$5:P$27,-1)))))</f>
        <v/>
      </c>
      <c r="AO19" s="34">
        <f>IF($B19="ABSOLUTE SEMANTIC",'19_FEATURE_CONFIDENCE'!$D$43,SQRT((SUMPRODUCT(--('93_TARGET_MEMBERSHIP'!P$5:P$27=1),'92_FEATURE_CONF_NUMERIC'!AP$5:AP$27)/MAX(1,COUNTIF('93_TARGET_MEMBERSHIP'!P$5:P$27,1)))*(SUMPRODUCT(--('93_TARGET_MEMBERSHIP'!P$5:P$27=-1),'92_FEATURE_CONF_NUMERIC'!AP$5:AP$27)/MAX(1,COUNTIF('93_TARGET_MEMBERSHIP'!P$5:P$27,-1)))))</f>
        <v/>
      </c>
      <c r="AP19" s="34">
        <f>IF($B19="ABSOLUTE SEMANTIC",'19_FEATURE_CONFIDENCE'!$D$44,SQRT((SUMPRODUCT(--('93_TARGET_MEMBERSHIP'!P$5:P$27=1),'92_FEATURE_CONF_NUMERIC'!AQ$5:AQ$27)/MAX(1,COUNTIF('93_TARGET_MEMBERSHIP'!P$5:P$27,1)))*(SUMPRODUCT(--('93_TARGET_MEMBERSHIP'!P$5:P$27=-1),'92_FEATURE_CONF_NUMERIC'!AQ$5:AQ$27)/MAX(1,COUNTIF('93_TARGET_MEMBERSHIP'!P$5:P$27,-1)))))</f>
        <v/>
      </c>
      <c r="AQ19" s="34">
        <f>IF($B19="ABSOLUTE SEMANTIC",'19_FEATURE_CONFIDENCE'!$D$45,SQRT((SUMPRODUCT(--('93_TARGET_MEMBERSHIP'!P$5:P$27=1),'92_FEATURE_CONF_NUMERIC'!AR$5:AR$27)/MAX(1,COUNTIF('93_TARGET_MEMBERSHIP'!P$5:P$27,1)))*(SUMPRODUCT(--('93_TARGET_MEMBERSHIP'!P$5:P$27=-1),'92_FEATURE_CONF_NUMERIC'!AR$5:AR$27)/MAX(1,COUNTIF('93_TARGET_MEMBERSHIP'!P$5:P$27,-1)))))</f>
        <v/>
      </c>
    </row>
    <row r="20" ht="36" customHeight="1">
      <c r="A20" s="34">
        <f>'06_ITEM_POLE_MODEL'!A20</f>
        <v/>
      </c>
      <c r="B20" s="34">
        <f>'06_ITEM_POLE_MODEL'!E20</f>
        <v/>
      </c>
      <c r="C20" s="34">
        <f>IF($B20="ABSOLUTE SEMANTIC",'19_FEATURE_CONFIDENCE'!$D$5,SQRT((SUMPRODUCT(--('93_TARGET_MEMBERSHIP'!Q$5:Q$27=1),'92_FEATURE_CONF_NUMERIC'!D$5:D$27)/MAX(1,COUNTIF('93_TARGET_MEMBERSHIP'!Q$5:Q$27,1)))*(SUMPRODUCT(--('93_TARGET_MEMBERSHIP'!Q$5:Q$27=-1),'92_FEATURE_CONF_NUMERIC'!D$5:D$27)/MAX(1,COUNTIF('93_TARGET_MEMBERSHIP'!Q$5:Q$27,-1)))))</f>
        <v/>
      </c>
      <c r="D20" s="34">
        <f>IF($B20="ABSOLUTE SEMANTIC",'19_FEATURE_CONFIDENCE'!$D$6,SQRT((SUMPRODUCT(--('93_TARGET_MEMBERSHIP'!Q$5:Q$27=1),'92_FEATURE_CONF_NUMERIC'!E$5:E$27)/MAX(1,COUNTIF('93_TARGET_MEMBERSHIP'!Q$5:Q$27,1)))*(SUMPRODUCT(--('93_TARGET_MEMBERSHIP'!Q$5:Q$27=-1),'92_FEATURE_CONF_NUMERIC'!E$5:E$27)/MAX(1,COUNTIF('93_TARGET_MEMBERSHIP'!Q$5:Q$27,-1)))))</f>
        <v/>
      </c>
      <c r="E20" s="34">
        <f>IF($B20="ABSOLUTE SEMANTIC",'19_FEATURE_CONFIDENCE'!$D$7,SQRT((SUMPRODUCT(--('93_TARGET_MEMBERSHIP'!Q$5:Q$27=1),'92_FEATURE_CONF_NUMERIC'!F$5:F$27)/MAX(1,COUNTIF('93_TARGET_MEMBERSHIP'!Q$5:Q$27,1)))*(SUMPRODUCT(--('93_TARGET_MEMBERSHIP'!Q$5:Q$27=-1),'92_FEATURE_CONF_NUMERIC'!F$5:F$27)/MAX(1,COUNTIF('93_TARGET_MEMBERSHIP'!Q$5:Q$27,-1)))))</f>
        <v/>
      </c>
      <c r="F20" s="34">
        <f>IF($B20="ABSOLUTE SEMANTIC",'19_FEATURE_CONFIDENCE'!$D$8,SQRT((SUMPRODUCT(--('93_TARGET_MEMBERSHIP'!Q$5:Q$27=1),'92_FEATURE_CONF_NUMERIC'!G$5:G$27)/MAX(1,COUNTIF('93_TARGET_MEMBERSHIP'!Q$5:Q$27,1)))*(SUMPRODUCT(--('93_TARGET_MEMBERSHIP'!Q$5:Q$27=-1),'92_FEATURE_CONF_NUMERIC'!G$5:G$27)/MAX(1,COUNTIF('93_TARGET_MEMBERSHIP'!Q$5:Q$27,-1)))))</f>
        <v/>
      </c>
      <c r="G20" s="34">
        <f>IF($B20="ABSOLUTE SEMANTIC",'19_FEATURE_CONFIDENCE'!$D$9,SQRT((SUMPRODUCT(--('93_TARGET_MEMBERSHIP'!Q$5:Q$27=1),'92_FEATURE_CONF_NUMERIC'!H$5:H$27)/MAX(1,COUNTIF('93_TARGET_MEMBERSHIP'!Q$5:Q$27,1)))*(SUMPRODUCT(--('93_TARGET_MEMBERSHIP'!Q$5:Q$27=-1),'92_FEATURE_CONF_NUMERIC'!H$5:H$27)/MAX(1,COUNTIF('93_TARGET_MEMBERSHIP'!Q$5:Q$27,-1)))))</f>
        <v/>
      </c>
      <c r="H20" s="34">
        <f>IF($B20="ABSOLUTE SEMANTIC",'19_FEATURE_CONFIDENCE'!$D$10,SQRT((SUMPRODUCT(--('93_TARGET_MEMBERSHIP'!Q$5:Q$27=1),'92_FEATURE_CONF_NUMERIC'!I$5:I$27)/MAX(1,COUNTIF('93_TARGET_MEMBERSHIP'!Q$5:Q$27,1)))*(SUMPRODUCT(--('93_TARGET_MEMBERSHIP'!Q$5:Q$27=-1),'92_FEATURE_CONF_NUMERIC'!I$5:I$27)/MAX(1,COUNTIF('93_TARGET_MEMBERSHIP'!Q$5:Q$27,-1)))))</f>
        <v/>
      </c>
      <c r="I20" s="34">
        <f>IF($B20="ABSOLUTE SEMANTIC",'19_FEATURE_CONFIDENCE'!$D$11,SQRT((SUMPRODUCT(--('93_TARGET_MEMBERSHIP'!Q$5:Q$27=1),'92_FEATURE_CONF_NUMERIC'!J$5:J$27)/MAX(1,COUNTIF('93_TARGET_MEMBERSHIP'!Q$5:Q$27,1)))*(SUMPRODUCT(--('93_TARGET_MEMBERSHIP'!Q$5:Q$27=-1),'92_FEATURE_CONF_NUMERIC'!J$5:J$27)/MAX(1,COUNTIF('93_TARGET_MEMBERSHIP'!Q$5:Q$27,-1)))))</f>
        <v/>
      </c>
      <c r="J20" s="34">
        <f>IF($B20="ABSOLUTE SEMANTIC",'19_FEATURE_CONFIDENCE'!$D$12,SQRT((SUMPRODUCT(--('93_TARGET_MEMBERSHIP'!Q$5:Q$27=1),'92_FEATURE_CONF_NUMERIC'!K$5:K$27)/MAX(1,COUNTIF('93_TARGET_MEMBERSHIP'!Q$5:Q$27,1)))*(SUMPRODUCT(--('93_TARGET_MEMBERSHIP'!Q$5:Q$27=-1),'92_FEATURE_CONF_NUMERIC'!K$5:K$27)/MAX(1,COUNTIF('93_TARGET_MEMBERSHIP'!Q$5:Q$27,-1)))))</f>
        <v/>
      </c>
      <c r="K20" s="34">
        <f>IF($B20="ABSOLUTE SEMANTIC",'19_FEATURE_CONFIDENCE'!$D$13,SQRT((SUMPRODUCT(--('93_TARGET_MEMBERSHIP'!Q$5:Q$27=1),'92_FEATURE_CONF_NUMERIC'!L$5:L$27)/MAX(1,COUNTIF('93_TARGET_MEMBERSHIP'!Q$5:Q$27,1)))*(SUMPRODUCT(--('93_TARGET_MEMBERSHIP'!Q$5:Q$27=-1),'92_FEATURE_CONF_NUMERIC'!L$5:L$27)/MAX(1,COUNTIF('93_TARGET_MEMBERSHIP'!Q$5:Q$27,-1)))))</f>
        <v/>
      </c>
      <c r="L20" s="34">
        <f>IF($B20="ABSOLUTE SEMANTIC",'19_FEATURE_CONFIDENCE'!$D$14,SQRT((SUMPRODUCT(--('93_TARGET_MEMBERSHIP'!Q$5:Q$27=1),'92_FEATURE_CONF_NUMERIC'!M$5:M$27)/MAX(1,COUNTIF('93_TARGET_MEMBERSHIP'!Q$5:Q$27,1)))*(SUMPRODUCT(--('93_TARGET_MEMBERSHIP'!Q$5:Q$27=-1),'92_FEATURE_CONF_NUMERIC'!M$5:M$27)/MAX(1,COUNTIF('93_TARGET_MEMBERSHIP'!Q$5:Q$27,-1)))))</f>
        <v/>
      </c>
      <c r="M20" s="34">
        <f>IF($B20="ABSOLUTE SEMANTIC",'19_FEATURE_CONFIDENCE'!$D$15,SQRT((SUMPRODUCT(--('93_TARGET_MEMBERSHIP'!Q$5:Q$27=1),'92_FEATURE_CONF_NUMERIC'!N$5:N$27)/MAX(1,COUNTIF('93_TARGET_MEMBERSHIP'!Q$5:Q$27,1)))*(SUMPRODUCT(--('93_TARGET_MEMBERSHIP'!Q$5:Q$27=-1),'92_FEATURE_CONF_NUMERIC'!N$5:N$27)/MAX(1,COUNTIF('93_TARGET_MEMBERSHIP'!Q$5:Q$27,-1)))))</f>
        <v/>
      </c>
      <c r="N20" s="34">
        <f>IF($B20="ABSOLUTE SEMANTIC",'19_FEATURE_CONFIDENCE'!$D$16,SQRT((SUMPRODUCT(--('93_TARGET_MEMBERSHIP'!Q$5:Q$27=1),'92_FEATURE_CONF_NUMERIC'!O$5:O$27)/MAX(1,COUNTIF('93_TARGET_MEMBERSHIP'!Q$5:Q$27,1)))*(SUMPRODUCT(--('93_TARGET_MEMBERSHIP'!Q$5:Q$27=-1),'92_FEATURE_CONF_NUMERIC'!O$5:O$27)/MAX(1,COUNTIF('93_TARGET_MEMBERSHIP'!Q$5:Q$27,-1)))))</f>
        <v/>
      </c>
      <c r="O20" s="34">
        <f>IF($B20="ABSOLUTE SEMANTIC",'19_FEATURE_CONFIDENCE'!$D$17,SQRT((SUMPRODUCT(--('93_TARGET_MEMBERSHIP'!Q$5:Q$27=1),'92_FEATURE_CONF_NUMERIC'!P$5:P$27)/MAX(1,COUNTIF('93_TARGET_MEMBERSHIP'!Q$5:Q$27,1)))*(SUMPRODUCT(--('93_TARGET_MEMBERSHIP'!Q$5:Q$27=-1),'92_FEATURE_CONF_NUMERIC'!P$5:P$27)/MAX(1,COUNTIF('93_TARGET_MEMBERSHIP'!Q$5:Q$27,-1)))))</f>
        <v/>
      </c>
      <c r="P20" s="34">
        <f>IF($B20="ABSOLUTE SEMANTIC",'19_FEATURE_CONFIDENCE'!$D$18,SQRT((SUMPRODUCT(--('93_TARGET_MEMBERSHIP'!Q$5:Q$27=1),'92_FEATURE_CONF_NUMERIC'!Q$5:Q$27)/MAX(1,COUNTIF('93_TARGET_MEMBERSHIP'!Q$5:Q$27,1)))*(SUMPRODUCT(--('93_TARGET_MEMBERSHIP'!Q$5:Q$27=-1),'92_FEATURE_CONF_NUMERIC'!Q$5:Q$27)/MAX(1,COUNTIF('93_TARGET_MEMBERSHIP'!Q$5:Q$27,-1)))))</f>
        <v/>
      </c>
      <c r="Q20" s="34">
        <f>IF($B20="ABSOLUTE SEMANTIC",'19_FEATURE_CONFIDENCE'!$D$19,SQRT((SUMPRODUCT(--('93_TARGET_MEMBERSHIP'!Q$5:Q$27=1),'92_FEATURE_CONF_NUMERIC'!R$5:R$27)/MAX(1,COUNTIF('93_TARGET_MEMBERSHIP'!Q$5:Q$27,1)))*(SUMPRODUCT(--('93_TARGET_MEMBERSHIP'!Q$5:Q$27=-1),'92_FEATURE_CONF_NUMERIC'!R$5:R$27)/MAX(1,COUNTIF('93_TARGET_MEMBERSHIP'!Q$5:Q$27,-1)))))</f>
        <v/>
      </c>
      <c r="R20" s="34">
        <f>IF($B20="ABSOLUTE SEMANTIC",'19_FEATURE_CONFIDENCE'!$D$20,SQRT((SUMPRODUCT(--('93_TARGET_MEMBERSHIP'!Q$5:Q$27=1),'92_FEATURE_CONF_NUMERIC'!S$5:S$27)/MAX(1,COUNTIF('93_TARGET_MEMBERSHIP'!Q$5:Q$27,1)))*(SUMPRODUCT(--('93_TARGET_MEMBERSHIP'!Q$5:Q$27=-1),'92_FEATURE_CONF_NUMERIC'!S$5:S$27)/MAX(1,COUNTIF('93_TARGET_MEMBERSHIP'!Q$5:Q$27,-1)))))</f>
        <v/>
      </c>
      <c r="S20" s="34">
        <f>IF($B20="ABSOLUTE SEMANTIC",'19_FEATURE_CONFIDENCE'!$D$21,SQRT((SUMPRODUCT(--('93_TARGET_MEMBERSHIP'!Q$5:Q$27=1),'92_FEATURE_CONF_NUMERIC'!T$5:T$27)/MAX(1,COUNTIF('93_TARGET_MEMBERSHIP'!Q$5:Q$27,1)))*(SUMPRODUCT(--('93_TARGET_MEMBERSHIP'!Q$5:Q$27=-1),'92_FEATURE_CONF_NUMERIC'!T$5:T$27)/MAX(1,COUNTIF('93_TARGET_MEMBERSHIP'!Q$5:Q$27,-1)))))</f>
        <v/>
      </c>
      <c r="T20" s="34">
        <f>IF($B20="ABSOLUTE SEMANTIC",'19_FEATURE_CONFIDENCE'!$D$22,SQRT((SUMPRODUCT(--('93_TARGET_MEMBERSHIP'!Q$5:Q$27=1),'92_FEATURE_CONF_NUMERIC'!U$5:U$27)/MAX(1,COUNTIF('93_TARGET_MEMBERSHIP'!Q$5:Q$27,1)))*(SUMPRODUCT(--('93_TARGET_MEMBERSHIP'!Q$5:Q$27=-1),'92_FEATURE_CONF_NUMERIC'!U$5:U$27)/MAX(1,COUNTIF('93_TARGET_MEMBERSHIP'!Q$5:Q$27,-1)))))</f>
        <v/>
      </c>
      <c r="U20" s="34">
        <f>IF($B20="ABSOLUTE SEMANTIC",'19_FEATURE_CONFIDENCE'!$D$23,SQRT((SUMPRODUCT(--('93_TARGET_MEMBERSHIP'!Q$5:Q$27=1),'92_FEATURE_CONF_NUMERIC'!V$5:V$27)/MAX(1,COUNTIF('93_TARGET_MEMBERSHIP'!Q$5:Q$27,1)))*(SUMPRODUCT(--('93_TARGET_MEMBERSHIP'!Q$5:Q$27=-1),'92_FEATURE_CONF_NUMERIC'!V$5:V$27)/MAX(1,COUNTIF('93_TARGET_MEMBERSHIP'!Q$5:Q$27,-1)))))</f>
        <v/>
      </c>
      <c r="V20" s="34">
        <f>IF($B20="ABSOLUTE SEMANTIC",'19_FEATURE_CONFIDENCE'!$D$24,SQRT((SUMPRODUCT(--('93_TARGET_MEMBERSHIP'!Q$5:Q$27=1),'92_FEATURE_CONF_NUMERIC'!W$5:W$27)/MAX(1,COUNTIF('93_TARGET_MEMBERSHIP'!Q$5:Q$27,1)))*(SUMPRODUCT(--('93_TARGET_MEMBERSHIP'!Q$5:Q$27=-1),'92_FEATURE_CONF_NUMERIC'!W$5:W$27)/MAX(1,COUNTIF('93_TARGET_MEMBERSHIP'!Q$5:Q$27,-1)))))</f>
        <v/>
      </c>
      <c r="W20" s="34">
        <f>IF($B20="ABSOLUTE SEMANTIC",'19_FEATURE_CONFIDENCE'!$D$25,SQRT((SUMPRODUCT(--('93_TARGET_MEMBERSHIP'!Q$5:Q$27=1),'92_FEATURE_CONF_NUMERIC'!X$5:X$27)/MAX(1,COUNTIF('93_TARGET_MEMBERSHIP'!Q$5:Q$27,1)))*(SUMPRODUCT(--('93_TARGET_MEMBERSHIP'!Q$5:Q$27=-1),'92_FEATURE_CONF_NUMERIC'!X$5:X$27)/MAX(1,COUNTIF('93_TARGET_MEMBERSHIP'!Q$5:Q$27,-1)))))</f>
        <v/>
      </c>
      <c r="X20" s="34">
        <f>IF($B20="ABSOLUTE SEMANTIC",'19_FEATURE_CONFIDENCE'!$D$26,SQRT((SUMPRODUCT(--('93_TARGET_MEMBERSHIP'!Q$5:Q$27=1),'92_FEATURE_CONF_NUMERIC'!Y$5:Y$27)/MAX(1,COUNTIF('93_TARGET_MEMBERSHIP'!Q$5:Q$27,1)))*(SUMPRODUCT(--('93_TARGET_MEMBERSHIP'!Q$5:Q$27=-1),'92_FEATURE_CONF_NUMERIC'!Y$5:Y$27)/MAX(1,COUNTIF('93_TARGET_MEMBERSHIP'!Q$5:Q$27,-1)))))</f>
        <v/>
      </c>
      <c r="Y20" s="34">
        <f>IF($B20="ABSOLUTE SEMANTIC",'19_FEATURE_CONFIDENCE'!$D$27,SQRT((SUMPRODUCT(--('93_TARGET_MEMBERSHIP'!Q$5:Q$27=1),'92_FEATURE_CONF_NUMERIC'!Z$5:Z$27)/MAX(1,COUNTIF('93_TARGET_MEMBERSHIP'!Q$5:Q$27,1)))*(SUMPRODUCT(--('93_TARGET_MEMBERSHIP'!Q$5:Q$27=-1),'92_FEATURE_CONF_NUMERIC'!Z$5:Z$27)/MAX(1,COUNTIF('93_TARGET_MEMBERSHIP'!Q$5:Q$27,-1)))))</f>
        <v/>
      </c>
      <c r="Z20" s="34">
        <f>IF($B20="ABSOLUTE SEMANTIC",'19_FEATURE_CONFIDENCE'!$D$28,SQRT((SUMPRODUCT(--('93_TARGET_MEMBERSHIP'!Q$5:Q$27=1),'92_FEATURE_CONF_NUMERIC'!AA$5:AA$27)/MAX(1,COUNTIF('93_TARGET_MEMBERSHIP'!Q$5:Q$27,1)))*(SUMPRODUCT(--('93_TARGET_MEMBERSHIP'!Q$5:Q$27=-1),'92_FEATURE_CONF_NUMERIC'!AA$5:AA$27)/MAX(1,COUNTIF('93_TARGET_MEMBERSHIP'!Q$5:Q$27,-1)))))</f>
        <v/>
      </c>
      <c r="AA20" s="34">
        <f>IF($B20="ABSOLUTE SEMANTIC",'19_FEATURE_CONFIDENCE'!$D$29,SQRT((SUMPRODUCT(--('93_TARGET_MEMBERSHIP'!Q$5:Q$27=1),'92_FEATURE_CONF_NUMERIC'!AB$5:AB$27)/MAX(1,COUNTIF('93_TARGET_MEMBERSHIP'!Q$5:Q$27,1)))*(SUMPRODUCT(--('93_TARGET_MEMBERSHIP'!Q$5:Q$27=-1),'92_FEATURE_CONF_NUMERIC'!AB$5:AB$27)/MAX(1,COUNTIF('93_TARGET_MEMBERSHIP'!Q$5:Q$27,-1)))))</f>
        <v/>
      </c>
      <c r="AB20" s="34">
        <f>IF($B20="ABSOLUTE SEMANTIC",'19_FEATURE_CONFIDENCE'!$D$30,SQRT((SUMPRODUCT(--('93_TARGET_MEMBERSHIP'!Q$5:Q$27=1),'92_FEATURE_CONF_NUMERIC'!AC$5:AC$27)/MAX(1,COUNTIF('93_TARGET_MEMBERSHIP'!Q$5:Q$27,1)))*(SUMPRODUCT(--('93_TARGET_MEMBERSHIP'!Q$5:Q$27=-1),'92_FEATURE_CONF_NUMERIC'!AC$5:AC$27)/MAX(1,COUNTIF('93_TARGET_MEMBERSHIP'!Q$5:Q$27,-1)))))</f>
        <v/>
      </c>
      <c r="AC20" s="34">
        <f>IF($B20="ABSOLUTE SEMANTIC",'19_FEATURE_CONFIDENCE'!$D$31,SQRT((SUMPRODUCT(--('93_TARGET_MEMBERSHIP'!Q$5:Q$27=1),'92_FEATURE_CONF_NUMERIC'!AD$5:AD$27)/MAX(1,COUNTIF('93_TARGET_MEMBERSHIP'!Q$5:Q$27,1)))*(SUMPRODUCT(--('93_TARGET_MEMBERSHIP'!Q$5:Q$27=-1),'92_FEATURE_CONF_NUMERIC'!AD$5:AD$27)/MAX(1,COUNTIF('93_TARGET_MEMBERSHIP'!Q$5:Q$27,-1)))))</f>
        <v/>
      </c>
      <c r="AD20" s="34">
        <f>IF($B20="ABSOLUTE SEMANTIC",'19_FEATURE_CONFIDENCE'!$D$32,SQRT((SUMPRODUCT(--('93_TARGET_MEMBERSHIP'!Q$5:Q$27=1),'92_FEATURE_CONF_NUMERIC'!AE$5:AE$27)/MAX(1,COUNTIF('93_TARGET_MEMBERSHIP'!Q$5:Q$27,1)))*(SUMPRODUCT(--('93_TARGET_MEMBERSHIP'!Q$5:Q$27=-1),'92_FEATURE_CONF_NUMERIC'!AE$5:AE$27)/MAX(1,COUNTIF('93_TARGET_MEMBERSHIP'!Q$5:Q$27,-1)))))</f>
        <v/>
      </c>
      <c r="AE20" s="34">
        <f>IF($B20="ABSOLUTE SEMANTIC",'19_FEATURE_CONFIDENCE'!$D$33,SQRT((SUMPRODUCT(--('93_TARGET_MEMBERSHIP'!Q$5:Q$27=1),'92_FEATURE_CONF_NUMERIC'!AF$5:AF$27)/MAX(1,COUNTIF('93_TARGET_MEMBERSHIP'!Q$5:Q$27,1)))*(SUMPRODUCT(--('93_TARGET_MEMBERSHIP'!Q$5:Q$27=-1),'92_FEATURE_CONF_NUMERIC'!AF$5:AF$27)/MAX(1,COUNTIF('93_TARGET_MEMBERSHIP'!Q$5:Q$27,-1)))))</f>
        <v/>
      </c>
      <c r="AF20" s="34">
        <f>IF($B20="ABSOLUTE SEMANTIC",'19_FEATURE_CONFIDENCE'!$D$34,SQRT((SUMPRODUCT(--('93_TARGET_MEMBERSHIP'!Q$5:Q$27=1),'92_FEATURE_CONF_NUMERIC'!AG$5:AG$27)/MAX(1,COUNTIF('93_TARGET_MEMBERSHIP'!Q$5:Q$27,1)))*(SUMPRODUCT(--('93_TARGET_MEMBERSHIP'!Q$5:Q$27=-1),'92_FEATURE_CONF_NUMERIC'!AG$5:AG$27)/MAX(1,COUNTIF('93_TARGET_MEMBERSHIP'!Q$5:Q$27,-1)))))</f>
        <v/>
      </c>
      <c r="AG20" s="34">
        <f>IF($B20="ABSOLUTE SEMANTIC",'19_FEATURE_CONFIDENCE'!$D$35,SQRT((SUMPRODUCT(--('93_TARGET_MEMBERSHIP'!Q$5:Q$27=1),'92_FEATURE_CONF_NUMERIC'!AH$5:AH$27)/MAX(1,COUNTIF('93_TARGET_MEMBERSHIP'!Q$5:Q$27,1)))*(SUMPRODUCT(--('93_TARGET_MEMBERSHIP'!Q$5:Q$27=-1),'92_FEATURE_CONF_NUMERIC'!AH$5:AH$27)/MAX(1,COUNTIF('93_TARGET_MEMBERSHIP'!Q$5:Q$27,-1)))))</f>
        <v/>
      </c>
      <c r="AH20" s="34">
        <f>IF($B20="ABSOLUTE SEMANTIC",'19_FEATURE_CONFIDENCE'!$D$36,SQRT((SUMPRODUCT(--('93_TARGET_MEMBERSHIP'!Q$5:Q$27=1),'92_FEATURE_CONF_NUMERIC'!AI$5:AI$27)/MAX(1,COUNTIF('93_TARGET_MEMBERSHIP'!Q$5:Q$27,1)))*(SUMPRODUCT(--('93_TARGET_MEMBERSHIP'!Q$5:Q$27=-1),'92_FEATURE_CONF_NUMERIC'!AI$5:AI$27)/MAX(1,COUNTIF('93_TARGET_MEMBERSHIP'!Q$5:Q$27,-1)))))</f>
        <v/>
      </c>
      <c r="AI20" s="34">
        <f>IF($B20="ABSOLUTE SEMANTIC",'19_FEATURE_CONFIDENCE'!$D$37,SQRT((SUMPRODUCT(--('93_TARGET_MEMBERSHIP'!Q$5:Q$27=1),'92_FEATURE_CONF_NUMERIC'!AJ$5:AJ$27)/MAX(1,COUNTIF('93_TARGET_MEMBERSHIP'!Q$5:Q$27,1)))*(SUMPRODUCT(--('93_TARGET_MEMBERSHIP'!Q$5:Q$27=-1),'92_FEATURE_CONF_NUMERIC'!AJ$5:AJ$27)/MAX(1,COUNTIF('93_TARGET_MEMBERSHIP'!Q$5:Q$27,-1)))))</f>
        <v/>
      </c>
      <c r="AJ20" s="34">
        <f>IF($B20="ABSOLUTE SEMANTIC",'19_FEATURE_CONFIDENCE'!$D$38,SQRT((SUMPRODUCT(--('93_TARGET_MEMBERSHIP'!Q$5:Q$27=1),'92_FEATURE_CONF_NUMERIC'!AK$5:AK$27)/MAX(1,COUNTIF('93_TARGET_MEMBERSHIP'!Q$5:Q$27,1)))*(SUMPRODUCT(--('93_TARGET_MEMBERSHIP'!Q$5:Q$27=-1),'92_FEATURE_CONF_NUMERIC'!AK$5:AK$27)/MAX(1,COUNTIF('93_TARGET_MEMBERSHIP'!Q$5:Q$27,-1)))))</f>
        <v/>
      </c>
      <c r="AK20" s="34">
        <f>IF($B20="ABSOLUTE SEMANTIC",'19_FEATURE_CONFIDENCE'!$D$39,SQRT((SUMPRODUCT(--('93_TARGET_MEMBERSHIP'!Q$5:Q$27=1),'92_FEATURE_CONF_NUMERIC'!AL$5:AL$27)/MAX(1,COUNTIF('93_TARGET_MEMBERSHIP'!Q$5:Q$27,1)))*(SUMPRODUCT(--('93_TARGET_MEMBERSHIP'!Q$5:Q$27=-1),'92_FEATURE_CONF_NUMERIC'!AL$5:AL$27)/MAX(1,COUNTIF('93_TARGET_MEMBERSHIP'!Q$5:Q$27,-1)))))</f>
        <v/>
      </c>
      <c r="AL20" s="34">
        <f>IF($B20="ABSOLUTE SEMANTIC",'19_FEATURE_CONFIDENCE'!$D$40,SQRT((SUMPRODUCT(--('93_TARGET_MEMBERSHIP'!Q$5:Q$27=1),'92_FEATURE_CONF_NUMERIC'!AM$5:AM$27)/MAX(1,COUNTIF('93_TARGET_MEMBERSHIP'!Q$5:Q$27,1)))*(SUMPRODUCT(--('93_TARGET_MEMBERSHIP'!Q$5:Q$27=-1),'92_FEATURE_CONF_NUMERIC'!AM$5:AM$27)/MAX(1,COUNTIF('93_TARGET_MEMBERSHIP'!Q$5:Q$27,-1)))))</f>
        <v/>
      </c>
      <c r="AM20" s="34">
        <f>IF($B20="ABSOLUTE SEMANTIC",'19_FEATURE_CONFIDENCE'!$D$41,SQRT((SUMPRODUCT(--('93_TARGET_MEMBERSHIP'!Q$5:Q$27=1),'92_FEATURE_CONF_NUMERIC'!AN$5:AN$27)/MAX(1,COUNTIF('93_TARGET_MEMBERSHIP'!Q$5:Q$27,1)))*(SUMPRODUCT(--('93_TARGET_MEMBERSHIP'!Q$5:Q$27=-1),'92_FEATURE_CONF_NUMERIC'!AN$5:AN$27)/MAX(1,COUNTIF('93_TARGET_MEMBERSHIP'!Q$5:Q$27,-1)))))</f>
        <v/>
      </c>
      <c r="AN20" s="34">
        <f>IF($B20="ABSOLUTE SEMANTIC",'19_FEATURE_CONFIDENCE'!$D$42,SQRT((SUMPRODUCT(--('93_TARGET_MEMBERSHIP'!Q$5:Q$27=1),'92_FEATURE_CONF_NUMERIC'!AO$5:AO$27)/MAX(1,COUNTIF('93_TARGET_MEMBERSHIP'!Q$5:Q$27,1)))*(SUMPRODUCT(--('93_TARGET_MEMBERSHIP'!Q$5:Q$27=-1),'92_FEATURE_CONF_NUMERIC'!AO$5:AO$27)/MAX(1,COUNTIF('93_TARGET_MEMBERSHIP'!Q$5:Q$27,-1)))))</f>
        <v/>
      </c>
      <c r="AO20" s="34">
        <f>IF($B20="ABSOLUTE SEMANTIC",'19_FEATURE_CONFIDENCE'!$D$43,SQRT((SUMPRODUCT(--('93_TARGET_MEMBERSHIP'!Q$5:Q$27=1),'92_FEATURE_CONF_NUMERIC'!AP$5:AP$27)/MAX(1,COUNTIF('93_TARGET_MEMBERSHIP'!Q$5:Q$27,1)))*(SUMPRODUCT(--('93_TARGET_MEMBERSHIP'!Q$5:Q$27=-1),'92_FEATURE_CONF_NUMERIC'!AP$5:AP$27)/MAX(1,COUNTIF('93_TARGET_MEMBERSHIP'!Q$5:Q$27,-1)))))</f>
        <v/>
      </c>
      <c r="AP20" s="34">
        <f>IF($B20="ABSOLUTE SEMANTIC",'19_FEATURE_CONFIDENCE'!$D$44,SQRT((SUMPRODUCT(--('93_TARGET_MEMBERSHIP'!Q$5:Q$27=1),'92_FEATURE_CONF_NUMERIC'!AQ$5:AQ$27)/MAX(1,COUNTIF('93_TARGET_MEMBERSHIP'!Q$5:Q$27,1)))*(SUMPRODUCT(--('93_TARGET_MEMBERSHIP'!Q$5:Q$27=-1),'92_FEATURE_CONF_NUMERIC'!AQ$5:AQ$27)/MAX(1,COUNTIF('93_TARGET_MEMBERSHIP'!Q$5:Q$27,-1)))))</f>
        <v/>
      </c>
      <c r="AQ20" s="34">
        <f>IF($B20="ABSOLUTE SEMANTIC",'19_FEATURE_CONFIDENCE'!$D$45,SQRT((SUMPRODUCT(--('93_TARGET_MEMBERSHIP'!Q$5:Q$27=1),'92_FEATURE_CONF_NUMERIC'!AR$5:AR$27)/MAX(1,COUNTIF('93_TARGET_MEMBERSHIP'!Q$5:Q$27,1)))*(SUMPRODUCT(--('93_TARGET_MEMBERSHIP'!Q$5:Q$27=-1),'92_FEATURE_CONF_NUMERIC'!AR$5:AR$27)/MAX(1,COUNTIF('93_TARGET_MEMBERSHIP'!Q$5:Q$27,-1)))))</f>
        <v/>
      </c>
    </row>
    <row r="21" ht="36" customHeight="1">
      <c r="A21" s="34">
        <f>'06_ITEM_POLE_MODEL'!A21</f>
        <v/>
      </c>
      <c r="B21" s="34">
        <f>'06_ITEM_POLE_MODEL'!E21</f>
        <v/>
      </c>
      <c r="C21" s="34">
        <f>IF($B21="ABSOLUTE SEMANTIC",'19_FEATURE_CONFIDENCE'!$D$5,SQRT((SUMPRODUCT(--('93_TARGET_MEMBERSHIP'!R$5:R$27=1),'92_FEATURE_CONF_NUMERIC'!D$5:D$27)/MAX(1,COUNTIF('93_TARGET_MEMBERSHIP'!R$5:R$27,1)))*(SUMPRODUCT(--('93_TARGET_MEMBERSHIP'!R$5:R$27=-1),'92_FEATURE_CONF_NUMERIC'!D$5:D$27)/MAX(1,COUNTIF('93_TARGET_MEMBERSHIP'!R$5:R$27,-1)))))</f>
        <v/>
      </c>
      <c r="D21" s="34">
        <f>IF($B21="ABSOLUTE SEMANTIC",'19_FEATURE_CONFIDENCE'!$D$6,SQRT((SUMPRODUCT(--('93_TARGET_MEMBERSHIP'!R$5:R$27=1),'92_FEATURE_CONF_NUMERIC'!E$5:E$27)/MAX(1,COUNTIF('93_TARGET_MEMBERSHIP'!R$5:R$27,1)))*(SUMPRODUCT(--('93_TARGET_MEMBERSHIP'!R$5:R$27=-1),'92_FEATURE_CONF_NUMERIC'!E$5:E$27)/MAX(1,COUNTIF('93_TARGET_MEMBERSHIP'!R$5:R$27,-1)))))</f>
        <v/>
      </c>
      <c r="E21" s="34">
        <f>IF($B21="ABSOLUTE SEMANTIC",'19_FEATURE_CONFIDENCE'!$D$7,SQRT((SUMPRODUCT(--('93_TARGET_MEMBERSHIP'!R$5:R$27=1),'92_FEATURE_CONF_NUMERIC'!F$5:F$27)/MAX(1,COUNTIF('93_TARGET_MEMBERSHIP'!R$5:R$27,1)))*(SUMPRODUCT(--('93_TARGET_MEMBERSHIP'!R$5:R$27=-1),'92_FEATURE_CONF_NUMERIC'!F$5:F$27)/MAX(1,COUNTIF('93_TARGET_MEMBERSHIP'!R$5:R$27,-1)))))</f>
        <v/>
      </c>
      <c r="F21" s="34">
        <f>IF($B21="ABSOLUTE SEMANTIC",'19_FEATURE_CONFIDENCE'!$D$8,SQRT((SUMPRODUCT(--('93_TARGET_MEMBERSHIP'!R$5:R$27=1),'92_FEATURE_CONF_NUMERIC'!G$5:G$27)/MAX(1,COUNTIF('93_TARGET_MEMBERSHIP'!R$5:R$27,1)))*(SUMPRODUCT(--('93_TARGET_MEMBERSHIP'!R$5:R$27=-1),'92_FEATURE_CONF_NUMERIC'!G$5:G$27)/MAX(1,COUNTIF('93_TARGET_MEMBERSHIP'!R$5:R$27,-1)))))</f>
        <v/>
      </c>
      <c r="G21" s="34">
        <f>IF($B21="ABSOLUTE SEMANTIC",'19_FEATURE_CONFIDENCE'!$D$9,SQRT((SUMPRODUCT(--('93_TARGET_MEMBERSHIP'!R$5:R$27=1),'92_FEATURE_CONF_NUMERIC'!H$5:H$27)/MAX(1,COUNTIF('93_TARGET_MEMBERSHIP'!R$5:R$27,1)))*(SUMPRODUCT(--('93_TARGET_MEMBERSHIP'!R$5:R$27=-1),'92_FEATURE_CONF_NUMERIC'!H$5:H$27)/MAX(1,COUNTIF('93_TARGET_MEMBERSHIP'!R$5:R$27,-1)))))</f>
        <v/>
      </c>
      <c r="H21" s="34">
        <f>IF($B21="ABSOLUTE SEMANTIC",'19_FEATURE_CONFIDENCE'!$D$10,SQRT((SUMPRODUCT(--('93_TARGET_MEMBERSHIP'!R$5:R$27=1),'92_FEATURE_CONF_NUMERIC'!I$5:I$27)/MAX(1,COUNTIF('93_TARGET_MEMBERSHIP'!R$5:R$27,1)))*(SUMPRODUCT(--('93_TARGET_MEMBERSHIP'!R$5:R$27=-1),'92_FEATURE_CONF_NUMERIC'!I$5:I$27)/MAX(1,COUNTIF('93_TARGET_MEMBERSHIP'!R$5:R$27,-1)))))</f>
        <v/>
      </c>
      <c r="I21" s="34">
        <f>IF($B21="ABSOLUTE SEMANTIC",'19_FEATURE_CONFIDENCE'!$D$11,SQRT((SUMPRODUCT(--('93_TARGET_MEMBERSHIP'!R$5:R$27=1),'92_FEATURE_CONF_NUMERIC'!J$5:J$27)/MAX(1,COUNTIF('93_TARGET_MEMBERSHIP'!R$5:R$27,1)))*(SUMPRODUCT(--('93_TARGET_MEMBERSHIP'!R$5:R$27=-1),'92_FEATURE_CONF_NUMERIC'!J$5:J$27)/MAX(1,COUNTIF('93_TARGET_MEMBERSHIP'!R$5:R$27,-1)))))</f>
        <v/>
      </c>
      <c r="J21" s="34">
        <f>IF($B21="ABSOLUTE SEMANTIC",'19_FEATURE_CONFIDENCE'!$D$12,SQRT((SUMPRODUCT(--('93_TARGET_MEMBERSHIP'!R$5:R$27=1),'92_FEATURE_CONF_NUMERIC'!K$5:K$27)/MAX(1,COUNTIF('93_TARGET_MEMBERSHIP'!R$5:R$27,1)))*(SUMPRODUCT(--('93_TARGET_MEMBERSHIP'!R$5:R$27=-1),'92_FEATURE_CONF_NUMERIC'!K$5:K$27)/MAX(1,COUNTIF('93_TARGET_MEMBERSHIP'!R$5:R$27,-1)))))</f>
        <v/>
      </c>
      <c r="K21" s="34">
        <f>IF($B21="ABSOLUTE SEMANTIC",'19_FEATURE_CONFIDENCE'!$D$13,SQRT((SUMPRODUCT(--('93_TARGET_MEMBERSHIP'!R$5:R$27=1),'92_FEATURE_CONF_NUMERIC'!L$5:L$27)/MAX(1,COUNTIF('93_TARGET_MEMBERSHIP'!R$5:R$27,1)))*(SUMPRODUCT(--('93_TARGET_MEMBERSHIP'!R$5:R$27=-1),'92_FEATURE_CONF_NUMERIC'!L$5:L$27)/MAX(1,COUNTIF('93_TARGET_MEMBERSHIP'!R$5:R$27,-1)))))</f>
        <v/>
      </c>
      <c r="L21" s="34">
        <f>IF($B21="ABSOLUTE SEMANTIC",'19_FEATURE_CONFIDENCE'!$D$14,SQRT((SUMPRODUCT(--('93_TARGET_MEMBERSHIP'!R$5:R$27=1),'92_FEATURE_CONF_NUMERIC'!M$5:M$27)/MAX(1,COUNTIF('93_TARGET_MEMBERSHIP'!R$5:R$27,1)))*(SUMPRODUCT(--('93_TARGET_MEMBERSHIP'!R$5:R$27=-1),'92_FEATURE_CONF_NUMERIC'!M$5:M$27)/MAX(1,COUNTIF('93_TARGET_MEMBERSHIP'!R$5:R$27,-1)))))</f>
        <v/>
      </c>
      <c r="M21" s="34">
        <f>IF($B21="ABSOLUTE SEMANTIC",'19_FEATURE_CONFIDENCE'!$D$15,SQRT((SUMPRODUCT(--('93_TARGET_MEMBERSHIP'!R$5:R$27=1),'92_FEATURE_CONF_NUMERIC'!N$5:N$27)/MAX(1,COUNTIF('93_TARGET_MEMBERSHIP'!R$5:R$27,1)))*(SUMPRODUCT(--('93_TARGET_MEMBERSHIP'!R$5:R$27=-1),'92_FEATURE_CONF_NUMERIC'!N$5:N$27)/MAX(1,COUNTIF('93_TARGET_MEMBERSHIP'!R$5:R$27,-1)))))</f>
        <v/>
      </c>
      <c r="N21" s="34">
        <f>IF($B21="ABSOLUTE SEMANTIC",'19_FEATURE_CONFIDENCE'!$D$16,SQRT((SUMPRODUCT(--('93_TARGET_MEMBERSHIP'!R$5:R$27=1),'92_FEATURE_CONF_NUMERIC'!O$5:O$27)/MAX(1,COUNTIF('93_TARGET_MEMBERSHIP'!R$5:R$27,1)))*(SUMPRODUCT(--('93_TARGET_MEMBERSHIP'!R$5:R$27=-1),'92_FEATURE_CONF_NUMERIC'!O$5:O$27)/MAX(1,COUNTIF('93_TARGET_MEMBERSHIP'!R$5:R$27,-1)))))</f>
        <v/>
      </c>
      <c r="O21" s="34">
        <f>IF($B21="ABSOLUTE SEMANTIC",'19_FEATURE_CONFIDENCE'!$D$17,SQRT((SUMPRODUCT(--('93_TARGET_MEMBERSHIP'!R$5:R$27=1),'92_FEATURE_CONF_NUMERIC'!P$5:P$27)/MAX(1,COUNTIF('93_TARGET_MEMBERSHIP'!R$5:R$27,1)))*(SUMPRODUCT(--('93_TARGET_MEMBERSHIP'!R$5:R$27=-1),'92_FEATURE_CONF_NUMERIC'!P$5:P$27)/MAX(1,COUNTIF('93_TARGET_MEMBERSHIP'!R$5:R$27,-1)))))</f>
        <v/>
      </c>
      <c r="P21" s="34">
        <f>IF($B21="ABSOLUTE SEMANTIC",'19_FEATURE_CONFIDENCE'!$D$18,SQRT((SUMPRODUCT(--('93_TARGET_MEMBERSHIP'!R$5:R$27=1),'92_FEATURE_CONF_NUMERIC'!Q$5:Q$27)/MAX(1,COUNTIF('93_TARGET_MEMBERSHIP'!R$5:R$27,1)))*(SUMPRODUCT(--('93_TARGET_MEMBERSHIP'!R$5:R$27=-1),'92_FEATURE_CONF_NUMERIC'!Q$5:Q$27)/MAX(1,COUNTIF('93_TARGET_MEMBERSHIP'!R$5:R$27,-1)))))</f>
        <v/>
      </c>
      <c r="Q21" s="34">
        <f>IF($B21="ABSOLUTE SEMANTIC",'19_FEATURE_CONFIDENCE'!$D$19,SQRT((SUMPRODUCT(--('93_TARGET_MEMBERSHIP'!R$5:R$27=1),'92_FEATURE_CONF_NUMERIC'!R$5:R$27)/MAX(1,COUNTIF('93_TARGET_MEMBERSHIP'!R$5:R$27,1)))*(SUMPRODUCT(--('93_TARGET_MEMBERSHIP'!R$5:R$27=-1),'92_FEATURE_CONF_NUMERIC'!R$5:R$27)/MAX(1,COUNTIF('93_TARGET_MEMBERSHIP'!R$5:R$27,-1)))))</f>
        <v/>
      </c>
      <c r="R21" s="34">
        <f>IF($B21="ABSOLUTE SEMANTIC",'19_FEATURE_CONFIDENCE'!$D$20,SQRT((SUMPRODUCT(--('93_TARGET_MEMBERSHIP'!R$5:R$27=1),'92_FEATURE_CONF_NUMERIC'!S$5:S$27)/MAX(1,COUNTIF('93_TARGET_MEMBERSHIP'!R$5:R$27,1)))*(SUMPRODUCT(--('93_TARGET_MEMBERSHIP'!R$5:R$27=-1),'92_FEATURE_CONF_NUMERIC'!S$5:S$27)/MAX(1,COUNTIF('93_TARGET_MEMBERSHIP'!R$5:R$27,-1)))))</f>
        <v/>
      </c>
      <c r="S21" s="34">
        <f>IF($B21="ABSOLUTE SEMANTIC",'19_FEATURE_CONFIDENCE'!$D$21,SQRT((SUMPRODUCT(--('93_TARGET_MEMBERSHIP'!R$5:R$27=1),'92_FEATURE_CONF_NUMERIC'!T$5:T$27)/MAX(1,COUNTIF('93_TARGET_MEMBERSHIP'!R$5:R$27,1)))*(SUMPRODUCT(--('93_TARGET_MEMBERSHIP'!R$5:R$27=-1),'92_FEATURE_CONF_NUMERIC'!T$5:T$27)/MAX(1,COUNTIF('93_TARGET_MEMBERSHIP'!R$5:R$27,-1)))))</f>
        <v/>
      </c>
      <c r="T21" s="34">
        <f>IF($B21="ABSOLUTE SEMANTIC",'19_FEATURE_CONFIDENCE'!$D$22,SQRT((SUMPRODUCT(--('93_TARGET_MEMBERSHIP'!R$5:R$27=1),'92_FEATURE_CONF_NUMERIC'!U$5:U$27)/MAX(1,COUNTIF('93_TARGET_MEMBERSHIP'!R$5:R$27,1)))*(SUMPRODUCT(--('93_TARGET_MEMBERSHIP'!R$5:R$27=-1),'92_FEATURE_CONF_NUMERIC'!U$5:U$27)/MAX(1,COUNTIF('93_TARGET_MEMBERSHIP'!R$5:R$27,-1)))))</f>
        <v/>
      </c>
      <c r="U21" s="34">
        <f>IF($B21="ABSOLUTE SEMANTIC",'19_FEATURE_CONFIDENCE'!$D$23,SQRT((SUMPRODUCT(--('93_TARGET_MEMBERSHIP'!R$5:R$27=1),'92_FEATURE_CONF_NUMERIC'!V$5:V$27)/MAX(1,COUNTIF('93_TARGET_MEMBERSHIP'!R$5:R$27,1)))*(SUMPRODUCT(--('93_TARGET_MEMBERSHIP'!R$5:R$27=-1),'92_FEATURE_CONF_NUMERIC'!V$5:V$27)/MAX(1,COUNTIF('93_TARGET_MEMBERSHIP'!R$5:R$27,-1)))))</f>
        <v/>
      </c>
      <c r="V21" s="34">
        <f>IF($B21="ABSOLUTE SEMANTIC",'19_FEATURE_CONFIDENCE'!$D$24,SQRT((SUMPRODUCT(--('93_TARGET_MEMBERSHIP'!R$5:R$27=1),'92_FEATURE_CONF_NUMERIC'!W$5:W$27)/MAX(1,COUNTIF('93_TARGET_MEMBERSHIP'!R$5:R$27,1)))*(SUMPRODUCT(--('93_TARGET_MEMBERSHIP'!R$5:R$27=-1),'92_FEATURE_CONF_NUMERIC'!W$5:W$27)/MAX(1,COUNTIF('93_TARGET_MEMBERSHIP'!R$5:R$27,-1)))))</f>
        <v/>
      </c>
      <c r="W21" s="34">
        <f>IF($B21="ABSOLUTE SEMANTIC",'19_FEATURE_CONFIDENCE'!$D$25,SQRT((SUMPRODUCT(--('93_TARGET_MEMBERSHIP'!R$5:R$27=1),'92_FEATURE_CONF_NUMERIC'!X$5:X$27)/MAX(1,COUNTIF('93_TARGET_MEMBERSHIP'!R$5:R$27,1)))*(SUMPRODUCT(--('93_TARGET_MEMBERSHIP'!R$5:R$27=-1),'92_FEATURE_CONF_NUMERIC'!X$5:X$27)/MAX(1,COUNTIF('93_TARGET_MEMBERSHIP'!R$5:R$27,-1)))))</f>
        <v/>
      </c>
      <c r="X21" s="34">
        <f>IF($B21="ABSOLUTE SEMANTIC",'19_FEATURE_CONFIDENCE'!$D$26,SQRT((SUMPRODUCT(--('93_TARGET_MEMBERSHIP'!R$5:R$27=1),'92_FEATURE_CONF_NUMERIC'!Y$5:Y$27)/MAX(1,COUNTIF('93_TARGET_MEMBERSHIP'!R$5:R$27,1)))*(SUMPRODUCT(--('93_TARGET_MEMBERSHIP'!R$5:R$27=-1),'92_FEATURE_CONF_NUMERIC'!Y$5:Y$27)/MAX(1,COUNTIF('93_TARGET_MEMBERSHIP'!R$5:R$27,-1)))))</f>
        <v/>
      </c>
      <c r="Y21" s="34">
        <f>IF($B21="ABSOLUTE SEMANTIC",'19_FEATURE_CONFIDENCE'!$D$27,SQRT((SUMPRODUCT(--('93_TARGET_MEMBERSHIP'!R$5:R$27=1),'92_FEATURE_CONF_NUMERIC'!Z$5:Z$27)/MAX(1,COUNTIF('93_TARGET_MEMBERSHIP'!R$5:R$27,1)))*(SUMPRODUCT(--('93_TARGET_MEMBERSHIP'!R$5:R$27=-1),'92_FEATURE_CONF_NUMERIC'!Z$5:Z$27)/MAX(1,COUNTIF('93_TARGET_MEMBERSHIP'!R$5:R$27,-1)))))</f>
        <v/>
      </c>
      <c r="Z21" s="34">
        <f>IF($B21="ABSOLUTE SEMANTIC",'19_FEATURE_CONFIDENCE'!$D$28,SQRT((SUMPRODUCT(--('93_TARGET_MEMBERSHIP'!R$5:R$27=1),'92_FEATURE_CONF_NUMERIC'!AA$5:AA$27)/MAX(1,COUNTIF('93_TARGET_MEMBERSHIP'!R$5:R$27,1)))*(SUMPRODUCT(--('93_TARGET_MEMBERSHIP'!R$5:R$27=-1),'92_FEATURE_CONF_NUMERIC'!AA$5:AA$27)/MAX(1,COUNTIF('93_TARGET_MEMBERSHIP'!R$5:R$27,-1)))))</f>
        <v/>
      </c>
      <c r="AA21" s="34">
        <f>IF($B21="ABSOLUTE SEMANTIC",'19_FEATURE_CONFIDENCE'!$D$29,SQRT((SUMPRODUCT(--('93_TARGET_MEMBERSHIP'!R$5:R$27=1),'92_FEATURE_CONF_NUMERIC'!AB$5:AB$27)/MAX(1,COUNTIF('93_TARGET_MEMBERSHIP'!R$5:R$27,1)))*(SUMPRODUCT(--('93_TARGET_MEMBERSHIP'!R$5:R$27=-1),'92_FEATURE_CONF_NUMERIC'!AB$5:AB$27)/MAX(1,COUNTIF('93_TARGET_MEMBERSHIP'!R$5:R$27,-1)))))</f>
        <v/>
      </c>
      <c r="AB21" s="34">
        <f>IF($B21="ABSOLUTE SEMANTIC",'19_FEATURE_CONFIDENCE'!$D$30,SQRT((SUMPRODUCT(--('93_TARGET_MEMBERSHIP'!R$5:R$27=1),'92_FEATURE_CONF_NUMERIC'!AC$5:AC$27)/MAX(1,COUNTIF('93_TARGET_MEMBERSHIP'!R$5:R$27,1)))*(SUMPRODUCT(--('93_TARGET_MEMBERSHIP'!R$5:R$27=-1),'92_FEATURE_CONF_NUMERIC'!AC$5:AC$27)/MAX(1,COUNTIF('93_TARGET_MEMBERSHIP'!R$5:R$27,-1)))))</f>
        <v/>
      </c>
      <c r="AC21" s="34">
        <f>IF($B21="ABSOLUTE SEMANTIC",'19_FEATURE_CONFIDENCE'!$D$31,SQRT((SUMPRODUCT(--('93_TARGET_MEMBERSHIP'!R$5:R$27=1),'92_FEATURE_CONF_NUMERIC'!AD$5:AD$27)/MAX(1,COUNTIF('93_TARGET_MEMBERSHIP'!R$5:R$27,1)))*(SUMPRODUCT(--('93_TARGET_MEMBERSHIP'!R$5:R$27=-1),'92_FEATURE_CONF_NUMERIC'!AD$5:AD$27)/MAX(1,COUNTIF('93_TARGET_MEMBERSHIP'!R$5:R$27,-1)))))</f>
        <v/>
      </c>
      <c r="AD21" s="34">
        <f>IF($B21="ABSOLUTE SEMANTIC",'19_FEATURE_CONFIDENCE'!$D$32,SQRT((SUMPRODUCT(--('93_TARGET_MEMBERSHIP'!R$5:R$27=1),'92_FEATURE_CONF_NUMERIC'!AE$5:AE$27)/MAX(1,COUNTIF('93_TARGET_MEMBERSHIP'!R$5:R$27,1)))*(SUMPRODUCT(--('93_TARGET_MEMBERSHIP'!R$5:R$27=-1),'92_FEATURE_CONF_NUMERIC'!AE$5:AE$27)/MAX(1,COUNTIF('93_TARGET_MEMBERSHIP'!R$5:R$27,-1)))))</f>
        <v/>
      </c>
      <c r="AE21" s="34">
        <f>IF($B21="ABSOLUTE SEMANTIC",'19_FEATURE_CONFIDENCE'!$D$33,SQRT((SUMPRODUCT(--('93_TARGET_MEMBERSHIP'!R$5:R$27=1),'92_FEATURE_CONF_NUMERIC'!AF$5:AF$27)/MAX(1,COUNTIF('93_TARGET_MEMBERSHIP'!R$5:R$27,1)))*(SUMPRODUCT(--('93_TARGET_MEMBERSHIP'!R$5:R$27=-1),'92_FEATURE_CONF_NUMERIC'!AF$5:AF$27)/MAX(1,COUNTIF('93_TARGET_MEMBERSHIP'!R$5:R$27,-1)))))</f>
        <v/>
      </c>
      <c r="AF21" s="34">
        <f>IF($B21="ABSOLUTE SEMANTIC",'19_FEATURE_CONFIDENCE'!$D$34,SQRT((SUMPRODUCT(--('93_TARGET_MEMBERSHIP'!R$5:R$27=1),'92_FEATURE_CONF_NUMERIC'!AG$5:AG$27)/MAX(1,COUNTIF('93_TARGET_MEMBERSHIP'!R$5:R$27,1)))*(SUMPRODUCT(--('93_TARGET_MEMBERSHIP'!R$5:R$27=-1),'92_FEATURE_CONF_NUMERIC'!AG$5:AG$27)/MAX(1,COUNTIF('93_TARGET_MEMBERSHIP'!R$5:R$27,-1)))))</f>
        <v/>
      </c>
      <c r="AG21" s="34">
        <f>IF($B21="ABSOLUTE SEMANTIC",'19_FEATURE_CONFIDENCE'!$D$35,SQRT((SUMPRODUCT(--('93_TARGET_MEMBERSHIP'!R$5:R$27=1),'92_FEATURE_CONF_NUMERIC'!AH$5:AH$27)/MAX(1,COUNTIF('93_TARGET_MEMBERSHIP'!R$5:R$27,1)))*(SUMPRODUCT(--('93_TARGET_MEMBERSHIP'!R$5:R$27=-1),'92_FEATURE_CONF_NUMERIC'!AH$5:AH$27)/MAX(1,COUNTIF('93_TARGET_MEMBERSHIP'!R$5:R$27,-1)))))</f>
        <v/>
      </c>
      <c r="AH21" s="34">
        <f>IF($B21="ABSOLUTE SEMANTIC",'19_FEATURE_CONFIDENCE'!$D$36,SQRT((SUMPRODUCT(--('93_TARGET_MEMBERSHIP'!R$5:R$27=1),'92_FEATURE_CONF_NUMERIC'!AI$5:AI$27)/MAX(1,COUNTIF('93_TARGET_MEMBERSHIP'!R$5:R$27,1)))*(SUMPRODUCT(--('93_TARGET_MEMBERSHIP'!R$5:R$27=-1),'92_FEATURE_CONF_NUMERIC'!AI$5:AI$27)/MAX(1,COUNTIF('93_TARGET_MEMBERSHIP'!R$5:R$27,-1)))))</f>
        <v/>
      </c>
      <c r="AI21" s="34">
        <f>IF($B21="ABSOLUTE SEMANTIC",'19_FEATURE_CONFIDENCE'!$D$37,SQRT((SUMPRODUCT(--('93_TARGET_MEMBERSHIP'!R$5:R$27=1),'92_FEATURE_CONF_NUMERIC'!AJ$5:AJ$27)/MAX(1,COUNTIF('93_TARGET_MEMBERSHIP'!R$5:R$27,1)))*(SUMPRODUCT(--('93_TARGET_MEMBERSHIP'!R$5:R$27=-1),'92_FEATURE_CONF_NUMERIC'!AJ$5:AJ$27)/MAX(1,COUNTIF('93_TARGET_MEMBERSHIP'!R$5:R$27,-1)))))</f>
        <v/>
      </c>
      <c r="AJ21" s="34">
        <f>IF($B21="ABSOLUTE SEMANTIC",'19_FEATURE_CONFIDENCE'!$D$38,SQRT((SUMPRODUCT(--('93_TARGET_MEMBERSHIP'!R$5:R$27=1),'92_FEATURE_CONF_NUMERIC'!AK$5:AK$27)/MAX(1,COUNTIF('93_TARGET_MEMBERSHIP'!R$5:R$27,1)))*(SUMPRODUCT(--('93_TARGET_MEMBERSHIP'!R$5:R$27=-1),'92_FEATURE_CONF_NUMERIC'!AK$5:AK$27)/MAX(1,COUNTIF('93_TARGET_MEMBERSHIP'!R$5:R$27,-1)))))</f>
        <v/>
      </c>
      <c r="AK21" s="34">
        <f>IF($B21="ABSOLUTE SEMANTIC",'19_FEATURE_CONFIDENCE'!$D$39,SQRT((SUMPRODUCT(--('93_TARGET_MEMBERSHIP'!R$5:R$27=1),'92_FEATURE_CONF_NUMERIC'!AL$5:AL$27)/MAX(1,COUNTIF('93_TARGET_MEMBERSHIP'!R$5:R$27,1)))*(SUMPRODUCT(--('93_TARGET_MEMBERSHIP'!R$5:R$27=-1),'92_FEATURE_CONF_NUMERIC'!AL$5:AL$27)/MAX(1,COUNTIF('93_TARGET_MEMBERSHIP'!R$5:R$27,-1)))))</f>
        <v/>
      </c>
      <c r="AL21" s="34">
        <f>IF($B21="ABSOLUTE SEMANTIC",'19_FEATURE_CONFIDENCE'!$D$40,SQRT((SUMPRODUCT(--('93_TARGET_MEMBERSHIP'!R$5:R$27=1),'92_FEATURE_CONF_NUMERIC'!AM$5:AM$27)/MAX(1,COUNTIF('93_TARGET_MEMBERSHIP'!R$5:R$27,1)))*(SUMPRODUCT(--('93_TARGET_MEMBERSHIP'!R$5:R$27=-1),'92_FEATURE_CONF_NUMERIC'!AM$5:AM$27)/MAX(1,COUNTIF('93_TARGET_MEMBERSHIP'!R$5:R$27,-1)))))</f>
        <v/>
      </c>
      <c r="AM21" s="34">
        <f>IF($B21="ABSOLUTE SEMANTIC",'19_FEATURE_CONFIDENCE'!$D$41,SQRT((SUMPRODUCT(--('93_TARGET_MEMBERSHIP'!R$5:R$27=1),'92_FEATURE_CONF_NUMERIC'!AN$5:AN$27)/MAX(1,COUNTIF('93_TARGET_MEMBERSHIP'!R$5:R$27,1)))*(SUMPRODUCT(--('93_TARGET_MEMBERSHIP'!R$5:R$27=-1),'92_FEATURE_CONF_NUMERIC'!AN$5:AN$27)/MAX(1,COUNTIF('93_TARGET_MEMBERSHIP'!R$5:R$27,-1)))))</f>
        <v/>
      </c>
      <c r="AN21" s="34">
        <f>IF($B21="ABSOLUTE SEMANTIC",'19_FEATURE_CONFIDENCE'!$D$42,SQRT((SUMPRODUCT(--('93_TARGET_MEMBERSHIP'!R$5:R$27=1),'92_FEATURE_CONF_NUMERIC'!AO$5:AO$27)/MAX(1,COUNTIF('93_TARGET_MEMBERSHIP'!R$5:R$27,1)))*(SUMPRODUCT(--('93_TARGET_MEMBERSHIP'!R$5:R$27=-1),'92_FEATURE_CONF_NUMERIC'!AO$5:AO$27)/MAX(1,COUNTIF('93_TARGET_MEMBERSHIP'!R$5:R$27,-1)))))</f>
        <v/>
      </c>
      <c r="AO21" s="34">
        <f>IF($B21="ABSOLUTE SEMANTIC",'19_FEATURE_CONFIDENCE'!$D$43,SQRT((SUMPRODUCT(--('93_TARGET_MEMBERSHIP'!R$5:R$27=1),'92_FEATURE_CONF_NUMERIC'!AP$5:AP$27)/MAX(1,COUNTIF('93_TARGET_MEMBERSHIP'!R$5:R$27,1)))*(SUMPRODUCT(--('93_TARGET_MEMBERSHIP'!R$5:R$27=-1),'92_FEATURE_CONF_NUMERIC'!AP$5:AP$27)/MAX(1,COUNTIF('93_TARGET_MEMBERSHIP'!R$5:R$27,-1)))))</f>
        <v/>
      </c>
      <c r="AP21" s="34">
        <f>IF($B21="ABSOLUTE SEMANTIC",'19_FEATURE_CONFIDENCE'!$D$44,SQRT((SUMPRODUCT(--('93_TARGET_MEMBERSHIP'!R$5:R$27=1),'92_FEATURE_CONF_NUMERIC'!AQ$5:AQ$27)/MAX(1,COUNTIF('93_TARGET_MEMBERSHIP'!R$5:R$27,1)))*(SUMPRODUCT(--('93_TARGET_MEMBERSHIP'!R$5:R$27=-1),'92_FEATURE_CONF_NUMERIC'!AQ$5:AQ$27)/MAX(1,COUNTIF('93_TARGET_MEMBERSHIP'!R$5:R$27,-1)))))</f>
        <v/>
      </c>
      <c r="AQ21" s="34">
        <f>IF($B21="ABSOLUTE SEMANTIC",'19_FEATURE_CONFIDENCE'!$D$45,SQRT((SUMPRODUCT(--('93_TARGET_MEMBERSHIP'!R$5:R$27=1),'92_FEATURE_CONF_NUMERIC'!AR$5:AR$27)/MAX(1,COUNTIF('93_TARGET_MEMBERSHIP'!R$5:R$27,1)))*(SUMPRODUCT(--('93_TARGET_MEMBERSHIP'!R$5:R$27=-1),'92_FEATURE_CONF_NUMERIC'!AR$5:AR$27)/MAX(1,COUNTIF('93_TARGET_MEMBERSHIP'!R$5:R$27,-1)))))</f>
        <v/>
      </c>
    </row>
    <row r="22" ht="36" customHeight="1">
      <c r="A22" s="34">
        <f>'06_ITEM_POLE_MODEL'!A22</f>
        <v/>
      </c>
      <c r="B22" s="34">
        <f>'06_ITEM_POLE_MODEL'!E22</f>
        <v/>
      </c>
      <c r="C22" s="34">
        <f>IF($B22="ABSOLUTE SEMANTIC",'19_FEATURE_CONFIDENCE'!$D$5,SQRT((SUMPRODUCT(--('93_TARGET_MEMBERSHIP'!S$5:S$27=1),'92_FEATURE_CONF_NUMERIC'!D$5:D$27)/MAX(1,COUNTIF('93_TARGET_MEMBERSHIP'!S$5:S$27,1)))*(SUMPRODUCT(--('93_TARGET_MEMBERSHIP'!S$5:S$27=-1),'92_FEATURE_CONF_NUMERIC'!D$5:D$27)/MAX(1,COUNTIF('93_TARGET_MEMBERSHIP'!S$5:S$27,-1)))))</f>
        <v/>
      </c>
      <c r="D22" s="34">
        <f>IF($B22="ABSOLUTE SEMANTIC",'19_FEATURE_CONFIDENCE'!$D$6,SQRT((SUMPRODUCT(--('93_TARGET_MEMBERSHIP'!S$5:S$27=1),'92_FEATURE_CONF_NUMERIC'!E$5:E$27)/MAX(1,COUNTIF('93_TARGET_MEMBERSHIP'!S$5:S$27,1)))*(SUMPRODUCT(--('93_TARGET_MEMBERSHIP'!S$5:S$27=-1),'92_FEATURE_CONF_NUMERIC'!E$5:E$27)/MAX(1,COUNTIF('93_TARGET_MEMBERSHIP'!S$5:S$27,-1)))))</f>
        <v/>
      </c>
      <c r="E22" s="34">
        <f>IF($B22="ABSOLUTE SEMANTIC",'19_FEATURE_CONFIDENCE'!$D$7,SQRT((SUMPRODUCT(--('93_TARGET_MEMBERSHIP'!S$5:S$27=1),'92_FEATURE_CONF_NUMERIC'!F$5:F$27)/MAX(1,COUNTIF('93_TARGET_MEMBERSHIP'!S$5:S$27,1)))*(SUMPRODUCT(--('93_TARGET_MEMBERSHIP'!S$5:S$27=-1),'92_FEATURE_CONF_NUMERIC'!F$5:F$27)/MAX(1,COUNTIF('93_TARGET_MEMBERSHIP'!S$5:S$27,-1)))))</f>
        <v/>
      </c>
      <c r="F22" s="34">
        <f>IF($B22="ABSOLUTE SEMANTIC",'19_FEATURE_CONFIDENCE'!$D$8,SQRT((SUMPRODUCT(--('93_TARGET_MEMBERSHIP'!S$5:S$27=1),'92_FEATURE_CONF_NUMERIC'!G$5:G$27)/MAX(1,COUNTIF('93_TARGET_MEMBERSHIP'!S$5:S$27,1)))*(SUMPRODUCT(--('93_TARGET_MEMBERSHIP'!S$5:S$27=-1),'92_FEATURE_CONF_NUMERIC'!G$5:G$27)/MAX(1,COUNTIF('93_TARGET_MEMBERSHIP'!S$5:S$27,-1)))))</f>
        <v/>
      </c>
      <c r="G22" s="34">
        <f>IF($B22="ABSOLUTE SEMANTIC",'19_FEATURE_CONFIDENCE'!$D$9,SQRT((SUMPRODUCT(--('93_TARGET_MEMBERSHIP'!S$5:S$27=1),'92_FEATURE_CONF_NUMERIC'!H$5:H$27)/MAX(1,COUNTIF('93_TARGET_MEMBERSHIP'!S$5:S$27,1)))*(SUMPRODUCT(--('93_TARGET_MEMBERSHIP'!S$5:S$27=-1),'92_FEATURE_CONF_NUMERIC'!H$5:H$27)/MAX(1,COUNTIF('93_TARGET_MEMBERSHIP'!S$5:S$27,-1)))))</f>
        <v/>
      </c>
      <c r="H22" s="34">
        <f>IF($B22="ABSOLUTE SEMANTIC",'19_FEATURE_CONFIDENCE'!$D$10,SQRT((SUMPRODUCT(--('93_TARGET_MEMBERSHIP'!S$5:S$27=1),'92_FEATURE_CONF_NUMERIC'!I$5:I$27)/MAX(1,COUNTIF('93_TARGET_MEMBERSHIP'!S$5:S$27,1)))*(SUMPRODUCT(--('93_TARGET_MEMBERSHIP'!S$5:S$27=-1),'92_FEATURE_CONF_NUMERIC'!I$5:I$27)/MAX(1,COUNTIF('93_TARGET_MEMBERSHIP'!S$5:S$27,-1)))))</f>
        <v/>
      </c>
      <c r="I22" s="34">
        <f>IF($B22="ABSOLUTE SEMANTIC",'19_FEATURE_CONFIDENCE'!$D$11,SQRT((SUMPRODUCT(--('93_TARGET_MEMBERSHIP'!S$5:S$27=1),'92_FEATURE_CONF_NUMERIC'!J$5:J$27)/MAX(1,COUNTIF('93_TARGET_MEMBERSHIP'!S$5:S$27,1)))*(SUMPRODUCT(--('93_TARGET_MEMBERSHIP'!S$5:S$27=-1),'92_FEATURE_CONF_NUMERIC'!J$5:J$27)/MAX(1,COUNTIF('93_TARGET_MEMBERSHIP'!S$5:S$27,-1)))))</f>
        <v/>
      </c>
      <c r="J22" s="34">
        <f>IF($B22="ABSOLUTE SEMANTIC",'19_FEATURE_CONFIDENCE'!$D$12,SQRT((SUMPRODUCT(--('93_TARGET_MEMBERSHIP'!S$5:S$27=1),'92_FEATURE_CONF_NUMERIC'!K$5:K$27)/MAX(1,COUNTIF('93_TARGET_MEMBERSHIP'!S$5:S$27,1)))*(SUMPRODUCT(--('93_TARGET_MEMBERSHIP'!S$5:S$27=-1),'92_FEATURE_CONF_NUMERIC'!K$5:K$27)/MAX(1,COUNTIF('93_TARGET_MEMBERSHIP'!S$5:S$27,-1)))))</f>
        <v/>
      </c>
      <c r="K22" s="34">
        <f>IF($B22="ABSOLUTE SEMANTIC",'19_FEATURE_CONFIDENCE'!$D$13,SQRT((SUMPRODUCT(--('93_TARGET_MEMBERSHIP'!S$5:S$27=1),'92_FEATURE_CONF_NUMERIC'!L$5:L$27)/MAX(1,COUNTIF('93_TARGET_MEMBERSHIP'!S$5:S$27,1)))*(SUMPRODUCT(--('93_TARGET_MEMBERSHIP'!S$5:S$27=-1),'92_FEATURE_CONF_NUMERIC'!L$5:L$27)/MAX(1,COUNTIF('93_TARGET_MEMBERSHIP'!S$5:S$27,-1)))))</f>
        <v/>
      </c>
      <c r="L22" s="34">
        <f>IF($B22="ABSOLUTE SEMANTIC",'19_FEATURE_CONFIDENCE'!$D$14,SQRT((SUMPRODUCT(--('93_TARGET_MEMBERSHIP'!S$5:S$27=1),'92_FEATURE_CONF_NUMERIC'!M$5:M$27)/MAX(1,COUNTIF('93_TARGET_MEMBERSHIP'!S$5:S$27,1)))*(SUMPRODUCT(--('93_TARGET_MEMBERSHIP'!S$5:S$27=-1),'92_FEATURE_CONF_NUMERIC'!M$5:M$27)/MAX(1,COUNTIF('93_TARGET_MEMBERSHIP'!S$5:S$27,-1)))))</f>
        <v/>
      </c>
      <c r="M22" s="34">
        <f>IF($B22="ABSOLUTE SEMANTIC",'19_FEATURE_CONFIDENCE'!$D$15,SQRT((SUMPRODUCT(--('93_TARGET_MEMBERSHIP'!S$5:S$27=1),'92_FEATURE_CONF_NUMERIC'!N$5:N$27)/MAX(1,COUNTIF('93_TARGET_MEMBERSHIP'!S$5:S$27,1)))*(SUMPRODUCT(--('93_TARGET_MEMBERSHIP'!S$5:S$27=-1),'92_FEATURE_CONF_NUMERIC'!N$5:N$27)/MAX(1,COUNTIF('93_TARGET_MEMBERSHIP'!S$5:S$27,-1)))))</f>
        <v/>
      </c>
      <c r="N22" s="34">
        <f>IF($B22="ABSOLUTE SEMANTIC",'19_FEATURE_CONFIDENCE'!$D$16,SQRT((SUMPRODUCT(--('93_TARGET_MEMBERSHIP'!S$5:S$27=1),'92_FEATURE_CONF_NUMERIC'!O$5:O$27)/MAX(1,COUNTIF('93_TARGET_MEMBERSHIP'!S$5:S$27,1)))*(SUMPRODUCT(--('93_TARGET_MEMBERSHIP'!S$5:S$27=-1),'92_FEATURE_CONF_NUMERIC'!O$5:O$27)/MAX(1,COUNTIF('93_TARGET_MEMBERSHIP'!S$5:S$27,-1)))))</f>
        <v/>
      </c>
      <c r="O22" s="34">
        <f>IF($B22="ABSOLUTE SEMANTIC",'19_FEATURE_CONFIDENCE'!$D$17,SQRT((SUMPRODUCT(--('93_TARGET_MEMBERSHIP'!S$5:S$27=1),'92_FEATURE_CONF_NUMERIC'!P$5:P$27)/MAX(1,COUNTIF('93_TARGET_MEMBERSHIP'!S$5:S$27,1)))*(SUMPRODUCT(--('93_TARGET_MEMBERSHIP'!S$5:S$27=-1),'92_FEATURE_CONF_NUMERIC'!P$5:P$27)/MAX(1,COUNTIF('93_TARGET_MEMBERSHIP'!S$5:S$27,-1)))))</f>
        <v/>
      </c>
      <c r="P22" s="34">
        <f>IF($B22="ABSOLUTE SEMANTIC",'19_FEATURE_CONFIDENCE'!$D$18,SQRT((SUMPRODUCT(--('93_TARGET_MEMBERSHIP'!S$5:S$27=1),'92_FEATURE_CONF_NUMERIC'!Q$5:Q$27)/MAX(1,COUNTIF('93_TARGET_MEMBERSHIP'!S$5:S$27,1)))*(SUMPRODUCT(--('93_TARGET_MEMBERSHIP'!S$5:S$27=-1),'92_FEATURE_CONF_NUMERIC'!Q$5:Q$27)/MAX(1,COUNTIF('93_TARGET_MEMBERSHIP'!S$5:S$27,-1)))))</f>
        <v/>
      </c>
      <c r="Q22" s="34">
        <f>IF($B22="ABSOLUTE SEMANTIC",'19_FEATURE_CONFIDENCE'!$D$19,SQRT((SUMPRODUCT(--('93_TARGET_MEMBERSHIP'!S$5:S$27=1),'92_FEATURE_CONF_NUMERIC'!R$5:R$27)/MAX(1,COUNTIF('93_TARGET_MEMBERSHIP'!S$5:S$27,1)))*(SUMPRODUCT(--('93_TARGET_MEMBERSHIP'!S$5:S$27=-1),'92_FEATURE_CONF_NUMERIC'!R$5:R$27)/MAX(1,COUNTIF('93_TARGET_MEMBERSHIP'!S$5:S$27,-1)))))</f>
        <v/>
      </c>
      <c r="R22" s="34">
        <f>IF($B22="ABSOLUTE SEMANTIC",'19_FEATURE_CONFIDENCE'!$D$20,SQRT((SUMPRODUCT(--('93_TARGET_MEMBERSHIP'!S$5:S$27=1),'92_FEATURE_CONF_NUMERIC'!S$5:S$27)/MAX(1,COUNTIF('93_TARGET_MEMBERSHIP'!S$5:S$27,1)))*(SUMPRODUCT(--('93_TARGET_MEMBERSHIP'!S$5:S$27=-1),'92_FEATURE_CONF_NUMERIC'!S$5:S$27)/MAX(1,COUNTIF('93_TARGET_MEMBERSHIP'!S$5:S$27,-1)))))</f>
        <v/>
      </c>
      <c r="S22" s="34">
        <f>IF($B22="ABSOLUTE SEMANTIC",'19_FEATURE_CONFIDENCE'!$D$21,SQRT((SUMPRODUCT(--('93_TARGET_MEMBERSHIP'!S$5:S$27=1),'92_FEATURE_CONF_NUMERIC'!T$5:T$27)/MAX(1,COUNTIF('93_TARGET_MEMBERSHIP'!S$5:S$27,1)))*(SUMPRODUCT(--('93_TARGET_MEMBERSHIP'!S$5:S$27=-1),'92_FEATURE_CONF_NUMERIC'!T$5:T$27)/MAX(1,COUNTIF('93_TARGET_MEMBERSHIP'!S$5:S$27,-1)))))</f>
        <v/>
      </c>
      <c r="T22" s="34">
        <f>IF($B22="ABSOLUTE SEMANTIC",'19_FEATURE_CONFIDENCE'!$D$22,SQRT((SUMPRODUCT(--('93_TARGET_MEMBERSHIP'!S$5:S$27=1),'92_FEATURE_CONF_NUMERIC'!U$5:U$27)/MAX(1,COUNTIF('93_TARGET_MEMBERSHIP'!S$5:S$27,1)))*(SUMPRODUCT(--('93_TARGET_MEMBERSHIP'!S$5:S$27=-1),'92_FEATURE_CONF_NUMERIC'!U$5:U$27)/MAX(1,COUNTIF('93_TARGET_MEMBERSHIP'!S$5:S$27,-1)))))</f>
        <v/>
      </c>
      <c r="U22" s="34">
        <f>IF($B22="ABSOLUTE SEMANTIC",'19_FEATURE_CONFIDENCE'!$D$23,SQRT((SUMPRODUCT(--('93_TARGET_MEMBERSHIP'!S$5:S$27=1),'92_FEATURE_CONF_NUMERIC'!V$5:V$27)/MAX(1,COUNTIF('93_TARGET_MEMBERSHIP'!S$5:S$27,1)))*(SUMPRODUCT(--('93_TARGET_MEMBERSHIP'!S$5:S$27=-1),'92_FEATURE_CONF_NUMERIC'!V$5:V$27)/MAX(1,COUNTIF('93_TARGET_MEMBERSHIP'!S$5:S$27,-1)))))</f>
        <v/>
      </c>
      <c r="V22" s="34">
        <f>IF($B22="ABSOLUTE SEMANTIC",'19_FEATURE_CONFIDENCE'!$D$24,SQRT((SUMPRODUCT(--('93_TARGET_MEMBERSHIP'!S$5:S$27=1),'92_FEATURE_CONF_NUMERIC'!W$5:W$27)/MAX(1,COUNTIF('93_TARGET_MEMBERSHIP'!S$5:S$27,1)))*(SUMPRODUCT(--('93_TARGET_MEMBERSHIP'!S$5:S$27=-1),'92_FEATURE_CONF_NUMERIC'!W$5:W$27)/MAX(1,COUNTIF('93_TARGET_MEMBERSHIP'!S$5:S$27,-1)))))</f>
        <v/>
      </c>
      <c r="W22" s="34">
        <f>IF($B22="ABSOLUTE SEMANTIC",'19_FEATURE_CONFIDENCE'!$D$25,SQRT((SUMPRODUCT(--('93_TARGET_MEMBERSHIP'!S$5:S$27=1),'92_FEATURE_CONF_NUMERIC'!X$5:X$27)/MAX(1,COUNTIF('93_TARGET_MEMBERSHIP'!S$5:S$27,1)))*(SUMPRODUCT(--('93_TARGET_MEMBERSHIP'!S$5:S$27=-1),'92_FEATURE_CONF_NUMERIC'!X$5:X$27)/MAX(1,COUNTIF('93_TARGET_MEMBERSHIP'!S$5:S$27,-1)))))</f>
        <v/>
      </c>
      <c r="X22" s="34">
        <f>IF($B22="ABSOLUTE SEMANTIC",'19_FEATURE_CONFIDENCE'!$D$26,SQRT((SUMPRODUCT(--('93_TARGET_MEMBERSHIP'!S$5:S$27=1),'92_FEATURE_CONF_NUMERIC'!Y$5:Y$27)/MAX(1,COUNTIF('93_TARGET_MEMBERSHIP'!S$5:S$27,1)))*(SUMPRODUCT(--('93_TARGET_MEMBERSHIP'!S$5:S$27=-1),'92_FEATURE_CONF_NUMERIC'!Y$5:Y$27)/MAX(1,COUNTIF('93_TARGET_MEMBERSHIP'!S$5:S$27,-1)))))</f>
        <v/>
      </c>
      <c r="Y22" s="34">
        <f>IF($B22="ABSOLUTE SEMANTIC",'19_FEATURE_CONFIDENCE'!$D$27,SQRT((SUMPRODUCT(--('93_TARGET_MEMBERSHIP'!S$5:S$27=1),'92_FEATURE_CONF_NUMERIC'!Z$5:Z$27)/MAX(1,COUNTIF('93_TARGET_MEMBERSHIP'!S$5:S$27,1)))*(SUMPRODUCT(--('93_TARGET_MEMBERSHIP'!S$5:S$27=-1),'92_FEATURE_CONF_NUMERIC'!Z$5:Z$27)/MAX(1,COUNTIF('93_TARGET_MEMBERSHIP'!S$5:S$27,-1)))))</f>
        <v/>
      </c>
      <c r="Z22" s="34">
        <f>IF($B22="ABSOLUTE SEMANTIC",'19_FEATURE_CONFIDENCE'!$D$28,SQRT((SUMPRODUCT(--('93_TARGET_MEMBERSHIP'!S$5:S$27=1),'92_FEATURE_CONF_NUMERIC'!AA$5:AA$27)/MAX(1,COUNTIF('93_TARGET_MEMBERSHIP'!S$5:S$27,1)))*(SUMPRODUCT(--('93_TARGET_MEMBERSHIP'!S$5:S$27=-1),'92_FEATURE_CONF_NUMERIC'!AA$5:AA$27)/MAX(1,COUNTIF('93_TARGET_MEMBERSHIP'!S$5:S$27,-1)))))</f>
        <v/>
      </c>
      <c r="AA22" s="34">
        <f>IF($B22="ABSOLUTE SEMANTIC",'19_FEATURE_CONFIDENCE'!$D$29,SQRT((SUMPRODUCT(--('93_TARGET_MEMBERSHIP'!S$5:S$27=1),'92_FEATURE_CONF_NUMERIC'!AB$5:AB$27)/MAX(1,COUNTIF('93_TARGET_MEMBERSHIP'!S$5:S$27,1)))*(SUMPRODUCT(--('93_TARGET_MEMBERSHIP'!S$5:S$27=-1),'92_FEATURE_CONF_NUMERIC'!AB$5:AB$27)/MAX(1,COUNTIF('93_TARGET_MEMBERSHIP'!S$5:S$27,-1)))))</f>
        <v/>
      </c>
      <c r="AB22" s="34">
        <f>IF($B22="ABSOLUTE SEMANTIC",'19_FEATURE_CONFIDENCE'!$D$30,SQRT((SUMPRODUCT(--('93_TARGET_MEMBERSHIP'!S$5:S$27=1),'92_FEATURE_CONF_NUMERIC'!AC$5:AC$27)/MAX(1,COUNTIF('93_TARGET_MEMBERSHIP'!S$5:S$27,1)))*(SUMPRODUCT(--('93_TARGET_MEMBERSHIP'!S$5:S$27=-1),'92_FEATURE_CONF_NUMERIC'!AC$5:AC$27)/MAX(1,COUNTIF('93_TARGET_MEMBERSHIP'!S$5:S$27,-1)))))</f>
        <v/>
      </c>
      <c r="AC22" s="34">
        <f>IF($B22="ABSOLUTE SEMANTIC",'19_FEATURE_CONFIDENCE'!$D$31,SQRT((SUMPRODUCT(--('93_TARGET_MEMBERSHIP'!S$5:S$27=1),'92_FEATURE_CONF_NUMERIC'!AD$5:AD$27)/MAX(1,COUNTIF('93_TARGET_MEMBERSHIP'!S$5:S$27,1)))*(SUMPRODUCT(--('93_TARGET_MEMBERSHIP'!S$5:S$27=-1),'92_FEATURE_CONF_NUMERIC'!AD$5:AD$27)/MAX(1,COUNTIF('93_TARGET_MEMBERSHIP'!S$5:S$27,-1)))))</f>
        <v/>
      </c>
      <c r="AD22" s="34">
        <f>IF($B22="ABSOLUTE SEMANTIC",'19_FEATURE_CONFIDENCE'!$D$32,SQRT((SUMPRODUCT(--('93_TARGET_MEMBERSHIP'!S$5:S$27=1),'92_FEATURE_CONF_NUMERIC'!AE$5:AE$27)/MAX(1,COUNTIF('93_TARGET_MEMBERSHIP'!S$5:S$27,1)))*(SUMPRODUCT(--('93_TARGET_MEMBERSHIP'!S$5:S$27=-1),'92_FEATURE_CONF_NUMERIC'!AE$5:AE$27)/MAX(1,COUNTIF('93_TARGET_MEMBERSHIP'!S$5:S$27,-1)))))</f>
        <v/>
      </c>
      <c r="AE22" s="34">
        <f>IF($B22="ABSOLUTE SEMANTIC",'19_FEATURE_CONFIDENCE'!$D$33,SQRT((SUMPRODUCT(--('93_TARGET_MEMBERSHIP'!S$5:S$27=1),'92_FEATURE_CONF_NUMERIC'!AF$5:AF$27)/MAX(1,COUNTIF('93_TARGET_MEMBERSHIP'!S$5:S$27,1)))*(SUMPRODUCT(--('93_TARGET_MEMBERSHIP'!S$5:S$27=-1),'92_FEATURE_CONF_NUMERIC'!AF$5:AF$27)/MAX(1,COUNTIF('93_TARGET_MEMBERSHIP'!S$5:S$27,-1)))))</f>
        <v/>
      </c>
      <c r="AF22" s="34">
        <f>IF($B22="ABSOLUTE SEMANTIC",'19_FEATURE_CONFIDENCE'!$D$34,SQRT((SUMPRODUCT(--('93_TARGET_MEMBERSHIP'!S$5:S$27=1),'92_FEATURE_CONF_NUMERIC'!AG$5:AG$27)/MAX(1,COUNTIF('93_TARGET_MEMBERSHIP'!S$5:S$27,1)))*(SUMPRODUCT(--('93_TARGET_MEMBERSHIP'!S$5:S$27=-1),'92_FEATURE_CONF_NUMERIC'!AG$5:AG$27)/MAX(1,COUNTIF('93_TARGET_MEMBERSHIP'!S$5:S$27,-1)))))</f>
        <v/>
      </c>
      <c r="AG22" s="34">
        <f>IF($B22="ABSOLUTE SEMANTIC",'19_FEATURE_CONFIDENCE'!$D$35,SQRT((SUMPRODUCT(--('93_TARGET_MEMBERSHIP'!S$5:S$27=1),'92_FEATURE_CONF_NUMERIC'!AH$5:AH$27)/MAX(1,COUNTIF('93_TARGET_MEMBERSHIP'!S$5:S$27,1)))*(SUMPRODUCT(--('93_TARGET_MEMBERSHIP'!S$5:S$27=-1),'92_FEATURE_CONF_NUMERIC'!AH$5:AH$27)/MAX(1,COUNTIF('93_TARGET_MEMBERSHIP'!S$5:S$27,-1)))))</f>
        <v/>
      </c>
      <c r="AH22" s="34">
        <f>IF($B22="ABSOLUTE SEMANTIC",'19_FEATURE_CONFIDENCE'!$D$36,SQRT((SUMPRODUCT(--('93_TARGET_MEMBERSHIP'!S$5:S$27=1),'92_FEATURE_CONF_NUMERIC'!AI$5:AI$27)/MAX(1,COUNTIF('93_TARGET_MEMBERSHIP'!S$5:S$27,1)))*(SUMPRODUCT(--('93_TARGET_MEMBERSHIP'!S$5:S$27=-1),'92_FEATURE_CONF_NUMERIC'!AI$5:AI$27)/MAX(1,COUNTIF('93_TARGET_MEMBERSHIP'!S$5:S$27,-1)))))</f>
        <v/>
      </c>
      <c r="AI22" s="34">
        <f>IF($B22="ABSOLUTE SEMANTIC",'19_FEATURE_CONFIDENCE'!$D$37,SQRT((SUMPRODUCT(--('93_TARGET_MEMBERSHIP'!S$5:S$27=1),'92_FEATURE_CONF_NUMERIC'!AJ$5:AJ$27)/MAX(1,COUNTIF('93_TARGET_MEMBERSHIP'!S$5:S$27,1)))*(SUMPRODUCT(--('93_TARGET_MEMBERSHIP'!S$5:S$27=-1),'92_FEATURE_CONF_NUMERIC'!AJ$5:AJ$27)/MAX(1,COUNTIF('93_TARGET_MEMBERSHIP'!S$5:S$27,-1)))))</f>
        <v/>
      </c>
      <c r="AJ22" s="34">
        <f>IF($B22="ABSOLUTE SEMANTIC",'19_FEATURE_CONFIDENCE'!$D$38,SQRT((SUMPRODUCT(--('93_TARGET_MEMBERSHIP'!S$5:S$27=1),'92_FEATURE_CONF_NUMERIC'!AK$5:AK$27)/MAX(1,COUNTIF('93_TARGET_MEMBERSHIP'!S$5:S$27,1)))*(SUMPRODUCT(--('93_TARGET_MEMBERSHIP'!S$5:S$27=-1),'92_FEATURE_CONF_NUMERIC'!AK$5:AK$27)/MAX(1,COUNTIF('93_TARGET_MEMBERSHIP'!S$5:S$27,-1)))))</f>
        <v/>
      </c>
      <c r="AK22" s="34">
        <f>IF($B22="ABSOLUTE SEMANTIC",'19_FEATURE_CONFIDENCE'!$D$39,SQRT((SUMPRODUCT(--('93_TARGET_MEMBERSHIP'!S$5:S$27=1),'92_FEATURE_CONF_NUMERIC'!AL$5:AL$27)/MAX(1,COUNTIF('93_TARGET_MEMBERSHIP'!S$5:S$27,1)))*(SUMPRODUCT(--('93_TARGET_MEMBERSHIP'!S$5:S$27=-1),'92_FEATURE_CONF_NUMERIC'!AL$5:AL$27)/MAX(1,COUNTIF('93_TARGET_MEMBERSHIP'!S$5:S$27,-1)))))</f>
        <v/>
      </c>
      <c r="AL22" s="34">
        <f>IF($B22="ABSOLUTE SEMANTIC",'19_FEATURE_CONFIDENCE'!$D$40,SQRT((SUMPRODUCT(--('93_TARGET_MEMBERSHIP'!S$5:S$27=1),'92_FEATURE_CONF_NUMERIC'!AM$5:AM$27)/MAX(1,COUNTIF('93_TARGET_MEMBERSHIP'!S$5:S$27,1)))*(SUMPRODUCT(--('93_TARGET_MEMBERSHIP'!S$5:S$27=-1),'92_FEATURE_CONF_NUMERIC'!AM$5:AM$27)/MAX(1,COUNTIF('93_TARGET_MEMBERSHIP'!S$5:S$27,-1)))))</f>
        <v/>
      </c>
      <c r="AM22" s="34">
        <f>IF($B22="ABSOLUTE SEMANTIC",'19_FEATURE_CONFIDENCE'!$D$41,SQRT((SUMPRODUCT(--('93_TARGET_MEMBERSHIP'!S$5:S$27=1),'92_FEATURE_CONF_NUMERIC'!AN$5:AN$27)/MAX(1,COUNTIF('93_TARGET_MEMBERSHIP'!S$5:S$27,1)))*(SUMPRODUCT(--('93_TARGET_MEMBERSHIP'!S$5:S$27=-1),'92_FEATURE_CONF_NUMERIC'!AN$5:AN$27)/MAX(1,COUNTIF('93_TARGET_MEMBERSHIP'!S$5:S$27,-1)))))</f>
        <v/>
      </c>
      <c r="AN22" s="34">
        <f>IF($B22="ABSOLUTE SEMANTIC",'19_FEATURE_CONFIDENCE'!$D$42,SQRT((SUMPRODUCT(--('93_TARGET_MEMBERSHIP'!S$5:S$27=1),'92_FEATURE_CONF_NUMERIC'!AO$5:AO$27)/MAX(1,COUNTIF('93_TARGET_MEMBERSHIP'!S$5:S$27,1)))*(SUMPRODUCT(--('93_TARGET_MEMBERSHIP'!S$5:S$27=-1),'92_FEATURE_CONF_NUMERIC'!AO$5:AO$27)/MAX(1,COUNTIF('93_TARGET_MEMBERSHIP'!S$5:S$27,-1)))))</f>
        <v/>
      </c>
      <c r="AO22" s="34">
        <f>IF($B22="ABSOLUTE SEMANTIC",'19_FEATURE_CONFIDENCE'!$D$43,SQRT((SUMPRODUCT(--('93_TARGET_MEMBERSHIP'!S$5:S$27=1),'92_FEATURE_CONF_NUMERIC'!AP$5:AP$27)/MAX(1,COUNTIF('93_TARGET_MEMBERSHIP'!S$5:S$27,1)))*(SUMPRODUCT(--('93_TARGET_MEMBERSHIP'!S$5:S$27=-1),'92_FEATURE_CONF_NUMERIC'!AP$5:AP$27)/MAX(1,COUNTIF('93_TARGET_MEMBERSHIP'!S$5:S$27,-1)))))</f>
        <v/>
      </c>
      <c r="AP22" s="34">
        <f>IF($B22="ABSOLUTE SEMANTIC",'19_FEATURE_CONFIDENCE'!$D$44,SQRT((SUMPRODUCT(--('93_TARGET_MEMBERSHIP'!S$5:S$27=1),'92_FEATURE_CONF_NUMERIC'!AQ$5:AQ$27)/MAX(1,COUNTIF('93_TARGET_MEMBERSHIP'!S$5:S$27,1)))*(SUMPRODUCT(--('93_TARGET_MEMBERSHIP'!S$5:S$27=-1),'92_FEATURE_CONF_NUMERIC'!AQ$5:AQ$27)/MAX(1,COUNTIF('93_TARGET_MEMBERSHIP'!S$5:S$27,-1)))))</f>
        <v/>
      </c>
      <c r="AQ22" s="34">
        <f>IF($B22="ABSOLUTE SEMANTIC",'19_FEATURE_CONFIDENCE'!$D$45,SQRT((SUMPRODUCT(--('93_TARGET_MEMBERSHIP'!S$5:S$27=1),'92_FEATURE_CONF_NUMERIC'!AR$5:AR$27)/MAX(1,COUNTIF('93_TARGET_MEMBERSHIP'!S$5:S$27,1)))*(SUMPRODUCT(--('93_TARGET_MEMBERSHIP'!S$5:S$27=-1),'92_FEATURE_CONF_NUMERIC'!AR$5:AR$27)/MAX(1,COUNTIF('93_TARGET_MEMBERSHIP'!S$5:S$27,-1)))))</f>
        <v/>
      </c>
    </row>
    <row r="23" ht="36" customHeight="1">
      <c r="A23" s="34">
        <f>'06_ITEM_POLE_MODEL'!A23</f>
        <v/>
      </c>
      <c r="B23" s="34">
        <f>'06_ITEM_POLE_MODEL'!E23</f>
        <v/>
      </c>
      <c r="C23" s="34">
        <f>IF($B23="ABSOLUTE SEMANTIC",'19_FEATURE_CONFIDENCE'!$D$5,SQRT((SUMPRODUCT(--('93_TARGET_MEMBERSHIP'!T$5:T$27=1),'92_FEATURE_CONF_NUMERIC'!D$5:D$27)/MAX(1,COUNTIF('93_TARGET_MEMBERSHIP'!T$5:T$27,1)))*(SUMPRODUCT(--('93_TARGET_MEMBERSHIP'!T$5:T$27=-1),'92_FEATURE_CONF_NUMERIC'!D$5:D$27)/MAX(1,COUNTIF('93_TARGET_MEMBERSHIP'!T$5:T$27,-1)))))</f>
        <v/>
      </c>
      <c r="D23" s="34">
        <f>IF($B23="ABSOLUTE SEMANTIC",'19_FEATURE_CONFIDENCE'!$D$6,SQRT((SUMPRODUCT(--('93_TARGET_MEMBERSHIP'!T$5:T$27=1),'92_FEATURE_CONF_NUMERIC'!E$5:E$27)/MAX(1,COUNTIF('93_TARGET_MEMBERSHIP'!T$5:T$27,1)))*(SUMPRODUCT(--('93_TARGET_MEMBERSHIP'!T$5:T$27=-1),'92_FEATURE_CONF_NUMERIC'!E$5:E$27)/MAX(1,COUNTIF('93_TARGET_MEMBERSHIP'!T$5:T$27,-1)))))</f>
        <v/>
      </c>
      <c r="E23" s="34">
        <f>IF($B23="ABSOLUTE SEMANTIC",'19_FEATURE_CONFIDENCE'!$D$7,SQRT((SUMPRODUCT(--('93_TARGET_MEMBERSHIP'!T$5:T$27=1),'92_FEATURE_CONF_NUMERIC'!F$5:F$27)/MAX(1,COUNTIF('93_TARGET_MEMBERSHIP'!T$5:T$27,1)))*(SUMPRODUCT(--('93_TARGET_MEMBERSHIP'!T$5:T$27=-1),'92_FEATURE_CONF_NUMERIC'!F$5:F$27)/MAX(1,COUNTIF('93_TARGET_MEMBERSHIP'!T$5:T$27,-1)))))</f>
        <v/>
      </c>
      <c r="F23" s="34">
        <f>IF($B23="ABSOLUTE SEMANTIC",'19_FEATURE_CONFIDENCE'!$D$8,SQRT((SUMPRODUCT(--('93_TARGET_MEMBERSHIP'!T$5:T$27=1),'92_FEATURE_CONF_NUMERIC'!G$5:G$27)/MAX(1,COUNTIF('93_TARGET_MEMBERSHIP'!T$5:T$27,1)))*(SUMPRODUCT(--('93_TARGET_MEMBERSHIP'!T$5:T$27=-1),'92_FEATURE_CONF_NUMERIC'!G$5:G$27)/MAX(1,COUNTIF('93_TARGET_MEMBERSHIP'!T$5:T$27,-1)))))</f>
        <v/>
      </c>
      <c r="G23" s="34">
        <f>IF($B23="ABSOLUTE SEMANTIC",'19_FEATURE_CONFIDENCE'!$D$9,SQRT((SUMPRODUCT(--('93_TARGET_MEMBERSHIP'!T$5:T$27=1),'92_FEATURE_CONF_NUMERIC'!H$5:H$27)/MAX(1,COUNTIF('93_TARGET_MEMBERSHIP'!T$5:T$27,1)))*(SUMPRODUCT(--('93_TARGET_MEMBERSHIP'!T$5:T$27=-1),'92_FEATURE_CONF_NUMERIC'!H$5:H$27)/MAX(1,COUNTIF('93_TARGET_MEMBERSHIP'!T$5:T$27,-1)))))</f>
        <v/>
      </c>
      <c r="H23" s="34">
        <f>IF($B23="ABSOLUTE SEMANTIC",'19_FEATURE_CONFIDENCE'!$D$10,SQRT((SUMPRODUCT(--('93_TARGET_MEMBERSHIP'!T$5:T$27=1),'92_FEATURE_CONF_NUMERIC'!I$5:I$27)/MAX(1,COUNTIF('93_TARGET_MEMBERSHIP'!T$5:T$27,1)))*(SUMPRODUCT(--('93_TARGET_MEMBERSHIP'!T$5:T$27=-1),'92_FEATURE_CONF_NUMERIC'!I$5:I$27)/MAX(1,COUNTIF('93_TARGET_MEMBERSHIP'!T$5:T$27,-1)))))</f>
        <v/>
      </c>
      <c r="I23" s="34">
        <f>IF($B23="ABSOLUTE SEMANTIC",'19_FEATURE_CONFIDENCE'!$D$11,SQRT((SUMPRODUCT(--('93_TARGET_MEMBERSHIP'!T$5:T$27=1),'92_FEATURE_CONF_NUMERIC'!J$5:J$27)/MAX(1,COUNTIF('93_TARGET_MEMBERSHIP'!T$5:T$27,1)))*(SUMPRODUCT(--('93_TARGET_MEMBERSHIP'!T$5:T$27=-1),'92_FEATURE_CONF_NUMERIC'!J$5:J$27)/MAX(1,COUNTIF('93_TARGET_MEMBERSHIP'!T$5:T$27,-1)))))</f>
        <v/>
      </c>
      <c r="J23" s="34">
        <f>IF($B23="ABSOLUTE SEMANTIC",'19_FEATURE_CONFIDENCE'!$D$12,SQRT((SUMPRODUCT(--('93_TARGET_MEMBERSHIP'!T$5:T$27=1),'92_FEATURE_CONF_NUMERIC'!K$5:K$27)/MAX(1,COUNTIF('93_TARGET_MEMBERSHIP'!T$5:T$27,1)))*(SUMPRODUCT(--('93_TARGET_MEMBERSHIP'!T$5:T$27=-1),'92_FEATURE_CONF_NUMERIC'!K$5:K$27)/MAX(1,COUNTIF('93_TARGET_MEMBERSHIP'!T$5:T$27,-1)))))</f>
        <v/>
      </c>
      <c r="K23" s="34">
        <f>IF($B23="ABSOLUTE SEMANTIC",'19_FEATURE_CONFIDENCE'!$D$13,SQRT((SUMPRODUCT(--('93_TARGET_MEMBERSHIP'!T$5:T$27=1),'92_FEATURE_CONF_NUMERIC'!L$5:L$27)/MAX(1,COUNTIF('93_TARGET_MEMBERSHIP'!T$5:T$27,1)))*(SUMPRODUCT(--('93_TARGET_MEMBERSHIP'!T$5:T$27=-1),'92_FEATURE_CONF_NUMERIC'!L$5:L$27)/MAX(1,COUNTIF('93_TARGET_MEMBERSHIP'!T$5:T$27,-1)))))</f>
        <v/>
      </c>
      <c r="L23" s="34">
        <f>IF($B23="ABSOLUTE SEMANTIC",'19_FEATURE_CONFIDENCE'!$D$14,SQRT((SUMPRODUCT(--('93_TARGET_MEMBERSHIP'!T$5:T$27=1),'92_FEATURE_CONF_NUMERIC'!M$5:M$27)/MAX(1,COUNTIF('93_TARGET_MEMBERSHIP'!T$5:T$27,1)))*(SUMPRODUCT(--('93_TARGET_MEMBERSHIP'!T$5:T$27=-1),'92_FEATURE_CONF_NUMERIC'!M$5:M$27)/MAX(1,COUNTIF('93_TARGET_MEMBERSHIP'!T$5:T$27,-1)))))</f>
        <v/>
      </c>
      <c r="M23" s="34">
        <f>IF($B23="ABSOLUTE SEMANTIC",'19_FEATURE_CONFIDENCE'!$D$15,SQRT((SUMPRODUCT(--('93_TARGET_MEMBERSHIP'!T$5:T$27=1),'92_FEATURE_CONF_NUMERIC'!N$5:N$27)/MAX(1,COUNTIF('93_TARGET_MEMBERSHIP'!T$5:T$27,1)))*(SUMPRODUCT(--('93_TARGET_MEMBERSHIP'!T$5:T$27=-1),'92_FEATURE_CONF_NUMERIC'!N$5:N$27)/MAX(1,COUNTIF('93_TARGET_MEMBERSHIP'!T$5:T$27,-1)))))</f>
        <v/>
      </c>
      <c r="N23" s="34">
        <f>IF($B23="ABSOLUTE SEMANTIC",'19_FEATURE_CONFIDENCE'!$D$16,SQRT((SUMPRODUCT(--('93_TARGET_MEMBERSHIP'!T$5:T$27=1),'92_FEATURE_CONF_NUMERIC'!O$5:O$27)/MAX(1,COUNTIF('93_TARGET_MEMBERSHIP'!T$5:T$27,1)))*(SUMPRODUCT(--('93_TARGET_MEMBERSHIP'!T$5:T$27=-1),'92_FEATURE_CONF_NUMERIC'!O$5:O$27)/MAX(1,COUNTIF('93_TARGET_MEMBERSHIP'!T$5:T$27,-1)))))</f>
        <v/>
      </c>
      <c r="O23" s="34">
        <f>IF($B23="ABSOLUTE SEMANTIC",'19_FEATURE_CONFIDENCE'!$D$17,SQRT((SUMPRODUCT(--('93_TARGET_MEMBERSHIP'!T$5:T$27=1),'92_FEATURE_CONF_NUMERIC'!P$5:P$27)/MAX(1,COUNTIF('93_TARGET_MEMBERSHIP'!T$5:T$27,1)))*(SUMPRODUCT(--('93_TARGET_MEMBERSHIP'!T$5:T$27=-1),'92_FEATURE_CONF_NUMERIC'!P$5:P$27)/MAX(1,COUNTIF('93_TARGET_MEMBERSHIP'!T$5:T$27,-1)))))</f>
        <v/>
      </c>
      <c r="P23" s="34">
        <f>IF($B23="ABSOLUTE SEMANTIC",'19_FEATURE_CONFIDENCE'!$D$18,SQRT((SUMPRODUCT(--('93_TARGET_MEMBERSHIP'!T$5:T$27=1),'92_FEATURE_CONF_NUMERIC'!Q$5:Q$27)/MAX(1,COUNTIF('93_TARGET_MEMBERSHIP'!T$5:T$27,1)))*(SUMPRODUCT(--('93_TARGET_MEMBERSHIP'!T$5:T$27=-1),'92_FEATURE_CONF_NUMERIC'!Q$5:Q$27)/MAX(1,COUNTIF('93_TARGET_MEMBERSHIP'!T$5:T$27,-1)))))</f>
        <v/>
      </c>
      <c r="Q23" s="34">
        <f>IF($B23="ABSOLUTE SEMANTIC",'19_FEATURE_CONFIDENCE'!$D$19,SQRT((SUMPRODUCT(--('93_TARGET_MEMBERSHIP'!T$5:T$27=1),'92_FEATURE_CONF_NUMERIC'!R$5:R$27)/MAX(1,COUNTIF('93_TARGET_MEMBERSHIP'!T$5:T$27,1)))*(SUMPRODUCT(--('93_TARGET_MEMBERSHIP'!T$5:T$27=-1),'92_FEATURE_CONF_NUMERIC'!R$5:R$27)/MAX(1,COUNTIF('93_TARGET_MEMBERSHIP'!T$5:T$27,-1)))))</f>
        <v/>
      </c>
      <c r="R23" s="34">
        <f>IF($B23="ABSOLUTE SEMANTIC",'19_FEATURE_CONFIDENCE'!$D$20,SQRT((SUMPRODUCT(--('93_TARGET_MEMBERSHIP'!T$5:T$27=1),'92_FEATURE_CONF_NUMERIC'!S$5:S$27)/MAX(1,COUNTIF('93_TARGET_MEMBERSHIP'!T$5:T$27,1)))*(SUMPRODUCT(--('93_TARGET_MEMBERSHIP'!T$5:T$27=-1),'92_FEATURE_CONF_NUMERIC'!S$5:S$27)/MAX(1,COUNTIF('93_TARGET_MEMBERSHIP'!T$5:T$27,-1)))))</f>
        <v/>
      </c>
      <c r="S23" s="34">
        <f>IF($B23="ABSOLUTE SEMANTIC",'19_FEATURE_CONFIDENCE'!$D$21,SQRT((SUMPRODUCT(--('93_TARGET_MEMBERSHIP'!T$5:T$27=1),'92_FEATURE_CONF_NUMERIC'!T$5:T$27)/MAX(1,COUNTIF('93_TARGET_MEMBERSHIP'!T$5:T$27,1)))*(SUMPRODUCT(--('93_TARGET_MEMBERSHIP'!T$5:T$27=-1),'92_FEATURE_CONF_NUMERIC'!T$5:T$27)/MAX(1,COUNTIF('93_TARGET_MEMBERSHIP'!T$5:T$27,-1)))))</f>
        <v/>
      </c>
      <c r="T23" s="34">
        <f>IF($B23="ABSOLUTE SEMANTIC",'19_FEATURE_CONFIDENCE'!$D$22,SQRT((SUMPRODUCT(--('93_TARGET_MEMBERSHIP'!T$5:T$27=1),'92_FEATURE_CONF_NUMERIC'!U$5:U$27)/MAX(1,COUNTIF('93_TARGET_MEMBERSHIP'!T$5:T$27,1)))*(SUMPRODUCT(--('93_TARGET_MEMBERSHIP'!T$5:T$27=-1),'92_FEATURE_CONF_NUMERIC'!U$5:U$27)/MAX(1,COUNTIF('93_TARGET_MEMBERSHIP'!T$5:T$27,-1)))))</f>
        <v/>
      </c>
      <c r="U23" s="34">
        <f>IF($B23="ABSOLUTE SEMANTIC",'19_FEATURE_CONFIDENCE'!$D$23,SQRT((SUMPRODUCT(--('93_TARGET_MEMBERSHIP'!T$5:T$27=1),'92_FEATURE_CONF_NUMERIC'!V$5:V$27)/MAX(1,COUNTIF('93_TARGET_MEMBERSHIP'!T$5:T$27,1)))*(SUMPRODUCT(--('93_TARGET_MEMBERSHIP'!T$5:T$27=-1),'92_FEATURE_CONF_NUMERIC'!V$5:V$27)/MAX(1,COUNTIF('93_TARGET_MEMBERSHIP'!T$5:T$27,-1)))))</f>
        <v/>
      </c>
      <c r="V23" s="34">
        <f>IF($B23="ABSOLUTE SEMANTIC",'19_FEATURE_CONFIDENCE'!$D$24,SQRT((SUMPRODUCT(--('93_TARGET_MEMBERSHIP'!T$5:T$27=1),'92_FEATURE_CONF_NUMERIC'!W$5:W$27)/MAX(1,COUNTIF('93_TARGET_MEMBERSHIP'!T$5:T$27,1)))*(SUMPRODUCT(--('93_TARGET_MEMBERSHIP'!T$5:T$27=-1),'92_FEATURE_CONF_NUMERIC'!W$5:W$27)/MAX(1,COUNTIF('93_TARGET_MEMBERSHIP'!T$5:T$27,-1)))))</f>
        <v/>
      </c>
      <c r="W23" s="34">
        <f>IF($B23="ABSOLUTE SEMANTIC",'19_FEATURE_CONFIDENCE'!$D$25,SQRT((SUMPRODUCT(--('93_TARGET_MEMBERSHIP'!T$5:T$27=1),'92_FEATURE_CONF_NUMERIC'!X$5:X$27)/MAX(1,COUNTIF('93_TARGET_MEMBERSHIP'!T$5:T$27,1)))*(SUMPRODUCT(--('93_TARGET_MEMBERSHIP'!T$5:T$27=-1),'92_FEATURE_CONF_NUMERIC'!X$5:X$27)/MAX(1,COUNTIF('93_TARGET_MEMBERSHIP'!T$5:T$27,-1)))))</f>
        <v/>
      </c>
      <c r="X23" s="34">
        <f>IF($B23="ABSOLUTE SEMANTIC",'19_FEATURE_CONFIDENCE'!$D$26,SQRT((SUMPRODUCT(--('93_TARGET_MEMBERSHIP'!T$5:T$27=1),'92_FEATURE_CONF_NUMERIC'!Y$5:Y$27)/MAX(1,COUNTIF('93_TARGET_MEMBERSHIP'!T$5:T$27,1)))*(SUMPRODUCT(--('93_TARGET_MEMBERSHIP'!T$5:T$27=-1),'92_FEATURE_CONF_NUMERIC'!Y$5:Y$27)/MAX(1,COUNTIF('93_TARGET_MEMBERSHIP'!T$5:T$27,-1)))))</f>
        <v/>
      </c>
      <c r="Y23" s="34">
        <f>IF($B23="ABSOLUTE SEMANTIC",'19_FEATURE_CONFIDENCE'!$D$27,SQRT((SUMPRODUCT(--('93_TARGET_MEMBERSHIP'!T$5:T$27=1),'92_FEATURE_CONF_NUMERIC'!Z$5:Z$27)/MAX(1,COUNTIF('93_TARGET_MEMBERSHIP'!T$5:T$27,1)))*(SUMPRODUCT(--('93_TARGET_MEMBERSHIP'!T$5:T$27=-1),'92_FEATURE_CONF_NUMERIC'!Z$5:Z$27)/MAX(1,COUNTIF('93_TARGET_MEMBERSHIP'!T$5:T$27,-1)))))</f>
        <v/>
      </c>
      <c r="Z23" s="34">
        <f>IF($B23="ABSOLUTE SEMANTIC",'19_FEATURE_CONFIDENCE'!$D$28,SQRT((SUMPRODUCT(--('93_TARGET_MEMBERSHIP'!T$5:T$27=1),'92_FEATURE_CONF_NUMERIC'!AA$5:AA$27)/MAX(1,COUNTIF('93_TARGET_MEMBERSHIP'!T$5:T$27,1)))*(SUMPRODUCT(--('93_TARGET_MEMBERSHIP'!T$5:T$27=-1),'92_FEATURE_CONF_NUMERIC'!AA$5:AA$27)/MAX(1,COUNTIF('93_TARGET_MEMBERSHIP'!T$5:T$27,-1)))))</f>
        <v/>
      </c>
      <c r="AA23" s="34">
        <f>IF($B23="ABSOLUTE SEMANTIC",'19_FEATURE_CONFIDENCE'!$D$29,SQRT((SUMPRODUCT(--('93_TARGET_MEMBERSHIP'!T$5:T$27=1),'92_FEATURE_CONF_NUMERIC'!AB$5:AB$27)/MAX(1,COUNTIF('93_TARGET_MEMBERSHIP'!T$5:T$27,1)))*(SUMPRODUCT(--('93_TARGET_MEMBERSHIP'!T$5:T$27=-1),'92_FEATURE_CONF_NUMERIC'!AB$5:AB$27)/MAX(1,COUNTIF('93_TARGET_MEMBERSHIP'!T$5:T$27,-1)))))</f>
        <v/>
      </c>
      <c r="AB23" s="34">
        <f>IF($B23="ABSOLUTE SEMANTIC",'19_FEATURE_CONFIDENCE'!$D$30,SQRT((SUMPRODUCT(--('93_TARGET_MEMBERSHIP'!T$5:T$27=1),'92_FEATURE_CONF_NUMERIC'!AC$5:AC$27)/MAX(1,COUNTIF('93_TARGET_MEMBERSHIP'!T$5:T$27,1)))*(SUMPRODUCT(--('93_TARGET_MEMBERSHIP'!T$5:T$27=-1),'92_FEATURE_CONF_NUMERIC'!AC$5:AC$27)/MAX(1,COUNTIF('93_TARGET_MEMBERSHIP'!T$5:T$27,-1)))))</f>
        <v/>
      </c>
      <c r="AC23" s="34">
        <f>IF($B23="ABSOLUTE SEMANTIC",'19_FEATURE_CONFIDENCE'!$D$31,SQRT((SUMPRODUCT(--('93_TARGET_MEMBERSHIP'!T$5:T$27=1),'92_FEATURE_CONF_NUMERIC'!AD$5:AD$27)/MAX(1,COUNTIF('93_TARGET_MEMBERSHIP'!T$5:T$27,1)))*(SUMPRODUCT(--('93_TARGET_MEMBERSHIP'!T$5:T$27=-1),'92_FEATURE_CONF_NUMERIC'!AD$5:AD$27)/MAX(1,COUNTIF('93_TARGET_MEMBERSHIP'!T$5:T$27,-1)))))</f>
        <v/>
      </c>
      <c r="AD23" s="34">
        <f>IF($B23="ABSOLUTE SEMANTIC",'19_FEATURE_CONFIDENCE'!$D$32,SQRT((SUMPRODUCT(--('93_TARGET_MEMBERSHIP'!T$5:T$27=1),'92_FEATURE_CONF_NUMERIC'!AE$5:AE$27)/MAX(1,COUNTIF('93_TARGET_MEMBERSHIP'!T$5:T$27,1)))*(SUMPRODUCT(--('93_TARGET_MEMBERSHIP'!T$5:T$27=-1),'92_FEATURE_CONF_NUMERIC'!AE$5:AE$27)/MAX(1,COUNTIF('93_TARGET_MEMBERSHIP'!T$5:T$27,-1)))))</f>
        <v/>
      </c>
      <c r="AE23" s="34">
        <f>IF($B23="ABSOLUTE SEMANTIC",'19_FEATURE_CONFIDENCE'!$D$33,SQRT((SUMPRODUCT(--('93_TARGET_MEMBERSHIP'!T$5:T$27=1),'92_FEATURE_CONF_NUMERIC'!AF$5:AF$27)/MAX(1,COUNTIF('93_TARGET_MEMBERSHIP'!T$5:T$27,1)))*(SUMPRODUCT(--('93_TARGET_MEMBERSHIP'!T$5:T$27=-1),'92_FEATURE_CONF_NUMERIC'!AF$5:AF$27)/MAX(1,COUNTIF('93_TARGET_MEMBERSHIP'!T$5:T$27,-1)))))</f>
        <v/>
      </c>
      <c r="AF23" s="34">
        <f>IF($B23="ABSOLUTE SEMANTIC",'19_FEATURE_CONFIDENCE'!$D$34,SQRT((SUMPRODUCT(--('93_TARGET_MEMBERSHIP'!T$5:T$27=1),'92_FEATURE_CONF_NUMERIC'!AG$5:AG$27)/MAX(1,COUNTIF('93_TARGET_MEMBERSHIP'!T$5:T$27,1)))*(SUMPRODUCT(--('93_TARGET_MEMBERSHIP'!T$5:T$27=-1),'92_FEATURE_CONF_NUMERIC'!AG$5:AG$27)/MAX(1,COUNTIF('93_TARGET_MEMBERSHIP'!T$5:T$27,-1)))))</f>
        <v/>
      </c>
      <c r="AG23" s="34">
        <f>IF($B23="ABSOLUTE SEMANTIC",'19_FEATURE_CONFIDENCE'!$D$35,SQRT((SUMPRODUCT(--('93_TARGET_MEMBERSHIP'!T$5:T$27=1),'92_FEATURE_CONF_NUMERIC'!AH$5:AH$27)/MAX(1,COUNTIF('93_TARGET_MEMBERSHIP'!T$5:T$27,1)))*(SUMPRODUCT(--('93_TARGET_MEMBERSHIP'!T$5:T$27=-1),'92_FEATURE_CONF_NUMERIC'!AH$5:AH$27)/MAX(1,COUNTIF('93_TARGET_MEMBERSHIP'!T$5:T$27,-1)))))</f>
        <v/>
      </c>
      <c r="AH23" s="34">
        <f>IF($B23="ABSOLUTE SEMANTIC",'19_FEATURE_CONFIDENCE'!$D$36,SQRT((SUMPRODUCT(--('93_TARGET_MEMBERSHIP'!T$5:T$27=1),'92_FEATURE_CONF_NUMERIC'!AI$5:AI$27)/MAX(1,COUNTIF('93_TARGET_MEMBERSHIP'!T$5:T$27,1)))*(SUMPRODUCT(--('93_TARGET_MEMBERSHIP'!T$5:T$27=-1),'92_FEATURE_CONF_NUMERIC'!AI$5:AI$27)/MAX(1,COUNTIF('93_TARGET_MEMBERSHIP'!T$5:T$27,-1)))))</f>
        <v/>
      </c>
      <c r="AI23" s="34">
        <f>IF($B23="ABSOLUTE SEMANTIC",'19_FEATURE_CONFIDENCE'!$D$37,SQRT((SUMPRODUCT(--('93_TARGET_MEMBERSHIP'!T$5:T$27=1),'92_FEATURE_CONF_NUMERIC'!AJ$5:AJ$27)/MAX(1,COUNTIF('93_TARGET_MEMBERSHIP'!T$5:T$27,1)))*(SUMPRODUCT(--('93_TARGET_MEMBERSHIP'!T$5:T$27=-1),'92_FEATURE_CONF_NUMERIC'!AJ$5:AJ$27)/MAX(1,COUNTIF('93_TARGET_MEMBERSHIP'!T$5:T$27,-1)))))</f>
        <v/>
      </c>
      <c r="AJ23" s="34">
        <f>IF($B23="ABSOLUTE SEMANTIC",'19_FEATURE_CONFIDENCE'!$D$38,SQRT((SUMPRODUCT(--('93_TARGET_MEMBERSHIP'!T$5:T$27=1),'92_FEATURE_CONF_NUMERIC'!AK$5:AK$27)/MAX(1,COUNTIF('93_TARGET_MEMBERSHIP'!T$5:T$27,1)))*(SUMPRODUCT(--('93_TARGET_MEMBERSHIP'!T$5:T$27=-1),'92_FEATURE_CONF_NUMERIC'!AK$5:AK$27)/MAX(1,COUNTIF('93_TARGET_MEMBERSHIP'!T$5:T$27,-1)))))</f>
        <v/>
      </c>
      <c r="AK23" s="34">
        <f>IF($B23="ABSOLUTE SEMANTIC",'19_FEATURE_CONFIDENCE'!$D$39,SQRT((SUMPRODUCT(--('93_TARGET_MEMBERSHIP'!T$5:T$27=1),'92_FEATURE_CONF_NUMERIC'!AL$5:AL$27)/MAX(1,COUNTIF('93_TARGET_MEMBERSHIP'!T$5:T$27,1)))*(SUMPRODUCT(--('93_TARGET_MEMBERSHIP'!T$5:T$27=-1),'92_FEATURE_CONF_NUMERIC'!AL$5:AL$27)/MAX(1,COUNTIF('93_TARGET_MEMBERSHIP'!T$5:T$27,-1)))))</f>
        <v/>
      </c>
      <c r="AL23" s="34">
        <f>IF($B23="ABSOLUTE SEMANTIC",'19_FEATURE_CONFIDENCE'!$D$40,SQRT((SUMPRODUCT(--('93_TARGET_MEMBERSHIP'!T$5:T$27=1),'92_FEATURE_CONF_NUMERIC'!AM$5:AM$27)/MAX(1,COUNTIF('93_TARGET_MEMBERSHIP'!T$5:T$27,1)))*(SUMPRODUCT(--('93_TARGET_MEMBERSHIP'!T$5:T$27=-1),'92_FEATURE_CONF_NUMERIC'!AM$5:AM$27)/MAX(1,COUNTIF('93_TARGET_MEMBERSHIP'!T$5:T$27,-1)))))</f>
        <v/>
      </c>
      <c r="AM23" s="34">
        <f>IF($B23="ABSOLUTE SEMANTIC",'19_FEATURE_CONFIDENCE'!$D$41,SQRT((SUMPRODUCT(--('93_TARGET_MEMBERSHIP'!T$5:T$27=1),'92_FEATURE_CONF_NUMERIC'!AN$5:AN$27)/MAX(1,COUNTIF('93_TARGET_MEMBERSHIP'!T$5:T$27,1)))*(SUMPRODUCT(--('93_TARGET_MEMBERSHIP'!T$5:T$27=-1),'92_FEATURE_CONF_NUMERIC'!AN$5:AN$27)/MAX(1,COUNTIF('93_TARGET_MEMBERSHIP'!T$5:T$27,-1)))))</f>
        <v/>
      </c>
      <c r="AN23" s="34">
        <f>IF($B23="ABSOLUTE SEMANTIC",'19_FEATURE_CONFIDENCE'!$D$42,SQRT((SUMPRODUCT(--('93_TARGET_MEMBERSHIP'!T$5:T$27=1),'92_FEATURE_CONF_NUMERIC'!AO$5:AO$27)/MAX(1,COUNTIF('93_TARGET_MEMBERSHIP'!T$5:T$27,1)))*(SUMPRODUCT(--('93_TARGET_MEMBERSHIP'!T$5:T$27=-1),'92_FEATURE_CONF_NUMERIC'!AO$5:AO$27)/MAX(1,COUNTIF('93_TARGET_MEMBERSHIP'!T$5:T$27,-1)))))</f>
        <v/>
      </c>
      <c r="AO23" s="34">
        <f>IF($B23="ABSOLUTE SEMANTIC",'19_FEATURE_CONFIDENCE'!$D$43,SQRT((SUMPRODUCT(--('93_TARGET_MEMBERSHIP'!T$5:T$27=1),'92_FEATURE_CONF_NUMERIC'!AP$5:AP$27)/MAX(1,COUNTIF('93_TARGET_MEMBERSHIP'!T$5:T$27,1)))*(SUMPRODUCT(--('93_TARGET_MEMBERSHIP'!T$5:T$27=-1),'92_FEATURE_CONF_NUMERIC'!AP$5:AP$27)/MAX(1,COUNTIF('93_TARGET_MEMBERSHIP'!T$5:T$27,-1)))))</f>
        <v/>
      </c>
      <c r="AP23" s="34">
        <f>IF($B23="ABSOLUTE SEMANTIC",'19_FEATURE_CONFIDENCE'!$D$44,SQRT((SUMPRODUCT(--('93_TARGET_MEMBERSHIP'!T$5:T$27=1),'92_FEATURE_CONF_NUMERIC'!AQ$5:AQ$27)/MAX(1,COUNTIF('93_TARGET_MEMBERSHIP'!T$5:T$27,1)))*(SUMPRODUCT(--('93_TARGET_MEMBERSHIP'!T$5:T$27=-1),'92_FEATURE_CONF_NUMERIC'!AQ$5:AQ$27)/MAX(1,COUNTIF('93_TARGET_MEMBERSHIP'!T$5:T$27,-1)))))</f>
        <v/>
      </c>
      <c r="AQ23" s="34">
        <f>IF($B23="ABSOLUTE SEMANTIC",'19_FEATURE_CONFIDENCE'!$D$45,SQRT((SUMPRODUCT(--('93_TARGET_MEMBERSHIP'!T$5:T$27=1),'92_FEATURE_CONF_NUMERIC'!AR$5:AR$27)/MAX(1,COUNTIF('93_TARGET_MEMBERSHIP'!T$5:T$27,1)))*(SUMPRODUCT(--('93_TARGET_MEMBERSHIP'!T$5:T$27=-1),'92_FEATURE_CONF_NUMERIC'!AR$5:AR$27)/MAX(1,COUNTIF('93_TARGET_MEMBERSHIP'!T$5:T$27,-1)))))</f>
        <v/>
      </c>
    </row>
    <row r="24" ht="36" customHeight="1">
      <c r="A24" s="34">
        <f>'06_ITEM_POLE_MODEL'!A24</f>
        <v/>
      </c>
      <c r="B24" s="34">
        <f>'06_ITEM_POLE_MODEL'!E24</f>
        <v/>
      </c>
      <c r="C24" s="34">
        <f>IF($B24="ABSOLUTE SEMANTIC",'19_FEATURE_CONFIDENCE'!$D$5,SQRT((SUMPRODUCT(--('93_TARGET_MEMBERSHIP'!U$5:U$27=1),'92_FEATURE_CONF_NUMERIC'!D$5:D$27)/MAX(1,COUNTIF('93_TARGET_MEMBERSHIP'!U$5:U$27,1)))*(SUMPRODUCT(--('93_TARGET_MEMBERSHIP'!U$5:U$27=-1),'92_FEATURE_CONF_NUMERIC'!D$5:D$27)/MAX(1,COUNTIF('93_TARGET_MEMBERSHIP'!U$5:U$27,-1)))))</f>
        <v/>
      </c>
      <c r="D24" s="34">
        <f>IF($B24="ABSOLUTE SEMANTIC",'19_FEATURE_CONFIDENCE'!$D$6,SQRT((SUMPRODUCT(--('93_TARGET_MEMBERSHIP'!U$5:U$27=1),'92_FEATURE_CONF_NUMERIC'!E$5:E$27)/MAX(1,COUNTIF('93_TARGET_MEMBERSHIP'!U$5:U$27,1)))*(SUMPRODUCT(--('93_TARGET_MEMBERSHIP'!U$5:U$27=-1),'92_FEATURE_CONF_NUMERIC'!E$5:E$27)/MAX(1,COUNTIF('93_TARGET_MEMBERSHIP'!U$5:U$27,-1)))))</f>
        <v/>
      </c>
      <c r="E24" s="34">
        <f>IF($B24="ABSOLUTE SEMANTIC",'19_FEATURE_CONFIDENCE'!$D$7,SQRT((SUMPRODUCT(--('93_TARGET_MEMBERSHIP'!U$5:U$27=1),'92_FEATURE_CONF_NUMERIC'!F$5:F$27)/MAX(1,COUNTIF('93_TARGET_MEMBERSHIP'!U$5:U$27,1)))*(SUMPRODUCT(--('93_TARGET_MEMBERSHIP'!U$5:U$27=-1),'92_FEATURE_CONF_NUMERIC'!F$5:F$27)/MAX(1,COUNTIF('93_TARGET_MEMBERSHIP'!U$5:U$27,-1)))))</f>
        <v/>
      </c>
      <c r="F24" s="34">
        <f>IF($B24="ABSOLUTE SEMANTIC",'19_FEATURE_CONFIDENCE'!$D$8,SQRT((SUMPRODUCT(--('93_TARGET_MEMBERSHIP'!U$5:U$27=1),'92_FEATURE_CONF_NUMERIC'!G$5:G$27)/MAX(1,COUNTIF('93_TARGET_MEMBERSHIP'!U$5:U$27,1)))*(SUMPRODUCT(--('93_TARGET_MEMBERSHIP'!U$5:U$27=-1),'92_FEATURE_CONF_NUMERIC'!G$5:G$27)/MAX(1,COUNTIF('93_TARGET_MEMBERSHIP'!U$5:U$27,-1)))))</f>
        <v/>
      </c>
      <c r="G24" s="34">
        <f>IF($B24="ABSOLUTE SEMANTIC",'19_FEATURE_CONFIDENCE'!$D$9,SQRT((SUMPRODUCT(--('93_TARGET_MEMBERSHIP'!U$5:U$27=1),'92_FEATURE_CONF_NUMERIC'!H$5:H$27)/MAX(1,COUNTIF('93_TARGET_MEMBERSHIP'!U$5:U$27,1)))*(SUMPRODUCT(--('93_TARGET_MEMBERSHIP'!U$5:U$27=-1),'92_FEATURE_CONF_NUMERIC'!H$5:H$27)/MAX(1,COUNTIF('93_TARGET_MEMBERSHIP'!U$5:U$27,-1)))))</f>
        <v/>
      </c>
      <c r="H24" s="34">
        <f>IF($B24="ABSOLUTE SEMANTIC",'19_FEATURE_CONFIDENCE'!$D$10,SQRT((SUMPRODUCT(--('93_TARGET_MEMBERSHIP'!U$5:U$27=1),'92_FEATURE_CONF_NUMERIC'!I$5:I$27)/MAX(1,COUNTIF('93_TARGET_MEMBERSHIP'!U$5:U$27,1)))*(SUMPRODUCT(--('93_TARGET_MEMBERSHIP'!U$5:U$27=-1),'92_FEATURE_CONF_NUMERIC'!I$5:I$27)/MAX(1,COUNTIF('93_TARGET_MEMBERSHIP'!U$5:U$27,-1)))))</f>
        <v/>
      </c>
      <c r="I24" s="34">
        <f>IF($B24="ABSOLUTE SEMANTIC",'19_FEATURE_CONFIDENCE'!$D$11,SQRT((SUMPRODUCT(--('93_TARGET_MEMBERSHIP'!U$5:U$27=1),'92_FEATURE_CONF_NUMERIC'!J$5:J$27)/MAX(1,COUNTIF('93_TARGET_MEMBERSHIP'!U$5:U$27,1)))*(SUMPRODUCT(--('93_TARGET_MEMBERSHIP'!U$5:U$27=-1),'92_FEATURE_CONF_NUMERIC'!J$5:J$27)/MAX(1,COUNTIF('93_TARGET_MEMBERSHIP'!U$5:U$27,-1)))))</f>
        <v/>
      </c>
      <c r="J24" s="34">
        <f>IF($B24="ABSOLUTE SEMANTIC",'19_FEATURE_CONFIDENCE'!$D$12,SQRT((SUMPRODUCT(--('93_TARGET_MEMBERSHIP'!U$5:U$27=1),'92_FEATURE_CONF_NUMERIC'!K$5:K$27)/MAX(1,COUNTIF('93_TARGET_MEMBERSHIP'!U$5:U$27,1)))*(SUMPRODUCT(--('93_TARGET_MEMBERSHIP'!U$5:U$27=-1),'92_FEATURE_CONF_NUMERIC'!K$5:K$27)/MAX(1,COUNTIF('93_TARGET_MEMBERSHIP'!U$5:U$27,-1)))))</f>
        <v/>
      </c>
      <c r="K24" s="34">
        <f>IF($B24="ABSOLUTE SEMANTIC",'19_FEATURE_CONFIDENCE'!$D$13,SQRT((SUMPRODUCT(--('93_TARGET_MEMBERSHIP'!U$5:U$27=1),'92_FEATURE_CONF_NUMERIC'!L$5:L$27)/MAX(1,COUNTIF('93_TARGET_MEMBERSHIP'!U$5:U$27,1)))*(SUMPRODUCT(--('93_TARGET_MEMBERSHIP'!U$5:U$27=-1),'92_FEATURE_CONF_NUMERIC'!L$5:L$27)/MAX(1,COUNTIF('93_TARGET_MEMBERSHIP'!U$5:U$27,-1)))))</f>
        <v/>
      </c>
      <c r="L24" s="34">
        <f>IF($B24="ABSOLUTE SEMANTIC",'19_FEATURE_CONFIDENCE'!$D$14,SQRT((SUMPRODUCT(--('93_TARGET_MEMBERSHIP'!U$5:U$27=1),'92_FEATURE_CONF_NUMERIC'!M$5:M$27)/MAX(1,COUNTIF('93_TARGET_MEMBERSHIP'!U$5:U$27,1)))*(SUMPRODUCT(--('93_TARGET_MEMBERSHIP'!U$5:U$27=-1),'92_FEATURE_CONF_NUMERIC'!M$5:M$27)/MAX(1,COUNTIF('93_TARGET_MEMBERSHIP'!U$5:U$27,-1)))))</f>
        <v/>
      </c>
      <c r="M24" s="34">
        <f>IF($B24="ABSOLUTE SEMANTIC",'19_FEATURE_CONFIDENCE'!$D$15,SQRT((SUMPRODUCT(--('93_TARGET_MEMBERSHIP'!U$5:U$27=1),'92_FEATURE_CONF_NUMERIC'!N$5:N$27)/MAX(1,COUNTIF('93_TARGET_MEMBERSHIP'!U$5:U$27,1)))*(SUMPRODUCT(--('93_TARGET_MEMBERSHIP'!U$5:U$27=-1),'92_FEATURE_CONF_NUMERIC'!N$5:N$27)/MAX(1,COUNTIF('93_TARGET_MEMBERSHIP'!U$5:U$27,-1)))))</f>
        <v/>
      </c>
      <c r="N24" s="34">
        <f>IF($B24="ABSOLUTE SEMANTIC",'19_FEATURE_CONFIDENCE'!$D$16,SQRT((SUMPRODUCT(--('93_TARGET_MEMBERSHIP'!U$5:U$27=1),'92_FEATURE_CONF_NUMERIC'!O$5:O$27)/MAX(1,COUNTIF('93_TARGET_MEMBERSHIP'!U$5:U$27,1)))*(SUMPRODUCT(--('93_TARGET_MEMBERSHIP'!U$5:U$27=-1),'92_FEATURE_CONF_NUMERIC'!O$5:O$27)/MAX(1,COUNTIF('93_TARGET_MEMBERSHIP'!U$5:U$27,-1)))))</f>
        <v/>
      </c>
      <c r="O24" s="34">
        <f>IF($B24="ABSOLUTE SEMANTIC",'19_FEATURE_CONFIDENCE'!$D$17,SQRT((SUMPRODUCT(--('93_TARGET_MEMBERSHIP'!U$5:U$27=1),'92_FEATURE_CONF_NUMERIC'!P$5:P$27)/MAX(1,COUNTIF('93_TARGET_MEMBERSHIP'!U$5:U$27,1)))*(SUMPRODUCT(--('93_TARGET_MEMBERSHIP'!U$5:U$27=-1),'92_FEATURE_CONF_NUMERIC'!P$5:P$27)/MAX(1,COUNTIF('93_TARGET_MEMBERSHIP'!U$5:U$27,-1)))))</f>
        <v/>
      </c>
      <c r="P24" s="34">
        <f>IF($B24="ABSOLUTE SEMANTIC",'19_FEATURE_CONFIDENCE'!$D$18,SQRT((SUMPRODUCT(--('93_TARGET_MEMBERSHIP'!U$5:U$27=1),'92_FEATURE_CONF_NUMERIC'!Q$5:Q$27)/MAX(1,COUNTIF('93_TARGET_MEMBERSHIP'!U$5:U$27,1)))*(SUMPRODUCT(--('93_TARGET_MEMBERSHIP'!U$5:U$27=-1),'92_FEATURE_CONF_NUMERIC'!Q$5:Q$27)/MAX(1,COUNTIF('93_TARGET_MEMBERSHIP'!U$5:U$27,-1)))))</f>
        <v/>
      </c>
      <c r="Q24" s="34">
        <f>IF($B24="ABSOLUTE SEMANTIC",'19_FEATURE_CONFIDENCE'!$D$19,SQRT((SUMPRODUCT(--('93_TARGET_MEMBERSHIP'!U$5:U$27=1),'92_FEATURE_CONF_NUMERIC'!R$5:R$27)/MAX(1,COUNTIF('93_TARGET_MEMBERSHIP'!U$5:U$27,1)))*(SUMPRODUCT(--('93_TARGET_MEMBERSHIP'!U$5:U$27=-1),'92_FEATURE_CONF_NUMERIC'!R$5:R$27)/MAX(1,COUNTIF('93_TARGET_MEMBERSHIP'!U$5:U$27,-1)))))</f>
        <v/>
      </c>
      <c r="R24" s="34">
        <f>IF($B24="ABSOLUTE SEMANTIC",'19_FEATURE_CONFIDENCE'!$D$20,SQRT((SUMPRODUCT(--('93_TARGET_MEMBERSHIP'!U$5:U$27=1),'92_FEATURE_CONF_NUMERIC'!S$5:S$27)/MAX(1,COUNTIF('93_TARGET_MEMBERSHIP'!U$5:U$27,1)))*(SUMPRODUCT(--('93_TARGET_MEMBERSHIP'!U$5:U$27=-1),'92_FEATURE_CONF_NUMERIC'!S$5:S$27)/MAX(1,COUNTIF('93_TARGET_MEMBERSHIP'!U$5:U$27,-1)))))</f>
        <v/>
      </c>
      <c r="S24" s="34">
        <f>IF($B24="ABSOLUTE SEMANTIC",'19_FEATURE_CONFIDENCE'!$D$21,SQRT((SUMPRODUCT(--('93_TARGET_MEMBERSHIP'!U$5:U$27=1),'92_FEATURE_CONF_NUMERIC'!T$5:T$27)/MAX(1,COUNTIF('93_TARGET_MEMBERSHIP'!U$5:U$27,1)))*(SUMPRODUCT(--('93_TARGET_MEMBERSHIP'!U$5:U$27=-1),'92_FEATURE_CONF_NUMERIC'!T$5:T$27)/MAX(1,COUNTIF('93_TARGET_MEMBERSHIP'!U$5:U$27,-1)))))</f>
        <v/>
      </c>
      <c r="T24" s="34">
        <f>IF($B24="ABSOLUTE SEMANTIC",'19_FEATURE_CONFIDENCE'!$D$22,SQRT((SUMPRODUCT(--('93_TARGET_MEMBERSHIP'!U$5:U$27=1),'92_FEATURE_CONF_NUMERIC'!U$5:U$27)/MAX(1,COUNTIF('93_TARGET_MEMBERSHIP'!U$5:U$27,1)))*(SUMPRODUCT(--('93_TARGET_MEMBERSHIP'!U$5:U$27=-1),'92_FEATURE_CONF_NUMERIC'!U$5:U$27)/MAX(1,COUNTIF('93_TARGET_MEMBERSHIP'!U$5:U$27,-1)))))</f>
        <v/>
      </c>
      <c r="U24" s="34">
        <f>IF($B24="ABSOLUTE SEMANTIC",'19_FEATURE_CONFIDENCE'!$D$23,SQRT((SUMPRODUCT(--('93_TARGET_MEMBERSHIP'!U$5:U$27=1),'92_FEATURE_CONF_NUMERIC'!V$5:V$27)/MAX(1,COUNTIF('93_TARGET_MEMBERSHIP'!U$5:U$27,1)))*(SUMPRODUCT(--('93_TARGET_MEMBERSHIP'!U$5:U$27=-1),'92_FEATURE_CONF_NUMERIC'!V$5:V$27)/MAX(1,COUNTIF('93_TARGET_MEMBERSHIP'!U$5:U$27,-1)))))</f>
        <v/>
      </c>
      <c r="V24" s="34">
        <f>IF($B24="ABSOLUTE SEMANTIC",'19_FEATURE_CONFIDENCE'!$D$24,SQRT((SUMPRODUCT(--('93_TARGET_MEMBERSHIP'!U$5:U$27=1),'92_FEATURE_CONF_NUMERIC'!W$5:W$27)/MAX(1,COUNTIF('93_TARGET_MEMBERSHIP'!U$5:U$27,1)))*(SUMPRODUCT(--('93_TARGET_MEMBERSHIP'!U$5:U$27=-1),'92_FEATURE_CONF_NUMERIC'!W$5:W$27)/MAX(1,COUNTIF('93_TARGET_MEMBERSHIP'!U$5:U$27,-1)))))</f>
        <v/>
      </c>
      <c r="W24" s="34">
        <f>IF($B24="ABSOLUTE SEMANTIC",'19_FEATURE_CONFIDENCE'!$D$25,SQRT((SUMPRODUCT(--('93_TARGET_MEMBERSHIP'!U$5:U$27=1),'92_FEATURE_CONF_NUMERIC'!X$5:X$27)/MAX(1,COUNTIF('93_TARGET_MEMBERSHIP'!U$5:U$27,1)))*(SUMPRODUCT(--('93_TARGET_MEMBERSHIP'!U$5:U$27=-1),'92_FEATURE_CONF_NUMERIC'!X$5:X$27)/MAX(1,COUNTIF('93_TARGET_MEMBERSHIP'!U$5:U$27,-1)))))</f>
        <v/>
      </c>
      <c r="X24" s="34">
        <f>IF($B24="ABSOLUTE SEMANTIC",'19_FEATURE_CONFIDENCE'!$D$26,SQRT((SUMPRODUCT(--('93_TARGET_MEMBERSHIP'!U$5:U$27=1),'92_FEATURE_CONF_NUMERIC'!Y$5:Y$27)/MAX(1,COUNTIF('93_TARGET_MEMBERSHIP'!U$5:U$27,1)))*(SUMPRODUCT(--('93_TARGET_MEMBERSHIP'!U$5:U$27=-1),'92_FEATURE_CONF_NUMERIC'!Y$5:Y$27)/MAX(1,COUNTIF('93_TARGET_MEMBERSHIP'!U$5:U$27,-1)))))</f>
        <v/>
      </c>
      <c r="Y24" s="34">
        <f>IF($B24="ABSOLUTE SEMANTIC",'19_FEATURE_CONFIDENCE'!$D$27,SQRT((SUMPRODUCT(--('93_TARGET_MEMBERSHIP'!U$5:U$27=1),'92_FEATURE_CONF_NUMERIC'!Z$5:Z$27)/MAX(1,COUNTIF('93_TARGET_MEMBERSHIP'!U$5:U$27,1)))*(SUMPRODUCT(--('93_TARGET_MEMBERSHIP'!U$5:U$27=-1),'92_FEATURE_CONF_NUMERIC'!Z$5:Z$27)/MAX(1,COUNTIF('93_TARGET_MEMBERSHIP'!U$5:U$27,-1)))))</f>
        <v/>
      </c>
      <c r="Z24" s="34">
        <f>IF($B24="ABSOLUTE SEMANTIC",'19_FEATURE_CONFIDENCE'!$D$28,SQRT((SUMPRODUCT(--('93_TARGET_MEMBERSHIP'!U$5:U$27=1),'92_FEATURE_CONF_NUMERIC'!AA$5:AA$27)/MAX(1,COUNTIF('93_TARGET_MEMBERSHIP'!U$5:U$27,1)))*(SUMPRODUCT(--('93_TARGET_MEMBERSHIP'!U$5:U$27=-1),'92_FEATURE_CONF_NUMERIC'!AA$5:AA$27)/MAX(1,COUNTIF('93_TARGET_MEMBERSHIP'!U$5:U$27,-1)))))</f>
        <v/>
      </c>
      <c r="AA24" s="34">
        <f>IF($B24="ABSOLUTE SEMANTIC",'19_FEATURE_CONFIDENCE'!$D$29,SQRT((SUMPRODUCT(--('93_TARGET_MEMBERSHIP'!U$5:U$27=1),'92_FEATURE_CONF_NUMERIC'!AB$5:AB$27)/MAX(1,COUNTIF('93_TARGET_MEMBERSHIP'!U$5:U$27,1)))*(SUMPRODUCT(--('93_TARGET_MEMBERSHIP'!U$5:U$27=-1),'92_FEATURE_CONF_NUMERIC'!AB$5:AB$27)/MAX(1,COUNTIF('93_TARGET_MEMBERSHIP'!U$5:U$27,-1)))))</f>
        <v/>
      </c>
      <c r="AB24" s="34">
        <f>IF($B24="ABSOLUTE SEMANTIC",'19_FEATURE_CONFIDENCE'!$D$30,SQRT((SUMPRODUCT(--('93_TARGET_MEMBERSHIP'!U$5:U$27=1),'92_FEATURE_CONF_NUMERIC'!AC$5:AC$27)/MAX(1,COUNTIF('93_TARGET_MEMBERSHIP'!U$5:U$27,1)))*(SUMPRODUCT(--('93_TARGET_MEMBERSHIP'!U$5:U$27=-1),'92_FEATURE_CONF_NUMERIC'!AC$5:AC$27)/MAX(1,COUNTIF('93_TARGET_MEMBERSHIP'!U$5:U$27,-1)))))</f>
        <v/>
      </c>
      <c r="AC24" s="34">
        <f>IF($B24="ABSOLUTE SEMANTIC",'19_FEATURE_CONFIDENCE'!$D$31,SQRT((SUMPRODUCT(--('93_TARGET_MEMBERSHIP'!U$5:U$27=1),'92_FEATURE_CONF_NUMERIC'!AD$5:AD$27)/MAX(1,COUNTIF('93_TARGET_MEMBERSHIP'!U$5:U$27,1)))*(SUMPRODUCT(--('93_TARGET_MEMBERSHIP'!U$5:U$27=-1),'92_FEATURE_CONF_NUMERIC'!AD$5:AD$27)/MAX(1,COUNTIF('93_TARGET_MEMBERSHIP'!U$5:U$27,-1)))))</f>
        <v/>
      </c>
      <c r="AD24" s="34">
        <f>IF($B24="ABSOLUTE SEMANTIC",'19_FEATURE_CONFIDENCE'!$D$32,SQRT((SUMPRODUCT(--('93_TARGET_MEMBERSHIP'!U$5:U$27=1),'92_FEATURE_CONF_NUMERIC'!AE$5:AE$27)/MAX(1,COUNTIF('93_TARGET_MEMBERSHIP'!U$5:U$27,1)))*(SUMPRODUCT(--('93_TARGET_MEMBERSHIP'!U$5:U$27=-1),'92_FEATURE_CONF_NUMERIC'!AE$5:AE$27)/MAX(1,COUNTIF('93_TARGET_MEMBERSHIP'!U$5:U$27,-1)))))</f>
        <v/>
      </c>
      <c r="AE24" s="34">
        <f>IF($B24="ABSOLUTE SEMANTIC",'19_FEATURE_CONFIDENCE'!$D$33,SQRT((SUMPRODUCT(--('93_TARGET_MEMBERSHIP'!U$5:U$27=1),'92_FEATURE_CONF_NUMERIC'!AF$5:AF$27)/MAX(1,COUNTIF('93_TARGET_MEMBERSHIP'!U$5:U$27,1)))*(SUMPRODUCT(--('93_TARGET_MEMBERSHIP'!U$5:U$27=-1),'92_FEATURE_CONF_NUMERIC'!AF$5:AF$27)/MAX(1,COUNTIF('93_TARGET_MEMBERSHIP'!U$5:U$27,-1)))))</f>
        <v/>
      </c>
      <c r="AF24" s="34">
        <f>IF($B24="ABSOLUTE SEMANTIC",'19_FEATURE_CONFIDENCE'!$D$34,SQRT((SUMPRODUCT(--('93_TARGET_MEMBERSHIP'!U$5:U$27=1),'92_FEATURE_CONF_NUMERIC'!AG$5:AG$27)/MAX(1,COUNTIF('93_TARGET_MEMBERSHIP'!U$5:U$27,1)))*(SUMPRODUCT(--('93_TARGET_MEMBERSHIP'!U$5:U$27=-1),'92_FEATURE_CONF_NUMERIC'!AG$5:AG$27)/MAX(1,COUNTIF('93_TARGET_MEMBERSHIP'!U$5:U$27,-1)))))</f>
        <v/>
      </c>
      <c r="AG24" s="34">
        <f>IF($B24="ABSOLUTE SEMANTIC",'19_FEATURE_CONFIDENCE'!$D$35,SQRT((SUMPRODUCT(--('93_TARGET_MEMBERSHIP'!U$5:U$27=1),'92_FEATURE_CONF_NUMERIC'!AH$5:AH$27)/MAX(1,COUNTIF('93_TARGET_MEMBERSHIP'!U$5:U$27,1)))*(SUMPRODUCT(--('93_TARGET_MEMBERSHIP'!U$5:U$27=-1),'92_FEATURE_CONF_NUMERIC'!AH$5:AH$27)/MAX(1,COUNTIF('93_TARGET_MEMBERSHIP'!U$5:U$27,-1)))))</f>
        <v/>
      </c>
      <c r="AH24" s="34">
        <f>IF($B24="ABSOLUTE SEMANTIC",'19_FEATURE_CONFIDENCE'!$D$36,SQRT((SUMPRODUCT(--('93_TARGET_MEMBERSHIP'!U$5:U$27=1),'92_FEATURE_CONF_NUMERIC'!AI$5:AI$27)/MAX(1,COUNTIF('93_TARGET_MEMBERSHIP'!U$5:U$27,1)))*(SUMPRODUCT(--('93_TARGET_MEMBERSHIP'!U$5:U$27=-1),'92_FEATURE_CONF_NUMERIC'!AI$5:AI$27)/MAX(1,COUNTIF('93_TARGET_MEMBERSHIP'!U$5:U$27,-1)))))</f>
        <v/>
      </c>
      <c r="AI24" s="34">
        <f>IF($B24="ABSOLUTE SEMANTIC",'19_FEATURE_CONFIDENCE'!$D$37,SQRT((SUMPRODUCT(--('93_TARGET_MEMBERSHIP'!U$5:U$27=1),'92_FEATURE_CONF_NUMERIC'!AJ$5:AJ$27)/MAX(1,COUNTIF('93_TARGET_MEMBERSHIP'!U$5:U$27,1)))*(SUMPRODUCT(--('93_TARGET_MEMBERSHIP'!U$5:U$27=-1),'92_FEATURE_CONF_NUMERIC'!AJ$5:AJ$27)/MAX(1,COUNTIF('93_TARGET_MEMBERSHIP'!U$5:U$27,-1)))))</f>
        <v/>
      </c>
      <c r="AJ24" s="34">
        <f>IF($B24="ABSOLUTE SEMANTIC",'19_FEATURE_CONFIDENCE'!$D$38,SQRT((SUMPRODUCT(--('93_TARGET_MEMBERSHIP'!U$5:U$27=1),'92_FEATURE_CONF_NUMERIC'!AK$5:AK$27)/MAX(1,COUNTIF('93_TARGET_MEMBERSHIP'!U$5:U$27,1)))*(SUMPRODUCT(--('93_TARGET_MEMBERSHIP'!U$5:U$27=-1),'92_FEATURE_CONF_NUMERIC'!AK$5:AK$27)/MAX(1,COUNTIF('93_TARGET_MEMBERSHIP'!U$5:U$27,-1)))))</f>
        <v/>
      </c>
      <c r="AK24" s="34">
        <f>IF($B24="ABSOLUTE SEMANTIC",'19_FEATURE_CONFIDENCE'!$D$39,SQRT((SUMPRODUCT(--('93_TARGET_MEMBERSHIP'!U$5:U$27=1),'92_FEATURE_CONF_NUMERIC'!AL$5:AL$27)/MAX(1,COUNTIF('93_TARGET_MEMBERSHIP'!U$5:U$27,1)))*(SUMPRODUCT(--('93_TARGET_MEMBERSHIP'!U$5:U$27=-1),'92_FEATURE_CONF_NUMERIC'!AL$5:AL$27)/MAX(1,COUNTIF('93_TARGET_MEMBERSHIP'!U$5:U$27,-1)))))</f>
        <v/>
      </c>
      <c r="AL24" s="34">
        <f>IF($B24="ABSOLUTE SEMANTIC",'19_FEATURE_CONFIDENCE'!$D$40,SQRT((SUMPRODUCT(--('93_TARGET_MEMBERSHIP'!U$5:U$27=1),'92_FEATURE_CONF_NUMERIC'!AM$5:AM$27)/MAX(1,COUNTIF('93_TARGET_MEMBERSHIP'!U$5:U$27,1)))*(SUMPRODUCT(--('93_TARGET_MEMBERSHIP'!U$5:U$27=-1),'92_FEATURE_CONF_NUMERIC'!AM$5:AM$27)/MAX(1,COUNTIF('93_TARGET_MEMBERSHIP'!U$5:U$27,-1)))))</f>
        <v/>
      </c>
      <c r="AM24" s="34">
        <f>IF($B24="ABSOLUTE SEMANTIC",'19_FEATURE_CONFIDENCE'!$D$41,SQRT((SUMPRODUCT(--('93_TARGET_MEMBERSHIP'!U$5:U$27=1),'92_FEATURE_CONF_NUMERIC'!AN$5:AN$27)/MAX(1,COUNTIF('93_TARGET_MEMBERSHIP'!U$5:U$27,1)))*(SUMPRODUCT(--('93_TARGET_MEMBERSHIP'!U$5:U$27=-1),'92_FEATURE_CONF_NUMERIC'!AN$5:AN$27)/MAX(1,COUNTIF('93_TARGET_MEMBERSHIP'!U$5:U$27,-1)))))</f>
        <v/>
      </c>
      <c r="AN24" s="34">
        <f>IF($B24="ABSOLUTE SEMANTIC",'19_FEATURE_CONFIDENCE'!$D$42,SQRT((SUMPRODUCT(--('93_TARGET_MEMBERSHIP'!U$5:U$27=1),'92_FEATURE_CONF_NUMERIC'!AO$5:AO$27)/MAX(1,COUNTIF('93_TARGET_MEMBERSHIP'!U$5:U$27,1)))*(SUMPRODUCT(--('93_TARGET_MEMBERSHIP'!U$5:U$27=-1),'92_FEATURE_CONF_NUMERIC'!AO$5:AO$27)/MAX(1,COUNTIF('93_TARGET_MEMBERSHIP'!U$5:U$27,-1)))))</f>
        <v/>
      </c>
      <c r="AO24" s="34">
        <f>IF($B24="ABSOLUTE SEMANTIC",'19_FEATURE_CONFIDENCE'!$D$43,SQRT((SUMPRODUCT(--('93_TARGET_MEMBERSHIP'!U$5:U$27=1),'92_FEATURE_CONF_NUMERIC'!AP$5:AP$27)/MAX(1,COUNTIF('93_TARGET_MEMBERSHIP'!U$5:U$27,1)))*(SUMPRODUCT(--('93_TARGET_MEMBERSHIP'!U$5:U$27=-1),'92_FEATURE_CONF_NUMERIC'!AP$5:AP$27)/MAX(1,COUNTIF('93_TARGET_MEMBERSHIP'!U$5:U$27,-1)))))</f>
        <v/>
      </c>
      <c r="AP24" s="34">
        <f>IF($B24="ABSOLUTE SEMANTIC",'19_FEATURE_CONFIDENCE'!$D$44,SQRT((SUMPRODUCT(--('93_TARGET_MEMBERSHIP'!U$5:U$27=1),'92_FEATURE_CONF_NUMERIC'!AQ$5:AQ$27)/MAX(1,COUNTIF('93_TARGET_MEMBERSHIP'!U$5:U$27,1)))*(SUMPRODUCT(--('93_TARGET_MEMBERSHIP'!U$5:U$27=-1),'92_FEATURE_CONF_NUMERIC'!AQ$5:AQ$27)/MAX(1,COUNTIF('93_TARGET_MEMBERSHIP'!U$5:U$27,-1)))))</f>
        <v/>
      </c>
      <c r="AQ24" s="34">
        <f>IF($B24="ABSOLUTE SEMANTIC",'19_FEATURE_CONFIDENCE'!$D$45,SQRT((SUMPRODUCT(--('93_TARGET_MEMBERSHIP'!U$5:U$27=1),'92_FEATURE_CONF_NUMERIC'!AR$5:AR$27)/MAX(1,COUNTIF('93_TARGET_MEMBERSHIP'!U$5:U$27,1)))*(SUMPRODUCT(--('93_TARGET_MEMBERSHIP'!U$5:U$27=-1),'92_FEATURE_CONF_NUMERIC'!AR$5:AR$27)/MAX(1,COUNTIF('93_TARGET_MEMBERSHIP'!U$5:U$27,-1)))))</f>
        <v/>
      </c>
    </row>
    <row r="25" ht="36" customHeight="1">
      <c r="A25" s="34">
        <f>'06_ITEM_POLE_MODEL'!A25</f>
        <v/>
      </c>
      <c r="B25" s="34">
        <f>'06_ITEM_POLE_MODEL'!E25</f>
        <v/>
      </c>
      <c r="C25" s="34">
        <f>IF($B25="ABSOLUTE SEMANTIC",'19_FEATURE_CONFIDENCE'!$D$5,SQRT((SUMPRODUCT(--('93_TARGET_MEMBERSHIP'!V$5:V$27=1),'92_FEATURE_CONF_NUMERIC'!D$5:D$27)/MAX(1,COUNTIF('93_TARGET_MEMBERSHIP'!V$5:V$27,1)))*(SUMPRODUCT(--('93_TARGET_MEMBERSHIP'!V$5:V$27=-1),'92_FEATURE_CONF_NUMERIC'!D$5:D$27)/MAX(1,COUNTIF('93_TARGET_MEMBERSHIP'!V$5:V$27,-1)))))</f>
        <v/>
      </c>
      <c r="D25" s="34">
        <f>IF($B25="ABSOLUTE SEMANTIC",'19_FEATURE_CONFIDENCE'!$D$6,SQRT((SUMPRODUCT(--('93_TARGET_MEMBERSHIP'!V$5:V$27=1),'92_FEATURE_CONF_NUMERIC'!E$5:E$27)/MAX(1,COUNTIF('93_TARGET_MEMBERSHIP'!V$5:V$27,1)))*(SUMPRODUCT(--('93_TARGET_MEMBERSHIP'!V$5:V$27=-1),'92_FEATURE_CONF_NUMERIC'!E$5:E$27)/MAX(1,COUNTIF('93_TARGET_MEMBERSHIP'!V$5:V$27,-1)))))</f>
        <v/>
      </c>
      <c r="E25" s="34">
        <f>IF($B25="ABSOLUTE SEMANTIC",'19_FEATURE_CONFIDENCE'!$D$7,SQRT((SUMPRODUCT(--('93_TARGET_MEMBERSHIP'!V$5:V$27=1),'92_FEATURE_CONF_NUMERIC'!F$5:F$27)/MAX(1,COUNTIF('93_TARGET_MEMBERSHIP'!V$5:V$27,1)))*(SUMPRODUCT(--('93_TARGET_MEMBERSHIP'!V$5:V$27=-1),'92_FEATURE_CONF_NUMERIC'!F$5:F$27)/MAX(1,COUNTIF('93_TARGET_MEMBERSHIP'!V$5:V$27,-1)))))</f>
        <v/>
      </c>
      <c r="F25" s="34">
        <f>IF($B25="ABSOLUTE SEMANTIC",'19_FEATURE_CONFIDENCE'!$D$8,SQRT((SUMPRODUCT(--('93_TARGET_MEMBERSHIP'!V$5:V$27=1),'92_FEATURE_CONF_NUMERIC'!G$5:G$27)/MAX(1,COUNTIF('93_TARGET_MEMBERSHIP'!V$5:V$27,1)))*(SUMPRODUCT(--('93_TARGET_MEMBERSHIP'!V$5:V$27=-1),'92_FEATURE_CONF_NUMERIC'!G$5:G$27)/MAX(1,COUNTIF('93_TARGET_MEMBERSHIP'!V$5:V$27,-1)))))</f>
        <v/>
      </c>
      <c r="G25" s="34">
        <f>IF($B25="ABSOLUTE SEMANTIC",'19_FEATURE_CONFIDENCE'!$D$9,SQRT((SUMPRODUCT(--('93_TARGET_MEMBERSHIP'!V$5:V$27=1),'92_FEATURE_CONF_NUMERIC'!H$5:H$27)/MAX(1,COUNTIF('93_TARGET_MEMBERSHIP'!V$5:V$27,1)))*(SUMPRODUCT(--('93_TARGET_MEMBERSHIP'!V$5:V$27=-1),'92_FEATURE_CONF_NUMERIC'!H$5:H$27)/MAX(1,COUNTIF('93_TARGET_MEMBERSHIP'!V$5:V$27,-1)))))</f>
        <v/>
      </c>
      <c r="H25" s="34">
        <f>IF($B25="ABSOLUTE SEMANTIC",'19_FEATURE_CONFIDENCE'!$D$10,SQRT((SUMPRODUCT(--('93_TARGET_MEMBERSHIP'!V$5:V$27=1),'92_FEATURE_CONF_NUMERIC'!I$5:I$27)/MAX(1,COUNTIF('93_TARGET_MEMBERSHIP'!V$5:V$27,1)))*(SUMPRODUCT(--('93_TARGET_MEMBERSHIP'!V$5:V$27=-1),'92_FEATURE_CONF_NUMERIC'!I$5:I$27)/MAX(1,COUNTIF('93_TARGET_MEMBERSHIP'!V$5:V$27,-1)))))</f>
        <v/>
      </c>
      <c r="I25" s="34">
        <f>IF($B25="ABSOLUTE SEMANTIC",'19_FEATURE_CONFIDENCE'!$D$11,SQRT((SUMPRODUCT(--('93_TARGET_MEMBERSHIP'!V$5:V$27=1),'92_FEATURE_CONF_NUMERIC'!J$5:J$27)/MAX(1,COUNTIF('93_TARGET_MEMBERSHIP'!V$5:V$27,1)))*(SUMPRODUCT(--('93_TARGET_MEMBERSHIP'!V$5:V$27=-1),'92_FEATURE_CONF_NUMERIC'!J$5:J$27)/MAX(1,COUNTIF('93_TARGET_MEMBERSHIP'!V$5:V$27,-1)))))</f>
        <v/>
      </c>
      <c r="J25" s="34">
        <f>IF($B25="ABSOLUTE SEMANTIC",'19_FEATURE_CONFIDENCE'!$D$12,SQRT((SUMPRODUCT(--('93_TARGET_MEMBERSHIP'!V$5:V$27=1),'92_FEATURE_CONF_NUMERIC'!K$5:K$27)/MAX(1,COUNTIF('93_TARGET_MEMBERSHIP'!V$5:V$27,1)))*(SUMPRODUCT(--('93_TARGET_MEMBERSHIP'!V$5:V$27=-1),'92_FEATURE_CONF_NUMERIC'!K$5:K$27)/MAX(1,COUNTIF('93_TARGET_MEMBERSHIP'!V$5:V$27,-1)))))</f>
        <v/>
      </c>
      <c r="K25" s="34">
        <f>IF($B25="ABSOLUTE SEMANTIC",'19_FEATURE_CONFIDENCE'!$D$13,SQRT((SUMPRODUCT(--('93_TARGET_MEMBERSHIP'!V$5:V$27=1),'92_FEATURE_CONF_NUMERIC'!L$5:L$27)/MAX(1,COUNTIF('93_TARGET_MEMBERSHIP'!V$5:V$27,1)))*(SUMPRODUCT(--('93_TARGET_MEMBERSHIP'!V$5:V$27=-1),'92_FEATURE_CONF_NUMERIC'!L$5:L$27)/MAX(1,COUNTIF('93_TARGET_MEMBERSHIP'!V$5:V$27,-1)))))</f>
        <v/>
      </c>
      <c r="L25" s="34">
        <f>IF($B25="ABSOLUTE SEMANTIC",'19_FEATURE_CONFIDENCE'!$D$14,SQRT((SUMPRODUCT(--('93_TARGET_MEMBERSHIP'!V$5:V$27=1),'92_FEATURE_CONF_NUMERIC'!M$5:M$27)/MAX(1,COUNTIF('93_TARGET_MEMBERSHIP'!V$5:V$27,1)))*(SUMPRODUCT(--('93_TARGET_MEMBERSHIP'!V$5:V$27=-1),'92_FEATURE_CONF_NUMERIC'!M$5:M$27)/MAX(1,COUNTIF('93_TARGET_MEMBERSHIP'!V$5:V$27,-1)))))</f>
        <v/>
      </c>
      <c r="M25" s="34">
        <f>IF($B25="ABSOLUTE SEMANTIC",'19_FEATURE_CONFIDENCE'!$D$15,SQRT((SUMPRODUCT(--('93_TARGET_MEMBERSHIP'!V$5:V$27=1),'92_FEATURE_CONF_NUMERIC'!N$5:N$27)/MAX(1,COUNTIF('93_TARGET_MEMBERSHIP'!V$5:V$27,1)))*(SUMPRODUCT(--('93_TARGET_MEMBERSHIP'!V$5:V$27=-1),'92_FEATURE_CONF_NUMERIC'!N$5:N$27)/MAX(1,COUNTIF('93_TARGET_MEMBERSHIP'!V$5:V$27,-1)))))</f>
        <v/>
      </c>
      <c r="N25" s="34">
        <f>IF($B25="ABSOLUTE SEMANTIC",'19_FEATURE_CONFIDENCE'!$D$16,SQRT((SUMPRODUCT(--('93_TARGET_MEMBERSHIP'!V$5:V$27=1),'92_FEATURE_CONF_NUMERIC'!O$5:O$27)/MAX(1,COUNTIF('93_TARGET_MEMBERSHIP'!V$5:V$27,1)))*(SUMPRODUCT(--('93_TARGET_MEMBERSHIP'!V$5:V$27=-1),'92_FEATURE_CONF_NUMERIC'!O$5:O$27)/MAX(1,COUNTIF('93_TARGET_MEMBERSHIP'!V$5:V$27,-1)))))</f>
        <v/>
      </c>
      <c r="O25" s="34">
        <f>IF($B25="ABSOLUTE SEMANTIC",'19_FEATURE_CONFIDENCE'!$D$17,SQRT((SUMPRODUCT(--('93_TARGET_MEMBERSHIP'!V$5:V$27=1),'92_FEATURE_CONF_NUMERIC'!P$5:P$27)/MAX(1,COUNTIF('93_TARGET_MEMBERSHIP'!V$5:V$27,1)))*(SUMPRODUCT(--('93_TARGET_MEMBERSHIP'!V$5:V$27=-1),'92_FEATURE_CONF_NUMERIC'!P$5:P$27)/MAX(1,COUNTIF('93_TARGET_MEMBERSHIP'!V$5:V$27,-1)))))</f>
        <v/>
      </c>
      <c r="P25" s="34">
        <f>IF($B25="ABSOLUTE SEMANTIC",'19_FEATURE_CONFIDENCE'!$D$18,SQRT((SUMPRODUCT(--('93_TARGET_MEMBERSHIP'!V$5:V$27=1),'92_FEATURE_CONF_NUMERIC'!Q$5:Q$27)/MAX(1,COUNTIF('93_TARGET_MEMBERSHIP'!V$5:V$27,1)))*(SUMPRODUCT(--('93_TARGET_MEMBERSHIP'!V$5:V$27=-1),'92_FEATURE_CONF_NUMERIC'!Q$5:Q$27)/MAX(1,COUNTIF('93_TARGET_MEMBERSHIP'!V$5:V$27,-1)))))</f>
        <v/>
      </c>
      <c r="Q25" s="34">
        <f>IF($B25="ABSOLUTE SEMANTIC",'19_FEATURE_CONFIDENCE'!$D$19,SQRT((SUMPRODUCT(--('93_TARGET_MEMBERSHIP'!V$5:V$27=1),'92_FEATURE_CONF_NUMERIC'!R$5:R$27)/MAX(1,COUNTIF('93_TARGET_MEMBERSHIP'!V$5:V$27,1)))*(SUMPRODUCT(--('93_TARGET_MEMBERSHIP'!V$5:V$27=-1),'92_FEATURE_CONF_NUMERIC'!R$5:R$27)/MAX(1,COUNTIF('93_TARGET_MEMBERSHIP'!V$5:V$27,-1)))))</f>
        <v/>
      </c>
      <c r="R25" s="34">
        <f>IF($B25="ABSOLUTE SEMANTIC",'19_FEATURE_CONFIDENCE'!$D$20,SQRT((SUMPRODUCT(--('93_TARGET_MEMBERSHIP'!V$5:V$27=1),'92_FEATURE_CONF_NUMERIC'!S$5:S$27)/MAX(1,COUNTIF('93_TARGET_MEMBERSHIP'!V$5:V$27,1)))*(SUMPRODUCT(--('93_TARGET_MEMBERSHIP'!V$5:V$27=-1),'92_FEATURE_CONF_NUMERIC'!S$5:S$27)/MAX(1,COUNTIF('93_TARGET_MEMBERSHIP'!V$5:V$27,-1)))))</f>
        <v/>
      </c>
      <c r="S25" s="34">
        <f>IF($B25="ABSOLUTE SEMANTIC",'19_FEATURE_CONFIDENCE'!$D$21,SQRT((SUMPRODUCT(--('93_TARGET_MEMBERSHIP'!V$5:V$27=1),'92_FEATURE_CONF_NUMERIC'!T$5:T$27)/MAX(1,COUNTIF('93_TARGET_MEMBERSHIP'!V$5:V$27,1)))*(SUMPRODUCT(--('93_TARGET_MEMBERSHIP'!V$5:V$27=-1),'92_FEATURE_CONF_NUMERIC'!T$5:T$27)/MAX(1,COUNTIF('93_TARGET_MEMBERSHIP'!V$5:V$27,-1)))))</f>
        <v/>
      </c>
      <c r="T25" s="34">
        <f>IF($B25="ABSOLUTE SEMANTIC",'19_FEATURE_CONFIDENCE'!$D$22,SQRT((SUMPRODUCT(--('93_TARGET_MEMBERSHIP'!V$5:V$27=1),'92_FEATURE_CONF_NUMERIC'!U$5:U$27)/MAX(1,COUNTIF('93_TARGET_MEMBERSHIP'!V$5:V$27,1)))*(SUMPRODUCT(--('93_TARGET_MEMBERSHIP'!V$5:V$27=-1),'92_FEATURE_CONF_NUMERIC'!U$5:U$27)/MAX(1,COUNTIF('93_TARGET_MEMBERSHIP'!V$5:V$27,-1)))))</f>
        <v/>
      </c>
      <c r="U25" s="34">
        <f>IF($B25="ABSOLUTE SEMANTIC",'19_FEATURE_CONFIDENCE'!$D$23,SQRT((SUMPRODUCT(--('93_TARGET_MEMBERSHIP'!V$5:V$27=1),'92_FEATURE_CONF_NUMERIC'!V$5:V$27)/MAX(1,COUNTIF('93_TARGET_MEMBERSHIP'!V$5:V$27,1)))*(SUMPRODUCT(--('93_TARGET_MEMBERSHIP'!V$5:V$27=-1),'92_FEATURE_CONF_NUMERIC'!V$5:V$27)/MAX(1,COUNTIF('93_TARGET_MEMBERSHIP'!V$5:V$27,-1)))))</f>
        <v/>
      </c>
      <c r="V25" s="34">
        <f>IF($B25="ABSOLUTE SEMANTIC",'19_FEATURE_CONFIDENCE'!$D$24,SQRT((SUMPRODUCT(--('93_TARGET_MEMBERSHIP'!V$5:V$27=1),'92_FEATURE_CONF_NUMERIC'!W$5:W$27)/MAX(1,COUNTIF('93_TARGET_MEMBERSHIP'!V$5:V$27,1)))*(SUMPRODUCT(--('93_TARGET_MEMBERSHIP'!V$5:V$27=-1),'92_FEATURE_CONF_NUMERIC'!W$5:W$27)/MAX(1,COUNTIF('93_TARGET_MEMBERSHIP'!V$5:V$27,-1)))))</f>
        <v/>
      </c>
      <c r="W25" s="34">
        <f>IF($B25="ABSOLUTE SEMANTIC",'19_FEATURE_CONFIDENCE'!$D$25,SQRT((SUMPRODUCT(--('93_TARGET_MEMBERSHIP'!V$5:V$27=1),'92_FEATURE_CONF_NUMERIC'!X$5:X$27)/MAX(1,COUNTIF('93_TARGET_MEMBERSHIP'!V$5:V$27,1)))*(SUMPRODUCT(--('93_TARGET_MEMBERSHIP'!V$5:V$27=-1),'92_FEATURE_CONF_NUMERIC'!X$5:X$27)/MAX(1,COUNTIF('93_TARGET_MEMBERSHIP'!V$5:V$27,-1)))))</f>
        <v/>
      </c>
      <c r="X25" s="34">
        <f>IF($B25="ABSOLUTE SEMANTIC",'19_FEATURE_CONFIDENCE'!$D$26,SQRT((SUMPRODUCT(--('93_TARGET_MEMBERSHIP'!V$5:V$27=1),'92_FEATURE_CONF_NUMERIC'!Y$5:Y$27)/MAX(1,COUNTIF('93_TARGET_MEMBERSHIP'!V$5:V$27,1)))*(SUMPRODUCT(--('93_TARGET_MEMBERSHIP'!V$5:V$27=-1),'92_FEATURE_CONF_NUMERIC'!Y$5:Y$27)/MAX(1,COUNTIF('93_TARGET_MEMBERSHIP'!V$5:V$27,-1)))))</f>
        <v/>
      </c>
      <c r="Y25" s="34">
        <f>IF($B25="ABSOLUTE SEMANTIC",'19_FEATURE_CONFIDENCE'!$D$27,SQRT((SUMPRODUCT(--('93_TARGET_MEMBERSHIP'!V$5:V$27=1),'92_FEATURE_CONF_NUMERIC'!Z$5:Z$27)/MAX(1,COUNTIF('93_TARGET_MEMBERSHIP'!V$5:V$27,1)))*(SUMPRODUCT(--('93_TARGET_MEMBERSHIP'!V$5:V$27=-1),'92_FEATURE_CONF_NUMERIC'!Z$5:Z$27)/MAX(1,COUNTIF('93_TARGET_MEMBERSHIP'!V$5:V$27,-1)))))</f>
        <v/>
      </c>
      <c r="Z25" s="34">
        <f>IF($B25="ABSOLUTE SEMANTIC",'19_FEATURE_CONFIDENCE'!$D$28,SQRT((SUMPRODUCT(--('93_TARGET_MEMBERSHIP'!V$5:V$27=1),'92_FEATURE_CONF_NUMERIC'!AA$5:AA$27)/MAX(1,COUNTIF('93_TARGET_MEMBERSHIP'!V$5:V$27,1)))*(SUMPRODUCT(--('93_TARGET_MEMBERSHIP'!V$5:V$27=-1),'92_FEATURE_CONF_NUMERIC'!AA$5:AA$27)/MAX(1,COUNTIF('93_TARGET_MEMBERSHIP'!V$5:V$27,-1)))))</f>
        <v/>
      </c>
      <c r="AA25" s="34">
        <f>IF($B25="ABSOLUTE SEMANTIC",'19_FEATURE_CONFIDENCE'!$D$29,SQRT((SUMPRODUCT(--('93_TARGET_MEMBERSHIP'!V$5:V$27=1),'92_FEATURE_CONF_NUMERIC'!AB$5:AB$27)/MAX(1,COUNTIF('93_TARGET_MEMBERSHIP'!V$5:V$27,1)))*(SUMPRODUCT(--('93_TARGET_MEMBERSHIP'!V$5:V$27=-1),'92_FEATURE_CONF_NUMERIC'!AB$5:AB$27)/MAX(1,COUNTIF('93_TARGET_MEMBERSHIP'!V$5:V$27,-1)))))</f>
        <v/>
      </c>
      <c r="AB25" s="34">
        <f>IF($B25="ABSOLUTE SEMANTIC",'19_FEATURE_CONFIDENCE'!$D$30,SQRT((SUMPRODUCT(--('93_TARGET_MEMBERSHIP'!V$5:V$27=1),'92_FEATURE_CONF_NUMERIC'!AC$5:AC$27)/MAX(1,COUNTIF('93_TARGET_MEMBERSHIP'!V$5:V$27,1)))*(SUMPRODUCT(--('93_TARGET_MEMBERSHIP'!V$5:V$27=-1),'92_FEATURE_CONF_NUMERIC'!AC$5:AC$27)/MAX(1,COUNTIF('93_TARGET_MEMBERSHIP'!V$5:V$27,-1)))))</f>
        <v/>
      </c>
      <c r="AC25" s="34">
        <f>IF($B25="ABSOLUTE SEMANTIC",'19_FEATURE_CONFIDENCE'!$D$31,SQRT((SUMPRODUCT(--('93_TARGET_MEMBERSHIP'!V$5:V$27=1),'92_FEATURE_CONF_NUMERIC'!AD$5:AD$27)/MAX(1,COUNTIF('93_TARGET_MEMBERSHIP'!V$5:V$27,1)))*(SUMPRODUCT(--('93_TARGET_MEMBERSHIP'!V$5:V$27=-1),'92_FEATURE_CONF_NUMERIC'!AD$5:AD$27)/MAX(1,COUNTIF('93_TARGET_MEMBERSHIP'!V$5:V$27,-1)))))</f>
        <v/>
      </c>
      <c r="AD25" s="34">
        <f>IF($B25="ABSOLUTE SEMANTIC",'19_FEATURE_CONFIDENCE'!$D$32,SQRT((SUMPRODUCT(--('93_TARGET_MEMBERSHIP'!V$5:V$27=1),'92_FEATURE_CONF_NUMERIC'!AE$5:AE$27)/MAX(1,COUNTIF('93_TARGET_MEMBERSHIP'!V$5:V$27,1)))*(SUMPRODUCT(--('93_TARGET_MEMBERSHIP'!V$5:V$27=-1),'92_FEATURE_CONF_NUMERIC'!AE$5:AE$27)/MAX(1,COUNTIF('93_TARGET_MEMBERSHIP'!V$5:V$27,-1)))))</f>
        <v/>
      </c>
      <c r="AE25" s="34">
        <f>IF($B25="ABSOLUTE SEMANTIC",'19_FEATURE_CONFIDENCE'!$D$33,SQRT((SUMPRODUCT(--('93_TARGET_MEMBERSHIP'!V$5:V$27=1),'92_FEATURE_CONF_NUMERIC'!AF$5:AF$27)/MAX(1,COUNTIF('93_TARGET_MEMBERSHIP'!V$5:V$27,1)))*(SUMPRODUCT(--('93_TARGET_MEMBERSHIP'!V$5:V$27=-1),'92_FEATURE_CONF_NUMERIC'!AF$5:AF$27)/MAX(1,COUNTIF('93_TARGET_MEMBERSHIP'!V$5:V$27,-1)))))</f>
        <v/>
      </c>
      <c r="AF25" s="34">
        <f>IF($B25="ABSOLUTE SEMANTIC",'19_FEATURE_CONFIDENCE'!$D$34,SQRT((SUMPRODUCT(--('93_TARGET_MEMBERSHIP'!V$5:V$27=1),'92_FEATURE_CONF_NUMERIC'!AG$5:AG$27)/MAX(1,COUNTIF('93_TARGET_MEMBERSHIP'!V$5:V$27,1)))*(SUMPRODUCT(--('93_TARGET_MEMBERSHIP'!V$5:V$27=-1),'92_FEATURE_CONF_NUMERIC'!AG$5:AG$27)/MAX(1,COUNTIF('93_TARGET_MEMBERSHIP'!V$5:V$27,-1)))))</f>
        <v/>
      </c>
      <c r="AG25" s="34">
        <f>IF($B25="ABSOLUTE SEMANTIC",'19_FEATURE_CONFIDENCE'!$D$35,SQRT((SUMPRODUCT(--('93_TARGET_MEMBERSHIP'!V$5:V$27=1),'92_FEATURE_CONF_NUMERIC'!AH$5:AH$27)/MAX(1,COUNTIF('93_TARGET_MEMBERSHIP'!V$5:V$27,1)))*(SUMPRODUCT(--('93_TARGET_MEMBERSHIP'!V$5:V$27=-1),'92_FEATURE_CONF_NUMERIC'!AH$5:AH$27)/MAX(1,COUNTIF('93_TARGET_MEMBERSHIP'!V$5:V$27,-1)))))</f>
        <v/>
      </c>
      <c r="AH25" s="34">
        <f>IF($B25="ABSOLUTE SEMANTIC",'19_FEATURE_CONFIDENCE'!$D$36,SQRT((SUMPRODUCT(--('93_TARGET_MEMBERSHIP'!V$5:V$27=1),'92_FEATURE_CONF_NUMERIC'!AI$5:AI$27)/MAX(1,COUNTIF('93_TARGET_MEMBERSHIP'!V$5:V$27,1)))*(SUMPRODUCT(--('93_TARGET_MEMBERSHIP'!V$5:V$27=-1),'92_FEATURE_CONF_NUMERIC'!AI$5:AI$27)/MAX(1,COUNTIF('93_TARGET_MEMBERSHIP'!V$5:V$27,-1)))))</f>
        <v/>
      </c>
      <c r="AI25" s="34">
        <f>IF($B25="ABSOLUTE SEMANTIC",'19_FEATURE_CONFIDENCE'!$D$37,SQRT((SUMPRODUCT(--('93_TARGET_MEMBERSHIP'!V$5:V$27=1),'92_FEATURE_CONF_NUMERIC'!AJ$5:AJ$27)/MAX(1,COUNTIF('93_TARGET_MEMBERSHIP'!V$5:V$27,1)))*(SUMPRODUCT(--('93_TARGET_MEMBERSHIP'!V$5:V$27=-1),'92_FEATURE_CONF_NUMERIC'!AJ$5:AJ$27)/MAX(1,COUNTIF('93_TARGET_MEMBERSHIP'!V$5:V$27,-1)))))</f>
        <v/>
      </c>
      <c r="AJ25" s="34">
        <f>IF($B25="ABSOLUTE SEMANTIC",'19_FEATURE_CONFIDENCE'!$D$38,SQRT((SUMPRODUCT(--('93_TARGET_MEMBERSHIP'!V$5:V$27=1),'92_FEATURE_CONF_NUMERIC'!AK$5:AK$27)/MAX(1,COUNTIF('93_TARGET_MEMBERSHIP'!V$5:V$27,1)))*(SUMPRODUCT(--('93_TARGET_MEMBERSHIP'!V$5:V$27=-1),'92_FEATURE_CONF_NUMERIC'!AK$5:AK$27)/MAX(1,COUNTIF('93_TARGET_MEMBERSHIP'!V$5:V$27,-1)))))</f>
        <v/>
      </c>
      <c r="AK25" s="34">
        <f>IF($B25="ABSOLUTE SEMANTIC",'19_FEATURE_CONFIDENCE'!$D$39,SQRT((SUMPRODUCT(--('93_TARGET_MEMBERSHIP'!V$5:V$27=1),'92_FEATURE_CONF_NUMERIC'!AL$5:AL$27)/MAX(1,COUNTIF('93_TARGET_MEMBERSHIP'!V$5:V$27,1)))*(SUMPRODUCT(--('93_TARGET_MEMBERSHIP'!V$5:V$27=-1),'92_FEATURE_CONF_NUMERIC'!AL$5:AL$27)/MAX(1,COUNTIF('93_TARGET_MEMBERSHIP'!V$5:V$27,-1)))))</f>
        <v/>
      </c>
      <c r="AL25" s="34">
        <f>IF($B25="ABSOLUTE SEMANTIC",'19_FEATURE_CONFIDENCE'!$D$40,SQRT((SUMPRODUCT(--('93_TARGET_MEMBERSHIP'!V$5:V$27=1),'92_FEATURE_CONF_NUMERIC'!AM$5:AM$27)/MAX(1,COUNTIF('93_TARGET_MEMBERSHIP'!V$5:V$27,1)))*(SUMPRODUCT(--('93_TARGET_MEMBERSHIP'!V$5:V$27=-1),'92_FEATURE_CONF_NUMERIC'!AM$5:AM$27)/MAX(1,COUNTIF('93_TARGET_MEMBERSHIP'!V$5:V$27,-1)))))</f>
        <v/>
      </c>
      <c r="AM25" s="34">
        <f>IF($B25="ABSOLUTE SEMANTIC",'19_FEATURE_CONFIDENCE'!$D$41,SQRT((SUMPRODUCT(--('93_TARGET_MEMBERSHIP'!V$5:V$27=1),'92_FEATURE_CONF_NUMERIC'!AN$5:AN$27)/MAX(1,COUNTIF('93_TARGET_MEMBERSHIP'!V$5:V$27,1)))*(SUMPRODUCT(--('93_TARGET_MEMBERSHIP'!V$5:V$27=-1),'92_FEATURE_CONF_NUMERIC'!AN$5:AN$27)/MAX(1,COUNTIF('93_TARGET_MEMBERSHIP'!V$5:V$27,-1)))))</f>
        <v/>
      </c>
      <c r="AN25" s="34">
        <f>IF($B25="ABSOLUTE SEMANTIC",'19_FEATURE_CONFIDENCE'!$D$42,SQRT((SUMPRODUCT(--('93_TARGET_MEMBERSHIP'!V$5:V$27=1),'92_FEATURE_CONF_NUMERIC'!AO$5:AO$27)/MAX(1,COUNTIF('93_TARGET_MEMBERSHIP'!V$5:V$27,1)))*(SUMPRODUCT(--('93_TARGET_MEMBERSHIP'!V$5:V$27=-1),'92_FEATURE_CONF_NUMERIC'!AO$5:AO$27)/MAX(1,COUNTIF('93_TARGET_MEMBERSHIP'!V$5:V$27,-1)))))</f>
        <v/>
      </c>
      <c r="AO25" s="34">
        <f>IF($B25="ABSOLUTE SEMANTIC",'19_FEATURE_CONFIDENCE'!$D$43,SQRT((SUMPRODUCT(--('93_TARGET_MEMBERSHIP'!V$5:V$27=1),'92_FEATURE_CONF_NUMERIC'!AP$5:AP$27)/MAX(1,COUNTIF('93_TARGET_MEMBERSHIP'!V$5:V$27,1)))*(SUMPRODUCT(--('93_TARGET_MEMBERSHIP'!V$5:V$27=-1),'92_FEATURE_CONF_NUMERIC'!AP$5:AP$27)/MAX(1,COUNTIF('93_TARGET_MEMBERSHIP'!V$5:V$27,-1)))))</f>
        <v/>
      </c>
      <c r="AP25" s="34">
        <f>IF($B25="ABSOLUTE SEMANTIC",'19_FEATURE_CONFIDENCE'!$D$44,SQRT((SUMPRODUCT(--('93_TARGET_MEMBERSHIP'!V$5:V$27=1),'92_FEATURE_CONF_NUMERIC'!AQ$5:AQ$27)/MAX(1,COUNTIF('93_TARGET_MEMBERSHIP'!V$5:V$27,1)))*(SUMPRODUCT(--('93_TARGET_MEMBERSHIP'!V$5:V$27=-1),'92_FEATURE_CONF_NUMERIC'!AQ$5:AQ$27)/MAX(1,COUNTIF('93_TARGET_MEMBERSHIP'!V$5:V$27,-1)))))</f>
        <v/>
      </c>
      <c r="AQ25" s="34">
        <f>IF($B25="ABSOLUTE SEMANTIC",'19_FEATURE_CONFIDENCE'!$D$45,SQRT((SUMPRODUCT(--('93_TARGET_MEMBERSHIP'!V$5:V$27=1),'92_FEATURE_CONF_NUMERIC'!AR$5:AR$27)/MAX(1,COUNTIF('93_TARGET_MEMBERSHIP'!V$5:V$27,1)))*(SUMPRODUCT(--('93_TARGET_MEMBERSHIP'!V$5:V$27=-1),'92_FEATURE_CONF_NUMERIC'!AR$5:AR$27)/MAX(1,COUNTIF('93_TARGET_MEMBERSHIP'!V$5:V$27,-1)))))</f>
        <v/>
      </c>
    </row>
    <row r="26" ht="36" customHeight="1">
      <c r="A26" s="34">
        <f>'06_ITEM_POLE_MODEL'!A26</f>
        <v/>
      </c>
      <c r="B26" s="34">
        <f>'06_ITEM_POLE_MODEL'!E26</f>
        <v/>
      </c>
      <c r="C26" s="34">
        <f>IF($B26="ABSOLUTE SEMANTIC",'19_FEATURE_CONFIDENCE'!$D$5,SQRT((SUMPRODUCT(--('93_TARGET_MEMBERSHIP'!W$5:W$27=1),'92_FEATURE_CONF_NUMERIC'!D$5:D$27)/MAX(1,COUNTIF('93_TARGET_MEMBERSHIP'!W$5:W$27,1)))*(SUMPRODUCT(--('93_TARGET_MEMBERSHIP'!W$5:W$27=-1),'92_FEATURE_CONF_NUMERIC'!D$5:D$27)/MAX(1,COUNTIF('93_TARGET_MEMBERSHIP'!W$5:W$27,-1)))))</f>
        <v/>
      </c>
      <c r="D26" s="34">
        <f>IF($B26="ABSOLUTE SEMANTIC",'19_FEATURE_CONFIDENCE'!$D$6,SQRT((SUMPRODUCT(--('93_TARGET_MEMBERSHIP'!W$5:W$27=1),'92_FEATURE_CONF_NUMERIC'!E$5:E$27)/MAX(1,COUNTIF('93_TARGET_MEMBERSHIP'!W$5:W$27,1)))*(SUMPRODUCT(--('93_TARGET_MEMBERSHIP'!W$5:W$27=-1),'92_FEATURE_CONF_NUMERIC'!E$5:E$27)/MAX(1,COUNTIF('93_TARGET_MEMBERSHIP'!W$5:W$27,-1)))))</f>
        <v/>
      </c>
      <c r="E26" s="34">
        <f>IF($B26="ABSOLUTE SEMANTIC",'19_FEATURE_CONFIDENCE'!$D$7,SQRT((SUMPRODUCT(--('93_TARGET_MEMBERSHIP'!W$5:W$27=1),'92_FEATURE_CONF_NUMERIC'!F$5:F$27)/MAX(1,COUNTIF('93_TARGET_MEMBERSHIP'!W$5:W$27,1)))*(SUMPRODUCT(--('93_TARGET_MEMBERSHIP'!W$5:W$27=-1),'92_FEATURE_CONF_NUMERIC'!F$5:F$27)/MAX(1,COUNTIF('93_TARGET_MEMBERSHIP'!W$5:W$27,-1)))))</f>
        <v/>
      </c>
      <c r="F26" s="34">
        <f>IF($B26="ABSOLUTE SEMANTIC",'19_FEATURE_CONFIDENCE'!$D$8,SQRT((SUMPRODUCT(--('93_TARGET_MEMBERSHIP'!W$5:W$27=1),'92_FEATURE_CONF_NUMERIC'!G$5:G$27)/MAX(1,COUNTIF('93_TARGET_MEMBERSHIP'!W$5:W$27,1)))*(SUMPRODUCT(--('93_TARGET_MEMBERSHIP'!W$5:W$27=-1),'92_FEATURE_CONF_NUMERIC'!G$5:G$27)/MAX(1,COUNTIF('93_TARGET_MEMBERSHIP'!W$5:W$27,-1)))))</f>
        <v/>
      </c>
      <c r="G26" s="34">
        <f>IF($B26="ABSOLUTE SEMANTIC",'19_FEATURE_CONFIDENCE'!$D$9,SQRT((SUMPRODUCT(--('93_TARGET_MEMBERSHIP'!W$5:W$27=1),'92_FEATURE_CONF_NUMERIC'!H$5:H$27)/MAX(1,COUNTIF('93_TARGET_MEMBERSHIP'!W$5:W$27,1)))*(SUMPRODUCT(--('93_TARGET_MEMBERSHIP'!W$5:W$27=-1),'92_FEATURE_CONF_NUMERIC'!H$5:H$27)/MAX(1,COUNTIF('93_TARGET_MEMBERSHIP'!W$5:W$27,-1)))))</f>
        <v/>
      </c>
      <c r="H26" s="34">
        <f>IF($B26="ABSOLUTE SEMANTIC",'19_FEATURE_CONFIDENCE'!$D$10,SQRT((SUMPRODUCT(--('93_TARGET_MEMBERSHIP'!W$5:W$27=1),'92_FEATURE_CONF_NUMERIC'!I$5:I$27)/MAX(1,COUNTIF('93_TARGET_MEMBERSHIP'!W$5:W$27,1)))*(SUMPRODUCT(--('93_TARGET_MEMBERSHIP'!W$5:W$27=-1),'92_FEATURE_CONF_NUMERIC'!I$5:I$27)/MAX(1,COUNTIF('93_TARGET_MEMBERSHIP'!W$5:W$27,-1)))))</f>
        <v/>
      </c>
      <c r="I26" s="34">
        <f>IF($B26="ABSOLUTE SEMANTIC",'19_FEATURE_CONFIDENCE'!$D$11,SQRT((SUMPRODUCT(--('93_TARGET_MEMBERSHIP'!W$5:W$27=1),'92_FEATURE_CONF_NUMERIC'!J$5:J$27)/MAX(1,COUNTIF('93_TARGET_MEMBERSHIP'!W$5:W$27,1)))*(SUMPRODUCT(--('93_TARGET_MEMBERSHIP'!W$5:W$27=-1),'92_FEATURE_CONF_NUMERIC'!J$5:J$27)/MAX(1,COUNTIF('93_TARGET_MEMBERSHIP'!W$5:W$27,-1)))))</f>
        <v/>
      </c>
      <c r="J26" s="34">
        <f>IF($B26="ABSOLUTE SEMANTIC",'19_FEATURE_CONFIDENCE'!$D$12,SQRT((SUMPRODUCT(--('93_TARGET_MEMBERSHIP'!W$5:W$27=1),'92_FEATURE_CONF_NUMERIC'!K$5:K$27)/MAX(1,COUNTIF('93_TARGET_MEMBERSHIP'!W$5:W$27,1)))*(SUMPRODUCT(--('93_TARGET_MEMBERSHIP'!W$5:W$27=-1),'92_FEATURE_CONF_NUMERIC'!K$5:K$27)/MAX(1,COUNTIF('93_TARGET_MEMBERSHIP'!W$5:W$27,-1)))))</f>
        <v/>
      </c>
      <c r="K26" s="34">
        <f>IF($B26="ABSOLUTE SEMANTIC",'19_FEATURE_CONFIDENCE'!$D$13,SQRT((SUMPRODUCT(--('93_TARGET_MEMBERSHIP'!W$5:W$27=1),'92_FEATURE_CONF_NUMERIC'!L$5:L$27)/MAX(1,COUNTIF('93_TARGET_MEMBERSHIP'!W$5:W$27,1)))*(SUMPRODUCT(--('93_TARGET_MEMBERSHIP'!W$5:W$27=-1),'92_FEATURE_CONF_NUMERIC'!L$5:L$27)/MAX(1,COUNTIF('93_TARGET_MEMBERSHIP'!W$5:W$27,-1)))))</f>
        <v/>
      </c>
      <c r="L26" s="34">
        <f>IF($B26="ABSOLUTE SEMANTIC",'19_FEATURE_CONFIDENCE'!$D$14,SQRT((SUMPRODUCT(--('93_TARGET_MEMBERSHIP'!W$5:W$27=1),'92_FEATURE_CONF_NUMERIC'!M$5:M$27)/MAX(1,COUNTIF('93_TARGET_MEMBERSHIP'!W$5:W$27,1)))*(SUMPRODUCT(--('93_TARGET_MEMBERSHIP'!W$5:W$27=-1),'92_FEATURE_CONF_NUMERIC'!M$5:M$27)/MAX(1,COUNTIF('93_TARGET_MEMBERSHIP'!W$5:W$27,-1)))))</f>
        <v/>
      </c>
      <c r="M26" s="34">
        <f>IF($B26="ABSOLUTE SEMANTIC",'19_FEATURE_CONFIDENCE'!$D$15,SQRT((SUMPRODUCT(--('93_TARGET_MEMBERSHIP'!W$5:W$27=1),'92_FEATURE_CONF_NUMERIC'!N$5:N$27)/MAX(1,COUNTIF('93_TARGET_MEMBERSHIP'!W$5:W$27,1)))*(SUMPRODUCT(--('93_TARGET_MEMBERSHIP'!W$5:W$27=-1),'92_FEATURE_CONF_NUMERIC'!N$5:N$27)/MAX(1,COUNTIF('93_TARGET_MEMBERSHIP'!W$5:W$27,-1)))))</f>
        <v/>
      </c>
      <c r="N26" s="34">
        <f>IF($B26="ABSOLUTE SEMANTIC",'19_FEATURE_CONFIDENCE'!$D$16,SQRT((SUMPRODUCT(--('93_TARGET_MEMBERSHIP'!W$5:W$27=1),'92_FEATURE_CONF_NUMERIC'!O$5:O$27)/MAX(1,COUNTIF('93_TARGET_MEMBERSHIP'!W$5:W$27,1)))*(SUMPRODUCT(--('93_TARGET_MEMBERSHIP'!W$5:W$27=-1),'92_FEATURE_CONF_NUMERIC'!O$5:O$27)/MAX(1,COUNTIF('93_TARGET_MEMBERSHIP'!W$5:W$27,-1)))))</f>
        <v/>
      </c>
      <c r="O26" s="34">
        <f>IF($B26="ABSOLUTE SEMANTIC",'19_FEATURE_CONFIDENCE'!$D$17,SQRT((SUMPRODUCT(--('93_TARGET_MEMBERSHIP'!W$5:W$27=1),'92_FEATURE_CONF_NUMERIC'!P$5:P$27)/MAX(1,COUNTIF('93_TARGET_MEMBERSHIP'!W$5:W$27,1)))*(SUMPRODUCT(--('93_TARGET_MEMBERSHIP'!W$5:W$27=-1),'92_FEATURE_CONF_NUMERIC'!P$5:P$27)/MAX(1,COUNTIF('93_TARGET_MEMBERSHIP'!W$5:W$27,-1)))))</f>
        <v/>
      </c>
      <c r="P26" s="34">
        <f>IF($B26="ABSOLUTE SEMANTIC",'19_FEATURE_CONFIDENCE'!$D$18,SQRT((SUMPRODUCT(--('93_TARGET_MEMBERSHIP'!W$5:W$27=1),'92_FEATURE_CONF_NUMERIC'!Q$5:Q$27)/MAX(1,COUNTIF('93_TARGET_MEMBERSHIP'!W$5:W$27,1)))*(SUMPRODUCT(--('93_TARGET_MEMBERSHIP'!W$5:W$27=-1),'92_FEATURE_CONF_NUMERIC'!Q$5:Q$27)/MAX(1,COUNTIF('93_TARGET_MEMBERSHIP'!W$5:W$27,-1)))))</f>
        <v/>
      </c>
      <c r="Q26" s="34">
        <f>IF($B26="ABSOLUTE SEMANTIC",'19_FEATURE_CONFIDENCE'!$D$19,SQRT((SUMPRODUCT(--('93_TARGET_MEMBERSHIP'!W$5:W$27=1),'92_FEATURE_CONF_NUMERIC'!R$5:R$27)/MAX(1,COUNTIF('93_TARGET_MEMBERSHIP'!W$5:W$27,1)))*(SUMPRODUCT(--('93_TARGET_MEMBERSHIP'!W$5:W$27=-1),'92_FEATURE_CONF_NUMERIC'!R$5:R$27)/MAX(1,COUNTIF('93_TARGET_MEMBERSHIP'!W$5:W$27,-1)))))</f>
        <v/>
      </c>
      <c r="R26" s="34">
        <f>IF($B26="ABSOLUTE SEMANTIC",'19_FEATURE_CONFIDENCE'!$D$20,SQRT((SUMPRODUCT(--('93_TARGET_MEMBERSHIP'!W$5:W$27=1),'92_FEATURE_CONF_NUMERIC'!S$5:S$27)/MAX(1,COUNTIF('93_TARGET_MEMBERSHIP'!W$5:W$27,1)))*(SUMPRODUCT(--('93_TARGET_MEMBERSHIP'!W$5:W$27=-1),'92_FEATURE_CONF_NUMERIC'!S$5:S$27)/MAX(1,COUNTIF('93_TARGET_MEMBERSHIP'!W$5:W$27,-1)))))</f>
        <v/>
      </c>
      <c r="S26" s="34">
        <f>IF($B26="ABSOLUTE SEMANTIC",'19_FEATURE_CONFIDENCE'!$D$21,SQRT((SUMPRODUCT(--('93_TARGET_MEMBERSHIP'!W$5:W$27=1),'92_FEATURE_CONF_NUMERIC'!T$5:T$27)/MAX(1,COUNTIF('93_TARGET_MEMBERSHIP'!W$5:W$27,1)))*(SUMPRODUCT(--('93_TARGET_MEMBERSHIP'!W$5:W$27=-1),'92_FEATURE_CONF_NUMERIC'!T$5:T$27)/MAX(1,COUNTIF('93_TARGET_MEMBERSHIP'!W$5:W$27,-1)))))</f>
        <v/>
      </c>
      <c r="T26" s="34">
        <f>IF($B26="ABSOLUTE SEMANTIC",'19_FEATURE_CONFIDENCE'!$D$22,SQRT((SUMPRODUCT(--('93_TARGET_MEMBERSHIP'!W$5:W$27=1),'92_FEATURE_CONF_NUMERIC'!U$5:U$27)/MAX(1,COUNTIF('93_TARGET_MEMBERSHIP'!W$5:W$27,1)))*(SUMPRODUCT(--('93_TARGET_MEMBERSHIP'!W$5:W$27=-1),'92_FEATURE_CONF_NUMERIC'!U$5:U$27)/MAX(1,COUNTIF('93_TARGET_MEMBERSHIP'!W$5:W$27,-1)))))</f>
        <v/>
      </c>
      <c r="U26" s="34">
        <f>IF($B26="ABSOLUTE SEMANTIC",'19_FEATURE_CONFIDENCE'!$D$23,SQRT((SUMPRODUCT(--('93_TARGET_MEMBERSHIP'!W$5:W$27=1),'92_FEATURE_CONF_NUMERIC'!V$5:V$27)/MAX(1,COUNTIF('93_TARGET_MEMBERSHIP'!W$5:W$27,1)))*(SUMPRODUCT(--('93_TARGET_MEMBERSHIP'!W$5:W$27=-1),'92_FEATURE_CONF_NUMERIC'!V$5:V$27)/MAX(1,COUNTIF('93_TARGET_MEMBERSHIP'!W$5:W$27,-1)))))</f>
        <v/>
      </c>
      <c r="V26" s="34">
        <f>IF($B26="ABSOLUTE SEMANTIC",'19_FEATURE_CONFIDENCE'!$D$24,SQRT((SUMPRODUCT(--('93_TARGET_MEMBERSHIP'!W$5:W$27=1),'92_FEATURE_CONF_NUMERIC'!W$5:W$27)/MAX(1,COUNTIF('93_TARGET_MEMBERSHIP'!W$5:W$27,1)))*(SUMPRODUCT(--('93_TARGET_MEMBERSHIP'!W$5:W$27=-1),'92_FEATURE_CONF_NUMERIC'!W$5:W$27)/MAX(1,COUNTIF('93_TARGET_MEMBERSHIP'!W$5:W$27,-1)))))</f>
        <v/>
      </c>
      <c r="W26" s="34">
        <f>IF($B26="ABSOLUTE SEMANTIC",'19_FEATURE_CONFIDENCE'!$D$25,SQRT((SUMPRODUCT(--('93_TARGET_MEMBERSHIP'!W$5:W$27=1),'92_FEATURE_CONF_NUMERIC'!X$5:X$27)/MAX(1,COUNTIF('93_TARGET_MEMBERSHIP'!W$5:W$27,1)))*(SUMPRODUCT(--('93_TARGET_MEMBERSHIP'!W$5:W$27=-1),'92_FEATURE_CONF_NUMERIC'!X$5:X$27)/MAX(1,COUNTIF('93_TARGET_MEMBERSHIP'!W$5:W$27,-1)))))</f>
        <v/>
      </c>
      <c r="X26" s="34">
        <f>IF($B26="ABSOLUTE SEMANTIC",'19_FEATURE_CONFIDENCE'!$D$26,SQRT((SUMPRODUCT(--('93_TARGET_MEMBERSHIP'!W$5:W$27=1),'92_FEATURE_CONF_NUMERIC'!Y$5:Y$27)/MAX(1,COUNTIF('93_TARGET_MEMBERSHIP'!W$5:W$27,1)))*(SUMPRODUCT(--('93_TARGET_MEMBERSHIP'!W$5:W$27=-1),'92_FEATURE_CONF_NUMERIC'!Y$5:Y$27)/MAX(1,COUNTIF('93_TARGET_MEMBERSHIP'!W$5:W$27,-1)))))</f>
        <v/>
      </c>
      <c r="Y26" s="34">
        <f>IF($B26="ABSOLUTE SEMANTIC",'19_FEATURE_CONFIDENCE'!$D$27,SQRT((SUMPRODUCT(--('93_TARGET_MEMBERSHIP'!W$5:W$27=1),'92_FEATURE_CONF_NUMERIC'!Z$5:Z$27)/MAX(1,COUNTIF('93_TARGET_MEMBERSHIP'!W$5:W$27,1)))*(SUMPRODUCT(--('93_TARGET_MEMBERSHIP'!W$5:W$27=-1),'92_FEATURE_CONF_NUMERIC'!Z$5:Z$27)/MAX(1,COUNTIF('93_TARGET_MEMBERSHIP'!W$5:W$27,-1)))))</f>
        <v/>
      </c>
      <c r="Z26" s="34">
        <f>IF($B26="ABSOLUTE SEMANTIC",'19_FEATURE_CONFIDENCE'!$D$28,SQRT((SUMPRODUCT(--('93_TARGET_MEMBERSHIP'!W$5:W$27=1),'92_FEATURE_CONF_NUMERIC'!AA$5:AA$27)/MAX(1,COUNTIF('93_TARGET_MEMBERSHIP'!W$5:W$27,1)))*(SUMPRODUCT(--('93_TARGET_MEMBERSHIP'!W$5:W$27=-1),'92_FEATURE_CONF_NUMERIC'!AA$5:AA$27)/MAX(1,COUNTIF('93_TARGET_MEMBERSHIP'!W$5:W$27,-1)))))</f>
        <v/>
      </c>
      <c r="AA26" s="34">
        <f>IF($B26="ABSOLUTE SEMANTIC",'19_FEATURE_CONFIDENCE'!$D$29,SQRT((SUMPRODUCT(--('93_TARGET_MEMBERSHIP'!W$5:W$27=1),'92_FEATURE_CONF_NUMERIC'!AB$5:AB$27)/MAX(1,COUNTIF('93_TARGET_MEMBERSHIP'!W$5:W$27,1)))*(SUMPRODUCT(--('93_TARGET_MEMBERSHIP'!W$5:W$27=-1),'92_FEATURE_CONF_NUMERIC'!AB$5:AB$27)/MAX(1,COUNTIF('93_TARGET_MEMBERSHIP'!W$5:W$27,-1)))))</f>
        <v/>
      </c>
      <c r="AB26" s="34">
        <f>IF($B26="ABSOLUTE SEMANTIC",'19_FEATURE_CONFIDENCE'!$D$30,SQRT((SUMPRODUCT(--('93_TARGET_MEMBERSHIP'!W$5:W$27=1),'92_FEATURE_CONF_NUMERIC'!AC$5:AC$27)/MAX(1,COUNTIF('93_TARGET_MEMBERSHIP'!W$5:W$27,1)))*(SUMPRODUCT(--('93_TARGET_MEMBERSHIP'!W$5:W$27=-1),'92_FEATURE_CONF_NUMERIC'!AC$5:AC$27)/MAX(1,COUNTIF('93_TARGET_MEMBERSHIP'!W$5:W$27,-1)))))</f>
        <v/>
      </c>
      <c r="AC26" s="34">
        <f>IF($B26="ABSOLUTE SEMANTIC",'19_FEATURE_CONFIDENCE'!$D$31,SQRT((SUMPRODUCT(--('93_TARGET_MEMBERSHIP'!W$5:W$27=1),'92_FEATURE_CONF_NUMERIC'!AD$5:AD$27)/MAX(1,COUNTIF('93_TARGET_MEMBERSHIP'!W$5:W$27,1)))*(SUMPRODUCT(--('93_TARGET_MEMBERSHIP'!W$5:W$27=-1),'92_FEATURE_CONF_NUMERIC'!AD$5:AD$27)/MAX(1,COUNTIF('93_TARGET_MEMBERSHIP'!W$5:W$27,-1)))))</f>
        <v/>
      </c>
      <c r="AD26" s="34">
        <f>IF($B26="ABSOLUTE SEMANTIC",'19_FEATURE_CONFIDENCE'!$D$32,SQRT((SUMPRODUCT(--('93_TARGET_MEMBERSHIP'!W$5:W$27=1),'92_FEATURE_CONF_NUMERIC'!AE$5:AE$27)/MAX(1,COUNTIF('93_TARGET_MEMBERSHIP'!W$5:W$27,1)))*(SUMPRODUCT(--('93_TARGET_MEMBERSHIP'!W$5:W$27=-1),'92_FEATURE_CONF_NUMERIC'!AE$5:AE$27)/MAX(1,COUNTIF('93_TARGET_MEMBERSHIP'!W$5:W$27,-1)))))</f>
        <v/>
      </c>
      <c r="AE26" s="34">
        <f>IF($B26="ABSOLUTE SEMANTIC",'19_FEATURE_CONFIDENCE'!$D$33,SQRT((SUMPRODUCT(--('93_TARGET_MEMBERSHIP'!W$5:W$27=1),'92_FEATURE_CONF_NUMERIC'!AF$5:AF$27)/MAX(1,COUNTIF('93_TARGET_MEMBERSHIP'!W$5:W$27,1)))*(SUMPRODUCT(--('93_TARGET_MEMBERSHIP'!W$5:W$27=-1),'92_FEATURE_CONF_NUMERIC'!AF$5:AF$27)/MAX(1,COUNTIF('93_TARGET_MEMBERSHIP'!W$5:W$27,-1)))))</f>
        <v/>
      </c>
      <c r="AF26" s="34">
        <f>IF($B26="ABSOLUTE SEMANTIC",'19_FEATURE_CONFIDENCE'!$D$34,SQRT((SUMPRODUCT(--('93_TARGET_MEMBERSHIP'!W$5:W$27=1),'92_FEATURE_CONF_NUMERIC'!AG$5:AG$27)/MAX(1,COUNTIF('93_TARGET_MEMBERSHIP'!W$5:W$27,1)))*(SUMPRODUCT(--('93_TARGET_MEMBERSHIP'!W$5:W$27=-1),'92_FEATURE_CONF_NUMERIC'!AG$5:AG$27)/MAX(1,COUNTIF('93_TARGET_MEMBERSHIP'!W$5:W$27,-1)))))</f>
        <v/>
      </c>
      <c r="AG26" s="34">
        <f>IF($B26="ABSOLUTE SEMANTIC",'19_FEATURE_CONFIDENCE'!$D$35,SQRT((SUMPRODUCT(--('93_TARGET_MEMBERSHIP'!W$5:W$27=1),'92_FEATURE_CONF_NUMERIC'!AH$5:AH$27)/MAX(1,COUNTIF('93_TARGET_MEMBERSHIP'!W$5:W$27,1)))*(SUMPRODUCT(--('93_TARGET_MEMBERSHIP'!W$5:W$27=-1),'92_FEATURE_CONF_NUMERIC'!AH$5:AH$27)/MAX(1,COUNTIF('93_TARGET_MEMBERSHIP'!W$5:W$27,-1)))))</f>
        <v/>
      </c>
      <c r="AH26" s="34">
        <f>IF($B26="ABSOLUTE SEMANTIC",'19_FEATURE_CONFIDENCE'!$D$36,SQRT((SUMPRODUCT(--('93_TARGET_MEMBERSHIP'!W$5:W$27=1),'92_FEATURE_CONF_NUMERIC'!AI$5:AI$27)/MAX(1,COUNTIF('93_TARGET_MEMBERSHIP'!W$5:W$27,1)))*(SUMPRODUCT(--('93_TARGET_MEMBERSHIP'!W$5:W$27=-1),'92_FEATURE_CONF_NUMERIC'!AI$5:AI$27)/MAX(1,COUNTIF('93_TARGET_MEMBERSHIP'!W$5:W$27,-1)))))</f>
        <v/>
      </c>
      <c r="AI26" s="34">
        <f>IF($B26="ABSOLUTE SEMANTIC",'19_FEATURE_CONFIDENCE'!$D$37,SQRT((SUMPRODUCT(--('93_TARGET_MEMBERSHIP'!W$5:W$27=1),'92_FEATURE_CONF_NUMERIC'!AJ$5:AJ$27)/MAX(1,COUNTIF('93_TARGET_MEMBERSHIP'!W$5:W$27,1)))*(SUMPRODUCT(--('93_TARGET_MEMBERSHIP'!W$5:W$27=-1),'92_FEATURE_CONF_NUMERIC'!AJ$5:AJ$27)/MAX(1,COUNTIF('93_TARGET_MEMBERSHIP'!W$5:W$27,-1)))))</f>
        <v/>
      </c>
      <c r="AJ26" s="34">
        <f>IF($B26="ABSOLUTE SEMANTIC",'19_FEATURE_CONFIDENCE'!$D$38,SQRT((SUMPRODUCT(--('93_TARGET_MEMBERSHIP'!W$5:W$27=1),'92_FEATURE_CONF_NUMERIC'!AK$5:AK$27)/MAX(1,COUNTIF('93_TARGET_MEMBERSHIP'!W$5:W$27,1)))*(SUMPRODUCT(--('93_TARGET_MEMBERSHIP'!W$5:W$27=-1),'92_FEATURE_CONF_NUMERIC'!AK$5:AK$27)/MAX(1,COUNTIF('93_TARGET_MEMBERSHIP'!W$5:W$27,-1)))))</f>
        <v/>
      </c>
      <c r="AK26" s="34">
        <f>IF($B26="ABSOLUTE SEMANTIC",'19_FEATURE_CONFIDENCE'!$D$39,SQRT((SUMPRODUCT(--('93_TARGET_MEMBERSHIP'!W$5:W$27=1),'92_FEATURE_CONF_NUMERIC'!AL$5:AL$27)/MAX(1,COUNTIF('93_TARGET_MEMBERSHIP'!W$5:W$27,1)))*(SUMPRODUCT(--('93_TARGET_MEMBERSHIP'!W$5:W$27=-1),'92_FEATURE_CONF_NUMERIC'!AL$5:AL$27)/MAX(1,COUNTIF('93_TARGET_MEMBERSHIP'!W$5:W$27,-1)))))</f>
        <v/>
      </c>
      <c r="AL26" s="34">
        <f>IF($B26="ABSOLUTE SEMANTIC",'19_FEATURE_CONFIDENCE'!$D$40,SQRT((SUMPRODUCT(--('93_TARGET_MEMBERSHIP'!W$5:W$27=1),'92_FEATURE_CONF_NUMERIC'!AM$5:AM$27)/MAX(1,COUNTIF('93_TARGET_MEMBERSHIP'!W$5:W$27,1)))*(SUMPRODUCT(--('93_TARGET_MEMBERSHIP'!W$5:W$27=-1),'92_FEATURE_CONF_NUMERIC'!AM$5:AM$27)/MAX(1,COUNTIF('93_TARGET_MEMBERSHIP'!W$5:W$27,-1)))))</f>
        <v/>
      </c>
      <c r="AM26" s="34">
        <f>IF($B26="ABSOLUTE SEMANTIC",'19_FEATURE_CONFIDENCE'!$D$41,SQRT((SUMPRODUCT(--('93_TARGET_MEMBERSHIP'!W$5:W$27=1),'92_FEATURE_CONF_NUMERIC'!AN$5:AN$27)/MAX(1,COUNTIF('93_TARGET_MEMBERSHIP'!W$5:W$27,1)))*(SUMPRODUCT(--('93_TARGET_MEMBERSHIP'!W$5:W$27=-1),'92_FEATURE_CONF_NUMERIC'!AN$5:AN$27)/MAX(1,COUNTIF('93_TARGET_MEMBERSHIP'!W$5:W$27,-1)))))</f>
        <v/>
      </c>
      <c r="AN26" s="34">
        <f>IF($B26="ABSOLUTE SEMANTIC",'19_FEATURE_CONFIDENCE'!$D$42,SQRT((SUMPRODUCT(--('93_TARGET_MEMBERSHIP'!W$5:W$27=1),'92_FEATURE_CONF_NUMERIC'!AO$5:AO$27)/MAX(1,COUNTIF('93_TARGET_MEMBERSHIP'!W$5:W$27,1)))*(SUMPRODUCT(--('93_TARGET_MEMBERSHIP'!W$5:W$27=-1),'92_FEATURE_CONF_NUMERIC'!AO$5:AO$27)/MAX(1,COUNTIF('93_TARGET_MEMBERSHIP'!W$5:W$27,-1)))))</f>
        <v/>
      </c>
      <c r="AO26" s="34">
        <f>IF($B26="ABSOLUTE SEMANTIC",'19_FEATURE_CONFIDENCE'!$D$43,SQRT((SUMPRODUCT(--('93_TARGET_MEMBERSHIP'!W$5:W$27=1),'92_FEATURE_CONF_NUMERIC'!AP$5:AP$27)/MAX(1,COUNTIF('93_TARGET_MEMBERSHIP'!W$5:W$27,1)))*(SUMPRODUCT(--('93_TARGET_MEMBERSHIP'!W$5:W$27=-1),'92_FEATURE_CONF_NUMERIC'!AP$5:AP$27)/MAX(1,COUNTIF('93_TARGET_MEMBERSHIP'!W$5:W$27,-1)))))</f>
        <v/>
      </c>
      <c r="AP26" s="34">
        <f>IF($B26="ABSOLUTE SEMANTIC",'19_FEATURE_CONFIDENCE'!$D$44,SQRT((SUMPRODUCT(--('93_TARGET_MEMBERSHIP'!W$5:W$27=1),'92_FEATURE_CONF_NUMERIC'!AQ$5:AQ$27)/MAX(1,COUNTIF('93_TARGET_MEMBERSHIP'!W$5:W$27,1)))*(SUMPRODUCT(--('93_TARGET_MEMBERSHIP'!W$5:W$27=-1),'92_FEATURE_CONF_NUMERIC'!AQ$5:AQ$27)/MAX(1,COUNTIF('93_TARGET_MEMBERSHIP'!W$5:W$27,-1)))))</f>
        <v/>
      </c>
      <c r="AQ26" s="34">
        <f>IF($B26="ABSOLUTE SEMANTIC",'19_FEATURE_CONFIDENCE'!$D$45,SQRT((SUMPRODUCT(--('93_TARGET_MEMBERSHIP'!W$5:W$27=1),'92_FEATURE_CONF_NUMERIC'!AR$5:AR$27)/MAX(1,COUNTIF('93_TARGET_MEMBERSHIP'!W$5:W$27,1)))*(SUMPRODUCT(--('93_TARGET_MEMBERSHIP'!W$5:W$27=-1),'92_FEATURE_CONF_NUMERIC'!AR$5:AR$27)/MAX(1,COUNTIF('93_TARGET_MEMBERSHIP'!W$5:W$27,-1)))))</f>
        <v/>
      </c>
    </row>
    <row r="27" ht="36" customHeight="1">
      <c r="A27" s="34">
        <f>'06_ITEM_POLE_MODEL'!A27</f>
        <v/>
      </c>
      <c r="B27" s="34">
        <f>'06_ITEM_POLE_MODEL'!E27</f>
        <v/>
      </c>
      <c r="C27" s="34">
        <f>IF($B27="ABSOLUTE SEMANTIC",'19_FEATURE_CONFIDENCE'!$D$5,SQRT((SUMPRODUCT(--('93_TARGET_MEMBERSHIP'!X$5:X$27=1),'92_FEATURE_CONF_NUMERIC'!D$5:D$27)/MAX(1,COUNTIF('93_TARGET_MEMBERSHIP'!X$5:X$27,1)))*(SUMPRODUCT(--('93_TARGET_MEMBERSHIP'!X$5:X$27=-1),'92_FEATURE_CONF_NUMERIC'!D$5:D$27)/MAX(1,COUNTIF('93_TARGET_MEMBERSHIP'!X$5:X$27,-1)))))</f>
        <v/>
      </c>
      <c r="D27" s="34">
        <f>IF($B27="ABSOLUTE SEMANTIC",'19_FEATURE_CONFIDENCE'!$D$6,SQRT((SUMPRODUCT(--('93_TARGET_MEMBERSHIP'!X$5:X$27=1),'92_FEATURE_CONF_NUMERIC'!E$5:E$27)/MAX(1,COUNTIF('93_TARGET_MEMBERSHIP'!X$5:X$27,1)))*(SUMPRODUCT(--('93_TARGET_MEMBERSHIP'!X$5:X$27=-1),'92_FEATURE_CONF_NUMERIC'!E$5:E$27)/MAX(1,COUNTIF('93_TARGET_MEMBERSHIP'!X$5:X$27,-1)))))</f>
        <v/>
      </c>
      <c r="E27" s="34">
        <f>IF($B27="ABSOLUTE SEMANTIC",'19_FEATURE_CONFIDENCE'!$D$7,SQRT((SUMPRODUCT(--('93_TARGET_MEMBERSHIP'!X$5:X$27=1),'92_FEATURE_CONF_NUMERIC'!F$5:F$27)/MAX(1,COUNTIF('93_TARGET_MEMBERSHIP'!X$5:X$27,1)))*(SUMPRODUCT(--('93_TARGET_MEMBERSHIP'!X$5:X$27=-1),'92_FEATURE_CONF_NUMERIC'!F$5:F$27)/MAX(1,COUNTIF('93_TARGET_MEMBERSHIP'!X$5:X$27,-1)))))</f>
        <v/>
      </c>
      <c r="F27" s="34">
        <f>IF($B27="ABSOLUTE SEMANTIC",'19_FEATURE_CONFIDENCE'!$D$8,SQRT((SUMPRODUCT(--('93_TARGET_MEMBERSHIP'!X$5:X$27=1),'92_FEATURE_CONF_NUMERIC'!G$5:G$27)/MAX(1,COUNTIF('93_TARGET_MEMBERSHIP'!X$5:X$27,1)))*(SUMPRODUCT(--('93_TARGET_MEMBERSHIP'!X$5:X$27=-1),'92_FEATURE_CONF_NUMERIC'!G$5:G$27)/MAX(1,COUNTIF('93_TARGET_MEMBERSHIP'!X$5:X$27,-1)))))</f>
        <v/>
      </c>
      <c r="G27" s="34">
        <f>IF($B27="ABSOLUTE SEMANTIC",'19_FEATURE_CONFIDENCE'!$D$9,SQRT((SUMPRODUCT(--('93_TARGET_MEMBERSHIP'!X$5:X$27=1),'92_FEATURE_CONF_NUMERIC'!H$5:H$27)/MAX(1,COUNTIF('93_TARGET_MEMBERSHIP'!X$5:X$27,1)))*(SUMPRODUCT(--('93_TARGET_MEMBERSHIP'!X$5:X$27=-1),'92_FEATURE_CONF_NUMERIC'!H$5:H$27)/MAX(1,COUNTIF('93_TARGET_MEMBERSHIP'!X$5:X$27,-1)))))</f>
        <v/>
      </c>
      <c r="H27" s="34">
        <f>IF($B27="ABSOLUTE SEMANTIC",'19_FEATURE_CONFIDENCE'!$D$10,SQRT((SUMPRODUCT(--('93_TARGET_MEMBERSHIP'!X$5:X$27=1),'92_FEATURE_CONF_NUMERIC'!I$5:I$27)/MAX(1,COUNTIF('93_TARGET_MEMBERSHIP'!X$5:X$27,1)))*(SUMPRODUCT(--('93_TARGET_MEMBERSHIP'!X$5:X$27=-1),'92_FEATURE_CONF_NUMERIC'!I$5:I$27)/MAX(1,COUNTIF('93_TARGET_MEMBERSHIP'!X$5:X$27,-1)))))</f>
        <v/>
      </c>
      <c r="I27" s="34">
        <f>IF($B27="ABSOLUTE SEMANTIC",'19_FEATURE_CONFIDENCE'!$D$11,SQRT((SUMPRODUCT(--('93_TARGET_MEMBERSHIP'!X$5:X$27=1),'92_FEATURE_CONF_NUMERIC'!J$5:J$27)/MAX(1,COUNTIF('93_TARGET_MEMBERSHIP'!X$5:X$27,1)))*(SUMPRODUCT(--('93_TARGET_MEMBERSHIP'!X$5:X$27=-1),'92_FEATURE_CONF_NUMERIC'!J$5:J$27)/MAX(1,COUNTIF('93_TARGET_MEMBERSHIP'!X$5:X$27,-1)))))</f>
        <v/>
      </c>
      <c r="J27" s="34">
        <f>IF($B27="ABSOLUTE SEMANTIC",'19_FEATURE_CONFIDENCE'!$D$12,SQRT((SUMPRODUCT(--('93_TARGET_MEMBERSHIP'!X$5:X$27=1),'92_FEATURE_CONF_NUMERIC'!K$5:K$27)/MAX(1,COUNTIF('93_TARGET_MEMBERSHIP'!X$5:X$27,1)))*(SUMPRODUCT(--('93_TARGET_MEMBERSHIP'!X$5:X$27=-1),'92_FEATURE_CONF_NUMERIC'!K$5:K$27)/MAX(1,COUNTIF('93_TARGET_MEMBERSHIP'!X$5:X$27,-1)))))</f>
        <v/>
      </c>
      <c r="K27" s="34">
        <f>IF($B27="ABSOLUTE SEMANTIC",'19_FEATURE_CONFIDENCE'!$D$13,SQRT((SUMPRODUCT(--('93_TARGET_MEMBERSHIP'!X$5:X$27=1),'92_FEATURE_CONF_NUMERIC'!L$5:L$27)/MAX(1,COUNTIF('93_TARGET_MEMBERSHIP'!X$5:X$27,1)))*(SUMPRODUCT(--('93_TARGET_MEMBERSHIP'!X$5:X$27=-1),'92_FEATURE_CONF_NUMERIC'!L$5:L$27)/MAX(1,COUNTIF('93_TARGET_MEMBERSHIP'!X$5:X$27,-1)))))</f>
        <v/>
      </c>
      <c r="L27" s="34">
        <f>IF($B27="ABSOLUTE SEMANTIC",'19_FEATURE_CONFIDENCE'!$D$14,SQRT((SUMPRODUCT(--('93_TARGET_MEMBERSHIP'!X$5:X$27=1),'92_FEATURE_CONF_NUMERIC'!M$5:M$27)/MAX(1,COUNTIF('93_TARGET_MEMBERSHIP'!X$5:X$27,1)))*(SUMPRODUCT(--('93_TARGET_MEMBERSHIP'!X$5:X$27=-1),'92_FEATURE_CONF_NUMERIC'!M$5:M$27)/MAX(1,COUNTIF('93_TARGET_MEMBERSHIP'!X$5:X$27,-1)))))</f>
        <v/>
      </c>
      <c r="M27" s="34">
        <f>IF($B27="ABSOLUTE SEMANTIC",'19_FEATURE_CONFIDENCE'!$D$15,SQRT((SUMPRODUCT(--('93_TARGET_MEMBERSHIP'!X$5:X$27=1),'92_FEATURE_CONF_NUMERIC'!N$5:N$27)/MAX(1,COUNTIF('93_TARGET_MEMBERSHIP'!X$5:X$27,1)))*(SUMPRODUCT(--('93_TARGET_MEMBERSHIP'!X$5:X$27=-1),'92_FEATURE_CONF_NUMERIC'!N$5:N$27)/MAX(1,COUNTIF('93_TARGET_MEMBERSHIP'!X$5:X$27,-1)))))</f>
        <v/>
      </c>
      <c r="N27" s="34">
        <f>IF($B27="ABSOLUTE SEMANTIC",'19_FEATURE_CONFIDENCE'!$D$16,SQRT((SUMPRODUCT(--('93_TARGET_MEMBERSHIP'!X$5:X$27=1),'92_FEATURE_CONF_NUMERIC'!O$5:O$27)/MAX(1,COUNTIF('93_TARGET_MEMBERSHIP'!X$5:X$27,1)))*(SUMPRODUCT(--('93_TARGET_MEMBERSHIP'!X$5:X$27=-1),'92_FEATURE_CONF_NUMERIC'!O$5:O$27)/MAX(1,COUNTIF('93_TARGET_MEMBERSHIP'!X$5:X$27,-1)))))</f>
        <v/>
      </c>
      <c r="O27" s="34">
        <f>IF($B27="ABSOLUTE SEMANTIC",'19_FEATURE_CONFIDENCE'!$D$17,SQRT((SUMPRODUCT(--('93_TARGET_MEMBERSHIP'!X$5:X$27=1),'92_FEATURE_CONF_NUMERIC'!P$5:P$27)/MAX(1,COUNTIF('93_TARGET_MEMBERSHIP'!X$5:X$27,1)))*(SUMPRODUCT(--('93_TARGET_MEMBERSHIP'!X$5:X$27=-1),'92_FEATURE_CONF_NUMERIC'!P$5:P$27)/MAX(1,COUNTIF('93_TARGET_MEMBERSHIP'!X$5:X$27,-1)))))</f>
        <v/>
      </c>
      <c r="P27" s="34">
        <f>IF($B27="ABSOLUTE SEMANTIC",'19_FEATURE_CONFIDENCE'!$D$18,SQRT((SUMPRODUCT(--('93_TARGET_MEMBERSHIP'!X$5:X$27=1),'92_FEATURE_CONF_NUMERIC'!Q$5:Q$27)/MAX(1,COUNTIF('93_TARGET_MEMBERSHIP'!X$5:X$27,1)))*(SUMPRODUCT(--('93_TARGET_MEMBERSHIP'!X$5:X$27=-1),'92_FEATURE_CONF_NUMERIC'!Q$5:Q$27)/MAX(1,COUNTIF('93_TARGET_MEMBERSHIP'!X$5:X$27,-1)))))</f>
        <v/>
      </c>
      <c r="Q27" s="34">
        <f>IF($B27="ABSOLUTE SEMANTIC",'19_FEATURE_CONFIDENCE'!$D$19,SQRT((SUMPRODUCT(--('93_TARGET_MEMBERSHIP'!X$5:X$27=1),'92_FEATURE_CONF_NUMERIC'!R$5:R$27)/MAX(1,COUNTIF('93_TARGET_MEMBERSHIP'!X$5:X$27,1)))*(SUMPRODUCT(--('93_TARGET_MEMBERSHIP'!X$5:X$27=-1),'92_FEATURE_CONF_NUMERIC'!R$5:R$27)/MAX(1,COUNTIF('93_TARGET_MEMBERSHIP'!X$5:X$27,-1)))))</f>
        <v/>
      </c>
      <c r="R27" s="34">
        <f>IF($B27="ABSOLUTE SEMANTIC",'19_FEATURE_CONFIDENCE'!$D$20,SQRT((SUMPRODUCT(--('93_TARGET_MEMBERSHIP'!X$5:X$27=1),'92_FEATURE_CONF_NUMERIC'!S$5:S$27)/MAX(1,COUNTIF('93_TARGET_MEMBERSHIP'!X$5:X$27,1)))*(SUMPRODUCT(--('93_TARGET_MEMBERSHIP'!X$5:X$27=-1),'92_FEATURE_CONF_NUMERIC'!S$5:S$27)/MAX(1,COUNTIF('93_TARGET_MEMBERSHIP'!X$5:X$27,-1)))))</f>
        <v/>
      </c>
      <c r="S27" s="34">
        <f>IF($B27="ABSOLUTE SEMANTIC",'19_FEATURE_CONFIDENCE'!$D$21,SQRT((SUMPRODUCT(--('93_TARGET_MEMBERSHIP'!X$5:X$27=1),'92_FEATURE_CONF_NUMERIC'!T$5:T$27)/MAX(1,COUNTIF('93_TARGET_MEMBERSHIP'!X$5:X$27,1)))*(SUMPRODUCT(--('93_TARGET_MEMBERSHIP'!X$5:X$27=-1),'92_FEATURE_CONF_NUMERIC'!T$5:T$27)/MAX(1,COUNTIF('93_TARGET_MEMBERSHIP'!X$5:X$27,-1)))))</f>
        <v/>
      </c>
      <c r="T27" s="34">
        <f>IF($B27="ABSOLUTE SEMANTIC",'19_FEATURE_CONFIDENCE'!$D$22,SQRT((SUMPRODUCT(--('93_TARGET_MEMBERSHIP'!X$5:X$27=1),'92_FEATURE_CONF_NUMERIC'!U$5:U$27)/MAX(1,COUNTIF('93_TARGET_MEMBERSHIP'!X$5:X$27,1)))*(SUMPRODUCT(--('93_TARGET_MEMBERSHIP'!X$5:X$27=-1),'92_FEATURE_CONF_NUMERIC'!U$5:U$27)/MAX(1,COUNTIF('93_TARGET_MEMBERSHIP'!X$5:X$27,-1)))))</f>
        <v/>
      </c>
      <c r="U27" s="34">
        <f>IF($B27="ABSOLUTE SEMANTIC",'19_FEATURE_CONFIDENCE'!$D$23,SQRT((SUMPRODUCT(--('93_TARGET_MEMBERSHIP'!X$5:X$27=1),'92_FEATURE_CONF_NUMERIC'!V$5:V$27)/MAX(1,COUNTIF('93_TARGET_MEMBERSHIP'!X$5:X$27,1)))*(SUMPRODUCT(--('93_TARGET_MEMBERSHIP'!X$5:X$27=-1),'92_FEATURE_CONF_NUMERIC'!V$5:V$27)/MAX(1,COUNTIF('93_TARGET_MEMBERSHIP'!X$5:X$27,-1)))))</f>
        <v/>
      </c>
      <c r="V27" s="34">
        <f>IF($B27="ABSOLUTE SEMANTIC",'19_FEATURE_CONFIDENCE'!$D$24,SQRT((SUMPRODUCT(--('93_TARGET_MEMBERSHIP'!X$5:X$27=1),'92_FEATURE_CONF_NUMERIC'!W$5:W$27)/MAX(1,COUNTIF('93_TARGET_MEMBERSHIP'!X$5:X$27,1)))*(SUMPRODUCT(--('93_TARGET_MEMBERSHIP'!X$5:X$27=-1),'92_FEATURE_CONF_NUMERIC'!W$5:W$27)/MAX(1,COUNTIF('93_TARGET_MEMBERSHIP'!X$5:X$27,-1)))))</f>
        <v/>
      </c>
      <c r="W27" s="34">
        <f>IF($B27="ABSOLUTE SEMANTIC",'19_FEATURE_CONFIDENCE'!$D$25,SQRT((SUMPRODUCT(--('93_TARGET_MEMBERSHIP'!X$5:X$27=1),'92_FEATURE_CONF_NUMERIC'!X$5:X$27)/MAX(1,COUNTIF('93_TARGET_MEMBERSHIP'!X$5:X$27,1)))*(SUMPRODUCT(--('93_TARGET_MEMBERSHIP'!X$5:X$27=-1),'92_FEATURE_CONF_NUMERIC'!X$5:X$27)/MAX(1,COUNTIF('93_TARGET_MEMBERSHIP'!X$5:X$27,-1)))))</f>
        <v/>
      </c>
      <c r="X27" s="34">
        <f>IF($B27="ABSOLUTE SEMANTIC",'19_FEATURE_CONFIDENCE'!$D$26,SQRT((SUMPRODUCT(--('93_TARGET_MEMBERSHIP'!X$5:X$27=1),'92_FEATURE_CONF_NUMERIC'!Y$5:Y$27)/MAX(1,COUNTIF('93_TARGET_MEMBERSHIP'!X$5:X$27,1)))*(SUMPRODUCT(--('93_TARGET_MEMBERSHIP'!X$5:X$27=-1),'92_FEATURE_CONF_NUMERIC'!Y$5:Y$27)/MAX(1,COUNTIF('93_TARGET_MEMBERSHIP'!X$5:X$27,-1)))))</f>
        <v/>
      </c>
      <c r="Y27" s="34">
        <f>IF($B27="ABSOLUTE SEMANTIC",'19_FEATURE_CONFIDENCE'!$D$27,SQRT((SUMPRODUCT(--('93_TARGET_MEMBERSHIP'!X$5:X$27=1),'92_FEATURE_CONF_NUMERIC'!Z$5:Z$27)/MAX(1,COUNTIF('93_TARGET_MEMBERSHIP'!X$5:X$27,1)))*(SUMPRODUCT(--('93_TARGET_MEMBERSHIP'!X$5:X$27=-1),'92_FEATURE_CONF_NUMERIC'!Z$5:Z$27)/MAX(1,COUNTIF('93_TARGET_MEMBERSHIP'!X$5:X$27,-1)))))</f>
        <v/>
      </c>
      <c r="Z27" s="34">
        <f>IF($B27="ABSOLUTE SEMANTIC",'19_FEATURE_CONFIDENCE'!$D$28,SQRT((SUMPRODUCT(--('93_TARGET_MEMBERSHIP'!X$5:X$27=1),'92_FEATURE_CONF_NUMERIC'!AA$5:AA$27)/MAX(1,COUNTIF('93_TARGET_MEMBERSHIP'!X$5:X$27,1)))*(SUMPRODUCT(--('93_TARGET_MEMBERSHIP'!X$5:X$27=-1),'92_FEATURE_CONF_NUMERIC'!AA$5:AA$27)/MAX(1,COUNTIF('93_TARGET_MEMBERSHIP'!X$5:X$27,-1)))))</f>
        <v/>
      </c>
      <c r="AA27" s="34">
        <f>IF($B27="ABSOLUTE SEMANTIC",'19_FEATURE_CONFIDENCE'!$D$29,SQRT((SUMPRODUCT(--('93_TARGET_MEMBERSHIP'!X$5:X$27=1),'92_FEATURE_CONF_NUMERIC'!AB$5:AB$27)/MAX(1,COUNTIF('93_TARGET_MEMBERSHIP'!X$5:X$27,1)))*(SUMPRODUCT(--('93_TARGET_MEMBERSHIP'!X$5:X$27=-1),'92_FEATURE_CONF_NUMERIC'!AB$5:AB$27)/MAX(1,COUNTIF('93_TARGET_MEMBERSHIP'!X$5:X$27,-1)))))</f>
        <v/>
      </c>
      <c r="AB27" s="34">
        <f>IF($B27="ABSOLUTE SEMANTIC",'19_FEATURE_CONFIDENCE'!$D$30,SQRT((SUMPRODUCT(--('93_TARGET_MEMBERSHIP'!X$5:X$27=1),'92_FEATURE_CONF_NUMERIC'!AC$5:AC$27)/MAX(1,COUNTIF('93_TARGET_MEMBERSHIP'!X$5:X$27,1)))*(SUMPRODUCT(--('93_TARGET_MEMBERSHIP'!X$5:X$27=-1),'92_FEATURE_CONF_NUMERIC'!AC$5:AC$27)/MAX(1,COUNTIF('93_TARGET_MEMBERSHIP'!X$5:X$27,-1)))))</f>
        <v/>
      </c>
      <c r="AC27" s="34">
        <f>IF($B27="ABSOLUTE SEMANTIC",'19_FEATURE_CONFIDENCE'!$D$31,SQRT((SUMPRODUCT(--('93_TARGET_MEMBERSHIP'!X$5:X$27=1),'92_FEATURE_CONF_NUMERIC'!AD$5:AD$27)/MAX(1,COUNTIF('93_TARGET_MEMBERSHIP'!X$5:X$27,1)))*(SUMPRODUCT(--('93_TARGET_MEMBERSHIP'!X$5:X$27=-1),'92_FEATURE_CONF_NUMERIC'!AD$5:AD$27)/MAX(1,COUNTIF('93_TARGET_MEMBERSHIP'!X$5:X$27,-1)))))</f>
        <v/>
      </c>
      <c r="AD27" s="34">
        <f>IF($B27="ABSOLUTE SEMANTIC",'19_FEATURE_CONFIDENCE'!$D$32,SQRT((SUMPRODUCT(--('93_TARGET_MEMBERSHIP'!X$5:X$27=1),'92_FEATURE_CONF_NUMERIC'!AE$5:AE$27)/MAX(1,COUNTIF('93_TARGET_MEMBERSHIP'!X$5:X$27,1)))*(SUMPRODUCT(--('93_TARGET_MEMBERSHIP'!X$5:X$27=-1),'92_FEATURE_CONF_NUMERIC'!AE$5:AE$27)/MAX(1,COUNTIF('93_TARGET_MEMBERSHIP'!X$5:X$27,-1)))))</f>
        <v/>
      </c>
      <c r="AE27" s="34">
        <f>IF($B27="ABSOLUTE SEMANTIC",'19_FEATURE_CONFIDENCE'!$D$33,SQRT((SUMPRODUCT(--('93_TARGET_MEMBERSHIP'!X$5:X$27=1),'92_FEATURE_CONF_NUMERIC'!AF$5:AF$27)/MAX(1,COUNTIF('93_TARGET_MEMBERSHIP'!X$5:X$27,1)))*(SUMPRODUCT(--('93_TARGET_MEMBERSHIP'!X$5:X$27=-1),'92_FEATURE_CONF_NUMERIC'!AF$5:AF$27)/MAX(1,COUNTIF('93_TARGET_MEMBERSHIP'!X$5:X$27,-1)))))</f>
        <v/>
      </c>
      <c r="AF27" s="34">
        <f>IF($B27="ABSOLUTE SEMANTIC",'19_FEATURE_CONFIDENCE'!$D$34,SQRT((SUMPRODUCT(--('93_TARGET_MEMBERSHIP'!X$5:X$27=1),'92_FEATURE_CONF_NUMERIC'!AG$5:AG$27)/MAX(1,COUNTIF('93_TARGET_MEMBERSHIP'!X$5:X$27,1)))*(SUMPRODUCT(--('93_TARGET_MEMBERSHIP'!X$5:X$27=-1),'92_FEATURE_CONF_NUMERIC'!AG$5:AG$27)/MAX(1,COUNTIF('93_TARGET_MEMBERSHIP'!X$5:X$27,-1)))))</f>
        <v/>
      </c>
      <c r="AG27" s="34">
        <f>IF($B27="ABSOLUTE SEMANTIC",'19_FEATURE_CONFIDENCE'!$D$35,SQRT((SUMPRODUCT(--('93_TARGET_MEMBERSHIP'!X$5:X$27=1),'92_FEATURE_CONF_NUMERIC'!AH$5:AH$27)/MAX(1,COUNTIF('93_TARGET_MEMBERSHIP'!X$5:X$27,1)))*(SUMPRODUCT(--('93_TARGET_MEMBERSHIP'!X$5:X$27=-1),'92_FEATURE_CONF_NUMERIC'!AH$5:AH$27)/MAX(1,COUNTIF('93_TARGET_MEMBERSHIP'!X$5:X$27,-1)))))</f>
        <v/>
      </c>
      <c r="AH27" s="34">
        <f>IF($B27="ABSOLUTE SEMANTIC",'19_FEATURE_CONFIDENCE'!$D$36,SQRT((SUMPRODUCT(--('93_TARGET_MEMBERSHIP'!X$5:X$27=1),'92_FEATURE_CONF_NUMERIC'!AI$5:AI$27)/MAX(1,COUNTIF('93_TARGET_MEMBERSHIP'!X$5:X$27,1)))*(SUMPRODUCT(--('93_TARGET_MEMBERSHIP'!X$5:X$27=-1),'92_FEATURE_CONF_NUMERIC'!AI$5:AI$27)/MAX(1,COUNTIF('93_TARGET_MEMBERSHIP'!X$5:X$27,-1)))))</f>
        <v/>
      </c>
      <c r="AI27" s="34">
        <f>IF($B27="ABSOLUTE SEMANTIC",'19_FEATURE_CONFIDENCE'!$D$37,SQRT((SUMPRODUCT(--('93_TARGET_MEMBERSHIP'!X$5:X$27=1),'92_FEATURE_CONF_NUMERIC'!AJ$5:AJ$27)/MAX(1,COUNTIF('93_TARGET_MEMBERSHIP'!X$5:X$27,1)))*(SUMPRODUCT(--('93_TARGET_MEMBERSHIP'!X$5:X$27=-1),'92_FEATURE_CONF_NUMERIC'!AJ$5:AJ$27)/MAX(1,COUNTIF('93_TARGET_MEMBERSHIP'!X$5:X$27,-1)))))</f>
        <v/>
      </c>
      <c r="AJ27" s="34">
        <f>IF($B27="ABSOLUTE SEMANTIC",'19_FEATURE_CONFIDENCE'!$D$38,SQRT((SUMPRODUCT(--('93_TARGET_MEMBERSHIP'!X$5:X$27=1),'92_FEATURE_CONF_NUMERIC'!AK$5:AK$27)/MAX(1,COUNTIF('93_TARGET_MEMBERSHIP'!X$5:X$27,1)))*(SUMPRODUCT(--('93_TARGET_MEMBERSHIP'!X$5:X$27=-1),'92_FEATURE_CONF_NUMERIC'!AK$5:AK$27)/MAX(1,COUNTIF('93_TARGET_MEMBERSHIP'!X$5:X$27,-1)))))</f>
        <v/>
      </c>
      <c r="AK27" s="34">
        <f>IF($B27="ABSOLUTE SEMANTIC",'19_FEATURE_CONFIDENCE'!$D$39,SQRT((SUMPRODUCT(--('93_TARGET_MEMBERSHIP'!X$5:X$27=1),'92_FEATURE_CONF_NUMERIC'!AL$5:AL$27)/MAX(1,COUNTIF('93_TARGET_MEMBERSHIP'!X$5:X$27,1)))*(SUMPRODUCT(--('93_TARGET_MEMBERSHIP'!X$5:X$27=-1),'92_FEATURE_CONF_NUMERIC'!AL$5:AL$27)/MAX(1,COUNTIF('93_TARGET_MEMBERSHIP'!X$5:X$27,-1)))))</f>
        <v/>
      </c>
      <c r="AL27" s="34">
        <f>IF($B27="ABSOLUTE SEMANTIC",'19_FEATURE_CONFIDENCE'!$D$40,SQRT((SUMPRODUCT(--('93_TARGET_MEMBERSHIP'!X$5:X$27=1),'92_FEATURE_CONF_NUMERIC'!AM$5:AM$27)/MAX(1,COUNTIF('93_TARGET_MEMBERSHIP'!X$5:X$27,1)))*(SUMPRODUCT(--('93_TARGET_MEMBERSHIP'!X$5:X$27=-1),'92_FEATURE_CONF_NUMERIC'!AM$5:AM$27)/MAX(1,COUNTIF('93_TARGET_MEMBERSHIP'!X$5:X$27,-1)))))</f>
        <v/>
      </c>
      <c r="AM27" s="34">
        <f>IF($B27="ABSOLUTE SEMANTIC",'19_FEATURE_CONFIDENCE'!$D$41,SQRT((SUMPRODUCT(--('93_TARGET_MEMBERSHIP'!X$5:X$27=1),'92_FEATURE_CONF_NUMERIC'!AN$5:AN$27)/MAX(1,COUNTIF('93_TARGET_MEMBERSHIP'!X$5:X$27,1)))*(SUMPRODUCT(--('93_TARGET_MEMBERSHIP'!X$5:X$27=-1),'92_FEATURE_CONF_NUMERIC'!AN$5:AN$27)/MAX(1,COUNTIF('93_TARGET_MEMBERSHIP'!X$5:X$27,-1)))))</f>
        <v/>
      </c>
      <c r="AN27" s="34">
        <f>IF($B27="ABSOLUTE SEMANTIC",'19_FEATURE_CONFIDENCE'!$D$42,SQRT((SUMPRODUCT(--('93_TARGET_MEMBERSHIP'!X$5:X$27=1),'92_FEATURE_CONF_NUMERIC'!AO$5:AO$27)/MAX(1,COUNTIF('93_TARGET_MEMBERSHIP'!X$5:X$27,1)))*(SUMPRODUCT(--('93_TARGET_MEMBERSHIP'!X$5:X$27=-1),'92_FEATURE_CONF_NUMERIC'!AO$5:AO$27)/MAX(1,COUNTIF('93_TARGET_MEMBERSHIP'!X$5:X$27,-1)))))</f>
        <v/>
      </c>
      <c r="AO27" s="34">
        <f>IF($B27="ABSOLUTE SEMANTIC",'19_FEATURE_CONFIDENCE'!$D$43,SQRT((SUMPRODUCT(--('93_TARGET_MEMBERSHIP'!X$5:X$27=1),'92_FEATURE_CONF_NUMERIC'!AP$5:AP$27)/MAX(1,COUNTIF('93_TARGET_MEMBERSHIP'!X$5:X$27,1)))*(SUMPRODUCT(--('93_TARGET_MEMBERSHIP'!X$5:X$27=-1),'92_FEATURE_CONF_NUMERIC'!AP$5:AP$27)/MAX(1,COUNTIF('93_TARGET_MEMBERSHIP'!X$5:X$27,-1)))))</f>
        <v/>
      </c>
      <c r="AP27" s="34">
        <f>IF($B27="ABSOLUTE SEMANTIC",'19_FEATURE_CONFIDENCE'!$D$44,SQRT((SUMPRODUCT(--('93_TARGET_MEMBERSHIP'!X$5:X$27=1),'92_FEATURE_CONF_NUMERIC'!AQ$5:AQ$27)/MAX(1,COUNTIF('93_TARGET_MEMBERSHIP'!X$5:X$27,1)))*(SUMPRODUCT(--('93_TARGET_MEMBERSHIP'!X$5:X$27=-1),'92_FEATURE_CONF_NUMERIC'!AQ$5:AQ$27)/MAX(1,COUNTIF('93_TARGET_MEMBERSHIP'!X$5:X$27,-1)))))</f>
        <v/>
      </c>
      <c r="AQ27" s="34">
        <f>IF($B27="ABSOLUTE SEMANTIC",'19_FEATURE_CONFIDENCE'!$D$45,SQRT((SUMPRODUCT(--('93_TARGET_MEMBERSHIP'!X$5:X$27=1),'92_FEATURE_CONF_NUMERIC'!AR$5:AR$27)/MAX(1,COUNTIF('93_TARGET_MEMBERSHIP'!X$5:X$27,1)))*(SUMPRODUCT(--('93_TARGET_MEMBERSHIP'!X$5:X$27=-1),'92_FEATURE_CONF_NUMERIC'!AR$5:AR$27)/MAX(1,COUNTIF('93_TARGET_MEMBERSHIP'!X$5:X$27,-1)))))</f>
        <v/>
      </c>
    </row>
    <row r="28" ht="36" customHeight="1">
      <c r="A28" s="34">
        <f>'06_ITEM_POLE_MODEL'!A28</f>
        <v/>
      </c>
      <c r="B28" s="34">
        <f>'06_ITEM_POLE_MODEL'!E28</f>
        <v/>
      </c>
      <c r="C28" s="34">
        <f>IF($B28="ABSOLUTE SEMANTIC",'19_FEATURE_CONFIDENCE'!$D$5,SQRT((SUMPRODUCT(--('93_TARGET_MEMBERSHIP'!Y$5:Y$27=1),'92_FEATURE_CONF_NUMERIC'!D$5:D$27)/MAX(1,COUNTIF('93_TARGET_MEMBERSHIP'!Y$5:Y$27,1)))*(SUMPRODUCT(--('93_TARGET_MEMBERSHIP'!Y$5:Y$27=-1),'92_FEATURE_CONF_NUMERIC'!D$5:D$27)/MAX(1,COUNTIF('93_TARGET_MEMBERSHIP'!Y$5:Y$27,-1)))))</f>
        <v/>
      </c>
      <c r="D28" s="34">
        <f>IF($B28="ABSOLUTE SEMANTIC",'19_FEATURE_CONFIDENCE'!$D$6,SQRT((SUMPRODUCT(--('93_TARGET_MEMBERSHIP'!Y$5:Y$27=1),'92_FEATURE_CONF_NUMERIC'!E$5:E$27)/MAX(1,COUNTIF('93_TARGET_MEMBERSHIP'!Y$5:Y$27,1)))*(SUMPRODUCT(--('93_TARGET_MEMBERSHIP'!Y$5:Y$27=-1),'92_FEATURE_CONF_NUMERIC'!E$5:E$27)/MAX(1,COUNTIF('93_TARGET_MEMBERSHIP'!Y$5:Y$27,-1)))))</f>
        <v/>
      </c>
      <c r="E28" s="34">
        <f>IF($B28="ABSOLUTE SEMANTIC",'19_FEATURE_CONFIDENCE'!$D$7,SQRT((SUMPRODUCT(--('93_TARGET_MEMBERSHIP'!Y$5:Y$27=1),'92_FEATURE_CONF_NUMERIC'!F$5:F$27)/MAX(1,COUNTIF('93_TARGET_MEMBERSHIP'!Y$5:Y$27,1)))*(SUMPRODUCT(--('93_TARGET_MEMBERSHIP'!Y$5:Y$27=-1),'92_FEATURE_CONF_NUMERIC'!F$5:F$27)/MAX(1,COUNTIF('93_TARGET_MEMBERSHIP'!Y$5:Y$27,-1)))))</f>
        <v/>
      </c>
      <c r="F28" s="34">
        <f>IF($B28="ABSOLUTE SEMANTIC",'19_FEATURE_CONFIDENCE'!$D$8,SQRT((SUMPRODUCT(--('93_TARGET_MEMBERSHIP'!Y$5:Y$27=1),'92_FEATURE_CONF_NUMERIC'!G$5:G$27)/MAX(1,COUNTIF('93_TARGET_MEMBERSHIP'!Y$5:Y$27,1)))*(SUMPRODUCT(--('93_TARGET_MEMBERSHIP'!Y$5:Y$27=-1),'92_FEATURE_CONF_NUMERIC'!G$5:G$27)/MAX(1,COUNTIF('93_TARGET_MEMBERSHIP'!Y$5:Y$27,-1)))))</f>
        <v/>
      </c>
      <c r="G28" s="34">
        <f>IF($B28="ABSOLUTE SEMANTIC",'19_FEATURE_CONFIDENCE'!$D$9,SQRT((SUMPRODUCT(--('93_TARGET_MEMBERSHIP'!Y$5:Y$27=1),'92_FEATURE_CONF_NUMERIC'!H$5:H$27)/MAX(1,COUNTIF('93_TARGET_MEMBERSHIP'!Y$5:Y$27,1)))*(SUMPRODUCT(--('93_TARGET_MEMBERSHIP'!Y$5:Y$27=-1),'92_FEATURE_CONF_NUMERIC'!H$5:H$27)/MAX(1,COUNTIF('93_TARGET_MEMBERSHIP'!Y$5:Y$27,-1)))))</f>
        <v/>
      </c>
      <c r="H28" s="34">
        <f>IF($B28="ABSOLUTE SEMANTIC",'19_FEATURE_CONFIDENCE'!$D$10,SQRT((SUMPRODUCT(--('93_TARGET_MEMBERSHIP'!Y$5:Y$27=1),'92_FEATURE_CONF_NUMERIC'!I$5:I$27)/MAX(1,COUNTIF('93_TARGET_MEMBERSHIP'!Y$5:Y$27,1)))*(SUMPRODUCT(--('93_TARGET_MEMBERSHIP'!Y$5:Y$27=-1),'92_FEATURE_CONF_NUMERIC'!I$5:I$27)/MAX(1,COUNTIF('93_TARGET_MEMBERSHIP'!Y$5:Y$27,-1)))))</f>
        <v/>
      </c>
      <c r="I28" s="34">
        <f>IF($B28="ABSOLUTE SEMANTIC",'19_FEATURE_CONFIDENCE'!$D$11,SQRT((SUMPRODUCT(--('93_TARGET_MEMBERSHIP'!Y$5:Y$27=1),'92_FEATURE_CONF_NUMERIC'!J$5:J$27)/MAX(1,COUNTIF('93_TARGET_MEMBERSHIP'!Y$5:Y$27,1)))*(SUMPRODUCT(--('93_TARGET_MEMBERSHIP'!Y$5:Y$27=-1),'92_FEATURE_CONF_NUMERIC'!J$5:J$27)/MAX(1,COUNTIF('93_TARGET_MEMBERSHIP'!Y$5:Y$27,-1)))))</f>
        <v/>
      </c>
      <c r="J28" s="34">
        <f>IF($B28="ABSOLUTE SEMANTIC",'19_FEATURE_CONFIDENCE'!$D$12,SQRT((SUMPRODUCT(--('93_TARGET_MEMBERSHIP'!Y$5:Y$27=1),'92_FEATURE_CONF_NUMERIC'!K$5:K$27)/MAX(1,COUNTIF('93_TARGET_MEMBERSHIP'!Y$5:Y$27,1)))*(SUMPRODUCT(--('93_TARGET_MEMBERSHIP'!Y$5:Y$27=-1),'92_FEATURE_CONF_NUMERIC'!K$5:K$27)/MAX(1,COUNTIF('93_TARGET_MEMBERSHIP'!Y$5:Y$27,-1)))))</f>
        <v/>
      </c>
      <c r="K28" s="34">
        <f>IF($B28="ABSOLUTE SEMANTIC",'19_FEATURE_CONFIDENCE'!$D$13,SQRT((SUMPRODUCT(--('93_TARGET_MEMBERSHIP'!Y$5:Y$27=1),'92_FEATURE_CONF_NUMERIC'!L$5:L$27)/MAX(1,COUNTIF('93_TARGET_MEMBERSHIP'!Y$5:Y$27,1)))*(SUMPRODUCT(--('93_TARGET_MEMBERSHIP'!Y$5:Y$27=-1),'92_FEATURE_CONF_NUMERIC'!L$5:L$27)/MAX(1,COUNTIF('93_TARGET_MEMBERSHIP'!Y$5:Y$27,-1)))))</f>
        <v/>
      </c>
      <c r="L28" s="34">
        <f>IF($B28="ABSOLUTE SEMANTIC",'19_FEATURE_CONFIDENCE'!$D$14,SQRT((SUMPRODUCT(--('93_TARGET_MEMBERSHIP'!Y$5:Y$27=1),'92_FEATURE_CONF_NUMERIC'!M$5:M$27)/MAX(1,COUNTIF('93_TARGET_MEMBERSHIP'!Y$5:Y$27,1)))*(SUMPRODUCT(--('93_TARGET_MEMBERSHIP'!Y$5:Y$27=-1),'92_FEATURE_CONF_NUMERIC'!M$5:M$27)/MAX(1,COUNTIF('93_TARGET_MEMBERSHIP'!Y$5:Y$27,-1)))))</f>
        <v/>
      </c>
      <c r="M28" s="34">
        <f>IF($B28="ABSOLUTE SEMANTIC",'19_FEATURE_CONFIDENCE'!$D$15,SQRT((SUMPRODUCT(--('93_TARGET_MEMBERSHIP'!Y$5:Y$27=1),'92_FEATURE_CONF_NUMERIC'!N$5:N$27)/MAX(1,COUNTIF('93_TARGET_MEMBERSHIP'!Y$5:Y$27,1)))*(SUMPRODUCT(--('93_TARGET_MEMBERSHIP'!Y$5:Y$27=-1),'92_FEATURE_CONF_NUMERIC'!N$5:N$27)/MAX(1,COUNTIF('93_TARGET_MEMBERSHIP'!Y$5:Y$27,-1)))))</f>
        <v/>
      </c>
      <c r="N28" s="34">
        <f>IF($B28="ABSOLUTE SEMANTIC",'19_FEATURE_CONFIDENCE'!$D$16,SQRT((SUMPRODUCT(--('93_TARGET_MEMBERSHIP'!Y$5:Y$27=1),'92_FEATURE_CONF_NUMERIC'!O$5:O$27)/MAX(1,COUNTIF('93_TARGET_MEMBERSHIP'!Y$5:Y$27,1)))*(SUMPRODUCT(--('93_TARGET_MEMBERSHIP'!Y$5:Y$27=-1),'92_FEATURE_CONF_NUMERIC'!O$5:O$27)/MAX(1,COUNTIF('93_TARGET_MEMBERSHIP'!Y$5:Y$27,-1)))))</f>
        <v/>
      </c>
      <c r="O28" s="34">
        <f>IF($B28="ABSOLUTE SEMANTIC",'19_FEATURE_CONFIDENCE'!$D$17,SQRT((SUMPRODUCT(--('93_TARGET_MEMBERSHIP'!Y$5:Y$27=1),'92_FEATURE_CONF_NUMERIC'!P$5:P$27)/MAX(1,COUNTIF('93_TARGET_MEMBERSHIP'!Y$5:Y$27,1)))*(SUMPRODUCT(--('93_TARGET_MEMBERSHIP'!Y$5:Y$27=-1),'92_FEATURE_CONF_NUMERIC'!P$5:P$27)/MAX(1,COUNTIF('93_TARGET_MEMBERSHIP'!Y$5:Y$27,-1)))))</f>
        <v/>
      </c>
      <c r="P28" s="34">
        <f>IF($B28="ABSOLUTE SEMANTIC",'19_FEATURE_CONFIDENCE'!$D$18,SQRT((SUMPRODUCT(--('93_TARGET_MEMBERSHIP'!Y$5:Y$27=1),'92_FEATURE_CONF_NUMERIC'!Q$5:Q$27)/MAX(1,COUNTIF('93_TARGET_MEMBERSHIP'!Y$5:Y$27,1)))*(SUMPRODUCT(--('93_TARGET_MEMBERSHIP'!Y$5:Y$27=-1),'92_FEATURE_CONF_NUMERIC'!Q$5:Q$27)/MAX(1,COUNTIF('93_TARGET_MEMBERSHIP'!Y$5:Y$27,-1)))))</f>
        <v/>
      </c>
      <c r="Q28" s="34">
        <f>IF($B28="ABSOLUTE SEMANTIC",'19_FEATURE_CONFIDENCE'!$D$19,SQRT((SUMPRODUCT(--('93_TARGET_MEMBERSHIP'!Y$5:Y$27=1),'92_FEATURE_CONF_NUMERIC'!R$5:R$27)/MAX(1,COUNTIF('93_TARGET_MEMBERSHIP'!Y$5:Y$27,1)))*(SUMPRODUCT(--('93_TARGET_MEMBERSHIP'!Y$5:Y$27=-1),'92_FEATURE_CONF_NUMERIC'!R$5:R$27)/MAX(1,COUNTIF('93_TARGET_MEMBERSHIP'!Y$5:Y$27,-1)))))</f>
        <v/>
      </c>
      <c r="R28" s="34">
        <f>IF($B28="ABSOLUTE SEMANTIC",'19_FEATURE_CONFIDENCE'!$D$20,SQRT((SUMPRODUCT(--('93_TARGET_MEMBERSHIP'!Y$5:Y$27=1),'92_FEATURE_CONF_NUMERIC'!S$5:S$27)/MAX(1,COUNTIF('93_TARGET_MEMBERSHIP'!Y$5:Y$27,1)))*(SUMPRODUCT(--('93_TARGET_MEMBERSHIP'!Y$5:Y$27=-1),'92_FEATURE_CONF_NUMERIC'!S$5:S$27)/MAX(1,COUNTIF('93_TARGET_MEMBERSHIP'!Y$5:Y$27,-1)))))</f>
        <v/>
      </c>
      <c r="S28" s="34">
        <f>IF($B28="ABSOLUTE SEMANTIC",'19_FEATURE_CONFIDENCE'!$D$21,SQRT((SUMPRODUCT(--('93_TARGET_MEMBERSHIP'!Y$5:Y$27=1),'92_FEATURE_CONF_NUMERIC'!T$5:T$27)/MAX(1,COUNTIF('93_TARGET_MEMBERSHIP'!Y$5:Y$27,1)))*(SUMPRODUCT(--('93_TARGET_MEMBERSHIP'!Y$5:Y$27=-1),'92_FEATURE_CONF_NUMERIC'!T$5:T$27)/MAX(1,COUNTIF('93_TARGET_MEMBERSHIP'!Y$5:Y$27,-1)))))</f>
        <v/>
      </c>
      <c r="T28" s="34">
        <f>IF($B28="ABSOLUTE SEMANTIC",'19_FEATURE_CONFIDENCE'!$D$22,SQRT((SUMPRODUCT(--('93_TARGET_MEMBERSHIP'!Y$5:Y$27=1),'92_FEATURE_CONF_NUMERIC'!U$5:U$27)/MAX(1,COUNTIF('93_TARGET_MEMBERSHIP'!Y$5:Y$27,1)))*(SUMPRODUCT(--('93_TARGET_MEMBERSHIP'!Y$5:Y$27=-1),'92_FEATURE_CONF_NUMERIC'!U$5:U$27)/MAX(1,COUNTIF('93_TARGET_MEMBERSHIP'!Y$5:Y$27,-1)))))</f>
        <v/>
      </c>
      <c r="U28" s="34">
        <f>IF($B28="ABSOLUTE SEMANTIC",'19_FEATURE_CONFIDENCE'!$D$23,SQRT((SUMPRODUCT(--('93_TARGET_MEMBERSHIP'!Y$5:Y$27=1),'92_FEATURE_CONF_NUMERIC'!V$5:V$27)/MAX(1,COUNTIF('93_TARGET_MEMBERSHIP'!Y$5:Y$27,1)))*(SUMPRODUCT(--('93_TARGET_MEMBERSHIP'!Y$5:Y$27=-1),'92_FEATURE_CONF_NUMERIC'!V$5:V$27)/MAX(1,COUNTIF('93_TARGET_MEMBERSHIP'!Y$5:Y$27,-1)))))</f>
        <v/>
      </c>
      <c r="V28" s="34">
        <f>IF($B28="ABSOLUTE SEMANTIC",'19_FEATURE_CONFIDENCE'!$D$24,SQRT((SUMPRODUCT(--('93_TARGET_MEMBERSHIP'!Y$5:Y$27=1),'92_FEATURE_CONF_NUMERIC'!W$5:W$27)/MAX(1,COUNTIF('93_TARGET_MEMBERSHIP'!Y$5:Y$27,1)))*(SUMPRODUCT(--('93_TARGET_MEMBERSHIP'!Y$5:Y$27=-1),'92_FEATURE_CONF_NUMERIC'!W$5:W$27)/MAX(1,COUNTIF('93_TARGET_MEMBERSHIP'!Y$5:Y$27,-1)))))</f>
        <v/>
      </c>
      <c r="W28" s="34">
        <f>IF($B28="ABSOLUTE SEMANTIC",'19_FEATURE_CONFIDENCE'!$D$25,SQRT((SUMPRODUCT(--('93_TARGET_MEMBERSHIP'!Y$5:Y$27=1),'92_FEATURE_CONF_NUMERIC'!X$5:X$27)/MAX(1,COUNTIF('93_TARGET_MEMBERSHIP'!Y$5:Y$27,1)))*(SUMPRODUCT(--('93_TARGET_MEMBERSHIP'!Y$5:Y$27=-1),'92_FEATURE_CONF_NUMERIC'!X$5:X$27)/MAX(1,COUNTIF('93_TARGET_MEMBERSHIP'!Y$5:Y$27,-1)))))</f>
        <v/>
      </c>
      <c r="X28" s="34">
        <f>IF($B28="ABSOLUTE SEMANTIC",'19_FEATURE_CONFIDENCE'!$D$26,SQRT((SUMPRODUCT(--('93_TARGET_MEMBERSHIP'!Y$5:Y$27=1),'92_FEATURE_CONF_NUMERIC'!Y$5:Y$27)/MAX(1,COUNTIF('93_TARGET_MEMBERSHIP'!Y$5:Y$27,1)))*(SUMPRODUCT(--('93_TARGET_MEMBERSHIP'!Y$5:Y$27=-1),'92_FEATURE_CONF_NUMERIC'!Y$5:Y$27)/MAX(1,COUNTIF('93_TARGET_MEMBERSHIP'!Y$5:Y$27,-1)))))</f>
        <v/>
      </c>
      <c r="Y28" s="34">
        <f>IF($B28="ABSOLUTE SEMANTIC",'19_FEATURE_CONFIDENCE'!$D$27,SQRT((SUMPRODUCT(--('93_TARGET_MEMBERSHIP'!Y$5:Y$27=1),'92_FEATURE_CONF_NUMERIC'!Z$5:Z$27)/MAX(1,COUNTIF('93_TARGET_MEMBERSHIP'!Y$5:Y$27,1)))*(SUMPRODUCT(--('93_TARGET_MEMBERSHIP'!Y$5:Y$27=-1),'92_FEATURE_CONF_NUMERIC'!Z$5:Z$27)/MAX(1,COUNTIF('93_TARGET_MEMBERSHIP'!Y$5:Y$27,-1)))))</f>
        <v/>
      </c>
      <c r="Z28" s="34">
        <f>IF($B28="ABSOLUTE SEMANTIC",'19_FEATURE_CONFIDENCE'!$D$28,SQRT((SUMPRODUCT(--('93_TARGET_MEMBERSHIP'!Y$5:Y$27=1),'92_FEATURE_CONF_NUMERIC'!AA$5:AA$27)/MAX(1,COUNTIF('93_TARGET_MEMBERSHIP'!Y$5:Y$27,1)))*(SUMPRODUCT(--('93_TARGET_MEMBERSHIP'!Y$5:Y$27=-1),'92_FEATURE_CONF_NUMERIC'!AA$5:AA$27)/MAX(1,COUNTIF('93_TARGET_MEMBERSHIP'!Y$5:Y$27,-1)))))</f>
        <v/>
      </c>
      <c r="AA28" s="34">
        <f>IF($B28="ABSOLUTE SEMANTIC",'19_FEATURE_CONFIDENCE'!$D$29,SQRT((SUMPRODUCT(--('93_TARGET_MEMBERSHIP'!Y$5:Y$27=1),'92_FEATURE_CONF_NUMERIC'!AB$5:AB$27)/MAX(1,COUNTIF('93_TARGET_MEMBERSHIP'!Y$5:Y$27,1)))*(SUMPRODUCT(--('93_TARGET_MEMBERSHIP'!Y$5:Y$27=-1),'92_FEATURE_CONF_NUMERIC'!AB$5:AB$27)/MAX(1,COUNTIF('93_TARGET_MEMBERSHIP'!Y$5:Y$27,-1)))))</f>
        <v/>
      </c>
      <c r="AB28" s="34">
        <f>IF($B28="ABSOLUTE SEMANTIC",'19_FEATURE_CONFIDENCE'!$D$30,SQRT((SUMPRODUCT(--('93_TARGET_MEMBERSHIP'!Y$5:Y$27=1),'92_FEATURE_CONF_NUMERIC'!AC$5:AC$27)/MAX(1,COUNTIF('93_TARGET_MEMBERSHIP'!Y$5:Y$27,1)))*(SUMPRODUCT(--('93_TARGET_MEMBERSHIP'!Y$5:Y$27=-1),'92_FEATURE_CONF_NUMERIC'!AC$5:AC$27)/MAX(1,COUNTIF('93_TARGET_MEMBERSHIP'!Y$5:Y$27,-1)))))</f>
        <v/>
      </c>
      <c r="AC28" s="34">
        <f>IF($B28="ABSOLUTE SEMANTIC",'19_FEATURE_CONFIDENCE'!$D$31,SQRT((SUMPRODUCT(--('93_TARGET_MEMBERSHIP'!Y$5:Y$27=1),'92_FEATURE_CONF_NUMERIC'!AD$5:AD$27)/MAX(1,COUNTIF('93_TARGET_MEMBERSHIP'!Y$5:Y$27,1)))*(SUMPRODUCT(--('93_TARGET_MEMBERSHIP'!Y$5:Y$27=-1),'92_FEATURE_CONF_NUMERIC'!AD$5:AD$27)/MAX(1,COUNTIF('93_TARGET_MEMBERSHIP'!Y$5:Y$27,-1)))))</f>
        <v/>
      </c>
      <c r="AD28" s="34">
        <f>IF($B28="ABSOLUTE SEMANTIC",'19_FEATURE_CONFIDENCE'!$D$32,SQRT((SUMPRODUCT(--('93_TARGET_MEMBERSHIP'!Y$5:Y$27=1),'92_FEATURE_CONF_NUMERIC'!AE$5:AE$27)/MAX(1,COUNTIF('93_TARGET_MEMBERSHIP'!Y$5:Y$27,1)))*(SUMPRODUCT(--('93_TARGET_MEMBERSHIP'!Y$5:Y$27=-1),'92_FEATURE_CONF_NUMERIC'!AE$5:AE$27)/MAX(1,COUNTIF('93_TARGET_MEMBERSHIP'!Y$5:Y$27,-1)))))</f>
        <v/>
      </c>
      <c r="AE28" s="34">
        <f>IF($B28="ABSOLUTE SEMANTIC",'19_FEATURE_CONFIDENCE'!$D$33,SQRT((SUMPRODUCT(--('93_TARGET_MEMBERSHIP'!Y$5:Y$27=1),'92_FEATURE_CONF_NUMERIC'!AF$5:AF$27)/MAX(1,COUNTIF('93_TARGET_MEMBERSHIP'!Y$5:Y$27,1)))*(SUMPRODUCT(--('93_TARGET_MEMBERSHIP'!Y$5:Y$27=-1),'92_FEATURE_CONF_NUMERIC'!AF$5:AF$27)/MAX(1,COUNTIF('93_TARGET_MEMBERSHIP'!Y$5:Y$27,-1)))))</f>
        <v/>
      </c>
      <c r="AF28" s="34">
        <f>IF($B28="ABSOLUTE SEMANTIC",'19_FEATURE_CONFIDENCE'!$D$34,SQRT((SUMPRODUCT(--('93_TARGET_MEMBERSHIP'!Y$5:Y$27=1),'92_FEATURE_CONF_NUMERIC'!AG$5:AG$27)/MAX(1,COUNTIF('93_TARGET_MEMBERSHIP'!Y$5:Y$27,1)))*(SUMPRODUCT(--('93_TARGET_MEMBERSHIP'!Y$5:Y$27=-1),'92_FEATURE_CONF_NUMERIC'!AG$5:AG$27)/MAX(1,COUNTIF('93_TARGET_MEMBERSHIP'!Y$5:Y$27,-1)))))</f>
        <v/>
      </c>
      <c r="AG28" s="34">
        <f>IF($B28="ABSOLUTE SEMANTIC",'19_FEATURE_CONFIDENCE'!$D$35,SQRT((SUMPRODUCT(--('93_TARGET_MEMBERSHIP'!Y$5:Y$27=1),'92_FEATURE_CONF_NUMERIC'!AH$5:AH$27)/MAX(1,COUNTIF('93_TARGET_MEMBERSHIP'!Y$5:Y$27,1)))*(SUMPRODUCT(--('93_TARGET_MEMBERSHIP'!Y$5:Y$27=-1),'92_FEATURE_CONF_NUMERIC'!AH$5:AH$27)/MAX(1,COUNTIF('93_TARGET_MEMBERSHIP'!Y$5:Y$27,-1)))))</f>
        <v/>
      </c>
      <c r="AH28" s="34">
        <f>IF($B28="ABSOLUTE SEMANTIC",'19_FEATURE_CONFIDENCE'!$D$36,SQRT((SUMPRODUCT(--('93_TARGET_MEMBERSHIP'!Y$5:Y$27=1),'92_FEATURE_CONF_NUMERIC'!AI$5:AI$27)/MAX(1,COUNTIF('93_TARGET_MEMBERSHIP'!Y$5:Y$27,1)))*(SUMPRODUCT(--('93_TARGET_MEMBERSHIP'!Y$5:Y$27=-1),'92_FEATURE_CONF_NUMERIC'!AI$5:AI$27)/MAX(1,COUNTIF('93_TARGET_MEMBERSHIP'!Y$5:Y$27,-1)))))</f>
        <v/>
      </c>
      <c r="AI28" s="34">
        <f>IF($B28="ABSOLUTE SEMANTIC",'19_FEATURE_CONFIDENCE'!$D$37,SQRT((SUMPRODUCT(--('93_TARGET_MEMBERSHIP'!Y$5:Y$27=1),'92_FEATURE_CONF_NUMERIC'!AJ$5:AJ$27)/MAX(1,COUNTIF('93_TARGET_MEMBERSHIP'!Y$5:Y$27,1)))*(SUMPRODUCT(--('93_TARGET_MEMBERSHIP'!Y$5:Y$27=-1),'92_FEATURE_CONF_NUMERIC'!AJ$5:AJ$27)/MAX(1,COUNTIF('93_TARGET_MEMBERSHIP'!Y$5:Y$27,-1)))))</f>
        <v/>
      </c>
      <c r="AJ28" s="34">
        <f>IF($B28="ABSOLUTE SEMANTIC",'19_FEATURE_CONFIDENCE'!$D$38,SQRT((SUMPRODUCT(--('93_TARGET_MEMBERSHIP'!Y$5:Y$27=1),'92_FEATURE_CONF_NUMERIC'!AK$5:AK$27)/MAX(1,COUNTIF('93_TARGET_MEMBERSHIP'!Y$5:Y$27,1)))*(SUMPRODUCT(--('93_TARGET_MEMBERSHIP'!Y$5:Y$27=-1),'92_FEATURE_CONF_NUMERIC'!AK$5:AK$27)/MAX(1,COUNTIF('93_TARGET_MEMBERSHIP'!Y$5:Y$27,-1)))))</f>
        <v/>
      </c>
      <c r="AK28" s="34">
        <f>IF($B28="ABSOLUTE SEMANTIC",'19_FEATURE_CONFIDENCE'!$D$39,SQRT((SUMPRODUCT(--('93_TARGET_MEMBERSHIP'!Y$5:Y$27=1),'92_FEATURE_CONF_NUMERIC'!AL$5:AL$27)/MAX(1,COUNTIF('93_TARGET_MEMBERSHIP'!Y$5:Y$27,1)))*(SUMPRODUCT(--('93_TARGET_MEMBERSHIP'!Y$5:Y$27=-1),'92_FEATURE_CONF_NUMERIC'!AL$5:AL$27)/MAX(1,COUNTIF('93_TARGET_MEMBERSHIP'!Y$5:Y$27,-1)))))</f>
        <v/>
      </c>
      <c r="AL28" s="34">
        <f>IF($B28="ABSOLUTE SEMANTIC",'19_FEATURE_CONFIDENCE'!$D$40,SQRT((SUMPRODUCT(--('93_TARGET_MEMBERSHIP'!Y$5:Y$27=1),'92_FEATURE_CONF_NUMERIC'!AM$5:AM$27)/MAX(1,COUNTIF('93_TARGET_MEMBERSHIP'!Y$5:Y$27,1)))*(SUMPRODUCT(--('93_TARGET_MEMBERSHIP'!Y$5:Y$27=-1),'92_FEATURE_CONF_NUMERIC'!AM$5:AM$27)/MAX(1,COUNTIF('93_TARGET_MEMBERSHIP'!Y$5:Y$27,-1)))))</f>
        <v/>
      </c>
      <c r="AM28" s="34">
        <f>IF($B28="ABSOLUTE SEMANTIC",'19_FEATURE_CONFIDENCE'!$D$41,SQRT((SUMPRODUCT(--('93_TARGET_MEMBERSHIP'!Y$5:Y$27=1),'92_FEATURE_CONF_NUMERIC'!AN$5:AN$27)/MAX(1,COUNTIF('93_TARGET_MEMBERSHIP'!Y$5:Y$27,1)))*(SUMPRODUCT(--('93_TARGET_MEMBERSHIP'!Y$5:Y$27=-1),'92_FEATURE_CONF_NUMERIC'!AN$5:AN$27)/MAX(1,COUNTIF('93_TARGET_MEMBERSHIP'!Y$5:Y$27,-1)))))</f>
        <v/>
      </c>
      <c r="AN28" s="34">
        <f>IF($B28="ABSOLUTE SEMANTIC",'19_FEATURE_CONFIDENCE'!$D$42,SQRT((SUMPRODUCT(--('93_TARGET_MEMBERSHIP'!Y$5:Y$27=1),'92_FEATURE_CONF_NUMERIC'!AO$5:AO$27)/MAX(1,COUNTIF('93_TARGET_MEMBERSHIP'!Y$5:Y$27,1)))*(SUMPRODUCT(--('93_TARGET_MEMBERSHIP'!Y$5:Y$27=-1),'92_FEATURE_CONF_NUMERIC'!AO$5:AO$27)/MAX(1,COUNTIF('93_TARGET_MEMBERSHIP'!Y$5:Y$27,-1)))))</f>
        <v/>
      </c>
      <c r="AO28" s="34">
        <f>IF($B28="ABSOLUTE SEMANTIC",'19_FEATURE_CONFIDENCE'!$D$43,SQRT((SUMPRODUCT(--('93_TARGET_MEMBERSHIP'!Y$5:Y$27=1),'92_FEATURE_CONF_NUMERIC'!AP$5:AP$27)/MAX(1,COUNTIF('93_TARGET_MEMBERSHIP'!Y$5:Y$27,1)))*(SUMPRODUCT(--('93_TARGET_MEMBERSHIP'!Y$5:Y$27=-1),'92_FEATURE_CONF_NUMERIC'!AP$5:AP$27)/MAX(1,COUNTIF('93_TARGET_MEMBERSHIP'!Y$5:Y$27,-1)))))</f>
        <v/>
      </c>
      <c r="AP28" s="34">
        <f>IF($B28="ABSOLUTE SEMANTIC",'19_FEATURE_CONFIDENCE'!$D$44,SQRT((SUMPRODUCT(--('93_TARGET_MEMBERSHIP'!Y$5:Y$27=1),'92_FEATURE_CONF_NUMERIC'!AQ$5:AQ$27)/MAX(1,COUNTIF('93_TARGET_MEMBERSHIP'!Y$5:Y$27,1)))*(SUMPRODUCT(--('93_TARGET_MEMBERSHIP'!Y$5:Y$27=-1),'92_FEATURE_CONF_NUMERIC'!AQ$5:AQ$27)/MAX(1,COUNTIF('93_TARGET_MEMBERSHIP'!Y$5:Y$27,-1)))))</f>
        <v/>
      </c>
      <c r="AQ28" s="34">
        <f>IF($B28="ABSOLUTE SEMANTIC",'19_FEATURE_CONFIDENCE'!$D$45,SQRT((SUMPRODUCT(--('93_TARGET_MEMBERSHIP'!Y$5:Y$27=1),'92_FEATURE_CONF_NUMERIC'!AR$5:AR$27)/MAX(1,COUNTIF('93_TARGET_MEMBERSHIP'!Y$5:Y$27,1)))*(SUMPRODUCT(--('93_TARGET_MEMBERSHIP'!Y$5:Y$27=-1),'92_FEATURE_CONF_NUMERIC'!AR$5:AR$27)/MAX(1,COUNTIF('93_TARGET_MEMBERSHIP'!Y$5:Y$27,-1)))))</f>
        <v/>
      </c>
    </row>
    <row r="29" ht="36" customHeight="1">
      <c r="A29" s="34">
        <f>'06_ITEM_POLE_MODEL'!A29</f>
        <v/>
      </c>
      <c r="B29" s="34">
        <f>'06_ITEM_POLE_MODEL'!E29</f>
        <v/>
      </c>
      <c r="C29" s="34">
        <f>IF($B29="ABSOLUTE SEMANTIC",'19_FEATURE_CONFIDENCE'!$D$5,SQRT((SUMPRODUCT(--('93_TARGET_MEMBERSHIP'!Z$5:Z$27=1),'92_FEATURE_CONF_NUMERIC'!D$5:D$27)/MAX(1,COUNTIF('93_TARGET_MEMBERSHIP'!Z$5:Z$27,1)))*(SUMPRODUCT(--('93_TARGET_MEMBERSHIP'!Z$5:Z$27=-1),'92_FEATURE_CONF_NUMERIC'!D$5:D$27)/MAX(1,COUNTIF('93_TARGET_MEMBERSHIP'!Z$5:Z$27,-1)))))</f>
        <v/>
      </c>
      <c r="D29" s="34">
        <f>IF($B29="ABSOLUTE SEMANTIC",'19_FEATURE_CONFIDENCE'!$D$6,SQRT((SUMPRODUCT(--('93_TARGET_MEMBERSHIP'!Z$5:Z$27=1),'92_FEATURE_CONF_NUMERIC'!E$5:E$27)/MAX(1,COUNTIF('93_TARGET_MEMBERSHIP'!Z$5:Z$27,1)))*(SUMPRODUCT(--('93_TARGET_MEMBERSHIP'!Z$5:Z$27=-1),'92_FEATURE_CONF_NUMERIC'!E$5:E$27)/MAX(1,COUNTIF('93_TARGET_MEMBERSHIP'!Z$5:Z$27,-1)))))</f>
        <v/>
      </c>
      <c r="E29" s="34">
        <f>IF($B29="ABSOLUTE SEMANTIC",'19_FEATURE_CONFIDENCE'!$D$7,SQRT((SUMPRODUCT(--('93_TARGET_MEMBERSHIP'!Z$5:Z$27=1),'92_FEATURE_CONF_NUMERIC'!F$5:F$27)/MAX(1,COUNTIF('93_TARGET_MEMBERSHIP'!Z$5:Z$27,1)))*(SUMPRODUCT(--('93_TARGET_MEMBERSHIP'!Z$5:Z$27=-1),'92_FEATURE_CONF_NUMERIC'!F$5:F$27)/MAX(1,COUNTIF('93_TARGET_MEMBERSHIP'!Z$5:Z$27,-1)))))</f>
        <v/>
      </c>
      <c r="F29" s="34">
        <f>IF($B29="ABSOLUTE SEMANTIC",'19_FEATURE_CONFIDENCE'!$D$8,SQRT((SUMPRODUCT(--('93_TARGET_MEMBERSHIP'!Z$5:Z$27=1),'92_FEATURE_CONF_NUMERIC'!G$5:G$27)/MAX(1,COUNTIF('93_TARGET_MEMBERSHIP'!Z$5:Z$27,1)))*(SUMPRODUCT(--('93_TARGET_MEMBERSHIP'!Z$5:Z$27=-1),'92_FEATURE_CONF_NUMERIC'!G$5:G$27)/MAX(1,COUNTIF('93_TARGET_MEMBERSHIP'!Z$5:Z$27,-1)))))</f>
        <v/>
      </c>
      <c r="G29" s="34">
        <f>IF($B29="ABSOLUTE SEMANTIC",'19_FEATURE_CONFIDENCE'!$D$9,SQRT((SUMPRODUCT(--('93_TARGET_MEMBERSHIP'!Z$5:Z$27=1),'92_FEATURE_CONF_NUMERIC'!H$5:H$27)/MAX(1,COUNTIF('93_TARGET_MEMBERSHIP'!Z$5:Z$27,1)))*(SUMPRODUCT(--('93_TARGET_MEMBERSHIP'!Z$5:Z$27=-1),'92_FEATURE_CONF_NUMERIC'!H$5:H$27)/MAX(1,COUNTIF('93_TARGET_MEMBERSHIP'!Z$5:Z$27,-1)))))</f>
        <v/>
      </c>
      <c r="H29" s="34">
        <f>IF($B29="ABSOLUTE SEMANTIC",'19_FEATURE_CONFIDENCE'!$D$10,SQRT((SUMPRODUCT(--('93_TARGET_MEMBERSHIP'!Z$5:Z$27=1),'92_FEATURE_CONF_NUMERIC'!I$5:I$27)/MAX(1,COUNTIF('93_TARGET_MEMBERSHIP'!Z$5:Z$27,1)))*(SUMPRODUCT(--('93_TARGET_MEMBERSHIP'!Z$5:Z$27=-1),'92_FEATURE_CONF_NUMERIC'!I$5:I$27)/MAX(1,COUNTIF('93_TARGET_MEMBERSHIP'!Z$5:Z$27,-1)))))</f>
        <v/>
      </c>
      <c r="I29" s="34">
        <f>IF($B29="ABSOLUTE SEMANTIC",'19_FEATURE_CONFIDENCE'!$D$11,SQRT((SUMPRODUCT(--('93_TARGET_MEMBERSHIP'!Z$5:Z$27=1),'92_FEATURE_CONF_NUMERIC'!J$5:J$27)/MAX(1,COUNTIF('93_TARGET_MEMBERSHIP'!Z$5:Z$27,1)))*(SUMPRODUCT(--('93_TARGET_MEMBERSHIP'!Z$5:Z$27=-1),'92_FEATURE_CONF_NUMERIC'!J$5:J$27)/MAX(1,COUNTIF('93_TARGET_MEMBERSHIP'!Z$5:Z$27,-1)))))</f>
        <v/>
      </c>
      <c r="J29" s="34">
        <f>IF($B29="ABSOLUTE SEMANTIC",'19_FEATURE_CONFIDENCE'!$D$12,SQRT((SUMPRODUCT(--('93_TARGET_MEMBERSHIP'!Z$5:Z$27=1),'92_FEATURE_CONF_NUMERIC'!K$5:K$27)/MAX(1,COUNTIF('93_TARGET_MEMBERSHIP'!Z$5:Z$27,1)))*(SUMPRODUCT(--('93_TARGET_MEMBERSHIP'!Z$5:Z$27=-1),'92_FEATURE_CONF_NUMERIC'!K$5:K$27)/MAX(1,COUNTIF('93_TARGET_MEMBERSHIP'!Z$5:Z$27,-1)))))</f>
        <v/>
      </c>
      <c r="K29" s="34">
        <f>IF($B29="ABSOLUTE SEMANTIC",'19_FEATURE_CONFIDENCE'!$D$13,SQRT((SUMPRODUCT(--('93_TARGET_MEMBERSHIP'!Z$5:Z$27=1),'92_FEATURE_CONF_NUMERIC'!L$5:L$27)/MAX(1,COUNTIF('93_TARGET_MEMBERSHIP'!Z$5:Z$27,1)))*(SUMPRODUCT(--('93_TARGET_MEMBERSHIP'!Z$5:Z$27=-1),'92_FEATURE_CONF_NUMERIC'!L$5:L$27)/MAX(1,COUNTIF('93_TARGET_MEMBERSHIP'!Z$5:Z$27,-1)))))</f>
        <v/>
      </c>
      <c r="L29" s="34">
        <f>IF($B29="ABSOLUTE SEMANTIC",'19_FEATURE_CONFIDENCE'!$D$14,SQRT((SUMPRODUCT(--('93_TARGET_MEMBERSHIP'!Z$5:Z$27=1),'92_FEATURE_CONF_NUMERIC'!M$5:M$27)/MAX(1,COUNTIF('93_TARGET_MEMBERSHIP'!Z$5:Z$27,1)))*(SUMPRODUCT(--('93_TARGET_MEMBERSHIP'!Z$5:Z$27=-1),'92_FEATURE_CONF_NUMERIC'!M$5:M$27)/MAX(1,COUNTIF('93_TARGET_MEMBERSHIP'!Z$5:Z$27,-1)))))</f>
        <v/>
      </c>
      <c r="M29" s="34">
        <f>IF($B29="ABSOLUTE SEMANTIC",'19_FEATURE_CONFIDENCE'!$D$15,SQRT((SUMPRODUCT(--('93_TARGET_MEMBERSHIP'!Z$5:Z$27=1),'92_FEATURE_CONF_NUMERIC'!N$5:N$27)/MAX(1,COUNTIF('93_TARGET_MEMBERSHIP'!Z$5:Z$27,1)))*(SUMPRODUCT(--('93_TARGET_MEMBERSHIP'!Z$5:Z$27=-1),'92_FEATURE_CONF_NUMERIC'!N$5:N$27)/MAX(1,COUNTIF('93_TARGET_MEMBERSHIP'!Z$5:Z$27,-1)))))</f>
        <v/>
      </c>
      <c r="N29" s="34">
        <f>IF($B29="ABSOLUTE SEMANTIC",'19_FEATURE_CONFIDENCE'!$D$16,SQRT((SUMPRODUCT(--('93_TARGET_MEMBERSHIP'!Z$5:Z$27=1),'92_FEATURE_CONF_NUMERIC'!O$5:O$27)/MAX(1,COUNTIF('93_TARGET_MEMBERSHIP'!Z$5:Z$27,1)))*(SUMPRODUCT(--('93_TARGET_MEMBERSHIP'!Z$5:Z$27=-1),'92_FEATURE_CONF_NUMERIC'!O$5:O$27)/MAX(1,COUNTIF('93_TARGET_MEMBERSHIP'!Z$5:Z$27,-1)))))</f>
        <v/>
      </c>
      <c r="O29" s="34">
        <f>IF($B29="ABSOLUTE SEMANTIC",'19_FEATURE_CONFIDENCE'!$D$17,SQRT((SUMPRODUCT(--('93_TARGET_MEMBERSHIP'!Z$5:Z$27=1),'92_FEATURE_CONF_NUMERIC'!P$5:P$27)/MAX(1,COUNTIF('93_TARGET_MEMBERSHIP'!Z$5:Z$27,1)))*(SUMPRODUCT(--('93_TARGET_MEMBERSHIP'!Z$5:Z$27=-1),'92_FEATURE_CONF_NUMERIC'!P$5:P$27)/MAX(1,COUNTIF('93_TARGET_MEMBERSHIP'!Z$5:Z$27,-1)))))</f>
        <v/>
      </c>
      <c r="P29" s="34">
        <f>IF($B29="ABSOLUTE SEMANTIC",'19_FEATURE_CONFIDENCE'!$D$18,SQRT((SUMPRODUCT(--('93_TARGET_MEMBERSHIP'!Z$5:Z$27=1),'92_FEATURE_CONF_NUMERIC'!Q$5:Q$27)/MAX(1,COUNTIF('93_TARGET_MEMBERSHIP'!Z$5:Z$27,1)))*(SUMPRODUCT(--('93_TARGET_MEMBERSHIP'!Z$5:Z$27=-1),'92_FEATURE_CONF_NUMERIC'!Q$5:Q$27)/MAX(1,COUNTIF('93_TARGET_MEMBERSHIP'!Z$5:Z$27,-1)))))</f>
        <v/>
      </c>
      <c r="Q29" s="34">
        <f>IF($B29="ABSOLUTE SEMANTIC",'19_FEATURE_CONFIDENCE'!$D$19,SQRT((SUMPRODUCT(--('93_TARGET_MEMBERSHIP'!Z$5:Z$27=1),'92_FEATURE_CONF_NUMERIC'!R$5:R$27)/MAX(1,COUNTIF('93_TARGET_MEMBERSHIP'!Z$5:Z$27,1)))*(SUMPRODUCT(--('93_TARGET_MEMBERSHIP'!Z$5:Z$27=-1),'92_FEATURE_CONF_NUMERIC'!R$5:R$27)/MAX(1,COUNTIF('93_TARGET_MEMBERSHIP'!Z$5:Z$27,-1)))))</f>
        <v/>
      </c>
      <c r="R29" s="34">
        <f>IF($B29="ABSOLUTE SEMANTIC",'19_FEATURE_CONFIDENCE'!$D$20,SQRT((SUMPRODUCT(--('93_TARGET_MEMBERSHIP'!Z$5:Z$27=1),'92_FEATURE_CONF_NUMERIC'!S$5:S$27)/MAX(1,COUNTIF('93_TARGET_MEMBERSHIP'!Z$5:Z$27,1)))*(SUMPRODUCT(--('93_TARGET_MEMBERSHIP'!Z$5:Z$27=-1),'92_FEATURE_CONF_NUMERIC'!S$5:S$27)/MAX(1,COUNTIF('93_TARGET_MEMBERSHIP'!Z$5:Z$27,-1)))))</f>
        <v/>
      </c>
      <c r="S29" s="34">
        <f>IF($B29="ABSOLUTE SEMANTIC",'19_FEATURE_CONFIDENCE'!$D$21,SQRT((SUMPRODUCT(--('93_TARGET_MEMBERSHIP'!Z$5:Z$27=1),'92_FEATURE_CONF_NUMERIC'!T$5:T$27)/MAX(1,COUNTIF('93_TARGET_MEMBERSHIP'!Z$5:Z$27,1)))*(SUMPRODUCT(--('93_TARGET_MEMBERSHIP'!Z$5:Z$27=-1),'92_FEATURE_CONF_NUMERIC'!T$5:T$27)/MAX(1,COUNTIF('93_TARGET_MEMBERSHIP'!Z$5:Z$27,-1)))))</f>
        <v/>
      </c>
      <c r="T29" s="34">
        <f>IF($B29="ABSOLUTE SEMANTIC",'19_FEATURE_CONFIDENCE'!$D$22,SQRT((SUMPRODUCT(--('93_TARGET_MEMBERSHIP'!Z$5:Z$27=1),'92_FEATURE_CONF_NUMERIC'!U$5:U$27)/MAX(1,COUNTIF('93_TARGET_MEMBERSHIP'!Z$5:Z$27,1)))*(SUMPRODUCT(--('93_TARGET_MEMBERSHIP'!Z$5:Z$27=-1),'92_FEATURE_CONF_NUMERIC'!U$5:U$27)/MAX(1,COUNTIF('93_TARGET_MEMBERSHIP'!Z$5:Z$27,-1)))))</f>
        <v/>
      </c>
      <c r="U29" s="34">
        <f>IF($B29="ABSOLUTE SEMANTIC",'19_FEATURE_CONFIDENCE'!$D$23,SQRT((SUMPRODUCT(--('93_TARGET_MEMBERSHIP'!Z$5:Z$27=1),'92_FEATURE_CONF_NUMERIC'!V$5:V$27)/MAX(1,COUNTIF('93_TARGET_MEMBERSHIP'!Z$5:Z$27,1)))*(SUMPRODUCT(--('93_TARGET_MEMBERSHIP'!Z$5:Z$27=-1),'92_FEATURE_CONF_NUMERIC'!V$5:V$27)/MAX(1,COUNTIF('93_TARGET_MEMBERSHIP'!Z$5:Z$27,-1)))))</f>
        <v/>
      </c>
      <c r="V29" s="34">
        <f>IF($B29="ABSOLUTE SEMANTIC",'19_FEATURE_CONFIDENCE'!$D$24,SQRT((SUMPRODUCT(--('93_TARGET_MEMBERSHIP'!Z$5:Z$27=1),'92_FEATURE_CONF_NUMERIC'!W$5:W$27)/MAX(1,COUNTIF('93_TARGET_MEMBERSHIP'!Z$5:Z$27,1)))*(SUMPRODUCT(--('93_TARGET_MEMBERSHIP'!Z$5:Z$27=-1),'92_FEATURE_CONF_NUMERIC'!W$5:W$27)/MAX(1,COUNTIF('93_TARGET_MEMBERSHIP'!Z$5:Z$27,-1)))))</f>
        <v/>
      </c>
      <c r="W29" s="34">
        <f>IF($B29="ABSOLUTE SEMANTIC",'19_FEATURE_CONFIDENCE'!$D$25,SQRT((SUMPRODUCT(--('93_TARGET_MEMBERSHIP'!Z$5:Z$27=1),'92_FEATURE_CONF_NUMERIC'!X$5:X$27)/MAX(1,COUNTIF('93_TARGET_MEMBERSHIP'!Z$5:Z$27,1)))*(SUMPRODUCT(--('93_TARGET_MEMBERSHIP'!Z$5:Z$27=-1),'92_FEATURE_CONF_NUMERIC'!X$5:X$27)/MAX(1,COUNTIF('93_TARGET_MEMBERSHIP'!Z$5:Z$27,-1)))))</f>
        <v/>
      </c>
      <c r="X29" s="34">
        <f>IF($B29="ABSOLUTE SEMANTIC",'19_FEATURE_CONFIDENCE'!$D$26,SQRT((SUMPRODUCT(--('93_TARGET_MEMBERSHIP'!Z$5:Z$27=1),'92_FEATURE_CONF_NUMERIC'!Y$5:Y$27)/MAX(1,COUNTIF('93_TARGET_MEMBERSHIP'!Z$5:Z$27,1)))*(SUMPRODUCT(--('93_TARGET_MEMBERSHIP'!Z$5:Z$27=-1),'92_FEATURE_CONF_NUMERIC'!Y$5:Y$27)/MAX(1,COUNTIF('93_TARGET_MEMBERSHIP'!Z$5:Z$27,-1)))))</f>
        <v/>
      </c>
      <c r="Y29" s="34">
        <f>IF($B29="ABSOLUTE SEMANTIC",'19_FEATURE_CONFIDENCE'!$D$27,SQRT((SUMPRODUCT(--('93_TARGET_MEMBERSHIP'!Z$5:Z$27=1),'92_FEATURE_CONF_NUMERIC'!Z$5:Z$27)/MAX(1,COUNTIF('93_TARGET_MEMBERSHIP'!Z$5:Z$27,1)))*(SUMPRODUCT(--('93_TARGET_MEMBERSHIP'!Z$5:Z$27=-1),'92_FEATURE_CONF_NUMERIC'!Z$5:Z$27)/MAX(1,COUNTIF('93_TARGET_MEMBERSHIP'!Z$5:Z$27,-1)))))</f>
        <v/>
      </c>
      <c r="Z29" s="34">
        <f>IF($B29="ABSOLUTE SEMANTIC",'19_FEATURE_CONFIDENCE'!$D$28,SQRT((SUMPRODUCT(--('93_TARGET_MEMBERSHIP'!Z$5:Z$27=1),'92_FEATURE_CONF_NUMERIC'!AA$5:AA$27)/MAX(1,COUNTIF('93_TARGET_MEMBERSHIP'!Z$5:Z$27,1)))*(SUMPRODUCT(--('93_TARGET_MEMBERSHIP'!Z$5:Z$27=-1),'92_FEATURE_CONF_NUMERIC'!AA$5:AA$27)/MAX(1,COUNTIF('93_TARGET_MEMBERSHIP'!Z$5:Z$27,-1)))))</f>
        <v/>
      </c>
      <c r="AA29" s="34">
        <f>IF($B29="ABSOLUTE SEMANTIC",'19_FEATURE_CONFIDENCE'!$D$29,SQRT((SUMPRODUCT(--('93_TARGET_MEMBERSHIP'!Z$5:Z$27=1),'92_FEATURE_CONF_NUMERIC'!AB$5:AB$27)/MAX(1,COUNTIF('93_TARGET_MEMBERSHIP'!Z$5:Z$27,1)))*(SUMPRODUCT(--('93_TARGET_MEMBERSHIP'!Z$5:Z$27=-1),'92_FEATURE_CONF_NUMERIC'!AB$5:AB$27)/MAX(1,COUNTIF('93_TARGET_MEMBERSHIP'!Z$5:Z$27,-1)))))</f>
        <v/>
      </c>
      <c r="AB29" s="34">
        <f>IF($B29="ABSOLUTE SEMANTIC",'19_FEATURE_CONFIDENCE'!$D$30,SQRT((SUMPRODUCT(--('93_TARGET_MEMBERSHIP'!Z$5:Z$27=1),'92_FEATURE_CONF_NUMERIC'!AC$5:AC$27)/MAX(1,COUNTIF('93_TARGET_MEMBERSHIP'!Z$5:Z$27,1)))*(SUMPRODUCT(--('93_TARGET_MEMBERSHIP'!Z$5:Z$27=-1),'92_FEATURE_CONF_NUMERIC'!AC$5:AC$27)/MAX(1,COUNTIF('93_TARGET_MEMBERSHIP'!Z$5:Z$27,-1)))))</f>
        <v/>
      </c>
      <c r="AC29" s="34">
        <f>IF($B29="ABSOLUTE SEMANTIC",'19_FEATURE_CONFIDENCE'!$D$31,SQRT((SUMPRODUCT(--('93_TARGET_MEMBERSHIP'!Z$5:Z$27=1),'92_FEATURE_CONF_NUMERIC'!AD$5:AD$27)/MAX(1,COUNTIF('93_TARGET_MEMBERSHIP'!Z$5:Z$27,1)))*(SUMPRODUCT(--('93_TARGET_MEMBERSHIP'!Z$5:Z$27=-1),'92_FEATURE_CONF_NUMERIC'!AD$5:AD$27)/MAX(1,COUNTIF('93_TARGET_MEMBERSHIP'!Z$5:Z$27,-1)))))</f>
        <v/>
      </c>
      <c r="AD29" s="34">
        <f>IF($B29="ABSOLUTE SEMANTIC",'19_FEATURE_CONFIDENCE'!$D$32,SQRT((SUMPRODUCT(--('93_TARGET_MEMBERSHIP'!Z$5:Z$27=1),'92_FEATURE_CONF_NUMERIC'!AE$5:AE$27)/MAX(1,COUNTIF('93_TARGET_MEMBERSHIP'!Z$5:Z$27,1)))*(SUMPRODUCT(--('93_TARGET_MEMBERSHIP'!Z$5:Z$27=-1),'92_FEATURE_CONF_NUMERIC'!AE$5:AE$27)/MAX(1,COUNTIF('93_TARGET_MEMBERSHIP'!Z$5:Z$27,-1)))))</f>
        <v/>
      </c>
      <c r="AE29" s="34">
        <f>IF($B29="ABSOLUTE SEMANTIC",'19_FEATURE_CONFIDENCE'!$D$33,SQRT((SUMPRODUCT(--('93_TARGET_MEMBERSHIP'!Z$5:Z$27=1),'92_FEATURE_CONF_NUMERIC'!AF$5:AF$27)/MAX(1,COUNTIF('93_TARGET_MEMBERSHIP'!Z$5:Z$27,1)))*(SUMPRODUCT(--('93_TARGET_MEMBERSHIP'!Z$5:Z$27=-1),'92_FEATURE_CONF_NUMERIC'!AF$5:AF$27)/MAX(1,COUNTIF('93_TARGET_MEMBERSHIP'!Z$5:Z$27,-1)))))</f>
        <v/>
      </c>
      <c r="AF29" s="34">
        <f>IF($B29="ABSOLUTE SEMANTIC",'19_FEATURE_CONFIDENCE'!$D$34,SQRT((SUMPRODUCT(--('93_TARGET_MEMBERSHIP'!Z$5:Z$27=1),'92_FEATURE_CONF_NUMERIC'!AG$5:AG$27)/MAX(1,COUNTIF('93_TARGET_MEMBERSHIP'!Z$5:Z$27,1)))*(SUMPRODUCT(--('93_TARGET_MEMBERSHIP'!Z$5:Z$27=-1),'92_FEATURE_CONF_NUMERIC'!AG$5:AG$27)/MAX(1,COUNTIF('93_TARGET_MEMBERSHIP'!Z$5:Z$27,-1)))))</f>
        <v/>
      </c>
      <c r="AG29" s="34">
        <f>IF($B29="ABSOLUTE SEMANTIC",'19_FEATURE_CONFIDENCE'!$D$35,SQRT((SUMPRODUCT(--('93_TARGET_MEMBERSHIP'!Z$5:Z$27=1),'92_FEATURE_CONF_NUMERIC'!AH$5:AH$27)/MAX(1,COUNTIF('93_TARGET_MEMBERSHIP'!Z$5:Z$27,1)))*(SUMPRODUCT(--('93_TARGET_MEMBERSHIP'!Z$5:Z$27=-1),'92_FEATURE_CONF_NUMERIC'!AH$5:AH$27)/MAX(1,COUNTIF('93_TARGET_MEMBERSHIP'!Z$5:Z$27,-1)))))</f>
        <v/>
      </c>
      <c r="AH29" s="34">
        <f>IF($B29="ABSOLUTE SEMANTIC",'19_FEATURE_CONFIDENCE'!$D$36,SQRT((SUMPRODUCT(--('93_TARGET_MEMBERSHIP'!Z$5:Z$27=1),'92_FEATURE_CONF_NUMERIC'!AI$5:AI$27)/MAX(1,COUNTIF('93_TARGET_MEMBERSHIP'!Z$5:Z$27,1)))*(SUMPRODUCT(--('93_TARGET_MEMBERSHIP'!Z$5:Z$27=-1),'92_FEATURE_CONF_NUMERIC'!AI$5:AI$27)/MAX(1,COUNTIF('93_TARGET_MEMBERSHIP'!Z$5:Z$27,-1)))))</f>
        <v/>
      </c>
      <c r="AI29" s="34">
        <f>IF($B29="ABSOLUTE SEMANTIC",'19_FEATURE_CONFIDENCE'!$D$37,SQRT((SUMPRODUCT(--('93_TARGET_MEMBERSHIP'!Z$5:Z$27=1),'92_FEATURE_CONF_NUMERIC'!AJ$5:AJ$27)/MAX(1,COUNTIF('93_TARGET_MEMBERSHIP'!Z$5:Z$27,1)))*(SUMPRODUCT(--('93_TARGET_MEMBERSHIP'!Z$5:Z$27=-1),'92_FEATURE_CONF_NUMERIC'!AJ$5:AJ$27)/MAX(1,COUNTIF('93_TARGET_MEMBERSHIP'!Z$5:Z$27,-1)))))</f>
        <v/>
      </c>
      <c r="AJ29" s="34">
        <f>IF($B29="ABSOLUTE SEMANTIC",'19_FEATURE_CONFIDENCE'!$D$38,SQRT((SUMPRODUCT(--('93_TARGET_MEMBERSHIP'!Z$5:Z$27=1),'92_FEATURE_CONF_NUMERIC'!AK$5:AK$27)/MAX(1,COUNTIF('93_TARGET_MEMBERSHIP'!Z$5:Z$27,1)))*(SUMPRODUCT(--('93_TARGET_MEMBERSHIP'!Z$5:Z$27=-1),'92_FEATURE_CONF_NUMERIC'!AK$5:AK$27)/MAX(1,COUNTIF('93_TARGET_MEMBERSHIP'!Z$5:Z$27,-1)))))</f>
        <v/>
      </c>
      <c r="AK29" s="34">
        <f>IF($B29="ABSOLUTE SEMANTIC",'19_FEATURE_CONFIDENCE'!$D$39,SQRT((SUMPRODUCT(--('93_TARGET_MEMBERSHIP'!Z$5:Z$27=1),'92_FEATURE_CONF_NUMERIC'!AL$5:AL$27)/MAX(1,COUNTIF('93_TARGET_MEMBERSHIP'!Z$5:Z$27,1)))*(SUMPRODUCT(--('93_TARGET_MEMBERSHIP'!Z$5:Z$27=-1),'92_FEATURE_CONF_NUMERIC'!AL$5:AL$27)/MAX(1,COUNTIF('93_TARGET_MEMBERSHIP'!Z$5:Z$27,-1)))))</f>
        <v/>
      </c>
      <c r="AL29" s="34">
        <f>IF($B29="ABSOLUTE SEMANTIC",'19_FEATURE_CONFIDENCE'!$D$40,SQRT((SUMPRODUCT(--('93_TARGET_MEMBERSHIP'!Z$5:Z$27=1),'92_FEATURE_CONF_NUMERIC'!AM$5:AM$27)/MAX(1,COUNTIF('93_TARGET_MEMBERSHIP'!Z$5:Z$27,1)))*(SUMPRODUCT(--('93_TARGET_MEMBERSHIP'!Z$5:Z$27=-1),'92_FEATURE_CONF_NUMERIC'!AM$5:AM$27)/MAX(1,COUNTIF('93_TARGET_MEMBERSHIP'!Z$5:Z$27,-1)))))</f>
        <v/>
      </c>
      <c r="AM29" s="34">
        <f>IF($B29="ABSOLUTE SEMANTIC",'19_FEATURE_CONFIDENCE'!$D$41,SQRT((SUMPRODUCT(--('93_TARGET_MEMBERSHIP'!Z$5:Z$27=1),'92_FEATURE_CONF_NUMERIC'!AN$5:AN$27)/MAX(1,COUNTIF('93_TARGET_MEMBERSHIP'!Z$5:Z$27,1)))*(SUMPRODUCT(--('93_TARGET_MEMBERSHIP'!Z$5:Z$27=-1),'92_FEATURE_CONF_NUMERIC'!AN$5:AN$27)/MAX(1,COUNTIF('93_TARGET_MEMBERSHIP'!Z$5:Z$27,-1)))))</f>
        <v/>
      </c>
      <c r="AN29" s="34">
        <f>IF($B29="ABSOLUTE SEMANTIC",'19_FEATURE_CONFIDENCE'!$D$42,SQRT((SUMPRODUCT(--('93_TARGET_MEMBERSHIP'!Z$5:Z$27=1),'92_FEATURE_CONF_NUMERIC'!AO$5:AO$27)/MAX(1,COUNTIF('93_TARGET_MEMBERSHIP'!Z$5:Z$27,1)))*(SUMPRODUCT(--('93_TARGET_MEMBERSHIP'!Z$5:Z$27=-1),'92_FEATURE_CONF_NUMERIC'!AO$5:AO$27)/MAX(1,COUNTIF('93_TARGET_MEMBERSHIP'!Z$5:Z$27,-1)))))</f>
        <v/>
      </c>
      <c r="AO29" s="34">
        <f>IF($B29="ABSOLUTE SEMANTIC",'19_FEATURE_CONFIDENCE'!$D$43,SQRT((SUMPRODUCT(--('93_TARGET_MEMBERSHIP'!Z$5:Z$27=1),'92_FEATURE_CONF_NUMERIC'!AP$5:AP$27)/MAX(1,COUNTIF('93_TARGET_MEMBERSHIP'!Z$5:Z$27,1)))*(SUMPRODUCT(--('93_TARGET_MEMBERSHIP'!Z$5:Z$27=-1),'92_FEATURE_CONF_NUMERIC'!AP$5:AP$27)/MAX(1,COUNTIF('93_TARGET_MEMBERSHIP'!Z$5:Z$27,-1)))))</f>
        <v/>
      </c>
      <c r="AP29" s="34">
        <f>IF($B29="ABSOLUTE SEMANTIC",'19_FEATURE_CONFIDENCE'!$D$44,SQRT((SUMPRODUCT(--('93_TARGET_MEMBERSHIP'!Z$5:Z$27=1),'92_FEATURE_CONF_NUMERIC'!AQ$5:AQ$27)/MAX(1,COUNTIF('93_TARGET_MEMBERSHIP'!Z$5:Z$27,1)))*(SUMPRODUCT(--('93_TARGET_MEMBERSHIP'!Z$5:Z$27=-1),'92_FEATURE_CONF_NUMERIC'!AQ$5:AQ$27)/MAX(1,COUNTIF('93_TARGET_MEMBERSHIP'!Z$5:Z$27,-1)))))</f>
        <v/>
      </c>
      <c r="AQ29" s="34">
        <f>IF($B29="ABSOLUTE SEMANTIC",'19_FEATURE_CONFIDENCE'!$D$45,SQRT((SUMPRODUCT(--('93_TARGET_MEMBERSHIP'!Z$5:Z$27=1),'92_FEATURE_CONF_NUMERIC'!AR$5:AR$27)/MAX(1,COUNTIF('93_TARGET_MEMBERSHIP'!Z$5:Z$27,1)))*(SUMPRODUCT(--('93_TARGET_MEMBERSHIP'!Z$5:Z$27=-1),'92_FEATURE_CONF_NUMERIC'!AR$5:AR$27)/MAX(1,COUNTIF('93_TARGET_MEMBERSHIP'!Z$5:Z$27,-1)))))</f>
        <v/>
      </c>
    </row>
    <row r="30" ht="36" customHeight="1">
      <c r="A30" s="34">
        <f>'06_ITEM_POLE_MODEL'!A30</f>
        <v/>
      </c>
      <c r="B30" s="34">
        <f>'06_ITEM_POLE_MODEL'!E30</f>
        <v/>
      </c>
      <c r="C30" s="34">
        <f>IF($B30="ABSOLUTE SEMANTIC",'19_FEATURE_CONFIDENCE'!$D$5,SQRT((SUMPRODUCT(--('93_TARGET_MEMBERSHIP'!AA$5:AA$27=1),'92_FEATURE_CONF_NUMERIC'!D$5:D$27)/MAX(1,COUNTIF('93_TARGET_MEMBERSHIP'!AA$5:AA$27,1)))*(SUMPRODUCT(--('93_TARGET_MEMBERSHIP'!AA$5:AA$27=-1),'92_FEATURE_CONF_NUMERIC'!D$5:D$27)/MAX(1,COUNTIF('93_TARGET_MEMBERSHIP'!AA$5:AA$27,-1)))))</f>
        <v/>
      </c>
      <c r="D30" s="34">
        <f>IF($B30="ABSOLUTE SEMANTIC",'19_FEATURE_CONFIDENCE'!$D$6,SQRT((SUMPRODUCT(--('93_TARGET_MEMBERSHIP'!AA$5:AA$27=1),'92_FEATURE_CONF_NUMERIC'!E$5:E$27)/MAX(1,COUNTIF('93_TARGET_MEMBERSHIP'!AA$5:AA$27,1)))*(SUMPRODUCT(--('93_TARGET_MEMBERSHIP'!AA$5:AA$27=-1),'92_FEATURE_CONF_NUMERIC'!E$5:E$27)/MAX(1,COUNTIF('93_TARGET_MEMBERSHIP'!AA$5:AA$27,-1)))))</f>
        <v/>
      </c>
      <c r="E30" s="34">
        <f>IF($B30="ABSOLUTE SEMANTIC",'19_FEATURE_CONFIDENCE'!$D$7,SQRT((SUMPRODUCT(--('93_TARGET_MEMBERSHIP'!AA$5:AA$27=1),'92_FEATURE_CONF_NUMERIC'!F$5:F$27)/MAX(1,COUNTIF('93_TARGET_MEMBERSHIP'!AA$5:AA$27,1)))*(SUMPRODUCT(--('93_TARGET_MEMBERSHIP'!AA$5:AA$27=-1),'92_FEATURE_CONF_NUMERIC'!F$5:F$27)/MAX(1,COUNTIF('93_TARGET_MEMBERSHIP'!AA$5:AA$27,-1)))))</f>
        <v/>
      </c>
      <c r="F30" s="34">
        <f>IF($B30="ABSOLUTE SEMANTIC",'19_FEATURE_CONFIDENCE'!$D$8,SQRT((SUMPRODUCT(--('93_TARGET_MEMBERSHIP'!AA$5:AA$27=1),'92_FEATURE_CONF_NUMERIC'!G$5:G$27)/MAX(1,COUNTIF('93_TARGET_MEMBERSHIP'!AA$5:AA$27,1)))*(SUMPRODUCT(--('93_TARGET_MEMBERSHIP'!AA$5:AA$27=-1),'92_FEATURE_CONF_NUMERIC'!G$5:G$27)/MAX(1,COUNTIF('93_TARGET_MEMBERSHIP'!AA$5:AA$27,-1)))))</f>
        <v/>
      </c>
      <c r="G30" s="34">
        <f>IF($B30="ABSOLUTE SEMANTIC",'19_FEATURE_CONFIDENCE'!$D$9,SQRT((SUMPRODUCT(--('93_TARGET_MEMBERSHIP'!AA$5:AA$27=1),'92_FEATURE_CONF_NUMERIC'!H$5:H$27)/MAX(1,COUNTIF('93_TARGET_MEMBERSHIP'!AA$5:AA$27,1)))*(SUMPRODUCT(--('93_TARGET_MEMBERSHIP'!AA$5:AA$27=-1),'92_FEATURE_CONF_NUMERIC'!H$5:H$27)/MAX(1,COUNTIF('93_TARGET_MEMBERSHIP'!AA$5:AA$27,-1)))))</f>
        <v/>
      </c>
      <c r="H30" s="34">
        <f>IF($B30="ABSOLUTE SEMANTIC",'19_FEATURE_CONFIDENCE'!$D$10,SQRT((SUMPRODUCT(--('93_TARGET_MEMBERSHIP'!AA$5:AA$27=1),'92_FEATURE_CONF_NUMERIC'!I$5:I$27)/MAX(1,COUNTIF('93_TARGET_MEMBERSHIP'!AA$5:AA$27,1)))*(SUMPRODUCT(--('93_TARGET_MEMBERSHIP'!AA$5:AA$27=-1),'92_FEATURE_CONF_NUMERIC'!I$5:I$27)/MAX(1,COUNTIF('93_TARGET_MEMBERSHIP'!AA$5:AA$27,-1)))))</f>
        <v/>
      </c>
      <c r="I30" s="34">
        <f>IF($B30="ABSOLUTE SEMANTIC",'19_FEATURE_CONFIDENCE'!$D$11,SQRT((SUMPRODUCT(--('93_TARGET_MEMBERSHIP'!AA$5:AA$27=1),'92_FEATURE_CONF_NUMERIC'!J$5:J$27)/MAX(1,COUNTIF('93_TARGET_MEMBERSHIP'!AA$5:AA$27,1)))*(SUMPRODUCT(--('93_TARGET_MEMBERSHIP'!AA$5:AA$27=-1),'92_FEATURE_CONF_NUMERIC'!J$5:J$27)/MAX(1,COUNTIF('93_TARGET_MEMBERSHIP'!AA$5:AA$27,-1)))))</f>
        <v/>
      </c>
      <c r="J30" s="34">
        <f>IF($B30="ABSOLUTE SEMANTIC",'19_FEATURE_CONFIDENCE'!$D$12,SQRT((SUMPRODUCT(--('93_TARGET_MEMBERSHIP'!AA$5:AA$27=1),'92_FEATURE_CONF_NUMERIC'!K$5:K$27)/MAX(1,COUNTIF('93_TARGET_MEMBERSHIP'!AA$5:AA$27,1)))*(SUMPRODUCT(--('93_TARGET_MEMBERSHIP'!AA$5:AA$27=-1),'92_FEATURE_CONF_NUMERIC'!K$5:K$27)/MAX(1,COUNTIF('93_TARGET_MEMBERSHIP'!AA$5:AA$27,-1)))))</f>
        <v/>
      </c>
      <c r="K30" s="34">
        <f>IF($B30="ABSOLUTE SEMANTIC",'19_FEATURE_CONFIDENCE'!$D$13,SQRT((SUMPRODUCT(--('93_TARGET_MEMBERSHIP'!AA$5:AA$27=1),'92_FEATURE_CONF_NUMERIC'!L$5:L$27)/MAX(1,COUNTIF('93_TARGET_MEMBERSHIP'!AA$5:AA$27,1)))*(SUMPRODUCT(--('93_TARGET_MEMBERSHIP'!AA$5:AA$27=-1),'92_FEATURE_CONF_NUMERIC'!L$5:L$27)/MAX(1,COUNTIF('93_TARGET_MEMBERSHIP'!AA$5:AA$27,-1)))))</f>
        <v/>
      </c>
      <c r="L30" s="34">
        <f>IF($B30="ABSOLUTE SEMANTIC",'19_FEATURE_CONFIDENCE'!$D$14,SQRT((SUMPRODUCT(--('93_TARGET_MEMBERSHIP'!AA$5:AA$27=1),'92_FEATURE_CONF_NUMERIC'!M$5:M$27)/MAX(1,COUNTIF('93_TARGET_MEMBERSHIP'!AA$5:AA$27,1)))*(SUMPRODUCT(--('93_TARGET_MEMBERSHIP'!AA$5:AA$27=-1),'92_FEATURE_CONF_NUMERIC'!M$5:M$27)/MAX(1,COUNTIF('93_TARGET_MEMBERSHIP'!AA$5:AA$27,-1)))))</f>
        <v/>
      </c>
      <c r="M30" s="34">
        <f>IF($B30="ABSOLUTE SEMANTIC",'19_FEATURE_CONFIDENCE'!$D$15,SQRT((SUMPRODUCT(--('93_TARGET_MEMBERSHIP'!AA$5:AA$27=1),'92_FEATURE_CONF_NUMERIC'!N$5:N$27)/MAX(1,COUNTIF('93_TARGET_MEMBERSHIP'!AA$5:AA$27,1)))*(SUMPRODUCT(--('93_TARGET_MEMBERSHIP'!AA$5:AA$27=-1),'92_FEATURE_CONF_NUMERIC'!N$5:N$27)/MAX(1,COUNTIF('93_TARGET_MEMBERSHIP'!AA$5:AA$27,-1)))))</f>
        <v/>
      </c>
      <c r="N30" s="34">
        <f>IF($B30="ABSOLUTE SEMANTIC",'19_FEATURE_CONFIDENCE'!$D$16,SQRT((SUMPRODUCT(--('93_TARGET_MEMBERSHIP'!AA$5:AA$27=1),'92_FEATURE_CONF_NUMERIC'!O$5:O$27)/MAX(1,COUNTIF('93_TARGET_MEMBERSHIP'!AA$5:AA$27,1)))*(SUMPRODUCT(--('93_TARGET_MEMBERSHIP'!AA$5:AA$27=-1),'92_FEATURE_CONF_NUMERIC'!O$5:O$27)/MAX(1,COUNTIF('93_TARGET_MEMBERSHIP'!AA$5:AA$27,-1)))))</f>
        <v/>
      </c>
      <c r="O30" s="34">
        <f>IF($B30="ABSOLUTE SEMANTIC",'19_FEATURE_CONFIDENCE'!$D$17,SQRT((SUMPRODUCT(--('93_TARGET_MEMBERSHIP'!AA$5:AA$27=1),'92_FEATURE_CONF_NUMERIC'!P$5:P$27)/MAX(1,COUNTIF('93_TARGET_MEMBERSHIP'!AA$5:AA$27,1)))*(SUMPRODUCT(--('93_TARGET_MEMBERSHIP'!AA$5:AA$27=-1),'92_FEATURE_CONF_NUMERIC'!P$5:P$27)/MAX(1,COUNTIF('93_TARGET_MEMBERSHIP'!AA$5:AA$27,-1)))))</f>
        <v/>
      </c>
      <c r="P30" s="34">
        <f>IF($B30="ABSOLUTE SEMANTIC",'19_FEATURE_CONFIDENCE'!$D$18,SQRT((SUMPRODUCT(--('93_TARGET_MEMBERSHIP'!AA$5:AA$27=1),'92_FEATURE_CONF_NUMERIC'!Q$5:Q$27)/MAX(1,COUNTIF('93_TARGET_MEMBERSHIP'!AA$5:AA$27,1)))*(SUMPRODUCT(--('93_TARGET_MEMBERSHIP'!AA$5:AA$27=-1),'92_FEATURE_CONF_NUMERIC'!Q$5:Q$27)/MAX(1,COUNTIF('93_TARGET_MEMBERSHIP'!AA$5:AA$27,-1)))))</f>
        <v/>
      </c>
      <c r="Q30" s="34">
        <f>IF($B30="ABSOLUTE SEMANTIC",'19_FEATURE_CONFIDENCE'!$D$19,SQRT((SUMPRODUCT(--('93_TARGET_MEMBERSHIP'!AA$5:AA$27=1),'92_FEATURE_CONF_NUMERIC'!R$5:R$27)/MAX(1,COUNTIF('93_TARGET_MEMBERSHIP'!AA$5:AA$27,1)))*(SUMPRODUCT(--('93_TARGET_MEMBERSHIP'!AA$5:AA$27=-1),'92_FEATURE_CONF_NUMERIC'!R$5:R$27)/MAX(1,COUNTIF('93_TARGET_MEMBERSHIP'!AA$5:AA$27,-1)))))</f>
        <v/>
      </c>
      <c r="R30" s="34">
        <f>IF($B30="ABSOLUTE SEMANTIC",'19_FEATURE_CONFIDENCE'!$D$20,SQRT((SUMPRODUCT(--('93_TARGET_MEMBERSHIP'!AA$5:AA$27=1),'92_FEATURE_CONF_NUMERIC'!S$5:S$27)/MAX(1,COUNTIF('93_TARGET_MEMBERSHIP'!AA$5:AA$27,1)))*(SUMPRODUCT(--('93_TARGET_MEMBERSHIP'!AA$5:AA$27=-1),'92_FEATURE_CONF_NUMERIC'!S$5:S$27)/MAX(1,COUNTIF('93_TARGET_MEMBERSHIP'!AA$5:AA$27,-1)))))</f>
        <v/>
      </c>
      <c r="S30" s="34">
        <f>IF($B30="ABSOLUTE SEMANTIC",'19_FEATURE_CONFIDENCE'!$D$21,SQRT((SUMPRODUCT(--('93_TARGET_MEMBERSHIP'!AA$5:AA$27=1),'92_FEATURE_CONF_NUMERIC'!T$5:T$27)/MAX(1,COUNTIF('93_TARGET_MEMBERSHIP'!AA$5:AA$27,1)))*(SUMPRODUCT(--('93_TARGET_MEMBERSHIP'!AA$5:AA$27=-1),'92_FEATURE_CONF_NUMERIC'!T$5:T$27)/MAX(1,COUNTIF('93_TARGET_MEMBERSHIP'!AA$5:AA$27,-1)))))</f>
        <v/>
      </c>
      <c r="T30" s="34">
        <f>IF($B30="ABSOLUTE SEMANTIC",'19_FEATURE_CONFIDENCE'!$D$22,SQRT((SUMPRODUCT(--('93_TARGET_MEMBERSHIP'!AA$5:AA$27=1),'92_FEATURE_CONF_NUMERIC'!U$5:U$27)/MAX(1,COUNTIF('93_TARGET_MEMBERSHIP'!AA$5:AA$27,1)))*(SUMPRODUCT(--('93_TARGET_MEMBERSHIP'!AA$5:AA$27=-1),'92_FEATURE_CONF_NUMERIC'!U$5:U$27)/MAX(1,COUNTIF('93_TARGET_MEMBERSHIP'!AA$5:AA$27,-1)))))</f>
        <v/>
      </c>
      <c r="U30" s="34">
        <f>IF($B30="ABSOLUTE SEMANTIC",'19_FEATURE_CONFIDENCE'!$D$23,SQRT((SUMPRODUCT(--('93_TARGET_MEMBERSHIP'!AA$5:AA$27=1),'92_FEATURE_CONF_NUMERIC'!V$5:V$27)/MAX(1,COUNTIF('93_TARGET_MEMBERSHIP'!AA$5:AA$27,1)))*(SUMPRODUCT(--('93_TARGET_MEMBERSHIP'!AA$5:AA$27=-1),'92_FEATURE_CONF_NUMERIC'!V$5:V$27)/MAX(1,COUNTIF('93_TARGET_MEMBERSHIP'!AA$5:AA$27,-1)))))</f>
        <v/>
      </c>
      <c r="V30" s="34">
        <f>IF($B30="ABSOLUTE SEMANTIC",'19_FEATURE_CONFIDENCE'!$D$24,SQRT((SUMPRODUCT(--('93_TARGET_MEMBERSHIP'!AA$5:AA$27=1),'92_FEATURE_CONF_NUMERIC'!W$5:W$27)/MAX(1,COUNTIF('93_TARGET_MEMBERSHIP'!AA$5:AA$27,1)))*(SUMPRODUCT(--('93_TARGET_MEMBERSHIP'!AA$5:AA$27=-1),'92_FEATURE_CONF_NUMERIC'!W$5:W$27)/MAX(1,COUNTIF('93_TARGET_MEMBERSHIP'!AA$5:AA$27,-1)))))</f>
        <v/>
      </c>
      <c r="W30" s="34">
        <f>IF($B30="ABSOLUTE SEMANTIC",'19_FEATURE_CONFIDENCE'!$D$25,SQRT((SUMPRODUCT(--('93_TARGET_MEMBERSHIP'!AA$5:AA$27=1),'92_FEATURE_CONF_NUMERIC'!X$5:X$27)/MAX(1,COUNTIF('93_TARGET_MEMBERSHIP'!AA$5:AA$27,1)))*(SUMPRODUCT(--('93_TARGET_MEMBERSHIP'!AA$5:AA$27=-1),'92_FEATURE_CONF_NUMERIC'!X$5:X$27)/MAX(1,COUNTIF('93_TARGET_MEMBERSHIP'!AA$5:AA$27,-1)))))</f>
        <v/>
      </c>
      <c r="X30" s="34">
        <f>IF($B30="ABSOLUTE SEMANTIC",'19_FEATURE_CONFIDENCE'!$D$26,SQRT((SUMPRODUCT(--('93_TARGET_MEMBERSHIP'!AA$5:AA$27=1),'92_FEATURE_CONF_NUMERIC'!Y$5:Y$27)/MAX(1,COUNTIF('93_TARGET_MEMBERSHIP'!AA$5:AA$27,1)))*(SUMPRODUCT(--('93_TARGET_MEMBERSHIP'!AA$5:AA$27=-1),'92_FEATURE_CONF_NUMERIC'!Y$5:Y$27)/MAX(1,COUNTIF('93_TARGET_MEMBERSHIP'!AA$5:AA$27,-1)))))</f>
        <v/>
      </c>
      <c r="Y30" s="34">
        <f>IF($B30="ABSOLUTE SEMANTIC",'19_FEATURE_CONFIDENCE'!$D$27,SQRT((SUMPRODUCT(--('93_TARGET_MEMBERSHIP'!AA$5:AA$27=1),'92_FEATURE_CONF_NUMERIC'!Z$5:Z$27)/MAX(1,COUNTIF('93_TARGET_MEMBERSHIP'!AA$5:AA$27,1)))*(SUMPRODUCT(--('93_TARGET_MEMBERSHIP'!AA$5:AA$27=-1),'92_FEATURE_CONF_NUMERIC'!Z$5:Z$27)/MAX(1,COUNTIF('93_TARGET_MEMBERSHIP'!AA$5:AA$27,-1)))))</f>
        <v/>
      </c>
      <c r="Z30" s="34">
        <f>IF($B30="ABSOLUTE SEMANTIC",'19_FEATURE_CONFIDENCE'!$D$28,SQRT((SUMPRODUCT(--('93_TARGET_MEMBERSHIP'!AA$5:AA$27=1),'92_FEATURE_CONF_NUMERIC'!AA$5:AA$27)/MAX(1,COUNTIF('93_TARGET_MEMBERSHIP'!AA$5:AA$27,1)))*(SUMPRODUCT(--('93_TARGET_MEMBERSHIP'!AA$5:AA$27=-1),'92_FEATURE_CONF_NUMERIC'!AA$5:AA$27)/MAX(1,COUNTIF('93_TARGET_MEMBERSHIP'!AA$5:AA$27,-1)))))</f>
        <v/>
      </c>
      <c r="AA30" s="34">
        <f>IF($B30="ABSOLUTE SEMANTIC",'19_FEATURE_CONFIDENCE'!$D$29,SQRT((SUMPRODUCT(--('93_TARGET_MEMBERSHIP'!AA$5:AA$27=1),'92_FEATURE_CONF_NUMERIC'!AB$5:AB$27)/MAX(1,COUNTIF('93_TARGET_MEMBERSHIP'!AA$5:AA$27,1)))*(SUMPRODUCT(--('93_TARGET_MEMBERSHIP'!AA$5:AA$27=-1),'92_FEATURE_CONF_NUMERIC'!AB$5:AB$27)/MAX(1,COUNTIF('93_TARGET_MEMBERSHIP'!AA$5:AA$27,-1)))))</f>
        <v/>
      </c>
      <c r="AB30" s="34">
        <f>IF($B30="ABSOLUTE SEMANTIC",'19_FEATURE_CONFIDENCE'!$D$30,SQRT((SUMPRODUCT(--('93_TARGET_MEMBERSHIP'!AA$5:AA$27=1),'92_FEATURE_CONF_NUMERIC'!AC$5:AC$27)/MAX(1,COUNTIF('93_TARGET_MEMBERSHIP'!AA$5:AA$27,1)))*(SUMPRODUCT(--('93_TARGET_MEMBERSHIP'!AA$5:AA$27=-1),'92_FEATURE_CONF_NUMERIC'!AC$5:AC$27)/MAX(1,COUNTIF('93_TARGET_MEMBERSHIP'!AA$5:AA$27,-1)))))</f>
        <v/>
      </c>
      <c r="AC30" s="34">
        <f>IF($B30="ABSOLUTE SEMANTIC",'19_FEATURE_CONFIDENCE'!$D$31,SQRT((SUMPRODUCT(--('93_TARGET_MEMBERSHIP'!AA$5:AA$27=1),'92_FEATURE_CONF_NUMERIC'!AD$5:AD$27)/MAX(1,COUNTIF('93_TARGET_MEMBERSHIP'!AA$5:AA$27,1)))*(SUMPRODUCT(--('93_TARGET_MEMBERSHIP'!AA$5:AA$27=-1),'92_FEATURE_CONF_NUMERIC'!AD$5:AD$27)/MAX(1,COUNTIF('93_TARGET_MEMBERSHIP'!AA$5:AA$27,-1)))))</f>
        <v/>
      </c>
      <c r="AD30" s="34">
        <f>IF($B30="ABSOLUTE SEMANTIC",'19_FEATURE_CONFIDENCE'!$D$32,SQRT((SUMPRODUCT(--('93_TARGET_MEMBERSHIP'!AA$5:AA$27=1),'92_FEATURE_CONF_NUMERIC'!AE$5:AE$27)/MAX(1,COUNTIF('93_TARGET_MEMBERSHIP'!AA$5:AA$27,1)))*(SUMPRODUCT(--('93_TARGET_MEMBERSHIP'!AA$5:AA$27=-1),'92_FEATURE_CONF_NUMERIC'!AE$5:AE$27)/MAX(1,COUNTIF('93_TARGET_MEMBERSHIP'!AA$5:AA$27,-1)))))</f>
        <v/>
      </c>
      <c r="AE30" s="34">
        <f>IF($B30="ABSOLUTE SEMANTIC",'19_FEATURE_CONFIDENCE'!$D$33,SQRT((SUMPRODUCT(--('93_TARGET_MEMBERSHIP'!AA$5:AA$27=1),'92_FEATURE_CONF_NUMERIC'!AF$5:AF$27)/MAX(1,COUNTIF('93_TARGET_MEMBERSHIP'!AA$5:AA$27,1)))*(SUMPRODUCT(--('93_TARGET_MEMBERSHIP'!AA$5:AA$27=-1),'92_FEATURE_CONF_NUMERIC'!AF$5:AF$27)/MAX(1,COUNTIF('93_TARGET_MEMBERSHIP'!AA$5:AA$27,-1)))))</f>
        <v/>
      </c>
      <c r="AF30" s="34">
        <f>IF($B30="ABSOLUTE SEMANTIC",'19_FEATURE_CONFIDENCE'!$D$34,SQRT((SUMPRODUCT(--('93_TARGET_MEMBERSHIP'!AA$5:AA$27=1),'92_FEATURE_CONF_NUMERIC'!AG$5:AG$27)/MAX(1,COUNTIF('93_TARGET_MEMBERSHIP'!AA$5:AA$27,1)))*(SUMPRODUCT(--('93_TARGET_MEMBERSHIP'!AA$5:AA$27=-1),'92_FEATURE_CONF_NUMERIC'!AG$5:AG$27)/MAX(1,COUNTIF('93_TARGET_MEMBERSHIP'!AA$5:AA$27,-1)))))</f>
        <v/>
      </c>
      <c r="AG30" s="34">
        <f>IF($B30="ABSOLUTE SEMANTIC",'19_FEATURE_CONFIDENCE'!$D$35,SQRT((SUMPRODUCT(--('93_TARGET_MEMBERSHIP'!AA$5:AA$27=1),'92_FEATURE_CONF_NUMERIC'!AH$5:AH$27)/MAX(1,COUNTIF('93_TARGET_MEMBERSHIP'!AA$5:AA$27,1)))*(SUMPRODUCT(--('93_TARGET_MEMBERSHIP'!AA$5:AA$27=-1),'92_FEATURE_CONF_NUMERIC'!AH$5:AH$27)/MAX(1,COUNTIF('93_TARGET_MEMBERSHIP'!AA$5:AA$27,-1)))))</f>
        <v/>
      </c>
      <c r="AH30" s="34">
        <f>IF($B30="ABSOLUTE SEMANTIC",'19_FEATURE_CONFIDENCE'!$D$36,SQRT((SUMPRODUCT(--('93_TARGET_MEMBERSHIP'!AA$5:AA$27=1),'92_FEATURE_CONF_NUMERIC'!AI$5:AI$27)/MAX(1,COUNTIF('93_TARGET_MEMBERSHIP'!AA$5:AA$27,1)))*(SUMPRODUCT(--('93_TARGET_MEMBERSHIP'!AA$5:AA$27=-1),'92_FEATURE_CONF_NUMERIC'!AI$5:AI$27)/MAX(1,COUNTIF('93_TARGET_MEMBERSHIP'!AA$5:AA$27,-1)))))</f>
        <v/>
      </c>
      <c r="AI30" s="34">
        <f>IF($B30="ABSOLUTE SEMANTIC",'19_FEATURE_CONFIDENCE'!$D$37,SQRT((SUMPRODUCT(--('93_TARGET_MEMBERSHIP'!AA$5:AA$27=1),'92_FEATURE_CONF_NUMERIC'!AJ$5:AJ$27)/MAX(1,COUNTIF('93_TARGET_MEMBERSHIP'!AA$5:AA$27,1)))*(SUMPRODUCT(--('93_TARGET_MEMBERSHIP'!AA$5:AA$27=-1),'92_FEATURE_CONF_NUMERIC'!AJ$5:AJ$27)/MAX(1,COUNTIF('93_TARGET_MEMBERSHIP'!AA$5:AA$27,-1)))))</f>
        <v/>
      </c>
      <c r="AJ30" s="34">
        <f>IF($B30="ABSOLUTE SEMANTIC",'19_FEATURE_CONFIDENCE'!$D$38,SQRT((SUMPRODUCT(--('93_TARGET_MEMBERSHIP'!AA$5:AA$27=1),'92_FEATURE_CONF_NUMERIC'!AK$5:AK$27)/MAX(1,COUNTIF('93_TARGET_MEMBERSHIP'!AA$5:AA$27,1)))*(SUMPRODUCT(--('93_TARGET_MEMBERSHIP'!AA$5:AA$27=-1),'92_FEATURE_CONF_NUMERIC'!AK$5:AK$27)/MAX(1,COUNTIF('93_TARGET_MEMBERSHIP'!AA$5:AA$27,-1)))))</f>
        <v/>
      </c>
      <c r="AK30" s="34">
        <f>IF($B30="ABSOLUTE SEMANTIC",'19_FEATURE_CONFIDENCE'!$D$39,SQRT((SUMPRODUCT(--('93_TARGET_MEMBERSHIP'!AA$5:AA$27=1),'92_FEATURE_CONF_NUMERIC'!AL$5:AL$27)/MAX(1,COUNTIF('93_TARGET_MEMBERSHIP'!AA$5:AA$27,1)))*(SUMPRODUCT(--('93_TARGET_MEMBERSHIP'!AA$5:AA$27=-1),'92_FEATURE_CONF_NUMERIC'!AL$5:AL$27)/MAX(1,COUNTIF('93_TARGET_MEMBERSHIP'!AA$5:AA$27,-1)))))</f>
        <v/>
      </c>
      <c r="AL30" s="34">
        <f>IF($B30="ABSOLUTE SEMANTIC",'19_FEATURE_CONFIDENCE'!$D$40,SQRT((SUMPRODUCT(--('93_TARGET_MEMBERSHIP'!AA$5:AA$27=1),'92_FEATURE_CONF_NUMERIC'!AM$5:AM$27)/MAX(1,COUNTIF('93_TARGET_MEMBERSHIP'!AA$5:AA$27,1)))*(SUMPRODUCT(--('93_TARGET_MEMBERSHIP'!AA$5:AA$27=-1),'92_FEATURE_CONF_NUMERIC'!AM$5:AM$27)/MAX(1,COUNTIF('93_TARGET_MEMBERSHIP'!AA$5:AA$27,-1)))))</f>
        <v/>
      </c>
      <c r="AM30" s="34">
        <f>IF($B30="ABSOLUTE SEMANTIC",'19_FEATURE_CONFIDENCE'!$D$41,SQRT((SUMPRODUCT(--('93_TARGET_MEMBERSHIP'!AA$5:AA$27=1),'92_FEATURE_CONF_NUMERIC'!AN$5:AN$27)/MAX(1,COUNTIF('93_TARGET_MEMBERSHIP'!AA$5:AA$27,1)))*(SUMPRODUCT(--('93_TARGET_MEMBERSHIP'!AA$5:AA$27=-1),'92_FEATURE_CONF_NUMERIC'!AN$5:AN$27)/MAX(1,COUNTIF('93_TARGET_MEMBERSHIP'!AA$5:AA$27,-1)))))</f>
        <v/>
      </c>
      <c r="AN30" s="34">
        <f>IF($B30="ABSOLUTE SEMANTIC",'19_FEATURE_CONFIDENCE'!$D$42,SQRT((SUMPRODUCT(--('93_TARGET_MEMBERSHIP'!AA$5:AA$27=1),'92_FEATURE_CONF_NUMERIC'!AO$5:AO$27)/MAX(1,COUNTIF('93_TARGET_MEMBERSHIP'!AA$5:AA$27,1)))*(SUMPRODUCT(--('93_TARGET_MEMBERSHIP'!AA$5:AA$27=-1),'92_FEATURE_CONF_NUMERIC'!AO$5:AO$27)/MAX(1,COUNTIF('93_TARGET_MEMBERSHIP'!AA$5:AA$27,-1)))))</f>
        <v/>
      </c>
      <c r="AO30" s="34">
        <f>IF($B30="ABSOLUTE SEMANTIC",'19_FEATURE_CONFIDENCE'!$D$43,SQRT((SUMPRODUCT(--('93_TARGET_MEMBERSHIP'!AA$5:AA$27=1),'92_FEATURE_CONF_NUMERIC'!AP$5:AP$27)/MAX(1,COUNTIF('93_TARGET_MEMBERSHIP'!AA$5:AA$27,1)))*(SUMPRODUCT(--('93_TARGET_MEMBERSHIP'!AA$5:AA$27=-1),'92_FEATURE_CONF_NUMERIC'!AP$5:AP$27)/MAX(1,COUNTIF('93_TARGET_MEMBERSHIP'!AA$5:AA$27,-1)))))</f>
        <v/>
      </c>
      <c r="AP30" s="34">
        <f>IF($B30="ABSOLUTE SEMANTIC",'19_FEATURE_CONFIDENCE'!$D$44,SQRT((SUMPRODUCT(--('93_TARGET_MEMBERSHIP'!AA$5:AA$27=1),'92_FEATURE_CONF_NUMERIC'!AQ$5:AQ$27)/MAX(1,COUNTIF('93_TARGET_MEMBERSHIP'!AA$5:AA$27,1)))*(SUMPRODUCT(--('93_TARGET_MEMBERSHIP'!AA$5:AA$27=-1),'92_FEATURE_CONF_NUMERIC'!AQ$5:AQ$27)/MAX(1,COUNTIF('93_TARGET_MEMBERSHIP'!AA$5:AA$27,-1)))))</f>
        <v/>
      </c>
      <c r="AQ30" s="34">
        <f>IF($B30="ABSOLUTE SEMANTIC",'19_FEATURE_CONFIDENCE'!$D$45,SQRT((SUMPRODUCT(--('93_TARGET_MEMBERSHIP'!AA$5:AA$27=1),'92_FEATURE_CONF_NUMERIC'!AR$5:AR$27)/MAX(1,COUNTIF('93_TARGET_MEMBERSHIP'!AA$5:AA$27,1)))*(SUMPRODUCT(--('93_TARGET_MEMBERSHIP'!AA$5:AA$27=-1),'92_FEATURE_CONF_NUMERIC'!AR$5:AR$27)/MAX(1,COUNTIF('93_TARGET_MEMBERSHIP'!AA$5:AA$27,-1)))))</f>
        <v/>
      </c>
    </row>
    <row r="31" ht="36" customHeight="1">
      <c r="A31" s="34">
        <f>'06_ITEM_POLE_MODEL'!A31</f>
        <v/>
      </c>
      <c r="B31" s="34">
        <f>'06_ITEM_POLE_MODEL'!E31</f>
        <v/>
      </c>
      <c r="C31" s="34">
        <f>IF($B31="ABSOLUTE SEMANTIC",'19_FEATURE_CONFIDENCE'!$D$5,SQRT((SUMPRODUCT(--('93_TARGET_MEMBERSHIP'!AB$5:AB$27=1),'92_FEATURE_CONF_NUMERIC'!D$5:D$27)/MAX(1,COUNTIF('93_TARGET_MEMBERSHIP'!AB$5:AB$27,1)))*(SUMPRODUCT(--('93_TARGET_MEMBERSHIP'!AB$5:AB$27=-1),'92_FEATURE_CONF_NUMERIC'!D$5:D$27)/MAX(1,COUNTIF('93_TARGET_MEMBERSHIP'!AB$5:AB$27,-1)))))</f>
        <v/>
      </c>
      <c r="D31" s="34">
        <f>IF($B31="ABSOLUTE SEMANTIC",'19_FEATURE_CONFIDENCE'!$D$6,SQRT((SUMPRODUCT(--('93_TARGET_MEMBERSHIP'!AB$5:AB$27=1),'92_FEATURE_CONF_NUMERIC'!E$5:E$27)/MAX(1,COUNTIF('93_TARGET_MEMBERSHIP'!AB$5:AB$27,1)))*(SUMPRODUCT(--('93_TARGET_MEMBERSHIP'!AB$5:AB$27=-1),'92_FEATURE_CONF_NUMERIC'!E$5:E$27)/MAX(1,COUNTIF('93_TARGET_MEMBERSHIP'!AB$5:AB$27,-1)))))</f>
        <v/>
      </c>
      <c r="E31" s="34">
        <f>IF($B31="ABSOLUTE SEMANTIC",'19_FEATURE_CONFIDENCE'!$D$7,SQRT((SUMPRODUCT(--('93_TARGET_MEMBERSHIP'!AB$5:AB$27=1),'92_FEATURE_CONF_NUMERIC'!F$5:F$27)/MAX(1,COUNTIF('93_TARGET_MEMBERSHIP'!AB$5:AB$27,1)))*(SUMPRODUCT(--('93_TARGET_MEMBERSHIP'!AB$5:AB$27=-1),'92_FEATURE_CONF_NUMERIC'!F$5:F$27)/MAX(1,COUNTIF('93_TARGET_MEMBERSHIP'!AB$5:AB$27,-1)))))</f>
        <v/>
      </c>
      <c r="F31" s="34">
        <f>IF($B31="ABSOLUTE SEMANTIC",'19_FEATURE_CONFIDENCE'!$D$8,SQRT((SUMPRODUCT(--('93_TARGET_MEMBERSHIP'!AB$5:AB$27=1),'92_FEATURE_CONF_NUMERIC'!G$5:G$27)/MAX(1,COUNTIF('93_TARGET_MEMBERSHIP'!AB$5:AB$27,1)))*(SUMPRODUCT(--('93_TARGET_MEMBERSHIP'!AB$5:AB$27=-1),'92_FEATURE_CONF_NUMERIC'!G$5:G$27)/MAX(1,COUNTIF('93_TARGET_MEMBERSHIP'!AB$5:AB$27,-1)))))</f>
        <v/>
      </c>
      <c r="G31" s="34">
        <f>IF($B31="ABSOLUTE SEMANTIC",'19_FEATURE_CONFIDENCE'!$D$9,SQRT((SUMPRODUCT(--('93_TARGET_MEMBERSHIP'!AB$5:AB$27=1),'92_FEATURE_CONF_NUMERIC'!H$5:H$27)/MAX(1,COUNTIF('93_TARGET_MEMBERSHIP'!AB$5:AB$27,1)))*(SUMPRODUCT(--('93_TARGET_MEMBERSHIP'!AB$5:AB$27=-1),'92_FEATURE_CONF_NUMERIC'!H$5:H$27)/MAX(1,COUNTIF('93_TARGET_MEMBERSHIP'!AB$5:AB$27,-1)))))</f>
        <v/>
      </c>
      <c r="H31" s="34">
        <f>IF($B31="ABSOLUTE SEMANTIC",'19_FEATURE_CONFIDENCE'!$D$10,SQRT((SUMPRODUCT(--('93_TARGET_MEMBERSHIP'!AB$5:AB$27=1),'92_FEATURE_CONF_NUMERIC'!I$5:I$27)/MAX(1,COUNTIF('93_TARGET_MEMBERSHIP'!AB$5:AB$27,1)))*(SUMPRODUCT(--('93_TARGET_MEMBERSHIP'!AB$5:AB$27=-1),'92_FEATURE_CONF_NUMERIC'!I$5:I$27)/MAX(1,COUNTIF('93_TARGET_MEMBERSHIP'!AB$5:AB$27,-1)))))</f>
        <v/>
      </c>
      <c r="I31" s="34">
        <f>IF($B31="ABSOLUTE SEMANTIC",'19_FEATURE_CONFIDENCE'!$D$11,SQRT((SUMPRODUCT(--('93_TARGET_MEMBERSHIP'!AB$5:AB$27=1),'92_FEATURE_CONF_NUMERIC'!J$5:J$27)/MAX(1,COUNTIF('93_TARGET_MEMBERSHIP'!AB$5:AB$27,1)))*(SUMPRODUCT(--('93_TARGET_MEMBERSHIP'!AB$5:AB$27=-1),'92_FEATURE_CONF_NUMERIC'!J$5:J$27)/MAX(1,COUNTIF('93_TARGET_MEMBERSHIP'!AB$5:AB$27,-1)))))</f>
        <v/>
      </c>
      <c r="J31" s="34">
        <f>IF($B31="ABSOLUTE SEMANTIC",'19_FEATURE_CONFIDENCE'!$D$12,SQRT((SUMPRODUCT(--('93_TARGET_MEMBERSHIP'!AB$5:AB$27=1),'92_FEATURE_CONF_NUMERIC'!K$5:K$27)/MAX(1,COUNTIF('93_TARGET_MEMBERSHIP'!AB$5:AB$27,1)))*(SUMPRODUCT(--('93_TARGET_MEMBERSHIP'!AB$5:AB$27=-1),'92_FEATURE_CONF_NUMERIC'!K$5:K$27)/MAX(1,COUNTIF('93_TARGET_MEMBERSHIP'!AB$5:AB$27,-1)))))</f>
        <v/>
      </c>
      <c r="K31" s="34">
        <f>IF($B31="ABSOLUTE SEMANTIC",'19_FEATURE_CONFIDENCE'!$D$13,SQRT((SUMPRODUCT(--('93_TARGET_MEMBERSHIP'!AB$5:AB$27=1),'92_FEATURE_CONF_NUMERIC'!L$5:L$27)/MAX(1,COUNTIF('93_TARGET_MEMBERSHIP'!AB$5:AB$27,1)))*(SUMPRODUCT(--('93_TARGET_MEMBERSHIP'!AB$5:AB$27=-1),'92_FEATURE_CONF_NUMERIC'!L$5:L$27)/MAX(1,COUNTIF('93_TARGET_MEMBERSHIP'!AB$5:AB$27,-1)))))</f>
        <v/>
      </c>
      <c r="L31" s="34">
        <f>IF($B31="ABSOLUTE SEMANTIC",'19_FEATURE_CONFIDENCE'!$D$14,SQRT((SUMPRODUCT(--('93_TARGET_MEMBERSHIP'!AB$5:AB$27=1),'92_FEATURE_CONF_NUMERIC'!M$5:M$27)/MAX(1,COUNTIF('93_TARGET_MEMBERSHIP'!AB$5:AB$27,1)))*(SUMPRODUCT(--('93_TARGET_MEMBERSHIP'!AB$5:AB$27=-1),'92_FEATURE_CONF_NUMERIC'!M$5:M$27)/MAX(1,COUNTIF('93_TARGET_MEMBERSHIP'!AB$5:AB$27,-1)))))</f>
        <v/>
      </c>
      <c r="M31" s="34">
        <f>IF($B31="ABSOLUTE SEMANTIC",'19_FEATURE_CONFIDENCE'!$D$15,SQRT((SUMPRODUCT(--('93_TARGET_MEMBERSHIP'!AB$5:AB$27=1),'92_FEATURE_CONF_NUMERIC'!N$5:N$27)/MAX(1,COUNTIF('93_TARGET_MEMBERSHIP'!AB$5:AB$27,1)))*(SUMPRODUCT(--('93_TARGET_MEMBERSHIP'!AB$5:AB$27=-1),'92_FEATURE_CONF_NUMERIC'!N$5:N$27)/MAX(1,COUNTIF('93_TARGET_MEMBERSHIP'!AB$5:AB$27,-1)))))</f>
        <v/>
      </c>
      <c r="N31" s="34">
        <f>IF($B31="ABSOLUTE SEMANTIC",'19_FEATURE_CONFIDENCE'!$D$16,SQRT((SUMPRODUCT(--('93_TARGET_MEMBERSHIP'!AB$5:AB$27=1),'92_FEATURE_CONF_NUMERIC'!O$5:O$27)/MAX(1,COUNTIF('93_TARGET_MEMBERSHIP'!AB$5:AB$27,1)))*(SUMPRODUCT(--('93_TARGET_MEMBERSHIP'!AB$5:AB$27=-1),'92_FEATURE_CONF_NUMERIC'!O$5:O$27)/MAX(1,COUNTIF('93_TARGET_MEMBERSHIP'!AB$5:AB$27,-1)))))</f>
        <v/>
      </c>
      <c r="O31" s="34">
        <f>IF($B31="ABSOLUTE SEMANTIC",'19_FEATURE_CONFIDENCE'!$D$17,SQRT((SUMPRODUCT(--('93_TARGET_MEMBERSHIP'!AB$5:AB$27=1),'92_FEATURE_CONF_NUMERIC'!P$5:P$27)/MAX(1,COUNTIF('93_TARGET_MEMBERSHIP'!AB$5:AB$27,1)))*(SUMPRODUCT(--('93_TARGET_MEMBERSHIP'!AB$5:AB$27=-1),'92_FEATURE_CONF_NUMERIC'!P$5:P$27)/MAX(1,COUNTIF('93_TARGET_MEMBERSHIP'!AB$5:AB$27,-1)))))</f>
        <v/>
      </c>
      <c r="P31" s="34">
        <f>IF($B31="ABSOLUTE SEMANTIC",'19_FEATURE_CONFIDENCE'!$D$18,SQRT((SUMPRODUCT(--('93_TARGET_MEMBERSHIP'!AB$5:AB$27=1),'92_FEATURE_CONF_NUMERIC'!Q$5:Q$27)/MAX(1,COUNTIF('93_TARGET_MEMBERSHIP'!AB$5:AB$27,1)))*(SUMPRODUCT(--('93_TARGET_MEMBERSHIP'!AB$5:AB$27=-1),'92_FEATURE_CONF_NUMERIC'!Q$5:Q$27)/MAX(1,COUNTIF('93_TARGET_MEMBERSHIP'!AB$5:AB$27,-1)))))</f>
        <v/>
      </c>
      <c r="Q31" s="34">
        <f>IF($B31="ABSOLUTE SEMANTIC",'19_FEATURE_CONFIDENCE'!$D$19,SQRT((SUMPRODUCT(--('93_TARGET_MEMBERSHIP'!AB$5:AB$27=1),'92_FEATURE_CONF_NUMERIC'!R$5:R$27)/MAX(1,COUNTIF('93_TARGET_MEMBERSHIP'!AB$5:AB$27,1)))*(SUMPRODUCT(--('93_TARGET_MEMBERSHIP'!AB$5:AB$27=-1),'92_FEATURE_CONF_NUMERIC'!R$5:R$27)/MAX(1,COUNTIF('93_TARGET_MEMBERSHIP'!AB$5:AB$27,-1)))))</f>
        <v/>
      </c>
      <c r="R31" s="34">
        <f>IF($B31="ABSOLUTE SEMANTIC",'19_FEATURE_CONFIDENCE'!$D$20,SQRT((SUMPRODUCT(--('93_TARGET_MEMBERSHIP'!AB$5:AB$27=1),'92_FEATURE_CONF_NUMERIC'!S$5:S$27)/MAX(1,COUNTIF('93_TARGET_MEMBERSHIP'!AB$5:AB$27,1)))*(SUMPRODUCT(--('93_TARGET_MEMBERSHIP'!AB$5:AB$27=-1),'92_FEATURE_CONF_NUMERIC'!S$5:S$27)/MAX(1,COUNTIF('93_TARGET_MEMBERSHIP'!AB$5:AB$27,-1)))))</f>
        <v/>
      </c>
      <c r="S31" s="34">
        <f>IF($B31="ABSOLUTE SEMANTIC",'19_FEATURE_CONFIDENCE'!$D$21,SQRT((SUMPRODUCT(--('93_TARGET_MEMBERSHIP'!AB$5:AB$27=1),'92_FEATURE_CONF_NUMERIC'!T$5:T$27)/MAX(1,COUNTIF('93_TARGET_MEMBERSHIP'!AB$5:AB$27,1)))*(SUMPRODUCT(--('93_TARGET_MEMBERSHIP'!AB$5:AB$27=-1),'92_FEATURE_CONF_NUMERIC'!T$5:T$27)/MAX(1,COUNTIF('93_TARGET_MEMBERSHIP'!AB$5:AB$27,-1)))))</f>
        <v/>
      </c>
      <c r="T31" s="34">
        <f>IF($B31="ABSOLUTE SEMANTIC",'19_FEATURE_CONFIDENCE'!$D$22,SQRT((SUMPRODUCT(--('93_TARGET_MEMBERSHIP'!AB$5:AB$27=1),'92_FEATURE_CONF_NUMERIC'!U$5:U$27)/MAX(1,COUNTIF('93_TARGET_MEMBERSHIP'!AB$5:AB$27,1)))*(SUMPRODUCT(--('93_TARGET_MEMBERSHIP'!AB$5:AB$27=-1),'92_FEATURE_CONF_NUMERIC'!U$5:U$27)/MAX(1,COUNTIF('93_TARGET_MEMBERSHIP'!AB$5:AB$27,-1)))))</f>
        <v/>
      </c>
      <c r="U31" s="34">
        <f>IF($B31="ABSOLUTE SEMANTIC",'19_FEATURE_CONFIDENCE'!$D$23,SQRT((SUMPRODUCT(--('93_TARGET_MEMBERSHIP'!AB$5:AB$27=1),'92_FEATURE_CONF_NUMERIC'!V$5:V$27)/MAX(1,COUNTIF('93_TARGET_MEMBERSHIP'!AB$5:AB$27,1)))*(SUMPRODUCT(--('93_TARGET_MEMBERSHIP'!AB$5:AB$27=-1),'92_FEATURE_CONF_NUMERIC'!V$5:V$27)/MAX(1,COUNTIF('93_TARGET_MEMBERSHIP'!AB$5:AB$27,-1)))))</f>
        <v/>
      </c>
      <c r="V31" s="34">
        <f>IF($B31="ABSOLUTE SEMANTIC",'19_FEATURE_CONFIDENCE'!$D$24,SQRT((SUMPRODUCT(--('93_TARGET_MEMBERSHIP'!AB$5:AB$27=1),'92_FEATURE_CONF_NUMERIC'!W$5:W$27)/MAX(1,COUNTIF('93_TARGET_MEMBERSHIP'!AB$5:AB$27,1)))*(SUMPRODUCT(--('93_TARGET_MEMBERSHIP'!AB$5:AB$27=-1),'92_FEATURE_CONF_NUMERIC'!W$5:W$27)/MAX(1,COUNTIF('93_TARGET_MEMBERSHIP'!AB$5:AB$27,-1)))))</f>
        <v/>
      </c>
      <c r="W31" s="34">
        <f>IF($B31="ABSOLUTE SEMANTIC",'19_FEATURE_CONFIDENCE'!$D$25,SQRT((SUMPRODUCT(--('93_TARGET_MEMBERSHIP'!AB$5:AB$27=1),'92_FEATURE_CONF_NUMERIC'!X$5:X$27)/MAX(1,COUNTIF('93_TARGET_MEMBERSHIP'!AB$5:AB$27,1)))*(SUMPRODUCT(--('93_TARGET_MEMBERSHIP'!AB$5:AB$27=-1),'92_FEATURE_CONF_NUMERIC'!X$5:X$27)/MAX(1,COUNTIF('93_TARGET_MEMBERSHIP'!AB$5:AB$27,-1)))))</f>
        <v/>
      </c>
      <c r="X31" s="34">
        <f>IF($B31="ABSOLUTE SEMANTIC",'19_FEATURE_CONFIDENCE'!$D$26,SQRT((SUMPRODUCT(--('93_TARGET_MEMBERSHIP'!AB$5:AB$27=1),'92_FEATURE_CONF_NUMERIC'!Y$5:Y$27)/MAX(1,COUNTIF('93_TARGET_MEMBERSHIP'!AB$5:AB$27,1)))*(SUMPRODUCT(--('93_TARGET_MEMBERSHIP'!AB$5:AB$27=-1),'92_FEATURE_CONF_NUMERIC'!Y$5:Y$27)/MAX(1,COUNTIF('93_TARGET_MEMBERSHIP'!AB$5:AB$27,-1)))))</f>
        <v/>
      </c>
      <c r="Y31" s="34">
        <f>IF($B31="ABSOLUTE SEMANTIC",'19_FEATURE_CONFIDENCE'!$D$27,SQRT((SUMPRODUCT(--('93_TARGET_MEMBERSHIP'!AB$5:AB$27=1),'92_FEATURE_CONF_NUMERIC'!Z$5:Z$27)/MAX(1,COUNTIF('93_TARGET_MEMBERSHIP'!AB$5:AB$27,1)))*(SUMPRODUCT(--('93_TARGET_MEMBERSHIP'!AB$5:AB$27=-1),'92_FEATURE_CONF_NUMERIC'!Z$5:Z$27)/MAX(1,COUNTIF('93_TARGET_MEMBERSHIP'!AB$5:AB$27,-1)))))</f>
        <v/>
      </c>
      <c r="Z31" s="34">
        <f>IF($B31="ABSOLUTE SEMANTIC",'19_FEATURE_CONFIDENCE'!$D$28,SQRT((SUMPRODUCT(--('93_TARGET_MEMBERSHIP'!AB$5:AB$27=1),'92_FEATURE_CONF_NUMERIC'!AA$5:AA$27)/MAX(1,COUNTIF('93_TARGET_MEMBERSHIP'!AB$5:AB$27,1)))*(SUMPRODUCT(--('93_TARGET_MEMBERSHIP'!AB$5:AB$27=-1),'92_FEATURE_CONF_NUMERIC'!AA$5:AA$27)/MAX(1,COUNTIF('93_TARGET_MEMBERSHIP'!AB$5:AB$27,-1)))))</f>
        <v/>
      </c>
      <c r="AA31" s="34">
        <f>IF($B31="ABSOLUTE SEMANTIC",'19_FEATURE_CONFIDENCE'!$D$29,SQRT((SUMPRODUCT(--('93_TARGET_MEMBERSHIP'!AB$5:AB$27=1),'92_FEATURE_CONF_NUMERIC'!AB$5:AB$27)/MAX(1,COUNTIF('93_TARGET_MEMBERSHIP'!AB$5:AB$27,1)))*(SUMPRODUCT(--('93_TARGET_MEMBERSHIP'!AB$5:AB$27=-1),'92_FEATURE_CONF_NUMERIC'!AB$5:AB$27)/MAX(1,COUNTIF('93_TARGET_MEMBERSHIP'!AB$5:AB$27,-1)))))</f>
        <v/>
      </c>
      <c r="AB31" s="34">
        <f>IF($B31="ABSOLUTE SEMANTIC",'19_FEATURE_CONFIDENCE'!$D$30,SQRT((SUMPRODUCT(--('93_TARGET_MEMBERSHIP'!AB$5:AB$27=1),'92_FEATURE_CONF_NUMERIC'!AC$5:AC$27)/MAX(1,COUNTIF('93_TARGET_MEMBERSHIP'!AB$5:AB$27,1)))*(SUMPRODUCT(--('93_TARGET_MEMBERSHIP'!AB$5:AB$27=-1),'92_FEATURE_CONF_NUMERIC'!AC$5:AC$27)/MAX(1,COUNTIF('93_TARGET_MEMBERSHIP'!AB$5:AB$27,-1)))))</f>
        <v/>
      </c>
      <c r="AC31" s="34">
        <f>IF($B31="ABSOLUTE SEMANTIC",'19_FEATURE_CONFIDENCE'!$D$31,SQRT((SUMPRODUCT(--('93_TARGET_MEMBERSHIP'!AB$5:AB$27=1),'92_FEATURE_CONF_NUMERIC'!AD$5:AD$27)/MAX(1,COUNTIF('93_TARGET_MEMBERSHIP'!AB$5:AB$27,1)))*(SUMPRODUCT(--('93_TARGET_MEMBERSHIP'!AB$5:AB$27=-1),'92_FEATURE_CONF_NUMERIC'!AD$5:AD$27)/MAX(1,COUNTIF('93_TARGET_MEMBERSHIP'!AB$5:AB$27,-1)))))</f>
        <v/>
      </c>
      <c r="AD31" s="34">
        <f>IF($B31="ABSOLUTE SEMANTIC",'19_FEATURE_CONFIDENCE'!$D$32,SQRT((SUMPRODUCT(--('93_TARGET_MEMBERSHIP'!AB$5:AB$27=1),'92_FEATURE_CONF_NUMERIC'!AE$5:AE$27)/MAX(1,COUNTIF('93_TARGET_MEMBERSHIP'!AB$5:AB$27,1)))*(SUMPRODUCT(--('93_TARGET_MEMBERSHIP'!AB$5:AB$27=-1),'92_FEATURE_CONF_NUMERIC'!AE$5:AE$27)/MAX(1,COUNTIF('93_TARGET_MEMBERSHIP'!AB$5:AB$27,-1)))))</f>
        <v/>
      </c>
      <c r="AE31" s="34">
        <f>IF($B31="ABSOLUTE SEMANTIC",'19_FEATURE_CONFIDENCE'!$D$33,SQRT((SUMPRODUCT(--('93_TARGET_MEMBERSHIP'!AB$5:AB$27=1),'92_FEATURE_CONF_NUMERIC'!AF$5:AF$27)/MAX(1,COUNTIF('93_TARGET_MEMBERSHIP'!AB$5:AB$27,1)))*(SUMPRODUCT(--('93_TARGET_MEMBERSHIP'!AB$5:AB$27=-1),'92_FEATURE_CONF_NUMERIC'!AF$5:AF$27)/MAX(1,COUNTIF('93_TARGET_MEMBERSHIP'!AB$5:AB$27,-1)))))</f>
        <v/>
      </c>
      <c r="AF31" s="34">
        <f>IF($B31="ABSOLUTE SEMANTIC",'19_FEATURE_CONFIDENCE'!$D$34,SQRT((SUMPRODUCT(--('93_TARGET_MEMBERSHIP'!AB$5:AB$27=1),'92_FEATURE_CONF_NUMERIC'!AG$5:AG$27)/MAX(1,COUNTIF('93_TARGET_MEMBERSHIP'!AB$5:AB$27,1)))*(SUMPRODUCT(--('93_TARGET_MEMBERSHIP'!AB$5:AB$27=-1),'92_FEATURE_CONF_NUMERIC'!AG$5:AG$27)/MAX(1,COUNTIF('93_TARGET_MEMBERSHIP'!AB$5:AB$27,-1)))))</f>
        <v/>
      </c>
      <c r="AG31" s="34">
        <f>IF($B31="ABSOLUTE SEMANTIC",'19_FEATURE_CONFIDENCE'!$D$35,SQRT((SUMPRODUCT(--('93_TARGET_MEMBERSHIP'!AB$5:AB$27=1),'92_FEATURE_CONF_NUMERIC'!AH$5:AH$27)/MAX(1,COUNTIF('93_TARGET_MEMBERSHIP'!AB$5:AB$27,1)))*(SUMPRODUCT(--('93_TARGET_MEMBERSHIP'!AB$5:AB$27=-1),'92_FEATURE_CONF_NUMERIC'!AH$5:AH$27)/MAX(1,COUNTIF('93_TARGET_MEMBERSHIP'!AB$5:AB$27,-1)))))</f>
        <v/>
      </c>
      <c r="AH31" s="34">
        <f>IF($B31="ABSOLUTE SEMANTIC",'19_FEATURE_CONFIDENCE'!$D$36,SQRT((SUMPRODUCT(--('93_TARGET_MEMBERSHIP'!AB$5:AB$27=1),'92_FEATURE_CONF_NUMERIC'!AI$5:AI$27)/MAX(1,COUNTIF('93_TARGET_MEMBERSHIP'!AB$5:AB$27,1)))*(SUMPRODUCT(--('93_TARGET_MEMBERSHIP'!AB$5:AB$27=-1),'92_FEATURE_CONF_NUMERIC'!AI$5:AI$27)/MAX(1,COUNTIF('93_TARGET_MEMBERSHIP'!AB$5:AB$27,-1)))))</f>
        <v/>
      </c>
      <c r="AI31" s="34">
        <f>IF($B31="ABSOLUTE SEMANTIC",'19_FEATURE_CONFIDENCE'!$D$37,SQRT((SUMPRODUCT(--('93_TARGET_MEMBERSHIP'!AB$5:AB$27=1),'92_FEATURE_CONF_NUMERIC'!AJ$5:AJ$27)/MAX(1,COUNTIF('93_TARGET_MEMBERSHIP'!AB$5:AB$27,1)))*(SUMPRODUCT(--('93_TARGET_MEMBERSHIP'!AB$5:AB$27=-1),'92_FEATURE_CONF_NUMERIC'!AJ$5:AJ$27)/MAX(1,COUNTIF('93_TARGET_MEMBERSHIP'!AB$5:AB$27,-1)))))</f>
        <v/>
      </c>
      <c r="AJ31" s="34">
        <f>IF($B31="ABSOLUTE SEMANTIC",'19_FEATURE_CONFIDENCE'!$D$38,SQRT((SUMPRODUCT(--('93_TARGET_MEMBERSHIP'!AB$5:AB$27=1),'92_FEATURE_CONF_NUMERIC'!AK$5:AK$27)/MAX(1,COUNTIF('93_TARGET_MEMBERSHIP'!AB$5:AB$27,1)))*(SUMPRODUCT(--('93_TARGET_MEMBERSHIP'!AB$5:AB$27=-1),'92_FEATURE_CONF_NUMERIC'!AK$5:AK$27)/MAX(1,COUNTIF('93_TARGET_MEMBERSHIP'!AB$5:AB$27,-1)))))</f>
        <v/>
      </c>
      <c r="AK31" s="34">
        <f>IF($B31="ABSOLUTE SEMANTIC",'19_FEATURE_CONFIDENCE'!$D$39,SQRT((SUMPRODUCT(--('93_TARGET_MEMBERSHIP'!AB$5:AB$27=1),'92_FEATURE_CONF_NUMERIC'!AL$5:AL$27)/MAX(1,COUNTIF('93_TARGET_MEMBERSHIP'!AB$5:AB$27,1)))*(SUMPRODUCT(--('93_TARGET_MEMBERSHIP'!AB$5:AB$27=-1),'92_FEATURE_CONF_NUMERIC'!AL$5:AL$27)/MAX(1,COUNTIF('93_TARGET_MEMBERSHIP'!AB$5:AB$27,-1)))))</f>
        <v/>
      </c>
      <c r="AL31" s="34">
        <f>IF($B31="ABSOLUTE SEMANTIC",'19_FEATURE_CONFIDENCE'!$D$40,SQRT((SUMPRODUCT(--('93_TARGET_MEMBERSHIP'!AB$5:AB$27=1),'92_FEATURE_CONF_NUMERIC'!AM$5:AM$27)/MAX(1,COUNTIF('93_TARGET_MEMBERSHIP'!AB$5:AB$27,1)))*(SUMPRODUCT(--('93_TARGET_MEMBERSHIP'!AB$5:AB$27=-1),'92_FEATURE_CONF_NUMERIC'!AM$5:AM$27)/MAX(1,COUNTIF('93_TARGET_MEMBERSHIP'!AB$5:AB$27,-1)))))</f>
        <v/>
      </c>
      <c r="AM31" s="34">
        <f>IF($B31="ABSOLUTE SEMANTIC",'19_FEATURE_CONFIDENCE'!$D$41,SQRT((SUMPRODUCT(--('93_TARGET_MEMBERSHIP'!AB$5:AB$27=1),'92_FEATURE_CONF_NUMERIC'!AN$5:AN$27)/MAX(1,COUNTIF('93_TARGET_MEMBERSHIP'!AB$5:AB$27,1)))*(SUMPRODUCT(--('93_TARGET_MEMBERSHIP'!AB$5:AB$27=-1),'92_FEATURE_CONF_NUMERIC'!AN$5:AN$27)/MAX(1,COUNTIF('93_TARGET_MEMBERSHIP'!AB$5:AB$27,-1)))))</f>
        <v/>
      </c>
      <c r="AN31" s="34">
        <f>IF($B31="ABSOLUTE SEMANTIC",'19_FEATURE_CONFIDENCE'!$D$42,SQRT((SUMPRODUCT(--('93_TARGET_MEMBERSHIP'!AB$5:AB$27=1),'92_FEATURE_CONF_NUMERIC'!AO$5:AO$27)/MAX(1,COUNTIF('93_TARGET_MEMBERSHIP'!AB$5:AB$27,1)))*(SUMPRODUCT(--('93_TARGET_MEMBERSHIP'!AB$5:AB$27=-1),'92_FEATURE_CONF_NUMERIC'!AO$5:AO$27)/MAX(1,COUNTIF('93_TARGET_MEMBERSHIP'!AB$5:AB$27,-1)))))</f>
        <v/>
      </c>
      <c r="AO31" s="34">
        <f>IF($B31="ABSOLUTE SEMANTIC",'19_FEATURE_CONFIDENCE'!$D$43,SQRT((SUMPRODUCT(--('93_TARGET_MEMBERSHIP'!AB$5:AB$27=1),'92_FEATURE_CONF_NUMERIC'!AP$5:AP$27)/MAX(1,COUNTIF('93_TARGET_MEMBERSHIP'!AB$5:AB$27,1)))*(SUMPRODUCT(--('93_TARGET_MEMBERSHIP'!AB$5:AB$27=-1),'92_FEATURE_CONF_NUMERIC'!AP$5:AP$27)/MAX(1,COUNTIF('93_TARGET_MEMBERSHIP'!AB$5:AB$27,-1)))))</f>
        <v/>
      </c>
      <c r="AP31" s="34">
        <f>IF($B31="ABSOLUTE SEMANTIC",'19_FEATURE_CONFIDENCE'!$D$44,SQRT((SUMPRODUCT(--('93_TARGET_MEMBERSHIP'!AB$5:AB$27=1),'92_FEATURE_CONF_NUMERIC'!AQ$5:AQ$27)/MAX(1,COUNTIF('93_TARGET_MEMBERSHIP'!AB$5:AB$27,1)))*(SUMPRODUCT(--('93_TARGET_MEMBERSHIP'!AB$5:AB$27=-1),'92_FEATURE_CONF_NUMERIC'!AQ$5:AQ$27)/MAX(1,COUNTIF('93_TARGET_MEMBERSHIP'!AB$5:AB$27,-1)))))</f>
        <v/>
      </c>
      <c r="AQ31" s="34">
        <f>IF($B31="ABSOLUTE SEMANTIC",'19_FEATURE_CONFIDENCE'!$D$45,SQRT((SUMPRODUCT(--('93_TARGET_MEMBERSHIP'!AB$5:AB$27=1),'92_FEATURE_CONF_NUMERIC'!AR$5:AR$27)/MAX(1,COUNTIF('93_TARGET_MEMBERSHIP'!AB$5:AB$27,1)))*(SUMPRODUCT(--('93_TARGET_MEMBERSHIP'!AB$5:AB$27=-1),'92_FEATURE_CONF_NUMERIC'!AR$5:AR$27)/MAX(1,COUNTIF('93_TARGET_MEMBERSHIP'!AB$5:AB$27,-1)))))</f>
        <v/>
      </c>
    </row>
    <row r="32" ht="36" customHeight="1">
      <c r="A32" s="34">
        <f>'06_ITEM_POLE_MODEL'!A32</f>
        <v/>
      </c>
      <c r="B32" s="34">
        <f>'06_ITEM_POLE_MODEL'!E32</f>
        <v/>
      </c>
      <c r="C32" s="34">
        <f>IF($B32="ABSOLUTE SEMANTIC",'19_FEATURE_CONFIDENCE'!$D$5,SQRT((SUMPRODUCT(--('93_TARGET_MEMBERSHIP'!AC$5:AC$27=1),'92_FEATURE_CONF_NUMERIC'!D$5:D$27)/MAX(1,COUNTIF('93_TARGET_MEMBERSHIP'!AC$5:AC$27,1)))*(SUMPRODUCT(--('93_TARGET_MEMBERSHIP'!AC$5:AC$27=-1),'92_FEATURE_CONF_NUMERIC'!D$5:D$27)/MAX(1,COUNTIF('93_TARGET_MEMBERSHIP'!AC$5:AC$27,-1)))))</f>
        <v/>
      </c>
      <c r="D32" s="34">
        <f>IF($B32="ABSOLUTE SEMANTIC",'19_FEATURE_CONFIDENCE'!$D$6,SQRT((SUMPRODUCT(--('93_TARGET_MEMBERSHIP'!AC$5:AC$27=1),'92_FEATURE_CONF_NUMERIC'!E$5:E$27)/MAX(1,COUNTIF('93_TARGET_MEMBERSHIP'!AC$5:AC$27,1)))*(SUMPRODUCT(--('93_TARGET_MEMBERSHIP'!AC$5:AC$27=-1),'92_FEATURE_CONF_NUMERIC'!E$5:E$27)/MAX(1,COUNTIF('93_TARGET_MEMBERSHIP'!AC$5:AC$27,-1)))))</f>
        <v/>
      </c>
      <c r="E32" s="34">
        <f>IF($B32="ABSOLUTE SEMANTIC",'19_FEATURE_CONFIDENCE'!$D$7,SQRT((SUMPRODUCT(--('93_TARGET_MEMBERSHIP'!AC$5:AC$27=1),'92_FEATURE_CONF_NUMERIC'!F$5:F$27)/MAX(1,COUNTIF('93_TARGET_MEMBERSHIP'!AC$5:AC$27,1)))*(SUMPRODUCT(--('93_TARGET_MEMBERSHIP'!AC$5:AC$27=-1),'92_FEATURE_CONF_NUMERIC'!F$5:F$27)/MAX(1,COUNTIF('93_TARGET_MEMBERSHIP'!AC$5:AC$27,-1)))))</f>
        <v/>
      </c>
      <c r="F32" s="34">
        <f>IF($B32="ABSOLUTE SEMANTIC",'19_FEATURE_CONFIDENCE'!$D$8,SQRT((SUMPRODUCT(--('93_TARGET_MEMBERSHIP'!AC$5:AC$27=1),'92_FEATURE_CONF_NUMERIC'!G$5:G$27)/MAX(1,COUNTIF('93_TARGET_MEMBERSHIP'!AC$5:AC$27,1)))*(SUMPRODUCT(--('93_TARGET_MEMBERSHIP'!AC$5:AC$27=-1),'92_FEATURE_CONF_NUMERIC'!G$5:G$27)/MAX(1,COUNTIF('93_TARGET_MEMBERSHIP'!AC$5:AC$27,-1)))))</f>
        <v/>
      </c>
      <c r="G32" s="34">
        <f>IF($B32="ABSOLUTE SEMANTIC",'19_FEATURE_CONFIDENCE'!$D$9,SQRT((SUMPRODUCT(--('93_TARGET_MEMBERSHIP'!AC$5:AC$27=1),'92_FEATURE_CONF_NUMERIC'!H$5:H$27)/MAX(1,COUNTIF('93_TARGET_MEMBERSHIP'!AC$5:AC$27,1)))*(SUMPRODUCT(--('93_TARGET_MEMBERSHIP'!AC$5:AC$27=-1),'92_FEATURE_CONF_NUMERIC'!H$5:H$27)/MAX(1,COUNTIF('93_TARGET_MEMBERSHIP'!AC$5:AC$27,-1)))))</f>
        <v/>
      </c>
      <c r="H32" s="34">
        <f>IF($B32="ABSOLUTE SEMANTIC",'19_FEATURE_CONFIDENCE'!$D$10,SQRT((SUMPRODUCT(--('93_TARGET_MEMBERSHIP'!AC$5:AC$27=1),'92_FEATURE_CONF_NUMERIC'!I$5:I$27)/MAX(1,COUNTIF('93_TARGET_MEMBERSHIP'!AC$5:AC$27,1)))*(SUMPRODUCT(--('93_TARGET_MEMBERSHIP'!AC$5:AC$27=-1),'92_FEATURE_CONF_NUMERIC'!I$5:I$27)/MAX(1,COUNTIF('93_TARGET_MEMBERSHIP'!AC$5:AC$27,-1)))))</f>
        <v/>
      </c>
      <c r="I32" s="34">
        <f>IF($B32="ABSOLUTE SEMANTIC",'19_FEATURE_CONFIDENCE'!$D$11,SQRT((SUMPRODUCT(--('93_TARGET_MEMBERSHIP'!AC$5:AC$27=1),'92_FEATURE_CONF_NUMERIC'!J$5:J$27)/MAX(1,COUNTIF('93_TARGET_MEMBERSHIP'!AC$5:AC$27,1)))*(SUMPRODUCT(--('93_TARGET_MEMBERSHIP'!AC$5:AC$27=-1),'92_FEATURE_CONF_NUMERIC'!J$5:J$27)/MAX(1,COUNTIF('93_TARGET_MEMBERSHIP'!AC$5:AC$27,-1)))))</f>
        <v/>
      </c>
      <c r="J32" s="34">
        <f>IF($B32="ABSOLUTE SEMANTIC",'19_FEATURE_CONFIDENCE'!$D$12,SQRT((SUMPRODUCT(--('93_TARGET_MEMBERSHIP'!AC$5:AC$27=1),'92_FEATURE_CONF_NUMERIC'!K$5:K$27)/MAX(1,COUNTIF('93_TARGET_MEMBERSHIP'!AC$5:AC$27,1)))*(SUMPRODUCT(--('93_TARGET_MEMBERSHIP'!AC$5:AC$27=-1),'92_FEATURE_CONF_NUMERIC'!K$5:K$27)/MAX(1,COUNTIF('93_TARGET_MEMBERSHIP'!AC$5:AC$27,-1)))))</f>
        <v/>
      </c>
      <c r="K32" s="34">
        <f>IF($B32="ABSOLUTE SEMANTIC",'19_FEATURE_CONFIDENCE'!$D$13,SQRT((SUMPRODUCT(--('93_TARGET_MEMBERSHIP'!AC$5:AC$27=1),'92_FEATURE_CONF_NUMERIC'!L$5:L$27)/MAX(1,COUNTIF('93_TARGET_MEMBERSHIP'!AC$5:AC$27,1)))*(SUMPRODUCT(--('93_TARGET_MEMBERSHIP'!AC$5:AC$27=-1),'92_FEATURE_CONF_NUMERIC'!L$5:L$27)/MAX(1,COUNTIF('93_TARGET_MEMBERSHIP'!AC$5:AC$27,-1)))))</f>
        <v/>
      </c>
      <c r="L32" s="34">
        <f>IF($B32="ABSOLUTE SEMANTIC",'19_FEATURE_CONFIDENCE'!$D$14,SQRT((SUMPRODUCT(--('93_TARGET_MEMBERSHIP'!AC$5:AC$27=1),'92_FEATURE_CONF_NUMERIC'!M$5:M$27)/MAX(1,COUNTIF('93_TARGET_MEMBERSHIP'!AC$5:AC$27,1)))*(SUMPRODUCT(--('93_TARGET_MEMBERSHIP'!AC$5:AC$27=-1),'92_FEATURE_CONF_NUMERIC'!M$5:M$27)/MAX(1,COUNTIF('93_TARGET_MEMBERSHIP'!AC$5:AC$27,-1)))))</f>
        <v/>
      </c>
      <c r="M32" s="34">
        <f>IF($B32="ABSOLUTE SEMANTIC",'19_FEATURE_CONFIDENCE'!$D$15,SQRT((SUMPRODUCT(--('93_TARGET_MEMBERSHIP'!AC$5:AC$27=1),'92_FEATURE_CONF_NUMERIC'!N$5:N$27)/MAX(1,COUNTIF('93_TARGET_MEMBERSHIP'!AC$5:AC$27,1)))*(SUMPRODUCT(--('93_TARGET_MEMBERSHIP'!AC$5:AC$27=-1),'92_FEATURE_CONF_NUMERIC'!N$5:N$27)/MAX(1,COUNTIF('93_TARGET_MEMBERSHIP'!AC$5:AC$27,-1)))))</f>
        <v/>
      </c>
      <c r="N32" s="34">
        <f>IF($B32="ABSOLUTE SEMANTIC",'19_FEATURE_CONFIDENCE'!$D$16,SQRT((SUMPRODUCT(--('93_TARGET_MEMBERSHIP'!AC$5:AC$27=1),'92_FEATURE_CONF_NUMERIC'!O$5:O$27)/MAX(1,COUNTIF('93_TARGET_MEMBERSHIP'!AC$5:AC$27,1)))*(SUMPRODUCT(--('93_TARGET_MEMBERSHIP'!AC$5:AC$27=-1),'92_FEATURE_CONF_NUMERIC'!O$5:O$27)/MAX(1,COUNTIF('93_TARGET_MEMBERSHIP'!AC$5:AC$27,-1)))))</f>
        <v/>
      </c>
      <c r="O32" s="34">
        <f>IF($B32="ABSOLUTE SEMANTIC",'19_FEATURE_CONFIDENCE'!$D$17,SQRT((SUMPRODUCT(--('93_TARGET_MEMBERSHIP'!AC$5:AC$27=1),'92_FEATURE_CONF_NUMERIC'!P$5:P$27)/MAX(1,COUNTIF('93_TARGET_MEMBERSHIP'!AC$5:AC$27,1)))*(SUMPRODUCT(--('93_TARGET_MEMBERSHIP'!AC$5:AC$27=-1),'92_FEATURE_CONF_NUMERIC'!P$5:P$27)/MAX(1,COUNTIF('93_TARGET_MEMBERSHIP'!AC$5:AC$27,-1)))))</f>
        <v/>
      </c>
      <c r="P32" s="34">
        <f>IF($B32="ABSOLUTE SEMANTIC",'19_FEATURE_CONFIDENCE'!$D$18,SQRT((SUMPRODUCT(--('93_TARGET_MEMBERSHIP'!AC$5:AC$27=1),'92_FEATURE_CONF_NUMERIC'!Q$5:Q$27)/MAX(1,COUNTIF('93_TARGET_MEMBERSHIP'!AC$5:AC$27,1)))*(SUMPRODUCT(--('93_TARGET_MEMBERSHIP'!AC$5:AC$27=-1),'92_FEATURE_CONF_NUMERIC'!Q$5:Q$27)/MAX(1,COUNTIF('93_TARGET_MEMBERSHIP'!AC$5:AC$27,-1)))))</f>
        <v/>
      </c>
      <c r="Q32" s="34">
        <f>IF($B32="ABSOLUTE SEMANTIC",'19_FEATURE_CONFIDENCE'!$D$19,SQRT((SUMPRODUCT(--('93_TARGET_MEMBERSHIP'!AC$5:AC$27=1),'92_FEATURE_CONF_NUMERIC'!R$5:R$27)/MAX(1,COUNTIF('93_TARGET_MEMBERSHIP'!AC$5:AC$27,1)))*(SUMPRODUCT(--('93_TARGET_MEMBERSHIP'!AC$5:AC$27=-1),'92_FEATURE_CONF_NUMERIC'!R$5:R$27)/MAX(1,COUNTIF('93_TARGET_MEMBERSHIP'!AC$5:AC$27,-1)))))</f>
        <v/>
      </c>
      <c r="R32" s="34">
        <f>IF($B32="ABSOLUTE SEMANTIC",'19_FEATURE_CONFIDENCE'!$D$20,SQRT((SUMPRODUCT(--('93_TARGET_MEMBERSHIP'!AC$5:AC$27=1),'92_FEATURE_CONF_NUMERIC'!S$5:S$27)/MAX(1,COUNTIF('93_TARGET_MEMBERSHIP'!AC$5:AC$27,1)))*(SUMPRODUCT(--('93_TARGET_MEMBERSHIP'!AC$5:AC$27=-1),'92_FEATURE_CONF_NUMERIC'!S$5:S$27)/MAX(1,COUNTIF('93_TARGET_MEMBERSHIP'!AC$5:AC$27,-1)))))</f>
        <v/>
      </c>
      <c r="S32" s="34">
        <f>IF($B32="ABSOLUTE SEMANTIC",'19_FEATURE_CONFIDENCE'!$D$21,SQRT((SUMPRODUCT(--('93_TARGET_MEMBERSHIP'!AC$5:AC$27=1),'92_FEATURE_CONF_NUMERIC'!T$5:T$27)/MAX(1,COUNTIF('93_TARGET_MEMBERSHIP'!AC$5:AC$27,1)))*(SUMPRODUCT(--('93_TARGET_MEMBERSHIP'!AC$5:AC$27=-1),'92_FEATURE_CONF_NUMERIC'!T$5:T$27)/MAX(1,COUNTIF('93_TARGET_MEMBERSHIP'!AC$5:AC$27,-1)))))</f>
        <v/>
      </c>
      <c r="T32" s="34">
        <f>IF($B32="ABSOLUTE SEMANTIC",'19_FEATURE_CONFIDENCE'!$D$22,SQRT((SUMPRODUCT(--('93_TARGET_MEMBERSHIP'!AC$5:AC$27=1),'92_FEATURE_CONF_NUMERIC'!U$5:U$27)/MAX(1,COUNTIF('93_TARGET_MEMBERSHIP'!AC$5:AC$27,1)))*(SUMPRODUCT(--('93_TARGET_MEMBERSHIP'!AC$5:AC$27=-1),'92_FEATURE_CONF_NUMERIC'!U$5:U$27)/MAX(1,COUNTIF('93_TARGET_MEMBERSHIP'!AC$5:AC$27,-1)))))</f>
        <v/>
      </c>
      <c r="U32" s="34">
        <f>IF($B32="ABSOLUTE SEMANTIC",'19_FEATURE_CONFIDENCE'!$D$23,SQRT((SUMPRODUCT(--('93_TARGET_MEMBERSHIP'!AC$5:AC$27=1),'92_FEATURE_CONF_NUMERIC'!V$5:V$27)/MAX(1,COUNTIF('93_TARGET_MEMBERSHIP'!AC$5:AC$27,1)))*(SUMPRODUCT(--('93_TARGET_MEMBERSHIP'!AC$5:AC$27=-1),'92_FEATURE_CONF_NUMERIC'!V$5:V$27)/MAX(1,COUNTIF('93_TARGET_MEMBERSHIP'!AC$5:AC$27,-1)))))</f>
        <v/>
      </c>
      <c r="V32" s="34">
        <f>IF($B32="ABSOLUTE SEMANTIC",'19_FEATURE_CONFIDENCE'!$D$24,SQRT((SUMPRODUCT(--('93_TARGET_MEMBERSHIP'!AC$5:AC$27=1),'92_FEATURE_CONF_NUMERIC'!W$5:W$27)/MAX(1,COUNTIF('93_TARGET_MEMBERSHIP'!AC$5:AC$27,1)))*(SUMPRODUCT(--('93_TARGET_MEMBERSHIP'!AC$5:AC$27=-1),'92_FEATURE_CONF_NUMERIC'!W$5:W$27)/MAX(1,COUNTIF('93_TARGET_MEMBERSHIP'!AC$5:AC$27,-1)))))</f>
        <v/>
      </c>
      <c r="W32" s="34">
        <f>IF($B32="ABSOLUTE SEMANTIC",'19_FEATURE_CONFIDENCE'!$D$25,SQRT((SUMPRODUCT(--('93_TARGET_MEMBERSHIP'!AC$5:AC$27=1),'92_FEATURE_CONF_NUMERIC'!X$5:X$27)/MAX(1,COUNTIF('93_TARGET_MEMBERSHIP'!AC$5:AC$27,1)))*(SUMPRODUCT(--('93_TARGET_MEMBERSHIP'!AC$5:AC$27=-1),'92_FEATURE_CONF_NUMERIC'!X$5:X$27)/MAX(1,COUNTIF('93_TARGET_MEMBERSHIP'!AC$5:AC$27,-1)))))</f>
        <v/>
      </c>
      <c r="X32" s="34">
        <f>IF($B32="ABSOLUTE SEMANTIC",'19_FEATURE_CONFIDENCE'!$D$26,SQRT((SUMPRODUCT(--('93_TARGET_MEMBERSHIP'!AC$5:AC$27=1),'92_FEATURE_CONF_NUMERIC'!Y$5:Y$27)/MAX(1,COUNTIF('93_TARGET_MEMBERSHIP'!AC$5:AC$27,1)))*(SUMPRODUCT(--('93_TARGET_MEMBERSHIP'!AC$5:AC$27=-1),'92_FEATURE_CONF_NUMERIC'!Y$5:Y$27)/MAX(1,COUNTIF('93_TARGET_MEMBERSHIP'!AC$5:AC$27,-1)))))</f>
        <v/>
      </c>
      <c r="Y32" s="34">
        <f>IF($B32="ABSOLUTE SEMANTIC",'19_FEATURE_CONFIDENCE'!$D$27,SQRT((SUMPRODUCT(--('93_TARGET_MEMBERSHIP'!AC$5:AC$27=1),'92_FEATURE_CONF_NUMERIC'!Z$5:Z$27)/MAX(1,COUNTIF('93_TARGET_MEMBERSHIP'!AC$5:AC$27,1)))*(SUMPRODUCT(--('93_TARGET_MEMBERSHIP'!AC$5:AC$27=-1),'92_FEATURE_CONF_NUMERIC'!Z$5:Z$27)/MAX(1,COUNTIF('93_TARGET_MEMBERSHIP'!AC$5:AC$27,-1)))))</f>
        <v/>
      </c>
      <c r="Z32" s="34">
        <f>IF($B32="ABSOLUTE SEMANTIC",'19_FEATURE_CONFIDENCE'!$D$28,SQRT((SUMPRODUCT(--('93_TARGET_MEMBERSHIP'!AC$5:AC$27=1),'92_FEATURE_CONF_NUMERIC'!AA$5:AA$27)/MAX(1,COUNTIF('93_TARGET_MEMBERSHIP'!AC$5:AC$27,1)))*(SUMPRODUCT(--('93_TARGET_MEMBERSHIP'!AC$5:AC$27=-1),'92_FEATURE_CONF_NUMERIC'!AA$5:AA$27)/MAX(1,COUNTIF('93_TARGET_MEMBERSHIP'!AC$5:AC$27,-1)))))</f>
        <v/>
      </c>
      <c r="AA32" s="34">
        <f>IF($B32="ABSOLUTE SEMANTIC",'19_FEATURE_CONFIDENCE'!$D$29,SQRT((SUMPRODUCT(--('93_TARGET_MEMBERSHIP'!AC$5:AC$27=1),'92_FEATURE_CONF_NUMERIC'!AB$5:AB$27)/MAX(1,COUNTIF('93_TARGET_MEMBERSHIP'!AC$5:AC$27,1)))*(SUMPRODUCT(--('93_TARGET_MEMBERSHIP'!AC$5:AC$27=-1),'92_FEATURE_CONF_NUMERIC'!AB$5:AB$27)/MAX(1,COUNTIF('93_TARGET_MEMBERSHIP'!AC$5:AC$27,-1)))))</f>
        <v/>
      </c>
      <c r="AB32" s="34">
        <f>IF($B32="ABSOLUTE SEMANTIC",'19_FEATURE_CONFIDENCE'!$D$30,SQRT((SUMPRODUCT(--('93_TARGET_MEMBERSHIP'!AC$5:AC$27=1),'92_FEATURE_CONF_NUMERIC'!AC$5:AC$27)/MAX(1,COUNTIF('93_TARGET_MEMBERSHIP'!AC$5:AC$27,1)))*(SUMPRODUCT(--('93_TARGET_MEMBERSHIP'!AC$5:AC$27=-1),'92_FEATURE_CONF_NUMERIC'!AC$5:AC$27)/MAX(1,COUNTIF('93_TARGET_MEMBERSHIP'!AC$5:AC$27,-1)))))</f>
        <v/>
      </c>
      <c r="AC32" s="34">
        <f>IF($B32="ABSOLUTE SEMANTIC",'19_FEATURE_CONFIDENCE'!$D$31,SQRT((SUMPRODUCT(--('93_TARGET_MEMBERSHIP'!AC$5:AC$27=1),'92_FEATURE_CONF_NUMERIC'!AD$5:AD$27)/MAX(1,COUNTIF('93_TARGET_MEMBERSHIP'!AC$5:AC$27,1)))*(SUMPRODUCT(--('93_TARGET_MEMBERSHIP'!AC$5:AC$27=-1),'92_FEATURE_CONF_NUMERIC'!AD$5:AD$27)/MAX(1,COUNTIF('93_TARGET_MEMBERSHIP'!AC$5:AC$27,-1)))))</f>
        <v/>
      </c>
      <c r="AD32" s="34">
        <f>IF($B32="ABSOLUTE SEMANTIC",'19_FEATURE_CONFIDENCE'!$D$32,SQRT((SUMPRODUCT(--('93_TARGET_MEMBERSHIP'!AC$5:AC$27=1),'92_FEATURE_CONF_NUMERIC'!AE$5:AE$27)/MAX(1,COUNTIF('93_TARGET_MEMBERSHIP'!AC$5:AC$27,1)))*(SUMPRODUCT(--('93_TARGET_MEMBERSHIP'!AC$5:AC$27=-1),'92_FEATURE_CONF_NUMERIC'!AE$5:AE$27)/MAX(1,COUNTIF('93_TARGET_MEMBERSHIP'!AC$5:AC$27,-1)))))</f>
        <v/>
      </c>
      <c r="AE32" s="34">
        <f>IF($B32="ABSOLUTE SEMANTIC",'19_FEATURE_CONFIDENCE'!$D$33,SQRT((SUMPRODUCT(--('93_TARGET_MEMBERSHIP'!AC$5:AC$27=1),'92_FEATURE_CONF_NUMERIC'!AF$5:AF$27)/MAX(1,COUNTIF('93_TARGET_MEMBERSHIP'!AC$5:AC$27,1)))*(SUMPRODUCT(--('93_TARGET_MEMBERSHIP'!AC$5:AC$27=-1),'92_FEATURE_CONF_NUMERIC'!AF$5:AF$27)/MAX(1,COUNTIF('93_TARGET_MEMBERSHIP'!AC$5:AC$27,-1)))))</f>
        <v/>
      </c>
      <c r="AF32" s="34">
        <f>IF($B32="ABSOLUTE SEMANTIC",'19_FEATURE_CONFIDENCE'!$D$34,SQRT((SUMPRODUCT(--('93_TARGET_MEMBERSHIP'!AC$5:AC$27=1),'92_FEATURE_CONF_NUMERIC'!AG$5:AG$27)/MAX(1,COUNTIF('93_TARGET_MEMBERSHIP'!AC$5:AC$27,1)))*(SUMPRODUCT(--('93_TARGET_MEMBERSHIP'!AC$5:AC$27=-1),'92_FEATURE_CONF_NUMERIC'!AG$5:AG$27)/MAX(1,COUNTIF('93_TARGET_MEMBERSHIP'!AC$5:AC$27,-1)))))</f>
        <v/>
      </c>
      <c r="AG32" s="34">
        <f>IF($B32="ABSOLUTE SEMANTIC",'19_FEATURE_CONFIDENCE'!$D$35,SQRT((SUMPRODUCT(--('93_TARGET_MEMBERSHIP'!AC$5:AC$27=1),'92_FEATURE_CONF_NUMERIC'!AH$5:AH$27)/MAX(1,COUNTIF('93_TARGET_MEMBERSHIP'!AC$5:AC$27,1)))*(SUMPRODUCT(--('93_TARGET_MEMBERSHIP'!AC$5:AC$27=-1),'92_FEATURE_CONF_NUMERIC'!AH$5:AH$27)/MAX(1,COUNTIF('93_TARGET_MEMBERSHIP'!AC$5:AC$27,-1)))))</f>
        <v/>
      </c>
      <c r="AH32" s="34">
        <f>IF($B32="ABSOLUTE SEMANTIC",'19_FEATURE_CONFIDENCE'!$D$36,SQRT((SUMPRODUCT(--('93_TARGET_MEMBERSHIP'!AC$5:AC$27=1),'92_FEATURE_CONF_NUMERIC'!AI$5:AI$27)/MAX(1,COUNTIF('93_TARGET_MEMBERSHIP'!AC$5:AC$27,1)))*(SUMPRODUCT(--('93_TARGET_MEMBERSHIP'!AC$5:AC$27=-1),'92_FEATURE_CONF_NUMERIC'!AI$5:AI$27)/MAX(1,COUNTIF('93_TARGET_MEMBERSHIP'!AC$5:AC$27,-1)))))</f>
        <v/>
      </c>
      <c r="AI32" s="34">
        <f>IF($B32="ABSOLUTE SEMANTIC",'19_FEATURE_CONFIDENCE'!$D$37,SQRT((SUMPRODUCT(--('93_TARGET_MEMBERSHIP'!AC$5:AC$27=1),'92_FEATURE_CONF_NUMERIC'!AJ$5:AJ$27)/MAX(1,COUNTIF('93_TARGET_MEMBERSHIP'!AC$5:AC$27,1)))*(SUMPRODUCT(--('93_TARGET_MEMBERSHIP'!AC$5:AC$27=-1),'92_FEATURE_CONF_NUMERIC'!AJ$5:AJ$27)/MAX(1,COUNTIF('93_TARGET_MEMBERSHIP'!AC$5:AC$27,-1)))))</f>
        <v/>
      </c>
      <c r="AJ32" s="34">
        <f>IF($B32="ABSOLUTE SEMANTIC",'19_FEATURE_CONFIDENCE'!$D$38,SQRT((SUMPRODUCT(--('93_TARGET_MEMBERSHIP'!AC$5:AC$27=1),'92_FEATURE_CONF_NUMERIC'!AK$5:AK$27)/MAX(1,COUNTIF('93_TARGET_MEMBERSHIP'!AC$5:AC$27,1)))*(SUMPRODUCT(--('93_TARGET_MEMBERSHIP'!AC$5:AC$27=-1),'92_FEATURE_CONF_NUMERIC'!AK$5:AK$27)/MAX(1,COUNTIF('93_TARGET_MEMBERSHIP'!AC$5:AC$27,-1)))))</f>
        <v/>
      </c>
      <c r="AK32" s="34">
        <f>IF($B32="ABSOLUTE SEMANTIC",'19_FEATURE_CONFIDENCE'!$D$39,SQRT((SUMPRODUCT(--('93_TARGET_MEMBERSHIP'!AC$5:AC$27=1),'92_FEATURE_CONF_NUMERIC'!AL$5:AL$27)/MAX(1,COUNTIF('93_TARGET_MEMBERSHIP'!AC$5:AC$27,1)))*(SUMPRODUCT(--('93_TARGET_MEMBERSHIP'!AC$5:AC$27=-1),'92_FEATURE_CONF_NUMERIC'!AL$5:AL$27)/MAX(1,COUNTIF('93_TARGET_MEMBERSHIP'!AC$5:AC$27,-1)))))</f>
        <v/>
      </c>
      <c r="AL32" s="34">
        <f>IF($B32="ABSOLUTE SEMANTIC",'19_FEATURE_CONFIDENCE'!$D$40,SQRT((SUMPRODUCT(--('93_TARGET_MEMBERSHIP'!AC$5:AC$27=1),'92_FEATURE_CONF_NUMERIC'!AM$5:AM$27)/MAX(1,COUNTIF('93_TARGET_MEMBERSHIP'!AC$5:AC$27,1)))*(SUMPRODUCT(--('93_TARGET_MEMBERSHIP'!AC$5:AC$27=-1),'92_FEATURE_CONF_NUMERIC'!AM$5:AM$27)/MAX(1,COUNTIF('93_TARGET_MEMBERSHIP'!AC$5:AC$27,-1)))))</f>
        <v/>
      </c>
      <c r="AM32" s="34">
        <f>IF($B32="ABSOLUTE SEMANTIC",'19_FEATURE_CONFIDENCE'!$D$41,SQRT((SUMPRODUCT(--('93_TARGET_MEMBERSHIP'!AC$5:AC$27=1),'92_FEATURE_CONF_NUMERIC'!AN$5:AN$27)/MAX(1,COUNTIF('93_TARGET_MEMBERSHIP'!AC$5:AC$27,1)))*(SUMPRODUCT(--('93_TARGET_MEMBERSHIP'!AC$5:AC$27=-1),'92_FEATURE_CONF_NUMERIC'!AN$5:AN$27)/MAX(1,COUNTIF('93_TARGET_MEMBERSHIP'!AC$5:AC$27,-1)))))</f>
        <v/>
      </c>
      <c r="AN32" s="34">
        <f>IF($B32="ABSOLUTE SEMANTIC",'19_FEATURE_CONFIDENCE'!$D$42,SQRT((SUMPRODUCT(--('93_TARGET_MEMBERSHIP'!AC$5:AC$27=1),'92_FEATURE_CONF_NUMERIC'!AO$5:AO$27)/MAX(1,COUNTIF('93_TARGET_MEMBERSHIP'!AC$5:AC$27,1)))*(SUMPRODUCT(--('93_TARGET_MEMBERSHIP'!AC$5:AC$27=-1),'92_FEATURE_CONF_NUMERIC'!AO$5:AO$27)/MAX(1,COUNTIF('93_TARGET_MEMBERSHIP'!AC$5:AC$27,-1)))))</f>
        <v/>
      </c>
      <c r="AO32" s="34">
        <f>IF($B32="ABSOLUTE SEMANTIC",'19_FEATURE_CONFIDENCE'!$D$43,SQRT((SUMPRODUCT(--('93_TARGET_MEMBERSHIP'!AC$5:AC$27=1),'92_FEATURE_CONF_NUMERIC'!AP$5:AP$27)/MAX(1,COUNTIF('93_TARGET_MEMBERSHIP'!AC$5:AC$27,1)))*(SUMPRODUCT(--('93_TARGET_MEMBERSHIP'!AC$5:AC$27=-1),'92_FEATURE_CONF_NUMERIC'!AP$5:AP$27)/MAX(1,COUNTIF('93_TARGET_MEMBERSHIP'!AC$5:AC$27,-1)))))</f>
        <v/>
      </c>
      <c r="AP32" s="34">
        <f>IF($B32="ABSOLUTE SEMANTIC",'19_FEATURE_CONFIDENCE'!$D$44,SQRT((SUMPRODUCT(--('93_TARGET_MEMBERSHIP'!AC$5:AC$27=1),'92_FEATURE_CONF_NUMERIC'!AQ$5:AQ$27)/MAX(1,COUNTIF('93_TARGET_MEMBERSHIP'!AC$5:AC$27,1)))*(SUMPRODUCT(--('93_TARGET_MEMBERSHIP'!AC$5:AC$27=-1),'92_FEATURE_CONF_NUMERIC'!AQ$5:AQ$27)/MAX(1,COUNTIF('93_TARGET_MEMBERSHIP'!AC$5:AC$27,-1)))))</f>
        <v/>
      </c>
      <c r="AQ32" s="34">
        <f>IF($B32="ABSOLUTE SEMANTIC",'19_FEATURE_CONFIDENCE'!$D$45,SQRT((SUMPRODUCT(--('93_TARGET_MEMBERSHIP'!AC$5:AC$27=1),'92_FEATURE_CONF_NUMERIC'!AR$5:AR$27)/MAX(1,COUNTIF('93_TARGET_MEMBERSHIP'!AC$5:AC$27,1)))*(SUMPRODUCT(--('93_TARGET_MEMBERSHIP'!AC$5:AC$27=-1),'92_FEATURE_CONF_NUMERIC'!AR$5:AR$27)/MAX(1,COUNTIF('93_TARGET_MEMBERSHIP'!AC$5:AC$27,-1)))))</f>
        <v/>
      </c>
    </row>
    <row r="33" ht="36" customHeight="1">
      <c r="A33" s="34">
        <f>'06_ITEM_POLE_MODEL'!A33</f>
        <v/>
      </c>
      <c r="B33" s="34">
        <f>'06_ITEM_POLE_MODEL'!E33</f>
        <v/>
      </c>
      <c r="C33" s="34">
        <f>IF($B33="ABSOLUTE SEMANTIC",'19_FEATURE_CONFIDENCE'!$D$5,SQRT((SUMPRODUCT(--('93_TARGET_MEMBERSHIP'!AD$5:AD$27=1),'92_FEATURE_CONF_NUMERIC'!D$5:D$27)/MAX(1,COUNTIF('93_TARGET_MEMBERSHIP'!AD$5:AD$27,1)))*(SUMPRODUCT(--('93_TARGET_MEMBERSHIP'!AD$5:AD$27=-1),'92_FEATURE_CONF_NUMERIC'!D$5:D$27)/MAX(1,COUNTIF('93_TARGET_MEMBERSHIP'!AD$5:AD$27,-1)))))</f>
        <v/>
      </c>
      <c r="D33" s="34">
        <f>IF($B33="ABSOLUTE SEMANTIC",'19_FEATURE_CONFIDENCE'!$D$6,SQRT((SUMPRODUCT(--('93_TARGET_MEMBERSHIP'!AD$5:AD$27=1),'92_FEATURE_CONF_NUMERIC'!E$5:E$27)/MAX(1,COUNTIF('93_TARGET_MEMBERSHIP'!AD$5:AD$27,1)))*(SUMPRODUCT(--('93_TARGET_MEMBERSHIP'!AD$5:AD$27=-1),'92_FEATURE_CONF_NUMERIC'!E$5:E$27)/MAX(1,COUNTIF('93_TARGET_MEMBERSHIP'!AD$5:AD$27,-1)))))</f>
        <v/>
      </c>
      <c r="E33" s="34">
        <f>IF($B33="ABSOLUTE SEMANTIC",'19_FEATURE_CONFIDENCE'!$D$7,SQRT((SUMPRODUCT(--('93_TARGET_MEMBERSHIP'!AD$5:AD$27=1),'92_FEATURE_CONF_NUMERIC'!F$5:F$27)/MAX(1,COUNTIF('93_TARGET_MEMBERSHIP'!AD$5:AD$27,1)))*(SUMPRODUCT(--('93_TARGET_MEMBERSHIP'!AD$5:AD$27=-1),'92_FEATURE_CONF_NUMERIC'!F$5:F$27)/MAX(1,COUNTIF('93_TARGET_MEMBERSHIP'!AD$5:AD$27,-1)))))</f>
        <v/>
      </c>
      <c r="F33" s="34">
        <f>IF($B33="ABSOLUTE SEMANTIC",'19_FEATURE_CONFIDENCE'!$D$8,SQRT((SUMPRODUCT(--('93_TARGET_MEMBERSHIP'!AD$5:AD$27=1),'92_FEATURE_CONF_NUMERIC'!G$5:G$27)/MAX(1,COUNTIF('93_TARGET_MEMBERSHIP'!AD$5:AD$27,1)))*(SUMPRODUCT(--('93_TARGET_MEMBERSHIP'!AD$5:AD$27=-1),'92_FEATURE_CONF_NUMERIC'!G$5:G$27)/MAX(1,COUNTIF('93_TARGET_MEMBERSHIP'!AD$5:AD$27,-1)))))</f>
        <v/>
      </c>
      <c r="G33" s="34">
        <f>IF($B33="ABSOLUTE SEMANTIC",'19_FEATURE_CONFIDENCE'!$D$9,SQRT((SUMPRODUCT(--('93_TARGET_MEMBERSHIP'!AD$5:AD$27=1),'92_FEATURE_CONF_NUMERIC'!H$5:H$27)/MAX(1,COUNTIF('93_TARGET_MEMBERSHIP'!AD$5:AD$27,1)))*(SUMPRODUCT(--('93_TARGET_MEMBERSHIP'!AD$5:AD$27=-1),'92_FEATURE_CONF_NUMERIC'!H$5:H$27)/MAX(1,COUNTIF('93_TARGET_MEMBERSHIP'!AD$5:AD$27,-1)))))</f>
        <v/>
      </c>
      <c r="H33" s="34">
        <f>IF($B33="ABSOLUTE SEMANTIC",'19_FEATURE_CONFIDENCE'!$D$10,SQRT((SUMPRODUCT(--('93_TARGET_MEMBERSHIP'!AD$5:AD$27=1),'92_FEATURE_CONF_NUMERIC'!I$5:I$27)/MAX(1,COUNTIF('93_TARGET_MEMBERSHIP'!AD$5:AD$27,1)))*(SUMPRODUCT(--('93_TARGET_MEMBERSHIP'!AD$5:AD$27=-1),'92_FEATURE_CONF_NUMERIC'!I$5:I$27)/MAX(1,COUNTIF('93_TARGET_MEMBERSHIP'!AD$5:AD$27,-1)))))</f>
        <v/>
      </c>
      <c r="I33" s="34">
        <f>IF($B33="ABSOLUTE SEMANTIC",'19_FEATURE_CONFIDENCE'!$D$11,SQRT((SUMPRODUCT(--('93_TARGET_MEMBERSHIP'!AD$5:AD$27=1),'92_FEATURE_CONF_NUMERIC'!J$5:J$27)/MAX(1,COUNTIF('93_TARGET_MEMBERSHIP'!AD$5:AD$27,1)))*(SUMPRODUCT(--('93_TARGET_MEMBERSHIP'!AD$5:AD$27=-1),'92_FEATURE_CONF_NUMERIC'!J$5:J$27)/MAX(1,COUNTIF('93_TARGET_MEMBERSHIP'!AD$5:AD$27,-1)))))</f>
        <v/>
      </c>
      <c r="J33" s="34">
        <f>IF($B33="ABSOLUTE SEMANTIC",'19_FEATURE_CONFIDENCE'!$D$12,SQRT((SUMPRODUCT(--('93_TARGET_MEMBERSHIP'!AD$5:AD$27=1),'92_FEATURE_CONF_NUMERIC'!K$5:K$27)/MAX(1,COUNTIF('93_TARGET_MEMBERSHIP'!AD$5:AD$27,1)))*(SUMPRODUCT(--('93_TARGET_MEMBERSHIP'!AD$5:AD$27=-1),'92_FEATURE_CONF_NUMERIC'!K$5:K$27)/MAX(1,COUNTIF('93_TARGET_MEMBERSHIP'!AD$5:AD$27,-1)))))</f>
        <v/>
      </c>
      <c r="K33" s="34">
        <f>IF($B33="ABSOLUTE SEMANTIC",'19_FEATURE_CONFIDENCE'!$D$13,SQRT((SUMPRODUCT(--('93_TARGET_MEMBERSHIP'!AD$5:AD$27=1),'92_FEATURE_CONF_NUMERIC'!L$5:L$27)/MAX(1,COUNTIF('93_TARGET_MEMBERSHIP'!AD$5:AD$27,1)))*(SUMPRODUCT(--('93_TARGET_MEMBERSHIP'!AD$5:AD$27=-1),'92_FEATURE_CONF_NUMERIC'!L$5:L$27)/MAX(1,COUNTIF('93_TARGET_MEMBERSHIP'!AD$5:AD$27,-1)))))</f>
        <v/>
      </c>
      <c r="L33" s="34">
        <f>IF($B33="ABSOLUTE SEMANTIC",'19_FEATURE_CONFIDENCE'!$D$14,SQRT((SUMPRODUCT(--('93_TARGET_MEMBERSHIP'!AD$5:AD$27=1),'92_FEATURE_CONF_NUMERIC'!M$5:M$27)/MAX(1,COUNTIF('93_TARGET_MEMBERSHIP'!AD$5:AD$27,1)))*(SUMPRODUCT(--('93_TARGET_MEMBERSHIP'!AD$5:AD$27=-1),'92_FEATURE_CONF_NUMERIC'!M$5:M$27)/MAX(1,COUNTIF('93_TARGET_MEMBERSHIP'!AD$5:AD$27,-1)))))</f>
        <v/>
      </c>
      <c r="M33" s="34">
        <f>IF($B33="ABSOLUTE SEMANTIC",'19_FEATURE_CONFIDENCE'!$D$15,SQRT((SUMPRODUCT(--('93_TARGET_MEMBERSHIP'!AD$5:AD$27=1),'92_FEATURE_CONF_NUMERIC'!N$5:N$27)/MAX(1,COUNTIF('93_TARGET_MEMBERSHIP'!AD$5:AD$27,1)))*(SUMPRODUCT(--('93_TARGET_MEMBERSHIP'!AD$5:AD$27=-1),'92_FEATURE_CONF_NUMERIC'!N$5:N$27)/MAX(1,COUNTIF('93_TARGET_MEMBERSHIP'!AD$5:AD$27,-1)))))</f>
        <v/>
      </c>
      <c r="N33" s="34">
        <f>IF($B33="ABSOLUTE SEMANTIC",'19_FEATURE_CONFIDENCE'!$D$16,SQRT((SUMPRODUCT(--('93_TARGET_MEMBERSHIP'!AD$5:AD$27=1),'92_FEATURE_CONF_NUMERIC'!O$5:O$27)/MAX(1,COUNTIF('93_TARGET_MEMBERSHIP'!AD$5:AD$27,1)))*(SUMPRODUCT(--('93_TARGET_MEMBERSHIP'!AD$5:AD$27=-1),'92_FEATURE_CONF_NUMERIC'!O$5:O$27)/MAX(1,COUNTIF('93_TARGET_MEMBERSHIP'!AD$5:AD$27,-1)))))</f>
        <v/>
      </c>
      <c r="O33" s="34">
        <f>IF($B33="ABSOLUTE SEMANTIC",'19_FEATURE_CONFIDENCE'!$D$17,SQRT((SUMPRODUCT(--('93_TARGET_MEMBERSHIP'!AD$5:AD$27=1),'92_FEATURE_CONF_NUMERIC'!P$5:P$27)/MAX(1,COUNTIF('93_TARGET_MEMBERSHIP'!AD$5:AD$27,1)))*(SUMPRODUCT(--('93_TARGET_MEMBERSHIP'!AD$5:AD$27=-1),'92_FEATURE_CONF_NUMERIC'!P$5:P$27)/MAX(1,COUNTIF('93_TARGET_MEMBERSHIP'!AD$5:AD$27,-1)))))</f>
        <v/>
      </c>
      <c r="P33" s="34">
        <f>IF($B33="ABSOLUTE SEMANTIC",'19_FEATURE_CONFIDENCE'!$D$18,SQRT((SUMPRODUCT(--('93_TARGET_MEMBERSHIP'!AD$5:AD$27=1),'92_FEATURE_CONF_NUMERIC'!Q$5:Q$27)/MAX(1,COUNTIF('93_TARGET_MEMBERSHIP'!AD$5:AD$27,1)))*(SUMPRODUCT(--('93_TARGET_MEMBERSHIP'!AD$5:AD$27=-1),'92_FEATURE_CONF_NUMERIC'!Q$5:Q$27)/MAX(1,COUNTIF('93_TARGET_MEMBERSHIP'!AD$5:AD$27,-1)))))</f>
        <v/>
      </c>
      <c r="Q33" s="34">
        <f>IF($B33="ABSOLUTE SEMANTIC",'19_FEATURE_CONFIDENCE'!$D$19,SQRT((SUMPRODUCT(--('93_TARGET_MEMBERSHIP'!AD$5:AD$27=1),'92_FEATURE_CONF_NUMERIC'!R$5:R$27)/MAX(1,COUNTIF('93_TARGET_MEMBERSHIP'!AD$5:AD$27,1)))*(SUMPRODUCT(--('93_TARGET_MEMBERSHIP'!AD$5:AD$27=-1),'92_FEATURE_CONF_NUMERIC'!R$5:R$27)/MAX(1,COUNTIF('93_TARGET_MEMBERSHIP'!AD$5:AD$27,-1)))))</f>
        <v/>
      </c>
      <c r="R33" s="34">
        <f>IF($B33="ABSOLUTE SEMANTIC",'19_FEATURE_CONFIDENCE'!$D$20,SQRT((SUMPRODUCT(--('93_TARGET_MEMBERSHIP'!AD$5:AD$27=1),'92_FEATURE_CONF_NUMERIC'!S$5:S$27)/MAX(1,COUNTIF('93_TARGET_MEMBERSHIP'!AD$5:AD$27,1)))*(SUMPRODUCT(--('93_TARGET_MEMBERSHIP'!AD$5:AD$27=-1),'92_FEATURE_CONF_NUMERIC'!S$5:S$27)/MAX(1,COUNTIF('93_TARGET_MEMBERSHIP'!AD$5:AD$27,-1)))))</f>
        <v/>
      </c>
      <c r="S33" s="34">
        <f>IF($B33="ABSOLUTE SEMANTIC",'19_FEATURE_CONFIDENCE'!$D$21,SQRT((SUMPRODUCT(--('93_TARGET_MEMBERSHIP'!AD$5:AD$27=1),'92_FEATURE_CONF_NUMERIC'!T$5:T$27)/MAX(1,COUNTIF('93_TARGET_MEMBERSHIP'!AD$5:AD$27,1)))*(SUMPRODUCT(--('93_TARGET_MEMBERSHIP'!AD$5:AD$27=-1),'92_FEATURE_CONF_NUMERIC'!T$5:T$27)/MAX(1,COUNTIF('93_TARGET_MEMBERSHIP'!AD$5:AD$27,-1)))))</f>
        <v/>
      </c>
      <c r="T33" s="34">
        <f>IF($B33="ABSOLUTE SEMANTIC",'19_FEATURE_CONFIDENCE'!$D$22,SQRT((SUMPRODUCT(--('93_TARGET_MEMBERSHIP'!AD$5:AD$27=1),'92_FEATURE_CONF_NUMERIC'!U$5:U$27)/MAX(1,COUNTIF('93_TARGET_MEMBERSHIP'!AD$5:AD$27,1)))*(SUMPRODUCT(--('93_TARGET_MEMBERSHIP'!AD$5:AD$27=-1),'92_FEATURE_CONF_NUMERIC'!U$5:U$27)/MAX(1,COUNTIF('93_TARGET_MEMBERSHIP'!AD$5:AD$27,-1)))))</f>
        <v/>
      </c>
      <c r="U33" s="34">
        <f>IF($B33="ABSOLUTE SEMANTIC",'19_FEATURE_CONFIDENCE'!$D$23,SQRT((SUMPRODUCT(--('93_TARGET_MEMBERSHIP'!AD$5:AD$27=1),'92_FEATURE_CONF_NUMERIC'!V$5:V$27)/MAX(1,COUNTIF('93_TARGET_MEMBERSHIP'!AD$5:AD$27,1)))*(SUMPRODUCT(--('93_TARGET_MEMBERSHIP'!AD$5:AD$27=-1),'92_FEATURE_CONF_NUMERIC'!V$5:V$27)/MAX(1,COUNTIF('93_TARGET_MEMBERSHIP'!AD$5:AD$27,-1)))))</f>
        <v/>
      </c>
      <c r="V33" s="34">
        <f>IF($B33="ABSOLUTE SEMANTIC",'19_FEATURE_CONFIDENCE'!$D$24,SQRT((SUMPRODUCT(--('93_TARGET_MEMBERSHIP'!AD$5:AD$27=1),'92_FEATURE_CONF_NUMERIC'!W$5:W$27)/MAX(1,COUNTIF('93_TARGET_MEMBERSHIP'!AD$5:AD$27,1)))*(SUMPRODUCT(--('93_TARGET_MEMBERSHIP'!AD$5:AD$27=-1),'92_FEATURE_CONF_NUMERIC'!W$5:W$27)/MAX(1,COUNTIF('93_TARGET_MEMBERSHIP'!AD$5:AD$27,-1)))))</f>
        <v/>
      </c>
      <c r="W33" s="34">
        <f>IF($B33="ABSOLUTE SEMANTIC",'19_FEATURE_CONFIDENCE'!$D$25,SQRT((SUMPRODUCT(--('93_TARGET_MEMBERSHIP'!AD$5:AD$27=1),'92_FEATURE_CONF_NUMERIC'!X$5:X$27)/MAX(1,COUNTIF('93_TARGET_MEMBERSHIP'!AD$5:AD$27,1)))*(SUMPRODUCT(--('93_TARGET_MEMBERSHIP'!AD$5:AD$27=-1),'92_FEATURE_CONF_NUMERIC'!X$5:X$27)/MAX(1,COUNTIF('93_TARGET_MEMBERSHIP'!AD$5:AD$27,-1)))))</f>
        <v/>
      </c>
      <c r="X33" s="34">
        <f>IF($B33="ABSOLUTE SEMANTIC",'19_FEATURE_CONFIDENCE'!$D$26,SQRT((SUMPRODUCT(--('93_TARGET_MEMBERSHIP'!AD$5:AD$27=1),'92_FEATURE_CONF_NUMERIC'!Y$5:Y$27)/MAX(1,COUNTIF('93_TARGET_MEMBERSHIP'!AD$5:AD$27,1)))*(SUMPRODUCT(--('93_TARGET_MEMBERSHIP'!AD$5:AD$27=-1),'92_FEATURE_CONF_NUMERIC'!Y$5:Y$27)/MAX(1,COUNTIF('93_TARGET_MEMBERSHIP'!AD$5:AD$27,-1)))))</f>
        <v/>
      </c>
      <c r="Y33" s="34">
        <f>IF($B33="ABSOLUTE SEMANTIC",'19_FEATURE_CONFIDENCE'!$D$27,SQRT((SUMPRODUCT(--('93_TARGET_MEMBERSHIP'!AD$5:AD$27=1),'92_FEATURE_CONF_NUMERIC'!Z$5:Z$27)/MAX(1,COUNTIF('93_TARGET_MEMBERSHIP'!AD$5:AD$27,1)))*(SUMPRODUCT(--('93_TARGET_MEMBERSHIP'!AD$5:AD$27=-1),'92_FEATURE_CONF_NUMERIC'!Z$5:Z$27)/MAX(1,COUNTIF('93_TARGET_MEMBERSHIP'!AD$5:AD$27,-1)))))</f>
        <v/>
      </c>
      <c r="Z33" s="34">
        <f>IF($B33="ABSOLUTE SEMANTIC",'19_FEATURE_CONFIDENCE'!$D$28,SQRT((SUMPRODUCT(--('93_TARGET_MEMBERSHIP'!AD$5:AD$27=1),'92_FEATURE_CONF_NUMERIC'!AA$5:AA$27)/MAX(1,COUNTIF('93_TARGET_MEMBERSHIP'!AD$5:AD$27,1)))*(SUMPRODUCT(--('93_TARGET_MEMBERSHIP'!AD$5:AD$27=-1),'92_FEATURE_CONF_NUMERIC'!AA$5:AA$27)/MAX(1,COUNTIF('93_TARGET_MEMBERSHIP'!AD$5:AD$27,-1)))))</f>
        <v/>
      </c>
      <c r="AA33" s="34">
        <f>IF($B33="ABSOLUTE SEMANTIC",'19_FEATURE_CONFIDENCE'!$D$29,SQRT((SUMPRODUCT(--('93_TARGET_MEMBERSHIP'!AD$5:AD$27=1),'92_FEATURE_CONF_NUMERIC'!AB$5:AB$27)/MAX(1,COUNTIF('93_TARGET_MEMBERSHIP'!AD$5:AD$27,1)))*(SUMPRODUCT(--('93_TARGET_MEMBERSHIP'!AD$5:AD$27=-1),'92_FEATURE_CONF_NUMERIC'!AB$5:AB$27)/MAX(1,COUNTIF('93_TARGET_MEMBERSHIP'!AD$5:AD$27,-1)))))</f>
        <v/>
      </c>
      <c r="AB33" s="34">
        <f>IF($B33="ABSOLUTE SEMANTIC",'19_FEATURE_CONFIDENCE'!$D$30,SQRT((SUMPRODUCT(--('93_TARGET_MEMBERSHIP'!AD$5:AD$27=1),'92_FEATURE_CONF_NUMERIC'!AC$5:AC$27)/MAX(1,COUNTIF('93_TARGET_MEMBERSHIP'!AD$5:AD$27,1)))*(SUMPRODUCT(--('93_TARGET_MEMBERSHIP'!AD$5:AD$27=-1),'92_FEATURE_CONF_NUMERIC'!AC$5:AC$27)/MAX(1,COUNTIF('93_TARGET_MEMBERSHIP'!AD$5:AD$27,-1)))))</f>
        <v/>
      </c>
      <c r="AC33" s="34">
        <f>IF($B33="ABSOLUTE SEMANTIC",'19_FEATURE_CONFIDENCE'!$D$31,SQRT((SUMPRODUCT(--('93_TARGET_MEMBERSHIP'!AD$5:AD$27=1),'92_FEATURE_CONF_NUMERIC'!AD$5:AD$27)/MAX(1,COUNTIF('93_TARGET_MEMBERSHIP'!AD$5:AD$27,1)))*(SUMPRODUCT(--('93_TARGET_MEMBERSHIP'!AD$5:AD$27=-1),'92_FEATURE_CONF_NUMERIC'!AD$5:AD$27)/MAX(1,COUNTIF('93_TARGET_MEMBERSHIP'!AD$5:AD$27,-1)))))</f>
        <v/>
      </c>
      <c r="AD33" s="34">
        <f>IF($B33="ABSOLUTE SEMANTIC",'19_FEATURE_CONFIDENCE'!$D$32,SQRT((SUMPRODUCT(--('93_TARGET_MEMBERSHIP'!AD$5:AD$27=1),'92_FEATURE_CONF_NUMERIC'!AE$5:AE$27)/MAX(1,COUNTIF('93_TARGET_MEMBERSHIP'!AD$5:AD$27,1)))*(SUMPRODUCT(--('93_TARGET_MEMBERSHIP'!AD$5:AD$27=-1),'92_FEATURE_CONF_NUMERIC'!AE$5:AE$27)/MAX(1,COUNTIF('93_TARGET_MEMBERSHIP'!AD$5:AD$27,-1)))))</f>
        <v/>
      </c>
      <c r="AE33" s="34">
        <f>IF($B33="ABSOLUTE SEMANTIC",'19_FEATURE_CONFIDENCE'!$D$33,SQRT((SUMPRODUCT(--('93_TARGET_MEMBERSHIP'!AD$5:AD$27=1),'92_FEATURE_CONF_NUMERIC'!AF$5:AF$27)/MAX(1,COUNTIF('93_TARGET_MEMBERSHIP'!AD$5:AD$27,1)))*(SUMPRODUCT(--('93_TARGET_MEMBERSHIP'!AD$5:AD$27=-1),'92_FEATURE_CONF_NUMERIC'!AF$5:AF$27)/MAX(1,COUNTIF('93_TARGET_MEMBERSHIP'!AD$5:AD$27,-1)))))</f>
        <v/>
      </c>
      <c r="AF33" s="34">
        <f>IF($B33="ABSOLUTE SEMANTIC",'19_FEATURE_CONFIDENCE'!$D$34,SQRT((SUMPRODUCT(--('93_TARGET_MEMBERSHIP'!AD$5:AD$27=1),'92_FEATURE_CONF_NUMERIC'!AG$5:AG$27)/MAX(1,COUNTIF('93_TARGET_MEMBERSHIP'!AD$5:AD$27,1)))*(SUMPRODUCT(--('93_TARGET_MEMBERSHIP'!AD$5:AD$27=-1),'92_FEATURE_CONF_NUMERIC'!AG$5:AG$27)/MAX(1,COUNTIF('93_TARGET_MEMBERSHIP'!AD$5:AD$27,-1)))))</f>
        <v/>
      </c>
      <c r="AG33" s="34">
        <f>IF($B33="ABSOLUTE SEMANTIC",'19_FEATURE_CONFIDENCE'!$D$35,SQRT((SUMPRODUCT(--('93_TARGET_MEMBERSHIP'!AD$5:AD$27=1),'92_FEATURE_CONF_NUMERIC'!AH$5:AH$27)/MAX(1,COUNTIF('93_TARGET_MEMBERSHIP'!AD$5:AD$27,1)))*(SUMPRODUCT(--('93_TARGET_MEMBERSHIP'!AD$5:AD$27=-1),'92_FEATURE_CONF_NUMERIC'!AH$5:AH$27)/MAX(1,COUNTIF('93_TARGET_MEMBERSHIP'!AD$5:AD$27,-1)))))</f>
        <v/>
      </c>
      <c r="AH33" s="34">
        <f>IF($B33="ABSOLUTE SEMANTIC",'19_FEATURE_CONFIDENCE'!$D$36,SQRT((SUMPRODUCT(--('93_TARGET_MEMBERSHIP'!AD$5:AD$27=1),'92_FEATURE_CONF_NUMERIC'!AI$5:AI$27)/MAX(1,COUNTIF('93_TARGET_MEMBERSHIP'!AD$5:AD$27,1)))*(SUMPRODUCT(--('93_TARGET_MEMBERSHIP'!AD$5:AD$27=-1),'92_FEATURE_CONF_NUMERIC'!AI$5:AI$27)/MAX(1,COUNTIF('93_TARGET_MEMBERSHIP'!AD$5:AD$27,-1)))))</f>
        <v/>
      </c>
      <c r="AI33" s="34">
        <f>IF($B33="ABSOLUTE SEMANTIC",'19_FEATURE_CONFIDENCE'!$D$37,SQRT((SUMPRODUCT(--('93_TARGET_MEMBERSHIP'!AD$5:AD$27=1),'92_FEATURE_CONF_NUMERIC'!AJ$5:AJ$27)/MAX(1,COUNTIF('93_TARGET_MEMBERSHIP'!AD$5:AD$27,1)))*(SUMPRODUCT(--('93_TARGET_MEMBERSHIP'!AD$5:AD$27=-1),'92_FEATURE_CONF_NUMERIC'!AJ$5:AJ$27)/MAX(1,COUNTIF('93_TARGET_MEMBERSHIP'!AD$5:AD$27,-1)))))</f>
        <v/>
      </c>
      <c r="AJ33" s="34">
        <f>IF($B33="ABSOLUTE SEMANTIC",'19_FEATURE_CONFIDENCE'!$D$38,SQRT((SUMPRODUCT(--('93_TARGET_MEMBERSHIP'!AD$5:AD$27=1),'92_FEATURE_CONF_NUMERIC'!AK$5:AK$27)/MAX(1,COUNTIF('93_TARGET_MEMBERSHIP'!AD$5:AD$27,1)))*(SUMPRODUCT(--('93_TARGET_MEMBERSHIP'!AD$5:AD$27=-1),'92_FEATURE_CONF_NUMERIC'!AK$5:AK$27)/MAX(1,COUNTIF('93_TARGET_MEMBERSHIP'!AD$5:AD$27,-1)))))</f>
        <v/>
      </c>
      <c r="AK33" s="34">
        <f>IF($B33="ABSOLUTE SEMANTIC",'19_FEATURE_CONFIDENCE'!$D$39,SQRT((SUMPRODUCT(--('93_TARGET_MEMBERSHIP'!AD$5:AD$27=1),'92_FEATURE_CONF_NUMERIC'!AL$5:AL$27)/MAX(1,COUNTIF('93_TARGET_MEMBERSHIP'!AD$5:AD$27,1)))*(SUMPRODUCT(--('93_TARGET_MEMBERSHIP'!AD$5:AD$27=-1),'92_FEATURE_CONF_NUMERIC'!AL$5:AL$27)/MAX(1,COUNTIF('93_TARGET_MEMBERSHIP'!AD$5:AD$27,-1)))))</f>
        <v/>
      </c>
      <c r="AL33" s="34">
        <f>IF($B33="ABSOLUTE SEMANTIC",'19_FEATURE_CONFIDENCE'!$D$40,SQRT((SUMPRODUCT(--('93_TARGET_MEMBERSHIP'!AD$5:AD$27=1),'92_FEATURE_CONF_NUMERIC'!AM$5:AM$27)/MAX(1,COUNTIF('93_TARGET_MEMBERSHIP'!AD$5:AD$27,1)))*(SUMPRODUCT(--('93_TARGET_MEMBERSHIP'!AD$5:AD$27=-1),'92_FEATURE_CONF_NUMERIC'!AM$5:AM$27)/MAX(1,COUNTIF('93_TARGET_MEMBERSHIP'!AD$5:AD$27,-1)))))</f>
        <v/>
      </c>
      <c r="AM33" s="34">
        <f>IF($B33="ABSOLUTE SEMANTIC",'19_FEATURE_CONFIDENCE'!$D$41,SQRT((SUMPRODUCT(--('93_TARGET_MEMBERSHIP'!AD$5:AD$27=1),'92_FEATURE_CONF_NUMERIC'!AN$5:AN$27)/MAX(1,COUNTIF('93_TARGET_MEMBERSHIP'!AD$5:AD$27,1)))*(SUMPRODUCT(--('93_TARGET_MEMBERSHIP'!AD$5:AD$27=-1),'92_FEATURE_CONF_NUMERIC'!AN$5:AN$27)/MAX(1,COUNTIF('93_TARGET_MEMBERSHIP'!AD$5:AD$27,-1)))))</f>
        <v/>
      </c>
      <c r="AN33" s="34">
        <f>IF($B33="ABSOLUTE SEMANTIC",'19_FEATURE_CONFIDENCE'!$D$42,SQRT((SUMPRODUCT(--('93_TARGET_MEMBERSHIP'!AD$5:AD$27=1),'92_FEATURE_CONF_NUMERIC'!AO$5:AO$27)/MAX(1,COUNTIF('93_TARGET_MEMBERSHIP'!AD$5:AD$27,1)))*(SUMPRODUCT(--('93_TARGET_MEMBERSHIP'!AD$5:AD$27=-1),'92_FEATURE_CONF_NUMERIC'!AO$5:AO$27)/MAX(1,COUNTIF('93_TARGET_MEMBERSHIP'!AD$5:AD$27,-1)))))</f>
        <v/>
      </c>
      <c r="AO33" s="34">
        <f>IF($B33="ABSOLUTE SEMANTIC",'19_FEATURE_CONFIDENCE'!$D$43,SQRT((SUMPRODUCT(--('93_TARGET_MEMBERSHIP'!AD$5:AD$27=1),'92_FEATURE_CONF_NUMERIC'!AP$5:AP$27)/MAX(1,COUNTIF('93_TARGET_MEMBERSHIP'!AD$5:AD$27,1)))*(SUMPRODUCT(--('93_TARGET_MEMBERSHIP'!AD$5:AD$27=-1),'92_FEATURE_CONF_NUMERIC'!AP$5:AP$27)/MAX(1,COUNTIF('93_TARGET_MEMBERSHIP'!AD$5:AD$27,-1)))))</f>
        <v/>
      </c>
      <c r="AP33" s="34">
        <f>IF($B33="ABSOLUTE SEMANTIC",'19_FEATURE_CONFIDENCE'!$D$44,SQRT((SUMPRODUCT(--('93_TARGET_MEMBERSHIP'!AD$5:AD$27=1),'92_FEATURE_CONF_NUMERIC'!AQ$5:AQ$27)/MAX(1,COUNTIF('93_TARGET_MEMBERSHIP'!AD$5:AD$27,1)))*(SUMPRODUCT(--('93_TARGET_MEMBERSHIP'!AD$5:AD$27=-1),'92_FEATURE_CONF_NUMERIC'!AQ$5:AQ$27)/MAX(1,COUNTIF('93_TARGET_MEMBERSHIP'!AD$5:AD$27,-1)))))</f>
        <v/>
      </c>
      <c r="AQ33" s="34">
        <f>IF($B33="ABSOLUTE SEMANTIC",'19_FEATURE_CONFIDENCE'!$D$45,SQRT((SUMPRODUCT(--('93_TARGET_MEMBERSHIP'!AD$5:AD$27=1),'92_FEATURE_CONF_NUMERIC'!AR$5:AR$27)/MAX(1,COUNTIF('93_TARGET_MEMBERSHIP'!AD$5:AD$27,1)))*(SUMPRODUCT(--('93_TARGET_MEMBERSHIP'!AD$5:AD$27=-1),'92_FEATURE_CONF_NUMERIC'!AR$5:AR$27)/MAX(1,COUNTIF('93_TARGET_MEMBERSHIP'!AD$5:AD$27,-1)))))</f>
        <v/>
      </c>
    </row>
    <row r="34" ht="36" customHeight="1">
      <c r="A34" s="34">
        <f>'06_ITEM_POLE_MODEL'!A34</f>
        <v/>
      </c>
      <c r="B34" s="34">
        <f>'06_ITEM_POLE_MODEL'!E34</f>
        <v/>
      </c>
      <c r="C34" s="34">
        <f>IF($B34="ABSOLUTE SEMANTIC",'19_FEATURE_CONFIDENCE'!$D$5,SQRT((SUMPRODUCT(--('93_TARGET_MEMBERSHIP'!AE$5:AE$27=1),'92_FEATURE_CONF_NUMERIC'!D$5:D$27)/MAX(1,COUNTIF('93_TARGET_MEMBERSHIP'!AE$5:AE$27,1)))*(SUMPRODUCT(--('93_TARGET_MEMBERSHIP'!AE$5:AE$27=-1),'92_FEATURE_CONF_NUMERIC'!D$5:D$27)/MAX(1,COUNTIF('93_TARGET_MEMBERSHIP'!AE$5:AE$27,-1)))))</f>
        <v/>
      </c>
      <c r="D34" s="34">
        <f>IF($B34="ABSOLUTE SEMANTIC",'19_FEATURE_CONFIDENCE'!$D$6,SQRT((SUMPRODUCT(--('93_TARGET_MEMBERSHIP'!AE$5:AE$27=1),'92_FEATURE_CONF_NUMERIC'!E$5:E$27)/MAX(1,COUNTIF('93_TARGET_MEMBERSHIP'!AE$5:AE$27,1)))*(SUMPRODUCT(--('93_TARGET_MEMBERSHIP'!AE$5:AE$27=-1),'92_FEATURE_CONF_NUMERIC'!E$5:E$27)/MAX(1,COUNTIF('93_TARGET_MEMBERSHIP'!AE$5:AE$27,-1)))))</f>
        <v/>
      </c>
      <c r="E34" s="34">
        <f>IF($B34="ABSOLUTE SEMANTIC",'19_FEATURE_CONFIDENCE'!$D$7,SQRT((SUMPRODUCT(--('93_TARGET_MEMBERSHIP'!AE$5:AE$27=1),'92_FEATURE_CONF_NUMERIC'!F$5:F$27)/MAX(1,COUNTIF('93_TARGET_MEMBERSHIP'!AE$5:AE$27,1)))*(SUMPRODUCT(--('93_TARGET_MEMBERSHIP'!AE$5:AE$27=-1),'92_FEATURE_CONF_NUMERIC'!F$5:F$27)/MAX(1,COUNTIF('93_TARGET_MEMBERSHIP'!AE$5:AE$27,-1)))))</f>
        <v/>
      </c>
      <c r="F34" s="34">
        <f>IF($B34="ABSOLUTE SEMANTIC",'19_FEATURE_CONFIDENCE'!$D$8,SQRT((SUMPRODUCT(--('93_TARGET_MEMBERSHIP'!AE$5:AE$27=1),'92_FEATURE_CONF_NUMERIC'!G$5:G$27)/MAX(1,COUNTIF('93_TARGET_MEMBERSHIP'!AE$5:AE$27,1)))*(SUMPRODUCT(--('93_TARGET_MEMBERSHIP'!AE$5:AE$27=-1),'92_FEATURE_CONF_NUMERIC'!G$5:G$27)/MAX(1,COUNTIF('93_TARGET_MEMBERSHIP'!AE$5:AE$27,-1)))))</f>
        <v/>
      </c>
      <c r="G34" s="34">
        <f>IF($B34="ABSOLUTE SEMANTIC",'19_FEATURE_CONFIDENCE'!$D$9,SQRT((SUMPRODUCT(--('93_TARGET_MEMBERSHIP'!AE$5:AE$27=1),'92_FEATURE_CONF_NUMERIC'!H$5:H$27)/MAX(1,COUNTIF('93_TARGET_MEMBERSHIP'!AE$5:AE$27,1)))*(SUMPRODUCT(--('93_TARGET_MEMBERSHIP'!AE$5:AE$27=-1),'92_FEATURE_CONF_NUMERIC'!H$5:H$27)/MAX(1,COUNTIF('93_TARGET_MEMBERSHIP'!AE$5:AE$27,-1)))))</f>
        <v/>
      </c>
      <c r="H34" s="34">
        <f>IF($B34="ABSOLUTE SEMANTIC",'19_FEATURE_CONFIDENCE'!$D$10,SQRT((SUMPRODUCT(--('93_TARGET_MEMBERSHIP'!AE$5:AE$27=1),'92_FEATURE_CONF_NUMERIC'!I$5:I$27)/MAX(1,COUNTIF('93_TARGET_MEMBERSHIP'!AE$5:AE$27,1)))*(SUMPRODUCT(--('93_TARGET_MEMBERSHIP'!AE$5:AE$27=-1),'92_FEATURE_CONF_NUMERIC'!I$5:I$27)/MAX(1,COUNTIF('93_TARGET_MEMBERSHIP'!AE$5:AE$27,-1)))))</f>
        <v/>
      </c>
      <c r="I34" s="34">
        <f>IF($B34="ABSOLUTE SEMANTIC",'19_FEATURE_CONFIDENCE'!$D$11,SQRT((SUMPRODUCT(--('93_TARGET_MEMBERSHIP'!AE$5:AE$27=1),'92_FEATURE_CONF_NUMERIC'!J$5:J$27)/MAX(1,COUNTIF('93_TARGET_MEMBERSHIP'!AE$5:AE$27,1)))*(SUMPRODUCT(--('93_TARGET_MEMBERSHIP'!AE$5:AE$27=-1),'92_FEATURE_CONF_NUMERIC'!J$5:J$27)/MAX(1,COUNTIF('93_TARGET_MEMBERSHIP'!AE$5:AE$27,-1)))))</f>
        <v/>
      </c>
      <c r="J34" s="34">
        <f>IF($B34="ABSOLUTE SEMANTIC",'19_FEATURE_CONFIDENCE'!$D$12,SQRT((SUMPRODUCT(--('93_TARGET_MEMBERSHIP'!AE$5:AE$27=1),'92_FEATURE_CONF_NUMERIC'!K$5:K$27)/MAX(1,COUNTIF('93_TARGET_MEMBERSHIP'!AE$5:AE$27,1)))*(SUMPRODUCT(--('93_TARGET_MEMBERSHIP'!AE$5:AE$27=-1),'92_FEATURE_CONF_NUMERIC'!K$5:K$27)/MAX(1,COUNTIF('93_TARGET_MEMBERSHIP'!AE$5:AE$27,-1)))))</f>
        <v/>
      </c>
      <c r="K34" s="34">
        <f>IF($B34="ABSOLUTE SEMANTIC",'19_FEATURE_CONFIDENCE'!$D$13,SQRT((SUMPRODUCT(--('93_TARGET_MEMBERSHIP'!AE$5:AE$27=1),'92_FEATURE_CONF_NUMERIC'!L$5:L$27)/MAX(1,COUNTIF('93_TARGET_MEMBERSHIP'!AE$5:AE$27,1)))*(SUMPRODUCT(--('93_TARGET_MEMBERSHIP'!AE$5:AE$27=-1),'92_FEATURE_CONF_NUMERIC'!L$5:L$27)/MAX(1,COUNTIF('93_TARGET_MEMBERSHIP'!AE$5:AE$27,-1)))))</f>
        <v/>
      </c>
      <c r="L34" s="34">
        <f>IF($B34="ABSOLUTE SEMANTIC",'19_FEATURE_CONFIDENCE'!$D$14,SQRT((SUMPRODUCT(--('93_TARGET_MEMBERSHIP'!AE$5:AE$27=1),'92_FEATURE_CONF_NUMERIC'!M$5:M$27)/MAX(1,COUNTIF('93_TARGET_MEMBERSHIP'!AE$5:AE$27,1)))*(SUMPRODUCT(--('93_TARGET_MEMBERSHIP'!AE$5:AE$27=-1),'92_FEATURE_CONF_NUMERIC'!M$5:M$27)/MAX(1,COUNTIF('93_TARGET_MEMBERSHIP'!AE$5:AE$27,-1)))))</f>
        <v/>
      </c>
      <c r="M34" s="34">
        <f>IF($B34="ABSOLUTE SEMANTIC",'19_FEATURE_CONFIDENCE'!$D$15,SQRT((SUMPRODUCT(--('93_TARGET_MEMBERSHIP'!AE$5:AE$27=1),'92_FEATURE_CONF_NUMERIC'!N$5:N$27)/MAX(1,COUNTIF('93_TARGET_MEMBERSHIP'!AE$5:AE$27,1)))*(SUMPRODUCT(--('93_TARGET_MEMBERSHIP'!AE$5:AE$27=-1),'92_FEATURE_CONF_NUMERIC'!N$5:N$27)/MAX(1,COUNTIF('93_TARGET_MEMBERSHIP'!AE$5:AE$27,-1)))))</f>
        <v/>
      </c>
      <c r="N34" s="34">
        <f>IF($B34="ABSOLUTE SEMANTIC",'19_FEATURE_CONFIDENCE'!$D$16,SQRT((SUMPRODUCT(--('93_TARGET_MEMBERSHIP'!AE$5:AE$27=1),'92_FEATURE_CONF_NUMERIC'!O$5:O$27)/MAX(1,COUNTIF('93_TARGET_MEMBERSHIP'!AE$5:AE$27,1)))*(SUMPRODUCT(--('93_TARGET_MEMBERSHIP'!AE$5:AE$27=-1),'92_FEATURE_CONF_NUMERIC'!O$5:O$27)/MAX(1,COUNTIF('93_TARGET_MEMBERSHIP'!AE$5:AE$27,-1)))))</f>
        <v/>
      </c>
      <c r="O34" s="34">
        <f>IF($B34="ABSOLUTE SEMANTIC",'19_FEATURE_CONFIDENCE'!$D$17,SQRT((SUMPRODUCT(--('93_TARGET_MEMBERSHIP'!AE$5:AE$27=1),'92_FEATURE_CONF_NUMERIC'!P$5:P$27)/MAX(1,COUNTIF('93_TARGET_MEMBERSHIP'!AE$5:AE$27,1)))*(SUMPRODUCT(--('93_TARGET_MEMBERSHIP'!AE$5:AE$27=-1),'92_FEATURE_CONF_NUMERIC'!P$5:P$27)/MAX(1,COUNTIF('93_TARGET_MEMBERSHIP'!AE$5:AE$27,-1)))))</f>
        <v/>
      </c>
      <c r="P34" s="34">
        <f>IF($B34="ABSOLUTE SEMANTIC",'19_FEATURE_CONFIDENCE'!$D$18,SQRT((SUMPRODUCT(--('93_TARGET_MEMBERSHIP'!AE$5:AE$27=1),'92_FEATURE_CONF_NUMERIC'!Q$5:Q$27)/MAX(1,COUNTIF('93_TARGET_MEMBERSHIP'!AE$5:AE$27,1)))*(SUMPRODUCT(--('93_TARGET_MEMBERSHIP'!AE$5:AE$27=-1),'92_FEATURE_CONF_NUMERIC'!Q$5:Q$27)/MAX(1,COUNTIF('93_TARGET_MEMBERSHIP'!AE$5:AE$27,-1)))))</f>
        <v/>
      </c>
      <c r="Q34" s="34">
        <f>IF($B34="ABSOLUTE SEMANTIC",'19_FEATURE_CONFIDENCE'!$D$19,SQRT((SUMPRODUCT(--('93_TARGET_MEMBERSHIP'!AE$5:AE$27=1),'92_FEATURE_CONF_NUMERIC'!R$5:R$27)/MAX(1,COUNTIF('93_TARGET_MEMBERSHIP'!AE$5:AE$27,1)))*(SUMPRODUCT(--('93_TARGET_MEMBERSHIP'!AE$5:AE$27=-1),'92_FEATURE_CONF_NUMERIC'!R$5:R$27)/MAX(1,COUNTIF('93_TARGET_MEMBERSHIP'!AE$5:AE$27,-1)))))</f>
        <v/>
      </c>
      <c r="R34" s="34">
        <f>IF($B34="ABSOLUTE SEMANTIC",'19_FEATURE_CONFIDENCE'!$D$20,SQRT((SUMPRODUCT(--('93_TARGET_MEMBERSHIP'!AE$5:AE$27=1),'92_FEATURE_CONF_NUMERIC'!S$5:S$27)/MAX(1,COUNTIF('93_TARGET_MEMBERSHIP'!AE$5:AE$27,1)))*(SUMPRODUCT(--('93_TARGET_MEMBERSHIP'!AE$5:AE$27=-1),'92_FEATURE_CONF_NUMERIC'!S$5:S$27)/MAX(1,COUNTIF('93_TARGET_MEMBERSHIP'!AE$5:AE$27,-1)))))</f>
        <v/>
      </c>
      <c r="S34" s="34">
        <f>IF($B34="ABSOLUTE SEMANTIC",'19_FEATURE_CONFIDENCE'!$D$21,SQRT((SUMPRODUCT(--('93_TARGET_MEMBERSHIP'!AE$5:AE$27=1),'92_FEATURE_CONF_NUMERIC'!T$5:T$27)/MAX(1,COUNTIF('93_TARGET_MEMBERSHIP'!AE$5:AE$27,1)))*(SUMPRODUCT(--('93_TARGET_MEMBERSHIP'!AE$5:AE$27=-1),'92_FEATURE_CONF_NUMERIC'!T$5:T$27)/MAX(1,COUNTIF('93_TARGET_MEMBERSHIP'!AE$5:AE$27,-1)))))</f>
        <v/>
      </c>
      <c r="T34" s="34">
        <f>IF($B34="ABSOLUTE SEMANTIC",'19_FEATURE_CONFIDENCE'!$D$22,SQRT((SUMPRODUCT(--('93_TARGET_MEMBERSHIP'!AE$5:AE$27=1),'92_FEATURE_CONF_NUMERIC'!U$5:U$27)/MAX(1,COUNTIF('93_TARGET_MEMBERSHIP'!AE$5:AE$27,1)))*(SUMPRODUCT(--('93_TARGET_MEMBERSHIP'!AE$5:AE$27=-1),'92_FEATURE_CONF_NUMERIC'!U$5:U$27)/MAX(1,COUNTIF('93_TARGET_MEMBERSHIP'!AE$5:AE$27,-1)))))</f>
        <v/>
      </c>
      <c r="U34" s="34">
        <f>IF($B34="ABSOLUTE SEMANTIC",'19_FEATURE_CONFIDENCE'!$D$23,SQRT((SUMPRODUCT(--('93_TARGET_MEMBERSHIP'!AE$5:AE$27=1),'92_FEATURE_CONF_NUMERIC'!V$5:V$27)/MAX(1,COUNTIF('93_TARGET_MEMBERSHIP'!AE$5:AE$27,1)))*(SUMPRODUCT(--('93_TARGET_MEMBERSHIP'!AE$5:AE$27=-1),'92_FEATURE_CONF_NUMERIC'!V$5:V$27)/MAX(1,COUNTIF('93_TARGET_MEMBERSHIP'!AE$5:AE$27,-1)))))</f>
        <v/>
      </c>
      <c r="V34" s="34">
        <f>IF($B34="ABSOLUTE SEMANTIC",'19_FEATURE_CONFIDENCE'!$D$24,SQRT((SUMPRODUCT(--('93_TARGET_MEMBERSHIP'!AE$5:AE$27=1),'92_FEATURE_CONF_NUMERIC'!W$5:W$27)/MAX(1,COUNTIF('93_TARGET_MEMBERSHIP'!AE$5:AE$27,1)))*(SUMPRODUCT(--('93_TARGET_MEMBERSHIP'!AE$5:AE$27=-1),'92_FEATURE_CONF_NUMERIC'!W$5:W$27)/MAX(1,COUNTIF('93_TARGET_MEMBERSHIP'!AE$5:AE$27,-1)))))</f>
        <v/>
      </c>
      <c r="W34" s="34">
        <f>IF($B34="ABSOLUTE SEMANTIC",'19_FEATURE_CONFIDENCE'!$D$25,SQRT((SUMPRODUCT(--('93_TARGET_MEMBERSHIP'!AE$5:AE$27=1),'92_FEATURE_CONF_NUMERIC'!X$5:X$27)/MAX(1,COUNTIF('93_TARGET_MEMBERSHIP'!AE$5:AE$27,1)))*(SUMPRODUCT(--('93_TARGET_MEMBERSHIP'!AE$5:AE$27=-1),'92_FEATURE_CONF_NUMERIC'!X$5:X$27)/MAX(1,COUNTIF('93_TARGET_MEMBERSHIP'!AE$5:AE$27,-1)))))</f>
        <v/>
      </c>
      <c r="X34" s="34">
        <f>IF($B34="ABSOLUTE SEMANTIC",'19_FEATURE_CONFIDENCE'!$D$26,SQRT((SUMPRODUCT(--('93_TARGET_MEMBERSHIP'!AE$5:AE$27=1),'92_FEATURE_CONF_NUMERIC'!Y$5:Y$27)/MAX(1,COUNTIF('93_TARGET_MEMBERSHIP'!AE$5:AE$27,1)))*(SUMPRODUCT(--('93_TARGET_MEMBERSHIP'!AE$5:AE$27=-1),'92_FEATURE_CONF_NUMERIC'!Y$5:Y$27)/MAX(1,COUNTIF('93_TARGET_MEMBERSHIP'!AE$5:AE$27,-1)))))</f>
        <v/>
      </c>
      <c r="Y34" s="34">
        <f>IF($B34="ABSOLUTE SEMANTIC",'19_FEATURE_CONFIDENCE'!$D$27,SQRT((SUMPRODUCT(--('93_TARGET_MEMBERSHIP'!AE$5:AE$27=1),'92_FEATURE_CONF_NUMERIC'!Z$5:Z$27)/MAX(1,COUNTIF('93_TARGET_MEMBERSHIP'!AE$5:AE$27,1)))*(SUMPRODUCT(--('93_TARGET_MEMBERSHIP'!AE$5:AE$27=-1),'92_FEATURE_CONF_NUMERIC'!Z$5:Z$27)/MAX(1,COUNTIF('93_TARGET_MEMBERSHIP'!AE$5:AE$27,-1)))))</f>
        <v/>
      </c>
      <c r="Z34" s="34">
        <f>IF($B34="ABSOLUTE SEMANTIC",'19_FEATURE_CONFIDENCE'!$D$28,SQRT((SUMPRODUCT(--('93_TARGET_MEMBERSHIP'!AE$5:AE$27=1),'92_FEATURE_CONF_NUMERIC'!AA$5:AA$27)/MAX(1,COUNTIF('93_TARGET_MEMBERSHIP'!AE$5:AE$27,1)))*(SUMPRODUCT(--('93_TARGET_MEMBERSHIP'!AE$5:AE$27=-1),'92_FEATURE_CONF_NUMERIC'!AA$5:AA$27)/MAX(1,COUNTIF('93_TARGET_MEMBERSHIP'!AE$5:AE$27,-1)))))</f>
        <v/>
      </c>
      <c r="AA34" s="34">
        <f>IF($B34="ABSOLUTE SEMANTIC",'19_FEATURE_CONFIDENCE'!$D$29,SQRT((SUMPRODUCT(--('93_TARGET_MEMBERSHIP'!AE$5:AE$27=1),'92_FEATURE_CONF_NUMERIC'!AB$5:AB$27)/MAX(1,COUNTIF('93_TARGET_MEMBERSHIP'!AE$5:AE$27,1)))*(SUMPRODUCT(--('93_TARGET_MEMBERSHIP'!AE$5:AE$27=-1),'92_FEATURE_CONF_NUMERIC'!AB$5:AB$27)/MAX(1,COUNTIF('93_TARGET_MEMBERSHIP'!AE$5:AE$27,-1)))))</f>
        <v/>
      </c>
      <c r="AB34" s="34">
        <f>IF($B34="ABSOLUTE SEMANTIC",'19_FEATURE_CONFIDENCE'!$D$30,SQRT((SUMPRODUCT(--('93_TARGET_MEMBERSHIP'!AE$5:AE$27=1),'92_FEATURE_CONF_NUMERIC'!AC$5:AC$27)/MAX(1,COUNTIF('93_TARGET_MEMBERSHIP'!AE$5:AE$27,1)))*(SUMPRODUCT(--('93_TARGET_MEMBERSHIP'!AE$5:AE$27=-1),'92_FEATURE_CONF_NUMERIC'!AC$5:AC$27)/MAX(1,COUNTIF('93_TARGET_MEMBERSHIP'!AE$5:AE$27,-1)))))</f>
        <v/>
      </c>
      <c r="AC34" s="34">
        <f>IF($B34="ABSOLUTE SEMANTIC",'19_FEATURE_CONFIDENCE'!$D$31,SQRT((SUMPRODUCT(--('93_TARGET_MEMBERSHIP'!AE$5:AE$27=1),'92_FEATURE_CONF_NUMERIC'!AD$5:AD$27)/MAX(1,COUNTIF('93_TARGET_MEMBERSHIP'!AE$5:AE$27,1)))*(SUMPRODUCT(--('93_TARGET_MEMBERSHIP'!AE$5:AE$27=-1),'92_FEATURE_CONF_NUMERIC'!AD$5:AD$27)/MAX(1,COUNTIF('93_TARGET_MEMBERSHIP'!AE$5:AE$27,-1)))))</f>
        <v/>
      </c>
      <c r="AD34" s="34">
        <f>IF($B34="ABSOLUTE SEMANTIC",'19_FEATURE_CONFIDENCE'!$D$32,SQRT((SUMPRODUCT(--('93_TARGET_MEMBERSHIP'!AE$5:AE$27=1),'92_FEATURE_CONF_NUMERIC'!AE$5:AE$27)/MAX(1,COUNTIF('93_TARGET_MEMBERSHIP'!AE$5:AE$27,1)))*(SUMPRODUCT(--('93_TARGET_MEMBERSHIP'!AE$5:AE$27=-1),'92_FEATURE_CONF_NUMERIC'!AE$5:AE$27)/MAX(1,COUNTIF('93_TARGET_MEMBERSHIP'!AE$5:AE$27,-1)))))</f>
        <v/>
      </c>
      <c r="AE34" s="34">
        <f>IF($B34="ABSOLUTE SEMANTIC",'19_FEATURE_CONFIDENCE'!$D$33,SQRT((SUMPRODUCT(--('93_TARGET_MEMBERSHIP'!AE$5:AE$27=1),'92_FEATURE_CONF_NUMERIC'!AF$5:AF$27)/MAX(1,COUNTIF('93_TARGET_MEMBERSHIP'!AE$5:AE$27,1)))*(SUMPRODUCT(--('93_TARGET_MEMBERSHIP'!AE$5:AE$27=-1),'92_FEATURE_CONF_NUMERIC'!AF$5:AF$27)/MAX(1,COUNTIF('93_TARGET_MEMBERSHIP'!AE$5:AE$27,-1)))))</f>
        <v/>
      </c>
      <c r="AF34" s="34">
        <f>IF($B34="ABSOLUTE SEMANTIC",'19_FEATURE_CONFIDENCE'!$D$34,SQRT((SUMPRODUCT(--('93_TARGET_MEMBERSHIP'!AE$5:AE$27=1),'92_FEATURE_CONF_NUMERIC'!AG$5:AG$27)/MAX(1,COUNTIF('93_TARGET_MEMBERSHIP'!AE$5:AE$27,1)))*(SUMPRODUCT(--('93_TARGET_MEMBERSHIP'!AE$5:AE$27=-1),'92_FEATURE_CONF_NUMERIC'!AG$5:AG$27)/MAX(1,COUNTIF('93_TARGET_MEMBERSHIP'!AE$5:AE$27,-1)))))</f>
        <v/>
      </c>
      <c r="AG34" s="34">
        <f>IF($B34="ABSOLUTE SEMANTIC",'19_FEATURE_CONFIDENCE'!$D$35,SQRT((SUMPRODUCT(--('93_TARGET_MEMBERSHIP'!AE$5:AE$27=1),'92_FEATURE_CONF_NUMERIC'!AH$5:AH$27)/MAX(1,COUNTIF('93_TARGET_MEMBERSHIP'!AE$5:AE$27,1)))*(SUMPRODUCT(--('93_TARGET_MEMBERSHIP'!AE$5:AE$27=-1),'92_FEATURE_CONF_NUMERIC'!AH$5:AH$27)/MAX(1,COUNTIF('93_TARGET_MEMBERSHIP'!AE$5:AE$27,-1)))))</f>
        <v/>
      </c>
      <c r="AH34" s="34">
        <f>IF($B34="ABSOLUTE SEMANTIC",'19_FEATURE_CONFIDENCE'!$D$36,SQRT((SUMPRODUCT(--('93_TARGET_MEMBERSHIP'!AE$5:AE$27=1),'92_FEATURE_CONF_NUMERIC'!AI$5:AI$27)/MAX(1,COUNTIF('93_TARGET_MEMBERSHIP'!AE$5:AE$27,1)))*(SUMPRODUCT(--('93_TARGET_MEMBERSHIP'!AE$5:AE$27=-1),'92_FEATURE_CONF_NUMERIC'!AI$5:AI$27)/MAX(1,COUNTIF('93_TARGET_MEMBERSHIP'!AE$5:AE$27,-1)))))</f>
        <v/>
      </c>
      <c r="AI34" s="34">
        <f>IF($B34="ABSOLUTE SEMANTIC",'19_FEATURE_CONFIDENCE'!$D$37,SQRT((SUMPRODUCT(--('93_TARGET_MEMBERSHIP'!AE$5:AE$27=1),'92_FEATURE_CONF_NUMERIC'!AJ$5:AJ$27)/MAX(1,COUNTIF('93_TARGET_MEMBERSHIP'!AE$5:AE$27,1)))*(SUMPRODUCT(--('93_TARGET_MEMBERSHIP'!AE$5:AE$27=-1),'92_FEATURE_CONF_NUMERIC'!AJ$5:AJ$27)/MAX(1,COUNTIF('93_TARGET_MEMBERSHIP'!AE$5:AE$27,-1)))))</f>
        <v/>
      </c>
      <c r="AJ34" s="34">
        <f>IF($B34="ABSOLUTE SEMANTIC",'19_FEATURE_CONFIDENCE'!$D$38,SQRT((SUMPRODUCT(--('93_TARGET_MEMBERSHIP'!AE$5:AE$27=1),'92_FEATURE_CONF_NUMERIC'!AK$5:AK$27)/MAX(1,COUNTIF('93_TARGET_MEMBERSHIP'!AE$5:AE$27,1)))*(SUMPRODUCT(--('93_TARGET_MEMBERSHIP'!AE$5:AE$27=-1),'92_FEATURE_CONF_NUMERIC'!AK$5:AK$27)/MAX(1,COUNTIF('93_TARGET_MEMBERSHIP'!AE$5:AE$27,-1)))))</f>
        <v/>
      </c>
      <c r="AK34" s="34">
        <f>IF($B34="ABSOLUTE SEMANTIC",'19_FEATURE_CONFIDENCE'!$D$39,SQRT((SUMPRODUCT(--('93_TARGET_MEMBERSHIP'!AE$5:AE$27=1),'92_FEATURE_CONF_NUMERIC'!AL$5:AL$27)/MAX(1,COUNTIF('93_TARGET_MEMBERSHIP'!AE$5:AE$27,1)))*(SUMPRODUCT(--('93_TARGET_MEMBERSHIP'!AE$5:AE$27=-1),'92_FEATURE_CONF_NUMERIC'!AL$5:AL$27)/MAX(1,COUNTIF('93_TARGET_MEMBERSHIP'!AE$5:AE$27,-1)))))</f>
        <v/>
      </c>
      <c r="AL34" s="34">
        <f>IF($B34="ABSOLUTE SEMANTIC",'19_FEATURE_CONFIDENCE'!$D$40,SQRT((SUMPRODUCT(--('93_TARGET_MEMBERSHIP'!AE$5:AE$27=1),'92_FEATURE_CONF_NUMERIC'!AM$5:AM$27)/MAX(1,COUNTIF('93_TARGET_MEMBERSHIP'!AE$5:AE$27,1)))*(SUMPRODUCT(--('93_TARGET_MEMBERSHIP'!AE$5:AE$27=-1),'92_FEATURE_CONF_NUMERIC'!AM$5:AM$27)/MAX(1,COUNTIF('93_TARGET_MEMBERSHIP'!AE$5:AE$27,-1)))))</f>
        <v/>
      </c>
      <c r="AM34" s="34">
        <f>IF($B34="ABSOLUTE SEMANTIC",'19_FEATURE_CONFIDENCE'!$D$41,SQRT((SUMPRODUCT(--('93_TARGET_MEMBERSHIP'!AE$5:AE$27=1),'92_FEATURE_CONF_NUMERIC'!AN$5:AN$27)/MAX(1,COUNTIF('93_TARGET_MEMBERSHIP'!AE$5:AE$27,1)))*(SUMPRODUCT(--('93_TARGET_MEMBERSHIP'!AE$5:AE$27=-1),'92_FEATURE_CONF_NUMERIC'!AN$5:AN$27)/MAX(1,COUNTIF('93_TARGET_MEMBERSHIP'!AE$5:AE$27,-1)))))</f>
        <v/>
      </c>
      <c r="AN34" s="34">
        <f>IF($B34="ABSOLUTE SEMANTIC",'19_FEATURE_CONFIDENCE'!$D$42,SQRT((SUMPRODUCT(--('93_TARGET_MEMBERSHIP'!AE$5:AE$27=1),'92_FEATURE_CONF_NUMERIC'!AO$5:AO$27)/MAX(1,COUNTIF('93_TARGET_MEMBERSHIP'!AE$5:AE$27,1)))*(SUMPRODUCT(--('93_TARGET_MEMBERSHIP'!AE$5:AE$27=-1),'92_FEATURE_CONF_NUMERIC'!AO$5:AO$27)/MAX(1,COUNTIF('93_TARGET_MEMBERSHIP'!AE$5:AE$27,-1)))))</f>
        <v/>
      </c>
      <c r="AO34" s="34">
        <f>IF($B34="ABSOLUTE SEMANTIC",'19_FEATURE_CONFIDENCE'!$D$43,SQRT((SUMPRODUCT(--('93_TARGET_MEMBERSHIP'!AE$5:AE$27=1),'92_FEATURE_CONF_NUMERIC'!AP$5:AP$27)/MAX(1,COUNTIF('93_TARGET_MEMBERSHIP'!AE$5:AE$27,1)))*(SUMPRODUCT(--('93_TARGET_MEMBERSHIP'!AE$5:AE$27=-1),'92_FEATURE_CONF_NUMERIC'!AP$5:AP$27)/MAX(1,COUNTIF('93_TARGET_MEMBERSHIP'!AE$5:AE$27,-1)))))</f>
        <v/>
      </c>
      <c r="AP34" s="34">
        <f>IF($B34="ABSOLUTE SEMANTIC",'19_FEATURE_CONFIDENCE'!$D$44,SQRT((SUMPRODUCT(--('93_TARGET_MEMBERSHIP'!AE$5:AE$27=1),'92_FEATURE_CONF_NUMERIC'!AQ$5:AQ$27)/MAX(1,COUNTIF('93_TARGET_MEMBERSHIP'!AE$5:AE$27,1)))*(SUMPRODUCT(--('93_TARGET_MEMBERSHIP'!AE$5:AE$27=-1),'92_FEATURE_CONF_NUMERIC'!AQ$5:AQ$27)/MAX(1,COUNTIF('93_TARGET_MEMBERSHIP'!AE$5:AE$27,-1)))))</f>
        <v/>
      </c>
      <c r="AQ34" s="34">
        <f>IF($B34="ABSOLUTE SEMANTIC",'19_FEATURE_CONFIDENCE'!$D$45,SQRT((SUMPRODUCT(--('93_TARGET_MEMBERSHIP'!AE$5:AE$27=1),'92_FEATURE_CONF_NUMERIC'!AR$5:AR$27)/MAX(1,COUNTIF('93_TARGET_MEMBERSHIP'!AE$5:AE$27,1)))*(SUMPRODUCT(--('93_TARGET_MEMBERSHIP'!AE$5:AE$27=-1),'92_FEATURE_CONF_NUMERIC'!AR$5:AR$27)/MAX(1,COUNTIF('93_TARGET_MEMBERSHIP'!AE$5:AE$27,-1)))))</f>
        <v/>
      </c>
    </row>
    <row r="35" ht="36" customHeight="1">
      <c r="A35" s="34">
        <f>'06_ITEM_POLE_MODEL'!A35</f>
        <v/>
      </c>
      <c r="B35" s="34">
        <f>'06_ITEM_POLE_MODEL'!E35</f>
        <v/>
      </c>
      <c r="C35" s="34">
        <f>IF($B35="ABSOLUTE SEMANTIC",'19_FEATURE_CONFIDENCE'!$D$5,SQRT((SUMPRODUCT(--('93_TARGET_MEMBERSHIP'!AF$5:AF$27=1),'92_FEATURE_CONF_NUMERIC'!D$5:D$27)/MAX(1,COUNTIF('93_TARGET_MEMBERSHIP'!AF$5:AF$27,1)))*(SUMPRODUCT(--('93_TARGET_MEMBERSHIP'!AF$5:AF$27=-1),'92_FEATURE_CONF_NUMERIC'!D$5:D$27)/MAX(1,COUNTIF('93_TARGET_MEMBERSHIP'!AF$5:AF$27,-1)))))</f>
        <v/>
      </c>
      <c r="D35" s="34">
        <f>IF($B35="ABSOLUTE SEMANTIC",'19_FEATURE_CONFIDENCE'!$D$6,SQRT((SUMPRODUCT(--('93_TARGET_MEMBERSHIP'!AF$5:AF$27=1),'92_FEATURE_CONF_NUMERIC'!E$5:E$27)/MAX(1,COUNTIF('93_TARGET_MEMBERSHIP'!AF$5:AF$27,1)))*(SUMPRODUCT(--('93_TARGET_MEMBERSHIP'!AF$5:AF$27=-1),'92_FEATURE_CONF_NUMERIC'!E$5:E$27)/MAX(1,COUNTIF('93_TARGET_MEMBERSHIP'!AF$5:AF$27,-1)))))</f>
        <v/>
      </c>
      <c r="E35" s="34">
        <f>IF($B35="ABSOLUTE SEMANTIC",'19_FEATURE_CONFIDENCE'!$D$7,SQRT((SUMPRODUCT(--('93_TARGET_MEMBERSHIP'!AF$5:AF$27=1),'92_FEATURE_CONF_NUMERIC'!F$5:F$27)/MAX(1,COUNTIF('93_TARGET_MEMBERSHIP'!AF$5:AF$27,1)))*(SUMPRODUCT(--('93_TARGET_MEMBERSHIP'!AF$5:AF$27=-1),'92_FEATURE_CONF_NUMERIC'!F$5:F$27)/MAX(1,COUNTIF('93_TARGET_MEMBERSHIP'!AF$5:AF$27,-1)))))</f>
        <v/>
      </c>
      <c r="F35" s="34">
        <f>IF($B35="ABSOLUTE SEMANTIC",'19_FEATURE_CONFIDENCE'!$D$8,SQRT((SUMPRODUCT(--('93_TARGET_MEMBERSHIP'!AF$5:AF$27=1),'92_FEATURE_CONF_NUMERIC'!G$5:G$27)/MAX(1,COUNTIF('93_TARGET_MEMBERSHIP'!AF$5:AF$27,1)))*(SUMPRODUCT(--('93_TARGET_MEMBERSHIP'!AF$5:AF$27=-1),'92_FEATURE_CONF_NUMERIC'!G$5:G$27)/MAX(1,COUNTIF('93_TARGET_MEMBERSHIP'!AF$5:AF$27,-1)))))</f>
        <v/>
      </c>
      <c r="G35" s="34">
        <f>IF($B35="ABSOLUTE SEMANTIC",'19_FEATURE_CONFIDENCE'!$D$9,SQRT((SUMPRODUCT(--('93_TARGET_MEMBERSHIP'!AF$5:AF$27=1),'92_FEATURE_CONF_NUMERIC'!H$5:H$27)/MAX(1,COUNTIF('93_TARGET_MEMBERSHIP'!AF$5:AF$27,1)))*(SUMPRODUCT(--('93_TARGET_MEMBERSHIP'!AF$5:AF$27=-1),'92_FEATURE_CONF_NUMERIC'!H$5:H$27)/MAX(1,COUNTIF('93_TARGET_MEMBERSHIP'!AF$5:AF$27,-1)))))</f>
        <v/>
      </c>
      <c r="H35" s="34">
        <f>IF($B35="ABSOLUTE SEMANTIC",'19_FEATURE_CONFIDENCE'!$D$10,SQRT((SUMPRODUCT(--('93_TARGET_MEMBERSHIP'!AF$5:AF$27=1),'92_FEATURE_CONF_NUMERIC'!I$5:I$27)/MAX(1,COUNTIF('93_TARGET_MEMBERSHIP'!AF$5:AF$27,1)))*(SUMPRODUCT(--('93_TARGET_MEMBERSHIP'!AF$5:AF$27=-1),'92_FEATURE_CONF_NUMERIC'!I$5:I$27)/MAX(1,COUNTIF('93_TARGET_MEMBERSHIP'!AF$5:AF$27,-1)))))</f>
        <v/>
      </c>
      <c r="I35" s="34">
        <f>IF($B35="ABSOLUTE SEMANTIC",'19_FEATURE_CONFIDENCE'!$D$11,SQRT((SUMPRODUCT(--('93_TARGET_MEMBERSHIP'!AF$5:AF$27=1),'92_FEATURE_CONF_NUMERIC'!J$5:J$27)/MAX(1,COUNTIF('93_TARGET_MEMBERSHIP'!AF$5:AF$27,1)))*(SUMPRODUCT(--('93_TARGET_MEMBERSHIP'!AF$5:AF$27=-1),'92_FEATURE_CONF_NUMERIC'!J$5:J$27)/MAX(1,COUNTIF('93_TARGET_MEMBERSHIP'!AF$5:AF$27,-1)))))</f>
        <v/>
      </c>
      <c r="J35" s="34">
        <f>IF($B35="ABSOLUTE SEMANTIC",'19_FEATURE_CONFIDENCE'!$D$12,SQRT((SUMPRODUCT(--('93_TARGET_MEMBERSHIP'!AF$5:AF$27=1),'92_FEATURE_CONF_NUMERIC'!K$5:K$27)/MAX(1,COUNTIF('93_TARGET_MEMBERSHIP'!AF$5:AF$27,1)))*(SUMPRODUCT(--('93_TARGET_MEMBERSHIP'!AF$5:AF$27=-1),'92_FEATURE_CONF_NUMERIC'!K$5:K$27)/MAX(1,COUNTIF('93_TARGET_MEMBERSHIP'!AF$5:AF$27,-1)))))</f>
        <v/>
      </c>
      <c r="K35" s="34">
        <f>IF($B35="ABSOLUTE SEMANTIC",'19_FEATURE_CONFIDENCE'!$D$13,SQRT((SUMPRODUCT(--('93_TARGET_MEMBERSHIP'!AF$5:AF$27=1),'92_FEATURE_CONF_NUMERIC'!L$5:L$27)/MAX(1,COUNTIF('93_TARGET_MEMBERSHIP'!AF$5:AF$27,1)))*(SUMPRODUCT(--('93_TARGET_MEMBERSHIP'!AF$5:AF$27=-1),'92_FEATURE_CONF_NUMERIC'!L$5:L$27)/MAX(1,COUNTIF('93_TARGET_MEMBERSHIP'!AF$5:AF$27,-1)))))</f>
        <v/>
      </c>
      <c r="L35" s="34">
        <f>IF($B35="ABSOLUTE SEMANTIC",'19_FEATURE_CONFIDENCE'!$D$14,SQRT((SUMPRODUCT(--('93_TARGET_MEMBERSHIP'!AF$5:AF$27=1),'92_FEATURE_CONF_NUMERIC'!M$5:M$27)/MAX(1,COUNTIF('93_TARGET_MEMBERSHIP'!AF$5:AF$27,1)))*(SUMPRODUCT(--('93_TARGET_MEMBERSHIP'!AF$5:AF$27=-1),'92_FEATURE_CONF_NUMERIC'!M$5:M$27)/MAX(1,COUNTIF('93_TARGET_MEMBERSHIP'!AF$5:AF$27,-1)))))</f>
        <v/>
      </c>
      <c r="M35" s="34">
        <f>IF($B35="ABSOLUTE SEMANTIC",'19_FEATURE_CONFIDENCE'!$D$15,SQRT((SUMPRODUCT(--('93_TARGET_MEMBERSHIP'!AF$5:AF$27=1),'92_FEATURE_CONF_NUMERIC'!N$5:N$27)/MAX(1,COUNTIF('93_TARGET_MEMBERSHIP'!AF$5:AF$27,1)))*(SUMPRODUCT(--('93_TARGET_MEMBERSHIP'!AF$5:AF$27=-1),'92_FEATURE_CONF_NUMERIC'!N$5:N$27)/MAX(1,COUNTIF('93_TARGET_MEMBERSHIP'!AF$5:AF$27,-1)))))</f>
        <v/>
      </c>
      <c r="N35" s="34">
        <f>IF($B35="ABSOLUTE SEMANTIC",'19_FEATURE_CONFIDENCE'!$D$16,SQRT((SUMPRODUCT(--('93_TARGET_MEMBERSHIP'!AF$5:AF$27=1),'92_FEATURE_CONF_NUMERIC'!O$5:O$27)/MAX(1,COUNTIF('93_TARGET_MEMBERSHIP'!AF$5:AF$27,1)))*(SUMPRODUCT(--('93_TARGET_MEMBERSHIP'!AF$5:AF$27=-1),'92_FEATURE_CONF_NUMERIC'!O$5:O$27)/MAX(1,COUNTIF('93_TARGET_MEMBERSHIP'!AF$5:AF$27,-1)))))</f>
        <v/>
      </c>
      <c r="O35" s="34">
        <f>IF($B35="ABSOLUTE SEMANTIC",'19_FEATURE_CONFIDENCE'!$D$17,SQRT((SUMPRODUCT(--('93_TARGET_MEMBERSHIP'!AF$5:AF$27=1),'92_FEATURE_CONF_NUMERIC'!P$5:P$27)/MAX(1,COUNTIF('93_TARGET_MEMBERSHIP'!AF$5:AF$27,1)))*(SUMPRODUCT(--('93_TARGET_MEMBERSHIP'!AF$5:AF$27=-1),'92_FEATURE_CONF_NUMERIC'!P$5:P$27)/MAX(1,COUNTIF('93_TARGET_MEMBERSHIP'!AF$5:AF$27,-1)))))</f>
        <v/>
      </c>
      <c r="P35" s="34">
        <f>IF($B35="ABSOLUTE SEMANTIC",'19_FEATURE_CONFIDENCE'!$D$18,SQRT((SUMPRODUCT(--('93_TARGET_MEMBERSHIP'!AF$5:AF$27=1),'92_FEATURE_CONF_NUMERIC'!Q$5:Q$27)/MAX(1,COUNTIF('93_TARGET_MEMBERSHIP'!AF$5:AF$27,1)))*(SUMPRODUCT(--('93_TARGET_MEMBERSHIP'!AF$5:AF$27=-1),'92_FEATURE_CONF_NUMERIC'!Q$5:Q$27)/MAX(1,COUNTIF('93_TARGET_MEMBERSHIP'!AF$5:AF$27,-1)))))</f>
        <v/>
      </c>
      <c r="Q35" s="34">
        <f>IF($B35="ABSOLUTE SEMANTIC",'19_FEATURE_CONFIDENCE'!$D$19,SQRT((SUMPRODUCT(--('93_TARGET_MEMBERSHIP'!AF$5:AF$27=1),'92_FEATURE_CONF_NUMERIC'!R$5:R$27)/MAX(1,COUNTIF('93_TARGET_MEMBERSHIP'!AF$5:AF$27,1)))*(SUMPRODUCT(--('93_TARGET_MEMBERSHIP'!AF$5:AF$27=-1),'92_FEATURE_CONF_NUMERIC'!R$5:R$27)/MAX(1,COUNTIF('93_TARGET_MEMBERSHIP'!AF$5:AF$27,-1)))))</f>
        <v/>
      </c>
      <c r="R35" s="34">
        <f>IF($B35="ABSOLUTE SEMANTIC",'19_FEATURE_CONFIDENCE'!$D$20,SQRT((SUMPRODUCT(--('93_TARGET_MEMBERSHIP'!AF$5:AF$27=1),'92_FEATURE_CONF_NUMERIC'!S$5:S$27)/MAX(1,COUNTIF('93_TARGET_MEMBERSHIP'!AF$5:AF$27,1)))*(SUMPRODUCT(--('93_TARGET_MEMBERSHIP'!AF$5:AF$27=-1),'92_FEATURE_CONF_NUMERIC'!S$5:S$27)/MAX(1,COUNTIF('93_TARGET_MEMBERSHIP'!AF$5:AF$27,-1)))))</f>
        <v/>
      </c>
      <c r="S35" s="34">
        <f>IF($B35="ABSOLUTE SEMANTIC",'19_FEATURE_CONFIDENCE'!$D$21,SQRT((SUMPRODUCT(--('93_TARGET_MEMBERSHIP'!AF$5:AF$27=1),'92_FEATURE_CONF_NUMERIC'!T$5:T$27)/MAX(1,COUNTIF('93_TARGET_MEMBERSHIP'!AF$5:AF$27,1)))*(SUMPRODUCT(--('93_TARGET_MEMBERSHIP'!AF$5:AF$27=-1),'92_FEATURE_CONF_NUMERIC'!T$5:T$27)/MAX(1,COUNTIF('93_TARGET_MEMBERSHIP'!AF$5:AF$27,-1)))))</f>
        <v/>
      </c>
      <c r="T35" s="34">
        <f>IF($B35="ABSOLUTE SEMANTIC",'19_FEATURE_CONFIDENCE'!$D$22,SQRT((SUMPRODUCT(--('93_TARGET_MEMBERSHIP'!AF$5:AF$27=1),'92_FEATURE_CONF_NUMERIC'!U$5:U$27)/MAX(1,COUNTIF('93_TARGET_MEMBERSHIP'!AF$5:AF$27,1)))*(SUMPRODUCT(--('93_TARGET_MEMBERSHIP'!AF$5:AF$27=-1),'92_FEATURE_CONF_NUMERIC'!U$5:U$27)/MAX(1,COUNTIF('93_TARGET_MEMBERSHIP'!AF$5:AF$27,-1)))))</f>
        <v/>
      </c>
      <c r="U35" s="34">
        <f>IF($B35="ABSOLUTE SEMANTIC",'19_FEATURE_CONFIDENCE'!$D$23,SQRT((SUMPRODUCT(--('93_TARGET_MEMBERSHIP'!AF$5:AF$27=1),'92_FEATURE_CONF_NUMERIC'!V$5:V$27)/MAX(1,COUNTIF('93_TARGET_MEMBERSHIP'!AF$5:AF$27,1)))*(SUMPRODUCT(--('93_TARGET_MEMBERSHIP'!AF$5:AF$27=-1),'92_FEATURE_CONF_NUMERIC'!V$5:V$27)/MAX(1,COUNTIF('93_TARGET_MEMBERSHIP'!AF$5:AF$27,-1)))))</f>
        <v/>
      </c>
      <c r="V35" s="34">
        <f>IF($B35="ABSOLUTE SEMANTIC",'19_FEATURE_CONFIDENCE'!$D$24,SQRT((SUMPRODUCT(--('93_TARGET_MEMBERSHIP'!AF$5:AF$27=1),'92_FEATURE_CONF_NUMERIC'!W$5:W$27)/MAX(1,COUNTIF('93_TARGET_MEMBERSHIP'!AF$5:AF$27,1)))*(SUMPRODUCT(--('93_TARGET_MEMBERSHIP'!AF$5:AF$27=-1),'92_FEATURE_CONF_NUMERIC'!W$5:W$27)/MAX(1,COUNTIF('93_TARGET_MEMBERSHIP'!AF$5:AF$27,-1)))))</f>
        <v/>
      </c>
      <c r="W35" s="34">
        <f>IF($B35="ABSOLUTE SEMANTIC",'19_FEATURE_CONFIDENCE'!$D$25,SQRT((SUMPRODUCT(--('93_TARGET_MEMBERSHIP'!AF$5:AF$27=1),'92_FEATURE_CONF_NUMERIC'!X$5:X$27)/MAX(1,COUNTIF('93_TARGET_MEMBERSHIP'!AF$5:AF$27,1)))*(SUMPRODUCT(--('93_TARGET_MEMBERSHIP'!AF$5:AF$27=-1),'92_FEATURE_CONF_NUMERIC'!X$5:X$27)/MAX(1,COUNTIF('93_TARGET_MEMBERSHIP'!AF$5:AF$27,-1)))))</f>
        <v/>
      </c>
      <c r="X35" s="34">
        <f>IF($B35="ABSOLUTE SEMANTIC",'19_FEATURE_CONFIDENCE'!$D$26,SQRT((SUMPRODUCT(--('93_TARGET_MEMBERSHIP'!AF$5:AF$27=1),'92_FEATURE_CONF_NUMERIC'!Y$5:Y$27)/MAX(1,COUNTIF('93_TARGET_MEMBERSHIP'!AF$5:AF$27,1)))*(SUMPRODUCT(--('93_TARGET_MEMBERSHIP'!AF$5:AF$27=-1),'92_FEATURE_CONF_NUMERIC'!Y$5:Y$27)/MAX(1,COUNTIF('93_TARGET_MEMBERSHIP'!AF$5:AF$27,-1)))))</f>
        <v/>
      </c>
      <c r="Y35" s="34">
        <f>IF($B35="ABSOLUTE SEMANTIC",'19_FEATURE_CONFIDENCE'!$D$27,SQRT((SUMPRODUCT(--('93_TARGET_MEMBERSHIP'!AF$5:AF$27=1),'92_FEATURE_CONF_NUMERIC'!Z$5:Z$27)/MAX(1,COUNTIF('93_TARGET_MEMBERSHIP'!AF$5:AF$27,1)))*(SUMPRODUCT(--('93_TARGET_MEMBERSHIP'!AF$5:AF$27=-1),'92_FEATURE_CONF_NUMERIC'!Z$5:Z$27)/MAX(1,COUNTIF('93_TARGET_MEMBERSHIP'!AF$5:AF$27,-1)))))</f>
        <v/>
      </c>
      <c r="Z35" s="34">
        <f>IF($B35="ABSOLUTE SEMANTIC",'19_FEATURE_CONFIDENCE'!$D$28,SQRT((SUMPRODUCT(--('93_TARGET_MEMBERSHIP'!AF$5:AF$27=1),'92_FEATURE_CONF_NUMERIC'!AA$5:AA$27)/MAX(1,COUNTIF('93_TARGET_MEMBERSHIP'!AF$5:AF$27,1)))*(SUMPRODUCT(--('93_TARGET_MEMBERSHIP'!AF$5:AF$27=-1),'92_FEATURE_CONF_NUMERIC'!AA$5:AA$27)/MAX(1,COUNTIF('93_TARGET_MEMBERSHIP'!AF$5:AF$27,-1)))))</f>
        <v/>
      </c>
      <c r="AA35" s="34">
        <f>IF($B35="ABSOLUTE SEMANTIC",'19_FEATURE_CONFIDENCE'!$D$29,SQRT((SUMPRODUCT(--('93_TARGET_MEMBERSHIP'!AF$5:AF$27=1),'92_FEATURE_CONF_NUMERIC'!AB$5:AB$27)/MAX(1,COUNTIF('93_TARGET_MEMBERSHIP'!AF$5:AF$27,1)))*(SUMPRODUCT(--('93_TARGET_MEMBERSHIP'!AF$5:AF$27=-1),'92_FEATURE_CONF_NUMERIC'!AB$5:AB$27)/MAX(1,COUNTIF('93_TARGET_MEMBERSHIP'!AF$5:AF$27,-1)))))</f>
        <v/>
      </c>
      <c r="AB35" s="34">
        <f>IF($B35="ABSOLUTE SEMANTIC",'19_FEATURE_CONFIDENCE'!$D$30,SQRT((SUMPRODUCT(--('93_TARGET_MEMBERSHIP'!AF$5:AF$27=1),'92_FEATURE_CONF_NUMERIC'!AC$5:AC$27)/MAX(1,COUNTIF('93_TARGET_MEMBERSHIP'!AF$5:AF$27,1)))*(SUMPRODUCT(--('93_TARGET_MEMBERSHIP'!AF$5:AF$27=-1),'92_FEATURE_CONF_NUMERIC'!AC$5:AC$27)/MAX(1,COUNTIF('93_TARGET_MEMBERSHIP'!AF$5:AF$27,-1)))))</f>
        <v/>
      </c>
      <c r="AC35" s="34">
        <f>IF($B35="ABSOLUTE SEMANTIC",'19_FEATURE_CONFIDENCE'!$D$31,SQRT((SUMPRODUCT(--('93_TARGET_MEMBERSHIP'!AF$5:AF$27=1),'92_FEATURE_CONF_NUMERIC'!AD$5:AD$27)/MAX(1,COUNTIF('93_TARGET_MEMBERSHIP'!AF$5:AF$27,1)))*(SUMPRODUCT(--('93_TARGET_MEMBERSHIP'!AF$5:AF$27=-1),'92_FEATURE_CONF_NUMERIC'!AD$5:AD$27)/MAX(1,COUNTIF('93_TARGET_MEMBERSHIP'!AF$5:AF$27,-1)))))</f>
        <v/>
      </c>
      <c r="AD35" s="34">
        <f>IF($B35="ABSOLUTE SEMANTIC",'19_FEATURE_CONFIDENCE'!$D$32,SQRT((SUMPRODUCT(--('93_TARGET_MEMBERSHIP'!AF$5:AF$27=1),'92_FEATURE_CONF_NUMERIC'!AE$5:AE$27)/MAX(1,COUNTIF('93_TARGET_MEMBERSHIP'!AF$5:AF$27,1)))*(SUMPRODUCT(--('93_TARGET_MEMBERSHIP'!AF$5:AF$27=-1),'92_FEATURE_CONF_NUMERIC'!AE$5:AE$27)/MAX(1,COUNTIF('93_TARGET_MEMBERSHIP'!AF$5:AF$27,-1)))))</f>
        <v/>
      </c>
      <c r="AE35" s="34">
        <f>IF($B35="ABSOLUTE SEMANTIC",'19_FEATURE_CONFIDENCE'!$D$33,SQRT((SUMPRODUCT(--('93_TARGET_MEMBERSHIP'!AF$5:AF$27=1),'92_FEATURE_CONF_NUMERIC'!AF$5:AF$27)/MAX(1,COUNTIF('93_TARGET_MEMBERSHIP'!AF$5:AF$27,1)))*(SUMPRODUCT(--('93_TARGET_MEMBERSHIP'!AF$5:AF$27=-1),'92_FEATURE_CONF_NUMERIC'!AF$5:AF$27)/MAX(1,COUNTIF('93_TARGET_MEMBERSHIP'!AF$5:AF$27,-1)))))</f>
        <v/>
      </c>
      <c r="AF35" s="34">
        <f>IF($B35="ABSOLUTE SEMANTIC",'19_FEATURE_CONFIDENCE'!$D$34,SQRT((SUMPRODUCT(--('93_TARGET_MEMBERSHIP'!AF$5:AF$27=1),'92_FEATURE_CONF_NUMERIC'!AG$5:AG$27)/MAX(1,COUNTIF('93_TARGET_MEMBERSHIP'!AF$5:AF$27,1)))*(SUMPRODUCT(--('93_TARGET_MEMBERSHIP'!AF$5:AF$27=-1),'92_FEATURE_CONF_NUMERIC'!AG$5:AG$27)/MAX(1,COUNTIF('93_TARGET_MEMBERSHIP'!AF$5:AF$27,-1)))))</f>
        <v/>
      </c>
      <c r="AG35" s="34">
        <f>IF($B35="ABSOLUTE SEMANTIC",'19_FEATURE_CONFIDENCE'!$D$35,SQRT((SUMPRODUCT(--('93_TARGET_MEMBERSHIP'!AF$5:AF$27=1),'92_FEATURE_CONF_NUMERIC'!AH$5:AH$27)/MAX(1,COUNTIF('93_TARGET_MEMBERSHIP'!AF$5:AF$27,1)))*(SUMPRODUCT(--('93_TARGET_MEMBERSHIP'!AF$5:AF$27=-1),'92_FEATURE_CONF_NUMERIC'!AH$5:AH$27)/MAX(1,COUNTIF('93_TARGET_MEMBERSHIP'!AF$5:AF$27,-1)))))</f>
        <v/>
      </c>
      <c r="AH35" s="34">
        <f>IF($B35="ABSOLUTE SEMANTIC",'19_FEATURE_CONFIDENCE'!$D$36,SQRT((SUMPRODUCT(--('93_TARGET_MEMBERSHIP'!AF$5:AF$27=1),'92_FEATURE_CONF_NUMERIC'!AI$5:AI$27)/MAX(1,COUNTIF('93_TARGET_MEMBERSHIP'!AF$5:AF$27,1)))*(SUMPRODUCT(--('93_TARGET_MEMBERSHIP'!AF$5:AF$27=-1),'92_FEATURE_CONF_NUMERIC'!AI$5:AI$27)/MAX(1,COUNTIF('93_TARGET_MEMBERSHIP'!AF$5:AF$27,-1)))))</f>
        <v/>
      </c>
      <c r="AI35" s="34">
        <f>IF($B35="ABSOLUTE SEMANTIC",'19_FEATURE_CONFIDENCE'!$D$37,SQRT((SUMPRODUCT(--('93_TARGET_MEMBERSHIP'!AF$5:AF$27=1),'92_FEATURE_CONF_NUMERIC'!AJ$5:AJ$27)/MAX(1,COUNTIF('93_TARGET_MEMBERSHIP'!AF$5:AF$27,1)))*(SUMPRODUCT(--('93_TARGET_MEMBERSHIP'!AF$5:AF$27=-1),'92_FEATURE_CONF_NUMERIC'!AJ$5:AJ$27)/MAX(1,COUNTIF('93_TARGET_MEMBERSHIP'!AF$5:AF$27,-1)))))</f>
        <v/>
      </c>
      <c r="AJ35" s="34">
        <f>IF($B35="ABSOLUTE SEMANTIC",'19_FEATURE_CONFIDENCE'!$D$38,SQRT((SUMPRODUCT(--('93_TARGET_MEMBERSHIP'!AF$5:AF$27=1),'92_FEATURE_CONF_NUMERIC'!AK$5:AK$27)/MAX(1,COUNTIF('93_TARGET_MEMBERSHIP'!AF$5:AF$27,1)))*(SUMPRODUCT(--('93_TARGET_MEMBERSHIP'!AF$5:AF$27=-1),'92_FEATURE_CONF_NUMERIC'!AK$5:AK$27)/MAX(1,COUNTIF('93_TARGET_MEMBERSHIP'!AF$5:AF$27,-1)))))</f>
        <v/>
      </c>
      <c r="AK35" s="34">
        <f>IF($B35="ABSOLUTE SEMANTIC",'19_FEATURE_CONFIDENCE'!$D$39,SQRT((SUMPRODUCT(--('93_TARGET_MEMBERSHIP'!AF$5:AF$27=1),'92_FEATURE_CONF_NUMERIC'!AL$5:AL$27)/MAX(1,COUNTIF('93_TARGET_MEMBERSHIP'!AF$5:AF$27,1)))*(SUMPRODUCT(--('93_TARGET_MEMBERSHIP'!AF$5:AF$27=-1),'92_FEATURE_CONF_NUMERIC'!AL$5:AL$27)/MAX(1,COUNTIF('93_TARGET_MEMBERSHIP'!AF$5:AF$27,-1)))))</f>
        <v/>
      </c>
      <c r="AL35" s="34">
        <f>IF($B35="ABSOLUTE SEMANTIC",'19_FEATURE_CONFIDENCE'!$D$40,SQRT((SUMPRODUCT(--('93_TARGET_MEMBERSHIP'!AF$5:AF$27=1),'92_FEATURE_CONF_NUMERIC'!AM$5:AM$27)/MAX(1,COUNTIF('93_TARGET_MEMBERSHIP'!AF$5:AF$27,1)))*(SUMPRODUCT(--('93_TARGET_MEMBERSHIP'!AF$5:AF$27=-1),'92_FEATURE_CONF_NUMERIC'!AM$5:AM$27)/MAX(1,COUNTIF('93_TARGET_MEMBERSHIP'!AF$5:AF$27,-1)))))</f>
        <v/>
      </c>
      <c r="AM35" s="34">
        <f>IF($B35="ABSOLUTE SEMANTIC",'19_FEATURE_CONFIDENCE'!$D$41,SQRT((SUMPRODUCT(--('93_TARGET_MEMBERSHIP'!AF$5:AF$27=1),'92_FEATURE_CONF_NUMERIC'!AN$5:AN$27)/MAX(1,COUNTIF('93_TARGET_MEMBERSHIP'!AF$5:AF$27,1)))*(SUMPRODUCT(--('93_TARGET_MEMBERSHIP'!AF$5:AF$27=-1),'92_FEATURE_CONF_NUMERIC'!AN$5:AN$27)/MAX(1,COUNTIF('93_TARGET_MEMBERSHIP'!AF$5:AF$27,-1)))))</f>
        <v/>
      </c>
      <c r="AN35" s="34">
        <f>IF($B35="ABSOLUTE SEMANTIC",'19_FEATURE_CONFIDENCE'!$D$42,SQRT((SUMPRODUCT(--('93_TARGET_MEMBERSHIP'!AF$5:AF$27=1),'92_FEATURE_CONF_NUMERIC'!AO$5:AO$27)/MAX(1,COUNTIF('93_TARGET_MEMBERSHIP'!AF$5:AF$27,1)))*(SUMPRODUCT(--('93_TARGET_MEMBERSHIP'!AF$5:AF$27=-1),'92_FEATURE_CONF_NUMERIC'!AO$5:AO$27)/MAX(1,COUNTIF('93_TARGET_MEMBERSHIP'!AF$5:AF$27,-1)))))</f>
        <v/>
      </c>
      <c r="AO35" s="34">
        <f>IF($B35="ABSOLUTE SEMANTIC",'19_FEATURE_CONFIDENCE'!$D$43,SQRT((SUMPRODUCT(--('93_TARGET_MEMBERSHIP'!AF$5:AF$27=1),'92_FEATURE_CONF_NUMERIC'!AP$5:AP$27)/MAX(1,COUNTIF('93_TARGET_MEMBERSHIP'!AF$5:AF$27,1)))*(SUMPRODUCT(--('93_TARGET_MEMBERSHIP'!AF$5:AF$27=-1),'92_FEATURE_CONF_NUMERIC'!AP$5:AP$27)/MAX(1,COUNTIF('93_TARGET_MEMBERSHIP'!AF$5:AF$27,-1)))))</f>
        <v/>
      </c>
      <c r="AP35" s="34">
        <f>IF($B35="ABSOLUTE SEMANTIC",'19_FEATURE_CONFIDENCE'!$D$44,SQRT((SUMPRODUCT(--('93_TARGET_MEMBERSHIP'!AF$5:AF$27=1),'92_FEATURE_CONF_NUMERIC'!AQ$5:AQ$27)/MAX(1,COUNTIF('93_TARGET_MEMBERSHIP'!AF$5:AF$27,1)))*(SUMPRODUCT(--('93_TARGET_MEMBERSHIP'!AF$5:AF$27=-1),'92_FEATURE_CONF_NUMERIC'!AQ$5:AQ$27)/MAX(1,COUNTIF('93_TARGET_MEMBERSHIP'!AF$5:AF$27,-1)))))</f>
        <v/>
      </c>
      <c r="AQ35" s="34">
        <f>IF($B35="ABSOLUTE SEMANTIC",'19_FEATURE_CONFIDENCE'!$D$45,SQRT((SUMPRODUCT(--('93_TARGET_MEMBERSHIP'!AF$5:AF$27=1),'92_FEATURE_CONF_NUMERIC'!AR$5:AR$27)/MAX(1,COUNTIF('93_TARGET_MEMBERSHIP'!AF$5:AF$27,1)))*(SUMPRODUCT(--('93_TARGET_MEMBERSHIP'!AF$5:AF$27=-1),'92_FEATURE_CONF_NUMERIC'!AR$5:AR$27)/MAX(1,COUNTIF('93_TARGET_MEMBERSHIP'!AF$5:AF$27,-1)))))</f>
        <v/>
      </c>
    </row>
    <row r="36" ht="36" customHeight="1">
      <c r="A36" s="34">
        <f>'06_ITEM_POLE_MODEL'!A36</f>
        <v/>
      </c>
      <c r="B36" s="34">
        <f>'06_ITEM_POLE_MODEL'!E36</f>
        <v/>
      </c>
      <c r="C36" s="34">
        <f>IF($B36="ABSOLUTE SEMANTIC",'19_FEATURE_CONFIDENCE'!$D$5,SQRT((SUMPRODUCT(--('93_TARGET_MEMBERSHIP'!AG$5:AG$27=1),'92_FEATURE_CONF_NUMERIC'!D$5:D$27)/MAX(1,COUNTIF('93_TARGET_MEMBERSHIP'!AG$5:AG$27,1)))*(SUMPRODUCT(--('93_TARGET_MEMBERSHIP'!AG$5:AG$27=-1),'92_FEATURE_CONF_NUMERIC'!D$5:D$27)/MAX(1,COUNTIF('93_TARGET_MEMBERSHIP'!AG$5:AG$27,-1)))))</f>
        <v/>
      </c>
      <c r="D36" s="34">
        <f>IF($B36="ABSOLUTE SEMANTIC",'19_FEATURE_CONFIDENCE'!$D$6,SQRT((SUMPRODUCT(--('93_TARGET_MEMBERSHIP'!AG$5:AG$27=1),'92_FEATURE_CONF_NUMERIC'!E$5:E$27)/MAX(1,COUNTIF('93_TARGET_MEMBERSHIP'!AG$5:AG$27,1)))*(SUMPRODUCT(--('93_TARGET_MEMBERSHIP'!AG$5:AG$27=-1),'92_FEATURE_CONF_NUMERIC'!E$5:E$27)/MAX(1,COUNTIF('93_TARGET_MEMBERSHIP'!AG$5:AG$27,-1)))))</f>
        <v/>
      </c>
      <c r="E36" s="34">
        <f>IF($B36="ABSOLUTE SEMANTIC",'19_FEATURE_CONFIDENCE'!$D$7,SQRT((SUMPRODUCT(--('93_TARGET_MEMBERSHIP'!AG$5:AG$27=1),'92_FEATURE_CONF_NUMERIC'!F$5:F$27)/MAX(1,COUNTIF('93_TARGET_MEMBERSHIP'!AG$5:AG$27,1)))*(SUMPRODUCT(--('93_TARGET_MEMBERSHIP'!AG$5:AG$27=-1),'92_FEATURE_CONF_NUMERIC'!F$5:F$27)/MAX(1,COUNTIF('93_TARGET_MEMBERSHIP'!AG$5:AG$27,-1)))))</f>
        <v/>
      </c>
      <c r="F36" s="34">
        <f>IF($B36="ABSOLUTE SEMANTIC",'19_FEATURE_CONFIDENCE'!$D$8,SQRT((SUMPRODUCT(--('93_TARGET_MEMBERSHIP'!AG$5:AG$27=1),'92_FEATURE_CONF_NUMERIC'!G$5:G$27)/MAX(1,COUNTIF('93_TARGET_MEMBERSHIP'!AG$5:AG$27,1)))*(SUMPRODUCT(--('93_TARGET_MEMBERSHIP'!AG$5:AG$27=-1),'92_FEATURE_CONF_NUMERIC'!G$5:G$27)/MAX(1,COUNTIF('93_TARGET_MEMBERSHIP'!AG$5:AG$27,-1)))))</f>
        <v/>
      </c>
      <c r="G36" s="34">
        <f>IF($B36="ABSOLUTE SEMANTIC",'19_FEATURE_CONFIDENCE'!$D$9,SQRT((SUMPRODUCT(--('93_TARGET_MEMBERSHIP'!AG$5:AG$27=1),'92_FEATURE_CONF_NUMERIC'!H$5:H$27)/MAX(1,COUNTIF('93_TARGET_MEMBERSHIP'!AG$5:AG$27,1)))*(SUMPRODUCT(--('93_TARGET_MEMBERSHIP'!AG$5:AG$27=-1),'92_FEATURE_CONF_NUMERIC'!H$5:H$27)/MAX(1,COUNTIF('93_TARGET_MEMBERSHIP'!AG$5:AG$27,-1)))))</f>
        <v/>
      </c>
      <c r="H36" s="34">
        <f>IF($B36="ABSOLUTE SEMANTIC",'19_FEATURE_CONFIDENCE'!$D$10,SQRT((SUMPRODUCT(--('93_TARGET_MEMBERSHIP'!AG$5:AG$27=1),'92_FEATURE_CONF_NUMERIC'!I$5:I$27)/MAX(1,COUNTIF('93_TARGET_MEMBERSHIP'!AG$5:AG$27,1)))*(SUMPRODUCT(--('93_TARGET_MEMBERSHIP'!AG$5:AG$27=-1),'92_FEATURE_CONF_NUMERIC'!I$5:I$27)/MAX(1,COUNTIF('93_TARGET_MEMBERSHIP'!AG$5:AG$27,-1)))))</f>
        <v/>
      </c>
      <c r="I36" s="34">
        <f>IF($B36="ABSOLUTE SEMANTIC",'19_FEATURE_CONFIDENCE'!$D$11,SQRT((SUMPRODUCT(--('93_TARGET_MEMBERSHIP'!AG$5:AG$27=1),'92_FEATURE_CONF_NUMERIC'!J$5:J$27)/MAX(1,COUNTIF('93_TARGET_MEMBERSHIP'!AG$5:AG$27,1)))*(SUMPRODUCT(--('93_TARGET_MEMBERSHIP'!AG$5:AG$27=-1),'92_FEATURE_CONF_NUMERIC'!J$5:J$27)/MAX(1,COUNTIF('93_TARGET_MEMBERSHIP'!AG$5:AG$27,-1)))))</f>
        <v/>
      </c>
      <c r="J36" s="34">
        <f>IF($B36="ABSOLUTE SEMANTIC",'19_FEATURE_CONFIDENCE'!$D$12,SQRT((SUMPRODUCT(--('93_TARGET_MEMBERSHIP'!AG$5:AG$27=1),'92_FEATURE_CONF_NUMERIC'!K$5:K$27)/MAX(1,COUNTIF('93_TARGET_MEMBERSHIP'!AG$5:AG$27,1)))*(SUMPRODUCT(--('93_TARGET_MEMBERSHIP'!AG$5:AG$27=-1),'92_FEATURE_CONF_NUMERIC'!K$5:K$27)/MAX(1,COUNTIF('93_TARGET_MEMBERSHIP'!AG$5:AG$27,-1)))))</f>
        <v/>
      </c>
      <c r="K36" s="34">
        <f>IF($B36="ABSOLUTE SEMANTIC",'19_FEATURE_CONFIDENCE'!$D$13,SQRT((SUMPRODUCT(--('93_TARGET_MEMBERSHIP'!AG$5:AG$27=1),'92_FEATURE_CONF_NUMERIC'!L$5:L$27)/MAX(1,COUNTIF('93_TARGET_MEMBERSHIP'!AG$5:AG$27,1)))*(SUMPRODUCT(--('93_TARGET_MEMBERSHIP'!AG$5:AG$27=-1),'92_FEATURE_CONF_NUMERIC'!L$5:L$27)/MAX(1,COUNTIF('93_TARGET_MEMBERSHIP'!AG$5:AG$27,-1)))))</f>
        <v/>
      </c>
      <c r="L36" s="34">
        <f>IF($B36="ABSOLUTE SEMANTIC",'19_FEATURE_CONFIDENCE'!$D$14,SQRT((SUMPRODUCT(--('93_TARGET_MEMBERSHIP'!AG$5:AG$27=1),'92_FEATURE_CONF_NUMERIC'!M$5:M$27)/MAX(1,COUNTIF('93_TARGET_MEMBERSHIP'!AG$5:AG$27,1)))*(SUMPRODUCT(--('93_TARGET_MEMBERSHIP'!AG$5:AG$27=-1),'92_FEATURE_CONF_NUMERIC'!M$5:M$27)/MAX(1,COUNTIF('93_TARGET_MEMBERSHIP'!AG$5:AG$27,-1)))))</f>
        <v/>
      </c>
      <c r="M36" s="34">
        <f>IF($B36="ABSOLUTE SEMANTIC",'19_FEATURE_CONFIDENCE'!$D$15,SQRT((SUMPRODUCT(--('93_TARGET_MEMBERSHIP'!AG$5:AG$27=1),'92_FEATURE_CONF_NUMERIC'!N$5:N$27)/MAX(1,COUNTIF('93_TARGET_MEMBERSHIP'!AG$5:AG$27,1)))*(SUMPRODUCT(--('93_TARGET_MEMBERSHIP'!AG$5:AG$27=-1),'92_FEATURE_CONF_NUMERIC'!N$5:N$27)/MAX(1,COUNTIF('93_TARGET_MEMBERSHIP'!AG$5:AG$27,-1)))))</f>
        <v/>
      </c>
      <c r="N36" s="34">
        <f>IF($B36="ABSOLUTE SEMANTIC",'19_FEATURE_CONFIDENCE'!$D$16,SQRT((SUMPRODUCT(--('93_TARGET_MEMBERSHIP'!AG$5:AG$27=1),'92_FEATURE_CONF_NUMERIC'!O$5:O$27)/MAX(1,COUNTIF('93_TARGET_MEMBERSHIP'!AG$5:AG$27,1)))*(SUMPRODUCT(--('93_TARGET_MEMBERSHIP'!AG$5:AG$27=-1),'92_FEATURE_CONF_NUMERIC'!O$5:O$27)/MAX(1,COUNTIF('93_TARGET_MEMBERSHIP'!AG$5:AG$27,-1)))))</f>
        <v/>
      </c>
      <c r="O36" s="34">
        <f>IF($B36="ABSOLUTE SEMANTIC",'19_FEATURE_CONFIDENCE'!$D$17,SQRT((SUMPRODUCT(--('93_TARGET_MEMBERSHIP'!AG$5:AG$27=1),'92_FEATURE_CONF_NUMERIC'!P$5:P$27)/MAX(1,COUNTIF('93_TARGET_MEMBERSHIP'!AG$5:AG$27,1)))*(SUMPRODUCT(--('93_TARGET_MEMBERSHIP'!AG$5:AG$27=-1),'92_FEATURE_CONF_NUMERIC'!P$5:P$27)/MAX(1,COUNTIF('93_TARGET_MEMBERSHIP'!AG$5:AG$27,-1)))))</f>
        <v/>
      </c>
      <c r="P36" s="34">
        <f>IF($B36="ABSOLUTE SEMANTIC",'19_FEATURE_CONFIDENCE'!$D$18,SQRT((SUMPRODUCT(--('93_TARGET_MEMBERSHIP'!AG$5:AG$27=1),'92_FEATURE_CONF_NUMERIC'!Q$5:Q$27)/MAX(1,COUNTIF('93_TARGET_MEMBERSHIP'!AG$5:AG$27,1)))*(SUMPRODUCT(--('93_TARGET_MEMBERSHIP'!AG$5:AG$27=-1),'92_FEATURE_CONF_NUMERIC'!Q$5:Q$27)/MAX(1,COUNTIF('93_TARGET_MEMBERSHIP'!AG$5:AG$27,-1)))))</f>
        <v/>
      </c>
      <c r="Q36" s="34">
        <f>IF($B36="ABSOLUTE SEMANTIC",'19_FEATURE_CONFIDENCE'!$D$19,SQRT((SUMPRODUCT(--('93_TARGET_MEMBERSHIP'!AG$5:AG$27=1),'92_FEATURE_CONF_NUMERIC'!R$5:R$27)/MAX(1,COUNTIF('93_TARGET_MEMBERSHIP'!AG$5:AG$27,1)))*(SUMPRODUCT(--('93_TARGET_MEMBERSHIP'!AG$5:AG$27=-1),'92_FEATURE_CONF_NUMERIC'!R$5:R$27)/MAX(1,COUNTIF('93_TARGET_MEMBERSHIP'!AG$5:AG$27,-1)))))</f>
        <v/>
      </c>
      <c r="R36" s="34">
        <f>IF($B36="ABSOLUTE SEMANTIC",'19_FEATURE_CONFIDENCE'!$D$20,SQRT((SUMPRODUCT(--('93_TARGET_MEMBERSHIP'!AG$5:AG$27=1),'92_FEATURE_CONF_NUMERIC'!S$5:S$27)/MAX(1,COUNTIF('93_TARGET_MEMBERSHIP'!AG$5:AG$27,1)))*(SUMPRODUCT(--('93_TARGET_MEMBERSHIP'!AG$5:AG$27=-1),'92_FEATURE_CONF_NUMERIC'!S$5:S$27)/MAX(1,COUNTIF('93_TARGET_MEMBERSHIP'!AG$5:AG$27,-1)))))</f>
        <v/>
      </c>
      <c r="S36" s="34">
        <f>IF($B36="ABSOLUTE SEMANTIC",'19_FEATURE_CONFIDENCE'!$D$21,SQRT((SUMPRODUCT(--('93_TARGET_MEMBERSHIP'!AG$5:AG$27=1),'92_FEATURE_CONF_NUMERIC'!T$5:T$27)/MAX(1,COUNTIF('93_TARGET_MEMBERSHIP'!AG$5:AG$27,1)))*(SUMPRODUCT(--('93_TARGET_MEMBERSHIP'!AG$5:AG$27=-1),'92_FEATURE_CONF_NUMERIC'!T$5:T$27)/MAX(1,COUNTIF('93_TARGET_MEMBERSHIP'!AG$5:AG$27,-1)))))</f>
        <v/>
      </c>
      <c r="T36" s="34">
        <f>IF($B36="ABSOLUTE SEMANTIC",'19_FEATURE_CONFIDENCE'!$D$22,SQRT((SUMPRODUCT(--('93_TARGET_MEMBERSHIP'!AG$5:AG$27=1),'92_FEATURE_CONF_NUMERIC'!U$5:U$27)/MAX(1,COUNTIF('93_TARGET_MEMBERSHIP'!AG$5:AG$27,1)))*(SUMPRODUCT(--('93_TARGET_MEMBERSHIP'!AG$5:AG$27=-1),'92_FEATURE_CONF_NUMERIC'!U$5:U$27)/MAX(1,COUNTIF('93_TARGET_MEMBERSHIP'!AG$5:AG$27,-1)))))</f>
        <v/>
      </c>
      <c r="U36" s="34">
        <f>IF($B36="ABSOLUTE SEMANTIC",'19_FEATURE_CONFIDENCE'!$D$23,SQRT((SUMPRODUCT(--('93_TARGET_MEMBERSHIP'!AG$5:AG$27=1),'92_FEATURE_CONF_NUMERIC'!V$5:V$27)/MAX(1,COUNTIF('93_TARGET_MEMBERSHIP'!AG$5:AG$27,1)))*(SUMPRODUCT(--('93_TARGET_MEMBERSHIP'!AG$5:AG$27=-1),'92_FEATURE_CONF_NUMERIC'!V$5:V$27)/MAX(1,COUNTIF('93_TARGET_MEMBERSHIP'!AG$5:AG$27,-1)))))</f>
        <v/>
      </c>
      <c r="V36" s="34">
        <f>IF($B36="ABSOLUTE SEMANTIC",'19_FEATURE_CONFIDENCE'!$D$24,SQRT((SUMPRODUCT(--('93_TARGET_MEMBERSHIP'!AG$5:AG$27=1),'92_FEATURE_CONF_NUMERIC'!W$5:W$27)/MAX(1,COUNTIF('93_TARGET_MEMBERSHIP'!AG$5:AG$27,1)))*(SUMPRODUCT(--('93_TARGET_MEMBERSHIP'!AG$5:AG$27=-1),'92_FEATURE_CONF_NUMERIC'!W$5:W$27)/MAX(1,COUNTIF('93_TARGET_MEMBERSHIP'!AG$5:AG$27,-1)))))</f>
        <v/>
      </c>
      <c r="W36" s="34">
        <f>IF($B36="ABSOLUTE SEMANTIC",'19_FEATURE_CONFIDENCE'!$D$25,SQRT((SUMPRODUCT(--('93_TARGET_MEMBERSHIP'!AG$5:AG$27=1),'92_FEATURE_CONF_NUMERIC'!X$5:X$27)/MAX(1,COUNTIF('93_TARGET_MEMBERSHIP'!AG$5:AG$27,1)))*(SUMPRODUCT(--('93_TARGET_MEMBERSHIP'!AG$5:AG$27=-1),'92_FEATURE_CONF_NUMERIC'!X$5:X$27)/MAX(1,COUNTIF('93_TARGET_MEMBERSHIP'!AG$5:AG$27,-1)))))</f>
        <v/>
      </c>
      <c r="X36" s="34">
        <f>IF($B36="ABSOLUTE SEMANTIC",'19_FEATURE_CONFIDENCE'!$D$26,SQRT((SUMPRODUCT(--('93_TARGET_MEMBERSHIP'!AG$5:AG$27=1),'92_FEATURE_CONF_NUMERIC'!Y$5:Y$27)/MAX(1,COUNTIF('93_TARGET_MEMBERSHIP'!AG$5:AG$27,1)))*(SUMPRODUCT(--('93_TARGET_MEMBERSHIP'!AG$5:AG$27=-1),'92_FEATURE_CONF_NUMERIC'!Y$5:Y$27)/MAX(1,COUNTIF('93_TARGET_MEMBERSHIP'!AG$5:AG$27,-1)))))</f>
        <v/>
      </c>
      <c r="Y36" s="34">
        <f>IF($B36="ABSOLUTE SEMANTIC",'19_FEATURE_CONFIDENCE'!$D$27,SQRT((SUMPRODUCT(--('93_TARGET_MEMBERSHIP'!AG$5:AG$27=1),'92_FEATURE_CONF_NUMERIC'!Z$5:Z$27)/MAX(1,COUNTIF('93_TARGET_MEMBERSHIP'!AG$5:AG$27,1)))*(SUMPRODUCT(--('93_TARGET_MEMBERSHIP'!AG$5:AG$27=-1),'92_FEATURE_CONF_NUMERIC'!Z$5:Z$27)/MAX(1,COUNTIF('93_TARGET_MEMBERSHIP'!AG$5:AG$27,-1)))))</f>
        <v/>
      </c>
      <c r="Z36" s="34">
        <f>IF($B36="ABSOLUTE SEMANTIC",'19_FEATURE_CONFIDENCE'!$D$28,SQRT((SUMPRODUCT(--('93_TARGET_MEMBERSHIP'!AG$5:AG$27=1),'92_FEATURE_CONF_NUMERIC'!AA$5:AA$27)/MAX(1,COUNTIF('93_TARGET_MEMBERSHIP'!AG$5:AG$27,1)))*(SUMPRODUCT(--('93_TARGET_MEMBERSHIP'!AG$5:AG$27=-1),'92_FEATURE_CONF_NUMERIC'!AA$5:AA$27)/MAX(1,COUNTIF('93_TARGET_MEMBERSHIP'!AG$5:AG$27,-1)))))</f>
        <v/>
      </c>
      <c r="AA36" s="34">
        <f>IF($B36="ABSOLUTE SEMANTIC",'19_FEATURE_CONFIDENCE'!$D$29,SQRT((SUMPRODUCT(--('93_TARGET_MEMBERSHIP'!AG$5:AG$27=1),'92_FEATURE_CONF_NUMERIC'!AB$5:AB$27)/MAX(1,COUNTIF('93_TARGET_MEMBERSHIP'!AG$5:AG$27,1)))*(SUMPRODUCT(--('93_TARGET_MEMBERSHIP'!AG$5:AG$27=-1),'92_FEATURE_CONF_NUMERIC'!AB$5:AB$27)/MAX(1,COUNTIF('93_TARGET_MEMBERSHIP'!AG$5:AG$27,-1)))))</f>
        <v/>
      </c>
      <c r="AB36" s="34">
        <f>IF($B36="ABSOLUTE SEMANTIC",'19_FEATURE_CONFIDENCE'!$D$30,SQRT((SUMPRODUCT(--('93_TARGET_MEMBERSHIP'!AG$5:AG$27=1),'92_FEATURE_CONF_NUMERIC'!AC$5:AC$27)/MAX(1,COUNTIF('93_TARGET_MEMBERSHIP'!AG$5:AG$27,1)))*(SUMPRODUCT(--('93_TARGET_MEMBERSHIP'!AG$5:AG$27=-1),'92_FEATURE_CONF_NUMERIC'!AC$5:AC$27)/MAX(1,COUNTIF('93_TARGET_MEMBERSHIP'!AG$5:AG$27,-1)))))</f>
        <v/>
      </c>
      <c r="AC36" s="34">
        <f>IF($B36="ABSOLUTE SEMANTIC",'19_FEATURE_CONFIDENCE'!$D$31,SQRT((SUMPRODUCT(--('93_TARGET_MEMBERSHIP'!AG$5:AG$27=1),'92_FEATURE_CONF_NUMERIC'!AD$5:AD$27)/MAX(1,COUNTIF('93_TARGET_MEMBERSHIP'!AG$5:AG$27,1)))*(SUMPRODUCT(--('93_TARGET_MEMBERSHIP'!AG$5:AG$27=-1),'92_FEATURE_CONF_NUMERIC'!AD$5:AD$27)/MAX(1,COUNTIF('93_TARGET_MEMBERSHIP'!AG$5:AG$27,-1)))))</f>
        <v/>
      </c>
      <c r="AD36" s="34">
        <f>IF($B36="ABSOLUTE SEMANTIC",'19_FEATURE_CONFIDENCE'!$D$32,SQRT((SUMPRODUCT(--('93_TARGET_MEMBERSHIP'!AG$5:AG$27=1),'92_FEATURE_CONF_NUMERIC'!AE$5:AE$27)/MAX(1,COUNTIF('93_TARGET_MEMBERSHIP'!AG$5:AG$27,1)))*(SUMPRODUCT(--('93_TARGET_MEMBERSHIP'!AG$5:AG$27=-1),'92_FEATURE_CONF_NUMERIC'!AE$5:AE$27)/MAX(1,COUNTIF('93_TARGET_MEMBERSHIP'!AG$5:AG$27,-1)))))</f>
        <v/>
      </c>
      <c r="AE36" s="34">
        <f>IF($B36="ABSOLUTE SEMANTIC",'19_FEATURE_CONFIDENCE'!$D$33,SQRT((SUMPRODUCT(--('93_TARGET_MEMBERSHIP'!AG$5:AG$27=1),'92_FEATURE_CONF_NUMERIC'!AF$5:AF$27)/MAX(1,COUNTIF('93_TARGET_MEMBERSHIP'!AG$5:AG$27,1)))*(SUMPRODUCT(--('93_TARGET_MEMBERSHIP'!AG$5:AG$27=-1),'92_FEATURE_CONF_NUMERIC'!AF$5:AF$27)/MAX(1,COUNTIF('93_TARGET_MEMBERSHIP'!AG$5:AG$27,-1)))))</f>
        <v/>
      </c>
      <c r="AF36" s="34">
        <f>IF($B36="ABSOLUTE SEMANTIC",'19_FEATURE_CONFIDENCE'!$D$34,SQRT((SUMPRODUCT(--('93_TARGET_MEMBERSHIP'!AG$5:AG$27=1),'92_FEATURE_CONF_NUMERIC'!AG$5:AG$27)/MAX(1,COUNTIF('93_TARGET_MEMBERSHIP'!AG$5:AG$27,1)))*(SUMPRODUCT(--('93_TARGET_MEMBERSHIP'!AG$5:AG$27=-1),'92_FEATURE_CONF_NUMERIC'!AG$5:AG$27)/MAX(1,COUNTIF('93_TARGET_MEMBERSHIP'!AG$5:AG$27,-1)))))</f>
        <v/>
      </c>
      <c r="AG36" s="34">
        <f>IF($B36="ABSOLUTE SEMANTIC",'19_FEATURE_CONFIDENCE'!$D$35,SQRT((SUMPRODUCT(--('93_TARGET_MEMBERSHIP'!AG$5:AG$27=1),'92_FEATURE_CONF_NUMERIC'!AH$5:AH$27)/MAX(1,COUNTIF('93_TARGET_MEMBERSHIP'!AG$5:AG$27,1)))*(SUMPRODUCT(--('93_TARGET_MEMBERSHIP'!AG$5:AG$27=-1),'92_FEATURE_CONF_NUMERIC'!AH$5:AH$27)/MAX(1,COUNTIF('93_TARGET_MEMBERSHIP'!AG$5:AG$27,-1)))))</f>
        <v/>
      </c>
      <c r="AH36" s="34">
        <f>IF($B36="ABSOLUTE SEMANTIC",'19_FEATURE_CONFIDENCE'!$D$36,SQRT((SUMPRODUCT(--('93_TARGET_MEMBERSHIP'!AG$5:AG$27=1),'92_FEATURE_CONF_NUMERIC'!AI$5:AI$27)/MAX(1,COUNTIF('93_TARGET_MEMBERSHIP'!AG$5:AG$27,1)))*(SUMPRODUCT(--('93_TARGET_MEMBERSHIP'!AG$5:AG$27=-1),'92_FEATURE_CONF_NUMERIC'!AI$5:AI$27)/MAX(1,COUNTIF('93_TARGET_MEMBERSHIP'!AG$5:AG$27,-1)))))</f>
        <v/>
      </c>
      <c r="AI36" s="34">
        <f>IF($B36="ABSOLUTE SEMANTIC",'19_FEATURE_CONFIDENCE'!$D$37,SQRT((SUMPRODUCT(--('93_TARGET_MEMBERSHIP'!AG$5:AG$27=1),'92_FEATURE_CONF_NUMERIC'!AJ$5:AJ$27)/MAX(1,COUNTIF('93_TARGET_MEMBERSHIP'!AG$5:AG$27,1)))*(SUMPRODUCT(--('93_TARGET_MEMBERSHIP'!AG$5:AG$27=-1),'92_FEATURE_CONF_NUMERIC'!AJ$5:AJ$27)/MAX(1,COUNTIF('93_TARGET_MEMBERSHIP'!AG$5:AG$27,-1)))))</f>
        <v/>
      </c>
      <c r="AJ36" s="34">
        <f>IF($B36="ABSOLUTE SEMANTIC",'19_FEATURE_CONFIDENCE'!$D$38,SQRT((SUMPRODUCT(--('93_TARGET_MEMBERSHIP'!AG$5:AG$27=1),'92_FEATURE_CONF_NUMERIC'!AK$5:AK$27)/MAX(1,COUNTIF('93_TARGET_MEMBERSHIP'!AG$5:AG$27,1)))*(SUMPRODUCT(--('93_TARGET_MEMBERSHIP'!AG$5:AG$27=-1),'92_FEATURE_CONF_NUMERIC'!AK$5:AK$27)/MAX(1,COUNTIF('93_TARGET_MEMBERSHIP'!AG$5:AG$27,-1)))))</f>
        <v/>
      </c>
      <c r="AK36" s="34">
        <f>IF($B36="ABSOLUTE SEMANTIC",'19_FEATURE_CONFIDENCE'!$D$39,SQRT((SUMPRODUCT(--('93_TARGET_MEMBERSHIP'!AG$5:AG$27=1),'92_FEATURE_CONF_NUMERIC'!AL$5:AL$27)/MAX(1,COUNTIF('93_TARGET_MEMBERSHIP'!AG$5:AG$27,1)))*(SUMPRODUCT(--('93_TARGET_MEMBERSHIP'!AG$5:AG$27=-1),'92_FEATURE_CONF_NUMERIC'!AL$5:AL$27)/MAX(1,COUNTIF('93_TARGET_MEMBERSHIP'!AG$5:AG$27,-1)))))</f>
        <v/>
      </c>
      <c r="AL36" s="34">
        <f>IF($B36="ABSOLUTE SEMANTIC",'19_FEATURE_CONFIDENCE'!$D$40,SQRT((SUMPRODUCT(--('93_TARGET_MEMBERSHIP'!AG$5:AG$27=1),'92_FEATURE_CONF_NUMERIC'!AM$5:AM$27)/MAX(1,COUNTIF('93_TARGET_MEMBERSHIP'!AG$5:AG$27,1)))*(SUMPRODUCT(--('93_TARGET_MEMBERSHIP'!AG$5:AG$27=-1),'92_FEATURE_CONF_NUMERIC'!AM$5:AM$27)/MAX(1,COUNTIF('93_TARGET_MEMBERSHIP'!AG$5:AG$27,-1)))))</f>
        <v/>
      </c>
      <c r="AM36" s="34">
        <f>IF($B36="ABSOLUTE SEMANTIC",'19_FEATURE_CONFIDENCE'!$D$41,SQRT((SUMPRODUCT(--('93_TARGET_MEMBERSHIP'!AG$5:AG$27=1),'92_FEATURE_CONF_NUMERIC'!AN$5:AN$27)/MAX(1,COUNTIF('93_TARGET_MEMBERSHIP'!AG$5:AG$27,1)))*(SUMPRODUCT(--('93_TARGET_MEMBERSHIP'!AG$5:AG$27=-1),'92_FEATURE_CONF_NUMERIC'!AN$5:AN$27)/MAX(1,COUNTIF('93_TARGET_MEMBERSHIP'!AG$5:AG$27,-1)))))</f>
        <v/>
      </c>
      <c r="AN36" s="34">
        <f>IF($B36="ABSOLUTE SEMANTIC",'19_FEATURE_CONFIDENCE'!$D$42,SQRT((SUMPRODUCT(--('93_TARGET_MEMBERSHIP'!AG$5:AG$27=1),'92_FEATURE_CONF_NUMERIC'!AO$5:AO$27)/MAX(1,COUNTIF('93_TARGET_MEMBERSHIP'!AG$5:AG$27,1)))*(SUMPRODUCT(--('93_TARGET_MEMBERSHIP'!AG$5:AG$27=-1),'92_FEATURE_CONF_NUMERIC'!AO$5:AO$27)/MAX(1,COUNTIF('93_TARGET_MEMBERSHIP'!AG$5:AG$27,-1)))))</f>
        <v/>
      </c>
      <c r="AO36" s="34">
        <f>IF($B36="ABSOLUTE SEMANTIC",'19_FEATURE_CONFIDENCE'!$D$43,SQRT((SUMPRODUCT(--('93_TARGET_MEMBERSHIP'!AG$5:AG$27=1),'92_FEATURE_CONF_NUMERIC'!AP$5:AP$27)/MAX(1,COUNTIF('93_TARGET_MEMBERSHIP'!AG$5:AG$27,1)))*(SUMPRODUCT(--('93_TARGET_MEMBERSHIP'!AG$5:AG$27=-1),'92_FEATURE_CONF_NUMERIC'!AP$5:AP$27)/MAX(1,COUNTIF('93_TARGET_MEMBERSHIP'!AG$5:AG$27,-1)))))</f>
        <v/>
      </c>
      <c r="AP36" s="34">
        <f>IF($B36="ABSOLUTE SEMANTIC",'19_FEATURE_CONFIDENCE'!$D$44,SQRT((SUMPRODUCT(--('93_TARGET_MEMBERSHIP'!AG$5:AG$27=1),'92_FEATURE_CONF_NUMERIC'!AQ$5:AQ$27)/MAX(1,COUNTIF('93_TARGET_MEMBERSHIP'!AG$5:AG$27,1)))*(SUMPRODUCT(--('93_TARGET_MEMBERSHIP'!AG$5:AG$27=-1),'92_FEATURE_CONF_NUMERIC'!AQ$5:AQ$27)/MAX(1,COUNTIF('93_TARGET_MEMBERSHIP'!AG$5:AG$27,-1)))))</f>
        <v/>
      </c>
      <c r="AQ36" s="34">
        <f>IF($B36="ABSOLUTE SEMANTIC",'19_FEATURE_CONFIDENCE'!$D$45,SQRT((SUMPRODUCT(--('93_TARGET_MEMBERSHIP'!AG$5:AG$27=1),'92_FEATURE_CONF_NUMERIC'!AR$5:AR$27)/MAX(1,COUNTIF('93_TARGET_MEMBERSHIP'!AG$5:AG$27,1)))*(SUMPRODUCT(--('93_TARGET_MEMBERSHIP'!AG$5:AG$27=-1),'92_FEATURE_CONF_NUMERIC'!AR$5:AR$27)/MAX(1,COUNTIF('93_TARGET_MEMBERSHIP'!AG$5:AG$27,-1)))))</f>
        <v/>
      </c>
    </row>
    <row r="37" ht="36" customHeight="1">
      <c r="A37" s="34">
        <f>'06_ITEM_POLE_MODEL'!A37</f>
        <v/>
      </c>
      <c r="B37" s="34">
        <f>'06_ITEM_POLE_MODEL'!E37</f>
        <v/>
      </c>
      <c r="C37" s="34">
        <f>IF($B37="ABSOLUTE SEMANTIC",'19_FEATURE_CONFIDENCE'!$D$5,SQRT((SUMPRODUCT(--('93_TARGET_MEMBERSHIP'!AH$5:AH$27=1),'92_FEATURE_CONF_NUMERIC'!D$5:D$27)/MAX(1,COUNTIF('93_TARGET_MEMBERSHIP'!AH$5:AH$27,1)))*(SUMPRODUCT(--('93_TARGET_MEMBERSHIP'!AH$5:AH$27=-1),'92_FEATURE_CONF_NUMERIC'!D$5:D$27)/MAX(1,COUNTIF('93_TARGET_MEMBERSHIP'!AH$5:AH$27,-1)))))</f>
        <v/>
      </c>
      <c r="D37" s="34">
        <f>IF($B37="ABSOLUTE SEMANTIC",'19_FEATURE_CONFIDENCE'!$D$6,SQRT((SUMPRODUCT(--('93_TARGET_MEMBERSHIP'!AH$5:AH$27=1),'92_FEATURE_CONF_NUMERIC'!E$5:E$27)/MAX(1,COUNTIF('93_TARGET_MEMBERSHIP'!AH$5:AH$27,1)))*(SUMPRODUCT(--('93_TARGET_MEMBERSHIP'!AH$5:AH$27=-1),'92_FEATURE_CONF_NUMERIC'!E$5:E$27)/MAX(1,COUNTIF('93_TARGET_MEMBERSHIP'!AH$5:AH$27,-1)))))</f>
        <v/>
      </c>
      <c r="E37" s="34">
        <f>IF($B37="ABSOLUTE SEMANTIC",'19_FEATURE_CONFIDENCE'!$D$7,SQRT((SUMPRODUCT(--('93_TARGET_MEMBERSHIP'!AH$5:AH$27=1),'92_FEATURE_CONF_NUMERIC'!F$5:F$27)/MAX(1,COUNTIF('93_TARGET_MEMBERSHIP'!AH$5:AH$27,1)))*(SUMPRODUCT(--('93_TARGET_MEMBERSHIP'!AH$5:AH$27=-1),'92_FEATURE_CONF_NUMERIC'!F$5:F$27)/MAX(1,COUNTIF('93_TARGET_MEMBERSHIP'!AH$5:AH$27,-1)))))</f>
        <v/>
      </c>
      <c r="F37" s="34">
        <f>IF($B37="ABSOLUTE SEMANTIC",'19_FEATURE_CONFIDENCE'!$D$8,SQRT((SUMPRODUCT(--('93_TARGET_MEMBERSHIP'!AH$5:AH$27=1),'92_FEATURE_CONF_NUMERIC'!G$5:G$27)/MAX(1,COUNTIF('93_TARGET_MEMBERSHIP'!AH$5:AH$27,1)))*(SUMPRODUCT(--('93_TARGET_MEMBERSHIP'!AH$5:AH$27=-1),'92_FEATURE_CONF_NUMERIC'!G$5:G$27)/MAX(1,COUNTIF('93_TARGET_MEMBERSHIP'!AH$5:AH$27,-1)))))</f>
        <v/>
      </c>
      <c r="G37" s="34">
        <f>IF($B37="ABSOLUTE SEMANTIC",'19_FEATURE_CONFIDENCE'!$D$9,SQRT((SUMPRODUCT(--('93_TARGET_MEMBERSHIP'!AH$5:AH$27=1),'92_FEATURE_CONF_NUMERIC'!H$5:H$27)/MAX(1,COUNTIF('93_TARGET_MEMBERSHIP'!AH$5:AH$27,1)))*(SUMPRODUCT(--('93_TARGET_MEMBERSHIP'!AH$5:AH$27=-1),'92_FEATURE_CONF_NUMERIC'!H$5:H$27)/MAX(1,COUNTIF('93_TARGET_MEMBERSHIP'!AH$5:AH$27,-1)))))</f>
        <v/>
      </c>
      <c r="H37" s="34">
        <f>IF($B37="ABSOLUTE SEMANTIC",'19_FEATURE_CONFIDENCE'!$D$10,SQRT((SUMPRODUCT(--('93_TARGET_MEMBERSHIP'!AH$5:AH$27=1),'92_FEATURE_CONF_NUMERIC'!I$5:I$27)/MAX(1,COUNTIF('93_TARGET_MEMBERSHIP'!AH$5:AH$27,1)))*(SUMPRODUCT(--('93_TARGET_MEMBERSHIP'!AH$5:AH$27=-1),'92_FEATURE_CONF_NUMERIC'!I$5:I$27)/MAX(1,COUNTIF('93_TARGET_MEMBERSHIP'!AH$5:AH$27,-1)))))</f>
        <v/>
      </c>
      <c r="I37" s="34">
        <f>IF($B37="ABSOLUTE SEMANTIC",'19_FEATURE_CONFIDENCE'!$D$11,SQRT((SUMPRODUCT(--('93_TARGET_MEMBERSHIP'!AH$5:AH$27=1),'92_FEATURE_CONF_NUMERIC'!J$5:J$27)/MAX(1,COUNTIF('93_TARGET_MEMBERSHIP'!AH$5:AH$27,1)))*(SUMPRODUCT(--('93_TARGET_MEMBERSHIP'!AH$5:AH$27=-1),'92_FEATURE_CONF_NUMERIC'!J$5:J$27)/MAX(1,COUNTIF('93_TARGET_MEMBERSHIP'!AH$5:AH$27,-1)))))</f>
        <v/>
      </c>
      <c r="J37" s="34">
        <f>IF($B37="ABSOLUTE SEMANTIC",'19_FEATURE_CONFIDENCE'!$D$12,SQRT((SUMPRODUCT(--('93_TARGET_MEMBERSHIP'!AH$5:AH$27=1),'92_FEATURE_CONF_NUMERIC'!K$5:K$27)/MAX(1,COUNTIF('93_TARGET_MEMBERSHIP'!AH$5:AH$27,1)))*(SUMPRODUCT(--('93_TARGET_MEMBERSHIP'!AH$5:AH$27=-1),'92_FEATURE_CONF_NUMERIC'!K$5:K$27)/MAX(1,COUNTIF('93_TARGET_MEMBERSHIP'!AH$5:AH$27,-1)))))</f>
        <v/>
      </c>
      <c r="K37" s="34">
        <f>IF($B37="ABSOLUTE SEMANTIC",'19_FEATURE_CONFIDENCE'!$D$13,SQRT((SUMPRODUCT(--('93_TARGET_MEMBERSHIP'!AH$5:AH$27=1),'92_FEATURE_CONF_NUMERIC'!L$5:L$27)/MAX(1,COUNTIF('93_TARGET_MEMBERSHIP'!AH$5:AH$27,1)))*(SUMPRODUCT(--('93_TARGET_MEMBERSHIP'!AH$5:AH$27=-1),'92_FEATURE_CONF_NUMERIC'!L$5:L$27)/MAX(1,COUNTIF('93_TARGET_MEMBERSHIP'!AH$5:AH$27,-1)))))</f>
        <v/>
      </c>
      <c r="L37" s="34">
        <f>IF($B37="ABSOLUTE SEMANTIC",'19_FEATURE_CONFIDENCE'!$D$14,SQRT((SUMPRODUCT(--('93_TARGET_MEMBERSHIP'!AH$5:AH$27=1),'92_FEATURE_CONF_NUMERIC'!M$5:M$27)/MAX(1,COUNTIF('93_TARGET_MEMBERSHIP'!AH$5:AH$27,1)))*(SUMPRODUCT(--('93_TARGET_MEMBERSHIP'!AH$5:AH$27=-1),'92_FEATURE_CONF_NUMERIC'!M$5:M$27)/MAX(1,COUNTIF('93_TARGET_MEMBERSHIP'!AH$5:AH$27,-1)))))</f>
        <v/>
      </c>
      <c r="M37" s="34">
        <f>IF($B37="ABSOLUTE SEMANTIC",'19_FEATURE_CONFIDENCE'!$D$15,SQRT((SUMPRODUCT(--('93_TARGET_MEMBERSHIP'!AH$5:AH$27=1),'92_FEATURE_CONF_NUMERIC'!N$5:N$27)/MAX(1,COUNTIF('93_TARGET_MEMBERSHIP'!AH$5:AH$27,1)))*(SUMPRODUCT(--('93_TARGET_MEMBERSHIP'!AH$5:AH$27=-1),'92_FEATURE_CONF_NUMERIC'!N$5:N$27)/MAX(1,COUNTIF('93_TARGET_MEMBERSHIP'!AH$5:AH$27,-1)))))</f>
        <v/>
      </c>
      <c r="N37" s="34">
        <f>IF($B37="ABSOLUTE SEMANTIC",'19_FEATURE_CONFIDENCE'!$D$16,SQRT((SUMPRODUCT(--('93_TARGET_MEMBERSHIP'!AH$5:AH$27=1),'92_FEATURE_CONF_NUMERIC'!O$5:O$27)/MAX(1,COUNTIF('93_TARGET_MEMBERSHIP'!AH$5:AH$27,1)))*(SUMPRODUCT(--('93_TARGET_MEMBERSHIP'!AH$5:AH$27=-1),'92_FEATURE_CONF_NUMERIC'!O$5:O$27)/MAX(1,COUNTIF('93_TARGET_MEMBERSHIP'!AH$5:AH$27,-1)))))</f>
        <v/>
      </c>
      <c r="O37" s="34">
        <f>IF($B37="ABSOLUTE SEMANTIC",'19_FEATURE_CONFIDENCE'!$D$17,SQRT((SUMPRODUCT(--('93_TARGET_MEMBERSHIP'!AH$5:AH$27=1),'92_FEATURE_CONF_NUMERIC'!P$5:P$27)/MAX(1,COUNTIF('93_TARGET_MEMBERSHIP'!AH$5:AH$27,1)))*(SUMPRODUCT(--('93_TARGET_MEMBERSHIP'!AH$5:AH$27=-1),'92_FEATURE_CONF_NUMERIC'!P$5:P$27)/MAX(1,COUNTIF('93_TARGET_MEMBERSHIP'!AH$5:AH$27,-1)))))</f>
        <v/>
      </c>
      <c r="P37" s="34">
        <f>IF($B37="ABSOLUTE SEMANTIC",'19_FEATURE_CONFIDENCE'!$D$18,SQRT((SUMPRODUCT(--('93_TARGET_MEMBERSHIP'!AH$5:AH$27=1),'92_FEATURE_CONF_NUMERIC'!Q$5:Q$27)/MAX(1,COUNTIF('93_TARGET_MEMBERSHIP'!AH$5:AH$27,1)))*(SUMPRODUCT(--('93_TARGET_MEMBERSHIP'!AH$5:AH$27=-1),'92_FEATURE_CONF_NUMERIC'!Q$5:Q$27)/MAX(1,COUNTIF('93_TARGET_MEMBERSHIP'!AH$5:AH$27,-1)))))</f>
        <v/>
      </c>
      <c r="Q37" s="34">
        <f>IF($B37="ABSOLUTE SEMANTIC",'19_FEATURE_CONFIDENCE'!$D$19,SQRT((SUMPRODUCT(--('93_TARGET_MEMBERSHIP'!AH$5:AH$27=1),'92_FEATURE_CONF_NUMERIC'!R$5:R$27)/MAX(1,COUNTIF('93_TARGET_MEMBERSHIP'!AH$5:AH$27,1)))*(SUMPRODUCT(--('93_TARGET_MEMBERSHIP'!AH$5:AH$27=-1),'92_FEATURE_CONF_NUMERIC'!R$5:R$27)/MAX(1,COUNTIF('93_TARGET_MEMBERSHIP'!AH$5:AH$27,-1)))))</f>
        <v/>
      </c>
      <c r="R37" s="34">
        <f>IF($B37="ABSOLUTE SEMANTIC",'19_FEATURE_CONFIDENCE'!$D$20,SQRT((SUMPRODUCT(--('93_TARGET_MEMBERSHIP'!AH$5:AH$27=1),'92_FEATURE_CONF_NUMERIC'!S$5:S$27)/MAX(1,COUNTIF('93_TARGET_MEMBERSHIP'!AH$5:AH$27,1)))*(SUMPRODUCT(--('93_TARGET_MEMBERSHIP'!AH$5:AH$27=-1),'92_FEATURE_CONF_NUMERIC'!S$5:S$27)/MAX(1,COUNTIF('93_TARGET_MEMBERSHIP'!AH$5:AH$27,-1)))))</f>
        <v/>
      </c>
      <c r="S37" s="34">
        <f>IF($B37="ABSOLUTE SEMANTIC",'19_FEATURE_CONFIDENCE'!$D$21,SQRT((SUMPRODUCT(--('93_TARGET_MEMBERSHIP'!AH$5:AH$27=1),'92_FEATURE_CONF_NUMERIC'!T$5:T$27)/MAX(1,COUNTIF('93_TARGET_MEMBERSHIP'!AH$5:AH$27,1)))*(SUMPRODUCT(--('93_TARGET_MEMBERSHIP'!AH$5:AH$27=-1),'92_FEATURE_CONF_NUMERIC'!T$5:T$27)/MAX(1,COUNTIF('93_TARGET_MEMBERSHIP'!AH$5:AH$27,-1)))))</f>
        <v/>
      </c>
      <c r="T37" s="34">
        <f>IF($B37="ABSOLUTE SEMANTIC",'19_FEATURE_CONFIDENCE'!$D$22,SQRT((SUMPRODUCT(--('93_TARGET_MEMBERSHIP'!AH$5:AH$27=1),'92_FEATURE_CONF_NUMERIC'!U$5:U$27)/MAX(1,COUNTIF('93_TARGET_MEMBERSHIP'!AH$5:AH$27,1)))*(SUMPRODUCT(--('93_TARGET_MEMBERSHIP'!AH$5:AH$27=-1),'92_FEATURE_CONF_NUMERIC'!U$5:U$27)/MAX(1,COUNTIF('93_TARGET_MEMBERSHIP'!AH$5:AH$27,-1)))))</f>
        <v/>
      </c>
      <c r="U37" s="34">
        <f>IF($B37="ABSOLUTE SEMANTIC",'19_FEATURE_CONFIDENCE'!$D$23,SQRT((SUMPRODUCT(--('93_TARGET_MEMBERSHIP'!AH$5:AH$27=1),'92_FEATURE_CONF_NUMERIC'!V$5:V$27)/MAX(1,COUNTIF('93_TARGET_MEMBERSHIP'!AH$5:AH$27,1)))*(SUMPRODUCT(--('93_TARGET_MEMBERSHIP'!AH$5:AH$27=-1),'92_FEATURE_CONF_NUMERIC'!V$5:V$27)/MAX(1,COUNTIF('93_TARGET_MEMBERSHIP'!AH$5:AH$27,-1)))))</f>
        <v/>
      </c>
      <c r="V37" s="34">
        <f>IF($B37="ABSOLUTE SEMANTIC",'19_FEATURE_CONFIDENCE'!$D$24,SQRT((SUMPRODUCT(--('93_TARGET_MEMBERSHIP'!AH$5:AH$27=1),'92_FEATURE_CONF_NUMERIC'!W$5:W$27)/MAX(1,COUNTIF('93_TARGET_MEMBERSHIP'!AH$5:AH$27,1)))*(SUMPRODUCT(--('93_TARGET_MEMBERSHIP'!AH$5:AH$27=-1),'92_FEATURE_CONF_NUMERIC'!W$5:W$27)/MAX(1,COUNTIF('93_TARGET_MEMBERSHIP'!AH$5:AH$27,-1)))))</f>
        <v/>
      </c>
      <c r="W37" s="34">
        <f>IF($B37="ABSOLUTE SEMANTIC",'19_FEATURE_CONFIDENCE'!$D$25,SQRT((SUMPRODUCT(--('93_TARGET_MEMBERSHIP'!AH$5:AH$27=1),'92_FEATURE_CONF_NUMERIC'!X$5:X$27)/MAX(1,COUNTIF('93_TARGET_MEMBERSHIP'!AH$5:AH$27,1)))*(SUMPRODUCT(--('93_TARGET_MEMBERSHIP'!AH$5:AH$27=-1),'92_FEATURE_CONF_NUMERIC'!X$5:X$27)/MAX(1,COUNTIF('93_TARGET_MEMBERSHIP'!AH$5:AH$27,-1)))))</f>
        <v/>
      </c>
      <c r="X37" s="34">
        <f>IF($B37="ABSOLUTE SEMANTIC",'19_FEATURE_CONFIDENCE'!$D$26,SQRT((SUMPRODUCT(--('93_TARGET_MEMBERSHIP'!AH$5:AH$27=1),'92_FEATURE_CONF_NUMERIC'!Y$5:Y$27)/MAX(1,COUNTIF('93_TARGET_MEMBERSHIP'!AH$5:AH$27,1)))*(SUMPRODUCT(--('93_TARGET_MEMBERSHIP'!AH$5:AH$27=-1),'92_FEATURE_CONF_NUMERIC'!Y$5:Y$27)/MAX(1,COUNTIF('93_TARGET_MEMBERSHIP'!AH$5:AH$27,-1)))))</f>
        <v/>
      </c>
      <c r="Y37" s="34">
        <f>IF($B37="ABSOLUTE SEMANTIC",'19_FEATURE_CONFIDENCE'!$D$27,SQRT((SUMPRODUCT(--('93_TARGET_MEMBERSHIP'!AH$5:AH$27=1),'92_FEATURE_CONF_NUMERIC'!Z$5:Z$27)/MAX(1,COUNTIF('93_TARGET_MEMBERSHIP'!AH$5:AH$27,1)))*(SUMPRODUCT(--('93_TARGET_MEMBERSHIP'!AH$5:AH$27=-1),'92_FEATURE_CONF_NUMERIC'!Z$5:Z$27)/MAX(1,COUNTIF('93_TARGET_MEMBERSHIP'!AH$5:AH$27,-1)))))</f>
        <v/>
      </c>
      <c r="Z37" s="34">
        <f>IF($B37="ABSOLUTE SEMANTIC",'19_FEATURE_CONFIDENCE'!$D$28,SQRT((SUMPRODUCT(--('93_TARGET_MEMBERSHIP'!AH$5:AH$27=1),'92_FEATURE_CONF_NUMERIC'!AA$5:AA$27)/MAX(1,COUNTIF('93_TARGET_MEMBERSHIP'!AH$5:AH$27,1)))*(SUMPRODUCT(--('93_TARGET_MEMBERSHIP'!AH$5:AH$27=-1),'92_FEATURE_CONF_NUMERIC'!AA$5:AA$27)/MAX(1,COUNTIF('93_TARGET_MEMBERSHIP'!AH$5:AH$27,-1)))))</f>
        <v/>
      </c>
      <c r="AA37" s="34">
        <f>IF($B37="ABSOLUTE SEMANTIC",'19_FEATURE_CONFIDENCE'!$D$29,SQRT((SUMPRODUCT(--('93_TARGET_MEMBERSHIP'!AH$5:AH$27=1),'92_FEATURE_CONF_NUMERIC'!AB$5:AB$27)/MAX(1,COUNTIF('93_TARGET_MEMBERSHIP'!AH$5:AH$27,1)))*(SUMPRODUCT(--('93_TARGET_MEMBERSHIP'!AH$5:AH$27=-1),'92_FEATURE_CONF_NUMERIC'!AB$5:AB$27)/MAX(1,COUNTIF('93_TARGET_MEMBERSHIP'!AH$5:AH$27,-1)))))</f>
        <v/>
      </c>
      <c r="AB37" s="34">
        <f>IF($B37="ABSOLUTE SEMANTIC",'19_FEATURE_CONFIDENCE'!$D$30,SQRT((SUMPRODUCT(--('93_TARGET_MEMBERSHIP'!AH$5:AH$27=1),'92_FEATURE_CONF_NUMERIC'!AC$5:AC$27)/MAX(1,COUNTIF('93_TARGET_MEMBERSHIP'!AH$5:AH$27,1)))*(SUMPRODUCT(--('93_TARGET_MEMBERSHIP'!AH$5:AH$27=-1),'92_FEATURE_CONF_NUMERIC'!AC$5:AC$27)/MAX(1,COUNTIF('93_TARGET_MEMBERSHIP'!AH$5:AH$27,-1)))))</f>
        <v/>
      </c>
      <c r="AC37" s="34">
        <f>IF($B37="ABSOLUTE SEMANTIC",'19_FEATURE_CONFIDENCE'!$D$31,SQRT((SUMPRODUCT(--('93_TARGET_MEMBERSHIP'!AH$5:AH$27=1),'92_FEATURE_CONF_NUMERIC'!AD$5:AD$27)/MAX(1,COUNTIF('93_TARGET_MEMBERSHIP'!AH$5:AH$27,1)))*(SUMPRODUCT(--('93_TARGET_MEMBERSHIP'!AH$5:AH$27=-1),'92_FEATURE_CONF_NUMERIC'!AD$5:AD$27)/MAX(1,COUNTIF('93_TARGET_MEMBERSHIP'!AH$5:AH$27,-1)))))</f>
        <v/>
      </c>
      <c r="AD37" s="34">
        <f>IF($B37="ABSOLUTE SEMANTIC",'19_FEATURE_CONFIDENCE'!$D$32,SQRT((SUMPRODUCT(--('93_TARGET_MEMBERSHIP'!AH$5:AH$27=1),'92_FEATURE_CONF_NUMERIC'!AE$5:AE$27)/MAX(1,COUNTIF('93_TARGET_MEMBERSHIP'!AH$5:AH$27,1)))*(SUMPRODUCT(--('93_TARGET_MEMBERSHIP'!AH$5:AH$27=-1),'92_FEATURE_CONF_NUMERIC'!AE$5:AE$27)/MAX(1,COUNTIF('93_TARGET_MEMBERSHIP'!AH$5:AH$27,-1)))))</f>
        <v/>
      </c>
      <c r="AE37" s="34">
        <f>IF($B37="ABSOLUTE SEMANTIC",'19_FEATURE_CONFIDENCE'!$D$33,SQRT((SUMPRODUCT(--('93_TARGET_MEMBERSHIP'!AH$5:AH$27=1),'92_FEATURE_CONF_NUMERIC'!AF$5:AF$27)/MAX(1,COUNTIF('93_TARGET_MEMBERSHIP'!AH$5:AH$27,1)))*(SUMPRODUCT(--('93_TARGET_MEMBERSHIP'!AH$5:AH$27=-1),'92_FEATURE_CONF_NUMERIC'!AF$5:AF$27)/MAX(1,COUNTIF('93_TARGET_MEMBERSHIP'!AH$5:AH$27,-1)))))</f>
        <v/>
      </c>
      <c r="AF37" s="34">
        <f>IF($B37="ABSOLUTE SEMANTIC",'19_FEATURE_CONFIDENCE'!$D$34,SQRT((SUMPRODUCT(--('93_TARGET_MEMBERSHIP'!AH$5:AH$27=1),'92_FEATURE_CONF_NUMERIC'!AG$5:AG$27)/MAX(1,COUNTIF('93_TARGET_MEMBERSHIP'!AH$5:AH$27,1)))*(SUMPRODUCT(--('93_TARGET_MEMBERSHIP'!AH$5:AH$27=-1),'92_FEATURE_CONF_NUMERIC'!AG$5:AG$27)/MAX(1,COUNTIF('93_TARGET_MEMBERSHIP'!AH$5:AH$27,-1)))))</f>
        <v/>
      </c>
      <c r="AG37" s="34">
        <f>IF($B37="ABSOLUTE SEMANTIC",'19_FEATURE_CONFIDENCE'!$D$35,SQRT((SUMPRODUCT(--('93_TARGET_MEMBERSHIP'!AH$5:AH$27=1),'92_FEATURE_CONF_NUMERIC'!AH$5:AH$27)/MAX(1,COUNTIF('93_TARGET_MEMBERSHIP'!AH$5:AH$27,1)))*(SUMPRODUCT(--('93_TARGET_MEMBERSHIP'!AH$5:AH$27=-1),'92_FEATURE_CONF_NUMERIC'!AH$5:AH$27)/MAX(1,COUNTIF('93_TARGET_MEMBERSHIP'!AH$5:AH$27,-1)))))</f>
        <v/>
      </c>
      <c r="AH37" s="34">
        <f>IF($B37="ABSOLUTE SEMANTIC",'19_FEATURE_CONFIDENCE'!$D$36,SQRT((SUMPRODUCT(--('93_TARGET_MEMBERSHIP'!AH$5:AH$27=1),'92_FEATURE_CONF_NUMERIC'!AI$5:AI$27)/MAX(1,COUNTIF('93_TARGET_MEMBERSHIP'!AH$5:AH$27,1)))*(SUMPRODUCT(--('93_TARGET_MEMBERSHIP'!AH$5:AH$27=-1),'92_FEATURE_CONF_NUMERIC'!AI$5:AI$27)/MAX(1,COUNTIF('93_TARGET_MEMBERSHIP'!AH$5:AH$27,-1)))))</f>
        <v/>
      </c>
      <c r="AI37" s="34">
        <f>IF($B37="ABSOLUTE SEMANTIC",'19_FEATURE_CONFIDENCE'!$D$37,SQRT((SUMPRODUCT(--('93_TARGET_MEMBERSHIP'!AH$5:AH$27=1),'92_FEATURE_CONF_NUMERIC'!AJ$5:AJ$27)/MAX(1,COUNTIF('93_TARGET_MEMBERSHIP'!AH$5:AH$27,1)))*(SUMPRODUCT(--('93_TARGET_MEMBERSHIP'!AH$5:AH$27=-1),'92_FEATURE_CONF_NUMERIC'!AJ$5:AJ$27)/MAX(1,COUNTIF('93_TARGET_MEMBERSHIP'!AH$5:AH$27,-1)))))</f>
        <v/>
      </c>
      <c r="AJ37" s="34">
        <f>IF($B37="ABSOLUTE SEMANTIC",'19_FEATURE_CONFIDENCE'!$D$38,SQRT((SUMPRODUCT(--('93_TARGET_MEMBERSHIP'!AH$5:AH$27=1),'92_FEATURE_CONF_NUMERIC'!AK$5:AK$27)/MAX(1,COUNTIF('93_TARGET_MEMBERSHIP'!AH$5:AH$27,1)))*(SUMPRODUCT(--('93_TARGET_MEMBERSHIP'!AH$5:AH$27=-1),'92_FEATURE_CONF_NUMERIC'!AK$5:AK$27)/MAX(1,COUNTIF('93_TARGET_MEMBERSHIP'!AH$5:AH$27,-1)))))</f>
        <v/>
      </c>
      <c r="AK37" s="34">
        <f>IF($B37="ABSOLUTE SEMANTIC",'19_FEATURE_CONFIDENCE'!$D$39,SQRT((SUMPRODUCT(--('93_TARGET_MEMBERSHIP'!AH$5:AH$27=1),'92_FEATURE_CONF_NUMERIC'!AL$5:AL$27)/MAX(1,COUNTIF('93_TARGET_MEMBERSHIP'!AH$5:AH$27,1)))*(SUMPRODUCT(--('93_TARGET_MEMBERSHIP'!AH$5:AH$27=-1),'92_FEATURE_CONF_NUMERIC'!AL$5:AL$27)/MAX(1,COUNTIF('93_TARGET_MEMBERSHIP'!AH$5:AH$27,-1)))))</f>
        <v/>
      </c>
      <c r="AL37" s="34">
        <f>IF($B37="ABSOLUTE SEMANTIC",'19_FEATURE_CONFIDENCE'!$D$40,SQRT((SUMPRODUCT(--('93_TARGET_MEMBERSHIP'!AH$5:AH$27=1),'92_FEATURE_CONF_NUMERIC'!AM$5:AM$27)/MAX(1,COUNTIF('93_TARGET_MEMBERSHIP'!AH$5:AH$27,1)))*(SUMPRODUCT(--('93_TARGET_MEMBERSHIP'!AH$5:AH$27=-1),'92_FEATURE_CONF_NUMERIC'!AM$5:AM$27)/MAX(1,COUNTIF('93_TARGET_MEMBERSHIP'!AH$5:AH$27,-1)))))</f>
        <v/>
      </c>
      <c r="AM37" s="34">
        <f>IF($B37="ABSOLUTE SEMANTIC",'19_FEATURE_CONFIDENCE'!$D$41,SQRT((SUMPRODUCT(--('93_TARGET_MEMBERSHIP'!AH$5:AH$27=1),'92_FEATURE_CONF_NUMERIC'!AN$5:AN$27)/MAX(1,COUNTIF('93_TARGET_MEMBERSHIP'!AH$5:AH$27,1)))*(SUMPRODUCT(--('93_TARGET_MEMBERSHIP'!AH$5:AH$27=-1),'92_FEATURE_CONF_NUMERIC'!AN$5:AN$27)/MAX(1,COUNTIF('93_TARGET_MEMBERSHIP'!AH$5:AH$27,-1)))))</f>
        <v/>
      </c>
      <c r="AN37" s="34">
        <f>IF($B37="ABSOLUTE SEMANTIC",'19_FEATURE_CONFIDENCE'!$D$42,SQRT((SUMPRODUCT(--('93_TARGET_MEMBERSHIP'!AH$5:AH$27=1),'92_FEATURE_CONF_NUMERIC'!AO$5:AO$27)/MAX(1,COUNTIF('93_TARGET_MEMBERSHIP'!AH$5:AH$27,1)))*(SUMPRODUCT(--('93_TARGET_MEMBERSHIP'!AH$5:AH$27=-1),'92_FEATURE_CONF_NUMERIC'!AO$5:AO$27)/MAX(1,COUNTIF('93_TARGET_MEMBERSHIP'!AH$5:AH$27,-1)))))</f>
        <v/>
      </c>
      <c r="AO37" s="34">
        <f>IF($B37="ABSOLUTE SEMANTIC",'19_FEATURE_CONFIDENCE'!$D$43,SQRT((SUMPRODUCT(--('93_TARGET_MEMBERSHIP'!AH$5:AH$27=1),'92_FEATURE_CONF_NUMERIC'!AP$5:AP$27)/MAX(1,COUNTIF('93_TARGET_MEMBERSHIP'!AH$5:AH$27,1)))*(SUMPRODUCT(--('93_TARGET_MEMBERSHIP'!AH$5:AH$27=-1),'92_FEATURE_CONF_NUMERIC'!AP$5:AP$27)/MAX(1,COUNTIF('93_TARGET_MEMBERSHIP'!AH$5:AH$27,-1)))))</f>
        <v/>
      </c>
      <c r="AP37" s="34">
        <f>IF($B37="ABSOLUTE SEMANTIC",'19_FEATURE_CONFIDENCE'!$D$44,SQRT((SUMPRODUCT(--('93_TARGET_MEMBERSHIP'!AH$5:AH$27=1),'92_FEATURE_CONF_NUMERIC'!AQ$5:AQ$27)/MAX(1,COUNTIF('93_TARGET_MEMBERSHIP'!AH$5:AH$27,1)))*(SUMPRODUCT(--('93_TARGET_MEMBERSHIP'!AH$5:AH$27=-1),'92_FEATURE_CONF_NUMERIC'!AQ$5:AQ$27)/MAX(1,COUNTIF('93_TARGET_MEMBERSHIP'!AH$5:AH$27,-1)))))</f>
        <v/>
      </c>
      <c r="AQ37" s="34">
        <f>IF($B37="ABSOLUTE SEMANTIC",'19_FEATURE_CONFIDENCE'!$D$45,SQRT((SUMPRODUCT(--('93_TARGET_MEMBERSHIP'!AH$5:AH$27=1),'92_FEATURE_CONF_NUMERIC'!AR$5:AR$27)/MAX(1,COUNTIF('93_TARGET_MEMBERSHIP'!AH$5:AH$27,1)))*(SUMPRODUCT(--('93_TARGET_MEMBERSHIP'!AH$5:AH$27=-1),'92_FEATURE_CONF_NUMERIC'!AR$5:AR$27)/MAX(1,COUNTIF('93_TARGET_MEMBERSHIP'!AH$5:AH$27,-1)))))</f>
        <v/>
      </c>
    </row>
    <row r="38" ht="36" customHeight="1">
      <c r="A38" s="34">
        <f>'06_ITEM_POLE_MODEL'!A38</f>
        <v/>
      </c>
      <c r="B38" s="34">
        <f>'06_ITEM_POLE_MODEL'!E38</f>
        <v/>
      </c>
      <c r="C38" s="34">
        <f>IF($B38="ABSOLUTE SEMANTIC",'19_FEATURE_CONFIDENCE'!$D$5,SQRT((SUMPRODUCT(--('93_TARGET_MEMBERSHIP'!AI$5:AI$27=1),'92_FEATURE_CONF_NUMERIC'!D$5:D$27)/MAX(1,COUNTIF('93_TARGET_MEMBERSHIP'!AI$5:AI$27,1)))*(SUMPRODUCT(--('93_TARGET_MEMBERSHIP'!AI$5:AI$27=-1),'92_FEATURE_CONF_NUMERIC'!D$5:D$27)/MAX(1,COUNTIF('93_TARGET_MEMBERSHIP'!AI$5:AI$27,-1)))))</f>
        <v/>
      </c>
      <c r="D38" s="34">
        <f>IF($B38="ABSOLUTE SEMANTIC",'19_FEATURE_CONFIDENCE'!$D$6,SQRT((SUMPRODUCT(--('93_TARGET_MEMBERSHIP'!AI$5:AI$27=1),'92_FEATURE_CONF_NUMERIC'!E$5:E$27)/MAX(1,COUNTIF('93_TARGET_MEMBERSHIP'!AI$5:AI$27,1)))*(SUMPRODUCT(--('93_TARGET_MEMBERSHIP'!AI$5:AI$27=-1),'92_FEATURE_CONF_NUMERIC'!E$5:E$27)/MAX(1,COUNTIF('93_TARGET_MEMBERSHIP'!AI$5:AI$27,-1)))))</f>
        <v/>
      </c>
      <c r="E38" s="34">
        <f>IF($B38="ABSOLUTE SEMANTIC",'19_FEATURE_CONFIDENCE'!$D$7,SQRT((SUMPRODUCT(--('93_TARGET_MEMBERSHIP'!AI$5:AI$27=1),'92_FEATURE_CONF_NUMERIC'!F$5:F$27)/MAX(1,COUNTIF('93_TARGET_MEMBERSHIP'!AI$5:AI$27,1)))*(SUMPRODUCT(--('93_TARGET_MEMBERSHIP'!AI$5:AI$27=-1),'92_FEATURE_CONF_NUMERIC'!F$5:F$27)/MAX(1,COUNTIF('93_TARGET_MEMBERSHIP'!AI$5:AI$27,-1)))))</f>
        <v/>
      </c>
      <c r="F38" s="34">
        <f>IF($B38="ABSOLUTE SEMANTIC",'19_FEATURE_CONFIDENCE'!$D$8,SQRT((SUMPRODUCT(--('93_TARGET_MEMBERSHIP'!AI$5:AI$27=1),'92_FEATURE_CONF_NUMERIC'!G$5:G$27)/MAX(1,COUNTIF('93_TARGET_MEMBERSHIP'!AI$5:AI$27,1)))*(SUMPRODUCT(--('93_TARGET_MEMBERSHIP'!AI$5:AI$27=-1),'92_FEATURE_CONF_NUMERIC'!G$5:G$27)/MAX(1,COUNTIF('93_TARGET_MEMBERSHIP'!AI$5:AI$27,-1)))))</f>
        <v/>
      </c>
      <c r="G38" s="34">
        <f>IF($B38="ABSOLUTE SEMANTIC",'19_FEATURE_CONFIDENCE'!$D$9,SQRT((SUMPRODUCT(--('93_TARGET_MEMBERSHIP'!AI$5:AI$27=1),'92_FEATURE_CONF_NUMERIC'!H$5:H$27)/MAX(1,COUNTIF('93_TARGET_MEMBERSHIP'!AI$5:AI$27,1)))*(SUMPRODUCT(--('93_TARGET_MEMBERSHIP'!AI$5:AI$27=-1),'92_FEATURE_CONF_NUMERIC'!H$5:H$27)/MAX(1,COUNTIF('93_TARGET_MEMBERSHIP'!AI$5:AI$27,-1)))))</f>
        <v/>
      </c>
      <c r="H38" s="34">
        <f>IF($B38="ABSOLUTE SEMANTIC",'19_FEATURE_CONFIDENCE'!$D$10,SQRT((SUMPRODUCT(--('93_TARGET_MEMBERSHIP'!AI$5:AI$27=1),'92_FEATURE_CONF_NUMERIC'!I$5:I$27)/MAX(1,COUNTIF('93_TARGET_MEMBERSHIP'!AI$5:AI$27,1)))*(SUMPRODUCT(--('93_TARGET_MEMBERSHIP'!AI$5:AI$27=-1),'92_FEATURE_CONF_NUMERIC'!I$5:I$27)/MAX(1,COUNTIF('93_TARGET_MEMBERSHIP'!AI$5:AI$27,-1)))))</f>
        <v/>
      </c>
      <c r="I38" s="34">
        <f>IF($B38="ABSOLUTE SEMANTIC",'19_FEATURE_CONFIDENCE'!$D$11,SQRT((SUMPRODUCT(--('93_TARGET_MEMBERSHIP'!AI$5:AI$27=1),'92_FEATURE_CONF_NUMERIC'!J$5:J$27)/MAX(1,COUNTIF('93_TARGET_MEMBERSHIP'!AI$5:AI$27,1)))*(SUMPRODUCT(--('93_TARGET_MEMBERSHIP'!AI$5:AI$27=-1),'92_FEATURE_CONF_NUMERIC'!J$5:J$27)/MAX(1,COUNTIF('93_TARGET_MEMBERSHIP'!AI$5:AI$27,-1)))))</f>
        <v/>
      </c>
      <c r="J38" s="34">
        <f>IF($B38="ABSOLUTE SEMANTIC",'19_FEATURE_CONFIDENCE'!$D$12,SQRT((SUMPRODUCT(--('93_TARGET_MEMBERSHIP'!AI$5:AI$27=1),'92_FEATURE_CONF_NUMERIC'!K$5:K$27)/MAX(1,COUNTIF('93_TARGET_MEMBERSHIP'!AI$5:AI$27,1)))*(SUMPRODUCT(--('93_TARGET_MEMBERSHIP'!AI$5:AI$27=-1),'92_FEATURE_CONF_NUMERIC'!K$5:K$27)/MAX(1,COUNTIF('93_TARGET_MEMBERSHIP'!AI$5:AI$27,-1)))))</f>
        <v/>
      </c>
      <c r="K38" s="34">
        <f>IF($B38="ABSOLUTE SEMANTIC",'19_FEATURE_CONFIDENCE'!$D$13,SQRT((SUMPRODUCT(--('93_TARGET_MEMBERSHIP'!AI$5:AI$27=1),'92_FEATURE_CONF_NUMERIC'!L$5:L$27)/MAX(1,COUNTIF('93_TARGET_MEMBERSHIP'!AI$5:AI$27,1)))*(SUMPRODUCT(--('93_TARGET_MEMBERSHIP'!AI$5:AI$27=-1),'92_FEATURE_CONF_NUMERIC'!L$5:L$27)/MAX(1,COUNTIF('93_TARGET_MEMBERSHIP'!AI$5:AI$27,-1)))))</f>
        <v/>
      </c>
      <c r="L38" s="34">
        <f>IF($B38="ABSOLUTE SEMANTIC",'19_FEATURE_CONFIDENCE'!$D$14,SQRT((SUMPRODUCT(--('93_TARGET_MEMBERSHIP'!AI$5:AI$27=1),'92_FEATURE_CONF_NUMERIC'!M$5:M$27)/MAX(1,COUNTIF('93_TARGET_MEMBERSHIP'!AI$5:AI$27,1)))*(SUMPRODUCT(--('93_TARGET_MEMBERSHIP'!AI$5:AI$27=-1),'92_FEATURE_CONF_NUMERIC'!M$5:M$27)/MAX(1,COUNTIF('93_TARGET_MEMBERSHIP'!AI$5:AI$27,-1)))))</f>
        <v/>
      </c>
      <c r="M38" s="34">
        <f>IF($B38="ABSOLUTE SEMANTIC",'19_FEATURE_CONFIDENCE'!$D$15,SQRT((SUMPRODUCT(--('93_TARGET_MEMBERSHIP'!AI$5:AI$27=1),'92_FEATURE_CONF_NUMERIC'!N$5:N$27)/MAX(1,COUNTIF('93_TARGET_MEMBERSHIP'!AI$5:AI$27,1)))*(SUMPRODUCT(--('93_TARGET_MEMBERSHIP'!AI$5:AI$27=-1),'92_FEATURE_CONF_NUMERIC'!N$5:N$27)/MAX(1,COUNTIF('93_TARGET_MEMBERSHIP'!AI$5:AI$27,-1)))))</f>
        <v/>
      </c>
      <c r="N38" s="34">
        <f>IF($B38="ABSOLUTE SEMANTIC",'19_FEATURE_CONFIDENCE'!$D$16,SQRT((SUMPRODUCT(--('93_TARGET_MEMBERSHIP'!AI$5:AI$27=1),'92_FEATURE_CONF_NUMERIC'!O$5:O$27)/MAX(1,COUNTIF('93_TARGET_MEMBERSHIP'!AI$5:AI$27,1)))*(SUMPRODUCT(--('93_TARGET_MEMBERSHIP'!AI$5:AI$27=-1),'92_FEATURE_CONF_NUMERIC'!O$5:O$27)/MAX(1,COUNTIF('93_TARGET_MEMBERSHIP'!AI$5:AI$27,-1)))))</f>
        <v/>
      </c>
      <c r="O38" s="34">
        <f>IF($B38="ABSOLUTE SEMANTIC",'19_FEATURE_CONFIDENCE'!$D$17,SQRT((SUMPRODUCT(--('93_TARGET_MEMBERSHIP'!AI$5:AI$27=1),'92_FEATURE_CONF_NUMERIC'!P$5:P$27)/MAX(1,COUNTIF('93_TARGET_MEMBERSHIP'!AI$5:AI$27,1)))*(SUMPRODUCT(--('93_TARGET_MEMBERSHIP'!AI$5:AI$27=-1),'92_FEATURE_CONF_NUMERIC'!P$5:P$27)/MAX(1,COUNTIF('93_TARGET_MEMBERSHIP'!AI$5:AI$27,-1)))))</f>
        <v/>
      </c>
      <c r="P38" s="34">
        <f>IF($B38="ABSOLUTE SEMANTIC",'19_FEATURE_CONFIDENCE'!$D$18,SQRT((SUMPRODUCT(--('93_TARGET_MEMBERSHIP'!AI$5:AI$27=1),'92_FEATURE_CONF_NUMERIC'!Q$5:Q$27)/MAX(1,COUNTIF('93_TARGET_MEMBERSHIP'!AI$5:AI$27,1)))*(SUMPRODUCT(--('93_TARGET_MEMBERSHIP'!AI$5:AI$27=-1),'92_FEATURE_CONF_NUMERIC'!Q$5:Q$27)/MAX(1,COUNTIF('93_TARGET_MEMBERSHIP'!AI$5:AI$27,-1)))))</f>
        <v/>
      </c>
      <c r="Q38" s="34">
        <f>IF($B38="ABSOLUTE SEMANTIC",'19_FEATURE_CONFIDENCE'!$D$19,SQRT((SUMPRODUCT(--('93_TARGET_MEMBERSHIP'!AI$5:AI$27=1),'92_FEATURE_CONF_NUMERIC'!R$5:R$27)/MAX(1,COUNTIF('93_TARGET_MEMBERSHIP'!AI$5:AI$27,1)))*(SUMPRODUCT(--('93_TARGET_MEMBERSHIP'!AI$5:AI$27=-1),'92_FEATURE_CONF_NUMERIC'!R$5:R$27)/MAX(1,COUNTIF('93_TARGET_MEMBERSHIP'!AI$5:AI$27,-1)))))</f>
        <v/>
      </c>
      <c r="R38" s="34">
        <f>IF($B38="ABSOLUTE SEMANTIC",'19_FEATURE_CONFIDENCE'!$D$20,SQRT((SUMPRODUCT(--('93_TARGET_MEMBERSHIP'!AI$5:AI$27=1),'92_FEATURE_CONF_NUMERIC'!S$5:S$27)/MAX(1,COUNTIF('93_TARGET_MEMBERSHIP'!AI$5:AI$27,1)))*(SUMPRODUCT(--('93_TARGET_MEMBERSHIP'!AI$5:AI$27=-1),'92_FEATURE_CONF_NUMERIC'!S$5:S$27)/MAX(1,COUNTIF('93_TARGET_MEMBERSHIP'!AI$5:AI$27,-1)))))</f>
        <v/>
      </c>
      <c r="S38" s="34">
        <f>IF($B38="ABSOLUTE SEMANTIC",'19_FEATURE_CONFIDENCE'!$D$21,SQRT((SUMPRODUCT(--('93_TARGET_MEMBERSHIP'!AI$5:AI$27=1),'92_FEATURE_CONF_NUMERIC'!T$5:T$27)/MAX(1,COUNTIF('93_TARGET_MEMBERSHIP'!AI$5:AI$27,1)))*(SUMPRODUCT(--('93_TARGET_MEMBERSHIP'!AI$5:AI$27=-1),'92_FEATURE_CONF_NUMERIC'!T$5:T$27)/MAX(1,COUNTIF('93_TARGET_MEMBERSHIP'!AI$5:AI$27,-1)))))</f>
        <v/>
      </c>
      <c r="T38" s="34">
        <f>IF($B38="ABSOLUTE SEMANTIC",'19_FEATURE_CONFIDENCE'!$D$22,SQRT((SUMPRODUCT(--('93_TARGET_MEMBERSHIP'!AI$5:AI$27=1),'92_FEATURE_CONF_NUMERIC'!U$5:U$27)/MAX(1,COUNTIF('93_TARGET_MEMBERSHIP'!AI$5:AI$27,1)))*(SUMPRODUCT(--('93_TARGET_MEMBERSHIP'!AI$5:AI$27=-1),'92_FEATURE_CONF_NUMERIC'!U$5:U$27)/MAX(1,COUNTIF('93_TARGET_MEMBERSHIP'!AI$5:AI$27,-1)))))</f>
        <v/>
      </c>
      <c r="U38" s="34">
        <f>IF($B38="ABSOLUTE SEMANTIC",'19_FEATURE_CONFIDENCE'!$D$23,SQRT((SUMPRODUCT(--('93_TARGET_MEMBERSHIP'!AI$5:AI$27=1),'92_FEATURE_CONF_NUMERIC'!V$5:V$27)/MAX(1,COUNTIF('93_TARGET_MEMBERSHIP'!AI$5:AI$27,1)))*(SUMPRODUCT(--('93_TARGET_MEMBERSHIP'!AI$5:AI$27=-1),'92_FEATURE_CONF_NUMERIC'!V$5:V$27)/MAX(1,COUNTIF('93_TARGET_MEMBERSHIP'!AI$5:AI$27,-1)))))</f>
        <v/>
      </c>
      <c r="V38" s="34">
        <f>IF($B38="ABSOLUTE SEMANTIC",'19_FEATURE_CONFIDENCE'!$D$24,SQRT((SUMPRODUCT(--('93_TARGET_MEMBERSHIP'!AI$5:AI$27=1),'92_FEATURE_CONF_NUMERIC'!W$5:W$27)/MAX(1,COUNTIF('93_TARGET_MEMBERSHIP'!AI$5:AI$27,1)))*(SUMPRODUCT(--('93_TARGET_MEMBERSHIP'!AI$5:AI$27=-1),'92_FEATURE_CONF_NUMERIC'!W$5:W$27)/MAX(1,COUNTIF('93_TARGET_MEMBERSHIP'!AI$5:AI$27,-1)))))</f>
        <v/>
      </c>
      <c r="W38" s="34">
        <f>IF($B38="ABSOLUTE SEMANTIC",'19_FEATURE_CONFIDENCE'!$D$25,SQRT((SUMPRODUCT(--('93_TARGET_MEMBERSHIP'!AI$5:AI$27=1),'92_FEATURE_CONF_NUMERIC'!X$5:X$27)/MAX(1,COUNTIF('93_TARGET_MEMBERSHIP'!AI$5:AI$27,1)))*(SUMPRODUCT(--('93_TARGET_MEMBERSHIP'!AI$5:AI$27=-1),'92_FEATURE_CONF_NUMERIC'!X$5:X$27)/MAX(1,COUNTIF('93_TARGET_MEMBERSHIP'!AI$5:AI$27,-1)))))</f>
        <v/>
      </c>
      <c r="X38" s="34">
        <f>IF($B38="ABSOLUTE SEMANTIC",'19_FEATURE_CONFIDENCE'!$D$26,SQRT((SUMPRODUCT(--('93_TARGET_MEMBERSHIP'!AI$5:AI$27=1),'92_FEATURE_CONF_NUMERIC'!Y$5:Y$27)/MAX(1,COUNTIF('93_TARGET_MEMBERSHIP'!AI$5:AI$27,1)))*(SUMPRODUCT(--('93_TARGET_MEMBERSHIP'!AI$5:AI$27=-1),'92_FEATURE_CONF_NUMERIC'!Y$5:Y$27)/MAX(1,COUNTIF('93_TARGET_MEMBERSHIP'!AI$5:AI$27,-1)))))</f>
        <v/>
      </c>
      <c r="Y38" s="34">
        <f>IF($B38="ABSOLUTE SEMANTIC",'19_FEATURE_CONFIDENCE'!$D$27,SQRT((SUMPRODUCT(--('93_TARGET_MEMBERSHIP'!AI$5:AI$27=1),'92_FEATURE_CONF_NUMERIC'!Z$5:Z$27)/MAX(1,COUNTIF('93_TARGET_MEMBERSHIP'!AI$5:AI$27,1)))*(SUMPRODUCT(--('93_TARGET_MEMBERSHIP'!AI$5:AI$27=-1),'92_FEATURE_CONF_NUMERIC'!Z$5:Z$27)/MAX(1,COUNTIF('93_TARGET_MEMBERSHIP'!AI$5:AI$27,-1)))))</f>
        <v/>
      </c>
      <c r="Z38" s="34">
        <f>IF($B38="ABSOLUTE SEMANTIC",'19_FEATURE_CONFIDENCE'!$D$28,SQRT((SUMPRODUCT(--('93_TARGET_MEMBERSHIP'!AI$5:AI$27=1),'92_FEATURE_CONF_NUMERIC'!AA$5:AA$27)/MAX(1,COUNTIF('93_TARGET_MEMBERSHIP'!AI$5:AI$27,1)))*(SUMPRODUCT(--('93_TARGET_MEMBERSHIP'!AI$5:AI$27=-1),'92_FEATURE_CONF_NUMERIC'!AA$5:AA$27)/MAX(1,COUNTIF('93_TARGET_MEMBERSHIP'!AI$5:AI$27,-1)))))</f>
        <v/>
      </c>
      <c r="AA38" s="34">
        <f>IF($B38="ABSOLUTE SEMANTIC",'19_FEATURE_CONFIDENCE'!$D$29,SQRT((SUMPRODUCT(--('93_TARGET_MEMBERSHIP'!AI$5:AI$27=1),'92_FEATURE_CONF_NUMERIC'!AB$5:AB$27)/MAX(1,COUNTIF('93_TARGET_MEMBERSHIP'!AI$5:AI$27,1)))*(SUMPRODUCT(--('93_TARGET_MEMBERSHIP'!AI$5:AI$27=-1),'92_FEATURE_CONF_NUMERIC'!AB$5:AB$27)/MAX(1,COUNTIF('93_TARGET_MEMBERSHIP'!AI$5:AI$27,-1)))))</f>
        <v/>
      </c>
      <c r="AB38" s="34">
        <f>IF($B38="ABSOLUTE SEMANTIC",'19_FEATURE_CONFIDENCE'!$D$30,SQRT((SUMPRODUCT(--('93_TARGET_MEMBERSHIP'!AI$5:AI$27=1),'92_FEATURE_CONF_NUMERIC'!AC$5:AC$27)/MAX(1,COUNTIF('93_TARGET_MEMBERSHIP'!AI$5:AI$27,1)))*(SUMPRODUCT(--('93_TARGET_MEMBERSHIP'!AI$5:AI$27=-1),'92_FEATURE_CONF_NUMERIC'!AC$5:AC$27)/MAX(1,COUNTIF('93_TARGET_MEMBERSHIP'!AI$5:AI$27,-1)))))</f>
        <v/>
      </c>
      <c r="AC38" s="34">
        <f>IF($B38="ABSOLUTE SEMANTIC",'19_FEATURE_CONFIDENCE'!$D$31,SQRT((SUMPRODUCT(--('93_TARGET_MEMBERSHIP'!AI$5:AI$27=1),'92_FEATURE_CONF_NUMERIC'!AD$5:AD$27)/MAX(1,COUNTIF('93_TARGET_MEMBERSHIP'!AI$5:AI$27,1)))*(SUMPRODUCT(--('93_TARGET_MEMBERSHIP'!AI$5:AI$27=-1),'92_FEATURE_CONF_NUMERIC'!AD$5:AD$27)/MAX(1,COUNTIF('93_TARGET_MEMBERSHIP'!AI$5:AI$27,-1)))))</f>
        <v/>
      </c>
      <c r="AD38" s="34">
        <f>IF($B38="ABSOLUTE SEMANTIC",'19_FEATURE_CONFIDENCE'!$D$32,SQRT((SUMPRODUCT(--('93_TARGET_MEMBERSHIP'!AI$5:AI$27=1),'92_FEATURE_CONF_NUMERIC'!AE$5:AE$27)/MAX(1,COUNTIF('93_TARGET_MEMBERSHIP'!AI$5:AI$27,1)))*(SUMPRODUCT(--('93_TARGET_MEMBERSHIP'!AI$5:AI$27=-1),'92_FEATURE_CONF_NUMERIC'!AE$5:AE$27)/MAX(1,COUNTIF('93_TARGET_MEMBERSHIP'!AI$5:AI$27,-1)))))</f>
        <v/>
      </c>
      <c r="AE38" s="34">
        <f>IF($B38="ABSOLUTE SEMANTIC",'19_FEATURE_CONFIDENCE'!$D$33,SQRT((SUMPRODUCT(--('93_TARGET_MEMBERSHIP'!AI$5:AI$27=1),'92_FEATURE_CONF_NUMERIC'!AF$5:AF$27)/MAX(1,COUNTIF('93_TARGET_MEMBERSHIP'!AI$5:AI$27,1)))*(SUMPRODUCT(--('93_TARGET_MEMBERSHIP'!AI$5:AI$27=-1),'92_FEATURE_CONF_NUMERIC'!AF$5:AF$27)/MAX(1,COUNTIF('93_TARGET_MEMBERSHIP'!AI$5:AI$27,-1)))))</f>
        <v/>
      </c>
      <c r="AF38" s="34">
        <f>IF($B38="ABSOLUTE SEMANTIC",'19_FEATURE_CONFIDENCE'!$D$34,SQRT((SUMPRODUCT(--('93_TARGET_MEMBERSHIP'!AI$5:AI$27=1),'92_FEATURE_CONF_NUMERIC'!AG$5:AG$27)/MAX(1,COUNTIF('93_TARGET_MEMBERSHIP'!AI$5:AI$27,1)))*(SUMPRODUCT(--('93_TARGET_MEMBERSHIP'!AI$5:AI$27=-1),'92_FEATURE_CONF_NUMERIC'!AG$5:AG$27)/MAX(1,COUNTIF('93_TARGET_MEMBERSHIP'!AI$5:AI$27,-1)))))</f>
        <v/>
      </c>
      <c r="AG38" s="34">
        <f>IF($B38="ABSOLUTE SEMANTIC",'19_FEATURE_CONFIDENCE'!$D$35,SQRT((SUMPRODUCT(--('93_TARGET_MEMBERSHIP'!AI$5:AI$27=1),'92_FEATURE_CONF_NUMERIC'!AH$5:AH$27)/MAX(1,COUNTIF('93_TARGET_MEMBERSHIP'!AI$5:AI$27,1)))*(SUMPRODUCT(--('93_TARGET_MEMBERSHIP'!AI$5:AI$27=-1),'92_FEATURE_CONF_NUMERIC'!AH$5:AH$27)/MAX(1,COUNTIF('93_TARGET_MEMBERSHIP'!AI$5:AI$27,-1)))))</f>
        <v/>
      </c>
      <c r="AH38" s="34">
        <f>IF($B38="ABSOLUTE SEMANTIC",'19_FEATURE_CONFIDENCE'!$D$36,SQRT((SUMPRODUCT(--('93_TARGET_MEMBERSHIP'!AI$5:AI$27=1),'92_FEATURE_CONF_NUMERIC'!AI$5:AI$27)/MAX(1,COUNTIF('93_TARGET_MEMBERSHIP'!AI$5:AI$27,1)))*(SUMPRODUCT(--('93_TARGET_MEMBERSHIP'!AI$5:AI$27=-1),'92_FEATURE_CONF_NUMERIC'!AI$5:AI$27)/MAX(1,COUNTIF('93_TARGET_MEMBERSHIP'!AI$5:AI$27,-1)))))</f>
        <v/>
      </c>
      <c r="AI38" s="34">
        <f>IF($B38="ABSOLUTE SEMANTIC",'19_FEATURE_CONFIDENCE'!$D$37,SQRT((SUMPRODUCT(--('93_TARGET_MEMBERSHIP'!AI$5:AI$27=1),'92_FEATURE_CONF_NUMERIC'!AJ$5:AJ$27)/MAX(1,COUNTIF('93_TARGET_MEMBERSHIP'!AI$5:AI$27,1)))*(SUMPRODUCT(--('93_TARGET_MEMBERSHIP'!AI$5:AI$27=-1),'92_FEATURE_CONF_NUMERIC'!AJ$5:AJ$27)/MAX(1,COUNTIF('93_TARGET_MEMBERSHIP'!AI$5:AI$27,-1)))))</f>
        <v/>
      </c>
      <c r="AJ38" s="34">
        <f>IF($B38="ABSOLUTE SEMANTIC",'19_FEATURE_CONFIDENCE'!$D$38,SQRT((SUMPRODUCT(--('93_TARGET_MEMBERSHIP'!AI$5:AI$27=1),'92_FEATURE_CONF_NUMERIC'!AK$5:AK$27)/MAX(1,COUNTIF('93_TARGET_MEMBERSHIP'!AI$5:AI$27,1)))*(SUMPRODUCT(--('93_TARGET_MEMBERSHIP'!AI$5:AI$27=-1),'92_FEATURE_CONF_NUMERIC'!AK$5:AK$27)/MAX(1,COUNTIF('93_TARGET_MEMBERSHIP'!AI$5:AI$27,-1)))))</f>
        <v/>
      </c>
      <c r="AK38" s="34">
        <f>IF($B38="ABSOLUTE SEMANTIC",'19_FEATURE_CONFIDENCE'!$D$39,SQRT((SUMPRODUCT(--('93_TARGET_MEMBERSHIP'!AI$5:AI$27=1),'92_FEATURE_CONF_NUMERIC'!AL$5:AL$27)/MAX(1,COUNTIF('93_TARGET_MEMBERSHIP'!AI$5:AI$27,1)))*(SUMPRODUCT(--('93_TARGET_MEMBERSHIP'!AI$5:AI$27=-1),'92_FEATURE_CONF_NUMERIC'!AL$5:AL$27)/MAX(1,COUNTIF('93_TARGET_MEMBERSHIP'!AI$5:AI$27,-1)))))</f>
        <v/>
      </c>
      <c r="AL38" s="34">
        <f>IF($B38="ABSOLUTE SEMANTIC",'19_FEATURE_CONFIDENCE'!$D$40,SQRT((SUMPRODUCT(--('93_TARGET_MEMBERSHIP'!AI$5:AI$27=1),'92_FEATURE_CONF_NUMERIC'!AM$5:AM$27)/MAX(1,COUNTIF('93_TARGET_MEMBERSHIP'!AI$5:AI$27,1)))*(SUMPRODUCT(--('93_TARGET_MEMBERSHIP'!AI$5:AI$27=-1),'92_FEATURE_CONF_NUMERIC'!AM$5:AM$27)/MAX(1,COUNTIF('93_TARGET_MEMBERSHIP'!AI$5:AI$27,-1)))))</f>
        <v/>
      </c>
      <c r="AM38" s="34">
        <f>IF($B38="ABSOLUTE SEMANTIC",'19_FEATURE_CONFIDENCE'!$D$41,SQRT((SUMPRODUCT(--('93_TARGET_MEMBERSHIP'!AI$5:AI$27=1),'92_FEATURE_CONF_NUMERIC'!AN$5:AN$27)/MAX(1,COUNTIF('93_TARGET_MEMBERSHIP'!AI$5:AI$27,1)))*(SUMPRODUCT(--('93_TARGET_MEMBERSHIP'!AI$5:AI$27=-1),'92_FEATURE_CONF_NUMERIC'!AN$5:AN$27)/MAX(1,COUNTIF('93_TARGET_MEMBERSHIP'!AI$5:AI$27,-1)))))</f>
        <v/>
      </c>
      <c r="AN38" s="34">
        <f>IF($B38="ABSOLUTE SEMANTIC",'19_FEATURE_CONFIDENCE'!$D$42,SQRT((SUMPRODUCT(--('93_TARGET_MEMBERSHIP'!AI$5:AI$27=1),'92_FEATURE_CONF_NUMERIC'!AO$5:AO$27)/MAX(1,COUNTIF('93_TARGET_MEMBERSHIP'!AI$5:AI$27,1)))*(SUMPRODUCT(--('93_TARGET_MEMBERSHIP'!AI$5:AI$27=-1),'92_FEATURE_CONF_NUMERIC'!AO$5:AO$27)/MAX(1,COUNTIF('93_TARGET_MEMBERSHIP'!AI$5:AI$27,-1)))))</f>
        <v/>
      </c>
      <c r="AO38" s="34">
        <f>IF($B38="ABSOLUTE SEMANTIC",'19_FEATURE_CONFIDENCE'!$D$43,SQRT((SUMPRODUCT(--('93_TARGET_MEMBERSHIP'!AI$5:AI$27=1),'92_FEATURE_CONF_NUMERIC'!AP$5:AP$27)/MAX(1,COUNTIF('93_TARGET_MEMBERSHIP'!AI$5:AI$27,1)))*(SUMPRODUCT(--('93_TARGET_MEMBERSHIP'!AI$5:AI$27=-1),'92_FEATURE_CONF_NUMERIC'!AP$5:AP$27)/MAX(1,COUNTIF('93_TARGET_MEMBERSHIP'!AI$5:AI$27,-1)))))</f>
        <v/>
      </c>
      <c r="AP38" s="34">
        <f>IF($B38="ABSOLUTE SEMANTIC",'19_FEATURE_CONFIDENCE'!$D$44,SQRT((SUMPRODUCT(--('93_TARGET_MEMBERSHIP'!AI$5:AI$27=1),'92_FEATURE_CONF_NUMERIC'!AQ$5:AQ$27)/MAX(1,COUNTIF('93_TARGET_MEMBERSHIP'!AI$5:AI$27,1)))*(SUMPRODUCT(--('93_TARGET_MEMBERSHIP'!AI$5:AI$27=-1),'92_FEATURE_CONF_NUMERIC'!AQ$5:AQ$27)/MAX(1,COUNTIF('93_TARGET_MEMBERSHIP'!AI$5:AI$27,-1)))))</f>
        <v/>
      </c>
      <c r="AQ38" s="34">
        <f>IF($B38="ABSOLUTE SEMANTIC",'19_FEATURE_CONFIDENCE'!$D$45,SQRT((SUMPRODUCT(--('93_TARGET_MEMBERSHIP'!AI$5:AI$27=1),'92_FEATURE_CONF_NUMERIC'!AR$5:AR$27)/MAX(1,COUNTIF('93_TARGET_MEMBERSHIP'!AI$5:AI$27,1)))*(SUMPRODUCT(--('93_TARGET_MEMBERSHIP'!AI$5:AI$27=-1),'92_FEATURE_CONF_NUMERIC'!AR$5:AR$27)/MAX(1,COUNTIF('93_TARGET_MEMBERSHIP'!AI$5:AI$27,-1)))))</f>
        <v/>
      </c>
    </row>
    <row r="39" ht="36" customHeight="1">
      <c r="A39" s="34">
        <f>'06_ITEM_POLE_MODEL'!A39</f>
        <v/>
      </c>
      <c r="B39" s="34">
        <f>'06_ITEM_POLE_MODEL'!E39</f>
        <v/>
      </c>
      <c r="C39" s="34">
        <f>IF($B39="ABSOLUTE SEMANTIC",'19_FEATURE_CONFIDENCE'!$D$5,SQRT((SUMPRODUCT(--('93_TARGET_MEMBERSHIP'!AJ$5:AJ$27=1),'92_FEATURE_CONF_NUMERIC'!D$5:D$27)/MAX(1,COUNTIF('93_TARGET_MEMBERSHIP'!AJ$5:AJ$27,1)))*(SUMPRODUCT(--('93_TARGET_MEMBERSHIP'!AJ$5:AJ$27=-1),'92_FEATURE_CONF_NUMERIC'!D$5:D$27)/MAX(1,COUNTIF('93_TARGET_MEMBERSHIP'!AJ$5:AJ$27,-1)))))</f>
        <v/>
      </c>
      <c r="D39" s="34">
        <f>IF($B39="ABSOLUTE SEMANTIC",'19_FEATURE_CONFIDENCE'!$D$6,SQRT((SUMPRODUCT(--('93_TARGET_MEMBERSHIP'!AJ$5:AJ$27=1),'92_FEATURE_CONF_NUMERIC'!E$5:E$27)/MAX(1,COUNTIF('93_TARGET_MEMBERSHIP'!AJ$5:AJ$27,1)))*(SUMPRODUCT(--('93_TARGET_MEMBERSHIP'!AJ$5:AJ$27=-1),'92_FEATURE_CONF_NUMERIC'!E$5:E$27)/MAX(1,COUNTIF('93_TARGET_MEMBERSHIP'!AJ$5:AJ$27,-1)))))</f>
        <v/>
      </c>
      <c r="E39" s="34">
        <f>IF($B39="ABSOLUTE SEMANTIC",'19_FEATURE_CONFIDENCE'!$D$7,SQRT((SUMPRODUCT(--('93_TARGET_MEMBERSHIP'!AJ$5:AJ$27=1),'92_FEATURE_CONF_NUMERIC'!F$5:F$27)/MAX(1,COUNTIF('93_TARGET_MEMBERSHIP'!AJ$5:AJ$27,1)))*(SUMPRODUCT(--('93_TARGET_MEMBERSHIP'!AJ$5:AJ$27=-1),'92_FEATURE_CONF_NUMERIC'!F$5:F$27)/MAX(1,COUNTIF('93_TARGET_MEMBERSHIP'!AJ$5:AJ$27,-1)))))</f>
        <v/>
      </c>
      <c r="F39" s="34">
        <f>IF($B39="ABSOLUTE SEMANTIC",'19_FEATURE_CONFIDENCE'!$D$8,SQRT((SUMPRODUCT(--('93_TARGET_MEMBERSHIP'!AJ$5:AJ$27=1),'92_FEATURE_CONF_NUMERIC'!G$5:G$27)/MAX(1,COUNTIF('93_TARGET_MEMBERSHIP'!AJ$5:AJ$27,1)))*(SUMPRODUCT(--('93_TARGET_MEMBERSHIP'!AJ$5:AJ$27=-1),'92_FEATURE_CONF_NUMERIC'!G$5:G$27)/MAX(1,COUNTIF('93_TARGET_MEMBERSHIP'!AJ$5:AJ$27,-1)))))</f>
        <v/>
      </c>
      <c r="G39" s="34">
        <f>IF($B39="ABSOLUTE SEMANTIC",'19_FEATURE_CONFIDENCE'!$D$9,SQRT((SUMPRODUCT(--('93_TARGET_MEMBERSHIP'!AJ$5:AJ$27=1),'92_FEATURE_CONF_NUMERIC'!H$5:H$27)/MAX(1,COUNTIF('93_TARGET_MEMBERSHIP'!AJ$5:AJ$27,1)))*(SUMPRODUCT(--('93_TARGET_MEMBERSHIP'!AJ$5:AJ$27=-1),'92_FEATURE_CONF_NUMERIC'!H$5:H$27)/MAX(1,COUNTIF('93_TARGET_MEMBERSHIP'!AJ$5:AJ$27,-1)))))</f>
        <v/>
      </c>
      <c r="H39" s="34">
        <f>IF($B39="ABSOLUTE SEMANTIC",'19_FEATURE_CONFIDENCE'!$D$10,SQRT((SUMPRODUCT(--('93_TARGET_MEMBERSHIP'!AJ$5:AJ$27=1),'92_FEATURE_CONF_NUMERIC'!I$5:I$27)/MAX(1,COUNTIF('93_TARGET_MEMBERSHIP'!AJ$5:AJ$27,1)))*(SUMPRODUCT(--('93_TARGET_MEMBERSHIP'!AJ$5:AJ$27=-1),'92_FEATURE_CONF_NUMERIC'!I$5:I$27)/MAX(1,COUNTIF('93_TARGET_MEMBERSHIP'!AJ$5:AJ$27,-1)))))</f>
        <v/>
      </c>
      <c r="I39" s="34">
        <f>IF($B39="ABSOLUTE SEMANTIC",'19_FEATURE_CONFIDENCE'!$D$11,SQRT((SUMPRODUCT(--('93_TARGET_MEMBERSHIP'!AJ$5:AJ$27=1),'92_FEATURE_CONF_NUMERIC'!J$5:J$27)/MAX(1,COUNTIF('93_TARGET_MEMBERSHIP'!AJ$5:AJ$27,1)))*(SUMPRODUCT(--('93_TARGET_MEMBERSHIP'!AJ$5:AJ$27=-1),'92_FEATURE_CONF_NUMERIC'!J$5:J$27)/MAX(1,COUNTIF('93_TARGET_MEMBERSHIP'!AJ$5:AJ$27,-1)))))</f>
        <v/>
      </c>
      <c r="J39" s="34">
        <f>IF($B39="ABSOLUTE SEMANTIC",'19_FEATURE_CONFIDENCE'!$D$12,SQRT((SUMPRODUCT(--('93_TARGET_MEMBERSHIP'!AJ$5:AJ$27=1),'92_FEATURE_CONF_NUMERIC'!K$5:K$27)/MAX(1,COUNTIF('93_TARGET_MEMBERSHIP'!AJ$5:AJ$27,1)))*(SUMPRODUCT(--('93_TARGET_MEMBERSHIP'!AJ$5:AJ$27=-1),'92_FEATURE_CONF_NUMERIC'!K$5:K$27)/MAX(1,COUNTIF('93_TARGET_MEMBERSHIP'!AJ$5:AJ$27,-1)))))</f>
        <v/>
      </c>
      <c r="K39" s="34">
        <f>IF($B39="ABSOLUTE SEMANTIC",'19_FEATURE_CONFIDENCE'!$D$13,SQRT((SUMPRODUCT(--('93_TARGET_MEMBERSHIP'!AJ$5:AJ$27=1),'92_FEATURE_CONF_NUMERIC'!L$5:L$27)/MAX(1,COUNTIF('93_TARGET_MEMBERSHIP'!AJ$5:AJ$27,1)))*(SUMPRODUCT(--('93_TARGET_MEMBERSHIP'!AJ$5:AJ$27=-1),'92_FEATURE_CONF_NUMERIC'!L$5:L$27)/MAX(1,COUNTIF('93_TARGET_MEMBERSHIP'!AJ$5:AJ$27,-1)))))</f>
        <v/>
      </c>
      <c r="L39" s="34">
        <f>IF($B39="ABSOLUTE SEMANTIC",'19_FEATURE_CONFIDENCE'!$D$14,SQRT((SUMPRODUCT(--('93_TARGET_MEMBERSHIP'!AJ$5:AJ$27=1),'92_FEATURE_CONF_NUMERIC'!M$5:M$27)/MAX(1,COUNTIF('93_TARGET_MEMBERSHIP'!AJ$5:AJ$27,1)))*(SUMPRODUCT(--('93_TARGET_MEMBERSHIP'!AJ$5:AJ$27=-1),'92_FEATURE_CONF_NUMERIC'!M$5:M$27)/MAX(1,COUNTIF('93_TARGET_MEMBERSHIP'!AJ$5:AJ$27,-1)))))</f>
        <v/>
      </c>
      <c r="M39" s="34">
        <f>IF($B39="ABSOLUTE SEMANTIC",'19_FEATURE_CONFIDENCE'!$D$15,SQRT((SUMPRODUCT(--('93_TARGET_MEMBERSHIP'!AJ$5:AJ$27=1),'92_FEATURE_CONF_NUMERIC'!N$5:N$27)/MAX(1,COUNTIF('93_TARGET_MEMBERSHIP'!AJ$5:AJ$27,1)))*(SUMPRODUCT(--('93_TARGET_MEMBERSHIP'!AJ$5:AJ$27=-1),'92_FEATURE_CONF_NUMERIC'!N$5:N$27)/MAX(1,COUNTIF('93_TARGET_MEMBERSHIP'!AJ$5:AJ$27,-1)))))</f>
        <v/>
      </c>
      <c r="N39" s="34">
        <f>IF($B39="ABSOLUTE SEMANTIC",'19_FEATURE_CONFIDENCE'!$D$16,SQRT((SUMPRODUCT(--('93_TARGET_MEMBERSHIP'!AJ$5:AJ$27=1),'92_FEATURE_CONF_NUMERIC'!O$5:O$27)/MAX(1,COUNTIF('93_TARGET_MEMBERSHIP'!AJ$5:AJ$27,1)))*(SUMPRODUCT(--('93_TARGET_MEMBERSHIP'!AJ$5:AJ$27=-1),'92_FEATURE_CONF_NUMERIC'!O$5:O$27)/MAX(1,COUNTIF('93_TARGET_MEMBERSHIP'!AJ$5:AJ$27,-1)))))</f>
        <v/>
      </c>
      <c r="O39" s="34">
        <f>IF($B39="ABSOLUTE SEMANTIC",'19_FEATURE_CONFIDENCE'!$D$17,SQRT((SUMPRODUCT(--('93_TARGET_MEMBERSHIP'!AJ$5:AJ$27=1),'92_FEATURE_CONF_NUMERIC'!P$5:P$27)/MAX(1,COUNTIF('93_TARGET_MEMBERSHIP'!AJ$5:AJ$27,1)))*(SUMPRODUCT(--('93_TARGET_MEMBERSHIP'!AJ$5:AJ$27=-1),'92_FEATURE_CONF_NUMERIC'!P$5:P$27)/MAX(1,COUNTIF('93_TARGET_MEMBERSHIP'!AJ$5:AJ$27,-1)))))</f>
        <v/>
      </c>
      <c r="P39" s="34">
        <f>IF($B39="ABSOLUTE SEMANTIC",'19_FEATURE_CONFIDENCE'!$D$18,SQRT((SUMPRODUCT(--('93_TARGET_MEMBERSHIP'!AJ$5:AJ$27=1),'92_FEATURE_CONF_NUMERIC'!Q$5:Q$27)/MAX(1,COUNTIF('93_TARGET_MEMBERSHIP'!AJ$5:AJ$27,1)))*(SUMPRODUCT(--('93_TARGET_MEMBERSHIP'!AJ$5:AJ$27=-1),'92_FEATURE_CONF_NUMERIC'!Q$5:Q$27)/MAX(1,COUNTIF('93_TARGET_MEMBERSHIP'!AJ$5:AJ$27,-1)))))</f>
        <v/>
      </c>
      <c r="Q39" s="34">
        <f>IF($B39="ABSOLUTE SEMANTIC",'19_FEATURE_CONFIDENCE'!$D$19,SQRT((SUMPRODUCT(--('93_TARGET_MEMBERSHIP'!AJ$5:AJ$27=1),'92_FEATURE_CONF_NUMERIC'!R$5:R$27)/MAX(1,COUNTIF('93_TARGET_MEMBERSHIP'!AJ$5:AJ$27,1)))*(SUMPRODUCT(--('93_TARGET_MEMBERSHIP'!AJ$5:AJ$27=-1),'92_FEATURE_CONF_NUMERIC'!R$5:R$27)/MAX(1,COUNTIF('93_TARGET_MEMBERSHIP'!AJ$5:AJ$27,-1)))))</f>
        <v/>
      </c>
      <c r="R39" s="34">
        <f>IF($B39="ABSOLUTE SEMANTIC",'19_FEATURE_CONFIDENCE'!$D$20,SQRT((SUMPRODUCT(--('93_TARGET_MEMBERSHIP'!AJ$5:AJ$27=1),'92_FEATURE_CONF_NUMERIC'!S$5:S$27)/MAX(1,COUNTIF('93_TARGET_MEMBERSHIP'!AJ$5:AJ$27,1)))*(SUMPRODUCT(--('93_TARGET_MEMBERSHIP'!AJ$5:AJ$27=-1),'92_FEATURE_CONF_NUMERIC'!S$5:S$27)/MAX(1,COUNTIF('93_TARGET_MEMBERSHIP'!AJ$5:AJ$27,-1)))))</f>
        <v/>
      </c>
      <c r="S39" s="34">
        <f>IF($B39="ABSOLUTE SEMANTIC",'19_FEATURE_CONFIDENCE'!$D$21,SQRT((SUMPRODUCT(--('93_TARGET_MEMBERSHIP'!AJ$5:AJ$27=1),'92_FEATURE_CONF_NUMERIC'!T$5:T$27)/MAX(1,COUNTIF('93_TARGET_MEMBERSHIP'!AJ$5:AJ$27,1)))*(SUMPRODUCT(--('93_TARGET_MEMBERSHIP'!AJ$5:AJ$27=-1),'92_FEATURE_CONF_NUMERIC'!T$5:T$27)/MAX(1,COUNTIF('93_TARGET_MEMBERSHIP'!AJ$5:AJ$27,-1)))))</f>
        <v/>
      </c>
      <c r="T39" s="34">
        <f>IF($B39="ABSOLUTE SEMANTIC",'19_FEATURE_CONFIDENCE'!$D$22,SQRT((SUMPRODUCT(--('93_TARGET_MEMBERSHIP'!AJ$5:AJ$27=1),'92_FEATURE_CONF_NUMERIC'!U$5:U$27)/MAX(1,COUNTIF('93_TARGET_MEMBERSHIP'!AJ$5:AJ$27,1)))*(SUMPRODUCT(--('93_TARGET_MEMBERSHIP'!AJ$5:AJ$27=-1),'92_FEATURE_CONF_NUMERIC'!U$5:U$27)/MAX(1,COUNTIF('93_TARGET_MEMBERSHIP'!AJ$5:AJ$27,-1)))))</f>
        <v/>
      </c>
      <c r="U39" s="34">
        <f>IF($B39="ABSOLUTE SEMANTIC",'19_FEATURE_CONFIDENCE'!$D$23,SQRT((SUMPRODUCT(--('93_TARGET_MEMBERSHIP'!AJ$5:AJ$27=1),'92_FEATURE_CONF_NUMERIC'!V$5:V$27)/MAX(1,COUNTIF('93_TARGET_MEMBERSHIP'!AJ$5:AJ$27,1)))*(SUMPRODUCT(--('93_TARGET_MEMBERSHIP'!AJ$5:AJ$27=-1),'92_FEATURE_CONF_NUMERIC'!V$5:V$27)/MAX(1,COUNTIF('93_TARGET_MEMBERSHIP'!AJ$5:AJ$27,-1)))))</f>
        <v/>
      </c>
      <c r="V39" s="34">
        <f>IF($B39="ABSOLUTE SEMANTIC",'19_FEATURE_CONFIDENCE'!$D$24,SQRT((SUMPRODUCT(--('93_TARGET_MEMBERSHIP'!AJ$5:AJ$27=1),'92_FEATURE_CONF_NUMERIC'!W$5:W$27)/MAX(1,COUNTIF('93_TARGET_MEMBERSHIP'!AJ$5:AJ$27,1)))*(SUMPRODUCT(--('93_TARGET_MEMBERSHIP'!AJ$5:AJ$27=-1),'92_FEATURE_CONF_NUMERIC'!W$5:W$27)/MAX(1,COUNTIF('93_TARGET_MEMBERSHIP'!AJ$5:AJ$27,-1)))))</f>
        <v/>
      </c>
      <c r="W39" s="34">
        <f>IF($B39="ABSOLUTE SEMANTIC",'19_FEATURE_CONFIDENCE'!$D$25,SQRT((SUMPRODUCT(--('93_TARGET_MEMBERSHIP'!AJ$5:AJ$27=1),'92_FEATURE_CONF_NUMERIC'!X$5:X$27)/MAX(1,COUNTIF('93_TARGET_MEMBERSHIP'!AJ$5:AJ$27,1)))*(SUMPRODUCT(--('93_TARGET_MEMBERSHIP'!AJ$5:AJ$27=-1),'92_FEATURE_CONF_NUMERIC'!X$5:X$27)/MAX(1,COUNTIF('93_TARGET_MEMBERSHIP'!AJ$5:AJ$27,-1)))))</f>
        <v/>
      </c>
      <c r="X39" s="34">
        <f>IF($B39="ABSOLUTE SEMANTIC",'19_FEATURE_CONFIDENCE'!$D$26,SQRT((SUMPRODUCT(--('93_TARGET_MEMBERSHIP'!AJ$5:AJ$27=1),'92_FEATURE_CONF_NUMERIC'!Y$5:Y$27)/MAX(1,COUNTIF('93_TARGET_MEMBERSHIP'!AJ$5:AJ$27,1)))*(SUMPRODUCT(--('93_TARGET_MEMBERSHIP'!AJ$5:AJ$27=-1),'92_FEATURE_CONF_NUMERIC'!Y$5:Y$27)/MAX(1,COUNTIF('93_TARGET_MEMBERSHIP'!AJ$5:AJ$27,-1)))))</f>
        <v/>
      </c>
      <c r="Y39" s="34">
        <f>IF($B39="ABSOLUTE SEMANTIC",'19_FEATURE_CONFIDENCE'!$D$27,SQRT((SUMPRODUCT(--('93_TARGET_MEMBERSHIP'!AJ$5:AJ$27=1),'92_FEATURE_CONF_NUMERIC'!Z$5:Z$27)/MAX(1,COUNTIF('93_TARGET_MEMBERSHIP'!AJ$5:AJ$27,1)))*(SUMPRODUCT(--('93_TARGET_MEMBERSHIP'!AJ$5:AJ$27=-1),'92_FEATURE_CONF_NUMERIC'!Z$5:Z$27)/MAX(1,COUNTIF('93_TARGET_MEMBERSHIP'!AJ$5:AJ$27,-1)))))</f>
        <v/>
      </c>
      <c r="Z39" s="34">
        <f>IF($B39="ABSOLUTE SEMANTIC",'19_FEATURE_CONFIDENCE'!$D$28,SQRT((SUMPRODUCT(--('93_TARGET_MEMBERSHIP'!AJ$5:AJ$27=1),'92_FEATURE_CONF_NUMERIC'!AA$5:AA$27)/MAX(1,COUNTIF('93_TARGET_MEMBERSHIP'!AJ$5:AJ$27,1)))*(SUMPRODUCT(--('93_TARGET_MEMBERSHIP'!AJ$5:AJ$27=-1),'92_FEATURE_CONF_NUMERIC'!AA$5:AA$27)/MAX(1,COUNTIF('93_TARGET_MEMBERSHIP'!AJ$5:AJ$27,-1)))))</f>
        <v/>
      </c>
      <c r="AA39" s="34">
        <f>IF($B39="ABSOLUTE SEMANTIC",'19_FEATURE_CONFIDENCE'!$D$29,SQRT((SUMPRODUCT(--('93_TARGET_MEMBERSHIP'!AJ$5:AJ$27=1),'92_FEATURE_CONF_NUMERIC'!AB$5:AB$27)/MAX(1,COUNTIF('93_TARGET_MEMBERSHIP'!AJ$5:AJ$27,1)))*(SUMPRODUCT(--('93_TARGET_MEMBERSHIP'!AJ$5:AJ$27=-1),'92_FEATURE_CONF_NUMERIC'!AB$5:AB$27)/MAX(1,COUNTIF('93_TARGET_MEMBERSHIP'!AJ$5:AJ$27,-1)))))</f>
        <v/>
      </c>
      <c r="AB39" s="34">
        <f>IF($B39="ABSOLUTE SEMANTIC",'19_FEATURE_CONFIDENCE'!$D$30,SQRT((SUMPRODUCT(--('93_TARGET_MEMBERSHIP'!AJ$5:AJ$27=1),'92_FEATURE_CONF_NUMERIC'!AC$5:AC$27)/MAX(1,COUNTIF('93_TARGET_MEMBERSHIP'!AJ$5:AJ$27,1)))*(SUMPRODUCT(--('93_TARGET_MEMBERSHIP'!AJ$5:AJ$27=-1),'92_FEATURE_CONF_NUMERIC'!AC$5:AC$27)/MAX(1,COUNTIF('93_TARGET_MEMBERSHIP'!AJ$5:AJ$27,-1)))))</f>
        <v/>
      </c>
      <c r="AC39" s="34">
        <f>IF($B39="ABSOLUTE SEMANTIC",'19_FEATURE_CONFIDENCE'!$D$31,SQRT((SUMPRODUCT(--('93_TARGET_MEMBERSHIP'!AJ$5:AJ$27=1),'92_FEATURE_CONF_NUMERIC'!AD$5:AD$27)/MAX(1,COUNTIF('93_TARGET_MEMBERSHIP'!AJ$5:AJ$27,1)))*(SUMPRODUCT(--('93_TARGET_MEMBERSHIP'!AJ$5:AJ$27=-1),'92_FEATURE_CONF_NUMERIC'!AD$5:AD$27)/MAX(1,COUNTIF('93_TARGET_MEMBERSHIP'!AJ$5:AJ$27,-1)))))</f>
        <v/>
      </c>
      <c r="AD39" s="34">
        <f>IF($B39="ABSOLUTE SEMANTIC",'19_FEATURE_CONFIDENCE'!$D$32,SQRT((SUMPRODUCT(--('93_TARGET_MEMBERSHIP'!AJ$5:AJ$27=1),'92_FEATURE_CONF_NUMERIC'!AE$5:AE$27)/MAX(1,COUNTIF('93_TARGET_MEMBERSHIP'!AJ$5:AJ$27,1)))*(SUMPRODUCT(--('93_TARGET_MEMBERSHIP'!AJ$5:AJ$27=-1),'92_FEATURE_CONF_NUMERIC'!AE$5:AE$27)/MAX(1,COUNTIF('93_TARGET_MEMBERSHIP'!AJ$5:AJ$27,-1)))))</f>
        <v/>
      </c>
      <c r="AE39" s="34">
        <f>IF($B39="ABSOLUTE SEMANTIC",'19_FEATURE_CONFIDENCE'!$D$33,SQRT((SUMPRODUCT(--('93_TARGET_MEMBERSHIP'!AJ$5:AJ$27=1),'92_FEATURE_CONF_NUMERIC'!AF$5:AF$27)/MAX(1,COUNTIF('93_TARGET_MEMBERSHIP'!AJ$5:AJ$27,1)))*(SUMPRODUCT(--('93_TARGET_MEMBERSHIP'!AJ$5:AJ$27=-1),'92_FEATURE_CONF_NUMERIC'!AF$5:AF$27)/MAX(1,COUNTIF('93_TARGET_MEMBERSHIP'!AJ$5:AJ$27,-1)))))</f>
        <v/>
      </c>
      <c r="AF39" s="34">
        <f>IF($B39="ABSOLUTE SEMANTIC",'19_FEATURE_CONFIDENCE'!$D$34,SQRT((SUMPRODUCT(--('93_TARGET_MEMBERSHIP'!AJ$5:AJ$27=1),'92_FEATURE_CONF_NUMERIC'!AG$5:AG$27)/MAX(1,COUNTIF('93_TARGET_MEMBERSHIP'!AJ$5:AJ$27,1)))*(SUMPRODUCT(--('93_TARGET_MEMBERSHIP'!AJ$5:AJ$27=-1),'92_FEATURE_CONF_NUMERIC'!AG$5:AG$27)/MAX(1,COUNTIF('93_TARGET_MEMBERSHIP'!AJ$5:AJ$27,-1)))))</f>
        <v/>
      </c>
      <c r="AG39" s="34">
        <f>IF($B39="ABSOLUTE SEMANTIC",'19_FEATURE_CONFIDENCE'!$D$35,SQRT((SUMPRODUCT(--('93_TARGET_MEMBERSHIP'!AJ$5:AJ$27=1),'92_FEATURE_CONF_NUMERIC'!AH$5:AH$27)/MAX(1,COUNTIF('93_TARGET_MEMBERSHIP'!AJ$5:AJ$27,1)))*(SUMPRODUCT(--('93_TARGET_MEMBERSHIP'!AJ$5:AJ$27=-1),'92_FEATURE_CONF_NUMERIC'!AH$5:AH$27)/MAX(1,COUNTIF('93_TARGET_MEMBERSHIP'!AJ$5:AJ$27,-1)))))</f>
        <v/>
      </c>
      <c r="AH39" s="34">
        <f>IF($B39="ABSOLUTE SEMANTIC",'19_FEATURE_CONFIDENCE'!$D$36,SQRT((SUMPRODUCT(--('93_TARGET_MEMBERSHIP'!AJ$5:AJ$27=1),'92_FEATURE_CONF_NUMERIC'!AI$5:AI$27)/MAX(1,COUNTIF('93_TARGET_MEMBERSHIP'!AJ$5:AJ$27,1)))*(SUMPRODUCT(--('93_TARGET_MEMBERSHIP'!AJ$5:AJ$27=-1),'92_FEATURE_CONF_NUMERIC'!AI$5:AI$27)/MAX(1,COUNTIF('93_TARGET_MEMBERSHIP'!AJ$5:AJ$27,-1)))))</f>
        <v/>
      </c>
      <c r="AI39" s="34">
        <f>IF($B39="ABSOLUTE SEMANTIC",'19_FEATURE_CONFIDENCE'!$D$37,SQRT((SUMPRODUCT(--('93_TARGET_MEMBERSHIP'!AJ$5:AJ$27=1),'92_FEATURE_CONF_NUMERIC'!AJ$5:AJ$27)/MAX(1,COUNTIF('93_TARGET_MEMBERSHIP'!AJ$5:AJ$27,1)))*(SUMPRODUCT(--('93_TARGET_MEMBERSHIP'!AJ$5:AJ$27=-1),'92_FEATURE_CONF_NUMERIC'!AJ$5:AJ$27)/MAX(1,COUNTIF('93_TARGET_MEMBERSHIP'!AJ$5:AJ$27,-1)))))</f>
        <v/>
      </c>
      <c r="AJ39" s="34">
        <f>IF($B39="ABSOLUTE SEMANTIC",'19_FEATURE_CONFIDENCE'!$D$38,SQRT((SUMPRODUCT(--('93_TARGET_MEMBERSHIP'!AJ$5:AJ$27=1),'92_FEATURE_CONF_NUMERIC'!AK$5:AK$27)/MAX(1,COUNTIF('93_TARGET_MEMBERSHIP'!AJ$5:AJ$27,1)))*(SUMPRODUCT(--('93_TARGET_MEMBERSHIP'!AJ$5:AJ$27=-1),'92_FEATURE_CONF_NUMERIC'!AK$5:AK$27)/MAX(1,COUNTIF('93_TARGET_MEMBERSHIP'!AJ$5:AJ$27,-1)))))</f>
        <v/>
      </c>
      <c r="AK39" s="34">
        <f>IF($B39="ABSOLUTE SEMANTIC",'19_FEATURE_CONFIDENCE'!$D$39,SQRT((SUMPRODUCT(--('93_TARGET_MEMBERSHIP'!AJ$5:AJ$27=1),'92_FEATURE_CONF_NUMERIC'!AL$5:AL$27)/MAX(1,COUNTIF('93_TARGET_MEMBERSHIP'!AJ$5:AJ$27,1)))*(SUMPRODUCT(--('93_TARGET_MEMBERSHIP'!AJ$5:AJ$27=-1),'92_FEATURE_CONF_NUMERIC'!AL$5:AL$27)/MAX(1,COUNTIF('93_TARGET_MEMBERSHIP'!AJ$5:AJ$27,-1)))))</f>
        <v/>
      </c>
      <c r="AL39" s="34">
        <f>IF($B39="ABSOLUTE SEMANTIC",'19_FEATURE_CONFIDENCE'!$D$40,SQRT((SUMPRODUCT(--('93_TARGET_MEMBERSHIP'!AJ$5:AJ$27=1),'92_FEATURE_CONF_NUMERIC'!AM$5:AM$27)/MAX(1,COUNTIF('93_TARGET_MEMBERSHIP'!AJ$5:AJ$27,1)))*(SUMPRODUCT(--('93_TARGET_MEMBERSHIP'!AJ$5:AJ$27=-1),'92_FEATURE_CONF_NUMERIC'!AM$5:AM$27)/MAX(1,COUNTIF('93_TARGET_MEMBERSHIP'!AJ$5:AJ$27,-1)))))</f>
        <v/>
      </c>
      <c r="AM39" s="34">
        <f>IF($B39="ABSOLUTE SEMANTIC",'19_FEATURE_CONFIDENCE'!$D$41,SQRT((SUMPRODUCT(--('93_TARGET_MEMBERSHIP'!AJ$5:AJ$27=1),'92_FEATURE_CONF_NUMERIC'!AN$5:AN$27)/MAX(1,COUNTIF('93_TARGET_MEMBERSHIP'!AJ$5:AJ$27,1)))*(SUMPRODUCT(--('93_TARGET_MEMBERSHIP'!AJ$5:AJ$27=-1),'92_FEATURE_CONF_NUMERIC'!AN$5:AN$27)/MAX(1,COUNTIF('93_TARGET_MEMBERSHIP'!AJ$5:AJ$27,-1)))))</f>
        <v/>
      </c>
      <c r="AN39" s="34">
        <f>IF($B39="ABSOLUTE SEMANTIC",'19_FEATURE_CONFIDENCE'!$D$42,SQRT((SUMPRODUCT(--('93_TARGET_MEMBERSHIP'!AJ$5:AJ$27=1),'92_FEATURE_CONF_NUMERIC'!AO$5:AO$27)/MAX(1,COUNTIF('93_TARGET_MEMBERSHIP'!AJ$5:AJ$27,1)))*(SUMPRODUCT(--('93_TARGET_MEMBERSHIP'!AJ$5:AJ$27=-1),'92_FEATURE_CONF_NUMERIC'!AO$5:AO$27)/MAX(1,COUNTIF('93_TARGET_MEMBERSHIP'!AJ$5:AJ$27,-1)))))</f>
        <v/>
      </c>
      <c r="AO39" s="34">
        <f>IF($B39="ABSOLUTE SEMANTIC",'19_FEATURE_CONFIDENCE'!$D$43,SQRT((SUMPRODUCT(--('93_TARGET_MEMBERSHIP'!AJ$5:AJ$27=1),'92_FEATURE_CONF_NUMERIC'!AP$5:AP$27)/MAX(1,COUNTIF('93_TARGET_MEMBERSHIP'!AJ$5:AJ$27,1)))*(SUMPRODUCT(--('93_TARGET_MEMBERSHIP'!AJ$5:AJ$27=-1),'92_FEATURE_CONF_NUMERIC'!AP$5:AP$27)/MAX(1,COUNTIF('93_TARGET_MEMBERSHIP'!AJ$5:AJ$27,-1)))))</f>
        <v/>
      </c>
      <c r="AP39" s="34">
        <f>IF($B39="ABSOLUTE SEMANTIC",'19_FEATURE_CONFIDENCE'!$D$44,SQRT((SUMPRODUCT(--('93_TARGET_MEMBERSHIP'!AJ$5:AJ$27=1),'92_FEATURE_CONF_NUMERIC'!AQ$5:AQ$27)/MAX(1,COUNTIF('93_TARGET_MEMBERSHIP'!AJ$5:AJ$27,1)))*(SUMPRODUCT(--('93_TARGET_MEMBERSHIP'!AJ$5:AJ$27=-1),'92_FEATURE_CONF_NUMERIC'!AQ$5:AQ$27)/MAX(1,COUNTIF('93_TARGET_MEMBERSHIP'!AJ$5:AJ$27,-1)))))</f>
        <v/>
      </c>
      <c r="AQ39" s="34">
        <f>IF($B39="ABSOLUTE SEMANTIC",'19_FEATURE_CONFIDENCE'!$D$45,SQRT((SUMPRODUCT(--('93_TARGET_MEMBERSHIP'!AJ$5:AJ$27=1),'92_FEATURE_CONF_NUMERIC'!AR$5:AR$27)/MAX(1,COUNTIF('93_TARGET_MEMBERSHIP'!AJ$5:AJ$27,1)))*(SUMPRODUCT(--('93_TARGET_MEMBERSHIP'!AJ$5:AJ$27=-1),'92_FEATURE_CONF_NUMERIC'!AR$5:AR$27)/MAX(1,COUNTIF('93_TARGET_MEMBERSHIP'!AJ$5:AJ$27,-1)))))</f>
        <v/>
      </c>
    </row>
    <row r="40" ht="36" customHeight="1">
      <c r="A40" s="34">
        <f>'06_ITEM_POLE_MODEL'!A40</f>
        <v/>
      </c>
      <c r="B40" s="34">
        <f>'06_ITEM_POLE_MODEL'!E40</f>
        <v/>
      </c>
      <c r="C40" s="34">
        <f>IF($B40="ABSOLUTE SEMANTIC",'19_FEATURE_CONFIDENCE'!$D$5,SQRT((SUMPRODUCT(--('93_TARGET_MEMBERSHIP'!AK$5:AK$27=1),'92_FEATURE_CONF_NUMERIC'!D$5:D$27)/MAX(1,COUNTIF('93_TARGET_MEMBERSHIP'!AK$5:AK$27,1)))*(SUMPRODUCT(--('93_TARGET_MEMBERSHIP'!AK$5:AK$27=-1),'92_FEATURE_CONF_NUMERIC'!D$5:D$27)/MAX(1,COUNTIF('93_TARGET_MEMBERSHIP'!AK$5:AK$27,-1)))))</f>
        <v/>
      </c>
      <c r="D40" s="34">
        <f>IF($B40="ABSOLUTE SEMANTIC",'19_FEATURE_CONFIDENCE'!$D$6,SQRT((SUMPRODUCT(--('93_TARGET_MEMBERSHIP'!AK$5:AK$27=1),'92_FEATURE_CONF_NUMERIC'!E$5:E$27)/MAX(1,COUNTIF('93_TARGET_MEMBERSHIP'!AK$5:AK$27,1)))*(SUMPRODUCT(--('93_TARGET_MEMBERSHIP'!AK$5:AK$27=-1),'92_FEATURE_CONF_NUMERIC'!E$5:E$27)/MAX(1,COUNTIF('93_TARGET_MEMBERSHIP'!AK$5:AK$27,-1)))))</f>
        <v/>
      </c>
      <c r="E40" s="34">
        <f>IF($B40="ABSOLUTE SEMANTIC",'19_FEATURE_CONFIDENCE'!$D$7,SQRT((SUMPRODUCT(--('93_TARGET_MEMBERSHIP'!AK$5:AK$27=1),'92_FEATURE_CONF_NUMERIC'!F$5:F$27)/MAX(1,COUNTIF('93_TARGET_MEMBERSHIP'!AK$5:AK$27,1)))*(SUMPRODUCT(--('93_TARGET_MEMBERSHIP'!AK$5:AK$27=-1),'92_FEATURE_CONF_NUMERIC'!F$5:F$27)/MAX(1,COUNTIF('93_TARGET_MEMBERSHIP'!AK$5:AK$27,-1)))))</f>
        <v/>
      </c>
      <c r="F40" s="34">
        <f>IF($B40="ABSOLUTE SEMANTIC",'19_FEATURE_CONFIDENCE'!$D$8,SQRT((SUMPRODUCT(--('93_TARGET_MEMBERSHIP'!AK$5:AK$27=1),'92_FEATURE_CONF_NUMERIC'!G$5:G$27)/MAX(1,COUNTIF('93_TARGET_MEMBERSHIP'!AK$5:AK$27,1)))*(SUMPRODUCT(--('93_TARGET_MEMBERSHIP'!AK$5:AK$27=-1),'92_FEATURE_CONF_NUMERIC'!G$5:G$27)/MAX(1,COUNTIF('93_TARGET_MEMBERSHIP'!AK$5:AK$27,-1)))))</f>
        <v/>
      </c>
      <c r="G40" s="34">
        <f>IF($B40="ABSOLUTE SEMANTIC",'19_FEATURE_CONFIDENCE'!$D$9,SQRT((SUMPRODUCT(--('93_TARGET_MEMBERSHIP'!AK$5:AK$27=1),'92_FEATURE_CONF_NUMERIC'!H$5:H$27)/MAX(1,COUNTIF('93_TARGET_MEMBERSHIP'!AK$5:AK$27,1)))*(SUMPRODUCT(--('93_TARGET_MEMBERSHIP'!AK$5:AK$27=-1),'92_FEATURE_CONF_NUMERIC'!H$5:H$27)/MAX(1,COUNTIF('93_TARGET_MEMBERSHIP'!AK$5:AK$27,-1)))))</f>
        <v/>
      </c>
      <c r="H40" s="34">
        <f>IF($B40="ABSOLUTE SEMANTIC",'19_FEATURE_CONFIDENCE'!$D$10,SQRT((SUMPRODUCT(--('93_TARGET_MEMBERSHIP'!AK$5:AK$27=1),'92_FEATURE_CONF_NUMERIC'!I$5:I$27)/MAX(1,COUNTIF('93_TARGET_MEMBERSHIP'!AK$5:AK$27,1)))*(SUMPRODUCT(--('93_TARGET_MEMBERSHIP'!AK$5:AK$27=-1),'92_FEATURE_CONF_NUMERIC'!I$5:I$27)/MAX(1,COUNTIF('93_TARGET_MEMBERSHIP'!AK$5:AK$27,-1)))))</f>
        <v/>
      </c>
      <c r="I40" s="34">
        <f>IF($B40="ABSOLUTE SEMANTIC",'19_FEATURE_CONFIDENCE'!$D$11,SQRT((SUMPRODUCT(--('93_TARGET_MEMBERSHIP'!AK$5:AK$27=1),'92_FEATURE_CONF_NUMERIC'!J$5:J$27)/MAX(1,COUNTIF('93_TARGET_MEMBERSHIP'!AK$5:AK$27,1)))*(SUMPRODUCT(--('93_TARGET_MEMBERSHIP'!AK$5:AK$27=-1),'92_FEATURE_CONF_NUMERIC'!J$5:J$27)/MAX(1,COUNTIF('93_TARGET_MEMBERSHIP'!AK$5:AK$27,-1)))))</f>
        <v/>
      </c>
      <c r="J40" s="34">
        <f>IF($B40="ABSOLUTE SEMANTIC",'19_FEATURE_CONFIDENCE'!$D$12,SQRT((SUMPRODUCT(--('93_TARGET_MEMBERSHIP'!AK$5:AK$27=1),'92_FEATURE_CONF_NUMERIC'!K$5:K$27)/MAX(1,COUNTIF('93_TARGET_MEMBERSHIP'!AK$5:AK$27,1)))*(SUMPRODUCT(--('93_TARGET_MEMBERSHIP'!AK$5:AK$27=-1),'92_FEATURE_CONF_NUMERIC'!K$5:K$27)/MAX(1,COUNTIF('93_TARGET_MEMBERSHIP'!AK$5:AK$27,-1)))))</f>
        <v/>
      </c>
      <c r="K40" s="34">
        <f>IF($B40="ABSOLUTE SEMANTIC",'19_FEATURE_CONFIDENCE'!$D$13,SQRT((SUMPRODUCT(--('93_TARGET_MEMBERSHIP'!AK$5:AK$27=1),'92_FEATURE_CONF_NUMERIC'!L$5:L$27)/MAX(1,COUNTIF('93_TARGET_MEMBERSHIP'!AK$5:AK$27,1)))*(SUMPRODUCT(--('93_TARGET_MEMBERSHIP'!AK$5:AK$27=-1),'92_FEATURE_CONF_NUMERIC'!L$5:L$27)/MAX(1,COUNTIF('93_TARGET_MEMBERSHIP'!AK$5:AK$27,-1)))))</f>
        <v/>
      </c>
      <c r="L40" s="34">
        <f>IF($B40="ABSOLUTE SEMANTIC",'19_FEATURE_CONFIDENCE'!$D$14,SQRT((SUMPRODUCT(--('93_TARGET_MEMBERSHIP'!AK$5:AK$27=1),'92_FEATURE_CONF_NUMERIC'!M$5:M$27)/MAX(1,COUNTIF('93_TARGET_MEMBERSHIP'!AK$5:AK$27,1)))*(SUMPRODUCT(--('93_TARGET_MEMBERSHIP'!AK$5:AK$27=-1),'92_FEATURE_CONF_NUMERIC'!M$5:M$27)/MAX(1,COUNTIF('93_TARGET_MEMBERSHIP'!AK$5:AK$27,-1)))))</f>
        <v/>
      </c>
      <c r="M40" s="34">
        <f>IF($B40="ABSOLUTE SEMANTIC",'19_FEATURE_CONFIDENCE'!$D$15,SQRT((SUMPRODUCT(--('93_TARGET_MEMBERSHIP'!AK$5:AK$27=1),'92_FEATURE_CONF_NUMERIC'!N$5:N$27)/MAX(1,COUNTIF('93_TARGET_MEMBERSHIP'!AK$5:AK$27,1)))*(SUMPRODUCT(--('93_TARGET_MEMBERSHIP'!AK$5:AK$27=-1),'92_FEATURE_CONF_NUMERIC'!N$5:N$27)/MAX(1,COUNTIF('93_TARGET_MEMBERSHIP'!AK$5:AK$27,-1)))))</f>
        <v/>
      </c>
      <c r="N40" s="34">
        <f>IF($B40="ABSOLUTE SEMANTIC",'19_FEATURE_CONFIDENCE'!$D$16,SQRT((SUMPRODUCT(--('93_TARGET_MEMBERSHIP'!AK$5:AK$27=1),'92_FEATURE_CONF_NUMERIC'!O$5:O$27)/MAX(1,COUNTIF('93_TARGET_MEMBERSHIP'!AK$5:AK$27,1)))*(SUMPRODUCT(--('93_TARGET_MEMBERSHIP'!AK$5:AK$27=-1),'92_FEATURE_CONF_NUMERIC'!O$5:O$27)/MAX(1,COUNTIF('93_TARGET_MEMBERSHIP'!AK$5:AK$27,-1)))))</f>
        <v/>
      </c>
      <c r="O40" s="34">
        <f>IF($B40="ABSOLUTE SEMANTIC",'19_FEATURE_CONFIDENCE'!$D$17,SQRT((SUMPRODUCT(--('93_TARGET_MEMBERSHIP'!AK$5:AK$27=1),'92_FEATURE_CONF_NUMERIC'!P$5:P$27)/MAX(1,COUNTIF('93_TARGET_MEMBERSHIP'!AK$5:AK$27,1)))*(SUMPRODUCT(--('93_TARGET_MEMBERSHIP'!AK$5:AK$27=-1),'92_FEATURE_CONF_NUMERIC'!P$5:P$27)/MAX(1,COUNTIF('93_TARGET_MEMBERSHIP'!AK$5:AK$27,-1)))))</f>
        <v/>
      </c>
      <c r="P40" s="34">
        <f>IF($B40="ABSOLUTE SEMANTIC",'19_FEATURE_CONFIDENCE'!$D$18,SQRT((SUMPRODUCT(--('93_TARGET_MEMBERSHIP'!AK$5:AK$27=1),'92_FEATURE_CONF_NUMERIC'!Q$5:Q$27)/MAX(1,COUNTIF('93_TARGET_MEMBERSHIP'!AK$5:AK$27,1)))*(SUMPRODUCT(--('93_TARGET_MEMBERSHIP'!AK$5:AK$27=-1),'92_FEATURE_CONF_NUMERIC'!Q$5:Q$27)/MAX(1,COUNTIF('93_TARGET_MEMBERSHIP'!AK$5:AK$27,-1)))))</f>
        <v/>
      </c>
      <c r="Q40" s="34">
        <f>IF($B40="ABSOLUTE SEMANTIC",'19_FEATURE_CONFIDENCE'!$D$19,SQRT((SUMPRODUCT(--('93_TARGET_MEMBERSHIP'!AK$5:AK$27=1),'92_FEATURE_CONF_NUMERIC'!R$5:R$27)/MAX(1,COUNTIF('93_TARGET_MEMBERSHIP'!AK$5:AK$27,1)))*(SUMPRODUCT(--('93_TARGET_MEMBERSHIP'!AK$5:AK$27=-1),'92_FEATURE_CONF_NUMERIC'!R$5:R$27)/MAX(1,COUNTIF('93_TARGET_MEMBERSHIP'!AK$5:AK$27,-1)))))</f>
        <v/>
      </c>
      <c r="R40" s="34">
        <f>IF($B40="ABSOLUTE SEMANTIC",'19_FEATURE_CONFIDENCE'!$D$20,SQRT((SUMPRODUCT(--('93_TARGET_MEMBERSHIP'!AK$5:AK$27=1),'92_FEATURE_CONF_NUMERIC'!S$5:S$27)/MAX(1,COUNTIF('93_TARGET_MEMBERSHIP'!AK$5:AK$27,1)))*(SUMPRODUCT(--('93_TARGET_MEMBERSHIP'!AK$5:AK$27=-1),'92_FEATURE_CONF_NUMERIC'!S$5:S$27)/MAX(1,COUNTIF('93_TARGET_MEMBERSHIP'!AK$5:AK$27,-1)))))</f>
        <v/>
      </c>
      <c r="S40" s="34">
        <f>IF($B40="ABSOLUTE SEMANTIC",'19_FEATURE_CONFIDENCE'!$D$21,SQRT((SUMPRODUCT(--('93_TARGET_MEMBERSHIP'!AK$5:AK$27=1),'92_FEATURE_CONF_NUMERIC'!T$5:T$27)/MAX(1,COUNTIF('93_TARGET_MEMBERSHIP'!AK$5:AK$27,1)))*(SUMPRODUCT(--('93_TARGET_MEMBERSHIP'!AK$5:AK$27=-1),'92_FEATURE_CONF_NUMERIC'!T$5:T$27)/MAX(1,COUNTIF('93_TARGET_MEMBERSHIP'!AK$5:AK$27,-1)))))</f>
        <v/>
      </c>
      <c r="T40" s="34">
        <f>IF($B40="ABSOLUTE SEMANTIC",'19_FEATURE_CONFIDENCE'!$D$22,SQRT((SUMPRODUCT(--('93_TARGET_MEMBERSHIP'!AK$5:AK$27=1),'92_FEATURE_CONF_NUMERIC'!U$5:U$27)/MAX(1,COUNTIF('93_TARGET_MEMBERSHIP'!AK$5:AK$27,1)))*(SUMPRODUCT(--('93_TARGET_MEMBERSHIP'!AK$5:AK$27=-1),'92_FEATURE_CONF_NUMERIC'!U$5:U$27)/MAX(1,COUNTIF('93_TARGET_MEMBERSHIP'!AK$5:AK$27,-1)))))</f>
        <v/>
      </c>
      <c r="U40" s="34">
        <f>IF($B40="ABSOLUTE SEMANTIC",'19_FEATURE_CONFIDENCE'!$D$23,SQRT((SUMPRODUCT(--('93_TARGET_MEMBERSHIP'!AK$5:AK$27=1),'92_FEATURE_CONF_NUMERIC'!V$5:V$27)/MAX(1,COUNTIF('93_TARGET_MEMBERSHIP'!AK$5:AK$27,1)))*(SUMPRODUCT(--('93_TARGET_MEMBERSHIP'!AK$5:AK$27=-1),'92_FEATURE_CONF_NUMERIC'!V$5:V$27)/MAX(1,COUNTIF('93_TARGET_MEMBERSHIP'!AK$5:AK$27,-1)))))</f>
        <v/>
      </c>
      <c r="V40" s="34">
        <f>IF($B40="ABSOLUTE SEMANTIC",'19_FEATURE_CONFIDENCE'!$D$24,SQRT((SUMPRODUCT(--('93_TARGET_MEMBERSHIP'!AK$5:AK$27=1),'92_FEATURE_CONF_NUMERIC'!W$5:W$27)/MAX(1,COUNTIF('93_TARGET_MEMBERSHIP'!AK$5:AK$27,1)))*(SUMPRODUCT(--('93_TARGET_MEMBERSHIP'!AK$5:AK$27=-1),'92_FEATURE_CONF_NUMERIC'!W$5:W$27)/MAX(1,COUNTIF('93_TARGET_MEMBERSHIP'!AK$5:AK$27,-1)))))</f>
        <v/>
      </c>
      <c r="W40" s="34">
        <f>IF($B40="ABSOLUTE SEMANTIC",'19_FEATURE_CONFIDENCE'!$D$25,SQRT((SUMPRODUCT(--('93_TARGET_MEMBERSHIP'!AK$5:AK$27=1),'92_FEATURE_CONF_NUMERIC'!X$5:X$27)/MAX(1,COUNTIF('93_TARGET_MEMBERSHIP'!AK$5:AK$27,1)))*(SUMPRODUCT(--('93_TARGET_MEMBERSHIP'!AK$5:AK$27=-1),'92_FEATURE_CONF_NUMERIC'!X$5:X$27)/MAX(1,COUNTIF('93_TARGET_MEMBERSHIP'!AK$5:AK$27,-1)))))</f>
        <v/>
      </c>
      <c r="X40" s="34">
        <f>IF($B40="ABSOLUTE SEMANTIC",'19_FEATURE_CONFIDENCE'!$D$26,SQRT((SUMPRODUCT(--('93_TARGET_MEMBERSHIP'!AK$5:AK$27=1),'92_FEATURE_CONF_NUMERIC'!Y$5:Y$27)/MAX(1,COUNTIF('93_TARGET_MEMBERSHIP'!AK$5:AK$27,1)))*(SUMPRODUCT(--('93_TARGET_MEMBERSHIP'!AK$5:AK$27=-1),'92_FEATURE_CONF_NUMERIC'!Y$5:Y$27)/MAX(1,COUNTIF('93_TARGET_MEMBERSHIP'!AK$5:AK$27,-1)))))</f>
        <v/>
      </c>
      <c r="Y40" s="34">
        <f>IF($B40="ABSOLUTE SEMANTIC",'19_FEATURE_CONFIDENCE'!$D$27,SQRT((SUMPRODUCT(--('93_TARGET_MEMBERSHIP'!AK$5:AK$27=1),'92_FEATURE_CONF_NUMERIC'!Z$5:Z$27)/MAX(1,COUNTIF('93_TARGET_MEMBERSHIP'!AK$5:AK$27,1)))*(SUMPRODUCT(--('93_TARGET_MEMBERSHIP'!AK$5:AK$27=-1),'92_FEATURE_CONF_NUMERIC'!Z$5:Z$27)/MAX(1,COUNTIF('93_TARGET_MEMBERSHIP'!AK$5:AK$27,-1)))))</f>
        <v/>
      </c>
      <c r="Z40" s="34">
        <f>IF($B40="ABSOLUTE SEMANTIC",'19_FEATURE_CONFIDENCE'!$D$28,SQRT((SUMPRODUCT(--('93_TARGET_MEMBERSHIP'!AK$5:AK$27=1),'92_FEATURE_CONF_NUMERIC'!AA$5:AA$27)/MAX(1,COUNTIF('93_TARGET_MEMBERSHIP'!AK$5:AK$27,1)))*(SUMPRODUCT(--('93_TARGET_MEMBERSHIP'!AK$5:AK$27=-1),'92_FEATURE_CONF_NUMERIC'!AA$5:AA$27)/MAX(1,COUNTIF('93_TARGET_MEMBERSHIP'!AK$5:AK$27,-1)))))</f>
        <v/>
      </c>
      <c r="AA40" s="34">
        <f>IF($B40="ABSOLUTE SEMANTIC",'19_FEATURE_CONFIDENCE'!$D$29,SQRT((SUMPRODUCT(--('93_TARGET_MEMBERSHIP'!AK$5:AK$27=1),'92_FEATURE_CONF_NUMERIC'!AB$5:AB$27)/MAX(1,COUNTIF('93_TARGET_MEMBERSHIP'!AK$5:AK$27,1)))*(SUMPRODUCT(--('93_TARGET_MEMBERSHIP'!AK$5:AK$27=-1),'92_FEATURE_CONF_NUMERIC'!AB$5:AB$27)/MAX(1,COUNTIF('93_TARGET_MEMBERSHIP'!AK$5:AK$27,-1)))))</f>
        <v/>
      </c>
      <c r="AB40" s="34">
        <f>IF($B40="ABSOLUTE SEMANTIC",'19_FEATURE_CONFIDENCE'!$D$30,SQRT((SUMPRODUCT(--('93_TARGET_MEMBERSHIP'!AK$5:AK$27=1),'92_FEATURE_CONF_NUMERIC'!AC$5:AC$27)/MAX(1,COUNTIF('93_TARGET_MEMBERSHIP'!AK$5:AK$27,1)))*(SUMPRODUCT(--('93_TARGET_MEMBERSHIP'!AK$5:AK$27=-1),'92_FEATURE_CONF_NUMERIC'!AC$5:AC$27)/MAX(1,COUNTIF('93_TARGET_MEMBERSHIP'!AK$5:AK$27,-1)))))</f>
        <v/>
      </c>
      <c r="AC40" s="34">
        <f>IF($B40="ABSOLUTE SEMANTIC",'19_FEATURE_CONFIDENCE'!$D$31,SQRT((SUMPRODUCT(--('93_TARGET_MEMBERSHIP'!AK$5:AK$27=1),'92_FEATURE_CONF_NUMERIC'!AD$5:AD$27)/MAX(1,COUNTIF('93_TARGET_MEMBERSHIP'!AK$5:AK$27,1)))*(SUMPRODUCT(--('93_TARGET_MEMBERSHIP'!AK$5:AK$27=-1),'92_FEATURE_CONF_NUMERIC'!AD$5:AD$27)/MAX(1,COUNTIF('93_TARGET_MEMBERSHIP'!AK$5:AK$27,-1)))))</f>
        <v/>
      </c>
      <c r="AD40" s="34">
        <f>IF($B40="ABSOLUTE SEMANTIC",'19_FEATURE_CONFIDENCE'!$D$32,SQRT((SUMPRODUCT(--('93_TARGET_MEMBERSHIP'!AK$5:AK$27=1),'92_FEATURE_CONF_NUMERIC'!AE$5:AE$27)/MAX(1,COUNTIF('93_TARGET_MEMBERSHIP'!AK$5:AK$27,1)))*(SUMPRODUCT(--('93_TARGET_MEMBERSHIP'!AK$5:AK$27=-1),'92_FEATURE_CONF_NUMERIC'!AE$5:AE$27)/MAX(1,COUNTIF('93_TARGET_MEMBERSHIP'!AK$5:AK$27,-1)))))</f>
        <v/>
      </c>
      <c r="AE40" s="34">
        <f>IF($B40="ABSOLUTE SEMANTIC",'19_FEATURE_CONFIDENCE'!$D$33,SQRT((SUMPRODUCT(--('93_TARGET_MEMBERSHIP'!AK$5:AK$27=1),'92_FEATURE_CONF_NUMERIC'!AF$5:AF$27)/MAX(1,COUNTIF('93_TARGET_MEMBERSHIP'!AK$5:AK$27,1)))*(SUMPRODUCT(--('93_TARGET_MEMBERSHIP'!AK$5:AK$27=-1),'92_FEATURE_CONF_NUMERIC'!AF$5:AF$27)/MAX(1,COUNTIF('93_TARGET_MEMBERSHIP'!AK$5:AK$27,-1)))))</f>
        <v/>
      </c>
      <c r="AF40" s="34">
        <f>IF($B40="ABSOLUTE SEMANTIC",'19_FEATURE_CONFIDENCE'!$D$34,SQRT((SUMPRODUCT(--('93_TARGET_MEMBERSHIP'!AK$5:AK$27=1),'92_FEATURE_CONF_NUMERIC'!AG$5:AG$27)/MAX(1,COUNTIF('93_TARGET_MEMBERSHIP'!AK$5:AK$27,1)))*(SUMPRODUCT(--('93_TARGET_MEMBERSHIP'!AK$5:AK$27=-1),'92_FEATURE_CONF_NUMERIC'!AG$5:AG$27)/MAX(1,COUNTIF('93_TARGET_MEMBERSHIP'!AK$5:AK$27,-1)))))</f>
        <v/>
      </c>
      <c r="AG40" s="34">
        <f>IF($B40="ABSOLUTE SEMANTIC",'19_FEATURE_CONFIDENCE'!$D$35,SQRT((SUMPRODUCT(--('93_TARGET_MEMBERSHIP'!AK$5:AK$27=1),'92_FEATURE_CONF_NUMERIC'!AH$5:AH$27)/MAX(1,COUNTIF('93_TARGET_MEMBERSHIP'!AK$5:AK$27,1)))*(SUMPRODUCT(--('93_TARGET_MEMBERSHIP'!AK$5:AK$27=-1),'92_FEATURE_CONF_NUMERIC'!AH$5:AH$27)/MAX(1,COUNTIF('93_TARGET_MEMBERSHIP'!AK$5:AK$27,-1)))))</f>
        <v/>
      </c>
      <c r="AH40" s="34">
        <f>IF($B40="ABSOLUTE SEMANTIC",'19_FEATURE_CONFIDENCE'!$D$36,SQRT((SUMPRODUCT(--('93_TARGET_MEMBERSHIP'!AK$5:AK$27=1),'92_FEATURE_CONF_NUMERIC'!AI$5:AI$27)/MAX(1,COUNTIF('93_TARGET_MEMBERSHIP'!AK$5:AK$27,1)))*(SUMPRODUCT(--('93_TARGET_MEMBERSHIP'!AK$5:AK$27=-1),'92_FEATURE_CONF_NUMERIC'!AI$5:AI$27)/MAX(1,COUNTIF('93_TARGET_MEMBERSHIP'!AK$5:AK$27,-1)))))</f>
        <v/>
      </c>
      <c r="AI40" s="34">
        <f>IF($B40="ABSOLUTE SEMANTIC",'19_FEATURE_CONFIDENCE'!$D$37,SQRT((SUMPRODUCT(--('93_TARGET_MEMBERSHIP'!AK$5:AK$27=1),'92_FEATURE_CONF_NUMERIC'!AJ$5:AJ$27)/MAX(1,COUNTIF('93_TARGET_MEMBERSHIP'!AK$5:AK$27,1)))*(SUMPRODUCT(--('93_TARGET_MEMBERSHIP'!AK$5:AK$27=-1),'92_FEATURE_CONF_NUMERIC'!AJ$5:AJ$27)/MAX(1,COUNTIF('93_TARGET_MEMBERSHIP'!AK$5:AK$27,-1)))))</f>
        <v/>
      </c>
      <c r="AJ40" s="34">
        <f>IF($B40="ABSOLUTE SEMANTIC",'19_FEATURE_CONFIDENCE'!$D$38,SQRT((SUMPRODUCT(--('93_TARGET_MEMBERSHIP'!AK$5:AK$27=1),'92_FEATURE_CONF_NUMERIC'!AK$5:AK$27)/MAX(1,COUNTIF('93_TARGET_MEMBERSHIP'!AK$5:AK$27,1)))*(SUMPRODUCT(--('93_TARGET_MEMBERSHIP'!AK$5:AK$27=-1),'92_FEATURE_CONF_NUMERIC'!AK$5:AK$27)/MAX(1,COUNTIF('93_TARGET_MEMBERSHIP'!AK$5:AK$27,-1)))))</f>
        <v/>
      </c>
      <c r="AK40" s="34">
        <f>IF($B40="ABSOLUTE SEMANTIC",'19_FEATURE_CONFIDENCE'!$D$39,SQRT((SUMPRODUCT(--('93_TARGET_MEMBERSHIP'!AK$5:AK$27=1),'92_FEATURE_CONF_NUMERIC'!AL$5:AL$27)/MAX(1,COUNTIF('93_TARGET_MEMBERSHIP'!AK$5:AK$27,1)))*(SUMPRODUCT(--('93_TARGET_MEMBERSHIP'!AK$5:AK$27=-1),'92_FEATURE_CONF_NUMERIC'!AL$5:AL$27)/MAX(1,COUNTIF('93_TARGET_MEMBERSHIP'!AK$5:AK$27,-1)))))</f>
        <v/>
      </c>
      <c r="AL40" s="34">
        <f>IF($B40="ABSOLUTE SEMANTIC",'19_FEATURE_CONFIDENCE'!$D$40,SQRT((SUMPRODUCT(--('93_TARGET_MEMBERSHIP'!AK$5:AK$27=1),'92_FEATURE_CONF_NUMERIC'!AM$5:AM$27)/MAX(1,COUNTIF('93_TARGET_MEMBERSHIP'!AK$5:AK$27,1)))*(SUMPRODUCT(--('93_TARGET_MEMBERSHIP'!AK$5:AK$27=-1),'92_FEATURE_CONF_NUMERIC'!AM$5:AM$27)/MAX(1,COUNTIF('93_TARGET_MEMBERSHIP'!AK$5:AK$27,-1)))))</f>
        <v/>
      </c>
      <c r="AM40" s="34">
        <f>IF($B40="ABSOLUTE SEMANTIC",'19_FEATURE_CONFIDENCE'!$D$41,SQRT((SUMPRODUCT(--('93_TARGET_MEMBERSHIP'!AK$5:AK$27=1),'92_FEATURE_CONF_NUMERIC'!AN$5:AN$27)/MAX(1,COUNTIF('93_TARGET_MEMBERSHIP'!AK$5:AK$27,1)))*(SUMPRODUCT(--('93_TARGET_MEMBERSHIP'!AK$5:AK$27=-1),'92_FEATURE_CONF_NUMERIC'!AN$5:AN$27)/MAX(1,COUNTIF('93_TARGET_MEMBERSHIP'!AK$5:AK$27,-1)))))</f>
        <v/>
      </c>
      <c r="AN40" s="34">
        <f>IF($B40="ABSOLUTE SEMANTIC",'19_FEATURE_CONFIDENCE'!$D$42,SQRT((SUMPRODUCT(--('93_TARGET_MEMBERSHIP'!AK$5:AK$27=1),'92_FEATURE_CONF_NUMERIC'!AO$5:AO$27)/MAX(1,COUNTIF('93_TARGET_MEMBERSHIP'!AK$5:AK$27,1)))*(SUMPRODUCT(--('93_TARGET_MEMBERSHIP'!AK$5:AK$27=-1),'92_FEATURE_CONF_NUMERIC'!AO$5:AO$27)/MAX(1,COUNTIF('93_TARGET_MEMBERSHIP'!AK$5:AK$27,-1)))))</f>
        <v/>
      </c>
      <c r="AO40" s="34">
        <f>IF($B40="ABSOLUTE SEMANTIC",'19_FEATURE_CONFIDENCE'!$D$43,SQRT((SUMPRODUCT(--('93_TARGET_MEMBERSHIP'!AK$5:AK$27=1),'92_FEATURE_CONF_NUMERIC'!AP$5:AP$27)/MAX(1,COUNTIF('93_TARGET_MEMBERSHIP'!AK$5:AK$27,1)))*(SUMPRODUCT(--('93_TARGET_MEMBERSHIP'!AK$5:AK$27=-1),'92_FEATURE_CONF_NUMERIC'!AP$5:AP$27)/MAX(1,COUNTIF('93_TARGET_MEMBERSHIP'!AK$5:AK$27,-1)))))</f>
        <v/>
      </c>
      <c r="AP40" s="34">
        <f>IF($B40="ABSOLUTE SEMANTIC",'19_FEATURE_CONFIDENCE'!$D$44,SQRT((SUMPRODUCT(--('93_TARGET_MEMBERSHIP'!AK$5:AK$27=1),'92_FEATURE_CONF_NUMERIC'!AQ$5:AQ$27)/MAX(1,COUNTIF('93_TARGET_MEMBERSHIP'!AK$5:AK$27,1)))*(SUMPRODUCT(--('93_TARGET_MEMBERSHIP'!AK$5:AK$27=-1),'92_FEATURE_CONF_NUMERIC'!AQ$5:AQ$27)/MAX(1,COUNTIF('93_TARGET_MEMBERSHIP'!AK$5:AK$27,-1)))))</f>
        <v/>
      </c>
      <c r="AQ40" s="34">
        <f>IF($B40="ABSOLUTE SEMANTIC",'19_FEATURE_CONFIDENCE'!$D$45,SQRT((SUMPRODUCT(--('93_TARGET_MEMBERSHIP'!AK$5:AK$27=1),'92_FEATURE_CONF_NUMERIC'!AR$5:AR$27)/MAX(1,COUNTIF('93_TARGET_MEMBERSHIP'!AK$5:AK$27,1)))*(SUMPRODUCT(--('93_TARGET_MEMBERSHIP'!AK$5:AK$27=-1),'92_FEATURE_CONF_NUMERIC'!AR$5:AR$27)/MAX(1,COUNTIF('93_TARGET_MEMBERSHIP'!AK$5:AK$27,-1)))))</f>
        <v/>
      </c>
    </row>
    <row r="41" ht="36" customHeight="1">
      <c r="A41" s="34">
        <f>'06_ITEM_POLE_MODEL'!A41</f>
        <v/>
      </c>
      <c r="B41" s="34">
        <f>'06_ITEM_POLE_MODEL'!E41</f>
        <v/>
      </c>
      <c r="C41" s="34">
        <f>IF($B41="ABSOLUTE SEMANTIC",'19_FEATURE_CONFIDENCE'!$D$5,SQRT((SUMPRODUCT(--('93_TARGET_MEMBERSHIP'!AL$5:AL$27=1),'92_FEATURE_CONF_NUMERIC'!D$5:D$27)/MAX(1,COUNTIF('93_TARGET_MEMBERSHIP'!AL$5:AL$27,1)))*(SUMPRODUCT(--('93_TARGET_MEMBERSHIP'!AL$5:AL$27=-1),'92_FEATURE_CONF_NUMERIC'!D$5:D$27)/MAX(1,COUNTIF('93_TARGET_MEMBERSHIP'!AL$5:AL$27,-1)))))</f>
        <v/>
      </c>
      <c r="D41" s="34">
        <f>IF($B41="ABSOLUTE SEMANTIC",'19_FEATURE_CONFIDENCE'!$D$6,SQRT((SUMPRODUCT(--('93_TARGET_MEMBERSHIP'!AL$5:AL$27=1),'92_FEATURE_CONF_NUMERIC'!E$5:E$27)/MAX(1,COUNTIF('93_TARGET_MEMBERSHIP'!AL$5:AL$27,1)))*(SUMPRODUCT(--('93_TARGET_MEMBERSHIP'!AL$5:AL$27=-1),'92_FEATURE_CONF_NUMERIC'!E$5:E$27)/MAX(1,COUNTIF('93_TARGET_MEMBERSHIP'!AL$5:AL$27,-1)))))</f>
        <v/>
      </c>
      <c r="E41" s="34">
        <f>IF($B41="ABSOLUTE SEMANTIC",'19_FEATURE_CONFIDENCE'!$D$7,SQRT((SUMPRODUCT(--('93_TARGET_MEMBERSHIP'!AL$5:AL$27=1),'92_FEATURE_CONF_NUMERIC'!F$5:F$27)/MAX(1,COUNTIF('93_TARGET_MEMBERSHIP'!AL$5:AL$27,1)))*(SUMPRODUCT(--('93_TARGET_MEMBERSHIP'!AL$5:AL$27=-1),'92_FEATURE_CONF_NUMERIC'!F$5:F$27)/MAX(1,COUNTIF('93_TARGET_MEMBERSHIP'!AL$5:AL$27,-1)))))</f>
        <v/>
      </c>
      <c r="F41" s="34">
        <f>IF($B41="ABSOLUTE SEMANTIC",'19_FEATURE_CONFIDENCE'!$D$8,SQRT((SUMPRODUCT(--('93_TARGET_MEMBERSHIP'!AL$5:AL$27=1),'92_FEATURE_CONF_NUMERIC'!G$5:G$27)/MAX(1,COUNTIF('93_TARGET_MEMBERSHIP'!AL$5:AL$27,1)))*(SUMPRODUCT(--('93_TARGET_MEMBERSHIP'!AL$5:AL$27=-1),'92_FEATURE_CONF_NUMERIC'!G$5:G$27)/MAX(1,COUNTIF('93_TARGET_MEMBERSHIP'!AL$5:AL$27,-1)))))</f>
        <v/>
      </c>
      <c r="G41" s="34">
        <f>IF($B41="ABSOLUTE SEMANTIC",'19_FEATURE_CONFIDENCE'!$D$9,SQRT((SUMPRODUCT(--('93_TARGET_MEMBERSHIP'!AL$5:AL$27=1),'92_FEATURE_CONF_NUMERIC'!H$5:H$27)/MAX(1,COUNTIF('93_TARGET_MEMBERSHIP'!AL$5:AL$27,1)))*(SUMPRODUCT(--('93_TARGET_MEMBERSHIP'!AL$5:AL$27=-1),'92_FEATURE_CONF_NUMERIC'!H$5:H$27)/MAX(1,COUNTIF('93_TARGET_MEMBERSHIP'!AL$5:AL$27,-1)))))</f>
        <v/>
      </c>
      <c r="H41" s="34">
        <f>IF($B41="ABSOLUTE SEMANTIC",'19_FEATURE_CONFIDENCE'!$D$10,SQRT((SUMPRODUCT(--('93_TARGET_MEMBERSHIP'!AL$5:AL$27=1),'92_FEATURE_CONF_NUMERIC'!I$5:I$27)/MAX(1,COUNTIF('93_TARGET_MEMBERSHIP'!AL$5:AL$27,1)))*(SUMPRODUCT(--('93_TARGET_MEMBERSHIP'!AL$5:AL$27=-1),'92_FEATURE_CONF_NUMERIC'!I$5:I$27)/MAX(1,COUNTIF('93_TARGET_MEMBERSHIP'!AL$5:AL$27,-1)))))</f>
        <v/>
      </c>
      <c r="I41" s="34">
        <f>IF($B41="ABSOLUTE SEMANTIC",'19_FEATURE_CONFIDENCE'!$D$11,SQRT((SUMPRODUCT(--('93_TARGET_MEMBERSHIP'!AL$5:AL$27=1),'92_FEATURE_CONF_NUMERIC'!J$5:J$27)/MAX(1,COUNTIF('93_TARGET_MEMBERSHIP'!AL$5:AL$27,1)))*(SUMPRODUCT(--('93_TARGET_MEMBERSHIP'!AL$5:AL$27=-1),'92_FEATURE_CONF_NUMERIC'!J$5:J$27)/MAX(1,COUNTIF('93_TARGET_MEMBERSHIP'!AL$5:AL$27,-1)))))</f>
        <v/>
      </c>
      <c r="J41" s="34">
        <f>IF($B41="ABSOLUTE SEMANTIC",'19_FEATURE_CONFIDENCE'!$D$12,SQRT((SUMPRODUCT(--('93_TARGET_MEMBERSHIP'!AL$5:AL$27=1),'92_FEATURE_CONF_NUMERIC'!K$5:K$27)/MAX(1,COUNTIF('93_TARGET_MEMBERSHIP'!AL$5:AL$27,1)))*(SUMPRODUCT(--('93_TARGET_MEMBERSHIP'!AL$5:AL$27=-1),'92_FEATURE_CONF_NUMERIC'!K$5:K$27)/MAX(1,COUNTIF('93_TARGET_MEMBERSHIP'!AL$5:AL$27,-1)))))</f>
        <v/>
      </c>
      <c r="K41" s="34">
        <f>IF($B41="ABSOLUTE SEMANTIC",'19_FEATURE_CONFIDENCE'!$D$13,SQRT((SUMPRODUCT(--('93_TARGET_MEMBERSHIP'!AL$5:AL$27=1),'92_FEATURE_CONF_NUMERIC'!L$5:L$27)/MAX(1,COUNTIF('93_TARGET_MEMBERSHIP'!AL$5:AL$27,1)))*(SUMPRODUCT(--('93_TARGET_MEMBERSHIP'!AL$5:AL$27=-1),'92_FEATURE_CONF_NUMERIC'!L$5:L$27)/MAX(1,COUNTIF('93_TARGET_MEMBERSHIP'!AL$5:AL$27,-1)))))</f>
        <v/>
      </c>
      <c r="L41" s="34">
        <f>IF($B41="ABSOLUTE SEMANTIC",'19_FEATURE_CONFIDENCE'!$D$14,SQRT((SUMPRODUCT(--('93_TARGET_MEMBERSHIP'!AL$5:AL$27=1),'92_FEATURE_CONF_NUMERIC'!M$5:M$27)/MAX(1,COUNTIF('93_TARGET_MEMBERSHIP'!AL$5:AL$27,1)))*(SUMPRODUCT(--('93_TARGET_MEMBERSHIP'!AL$5:AL$27=-1),'92_FEATURE_CONF_NUMERIC'!M$5:M$27)/MAX(1,COUNTIF('93_TARGET_MEMBERSHIP'!AL$5:AL$27,-1)))))</f>
        <v/>
      </c>
      <c r="M41" s="34">
        <f>IF($B41="ABSOLUTE SEMANTIC",'19_FEATURE_CONFIDENCE'!$D$15,SQRT((SUMPRODUCT(--('93_TARGET_MEMBERSHIP'!AL$5:AL$27=1),'92_FEATURE_CONF_NUMERIC'!N$5:N$27)/MAX(1,COUNTIF('93_TARGET_MEMBERSHIP'!AL$5:AL$27,1)))*(SUMPRODUCT(--('93_TARGET_MEMBERSHIP'!AL$5:AL$27=-1),'92_FEATURE_CONF_NUMERIC'!N$5:N$27)/MAX(1,COUNTIF('93_TARGET_MEMBERSHIP'!AL$5:AL$27,-1)))))</f>
        <v/>
      </c>
      <c r="N41" s="34">
        <f>IF($B41="ABSOLUTE SEMANTIC",'19_FEATURE_CONFIDENCE'!$D$16,SQRT((SUMPRODUCT(--('93_TARGET_MEMBERSHIP'!AL$5:AL$27=1),'92_FEATURE_CONF_NUMERIC'!O$5:O$27)/MAX(1,COUNTIF('93_TARGET_MEMBERSHIP'!AL$5:AL$27,1)))*(SUMPRODUCT(--('93_TARGET_MEMBERSHIP'!AL$5:AL$27=-1),'92_FEATURE_CONF_NUMERIC'!O$5:O$27)/MAX(1,COUNTIF('93_TARGET_MEMBERSHIP'!AL$5:AL$27,-1)))))</f>
        <v/>
      </c>
      <c r="O41" s="34">
        <f>IF($B41="ABSOLUTE SEMANTIC",'19_FEATURE_CONFIDENCE'!$D$17,SQRT((SUMPRODUCT(--('93_TARGET_MEMBERSHIP'!AL$5:AL$27=1),'92_FEATURE_CONF_NUMERIC'!P$5:P$27)/MAX(1,COUNTIF('93_TARGET_MEMBERSHIP'!AL$5:AL$27,1)))*(SUMPRODUCT(--('93_TARGET_MEMBERSHIP'!AL$5:AL$27=-1),'92_FEATURE_CONF_NUMERIC'!P$5:P$27)/MAX(1,COUNTIF('93_TARGET_MEMBERSHIP'!AL$5:AL$27,-1)))))</f>
        <v/>
      </c>
      <c r="P41" s="34">
        <f>IF($B41="ABSOLUTE SEMANTIC",'19_FEATURE_CONFIDENCE'!$D$18,SQRT((SUMPRODUCT(--('93_TARGET_MEMBERSHIP'!AL$5:AL$27=1),'92_FEATURE_CONF_NUMERIC'!Q$5:Q$27)/MAX(1,COUNTIF('93_TARGET_MEMBERSHIP'!AL$5:AL$27,1)))*(SUMPRODUCT(--('93_TARGET_MEMBERSHIP'!AL$5:AL$27=-1),'92_FEATURE_CONF_NUMERIC'!Q$5:Q$27)/MAX(1,COUNTIF('93_TARGET_MEMBERSHIP'!AL$5:AL$27,-1)))))</f>
        <v/>
      </c>
      <c r="Q41" s="34">
        <f>IF($B41="ABSOLUTE SEMANTIC",'19_FEATURE_CONFIDENCE'!$D$19,SQRT((SUMPRODUCT(--('93_TARGET_MEMBERSHIP'!AL$5:AL$27=1),'92_FEATURE_CONF_NUMERIC'!R$5:R$27)/MAX(1,COUNTIF('93_TARGET_MEMBERSHIP'!AL$5:AL$27,1)))*(SUMPRODUCT(--('93_TARGET_MEMBERSHIP'!AL$5:AL$27=-1),'92_FEATURE_CONF_NUMERIC'!R$5:R$27)/MAX(1,COUNTIF('93_TARGET_MEMBERSHIP'!AL$5:AL$27,-1)))))</f>
        <v/>
      </c>
      <c r="R41" s="34">
        <f>IF($B41="ABSOLUTE SEMANTIC",'19_FEATURE_CONFIDENCE'!$D$20,SQRT((SUMPRODUCT(--('93_TARGET_MEMBERSHIP'!AL$5:AL$27=1),'92_FEATURE_CONF_NUMERIC'!S$5:S$27)/MAX(1,COUNTIF('93_TARGET_MEMBERSHIP'!AL$5:AL$27,1)))*(SUMPRODUCT(--('93_TARGET_MEMBERSHIP'!AL$5:AL$27=-1),'92_FEATURE_CONF_NUMERIC'!S$5:S$27)/MAX(1,COUNTIF('93_TARGET_MEMBERSHIP'!AL$5:AL$27,-1)))))</f>
        <v/>
      </c>
      <c r="S41" s="34">
        <f>IF($B41="ABSOLUTE SEMANTIC",'19_FEATURE_CONFIDENCE'!$D$21,SQRT((SUMPRODUCT(--('93_TARGET_MEMBERSHIP'!AL$5:AL$27=1),'92_FEATURE_CONF_NUMERIC'!T$5:T$27)/MAX(1,COUNTIF('93_TARGET_MEMBERSHIP'!AL$5:AL$27,1)))*(SUMPRODUCT(--('93_TARGET_MEMBERSHIP'!AL$5:AL$27=-1),'92_FEATURE_CONF_NUMERIC'!T$5:T$27)/MAX(1,COUNTIF('93_TARGET_MEMBERSHIP'!AL$5:AL$27,-1)))))</f>
        <v/>
      </c>
      <c r="T41" s="34">
        <f>IF($B41="ABSOLUTE SEMANTIC",'19_FEATURE_CONFIDENCE'!$D$22,SQRT((SUMPRODUCT(--('93_TARGET_MEMBERSHIP'!AL$5:AL$27=1),'92_FEATURE_CONF_NUMERIC'!U$5:U$27)/MAX(1,COUNTIF('93_TARGET_MEMBERSHIP'!AL$5:AL$27,1)))*(SUMPRODUCT(--('93_TARGET_MEMBERSHIP'!AL$5:AL$27=-1),'92_FEATURE_CONF_NUMERIC'!U$5:U$27)/MAX(1,COUNTIF('93_TARGET_MEMBERSHIP'!AL$5:AL$27,-1)))))</f>
        <v/>
      </c>
      <c r="U41" s="34">
        <f>IF($B41="ABSOLUTE SEMANTIC",'19_FEATURE_CONFIDENCE'!$D$23,SQRT((SUMPRODUCT(--('93_TARGET_MEMBERSHIP'!AL$5:AL$27=1),'92_FEATURE_CONF_NUMERIC'!V$5:V$27)/MAX(1,COUNTIF('93_TARGET_MEMBERSHIP'!AL$5:AL$27,1)))*(SUMPRODUCT(--('93_TARGET_MEMBERSHIP'!AL$5:AL$27=-1),'92_FEATURE_CONF_NUMERIC'!V$5:V$27)/MAX(1,COUNTIF('93_TARGET_MEMBERSHIP'!AL$5:AL$27,-1)))))</f>
        <v/>
      </c>
      <c r="V41" s="34">
        <f>IF($B41="ABSOLUTE SEMANTIC",'19_FEATURE_CONFIDENCE'!$D$24,SQRT((SUMPRODUCT(--('93_TARGET_MEMBERSHIP'!AL$5:AL$27=1),'92_FEATURE_CONF_NUMERIC'!W$5:W$27)/MAX(1,COUNTIF('93_TARGET_MEMBERSHIP'!AL$5:AL$27,1)))*(SUMPRODUCT(--('93_TARGET_MEMBERSHIP'!AL$5:AL$27=-1),'92_FEATURE_CONF_NUMERIC'!W$5:W$27)/MAX(1,COUNTIF('93_TARGET_MEMBERSHIP'!AL$5:AL$27,-1)))))</f>
        <v/>
      </c>
      <c r="W41" s="34">
        <f>IF($B41="ABSOLUTE SEMANTIC",'19_FEATURE_CONFIDENCE'!$D$25,SQRT((SUMPRODUCT(--('93_TARGET_MEMBERSHIP'!AL$5:AL$27=1),'92_FEATURE_CONF_NUMERIC'!X$5:X$27)/MAX(1,COUNTIF('93_TARGET_MEMBERSHIP'!AL$5:AL$27,1)))*(SUMPRODUCT(--('93_TARGET_MEMBERSHIP'!AL$5:AL$27=-1),'92_FEATURE_CONF_NUMERIC'!X$5:X$27)/MAX(1,COUNTIF('93_TARGET_MEMBERSHIP'!AL$5:AL$27,-1)))))</f>
        <v/>
      </c>
      <c r="X41" s="34">
        <f>IF($B41="ABSOLUTE SEMANTIC",'19_FEATURE_CONFIDENCE'!$D$26,SQRT((SUMPRODUCT(--('93_TARGET_MEMBERSHIP'!AL$5:AL$27=1),'92_FEATURE_CONF_NUMERIC'!Y$5:Y$27)/MAX(1,COUNTIF('93_TARGET_MEMBERSHIP'!AL$5:AL$27,1)))*(SUMPRODUCT(--('93_TARGET_MEMBERSHIP'!AL$5:AL$27=-1),'92_FEATURE_CONF_NUMERIC'!Y$5:Y$27)/MAX(1,COUNTIF('93_TARGET_MEMBERSHIP'!AL$5:AL$27,-1)))))</f>
        <v/>
      </c>
      <c r="Y41" s="34">
        <f>IF($B41="ABSOLUTE SEMANTIC",'19_FEATURE_CONFIDENCE'!$D$27,SQRT((SUMPRODUCT(--('93_TARGET_MEMBERSHIP'!AL$5:AL$27=1),'92_FEATURE_CONF_NUMERIC'!Z$5:Z$27)/MAX(1,COUNTIF('93_TARGET_MEMBERSHIP'!AL$5:AL$27,1)))*(SUMPRODUCT(--('93_TARGET_MEMBERSHIP'!AL$5:AL$27=-1),'92_FEATURE_CONF_NUMERIC'!Z$5:Z$27)/MAX(1,COUNTIF('93_TARGET_MEMBERSHIP'!AL$5:AL$27,-1)))))</f>
        <v/>
      </c>
      <c r="Z41" s="34">
        <f>IF($B41="ABSOLUTE SEMANTIC",'19_FEATURE_CONFIDENCE'!$D$28,SQRT((SUMPRODUCT(--('93_TARGET_MEMBERSHIP'!AL$5:AL$27=1),'92_FEATURE_CONF_NUMERIC'!AA$5:AA$27)/MAX(1,COUNTIF('93_TARGET_MEMBERSHIP'!AL$5:AL$27,1)))*(SUMPRODUCT(--('93_TARGET_MEMBERSHIP'!AL$5:AL$27=-1),'92_FEATURE_CONF_NUMERIC'!AA$5:AA$27)/MAX(1,COUNTIF('93_TARGET_MEMBERSHIP'!AL$5:AL$27,-1)))))</f>
        <v/>
      </c>
      <c r="AA41" s="34">
        <f>IF($B41="ABSOLUTE SEMANTIC",'19_FEATURE_CONFIDENCE'!$D$29,SQRT((SUMPRODUCT(--('93_TARGET_MEMBERSHIP'!AL$5:AL$27=1),'92_FEATURE_CONF_NUMERIC'!AB$5:AB$27)/MAX(1,COUNTIF('93_TARGET_MEMBERSHIP'!AL$5:AL$27,1)))*(SUMPRODUCT(--('93_TARGET_MEMBERSHIP'!AL$5:AL$27=-1),'92_FEATURE_CONF_NUMERIC'!AB$5:AB$27)/MAX(1,COUNTIF('93_TARGET_MEMBERSHIP'!AL$5:AL$27,-1)))))</f>
        <v/>
      </c>
      <c r="AB41" s="34">
        <f>IF($B41="ABSOLUTE SEMANTIC",'19_FEATURE_CONFIDENCE'!$D$30,SQRT((SUMPRODUCT(--('93_TARGET_MEMBERSHIP'!AL$5:AL$27=1),'92_FEATURE_CONF_NUMERIC'!AC$5:AC$27)/MAX(1,COUNTIF('93_TARGET_MEMBERSHIP'!AL$5:AL$27,1)))*(SUMPRODUCT(--('93_TARGET_MEMBERSHIP'!AL$5:AL$27=-1),'92_FEATURE_CONF_NUMERIC'!AC$5:AC$27)/MAX(1,COUNTIF('93_TARGET_MEMBERSHIP'!AL$5:AL$27,-1)))))</f>
        <v/>
      </c>
      <c r="AC41" s="34">
        <f>IF($B41="ABSOLUTE SEMANTIC",'19_FEATURE_CONFIDENCE'!$D$31,SQRT((SUMPRODUCT(--('93_TARGET_MEMBERSHIP'!AL$5:AL$27=1),'92_FEATURE_CONF_NUMERIC'!AD$5:AD$27)/MAX(1,COUNTIF('93_TARGET_MEMBERSHIP'!AL$5:AL$27,1)))*(SUMPRODUCT(--('93_TARGET_MEMBERSHIP'!AL$5:AL$27=-1),'92_FEATURE_CONF_NUMERIC'!AD$5:AD$27)/MAX(1,COUNTIF('93_TARGET_MEMBERSHIP'!AL$5:AL$27,-1)))))</f>
        <v/>
      </c>
      <c r="AD41" s="34">
        <f>IF($B41="ABSOLUTE SEMANTIC",'19_FEATURE_CONFIDENCE'!$D$32,SQRT((SUMPRODUCT(--('93_TARGET_MEMBERSHIP'!AL$5:AL$27=1),'92_FEATURE_CONF_NUMERIC'!AE$5:AE$27)/MAX(1,COUNTIF('93_TARGET_MEMBERSHIP'!AL$5:AL$27,1)))*(SUMPRODUCT(--('93_TARGET_MEMBERSHIP'!AL$5:AL$27=-1),'92_FEATURE_CONF_NUMERIC'!AE$5:AE$27)/MAX(1,COUNTIF('93_TARGET_MEMBERSHIP'!AL$5:AL$27,-1)))))</f>
        <v/>
      </c>
      <c r="AE41" s="34">
        <f>IF($B41="ABSOLUTE SEMANTIC",'19_FEATURE_CONFIDENCE'!$D$33,SQRT((SUMPRODUCT(--('93_TARGET_MEMBERSHIP'!AL$5:AL$27=1),'92_FEATURE_CONF_NUMERIC'!AF$5:AF$27)/MAX(1,COUNTIF('93_TARGET_MEMBERSHIP'!AL$5:AL$27,1)))*(SUMPRODUCT(--('93_TARGET_MEMBERSHIP'!AL$5:AL$27=-1),'92_FEATURE_CONF_NUMERIC'!AF$5:AF$27)/MAX(1,COUNTIF('93_TARGET_MEMBERSHIP'!AL$5:AL$27,-1)))))</f>
        <v/>
      </c>
      <c r="AF41" s="34">
        <f>IF($B41="ABSOLUTE SEMANTIC",'19_FEATURE_CONFIDENCE'!$D$34,SQRT((SUMPRODUCT(--('93_TARGET_MEMBERSHIP'!AL$5:AL$27=1),'92_FEATURE_CONF_NUMERIC'!AG$5:AG$27)/MAX(1,COUNTIF('93_TARGET_MEMBERSHIP'!AL$5:AL$27,1)))*(SUMPRODUCT(--('93_TARGET_MEMBERSHIP'!AL$5:AL$27=-1),'92_FEATURE_CONF_NUMERIC'!AG$5:AG$27)/MAX(1,COUNTIF('93_TARGET_MEMBERSHIP'!AL$5:AL$27,-1)))))</f>
        <v/>
      </c>
      <c r="AG41" s="34">
        <f>IF($B41="ABSOLUTE SEMANTIC",'19_FEATURE_CONFIDENCE'!$D$35,SQRT((SUMPRODUCT(--('93_TARGET_MEMBERSHIP'!AL$5:AL$27=1),'92_FEATURE_CONF_NUMERIC'!AH$5:AH$27)/MAX(1,COUNTIF('93_TARGET_MEMBERSHIP'!AL$5:AL$27,1)))*(SUMPRODUCT(--('93_TARGET_MEMBERSHIP'!AL$5:AL$27=-1),'92_FEATURE_CONF_NUMERIC'!AH$5:AH$27)/MAX(1,COUNTIF('93_TARGET_MEMBERSHIP'!AL$5:AL$27,-1)))))</f>
        <v/>
      </c>
      <c r="AH41" s="34">
        <f>IF($B41="ABSOLUTE SEMANTIC",'19_FEATURE_CONFIDENCE'!$D$36,SQRT((SUMPRODUCT(--('93_TARGET_MEMBERSHIP'!AL$5:AL$27=1),'92_FEATURE_CONF_NUMERIC'!AI$5:AI$27)/MAX(1,COUNTIF('93_TARGET_MEMBERSHIP'!AL$5:AL$27,1)))*(SUMPRODUCT(--('93_TARGET_MEMBERSHIP'!AL$5:AL$27=-1),'92_FEATURE_CONF_NUMERIC'!AI$5:AI$27)/MAX(1,COUNTIF('93_TARGET_MEMBERSHIP'!AL$5:AL$27,-1)))))</f>
        <v/>
      </c>
      <c r="AI41" s="34">
        <f>IF($B41="ABSOLUTE SEMANTIC",'19_FEATURE_CONFIDENCE'!$D$37,SQRT((SUMPRODUCT(--('93_TARGET_MEMBERSHIP'!AL$5:AL$27=1),'92_FEATURE_CONF_NUMERIC'!AJ$5:AJ$27)/MAX(1,COUNTIF('93_TARGET_MEMBERSHIP'!AL$5:AL$27,1)))*(SUMPRODUCT(--('93_TARGET_MEMBERSHIP'!AL$5:AL$27=-1),'92_FEATURE_CONF_NUMERIC'!AJ$5:AJ$27)/MAX(1,COUNTIF('93_TARGET_MEMBERSHIP'!AL$5:AL$27,-1)))))</f>
        <v/>
      </c>
      <c r="AJ41" s="34">
        <f>IF($B41="ABSOLUTE SEMANTIC",'19_FEATURE_CONFIDENCE'!$D$38,SQRT((SUMPRODUCT(--('93_TARGET_MEMBERSHIP'!AL$5:AL$27=1),'92_FEATURE_CONF_NUMERIC'!AK$5:AK$27)/MAX(1,COUNTIF('93_TARGET_MEMBERSHIP'!AL$5:AL$27,1)))*(SUMPRODUCT(--('93_TARGET_MEMBERSHIP'!AL$5:AL$27=-1),'92_FEATURE_CONF_NUMERIC'!AK$5:AK$27)/MAX(1,COUNTIF('93_TARGET_MEMBERSHIP'!AL$5:AL$27,-1)))))</f>
        <v/>
      </c>
      <c r="AK41" s="34">
        <f>IF($B41="ABSOLUTE SEMANTIC",'19_FEATURE_CONFIDENCE'!$D$39,SQRT((SUMPRODUCT(--('93_TARGET_MEMBERSHIP'!AL$5:AL$27=1),'92_FEATURE_CONF_NUMERIC'!AL$5:AL$27)/MAX(1,COUNTIF('93_TARGET_MEMBERSHIP'!AL$5:AL$27,1)))*(SUMPRODUCT(--('93_TARGET_MEMBERSHIP'!AL$5:AL$27=-1),'92_FEATURE_CONF_NUMERIC'!AL$5:AL$27)/MAX(1,COUNTIF('93_TARGET_MEMBERSHIP'!AL$5:AL$27,-1)))))</f>
        <v/>
      </c>
      <c r="AL41" s="34">
        <f>IF($B41="ABSOLUTE SEMANTIC",'19_FEATURE_CONFIDENCE'!$D$40,SQRT((SUMPRODUCT(--('93_TARGET_MEMBERSHIP'!AL$5:AL$27=1),'92_FEATURE_CONF_NUMERIC'!AM$5:AM$27)/MAX(1,COUNTIF('93_TARGET_MEMBERSHIP'!AL$5:AL$27,1)))*(SUMPRODUCT(--('93_TARGET_MEMBERSHIP'!AL$5:AL$27=-1),'92_FEATURE_CONF_NUMERIC'!AM$5:AM$27)/MAX(1,COUNTIF('93_TARGET_MEMBERSHIP'!AL$5:AL$27,-1)))))</f>
        <v/>
      </c>
      <c r="AM41" s="34">
        <f>IF($B41="ABSOLUTE SEMANTIC",'19_FEATURE_CONFIDENCE'!$D$41,SQRT((SUMPRODUCT(--('93_TARGET_MEMBERSHIP'!AL$5:AL$27=1),'92_FEATURE_CONF_NUMERIC'!AN$5:AN$27)/MAX(1,COUNTIF('93_TARGET_MEMBERSHIP'!AL$5:AL$27,1)))*(SUMPRODUCT(--('93_TARGET_MEMBERSHIP'!AL$5:AL$27=-1),'92_FEATURE_CONF_NUMERIC'!AN$5:AN$27)/MAX(1,COUNTIF('93_TARGET_MEMBERSHIP'!AL$5:AL$27,-1)))))</f>
        <v/>
      </c>
      <c r="AN41" s="34">
        <f>IF($B41="ABSOLUTE SEMANTIC",'19_FEATURE_CONFIDENCE'!$D$42,SQRT((SUMPRODUCT(--('93_TARGET_MEMBERSHIP'!AL$5:AL$27=1),'92_FEATURE_CONF_NUMERIC'!AO$5:AO$27)/MAX(1,COUNTIF('93_TARGET_MEMBERSHIP'!AL$5:AL$27,1)))*(SUMPRODUCT(--('93_TARGET_MEMBERSHIP'!AL$5:AL$27=-1),'92_FEATURE_CONF_NUMERIC'!AO$5:AO$27)/MAX(1,COUNTIF('93_TARGET_MEMBERSHIP'!AL$5:AL$27,-1)))))</f>
        <v/>
      </c>
      <c r="AO41" s="34">
        <f>IF($B41="ABSOLUTE SEMANTIC",'19_FEATURE_CONFIDENCE'!$D$43,SQRT((SUMPRODUCT(--('93_TARGET_MEMBERSHIP'!AL$5:AL$27=1),'92_FEATURE_CONF_NUMERIC'!AP$5:AP$27)/MAX(1,COUNTIF('93_TARGET_MEMBERSHIP'!AL$5:AL$27,1)))*(SUMPRODUCT(--('93_TARGET_MEMBERSHIP'!AL$5:AL$27=-1),'92_FEATURE_CONF_NUMERIC'!AP$5:AP$27)/MAX(1,COUNTIF('93_TARGET_MEMBERSHIP'!AL$5:AL$27,-1)))))</f>
        <v/>
      </c>
      <c r="AP41" s="34">
        <f>IF($B41="ABSOLUTE SEMANTIC",'19_FEATURE_CONFIDENCE'!$D$44,SQRT((SUMPRODUCT(--('93_TARGET_MEMBERSHIP'!AL$5:AL$27=1),'92_FEATURE_CONF_NUMERIC'!AQ$5:AQ$27)/MAX(1,COUNTIF('93_TARGET_MEMBERSHIP'!AL$5:AL$27,1)))*(SUMPRODUCT(--('93_TARGET_MEMBERSHIP'!AL$5:AL$27=-1),'92_FEATURE_CONF_NUMERIC'!AQ$5:AQ$27)/MAX(1,COUNTIF('93_TARGET_MEMBERSHIP'!AL$5:AL$27,-1)))))</f>
        <v/>
      </c>
      <c r="AQ41" s="34">
        <f>IF($B41="ABSOLUTE SEMANTIC",'19_FEATURE_CONFIDENCE'!$D$45,SQRT((SUMPRODUCT(--('93_TARGET_MEMBERSHIP'!AL$5:AL$27=1),'92_FEATURE_CONF_NUMERIC'!AR$5:AR$27)/MAX(1,COUNTIF('93_TARGET_MEMBERSHIP'!AL$5:AL$27,1)))*(SUMPRODUCT(--('93_TARGET_MEMBERSHIP'!AL$5:AL$27=-1),'92_FEATURE_CONF_NUMERIC'!AR$5:AR$27)/MAX(1,COUNTIF('93_TARGET_MEMBERSHIP'!AL$5:AL$27,-1)))))</f>
        <v/>
      </c>
    </row>
    <row r="42" ht="36" customHeight="1">
      <c r="A42" s="34">
        <f>'06_ITEM_POLE_MODEL'!A42</f>
        <v/>
      </c>
      <c r="B42" s="34">
        <f>'06_ITEM_POLE_MODEL'!E42</f>
        <v/>
      </c>
      <c r="C42" s="34">
        <f>IF($B42="ABSOLUTE SEMANTIC",'19_FEATURE_CONFIDENCE'!$D$5,SQRT((SUMPRODUCT(--('93_TARGET_MEMBERSHIP'!AM$5:AM$27=1),'92_FEATURE_CONF_NUMERIC'!D$5:D$27)/MAX(1,COUNTIF('93_TARGET_MEMBERSHIP'!AM$5:AM$27,1)))*(SUMPRODUCT(--('93_TARGET_MEMBERSHIP'!AM$5:AM$27=-1),'92_FEATURE_CONF_NUMERIC'!D$5:D$27)/MAX(1,COUNTIF('93_TARGET_MEMBERSHIP'!AM$5:AM$27,-1)))))</f>
        <v/>
      </c>
      <c r="D42" s="34">
        <f>IF($B42="ABSOLUTE SEMANTIC",'19_FEATURE_CONFIDENCE'!$D$6,SQRT((SUMPRODUCT(--('93_TARGET_MEMBERSHIP'!AM$5:AM$27=1),'92_FEATURE_CONF_NUMERIC'!E$5:E$27)/MAX(1,COUNTIF('93_TARGET_MEMBERSHIP'!AM$5:AM$27,1)))*(SUMPRODUCT(--('93_TARGET_MEMBERSHIP'!AM$5:AM$27=-1),'92_FEATURE_CONF_NUMERIC'!E$5:E$27)/MAX(1,COUNTIF('93_TARGET_MEMBERSHIP'!AM$5:AM$27,-1)))))</f>
        <v/>
      </c>
      <c r="E42" s="34">
        <f>IF($B42="ABSOLUTE SEMANTIC",'19_FEATURE_CONFIDENCE'!$D$7,SQRT((SUMPRODUCT(--('93_TARGET_MEMBERSHIP'!AM$5:AM$27=1),'92_FEATURE_CONF_NUMERIC'!F$5:F$27)/MAX(1,COUNTIF('93_TARGET_MEMBERSHIP'!AM$5:AM$27,1)))*(SUMPRODUCT(--('93_TARGET_MEMBERSHIP'!AM$5:AM$27=-1),'92_FEATURE_CONF_NUMERIC'!F$5:F$27)/MAX(1,COUNTIF('93_TARGET_MEMBERSHIP'!AM$5:AM$27,-1)))))</f>
        <v/>
      </c>
      <c r="F42" s="34">
        <f>IF($B42="ABSOLUTE SEMANTIC",'19_FEATURE_CONFIDENCE'!$D$8,SQRT((SUMPRODUCT(--('93_TARGET_MEMBERSHIP'!AM$5:AM$27=1),'92_FEATURE_CONF_NUMERIC'!G$5:G$27)/MAX(1,COUNTIF('93_TARGET_MEMBERSHIP'!AM$5:AM$27,1)))*(SUMPRODUCT(--('93_TARGET_MEMBERSHIP'!AM$5:AM$27=-1),'92_FEATURE_CONF_NUMERIC'!G$5:G$27)/MAX(1,COUNTIF('93_TARGET_MEMBERSHIP'!AM$5:AM$27,-1)))))</f>
        <v/>
      </c>
      <c r="G42" s="34">
        <f>IF($B42="ABSOLUTE SEMANTIC",'19_FEATURE_CONFIDENCE'!$D$9,SQRT((SUMPRODUCT(--('93_TARGET_MEMBERSHIP'!AM$5:AM$27=1),'92_FEATURE_CONF_NUMERIC'!H$5:H$27)/MAX(1,COUNTIF('93_TARGET_MEMBERSHIP'!AM$5:AM$27,1)))*(SUMPRODUCT(--('93_TARGET_MEMBERSHIP'!AM$5:AM$27=-1),'92_FEATURE_CONF_NUMERIC'!H$5:H$27)/MAX(1,COUNTIF('93_TARGET_MEMBERSHIP'!AM$5:AM$27,-1)))))</f>
        <v/>
      </c>
      <c r="H42" s="34">
        <f>IF($B42="ABSOLUTE SEMANTIC",'19_FEATURE_CONFIDENCE'!$D$10,SQRT((SUMPRODUCT(--('93_TARGET_MEMBERSHIP'!AM$5:AM$27=1),'92_FEATURE_CONF_NUMERIC'!I$5:I$27)/MAX(1,COUNTIF('93_TARGET_MEMBERSHIP'!AM$5:AM$27,1)))*(SUMPRODUCT(--('93_TARGET_MEMBERSHIP'!AM$5:AM$27=-1),'92_FEATURE_CONF_NUMERIC'!I$5:I$27)/MAX(1,COUNTIF('93_TARGET_MEMBERSHIP'!AM$5:AM$27,-1)))))</f>
        <v/>
      </c>
      <c r="I42" s="34">
        <f>IF($B42="ABSOLUTE SEMANTIC",'19_FEATURE_CONFIDENCE'!$D$11,SQRT((SUMPRODUCT(--('93_TARGET_MEMBERSHIP'!AM$5:AM$27=1),'92_FEATURE_CONF_NUMERIC'!J$5:J$27)/MAX(1,COUNTIF('93_TARGET_MEMBERSHIP'!AM$5:AM$27,1)))*(SUMPRODUCT(--('93_TARGET_MEMBERSHIP'!AM$5:AM$27=-1),'92_FEATURE_CONF_NUMERIC'!J$5:J$27)/MAX(1,COUNTIF('93_TARGET_MEMBERSHIP'!AM$5:AM$27,-1)))))</f>
        <v/>
      </c>
      <c r="J42" s="34">
        <f>IF($B42="ABSOLUTE SEMANTIC",'19_FEATURE_CONFIDENCE'!$D$12,SQRT((SUMPRODUCT(--('93_TARGET_MEMBERSHIP'!AM$5:AM$27=1),'92_FEATURE_CONF_NUMERIC'!K$5:K$27)/MAX(1,COUNTIF('93_TARGET_MEMBERSHIP'!AM$5:AM$27,1)))*(SUMPRODUCT(--('93_TARGET_MEMBERSHIP'!AM$5:AM$27=-1),'92_FEATURE_CONF_NUMERIC'!K$5:K$27)/MAX(1,COUNTIF('93_TARGET_MEMBERSHIP'!AM$5:AM$27,-1)))))</f>
        <v/>
      </c>
      <c r="K42" s="34">
        <f>IF($B42="ABSOLUTE SEMANTIC",'19_FEATURE_CONFIDENCE'!$D$13,SQRT((SUMPRODUCT(--('93_TARGET_MEMBERSHIP'!AM$5:AM$27=1),'92_FEATURE_CONF_NUMERIC'!L$5:L$27)/MAX(1,COUNTIF('93_TARGET_MEMBERSHIP'!AM$5:AM$27,1)))*(SUMPRODUCT(--('93_TARGET_MEMBERSHIP'!AM$5:AM$27=-1),'92_FEATURE_CONF_NUMERIC'!L$5:L$27)/MAX(1,COUNTIF('93_TARGET_MEMBERSHIP'!AM$5:AM$27,-1)))))</f>
        <v/>
      </c>
      <c r="L42" s="34">
        <f>IF($B42="ABSOLUTE SEMANTIC",'19_FEATURE_CONFIDENCE'!$D$14,SQRT((SUMPRODUCT(--('93_TARGET_MEMBERSHIP'!AM$5:AM$27=1),'92_FEATURE_CONF_NUMERIC'!M$5:M$27)/MAX(1,COUNTIF('93_TARGET_MEMBERSHIP'!AM$5:AM$27,1)))*(SUMPRODUCT(--('93_TARGET_MEMBERSHIP'!AM$5:AM$27=-1),'92_FEATURE_CONF_NUMERIC'!M$5:M$27)/MAX(1,COUNTIF('93_TARGET_MEMBERSHIP'!AM$5:AM$27,-1)))))</f>
        <v/>
      </c>
      <c r="M42" s="34">
        <f>IF($B42="ABSOLUTE SEMANTIC",'19_FEATURE_CONFIDENCE'!$D$15,SQRT((SUMPRODUCT(--('93_TARGET_MEMBERSHIP'!AM$5:AM$27=1),'92_FEATURE_CONF_NUMERIC'!N$5:N$27)/MAX(1,COUNTIF('93_TARGET_MEMBERSHIP'!AM$5:AM$27,1)))*(SUMPRODUCT(--('93_TARGET_MEMBERSHIP'!AM$5:AM$27=-1),'92_FEATURE_CONF_NUMERIC'!N$5:N$27)/MAX(1,COUNTIF('93_TARGET_MEMBERSHIP'!AM$5:AM$27,-1)))))</f>
        <v/>
      </c>
      <c r="N42" s="34">
        <f>IF($B42="ABSOLUTE SEMANTIC",'19_FEATURE_CONFIDENCE'!$D$16,SQRT((SUMPRODUCT(--('93_TARGET_MEMBERSHIP'!AM$5:AM$27=1),'92_FEATURE_CONF_NUMERIC'!O$5:O$27)/MAX(1,COUNTIF('93_TARGET_MEMBERSHIP'!AM$5:AM$27,1)))*(SUMPRODUCT(--('93_TARGET_MEMBERSHIP'!AM$5:AM$27=-1),'92_FEATURE_CONF_NUMERIC'!O$5:O$27)/MAX(1,COUNTIF('93_TARGET_MEMBERSHIP'!AM$5:AM$27,-1)))))</f>
        <v/>
      </c>
      <c r="O42" s="34">
        <f>IF($B42="ABSOLUTE SEMANTIC",'19_FEATURE_CONFIDENCE'!$D$17,SQRT((SUMPRODUCT(--('93_TARGET_MEMBERSHIP'!AM$5:AM$27=1),'92_FEATURE_CONF_NUMERIC'!P$5:P$27)/MAX(1,COUNTIF('93_TARGET_MEMBERSHIP'!AM$5:AM$27,1)))*(SUMPRODUCT(--('93_TARGET_MEMBERSHIP'!AM$5:AM$27=-1),'92_FEATURE_CONF_NUMERIC'!P$5:P$27)/MAX(1,COUNTIF('93_TARGET_MEMBERSHIP'!AM$5:AM$27,-1)))))</f>
        <v/>
      </c>
      <c r="P42" s="34">
        <f>IF($B42="ABSOLUTE SEMANTIC",'19_FEATURE_CONFIDENCE'!$D$18,SQRT((SUMPRODUCT(--('93_TARGET_MEMBERSHIP'!AM$5:AM$27=1),'92_FEATURE_CONF_NUMERIC'!Q$5:Q$27)/MAX(1,COUNTIF('93_TARGET_MEMBERSHIP'!AM$5:AM$27,1)))*(SUMPRODUCT(--('93_TARGET_MEMBERSHIP'!AM$5:AM$27=-1),'92_FEATURE_CONF_NUMERIC'!Q$5:Q$27)/MAX(1,COUNTIF('93_TARGET_MEMBERSHIP'!AM$5:AM$27,-1)))))</f>
        <v/>
      </c>
      <c r="Q42" s="34">
        <f>IF($B42="ABSOLUTE SEMANTIC",'19_FEATURE_CONFIDENCE'!$D$19,SQRT((SUMPRODUCT(--('93_TARGET_MEMBERSHIP'!AM$5:AM$27=1),'92_FEATURE_CONF_NUMERIC'!R$5:R$27)/MAX(1,COUNTIF('93_TARGET_MEMBERSHIP'!AM$5:AM$27,1)))*(SUMPRODUCT(--('93_TARGET_MEMBERSHIP'!AM$5:AM$27=-1),'92_FEATURE_CONF_NUMERIC'!R$5:R$27)/MAX(1,COUNTIF('93_TARGET_MEMBERSHIP'!AM$5:AM$27,-1)))))</f>
        <v/>
      </c>
      <c r="R42" s="34">
        <f>IF($B42="ABSOLUTE SEMANTIC",'19_FEATURE_CONFIDENCE'!$D$20,SQRT((SUMPRODUCT(--('93_TARGET_MEMBERSHIP'!AM$5:AM$27=1),'92_FEATURE_CONF_NUMERIC'!S$5:S$27)/MAX(1,COUNTIF('93_TARGET_MEMBERSHIP'!AM$5:AM$27,1)))*(SUMPRODUCT(--('93_TARGET_MEMBERSHIP'!AM$5:AM$27=-1),'92_FEATURE_CONF_NUMERIC'!S$5:S$27)/MAX(1,COUNTIF('93_TARGET_MEMBERSHIP'!AM$5:AM$27,-1)))))</f>
        <v/>
      </c>
      <c r="S42" s="34">
        <f>IF($B42="ABSOLUTE SEMANTIC",'19_FEATURE_CONFIDENCE'!$D$21,SQRT((SUMPRODUCT(--('93_TARGET_MEMBERSHIP'!AM$5:AM$27=1),'92_FEATURE_CONF_NUMERIC'!T$5:T$27)/MAX(1,COUNTIF('93_TARGET_MEMBERSHIP'!AM$5:AM$27,1)))*(SUMPRODUCT(--('93_TARGET_MEMBERSHIP'!AM$5:AM$27=-1),'92_FEATURE_CONF_NUMERIC'!T$5:T$27)/MAX(1,COUNTIF('93_TARGET_MEMBERSHIP'!AM$5:AM$27,-1)))))</f>
        <v/>
      </c>
      <c r="T42" s="34">
        <f>IF($B42="ABSOLUTE SEMANTIC",'19_FEATURE_CONFIDENCE'!$D$22,SQRT((SUMPRODUCT(--('93_TARGET_MEMBERSHIP'!AM$5:AM$27=1),'92_FEATURE_CONF_NUMERIC'!U$5:U$27)/MAX(1,COUNTIF('93_TARGET_MEMBERSHIP'!AM$5:AM$27,1)))*(SUMPRODUCT(--('93_TARGET_MEMBERSHIP'!AM$5:AM$27=-1),'92_FEATURE_CONF_NUMERIC'!U$5:U$27)/MAX(1,COUNTIF('93_TARGET_MEMBERSHIP'!AM$5:AM$27,-1)))))</f>
        <v/>
      </c>
      <c r="U42" s="34">
        <f>IF($B42="ABSOLUTE SEMANTIC",'19_FEATURE_CONFIDENCE'!$D$23,SQRT((SUMPRODUCT(--('93_TARGET_MEMBERSHIP'!AM$5:AM$27=1),'92_FEATURE_CONF_NUMERIC'!V$5:V$27)/MAX(1,COUNTIF('93_TARGET_MEMBERSHIP'!AM$5:AM$27,1)))*(SUMPRODUCT(--('93_TARGET_MEMBERSHIP'!AM$5:AM$27=-1),'92_FEATURE_CONF_NUMERIC'!V$5:V$27)/MAX(1,COUNTIF('93_TARGET_MEMBERSHIP'!AM$5:AM$27,-1)))))</f>
        <v/>
      </c>
      <c r="V42" s="34">
        <f>IF($B42="ABSOLUTE SEMANTIC",'19_FEATURE_CONFIDENCE'!$D$24,SQRT((SUMPRODUCT(--('93_TARGET_MEMBERSHIP'!AM$5:AM$27=1),'92_FEATURE_CONF_NUMERIC'!W$5:W$27)/MAX(1,COUNTIF('93_TARGET_MEMBERSHIP'!AM$5:AM$27,1)))*(SUMPRODUCT(--('93_TARGET_MEMBERSHIP'!AM$5:AM$27=-1),'92_FEATURE_CONF_NUMERIC'!W$5:W$27)/MAX(1,COUNTIF('93_TARGET_MEMBERSHIP'!AM$5:AM$27,-1)))))</f>
        <v/>
      </c>
      <c r="W42" s="34">
        <f>IF($B42="ABSOLUTE SEMANTIC",'19_FEATURE_CONFIDENCE'!$D$25,SQRT((SUMPRODUCT(--('93_TARGET_MEMBERSHIP'!AM$5:AM$27=1),'92_FEATURE_CONF_NUMERIC'!X$5:X$27)/MAX(1,COUNTIF('93_TARGET_MEMBERSHIP'!AM$5:AM$27,1)))*(SUMPRODUCT(--('93_TARGET_MEMBERSHIP'!AM$5:AM$27=-1),'92_FEATURE_CONF_NUMERIC'!X$5:X$27)/MAX(1,COUNTIF('93_TARGET_MEMBERSHIP'!AM$5:AM$27,-1)))))</f>
        <v/>
      </c>
      <c r="X42" s="34">
        <f>IF($B42="ABSOLUTE SEMANTIC",'19_FEATURE_CONFIDENCE'!$D$26,SQRT((SUMPRODUCT(--('93_TARGET_MEMBERSHIP'!AM$5:AM$27=1),'92_FEATURE_CONF_NUMERIC'!Y$5:Y$27)/MAX(1,COUNTIF('93_TARGET_MEMBERSHIP'!AM$5:AM$27,1)))*(SUMPRODUCT(--('93_TARGET_MEMBERSHIP'!AM$5:AM$27=-1),'92_FEATURE_CONF_NUMERIC'!Y$5:Y$27)/MAX(1,COUNTIF('93_TARGET_MEMBERSHIP'!AM$5:AM$27,-1)))))</f>
        <v/>
      </c>
      <c r="Y42" s="34">
        <f>IF($B42="ABSOLUTE SEMANTIC",'19_FEATURE_CONFIDENCE'!$D$27,SQRT((SUMPRODUCT(--('93_TARGET_MEMBERSHIP'!AM$5:AM$27=1),'92_FEATURE_CONF_NUMERIC'!Z$5:Z$27)/MAX(1,COUNTIF('93_TARGET_MEMBERSHIP'!AM$5:AM$27,1)))*(SUMPRODUCT(--('93_TARGET_MEMBERSHIP'!AM$5:AM$27=-1),'92_FEATURE_CONF_NUMERIC'!Z$5:Z$27)/MAX(1,COUNTIF('93_TARGET_MEMBERSHIP'!AM$5:AM$27,-1)))))</f>
        <v/>
      </c>
      <c r="Z42" s="34">
        <f>IF($B42="ABSOLUTE SEMANTIC",'19_FEATURE_CONFIDENCE'!$D$28,SQRT((SUMPRODUCT(--('93_TARGET_MEMBERSHIP'!AM$5:AM$27=1),'92_FEATURE_CONF_NUMERIC'!AA$5:AA$27)/MAX(1,COUNTIF('93_TARGET_MEMBERSHIP'!AM$5:AM$27,1)))*(SUMPRODUCT(--('93_TARGET_MEMBERSHIP'!AM$5:AM$27=-1),'92_FEATURE_CONF_NUMERIC'!AA$5:AA$27)/MAX(1,COUNTIF('93_TARGET_MEMBERSHIP'!AM$5:AM$27,-1)))))</f>
        <v/>
      </c>
      <c r="AA42" s="34">
        <f>IF($B42="ABSOLUTE SEMANTIC",'19_FEATURE_CONFIDENCE'!$D$29,SQRT((SUMPRODUCT(--('93_TARGET_MEMBERSHIP'!AM$5:AM$27=1),'92_FEATURE_CONF_NUMERIC'!AB$5:AB$27)/MAX(1,COUNTIF('93_TARGET_MEMBERSHIP'!AM$5:AM$27,1)))*(SUMPRODUCT(--('93_TARGET_MEMBERSHIP'!AM$5:AM$27=-1),'92_FEATURE_CONF_NUMERIC'!AB$5:AB$27)/MAX(1,COUNTIF('93_TARGET_MEMBERSHIP'!AM$5:AM$27,-1)))))</f>
        <v/>
      </c>
      <c r="AB42" s="34">
        <f>IF($B42="ABSOLUTE SEMANTIC",'19_FEATURE_CONFIDENCE'!$D$30,SQRT((SUMPRODUCT(--('93_TARGET_MEMBERSHIP'!AM$5:AM$27=1),'92_FEATURE_CONF_NUMERIC'!AC$5:AC$27)/MAX(1,COUNTIF('93_TARGET_MEMBERSHIP'!AM$5:AM$27,1)))*(SUMPRODUCT(--('93_TARGET_MEMBERSHIP'!AM$5:AM$27=-1),'92_FEATURE_CONF_NUMERIC'!AC$5:AC$27)/MAX(1,COUNTIF('93_TARGET_MEMBERSHIP'!AM$5:AM$27,-1)))))</f>
        <v/>
      </c>
      <c r="AC42" s="34">
        <f>IF($B42="ABSOLUTE SEMANTIC",'19_FEATURE_CONFIDENCE'!$D$31,SQRT((SUMPRODUCT(--('93_TARGET_MEMBERSHIP'!AM$5:AM$27=1),'92_FEATURE_CONF_NUMERIC'!AD$5:AD$27)/MAX(1,COUNTIF('93_TARGET_MEMBERSHIP'!AM$5:AM$27,1)))*(SUMPRODUCT(--('93_TARGET_MEMBERSHIP'!AM$5:AM$27=-1),'92_FEATURE_CONF_NUMERIC'!AD$5:AD$27)/MAX(1,COUNTIF('93_TARGET_MEMBERSHIP'!AM$5:AM$27,-1)))))</f>
        <v/>
      </c>
      <c r="AD42" s="34">
        <f>IF($B42="ABSOLUTE SEMANTIC",'19_FEATURE_CONFIDENCE'!$D$32,SQRT((SUMPRODUCT(--('93_TARGET_MEMBERSHIP'!AM$5:AM$27=1),'92_FEATURE_CONF_NUMERIC'!AE$5:AE$27)/MAX(1,COUNTIF('93_TARGET_MEMBERSHIP'!AM$5:AM$27,1)))*(SUMPRODUCT(--('93_TARGET_MEMBERSHIP'!AM$5:AM$27=-1),'92_FEATURE_CONF_NUMERIC'!AE$5:AE$27)/MAX(1,COUNTIF('93_TARGET_MEMBERSHIP'!AM$5:AM$27,-1)))))</f>
        <v/>
      </c>
      <c r="AE42" s="34">
        <f>IF($B42="ABSOLUTE SEMANTIC",'19_FEATURE_CONFIDENCE'!$D$33,SQRT((SUMPRODUCT(--('93_TARGET_MEMBERSHIP'!AM$5:AM$27=1),'92_FEATURE_CONF_NUMERIC'!AF$5:AF$27)/MAX(1,COUNTIF('93_TARGET_MEMBERSHIP'!AM$5:AM$27,1)))*(SUMPRODUCT(--('93_TARGET_MEMBERSHIP'!AM$5:AM$27=-1),'92_FEATURE_CONF_NUMERIC'!AF$5:AF$27)/MAX(1,COUNTIF('93_TARGET_MEMBERSHIP'!AM$5:AM$27,-1)))))</f>
        <v/>
      </c>
      <c r="AF42" s="34">
        <f>IF($B42="ABSOLUTE SEMANTIC",'19_FEATURE_CONFIDENCE'!$D$34,SQRT((SUMPRODUCT(--('93_TARGET_MEMBERSHIP'!AM$5:AM$27=1),'92_FEATURE_CONF_NUMERIC'!AG$5:AG$27)/MAX(1,COUNTIF('93_TARGET_MEMBERSHIP'!AM$5:AM$27,1)))*(SUMPRODUCT(--('93_TARGET_MEMBERSHIP'!AM$5:AM$27=-1),'92_FEATURE_CONF_NUMERIC'!AG$5:AG$27)/MAX(1,COUNTIF('93_TARGET_MEMBERSHIP'!AM$5:AM$27,-1)))))</f>
        <v/>
      </c>
      <c r="AG42" s="34">
        <f>IF($B42="ABSOLUTE SEMANTIC",'19_FEATURE_CONFIDENCE'!$D$35,SQRT((SUMPRODUCT(--('93_TARGET_MEMBERSHIP'!AM$5:AM$27=1),'92_FEATURE_CONF_NUMERIC'!AH$5:AH$27)/MAX(1,COUNTIF('93_TARGET_MEMBERSHIP'!AM$5:AM$27,1)))*(SUMPRODUCT(--('93_TARGET_MEMBERSHIP'!AM$5:AM$27=-1),'92_FEATURE_CONF_NUMERIC'!AH$5:AH$27)/MAX(1,COUNTIF('93_TARGET_MEMBERSHIP'!AM$5:AM$27,-1)))))</f>
        <v/>
      </c>
      <c r="AH42" s="34">
        <f>IF($B42="ABSOLUTE SEMANTIC",'19_FEATURE_CONFIDENCE'!$D$36,SQRT((SUMPRODUCT(--('93_TARGET_MEMBERSHIP'!AM$5:AM$27=1),'92_FEATURE_CONF_NUMERIC'!AI$5:AI$27)/MAX(1,COUNTIF('93_TARGET_MEMBERSHIP'!AM$5:AM$27,1)))*(SUMPRODUCT(--('93_TARGET_MEMBERSHIP'!AM$5:AM$27=-1),'92_FEATURE_CONF_NUMERIC'!AI$5:AI$27)/MAX(1,COUNTIF('93_TARGET_MEMBERSHIP'!AM$5:AM$27,-1)))))</f>
        <v/>
      </c>
      <c r="AI42" s="34">
        <f>IF($B42="ABSOLUTE SEMANTIC",'19_FEATURE_CONFIDENCE'!$D$37,SQRT((SUMPRODUCT(--('93_TARGET_MEMBERSHIP'!AM$5:AM$27=1),'92_FEATURE_CONF_NUMERIC'!AJ$5:AJ$27)/MAX(1,COUNTIF('93_TARGET_MEMBERSHIP'!AM$5:AM$27,1)))*(SUMPRODUCT(--('93_TARGET_MEMBERSHIP'!AM$5:AM$27=-1),'92_FEATURE_CONF_NUMERIC'!AJ$5:AJ$27)/MAX(1,COUNTIF('93_TARGET_MEMBERSHIP'!AM$5:AM$27,-1)))))</f>
        <v/>
      </c>
      <c r="AJ42" s="34">
        <f>IF($B42="ABSOLUTE SEMANTIC",'19_FEATURE_CONFIDENCE'!$D$38,SQRT((SUMPRODUCT(--('93_TARGET_MEMBERSHIP'!AM$5:AM$27=1),'92_FEATURE_CONF_NUMERIC'!AK$5:AK$27)/MAX(1,COUNTIF('93_TARGET_MEMBERSHIP'!AM$5:AM$27,1)))*(SUMPRODUCT(--('93_TARGET_MEMBERSHIP'!AM$5:AM$27=-1),'92_FEATURE_CONF_NUMERIC'!AK$5:AK$27)/MAX(1,COUNTIF('93_TARGET_MEMBERSHIP'!AM$5:AM$27,-1)))))</f>
        <v/>
      </c>
      <c r="AK42" s="34">
        <f>IF($B42="ABSOLUTE SEMANTIC",'19_FEATURE_CONFIDENCE'!$D$39,SQRT((SUMPRODUCT(--('93_TARGET_MEMBERSHIP'!AM$5:AM$27=1),'92_FEATURE_CONF_NUMERIC'!AL$5:AL$27)/MAX(1,COUNTIF('93_TARGET_MEMBERSHIP'!AM$5:AM$27,1)))*(SUMPRODUCT(--('93_TARGET_MEMBERSHIP'!AM$5:AM$27=-1),'92_FEATURE_CONF_NUMERIC'!AL$5:AL$27)/MAX(1,COUNTIF('93_TARGET_MEMBERSHIP'!AM$5:AM$27,-1)))))</f>
        <v/>
      </c>
      <c r="AL42" s="34">
        <f>IF($B42="ABSOLUTE SEMANTIC",'19_FEATURE_CONFIDENCE'!$D$40,SQRT((SUMPRODUCT(--('93_TARGET_MEMBERSHIP'!AM$5:AM$27=1),'92_FEATURE_CONF_NUMERIC'!AM$5:AM$27)/MAX(1,COUNTIF('93_TARGET_MEMBERSHIP'!AM$5:AM$27,1)))*(SUMPRODUCT(--('93_TARGET_MEMBERSHIP'!AM$5:AM$27=-1),'92_FEATURE_CONF_NUMERIC'!AM$5:AM$27)/MAX(1,COUNTIF('93_TARGET_MEMBERSHIP'!AM$5:AM$27,-1)))))</f>
        <v/>
      </c>
      <c r="AM42" s="34">
        <f>IF($B42="ABSOLUTE SEMANTIC",'19_FEATURE_CONFIDENCE'!$D$41,SQRT((SUMPRODUCT(--('93_TARGET_MEMBERSHIP'!AM$5:AM$27=1),'92_FEATURE_CONF_NUMERIC'!AN$5:AN$27)/MAX(1,COUNTIF('93_TARGET_MEMBERSHIP'!AM$5:AM$27,1)))*(SUMPRODUCT(--('93_TARGET_MEMBERSHIP'!AM$5:AM$27=-1),'92_FEATURE_CONF_NUMERIC'!AN$5:AN$27)/MAX(1,COUNTIF('93_TARGET_MEMBERSHIP'!AM$5:AM$27,-1)))))</f>
        <v/>
      </c>
      <c r="AN42" s="34">
        <f>IF($B42="ABSOLUTE SEMANTIC",'19_FEATURE_CONFIDENCE'!$D$42,SQRT((SUMPRODUCT(--('93_TARGET_MEMBERSHIP'!AM$5:AM$27=1),'92_FEATURE_CONF_NUMERIC'!AO$5:AO$27)/MAX(1,COUNTIF('93_TARGET_MEMBERSHIP'!AM$5:AM$27,1)))*(SUMPRODUCT(--('93_TARGET_MEMBERSHIP'!AM$5:AM$27=-1),'92_FEATURE_CONF_NUMERIC'!AO$5:AO$27)/MAX(1,COUNTIF('93_TARGET_MEMBERSHIP'!AM$5:AM$27,-1)))))</f>
        <v/>
      </c>
      <c r="AO42" s="34">
        <f>IF($B42="ABSOLUTE SEMANTIC",'19_FEATURE_CONFIDENCE'!$D$43,SQRT((SUMPRODUCT(--('93_TARGET_MEMBERSHIP'!AM$5:AM$27=1),'92_FEATURE_CONF_NUMERIC'!AP$5:AP$27)/MAX(1,COUNTIF('93_TARGET_MEMBERSHIP'!AM$5:AM$27,1)))*(SUMPRODUCT(--('93_TARGET_MEMBERSHIP'!AM$5:AM$27=-1),'92_FEATURE_CONF_NUMERIC'!AP$5:AP$27)/MAX(1,COUNTIF('93_TARGET_MEMBERSHIP'!AM$5:AM$27,-1)))))</f>
        <v/>
      </c>
      <c r="AP42" s="34">
        <f>IF($B42="ABSOLUTE SEMANTIC",'19_FEATURE_CONFIDENCE'!$D$44,SQRT((SUMPRODUCT(--('93_TARGET_MEMBERSHIP'!AM$5:AM$27=1),'92_FEATURE_CONF_NUMERIC'!AQ$5:AQ$27)/MAX(1,COUNTIF('93_TARGET_MEMBERSHIP'!AM$5:AM$27,1)))*(SUMPRODUCT(--('93_TARGET_MEMBERSHIP'!AM$5:AM$27=-1),'92_FEATURE_CONF_NUMERIC'!AQ$5:AQ$27)/MAX(1,COUNTIF('93_TARGET_MEMBERSHIP'!AM$5:AM$27,-1)))))</f>
        <v/>
      </c>
      <c r="AQ42" s="34">
        <f>IF($B42="ABSOLUTE SEMANTIC",'19_FEATURE_CONFIDENCE'!$D$45,SQRT((SUMPRODUCT(--('93_TARGET_MEMBERSHIP'!AM$5:AM$27=1),'92_FEATURE_CONF_NUMERIC'!AR$5:AR$27)/MAX(1,COUNTIF('93_TARGET_MEMBERSHIP'!AM$5:AM$27,1)))*(SUMPRODUCT(--('93_TARGET_MEMBERSHIP'!AM$5:AM$27=-1),'92_FEATURE_CONF_NUMERIC'!AR$5:AR$27)/MAX(1,COUNTIF('93_TARGET_MEMBERSHIP'!AM$5:AM$27,-1)))))</f>
        <v/>
      </c>
    </row>
    <row r="43" ht="36" customHeight="1">
      <c r="A43" s="34">
        <f>'06_ITEM_POLE_MODEL'!A43</f>
        <v/>
      </c>
      <c r="B43" s="34">
        <f>'06_ITEM_POLE_MODEL'!E43</f>
        <v/>
      </c>
      <c r="C43" s="34">
        <f>IF($B43="ABSOLUTE SEMANTIC",'19_FEATURE_CONFIDENCE'!$D$5,SQRT((SUMPRODUCT(--('93_TARGET_MEMBERSHIP'!AN$5:AN$27=1),'92_FEATURE_CONF_NUMERIC'!D$5:D$27)/MAX(1,COUNTIF('93_TARGET_MEMBERSHIP'!AN$5:AN$27,1)))*(SUMPRODUCT(--('93_TARGET_MEMBERSHIP'!AN$5:AN$27=-1),'92_FEATURE_CONF_NUMERIC'!D$5:D$27)/MAX(1,COUNTIF('93_TARGET_MEMBERSHIP'!AN$5:AN$27,-1)))))</f>
        <v/>
      </c>
      <c r="D43" s="34">
        <f>IF($B43="ABSOLUTE SEMANTIC",'19_FEATURE_CONFIDENCE'!$D$6,SQRT((SUMPRODUCT(--('93_TARGET_MEMBERSHIP'!AN$5:AN$27=1),'92_FEATURE_CONF_NUMERIC'!E$5:E$27)/MAX(1,COUNTIF('93_TARGET_MEMBERSHIP'!AN$5:AN$27,1)))*(SUMPRODUCT(--('93_TARGET_MEMBERSHIP'!AN$5:AN$27=-1),'92_FEATURE_CONF_NUMERIC'!E$5:E$27)/MAX(1,COUNTIF('93_TARGET_MEMBERSHIP'!AN$5:AN$27,-1)))))</f>
        <v/>
      </c>
      <c r="E43" s="34">
        <f>IF($B43="ABSOLUTE SEMANTIC",'19_FEATURE_CONFIDENCE'!$D$7,SQRT((SUMPRODUCT(--('93_TARGET_MEMBERSHIP'!AN$5:AN$27=1),'92_FEATURE_CONF_NUMERIC'!F$5:F$27)/MAX(1,COUNTIF('93_TARGET_MEMBERSHIP'!AN$5:AN$27,1)))*(SUMPRODUCT(--('93_TARGET_MEMBERSHIP'!AN$5:AN$27=-1),'92_FEATURE_CONF_NUMERIC'!F$5:F$27)/MAX(1,COUNTIF('93_TARGET_MEMBERSHIP'!AN$5:AN$27,-1)))))</f>
        <v/>
      </c>
      <c r="F43" s="34">
        <f>IF($B43="ABSOLUTE SEMANTIC",'19_FEATURE_CONFIDENCE'!$D$8,SQRT((SUMPRODUCT(--('93_TARGET_MEMBERSHIP'!AN$5:AN$27=1),'92_FEATURE_CONF_NUMERIC'!G$5:G$27)/MAX(1,COUNTIF('93_TARGET_MEMBERSHIP'!AN$5:AN$27,1)))*(SUMPRODUCT(--('93_TARGET_MEMBERSHIP'!AN$5:AN$27=-1),'92_FEATURE_CONF_NUMERIC'!G$5:G$27)/MAX(1,COUNTIF('93_TARGET_MEMBERSHIP'!AN$5:AN$27,-1)))))</f>
        <v/>
      </c>
      <c r="G43" s="34">
        <f>IF($B43="ABSOLUTE SEMANTIC",'19_FEATURE_CONFIDENCE'!$D$9,SQRT((SUMPRODUCT(--('93_TARGET_MEMBERSHIP'!AN$5:AN$27=1),'92_FEATURE_CONF_NUMERIC'!H$5:H$27)/MAX(1,COUNTIF('93_TARGET_MEMBERSHIP'!AN$5:AN$27,1)))*(SUMPRODUCT(--('93_TARGET_MEMBERSHIP'!AN$5:AN$27=-1),'92_FEATURE_CONF_NUMERIC'!H$5:H$27)/MAX(1,COUNTIF('93_TARGET_MEMBERSHIP'!AN$5:AN$27,-1)))))</f>
        <v/>
      </c>
      <c r="H43" s="34">
        <f>IF($B43="ABSOLUTE SEMANTIC",'19_FEATURE_CONFIDENCE'!$D$10,SQRT((SUMPRODUCT(--('93_TARGET_MEMBERSHIP'!AN$5:AN$27=1),'92_FEATURE_CONF_NUMERIC'!I$5:I$27)/MAX(1,COUNTIF('93_TARGET_MEMBERSHIP'!AN$5:AN$27,1)))*(SUMPRODUCT(--('93_TARGET_MEMBERSHIP'!AN$5:AN$27=-1),'92_FEATURE_CONF_NUMERIC'!I$5:I$27)/MAX(1,COUNTIF('93_TARGET_MEMBERSHIP'!AN$5:AN$27,-1)))))</f>
        <v/>
      </c>
      <c r="I43" s="34">
        <f>IF($B43="ABSOLUTE SEMANTIC",'19_FEATURE_CONFIDENCE'!$D$11,SQRT((SUMPRODUCT(--('93_TARGET_MEMBERSHIP'!AN$5:AN$27=1),'92_FEATURE_CONF_NUMERIC'!J$5:J$27)/MAX(1,COUNTIF('93_TARGET_MEMBERSHIP'!AN$5:AN$27,1)))*(SUMPRODUCT(--('93_TARGET_MEMBERSHIP'!AN$5:AN$27=-1),'92_FEATURE_CONF_NUMERIC'!J$5:J$27)/MAX(1,COUNTIF('93_TARGET_MEMBERSHIP'!AN$5:AN$27,-1)))))</f>
        <v/>
      </c>
      <c r="J43" s="34">
        <f>IF($B43="ABSOLUTE SEMANTIC",'19_FEATURE_CONFIDENCE'!$D$12,SQRT((SUMPRODUCT(--('93_TARGET_MEMBERSHIP'!AN$5:AN$27=1),'92_FEATURE_CONF_NUMERIC'!K$5:K$27)/MAX(1,COUNTIF('93_TARGET_MEMBERSHIP'!AN$5:AN$27,1)))*(SUMPRODUCT(--('93_TARGET_MEMBERSHIP'!AN$5:AN$27=-1),'92_FEATURE_CONF_NUMERIC'!K$5:K$27)/MAX(1,COUNTIF('93_TARGET_MEMBERSHIP'!AN$5:AN$27,-1)))))</f>
        <v/>
      </c>
      <c r="K43" s="34">
        <f>IF($B43="ABSOLUTE SEMANTIC",'19_FEATURE_CONFIDENCE'!$D$13,SQRT((SUMPRODUCT(--('93_TARGET_MEMBERSHIP'!AN$5:AN$27=1),'92_FEATURE_CONF_NUMERIC'!L$5:L$27)/MAX(1,COUNTIF('93_TARGET_MEMBERSHIP'!AN$5:AN$27,1)))*(SUMPRODUCT(--('93_TARGET_MEMBERSHIP'!AN$5:AN$27=-1),'92_FEATURE_CONF_NUMERIC'!L$5:L$27)/MAX(1,COUNTIF('93_TARGET_MEMBERSHIP'!AN$5:AN$27,-1)))))</f>
        <v/>
      </c>
      <c r="L43" s="34">
        <f>IF($B43="ABSOLUTE SEMANTIC",'19_FEATURE_CONFIDENCE'!$D$14,SQRT((SUMPRODUCT(--('93_TARGET_MEMBERSHIP'!AN$5:AN$27=1),'92_FEATURE_CONF_NUMERIC'!M$5:M$27)/MAX(1,COUNTIF('93_TARGET_MEMBERSHIP'!AN$5:AN$27,1)))*(SUMPRODUCT(--('93_TARGET_MEMBERSHIP'!AN$5:AN$27=-1),'92_FEATURE_CONF_NUMERIC'!M$5:M$27)/MAX(1,COUNTIF('93_TARGET_MEMBERSHIP'!AN$5:AN$27,-1)))))</f>
        <v/>
      </c>
      <c r="M43" s="34">
        <f>IF($B43="ABSOLUTE SEMANTIC",'19_FEATURE_CONFIDENCE'!$D$15,SQRT((SUMPRODUCT(--('93_TARGET_MEMBERSHIP'!AN$5:AN$27=1),'92_FEATURE_CONF_NUMERIC'!N$5:N$27)/MAX(1,COUNTIF('93_TARGET_MEMBERSHIP'!AN$5:AN$27,1)))*(SUMPRODUCT(--('93_TARGET_MEMBERSHIP'!AN$5:AN$27=-1),'92_FEATURE_CONF_NUMERIC'!N$5:N$27)/MAX(1,COUNTIF('93_TARGET_MEMBERSHIP'!AN$5:AN$27,-1)))))</f>
        <v/>
      </c>
      <c r="N43" s="34">
        <f>IF($B43="ABSOLUTE SEMANTIC",'19_FEATURE_CONFIDENCE'!$D$16,SQRT((SUMPRODUCT(--('93_TARGET_MEMBERSHIP'!AN$5:AN$27=1),'92_FEATURE_CONF_NUMERIC'!O$5:O$27)/MAX(1,COUNTIF('93_TARGET_MEMBERSHIP'!AN$5:AN$27,1)))*(SUMPRODUCT(--('93_TARGET_MEMBERSHIP'!AN$5:AN$27=-1),'92_FEATURE_CONF_NUMERIC'!O$5:O$27)/MAX(1,COUNTIF('93_TARGET_MEMBERSHIP'!AN$5:AN$27,-1)))))</f>
        <v/>
      </c>
      <c r="O43" s="34">
        <f>IF($B43="ABSOLUTE SEMANTIC",'19_FEATURE_CONFIDENCE'!$D$17,SQRT((SUMPRODUCT(--('93_TARGET_MEMBERSHIP'!AN$5:AN$27=1),'92_FEATURE_CONF_NUMERIC'!P$5:P$27)/MAX(1,COUNTIF('93_TARGET_MEMBERSHIP'!AN$5:AN$27,1)))*(SUMPRODUCT(--('93_TARGET_MEMBERSHIP'!AN$5:AN$27=-1),'92_FEATURE_CONF_NUMERIC'!P$5:P$27)/MAX(1,COUNTIF('93_TARGET_MEMBERSHIP'!AN$5:AN$27,-1)))))</f>
        <v/>
      </c>
      <c r="P43" s="34">
        <f>IF($B43="ABSOLUTE SEMANTIC",'19_FEATURE_CONFIDENCE'!$D$18,SQRT((SUMPRODUCT(--('93_TARGET_MEMBERSHIP'!AN$5:AN$27=1),'92_FEATURE_CONF_NUMERIC'!Q$5:Q$27)/MAX(1,COUNTIF('93_TARGET_MEMBERSHIP'!AN$5:AN$27,1)))*(SUMPRODUCT(--('93_TARGET_MEMBERSHIP'!AN$5:AN$27=-1),'92_FEATURE_CONF_NUMERIC'!Q$5:Q$27)/MAX(1,COUNTIF('93_TARGET_MEMBERSHIP'!AN$5:AN$27,-1)))))</f>
        <v/>
      </c>
      <c r="Q43" s="34">
        <f>IF($B43="ABSOLUTE SEMANTIC",'19_FEATURE_CONFIDENCE'!$D$19,SQRT((SUMPRODUCT(--('93_TARGET_MEMBERSHIP'!AN$5:AN$27=1),'92_FEATURE_CONF_NUMERIC'!R$5:R$27)/MAX(1,COUNTIF('93_TARGET_MEMBERSHIP'!AN$5:AN$27,1)))*(SUMPRODUCT(--('93_TARGET_MEMBERSHIP'!AN$5:AN$27=-1),'92_FEATURE_CONF_NUMERIC'!R$5:R$27)/MAX(1,COUNTIF('93_TARGET_MEMBERSHIP'!AN$5:AN$27,-1)))))</f>
        <v/>
      </c>
      <c r="R43" s="34">
        <f>IF($B43="ABSOLUTE SEMANTIC",'19_FEATURE_CONFIDENCE'!$D$20,SQRT((SUMPRODUCT(--('93_TARGET_MEMBERSHIP'!AN$5:AN$27=1),'92_FEATURE_CONF_NUMERIC'!S$5:S$27)/MAX(1,COUNTIF('93_TARGET_MEMBERSHIP'!AN$5:AN$27,1)))*(SUMPRODUCT(--('93_TARGET_MEMBERSHIP'!AN$5:AN$27=-1),'92_FEATURE_CONF_NUMERIC'!S$5:S$27)/MAX(1,COUNTIF('93_TARGET_MEMBERSHIP'!AN$5:AN$27,-1)))))</f>
        <v/>
      </c>
      <c r="S43" s="34">
        <f>IF($B43="ABSOLUTE SEMANTIC",'19_FEATURE_CONFIDENCE'!$D$21,SQRT((SUMPRODUCT(--('93_TARGET_MEMBERSHIP'!AN$5:AN$27=1),'92_FEATURE_CONF_NUMERIC'!T$5:T$27)/MAX(1,COUNTIF('93_TARGET_MEMBERSHIP'!AN$5:AN$27,1)))*(SUMPRODUCT(--('93_TARGET_MEMBERSHIP'!AN$5:AN$27=-1),'92_FEATURE_CONF_NUMERIC'!T$5:T$27)/MAX(1,COUNTIF('93_TARGET_MEMBERSHIP'!AN$5:AN$27,-1)))))</f>
        <v/>
      </c>
      <c r="T43" s="34">
        <f>IF($B43="ABSOLUTE SEMANTIC",'19_FEATURE_CONFIDENCE'!$D$22,SQRT((SUMPRODUCT(--('93_TARGET_MEMBERSHIP'!AN$5:AN$27=1),'92_FEATURE_CONF_NUMERIC'!U$5:U$27)/MAX(1,COUNTIF('93_TARGET_MEMBERSHIP'!AN$5:AN$27,1)))*(SUMPRODUCT(--('93_TARGET_MEMBERSHIP'!AN$5:AN$27=-1),'92_FEATURE_CONF_NUMERIC'!U$5:U$27)/MAX(1,COUNTIF('93_TARGET_MEMBERSHIP'!AN$5:AN$27,-1)))))</f>
        <v/>
      </c>
      <c r="U43" s="34">
        <f>IF($B43="ABSOLUTE SEMANTIC",'19_FEATURE_CONFIDENCE'!$D$23,SQRT((SUMPRODUCT(--('93_TARGET_MEMBERSHIP'!AN$5:AN$27=1),'92_FEATURE_CONF_NUMERIC'!V$5:V$27)/MAX(1,COUNTIF('93_TARGET_MEMBERSHIP'!AN$5:AN$27,1)))*(SUMPRODUCT(--('93_TARGET_MEMBERSHIP'!AN$5:AN$27=-1),'92_FEATURE_CONF_NUMERIC'!V$5:V$27)/MAX(1,COUNTIF('93_TARGET_MEMBERSHIP'!AN$5:AN$27,-1)))))</f>
        <v/>
      </c>
      <c r="V43" s="34">
        <f>IF($B43="ABSOLUTE SEMANTIC",'19_FEATURE_CONFIDENCE'!$D$24,SQRT((SUMPRODUCT(--('93_TARGET_MEMBERSHIP'!AN$5:AN$27=1),'92_FEATURE_CONF_NUMERIC'!W$5:W$27)/MAX(1,COUNTIF('93_TARGET_MEMBERSHIP'!AN$5:AN$27,1)))*(SUMPRODUCT(--('93_TARGET_MEMBERSHIP'!AN$5:AN$27=-1),'92_FEATURE_CONF_NUMERIC'!W$5:W$27)/MAX(1,COUNTIF('93_TARGET_MEMBERSHIP'!AN$5:AN$27,-1)))))</f>
        <v/>
      </c>
      <c r="W43" s="34">
        <f>IF($B43="ABSOLUTE SEMANTIC",'19_FEATURE_CONFIDENCE'!$D$25,SQRT((SUMPRODUCT(--('93_TARGET_MEMBERSHIP'!AN$5:AN$27=1),'92_FEATURE_CONF_NUMERIC'!X$5:X$27)/MAX(1,COUNTIF('93_TARGET_MEMBERSHIP'!AN$5:AN$27,1)))*(SUMPRODUCT(--('93_TARGET_MEMBERSHIP'!AN$5:AN$27=-1),'92_FEATURE_CONF_NUMERIC'!X$5:X$27)/MAX(1,COUNTIF('93_TARGET_MEMBERSHIP'!AN$5:AN$27,-1)))))</f>
        <v/>
      </c>
      <c r="X43" s="34">
        <f>IF($B43="ABSOLUTE SEMANTIC",'19_FEATURE_CONFIDENCE'!$D$26,SQRT((SUMPRODUCT(--('93_TARGET_MEMBERSHIP'!AN$5:AN$27=1),'92_FEATURE_CONF_NUMERIC'!Y$5:Y$27)/MAX(1,COUNTIF('93_TARGET_MEMBERSHIP'!AN$5:AN$27,1)))*(SUMPRODUCT(--('93_TARGET_MEMBERSHIP'!AN$5:AN$27=-1),'92_FEATURE_CONF_NUMERIC'!Y$5:Y$27)/MAX(1,COUNTIF('93_TARGET_MEMBERSHIP'!AN$5:AN$27,-1)))))</f>
        <v/>
      </c>
      <c r="Y43" s="34">
        <f>IF($B43="ABSOLUTE SEMANTIC",'19_FEATURE_CONFIDENCE'!$D$27,SQRT((SUMPRODUCT(--('93_TARGET_MEMBERSHIP'!AN$5:AN$27=1),'92_FEATURE_CONF_NUMERIC'!Z$5:Z$27)/MAX(1,COUNTIF('93_TARGET_MEMBERSHIP'!AN$5:AN$27,1)))*(SUMPRODUCT(--('93_TARGET_MEMBERSHIP'!AN$5:AN$27=-1),'92_FEATURE_CONF_NUMERIC'!Z$5:Z$27)/MAX(1,COUNTIF('93_TARGET_MEMBERSHIP'!AN$5:AN$27,-1)))))</f>
        <v/>
      </c>
      <c r="Z43" s="34">
        <f>IF($B43="ABSOLUTE SEMANTIC",'19_FEATURE_CONFIDENCE'!$D$28,SQRT((SUMPRODUCT(--('93_TARGET_MEMBERSHIP'!AN$5:AN$27=1),'92_FEATURE_CONF_NUMERIC'!AA$5:AA$27)/MAX(1,COUNTIF('93_TARGET_MEMBERSHIP'!AN$5:AN$27,1)))*(SUMPRODUCT(--('93_TARGET_MEMBERSHIP'!AN$5:AN$27=-1),'92_FEATURE_CONF_NUMERIC'!AA$5:AA$27)/MAX(1,COUNTIF('93_TARGET_MEMBERSHIP'!AN$5:AN$27,-1)))))</f>
        <v/>
      </c>
      <c r="AA43" s="34">
        <f>IF($B43="ABSOLUTE SEMANTIC",'19_FEATURE_CONFIDENCE'!$D$29,SQRT((SUMPRODUCT(--('93_TARGET_MEMBERSHIP'!AN$5:AN$27=1),'92_FEATURE_CONF_NUMERIC'!AB$5:AB$27)/MAX(1,COUNTIF('93_TARGET_MEMBERSHIP'!AN$5:AN$27,1)))*(SUMPRODUCT(--('93_TARGET_MEMBERSHIP'!AN$5:AN$27=-1),'92_FEATURE_CONF_NUMERIC'!AB$5:AB$27)/MAX(1,COUNTIF('93_TARGET_MEMBERSHIP'!AN$5:AN$27,-1)))))</f>
        <v/>
      </c>
      <c r="AB43" s="34">
        <f>IF($B43="ABSOLUTE SEMANTIC",'19_FEATURE_CONFIDENCE'!$D$30,SQRT((SUMPRODUCT(--('93_TARGET_MEMBERSHIP'!AN$5:AN$27=1),'92_FEATURE_CONF_NUMERIC'!AC$5:AC$27)/MAX(1,COUNTIF('93_TARGET_MEMBERSHIP'!AN$5:AN$27,1)))*(SUMPRODUCT(--('93_TARGET_MEMBERSHIP'!AN$5:AN$27=-1),'92_FEATURE_CONF_NUMERIC'!AC$5:AC$27)/MAX(1,COUNTIF('93_TARGET_MEMBERSHIP'!AN$5:AN$27,-1)))))</f>
        <v/>
      </c>
      <c r="AC43" s="34">
        <f>IF($B43="ABSOLUTE SEMANTIC",'19_FEATURE_CONFIDENCE'!$D$31,SQRT((SUMPRODUCT(--('93_TARGET_MEMBERSHIP'!AN$5:AN$27=1),'92_FEATURE_CONF_NUMERIC'!AD$5:AD$27)/MAX(1,COUNTIF('93_TARGET_MEMBERSHIP'!AN$5:AN$27,1)))*(SUMPRODUCT(--('93_TARGET_MEMBERSHIP'!AN$5:AN$27=-1),'92_FEATURE_CONF_NUMERIC'!AD$5:AD$27)/MAX(1,COUNTIF('93_TARGET_MEMBERSHIP'!AN$5:AN$27,-1)))))</f>
        <v/>
      </c>
      <c r="AD43" s="34">
        <f>IF($B43="ABSOLUTE SEMANTIC",'19_FEATURE_CONFIDENCE'!$D$32,SQRT((SUMPRODUCT(--('93_TARGET_MEMBERSHIP'!AN$5:AN$27=1),'92_FEATURE_CONF_NUMERIC'!AE$5:AE$27)/MAX(1,COUNTIF('93_TARGET_MEMBERSHIP'!AN$5:AN$27,1)))*(SUMPRODUCT(--('93_TARGET_MEMBERSHIP'!AN$5:AN$27=-1),'92_FEATURE_CONF_NUMERIC'!AE$5:AE$27)/MAX(1,COUNTIF('93_TARGET_MEMBERSHIP'!AN$5:AN$27,-1)))))</f>
        <v/>
      </c>
      <c r="AE43" s="34">
        <f>IF($B43="ABSOLUTE SEMANTIC",'19_FEATURE_CONFIDENCE'!$D$33,SQRT((SUMPRODUCT(--('93_TARGET_MEMBERSHIP'!AN$5:AN$27=1),'92_FEATURE_CONF_NUMERIC'!AF$5:AF$27)/MAX(1,COUNTIF('93_TARGET_MEMBERSHIP'!AN$5:AN$27,1)))*(SUMPRODUCT(--('93_TARGET_MEMBERSHIP'!AN$5:AN$27=-1),'92_FEATURE_CONF_NUMERIC'!AF$5:AF$27)/MAX(1,COUNTIF('93_TARGET_MEMBERSHIP'!AN$5:AN$27,-1)))))</f>
        <v/>
      </c>
      <c r="AF43" s="34">
        <f>IF($B43="ABSOLUTE SEMANTIC",'19_FEATURE_CONFIDENCE'!$D$34,SQRT((SUMPRODUCT(--('93_TARGET_MEMBERSHIP'!AN$5:AN$27=1),'92_FEATURE_CONF_NUMERIC'!AG$5:AG$27)/MAX(1,COUNTIF('93_TARGET_MEMBERSHIP'!AN$5:AN$27,1)))*(SUMPRODUCT(--('93_TARGET_MEMBERSHIP'!AN$5:AN$27=-1),'92_FEATURE_CONF_NUMERIC'!AG$5:AG$27)/MAX(1,COUNTIF('93_TARGET_MEMBERSHIP'!AN$5:AN$27,-1)))))</f>
        <v/>
      </c>
      <c r="AG43" s="34">
        <f>IF($B43="ABSOLUTE SEMANTIC",'19_FEATURE_CONFIDENCE'!$D$35,SQRT((SUMPRODUCT(--('93_TARGET_MEMBERSHIP'!AN$5:AN$27=1),'92_FEATURE_CONF_NUMERIC'!AH$5:AH$27)/MAX(1,COUNTIF('93_TARGET_MEMBERSHIP'!AN$5:AN$27,1)))*(SUMPRODUCT(--('93_TARGET_MEMBERSHIP'!AN$5:AN$27=-1),'92_FEATURE_CONF_NUMERIC'!AH$5:AH$27)/MAX(1,COUNTIF('93_TARGET_MEMBERSHIP'!AN$5:AN$27,-1)))))</f>
        <v/>
      </c>
      <c r="AH43" s="34">
        <f>IF($B43="ABSOLUTE SEMANTIC",'19_FEATURE_CONFIDENCE'!$D$36,SQRT((SUMPRODUCT(--('93_TARGET_MEMBERSHIP'!AN$5:AN$27=1),'92_FEATURE_CONF_NUMERIC'!AI$5:AI$27)/MAX(1,COUNTIF('93_TARGET_MEMBERSHIP'!AN$5:AN$27,1)))*(SUMPRODUCT(--('93_TARGET_MEMBERSHIP'!AN$5:AN$27=-1),'92_FEATURE_CONF_NUMERIC'!AI$5:AI$27)/MAX(1,COUNTIF('93_TARGET_MEMBERSHIP'!AN$5:AN$27,-1)))))</f>
        <v/>
      </c>
      <c r="AI43" s="34">
        <f>IF($B43="ABSOLUTE SEMANTIC",'19_FEATURE_CONFIDENCE'!$D$37,SQRT((SUMPRODUCT(--('93_TARGET_MEMBERSHIP'!AN$5:AN$27=1),'92_FEATURE_CONF_NUMERIC'!AJ$5:AJ$27)/MAX(1,COUNTIF('93_TARGET_MEMBERSHIP'!AN$5:AN$27,1)))*(SUMPRODUCT(--('93_TARGET_MEMBERSHIP'!AN$5:AN$27=-1),'92_FEATURE_CONF_NUMERIC'!AJ$5:AJ$27)/MAX(1,COUNTIF('93_TARGET_MEMBERSHIP'!AN$5:AN$27,-1)))))</f>
        <v/>
      </c>
      <c r="AJ43" s="34">
        <f>IF($B43="ABSOLUTE SEMANTIC",'19_FEATURE_CONFIDENCE'!$D$38,SQRT((SUMPRODUCT(--('93_TARGET_MEMBERSHIP'!AN$5:AN$27=1),'92_FEATURE_CONF_NUMERIC'!AK$5:AK$27)/MAX(1,COUNTIF('93_TARGET_MEMBERSHIP'!AN$5:AN$27,1)))*(SUMPRODUCT(--('93_TARGET_MEMBERSHIP'!AN$5:AN$27=-1),'92_FEATURE_CONF_NUMERIC'!AK$5:AK$27)/MAX(1,COUNTIF('93_TARGET_MEMBERSHIP'!AN$5:AN$27,-1)))))</f>
        <v/>
      </c>
      <c r="AK43" s="34">
        <f>IF($B43="ABSOLUTE SEMANTIC",'19_FEATURE_CONFIDENCE'!$D$39,SQRT((SUMPRODUCT(--('93_TARGET_MEMBERSHIP'!AN$5:AN$27=1),'92_FEATURE_CONF_NUMERIC'!AL$5:AL$27)/MAX(1,COUNTIF('93_TARGET_MEMBERSHIP'!AN$5:AN$27,1)))*(SUMPRODUCT(--('93_TARGET_MEMBERSHIP'!AN$5:AN$27=-1),'92_FEATURE_CONF_NUMERIC'!AL$5:AL$27)/MAX(1,COUNTIF('93_TARGET_MEMBERSHIP'!AN$5:AN$27,-1)))))</f>
        <v/>
      </c>
      <c r="AL43" s="34">
        <f>IF($B43="ABSOLUTE SEMANTIC",'19_FEATURE_CONFIDENCE'!$D$40,SQRT((SUMPRODUCT(--('93_TARGET_MEMBERSHIP'!AN$5:AN$27=1),'92_FEATURE_CONF_NUMERIC'!AM$5:AM$27)/MAX(1,COUNTIF('93_TARGET_MEMBERSHIP'!AN$5:AN$27,1)))*(SUMPRODUCT(--('93_TARGET_MEMBERSHIP'!AN$5:AN$27=-1),'92_FEATURE_CONF_NUMERIC'!AM$5:AM$27)/MAX(1,COUNTIF('93_TARGET_MEMBERSHIP'!AN$5:AN$27,-1)))))</f>
        <v/>
      </c>
      <c r="AM43" s="34">
        <f>IF($B43="ABSOLUTE SEMANTIC",'19_FEATURE_CONFIDENCE'!$D$41,SQRT((SUMPRODUCT(--('93_TARGET_MEMBERSHIP'!AN$5:AN$27=1),'92_FEATURE_CONF_NUMERIC'!AN$5:AN$27)/MAX(1,COUNTIF('93_TARGET_MEMBERSHIP'!AN$5:AN$27,1)))*(SUMPRODUCT(--('93_TARGET_MEMBERSHIP'!AN$5:AN$27=-1),'92_FEATURE_CONF_NUMERIC'!AN$5:AN$27)/MAX(1,COUNTIF('93_TARGET_MEMBERSHIP'!AN$5:AN$27,-1)))))</f>
        <v/>
      </c>
      <c r="AN43" s="34">
        <f>IF($B43="ABSOLUTE SEMANTIC",'19_FEATURE_CONFIDENCE'!$D$42,SQRT((SUMPRODUCT(--('93_TARGET_MEMBERSHIP'!AN$5:AN$27=1),'92_FEATURE_CONF_NUMERIC'!AO$5:AO$27)/MAX(1,COUNTIF('93_TARGET_MEMBERSHIP'!AN$5:AN$27,1)))*(SUMPRODUCT(--('93_TARGET_MEMBERSHIP'!AN$5:AN$27=-1),'92_FEATURE_CONF_NUMERIC'!AO$5:AO$27)/MAX(1,COUNTIF('93_TARGET_MEMBERSHIP'!AN$5:AN$27,-1)))))</f>
        <v/>
      </c>
      <c r="AO43" s="34">
        <f>IF($B43="ABSOLUTE SEMANTIC",'19_FEATURE_CONFIDENCE'!$D$43,SQRT((SUMPRODUCT(--('93_TARGET_MEMBERSHIP'!AN$5:AN$27=1),'92_FEATURE_CONF_NUMERIC'!AP$5:AP$27)/MAX(1,COUNTIF('93_TARGET_MEMBERSHIP'!AN$5:AN$27,1)))*(SUMPRODUCT(--('93_TARGET_MEMBERSHIP'!AN$5:AN$27=-1),'92_FEATURE_CONF_NUMERIC'!AP$5:AP$27)/MAX(1,COUNTIF('93_TARGET_MEMBERSHIP'!AN$5:AN$27,-1)))))</f>
        <v/>
      </c>
      <c r="AP43" s="34">
        <f>IF($B43="ABSOLUTE SEMANTIC",'19_FEATURE_CONFIDENCE'!$D$44,SQRT((SUMPRODUCT(--('93_TARGET_MEMBERSHIP'!AN$5:AN$27=1),'92_FEATURE_CONF_NUMERIC'!AQ$5:AQ$27)/MAX(1,COUNTIF('93_TARGET_MEMBERSHIP'!AN$5:AN$27,1)))*(SUMPRODUCT(--('93_TARGET_MEMBERSHIP'!AN$5:AN$27=-1),'92_FEATURE_CONF_NUMERIC'!AQ$5:AQ$27)/MAX(1,COUNTIF('93_TARGET_MEMBERSHIP'!AN$5:AN$27,-1)))))</f>
        <v/>
      </c>
      <c r="AQ43" s="34">
        <f>IF($B43="ABSOLUTE SEMANTIC",'19_FEATURE_CONFIDENCE'!$D$45,SQRT((SUMPRODUCT(--('93_TARGET_MEMBERSHIP'!AN$5:AN$27=1),'92_FEATURE_CONF_NUMERIC'!AR$5:AR$27)/MAX(1,COUNTIF('93_TARGET_MEMBERSHIP'!AN$5:AN$27,1)))*(SUMPRODUCT(--('93_TARGET_MEMBERSHIP'!AN$5:AN$27=-1),'92_FEATURE_CONF_NUMERIC'!AR$5:AR$27)/MAX(1,COUNTIF('93_TARGET_MEMBERSHIP'!AN$5:AN$27,-1)))))</f>
        <v/>
      </c>
    </row>
    <row r="44" ht="36" customHeight="1">
      <c r="A44" s="34">
        <f>'06_ITEM_POLE_MODEL'!A44</f>
        <v/>
      </c>
      <c r="B44" s="34">
        <f>'06_ITEM_POLE_MODEL'!E44</f>
        <v/>
      </c>
      <c r="C44" s="34">
        <f>IF($B44="ABSOLUTE SEMANTIC",'19_FEATURE_CONFIDENCE'!$D$5,SQRT((SUMPRODUCT(--('93_TARGET_MEMBERSHIP'!AO$5:AO$27=1),'92_FEATURE_CONF_NUMERIC'!D$5:D$27)/MAX(1,COUNTIF('93_TARGET_MEMBERSHIP'!AO$5:AO$27,1)))*(SUMPRODUCT(--('93_TARGET_MEMBERSHIP'!AO$5:AO$27=-1),'92_FEATURE_CONF_NUMERIC'!D$5:D$27)/MAX(1,COUNTIF('93_TARGET_MEMBERSHIP'!AO$5:AO$27,-1)))))</f>
        <v/>
      </c>
      <c r="D44" s="34">
        <f>IF($B44="ABSOLUTE SEMANTIC",'19_FEATURE_CONFIDENCE'!$D$6,SQRT((SUMPRODUCT(--('93_TARGET_MEMBERSHIP'!AO$5:AO$27=1),'92_FEATURE_CONF_NUMERIC'!E$5:E$27)/MAX(1,COUNTIF('93_TARGET_MEMBERSHIP'!AO$5:AO$27,1)))*(SUMPRODUCT(--('93_TARGET_MEMBERSHIP'!AO$5:AO$27=-1),'92_FEATURE_CONF_NUMERIC'!E$5:E$27)/MAX(1,COUNTIF('93_TARGET_MEMBERSHIP'!AO$5:AO$27,-1)))))</f>
        <v/>
      </c>
      <c r="E44" s="34">
        <f>IF($B44="ABSOLUTE SEMANTIC",'19_FEATURE_CONFIDENCE'!$D$7,SQRT((SUMPRODUCT(--('93_TARGET_MEMBERSHIP'!AO$5:AO$27=1),'92_FEATURE_CONF_NUMERIC'!F$5:F$27)/MAX(1,COUNTIF('93_TARGET_MEMBERSHIP'!AO$5:AO$27,1)))*(SUMPRODUCT(--('93_TARGET_MEMBERSHIP'!AO$5:AO$27=-1),'92_FEATURE_CONF_NUMERIC'!F$5:F$27)/MAX(1,COUNTIF('93_TARGET_MEMBERSHIP'!AO$5:AO$27,-1)))))</f>
        <v/>
      </c>
      <c r="F44" s="34">
        <f>IF($B44="ABSOLUTE SEMANTIC",'19_FEATURE_CONFIDENCE'!$D$8,SQRT((SUMPRODUCT(--('93_TARGET_MEMBERSHIP'!AO$5:AO$27=1),'92_FEATURE_CONF_NUMERIC'!G$5:G$27)/MAX(1,COUNTIF('93_TARGET_MEMBERSHIP'!AO$5:AO$27,1)))*(SUMPRODUCT(--('93_TARGET_MEMBERSHIP'!AO$5:AO$27=-1),'92_FEATURE_CONF_NUMERIC'!G$5:G$27)/MAX(1,COUNTIF('93_TARGET_MEMBERSHIP'!AO$5:AO$27,-1)))))</f>
        <v/>
      </c>
      <c r="G44" s="34">
        <f>IF($B44="ABSOLUTE SEMANTIC",'19_FEATURE_CONFIDENCE'!$D$9,SQRT((SUMPRODUCT(--('93_TARGET_MEMBERSHIP'!AO$5:AO$27=1),'92_FEATURE_CONF_NUMERIC'!H$5:H$27)/MAX(1,COUNTIF('93_TARGET_MEMBERSHIP'!AO$5:AO$27,1)))*(SUMPRODUCT(--('93_TARGET_MEMBERSHIP'!AO$5:AO$27=-1),'92_FEATURE_CONF_NUMERIC'!H$5:H$27)/MAX(1,COUNTIF('93_TARGET_MEMBERSHIP'!AO$5:AO$27,-1)))))</f>
        <v/>
      </c>
      <c r="H44" s="34">
        <f>IF($B44="ABSOLUTE SEMANTIC",'19_FEATURE_CONFIDENCE'!$D$10,SQRT((SUMPRODUCT(--('93_TARGET_MEMBERSHIP'!AO$5:AO$27=1),'92_FEATURE_CONF_NUMERIC'!I$5:I$27)/MAX(1,COUNTIF('93_TARGET_MEMBERSHIP'!AO$5:AO$27,1)))*(SUMPRODUCT(--('93_TARGET_MEMBERSHIP'!AO$5:AO$27=-1),'92_FEATURE_CONF_NUMERIC'!I$5:I$27)/MAX(1,COUNTIF('93_TARGET_MEMBERSHIP'!AO$5:AO$27,-1)))))</f>
        <v/>
      </c>
      <c r="I44" s="34">
        <f>IF($B44="ABSOLUTE SEMANTIC",'19_FEATURE_CONFIDENCE'!$D$11,SQRT((SUMPRODUCT(--('93_TARGET_MEMBERSHIP'!AO$5:AO$27=1),'92_FEATURE_CONF_NUMERIC'!J$5:J$27)/MAX(1,COUNTIF('93_TARGET_MEMBERSHIP'!AO$5:AO$27,1)))*(SUMPRODUCT(--('93_TARGET_MEMBERSHIP'!AO$5:AO$27=-1),'92_FEATURE_CONF_NUMERIC'!J$5:J$27)/MAX(1,COUNTIF('93_TARGET_MEMBERSHIP'!AO$5:AO$27,-1)))))</f>
        <v/>
      </c>
      <c r="J44" s="34">
        <f>IF($B44="ABSOLUTE SEMANTIC",'19_FEATURE_CONFIDENCE'!$D$12,SQRT((SUMPRODUCT(--('93_TARGET_MEMBERSHIP'!AO$5:AO$27=1),'92_FEATURE_CONF_NUMERIC'!K$5:K$27)/MAX(1,COUNTIF('93_TARGET_MEMBERSHIP'!AO$5:AO$27,1)))*(SUMPRODUCT(--('93_TARGET_MEMBERSHIP'!AO$5:AO$27=-1),'92_FEATURE_CONF_NUMERIC'!K$5:K$27)/MAX(1,COUNTIF('93_TARGET_MEMBERSHIP'!AO$5:AO$27,-1)))))</f>
        <v/>
      </c>
      <c r="K44" s="34">
        <f>IF($B44="ABSOLUTE SEMANTIC",'19_FEATURE_CONFIDENCE'!$D$13,SQRT((SUMPRODUCT(--('93_TARGET_MEMBERSHIP'!AO$5:AO$27=1),'92_FEATURE_CONF_NUMERIC'!L$5:L$27)/MAX(1,COUNTIF('93_TARGET_MEMBERSHIP'!AO$5:AO$27,1)))*(SUMPRODUCT(--('93_TARGET_MEMBERSHIP'!AO$5:AO$27=-1),'92_FEATURE_CONF_NUMERIC'!L$5:L$27)/MAX(1,COUNTIF('93_TARGET_MEMBERSHIP'!AO$5:AO$27,-1)))))</f>
        <v/>
      </c>
      <c r="L44" s="34">
        <f>IF($B44="ABSOLUTE SEMANTIC",'19_FEATURE_CONFIDENCE'!$D$14,SQRT((SUMPRODUCT(--('93_TARGET_MEMBERSHIP'!AO$5:AO$27=1),'92_FEATURE_CONF_NUMERIC'!M$5:M$27)/MAX(1,COUNTIF('93_TARGET_MEMBERSHIP'!AO$5:AO$27,1)))*(SUMPRODUCT(--('93_TARGET_MEMBERSHIP'!AO$5:AO$27=-1),'92_FEATURE_CONF_NUMERIC'!M$5:M$27)/MAX(1,COUNTIF('93_TARGET_MEMBERSHIP'!AO$5:AO$27,-1)))))</f>
        <v/>
      </c>
      <c r="M44" s="34">
        <f>IF($B44="ABSOLUTE SEMANTIC",'19_FEATURE_CONFIDENCE'!$D$15,SQRT((SUMPRODUCT(--('93_TARGET_MEMBERSHIP'!AO$5:AO$27=1),'92_FEATURE_CONF_NUMERIC'!N$5:N$27)/MAX(1,COUNTIF('93_TARGET_MEMBERSHIP'!AO$5:AO$27,1)))*(SUMPRODUCT(--('93_TARGET_MEMBERSHIP'!AO$5:AO$27=-1),'92_FEATURE_CONF_NUMERIC'!N$5:N$27)/MAX(1,COUNTIF('93_TARGET_MEMBERSHIP'!AO$5:AO$27,-1)))))</f>
        <v/>
      </c>
      <c r="N44" s="34">
        <f>IF($B44="ABSOLUTE SEMANTIC",'19_FEATURE_CONFIDENCE'!$D$16,SQRT((SUMPRODUCT(--('93_TARGET_MEMBERSHIP'!AO$5:AO$27=1),'92_FEATURE_CONF_NUMERIC'!O$5:O$27)/MAX(1,COUNTIF('93_TARGET_MEMBERSHIP'!AO$5:AO$27,1)))*(SUMPRODUCT(--('93_TARGET_MEMBERSHIP'!AO$5:AO$27=-1),'92_FEATURE_CONF_NUMERIC'!O$5:O$27)/MAX(1,COUNTIF('93_TARGET_MEMBERSHIP'!AO$5:AO$27,-1)))))</f>
        <v/>
      </c>
      <c r="O44" s="34">
        <f>IF($B44="ABSOLUTE SEMANTIC",'19_FEATURE_CONFIDENCE'!$D$17,SQRT((SUMPRODUCT(--('93_TARGET_MEMBERSHIP'!AO$5:AO$27=1),'92_FEATURE_CONF_NUMERIC'!P$5:P$27)/MAX(1,COUNTIF('93_TARGET_MEMBERSHIP'!AO$5:AO$27,1)))*(SUMPRODUCT(--('93_TARGET_MEMBERSHIP'!AO$5:AO$27=-1),'92_FEATURE_CONF_NUMERIC'!P$5:P$27)/MAX(1,COUNTIF('93_TARGET_MEMBERSHIP'!AO$5:AO$27,-1)))))</f>
        <v/>
      </c>
      <c r="P44" s="34">
        <f>IF($B44="ABSOLUTE SEMANTIC",'19_FEATURE_CONFIDENCE'!$D$18,SQRT((SUMPRODUCT(--('93_TARGET_MEMBERSHIP'!AO$5:AO$27=1),'92_FEATURE_CONF_NUMERIC'!Q$5:Q$27)/MAX(1,COUNTIF('93_TARGET_MEMBERSHIP'!AO$5:AO$27,1)))*(SUMPRODUCT(--('93_TARGET_MEMBERSHIP'!AO$5:AO$27=-1),'92_FEATURE_CONF_NUMERIC'!Q$5:Q$27)/MAX(1,COUNTIF('93_TARGET_MEMBERSHIP'!AO$5:AO$27,-1)))))</f>
        <v/>
      </c>
      <c r="Q44" s="34">
        <f>IF($B44="ABSOLUTE SEMANTIC",'19_FEATURE_CONFIDENCE'!$D$19,SQRT((SUMPRODUCT(--('93_TARGET_MEMBERSHIP'!AO$5:AO$27=1),'92_FEATURE_CONF_NUMERIC'!R$5:R$27)/MAX(1,COUNTIF('93_TARGET_MEMBERSHIP'!AO$5:AO$27,1)))*(SUMPRODUCT(--('93_TARGET_MEMBERSHIP'!AO$5:AO$27=-1),'92_FEATURE_CONF_NUMERIC'!R$5:R$27)/MAX(1,COUNTIF('93_TARGET_MEMBERSHIP'!AO$5:AO$27,-1)))))</f>
        <v/>
      </c>
      <c r="R44" s="34">
        <f>IF($B44="ABSOLUTE SEMANTIC",'19_FEATURE_CONFIDENCE'!$D$20,SQRT((SUMPRODUCT(--('93_TARGET_MEMBERSHIP'!AO$5:AO$27=1),'92_FEATURE_CONF_NUMERIC'!S$5:S$27)/MAX(1,COUNTIF('93_TARGET_MEMBERSHIP'!AO$5:AO$27,1)))*(SUMPRODUCT(--('93_TARGET_MEMBERSHIP'!AO$5:AO$27=-1),'92_FEATURE_CONF_NUMERIC'!S$5:S$27)/MAX(1,COUNTIF('93_TARGET_MEMBERSHIP'!AO$5:AO$27,-1)))))</f>
        <v/>
      </c>
      <c r="S44" s="34">
        <f>IF($B44="ABSOLUTE SEMANTIC",'19_FEATURE_CONFIDENCE'!$D$21,SQRT((SUMPRODUCT(--('93_TARGET_MEMBERSHIP'!AO$5:AO$27=1),'92_FEATURE_CONF_NUMERIC'!T$5:T$27)/MAX(1,COUNTIF('93_TARGET_MEMBERSHIP'!AO$5:AO$27,1)))*(SUMPRODUCT(--('93_TARGET_MEMBERSHIP'!AO$5:AO$27=-1),'92_FEATURE_CONF_NUMERIC'!T$5:T$27)/MAX(1,COUNTIF('93_TARGET_MEMBERSHIP'!AO$5:AO$27,-1)))))</f>
        <v/>
      </c>
      <c r="T44" s="34">
        <f>IF($B44="ABSOLUTE SEMANTIC",'19_FEATURE_CONFIDENCE'!$D$22,SQRT((SUMPRODUCT(--('93_TARGET_MEMBERSHIP'!AO$5:AO$27=1),'92_FEATURE_CONF_NUMERIC'!U$5:U$27)/MAX(1,COUNTIF('93_TARGET_MEMBERSHIP'!AO$5:AO$27,1)))*(SUMPRODUCT(--('93_TARGET_MEMBERSHIP'!AO$5:AO$27=-1),'92_FEATURE_CONF_NUMERIC'!U$5:U$27)/MAX(1,COUNTIF('93_TARGET_MEMBERSHIP'!AO$5:AO$27,-1)))))</f>
        <v/>
      </c>
      <c r="U44" s="34">
        <f>IF($B44="ABSOLUTE SEMANTIC",'19_FEATURE_CONFIDENCE'!$D$23,SQRT((SUMPRODUCT(--('93_TARGET_MEMBERSHIP'!AO$5:AO$27=1),'92_FEATURE_CONF_NUMERIC'!V$5:V$27)/MAX(1,COUNTIF('93_TARGET_MEMBERSHIP'!AO$5:AO$27,1)))*(SUMPRODUCT(--('93_TARGET_MEMBERSHIP'!AO$5:AO$27=-1),'92_FEATURE_CONF_NUMERIC'!V$5:V$27)/MAX(1,COUNTIF('93_TARGET_MEMBERSHIP'!AO$5:AO$27,-1)))))</f>
        <v/>
      </c>
      <c r="V44" s="34">
        <f>IF($B44="ABSOLUTE SEMANTIC",'19_FEATURE_CONFIDENCE'!$D$24,SQRT((SUMPRODUCT(--('93_TARGET_MEMBERSHIP'!AO$5:AO$27=1),'92_FEATURE_CONF_NUMERIC'!W$5:W$27)/MAX(1,COUNTIF('93_TARGET_MEMBERSHIP'!AO$5:AO$27,1)))*(SUMPRODUCT(--('93_TARGET_MEMBERSHIP'!AO$5:AO$27=-1),'92_FEATURE_CONF_NUMERIC'!W$5:W$27)/MAX(1,COUNTIF('93_TARGET_MEMBERSHIP'!AO$5:AO$27,-1)))))</f>
        <v/>
      </c>
      <c r="W44" s="34">
        <f>IF($B44="ABSOLUTE SEMANTIC",'19_FEATURE_CONFIDENCE'!$D$25,SQRT((SUMPRODUCT(--('93_TARGET_MEMBERSHIP'!AO$5:AO$27=1),'92_FEATURE_CONF_NUMERIC'!X$5:X$27)/MAX(1,COUNTIF('93_TARGET_MEMBERSHIP'!AO$5:AO$27,1)))*(SUMPRODUCT(--('93_TARGET_MEMBERSHIP'!AO$5:AO$27=-1),'92_FEATURE_CONF_NUMERIC'!X$5:X$27)/MAX(1,COUNTIF('93_TARGET_MEMBERSHIP'!AO$5:AO$27,-1)))))</f>
        <v/>
      </c>
      <c r="X44" s="34">
        <f>IF($B44="ABSOLUTE SEMANTIC",'19_FEATURE_CONFIDENCE'!$D$26,SQRT((SUMPRODUCT(--('93_TARGET_MEMBERSHIP'!AO$5:AO$27=1),'92_FEATURE_CONF_NUMERIC'!Y$5:Y$27)/MAX(1,COUNTIF('93_TARGET_MEMBERSHIP'!AO$5:AO$27,1)))*(SUMPRODUCT(--('93_TARGET_MEMBERSHIP'!AO$5:AO$27=-1),'92_FEATURE_CONF_NUMERIC'!Y$5:Y$27)/MAX(1,COUNTIF('93_TARGET_MEMBERSHIP'!AO$5:AO$27,-1)))))</f>
        <v/>
      </c>
      <c r="Y44" s="34">
        <f>IF($B44="ABSOLUTE SEMANTIC",'19_FEATURE_CONFIDENCE'!$D$27,SQRT((SUMPRODUCT(--('93_TARGET_MEMBERSHIP'!AO$5:AO$27=1),'92_FEATURE_CONF_NUMERIC'!Z$5:Z$27)/MAX(1,COUNTIF('93_TARGET_MEMBERSHIP'!AO$5:AO$27,1)))*(SUMPRODUCT(--('93_TARGET_MEMBERSHIP'!AO$5:AO$27=-1),'92_FEATURE_CONF_NUMERIC'!Z$5:Z$27)/MAX(1,COUNTIF('93_TARGET_MEMBERSHIP'!AO$5:AO$27,-1)))))</f>
        <v/>
      </c>
      <c r="Z44" s="34">
        <f>IF($B44="ABSOLUTE SEMANTIC",'19_FEATURE_CONFIDENCE'!$D$28,SQRT((SUMPRODUCT(--('93_TARGET_MEMBERSHIP'!AO$5:AO$27=1),'92_FEATURE_CONF_NUMERIC'!AA$5:AA$27)/MAX(1,COUNTIF('93_TARGET_MEMBERSHIP'!AO$5:AO$27,1)))*(SUMPRODUCT(--('93_TARGET_MEMBERSHIP'!AO$5:AO$27=-1),'92_FEATURE_CONF_NUMERIC'!AA$5:AA$27)/MAX(1,COUNTIF('93_TARGET_MEMBERSHIP'!AO$5:AO$27,-1)))))</f>
        <v/>
      </c>
      <c r="AA44" s="34">
        <f>IF($B44="ABSOLUTE SEMANTIC",'19_FEATURE_CONFIDENCE'!$D$29,SQRT((SUMPRODUCT(--('93_TARGET_MEMBERSHIP'!AO$5:AO$27=1),'92_FEATURE_CONF_NUMERIC'!AB$5:AB$27)/MAX(1,COUNTIF('93_TARGET_MEMBERSHIP'!AO$5:AO$27,1)))*(SUMPRODUCT(--('93_TARGET_MEMBERSHIP'!AO$5:AO$27=-1),'92_FEATURE_CONF_NUMERIC'!AB$5:AB$27)/MAX(1,COUNTIF('93_TARGET_MEMBERSHIP'!AO$5:AO$27,-1)))))</f>
        <v/>
      </c>
      <c r="AB44" s="34">
        <f>IF($B44="ABSOLUTE SEMANTIC",'19_FEATURE_CONFIDENCE'!$D$30,SQRT((SUMPRODUCT(--('93_TARGET_MEMBERSHIP'!AO$5:AO$27=1),'92_FEATURE_CONF_NUMERIC'!AC$5:AC$27)/MAX(1,COUNTIF('93_TARGET_MEMBERSHIP'!AO$5:AO$27,1)))*(SUMPRODUCT(--('93_TARGET_MEMBERSHIP'!AO$5:AO$27=-1),'92_FEATURE_CONF_NUMERIC'!AC$5:AC$27)/MAX(1,COUNTIF('93_TARGET_MEMBERSHIP'!AO$5:AO$27,-1)))))</f>
        <v/>
      </c>
      <c r="AC44" s="34">
        <f>IF($B44="ABSOLUTE SEMANTIC",'19_FEATURE_CONFIDENCE'!$D$31,SQRT((SUMPRODUCT(--('93_TARGET_MEMBERSHIP'!AO$5:AO$27=1),'92_FEATURE_CONF_NUMERIC'!AD$5:AD$27)/MAX(1,COUNTIF('93_TARGET_MEMBERSHIP'!AO$5:AO$27,1)))*(SUMPRODUCT(--('93_TARGET_MEMBERSHIP'!AO$5:AO$27=-1),'92_FEATURE_CONF_NUMERIC'!AD$5:AD$27)/MAX(1,COUNTIF('93_TARGET_MEMBERSHIP'!AO$5:AO$27,-1)))))</f>
        <v/>
      </c>
      <c r="AD44" s="34">
        <f>IF($B44="ABSOLUTE SEMANTIC",'19_FEATURE_CONFIDENCE'!$D$32,SQRT((SUMPRODUCT(--('93_TARGET_MEMBERSHIP'!AO$5:AO$27=1),'92_FEATURE_CONF_NUMERIC'!AE$5:AE$27)/MAX(1,COUNTIF('93_TARGET_MEMBERSHIP'!AO$5:AO$27,1)))*(SUMPRODUCT(--('93_TARGET_MEMBERSHIP'!AO$5:AO$27=-1),'92_FEATURE_CONF_NUMERIC'!AE$5:AE$27)/MAX(1,COUNTIF('93_TARGET_MEMBERSHIP'!AO$5:AO$27,-1)))))</f>
        <v/>
      </c>
      <c r="AE44" s="34">
        <f>IF($B44="ABSOLUTE SEMANTIC",'19_FEATURE_CONFIDENCE'!$D$33,SQRT((SUMPRODUCT(--('93_TARGET_MEMBERSHIP'!AO$5:AO$27=1),'92_FEATURE_CONF_NUMERIC'!AF$5:AF$27)/MAX(1,COUNTIF('93_TARGET_MEMBERSHIP'!AO$5:AO$27,1)))*(SUMPRODUCT(--('93_TARGET_MEMBERSHIP'!AO$5:AO$27=-1),'92_FEATURE_CONF_NUMERIC'!AF$5:AF$27)/MAX(1,COUNTIF('93_TARGET_MEMBERSHIP'!AO$5:AO$27,-1)))))</f>
        <v/>
      </c>
      <c r="AF44" s="34">
        <f>IF($B44="ABSOLUTE SEMANTIC",'19_FEATURE_CONFIDENCE'!$D$34,SQRT((SUMPRODUCT(--('93_TARGET_MEMBERSHIP'!AO$5:AO$27=1),'92_FEATURE_CONF_NUMERIC'!AG$5:AG$27)/MAX(1,COUNTIF('93_TARGET_MEMBERSHIP'!AO$5:AO$27,1)))*(SUMPRODUCT(--('93_TARGET_MEMBERSHIP'!AO$5:AO$27=-1),'92_FEATURE_CONF_NUMERIC'!AG$5:AG$27)/MAX(1,COUNTIF('93_TARGET_MEMBERSHIP'!AO$5:AO$27,-1)))))</f>
        <v/>
      </c>
      <c r="AG44" s="34">
        <f>IF($B44="ABSOLUTE SEMANTIC",'19_FEATURE_CONFIDENCE'!$D$35,SQRT((SUMPRODUCT(--('93_TARGET_MEMBERSHIP'!AO$5:AO$27=1),'92_FEATURE_CONF_NUMERIC'!AH$5:AH$27)/MAX(1,COUNTIF('93_TARGET_MEMBERSHIP'!AO$5:AO$27,1)))*(SUMPRODUCT(--('93_TARGET_MEMBERSHIP'!AO$5:AO$27=-1),'92_FEATURE_CONF_NUMERIC'!AH$5:AH$27)/MAX(1,COUNTIF('93_TARGET_MEMBERSHIP'!AO$5:AO$27,-1)))))</f>
        <v/>
      </c>
      <c r="AH44" s="34">
        <f>IF($B44="ABSOLUTE SEMANTIC",'19_FEATURE_CONFIDENCE'!$D$36,SQRT((SUMPRODUCT(--('93_TARGET_MEMBERSHIP'!AO$5:AO$27=1),'92_FEATURE_CONF_NUMERIC'!AI$5:AI$27)/MAX(1,COUNTIF('93_TARGET_MEMBERSHIP'!AO$5:AO$27,1)))*(SUMPRODUCT(--('93_TARGET_MEMBERSHIP'!AO$5:AO$27=-1),'92_FEATURE_CONF_NUMERIC'!AI$5:AI$27)/MAX(1,COUNTIF('93_TARGET_MEMBERSHIP'!AO$5:AO$27,-1)))))</f>
        <v/>
      </c>
      <c r="AI44" s="34">
        <f>IF($B44="ABSOLUTE SEMANTIC",'19_FEATURE_CONFIDENCE'!$D$37,SQRT((SUMPRODUCT(--('93_TARGET_MEMBERSHIP'!AO$5:AO$27=1),'92_FEATURE_CONF_NUMERIC'!AJ$5:AJ$27)/MAX(1,COUNTIF('93_TARGET_MEMBERSHIP'!AO$5:AO$27,1)))*(SUMPRODUCT(--('93_TARGET_MEMBERSHIP'!AO$5:AO$27=-1),'92_FEATURE_CONF_NUMERIC'!AJ$5:AJ$27)/MAX(1,COUNTIF('93_TARGET_MEMBERSHIP'!AO$5:AO$27,-1)))))</f>
        <v/>
      </c>
      <c r="AJ44" s="34">
        <f>IF($B44="ABSOLUTE SEMANTIC",'19_FEATURE_CONFIDENCE'!$D$38,SQRT((SUMPRODUCT(--('93_TARGET_MEMBERSHIP'!AO$5:AO$27=1),'92_FEATURE_CONF_NUMERIC'!AK$5:AK$27)/MAX(1,COUNTIF('93_TARGET_MEMBERSHIP'!AO$5:AO$27,1)))*(SUMPRODUCT(--('93_TARGET_MEMBERSHIP'!AO$5:AO$27=-1),'92_FEATURE_CONF_NUMERIC'!AK$5:AK$27)/MAX(1,COUNTIF('93_TARGET_MEMBERSHIP'!AO$5:AO$27,-1)))))</f>
        <v/>
      </c>
      <c r="AK44" s="34">
        <f>IF($B44="ABSOLUTE SEMANTIC",'19_FEATURE_CONFIDENCE'!$D$39,SQRT((SUMPRODUCT(--('93_TARGET_MEMBERSHIP'!AO$5:AO$27=1),'92_FEATURE_CONF_NUMERIC'!AL$5:AL$27)/MAX(1,COUNTIF('93_TARGET_MEMBERSHIP'!AO$5:AO$27,1)))*(SUMPRODUCT(--('93_TARGET_MEMBERSHIP'!AO$5:AO$27=-1),'92_FEATURE_CONF_NUMERIC'!AL$5:AL$27)/MAX(1,COUNTIF('93_TARGET_MEMBERSHIP'!AO$5:AO$27,-1)))))</f>
        <v/>
      </c>
      <c r="AL44" s="34">
        <f>IF($B44="ABSOLUTE SEMANTIC",'19_FEATURE_CONFIDENCE'!$D$40,SQRT((SUMPRODUCT(--('93_TARGET_MEMBERSHIP'!AO$5:AO$27=1),'92_FEATURE_CONF_NUMERIC'!AM$5:AM$27)/MAX(1,COUNTIF('93_TARGET_MEMBERSHIP'!AO$5:AO$27,1)))*(SUMPRODUCT(--('93_TARGET_MEMBERSHIP'!AO$5:AO$27=-1),'92_FEATURE_CONF_NUMERIC'!AM$5:AM$27)/MAX(1,COUNTIF('93_TARGET_MEMBERSHIP'!AO$5:AO$27,-1)))))</f>
        <v/>
      </c>
      <c r="AM44" s="34">
        <f>IF($B44="ABSOLUTE SEMANTIC",'19_FEATURE_CONFIDENCE'!$D$41,SQRT((SUMPRODUCT(--('93_TARGET_MEMBERSHIP'!AO$5:AO$27=1),'92_FEATURE_CONF_NUMERIC'!AN$5:AN$27)/MAX(1,COUNTIF('93_TARGET_MEMBERSHIP'!AO$5:AO$27,1)))*(SUMPRODUCT(--('93_TARGET_MEMBERSHIP'!AO$5:AO$27=-1),'92_FEATURE_CONF_NUMERIC'!AN$5:AN$27)/MAX(1,COUNTIF('93_TARGET_MEMBERSHIP'!AO$5:AO$27,-1)))))</f>
        <v/>
      </c>
      <c r="AN44" s="34">
        <f>IF($B44="ABSOLUTE SEMANTIC",'19_FEATURE_CONFIDENCE'!$D$42,SQRT((SUMPRODUCT(--('93_TARGET_MEMBERSHIP'!AO$5:AO$27=1),'92_FEATURE_CONF_NUMERIC'!AO$5:AO$27)/MAX(1,COUNTIF('93_TARGET_MEMBERSHIP'!AO$5:AO$27,1)))*(SUMPRODUCT(--('93_TARGET_MEMBERSHIP'!AO$5:AO$27=-1),'92_FEATURE_CONF_NUMERIC'!AO$5:AO$27)/MAX(1,COUNTIF('93_TARGET_MEMBERSHIP'!AO$5:AO$27,-1)))))</f>
        <v/>
      </c>
      <c r="AO44" s="34">
        <f>IF($B44="ABSOLUTE SEMANTIC",'19_FEATURE_CONFIDENCE'!$D$43,SQRT((SUMPRODUCT(--('93_TARGET_MEMBERSHIP'!AO$5:AO$27=1),'92_FEATURE_CONF_NUMERIC'!AP$5:AP$27)/MAX(1,COUNTIF('93_TARGET_MEMBERSHIP'!AO$5:AO$27,1)))*(SUMPRODUCT(--('93_TARGET_MEMBERSHIP'!AO$5:AO$27=-1),'92_FEATURE_CONF_NUMERIC'!AP$5:AP$27)/MAX(1,COUNTIF('93_TARGET_MEMBERSHIP'!AO$5:AO$27,-1)))))</f>
        <v/>
      </c>
      <c r="AP44" s="34">
        <f>IF($B44="ABSOLUTE SEMANTIC",'19_FEATURE_CONFIDENCE'!$D$44,SQRT((SUMPRODUCT(--('93_TARGET_MEMBERSHIP'!AO$5:AO$27=1),'92_FEATURE_CONF_NUMERIC'!AQ$5:AQ$27)/MAX(1,COUNTIF('93_TARGET_MEMBERSHIP'!AO$5:AO$27,1)))*(SUMPRODUCT(--('93_TARGET_MEMBERSHIP'!AO$5:AO$27=-1),'92_FEATURE_CONF_NUMERIC'!AQ$5:AQ$27)/MAX(1,COUNTIF('93_TARGET_MEMBERSHIP'!AO$5:AO$27,-1)))))</f>
        <v/>
      </c>
      <c r="AQ44" s="34">
        <f>IF($B44="ABSOLUTE SEMANTIC",'19_FEATURE_CONFIDENCE'!$D$45,SQRT((SUMPRODUCT(--('93_TARGET_MEMBERSHIP'!AO$5:AO$27=1),'92_FEATURE_CONF_NUMERIC'!AR$5:AR$27)/MAX(1,COUNTIF('93_TARGET_MEMBERSHIP'!AO$5:AO$27,1)))*(SUMPRODUCT(--('93_TARGET_MEMBERSHIP'!AO$5:AO$27=-1),'92_FEATURE_CONF_NUMERIC'!AR$5:AR$27)/MAX(1,COUNTIF('93_TARGET_MEMBERSHIP'!AO$5:AO$27,-1)))))</f>
        <v/>
      </c>
    </row>
    <row r="45" ht="36" customHeight="1">
      <c r="A45" s="34">
        <f>'06_ITEM_POLE_MODEL'!A45</f>
        <v/>
      </c>
      <c r="B45" s="34">
        <f>'06_ITEM_POLE_MODEL'!E45</f>
        <v/>
      </c>
      <c r="C45" s="34">
        <f>IF($B45="ABSOLUTE SEMANTIC",'19_FEATURE_CONFIDENCE'!$D$5,SQRT((SUMPRODUCT(--('93_TARGET_MEMBERSHIP'!AP$5:AP$27=1),'92_FEATURE_CONF_NUMERIC'!D$5:D$27)/MAX(1,COUNTIF('93_TARGET_MEMBERSHIP'!AP$5:AP$27,1)))*(SUMPRODUCT(--('93_TARGET_MEMBERSHIP'!AP$5:AP$27=-1),'92_FEATURE_CONF_NUMERIC'!D$5:D$27)/MAX(1,COUNTIF('93_TARGET_MEMBERSHIP'!AP$5:AP$27,-1)))))</f>
        <v/>
      </c>
      <c r="D45" s="34">
        <f>IF($B45="ABSOLUTE SEMANTIC",'19_FEATURE_CONFIDENCE'!$D$6,SQRT((SUMPRODUCT(--('93_TARGET_MEMBERSHIP'!AP$5:AP$27=1),'92_FEATURE_CONF_NUMERIC'!E$5:E$27)/MAX(1,COUNTIF('93_TARGET_MEMBERSHIP'!AP$5:AP$27,1)))*(SUMPRODUCT(--('93_TARGET_MEMBERSHIP'!AP$5:AP$27=-1),'92_FEATURE_CONF_NUMERIC'!E$5:E$27)/MAX(1,COUNTIF('93_TARGET_MEMBERSHIP'!AP$5:AP$27,-1)))))</f>
        <v/>
      </c>
      <c r="E45" s="34">
        <f>IF($B45="ABSOLUTE SEMANTIC",'19_FEATURE_CONFIDENCE'!$D$7,SQRT((SUMPRODUCT(--('93_TARGET_MEMBERSHIP'!AP$5:AP$27=1),'92_FEATURE_CONF_NUMERIC'!F$5:F$27)/MAX(1,COUNTIF('93_TARGET_MEMBERSHIP'!AP$5:AP$27,1)))*(SUMPRODUCT(--('93_TARGET_MEMBERSHIP'!AP$5:AP$27=-1),'92_FEATURE_CONF_NUMERIC'!F$5:F$27)/MAX(1,COUNTIF('93_TARGET_MEMBERSHIP'!AP$5:AP$27,-1)))))</f>
        <v/>
      </c>
      <c r="F45" s="34">
        <f>IF($B45="ABSOLUTE SEMANTIC",'19_FEATURE_CONFIDENCE'!$D$8,SQRT((SUMPRODUCT(--('93_TARGET_MEMBERSHIP'!AP$5:AP$27=1),'92_FEATURE_CONF_NUMERIC'!G$5:G$27)/MAX(1,COUNTIF('93_TARGET_MEMBERSHIP'!AP$5:AP$27,1)))*(SUMPRODUCT(--('93_TARGET_MEMBERSHIP'!AP$5:AP$27=-1),'92_FEATURE_CONF_NUMERIC'!G$5:G$27)/MAX(1,COUNTIF('93_TARGET_MEMBERSHIP'!AP$5:AP$27,-1)))))</f>
        <v/>
      </c>
      <c r="G45" s="34">
        <f>IF($B45="ABSOLUTE SEMANTIC",'19_FEATURE_CONFIDENCE'!$D$9,SQRT((SUMPRODUCT(--('93_TARGET_MEMBERSHIP'!AP$5:AP$27=1),'92_FEATURE_CONF_NUMERIC'!H$5:H$27)/MAX(1,COUNTIF('93_TARGET_MEMBERSHIP'!AP$5:AP$27,1)))*(SUMPRODUCT(--('93_TARGET_MEMBERSHIP'!AP$5:AP$27=-1),'92_FEATURE_CONF_NUMERIC'!H$5:H$27)/MAX(1,COUNTIF('93_TARGET_MEMBERSHIP'!AP$5:AP$27,-1)))))</f>
        <v/>
      </c>
      <c r="H45" s="34">
        <f>IF($B45="ABSOLUTE SEMANTIC",'19_FEATURE_CONFIDENCE'!$D$10,SQRT((SUMPRODUCT(--('93_TARGET_MEMBERSHIP'!AP$5:AP$27=1),'92_FEATURE_CONF_NUMERIC'!I$5:I$27)/MAX(1,COUNTIF('93_TARGET_MEMBERSHIP'!AP$5:AP$27,1)))*(SUMPRODUCT(--('93_TARGET_MEMBERSHIP'!AP$5:AP$27=-1),'92_FEATURE_CONF_NUMERIC'!I$5:I$27)/MAX(1,COUNTIF('93_TARGET_MEMBERSHIP'!AP$5:AP$27,-1)))))</f>
        <v/>
      </c>
      <c r="I45" s="34">
        <f>IF($B45="ABSOLUTE SEMANTIC",'19_FEATURE_CONFIDENCE'!$D$11,SQRT((SUMPRODUCT(--('93_TARGET_MEMBERSHIP'!AP$5:AP$27=1),'92_FEATURE_CONF_NUMERIC'!J$5:J$27)/MAX(1,COUNTIF('93_TARGET_MEMBERSHIP'!AP$5:AP$27,1)))*(SUMPRODUCT(--('93_TARGET_MEMBERSHIP'!AP$5:AP$27=-1),'92_FEATURE_CONF_NUMERIC'!J$5:J$27)/MAX(1,COUNTIF('93_TARGET_MEMBERSHIP'!AP$5:AP$27,-1)))))</f>
        <v/>
      </c>
      <c r="J45" s="34">
        <f>IF($B45="ABSOLUTE SEMANTIC",'19_FEATURE_CONFIDENCE'!$D$12,SQRT((SUMPRODUCT(--('93_TARGET_MEMBERSHIP'!AP$5:AP$27=1),'92_FEATURE_CONF_NUMERIC'!K$5:K$27)/MAX(1,COUNTIF('93_TARGET_MEMBERSHIP'!AP$5:AP$27,1)))*(SUMPRODUCT(--('93_TARGET_MEMBERSHIP'!AP$5:AP$27=-1),'92_FEATURE_CONF_NUMERIC'!K$5:K$27)/MAX(1,COUNTIF('93_TARGET_MEMBERSHIP'!AP$5:AP$27,-1)))))</f>
        <v/>
      </c>
      <c r="K45" s="34">
        <f>IF($B45="ABSOLUTE SEMANTIC",'19_FEATURE_CONFIDENCE'!$D$13,SQRT((SUMPRODUCT(--('93_TARGET_MEMBERSHIP'!AP$5:AP$27=1),'92_FEATURE_CONF_NUMERIC'!L$5:L$27)/MAX(1,COUNTIF('93_TARGET_MEMBERSHIP'!AP$5:AP$27,1)))*(SUMPRODUCT(--('93_TARGET_MEMBERSHIP'!AP$5:AP$27=-1),'92_FEATURE_CONF_NUMERIC'!L$5:L$27)/MAX(1,COUNTIF('93_TARGET_MEMBERSHIP'!AP$5:AP$27,-1)))))</f>
        <v/>
      </c>
      <c r="L45" s="34">
        <f>IF($B45="ABSOLUTE SEMANTIC",'19_FEATURE_CONFIDENCE'!$D$14,SQRT((SUMPRODUCT(--('93_TARGET_MEMBERSHIP'!AP$5:AP$27=1),'92_FEATURE_CONF_NUMERIC'!M$5:M$27)/MAX(1,COUNTIF('93_TARGET_MEMBERSHIP'!AP$5:AP$27,1)))*(SUMPRODUCT(--('93_TARGET_MEMBERSHIP'!AP$5:AP$27=-1),'92_FEATURE_CONF_NUMERIC'!M$5:M$27)/MAX(1,COUNTIF('93_TARGET_MEMBERSHIP'!AP$5:AP$27,-1)))))</f>
        <v/>
      </c>
      <c r="M45" s="34">
        <f>IF($B45="ABSOLUTE SEMANTIC",'19_FEATURE_CONFIDENCE'!$D$15,SQRT((SUMPRODUCT(--('93_TARGET_MEMBERSHIP'!AP$5:AP$27=1),'92_FEATURE_CONF_NUMERIC'!N$5:N$27)/MAX(1,COUNTIF('93_TARGET_MEMBERSHIP'!AP$5:AP$27,1)))*(SUMPRODUCT(--('93_TARGET_MEMBERSHIP'!AP$5:AP$27=-1),'92_FEATURE_CONF_NUMERIC'!N$5:N$27)/MAX(1,COUNTIF('93_TARGET_MEMBERSHIP'!AP$5:AP$27,-1)))))</f>
        <v/>
      </c>
      <c r="N45" s="34">
        <f>IF($B45="ABSOLUTE SEMANTIC",'19_FEATURE_CONFIDENCE'!$D$16,SQRT((SUMPRODUCT(--('93_TARGET_MEMBERSHIP'!AP$5:AP$27=1),'92_FEATURE_CONF_NUMERIC'!O$5:O$27)/MAX(1,COUNTIF('93_TARGET_MEMBERSHIP'!AP$5:AP$27,1)))*(SUMPRODUCT(--('93_TARGET_MEMBERSHIP'!AP$5:AP$27=-1),'92_FEATURE_CONF_NUMERIC'!O$5:O$27)/MAX(1,COUNTIF('93_TARGET_MEMBERSHIP'!AP$5:AP$27,-1)))))</f>
        <v/>
      </c>
      <c r="O45" s="34">
        <f>IF($B45="ABSOLUTE SEMANTIC",'19_FEATURE_CONFIDENCE'!$D$17,SQRT((SUMPRODUCT(--('93_TARGET_MEMBERSHIP'!AP$5:AP$27=1),'92_FEATURE_CONF_NUMERIC'!P$5:P$27)/MAX(1,COUNTIF('93_TARGET_MEMBERSHIP'!AP$5:AP$27,1)))*(SUMPRODUCT(--('93_TARGET_MEMBERSHIP'!AP$5:AP$27=-1),'92_FEATURE_CONF_NUMERIC'!P$5:P$27)/MAX(1,COUNTIF('93_TARGET_MEMBERSHIP'!AP$5:AP$27,-1)))))</f>
        <v/>
      </c>
      <c r="P45" s="34">
        <f>IF($B45="ABSOLUTE SEMANTIC",'19_FEATURE_CONFIDENCE'!$D$18,SQRT((SUMPRODUCT(--('93_TARGET_MEMBERSHIP'!AP$5:AP$27=1),'92_FEATURE_CONF_NUMERIC'!Q$5:Q$27)/MAX(1,COUNTIF('93_TARGET_MEMBERSHIP'!AP$5:AP$27,1)))*(SUMPRODUCT(--('93_TARGET_MEMBERSHIP'!AP$5:AP$27=-1),'92_FEATURE_CONF_NUMERIC'!Q$5:Q$27)/MAX(1,COUNTIF('93_TARGET_MEMBERSHIP'!AP$5:AP$27,-1)))))</f>
        <v/>
      </c>
      <c r="Q45" s="34">
        <f>IF($B45="ABSOLUTE SEMANTIC",'19_FEATURE_CONFIDENCE'!$D$19,SQRT((SUMPRODUCT(--('93_TARGET_MEMBERSHIP'!AP$5:AP$27=1),'92_FEATURE_CONF_NUMERIC'!R$5:R$27)/MAX(1,COUNTIF('93_TARGET_MEMBERSHIP'!AP$5:AP$27,1)))*(SUMPRODUCT(--('93_TARGET_MEMBERSHIP'!AP$5:AP$27=-1),'92_FEATURE_CONF_NUMERIC'!R$5:R$27)/MAX(1,COUNTIF('93_TARGET_MEMBERSHIP'!AP$5:AP$27,-1)))))</f>
        <v/>
      </c>
      <c r="R45" s="34">
        <f>IF($B45="ABSOLUTE SEMANTIC",'19_FEATURE_CONFIDENCE'!$D$20,SQRT((SUMPRODUCT(--('93_TARGET_MEMBERSHIP'!AP$5:AP$27=1),'92_FEATURE_CONF_NUMERIC'!S$5:S$27)/MAX(1,COUNTIF('93_TARGET_MEMBERSHIP'!AP$5:AP$27,1)))*(SUMPRODUCT(--('93_TARGET_MEMBERSHIP'!AP$5:AP$27=-1),'92_FEATURE_CONF_NUMERIC'!S$5:S$27)/MAX(1,COUNTIF('93_TARGET_MEMBERSHIP'!AP$5:AP$27,-1)))))</f>
        <v/>
      </c>
      <c r="S45" s="34">
        <f>IF($B45="ABSOLUTE SEMANTIC",'19_FEATURE_CONFIDENCE'!$D$21,SQRT((SUMPRODUCT(--('93_TARGET_MEMBERSHIP'!AP$5:AP$27=1),'92_FEATURE_CONF_NUMERIC'!T$5:T$27)/MAX(1,COUNTIF('93_TARGET_MEMBERSHIP'!AP$5:AP$27,1)))*(SUMPRODUCT(--('93_TARGET_MEMBERSHIP'!AP$5:AP$27=-1),'92_FEATURE_CONF_NUMERIC'!T$5:T$27)/MAX(1,COUNTIF('93_TARGET_MEMBERSHIP'!AP$5:AP$27,-1)))))</f>
        <v/>
      </c>
      <c r="T45" s="34">
        <f>IF($B45="ABSOLUTE SEMANTIC",'19_FEATURE_CONFIDENCE'!$D$22,SQRT((SUMPRODUCT(--('93_TARGET_MEMBERSHIP'!AP$5:AP$27=1),'92_FEATURE_CONF_NUMERIC'!U$5:U$27)/MAX(1,COUNTIF('93_TARGET_MEMBERSHIP'!AP$5:AP$27,1)))*(SUMPRODUCT(--('93_TARGET_MEMBERSHIP'!AP$5:AP$27=-1),'92_FEATURE_CONF_NUMERIC'!U$5:U$27)/MAX(1,COUNTIF('93_TARGET_MEMBERSHIP'!AP$5:AP$27,-1)))))</f>
        <v/>
      </c>
      <c r="U45" s="34">
        <f>IF($B45="ABSOLUTE SEMANTIC",'19_FEATURE_CONFIDENCE'!$D$23,SQRT((SUMPRODUCT(--('93_TARGET_MEMBERSHIP'!AP$5:AP$27=1),'92_FEATURE_CONF_NUMERIC'!V$5:V$27)/MAX(1,COUNTIF('93_TARGET_MEMBERSHIP'!AP$5:AP$27,1)))*(SUMPRODUCT(--('93_TARGET_MEMBERSHIP'!AP$5:AP$27=-1),'92_FEATURE_CONF_NUMERIC'!V$5:V$27)/MAX(1,COUNTIF('93_TARGET_MEMBERSHIP'!AP$5:AP$27,-1)))))</f>
        <v/>
      </c>
      <c r="V45" s="34">
        <f>IF($B45="ABSOLUTE SEMANTIC",'19_FEATURE_CONFIDENCE'!$D$24,SQRT((SUMPRODUCT(--('93_TARGET_MEMBERSHIP'!AP$5:AP$27=1),'92_FEATURE_CONF_NUMERIC'!W$5:W$27)/MAX(1,COUNTIF('93_TARGET_MEMBERSHIP'!AP$5:AP$27,1)))*(SUMPRODUCT(--('93_TARGET_MEMBERSHIP'!AP$5:AP$27=-1),'92_FEATURE_CONF_NUMERIC'!W$5:W$27)/MAX(1,COUNTIF('93_TARGET_MEMBERSHIP'!AP$5:AP$27,-1)))))</f>
        <v/>
      </c>
      <c r="W45" s="34">
        <f>IF($B45="ABSOLUTE SEMANTIC",'19_FEATURE_CONFIDENCE'!$D$25,SQRT((SUMPRODUCT(--('93_TARGET_MEMBERSHIP'!AP$5:AP$27=1),'92_FEATURE_CONF_NUMERIC'!X$5:X$27)/MAX(1,COUNTIF('93_TARGET_MEMBERSHIP'!AP$5:AP$27,1)))*(SUMPRODUCT(--('93_TARGET_MEMBERSHIP'!AP$5:AP$27=-1),'92_FEATURE_CONF_NUMERIC'!X$5:X$27)/MAX(1,COUNTIF('93_TARGET_MEMBERSHIP'!AP$5:AP$27,-1)))))</f>
        <v/>
      </c>
      <c r="X45" s="34">
        <f>IF($B45="ABSOLUTE SEMANTIC",'19_FEATURE_CONFIDENCE'!$D$26,SQRT((SUMPRODUCT(--('93_TARGET_MEMBERSHIP'!AP$5:AP$27=1),'92_FEATURE_CONF_NUMERIC'!Y$5:Y$27)/MAX(1,COUNTIF('93_TARGET_MEMBERSHIP'!AP$5:AP$27,1)))*(SUMPRODUCT(--('93_TARGET_MEMBERSHIP'!AP$5:AP$27=-1),'92_FEATURE_CONF_NUMERIC'!Y$5:Y$27)/MAX(1,COUNTIF('93_TARGET_MEMBERSHIP'!AP$5:AP$27,-1)))))</f>
        <v/>
      </c>
      <c r="Y45" s="34">
        <f>IF($B45="ABSOLUTE SEMANTIC",'19_FEATURE_CONFIDENCE'!$D$27,SQRT((SUMPRODUCT(--('93_TARGET_MEMBERSHIP'!AP$5:AP$27=1),'92_FEATURE_CONF_NUMERIC'!Z$5:Z$27)/MAX(1,COUNTIF('93_TARGET_MEMBERSHIP'!AP$5:AP$27,1)))*(SUMPRODUCT(--('93_TARGET_MEMBERSHIP'!AP$5:AP$27=-1),'92_FEATURE_CONF_NUMERIC'!Z$5:Z$27)/MAX(1,COUNTIF('93_TARGET_MEMBERSHIP'!AP$5:AP$27,-1)))))</f>
        <v/>
      </c>
      <c r="Z45" s="34">
        <f>IF($B45="ABSOLUTE SEMANTIC",'19_FEATURE_CONFIDENCE'!$D$28,SQRT((SUMPRODUCT(--('93_TARGET_MEMBERSHIP'!AP$5:AP$27=1),'92_FEATURE_CONF_NUMERIC'!AA$5:AA$27)/MAX(1,COUNTIF('93_TARGET_MEMBERSHIP'!AP$5:AP$27,1)))*(SUMPRODUCT(--('93_TARGET_MEMBERSHIP'!AP$5:AP$27=-1),'92_FEATURE_CONF_NUMERIC'!AA$5:AA$27)/MAX(1,COUNTIF('93_TARGET_MEMBERSHIP'!AP$5:AP$27,-1)))))</f>
        <v/>
      </c>
      <c r="AA45" s="34">
        <f>IF($B45="ABSOLUTE SEMANTIC",'19_FEATURE_CONFIDENCE'!$D$29,SQRT((SUMPRODUCT(--('93_TARGET_MEMBERSHIP'!AP$5:AP$27=1),'92_FEATURE_CONF_NUMERIC'!AB$5:AB$27)/MAX(1,COUNTIF('93_TARGET_MEMBERSHIP'!AP$5:AP$27,1)))*(SUMPRODUCT(--('93_TARGET_MEMBERSHIP'!AP$5:AP$27=-1),'92_FEATURE_CONF_NUMERIC'!AB$5:AB$27)/MAX(1,COUNTIF('93_TARGET_MEMBERSHIP'!AP$5:AP$27,-1)))))</f>
        <v/>
      </c>
      <c r="AB45" s="34">
        <f>IF($B45="ABSOLUTE SEMANTIC",'19_FEATURE_CONFIDENCE'!$D$30,SQRT((SUMPRODUCT(--('93_TARGET_MEMBERSHIP'!AP$5:AP$27=1),'92_FEATURE_CONF_NUMERIC'!AC$5:AC$27)/MAX(1,COUNTIF('93_TARGET_MEMBERSHIP'!AP$5:AP$27,1)))*(SUMPRODUCT(--('93_TARGET_MEMBERSHIP'!AP$5:AP$27=-1),'92_FEATURE_CONF_NUMERIC'!AC$5:AC$27)/MAX(1,COUNTIF('93_TARGET_MEMBERSHIP'!AP$5:AP$27,-1)))))</f>
        <v/>
      </c>
      <c r="AC45" s="34">
        <f>IF($B45="ABSOLUTE SEMANTIC",'19_FEATURE_CONFIDENCE'!$D$31,SQRT((SUMPRODUCT(--('93_TARGET_MEMBERSHIP'!AP$5:AP$27=1),'92_FEATURE_CONF_NUMERIC'!AD$5:AD$27)/MAX(1,COUNTIF('93_TARGET_MEMBERSHIP'!AP$5:AP$27,1)))*(SUMPRODUCT(--('93_TARGET_MEMBERSHIP'!AP$5:AP$27=-1),'92_FEATURE_CONF_NUMERIC'!AD$5:AD$27)/MAX(1,COUNTIF('93_TARGET_MEMBERSHIP'!AP$5:AP$27,-1)))))</f>
        <v/>
      </c>
      <c r="AD45" s="34">
        <f>IF($B45="ABSOLUTE SEMANTIC",'19_FEATURE_CONFIDENCE'!$D$32,SQRT((SUMPRODUCT(--('93_TARGET_MEMBERSHIP'!AP$5:AP$27=1),'92_FEATURE_CONF_NUMERIC'!AE$5:AE$27)/MAX(1,COUNTIF('93_TARGET_MEMBERSHIP'!AP$5:AP$27,1)))*(SUMPRODUCT(--('93_TARGET_MEMBERSHIP'!AP$5:AP$27=-1),'92_FEATURE_CONF_NUMERIC'!AE$5:AE$27)/MAX(1,COUNTIF('93_TARGET_MEMBERSHIP'!AP$5:AP$27,-1)))))</f>
        <v/>
      </c>
      <c r="AE45" s="34">
        <f>IF($B45="ABSOLUTE SEMANTIC",'19_FEATURE_CONFIDENCE'!$D$33,SQRT((SUMPRODUCT(--('93_TARGET_MEMBERSHIP'!AP$5:AP$27=1),'92_FEATURE_CONF_NUMERIC'!AF$5:AF$27)/MAX(1,COUNTIF('93_TARGET_MEMBERSHIP'!AP$5:AP$27,1)))*(SUMPRODUCT(--('93_TARGET_MEMBERSHIP'!AP$5:AP$27=-1),'92_FEATURE_CONF_NUMERIC'!AF$5:AF$27)/MAX(1,COUNTIF('93_TARGET_MEMBERSHIP'!AP$5:AP$27,-1)))))</f>
        <v/>
      </c>
      <c r="AF45" s="34">
        <f>IF($B45="ABSOLUTE SEMANTIC",'19_FEATURE_CONFIDENCE'!$D$34,SQRT((SUMPRODUCT(--('93_TARGET_MEMBERSHIP'!AP$5:AP$27=1),'92_FEATURE_CONF_NUMERIC'!AG$5:AG$27)/MAX(1,COUNTIF('93_TARGET_MEMBERSHIP'!AP$5:AP$27,1)))*(SUMPRODUCT(--('93_TARGET_MEMBERSHIP'!AP$5:AP$27=-1),'92_FEATURE_CONF_NUMERIC'!AG$5:AG$27)/MAX(1,COUNTIF('93_TARGET_MEMBERSHIP'!AP$5:AP$27,-1)))))</f>
        <v/>
      </c>
      <c r="AG45" s="34">
        <f>IF($B45="ABSOLUTE SEMANTIC",'19_FEATURE_CONFIDENCE'!$D$35,SQRT((SUMPRODUCT(--('93_TARGET_MEMBERSHIP'!AP$5:AP$27=1),'92_FEATURE_CONF_NUMERIC'!AH$5:AH$27)/MAX(1,COUNTIF('93_TARGET_MEMBERSHIP'!AP$5:AP$27,1)))*(SUMPRODUCT(--('93_TARGET_MEMBERSHIP'!AP$5:AP$27=-1),'92_FEATURE_CONF_NUMERIC'!AH$5:AH$27)/MAX(1,COUNTIF('93_TARGET_MEMBERSHIP'!AP$5:AP$27,-1)))))</f>
        <v/>
      </c>
      <c r="AH45" s="34">
        <f>IF($B45="ABSOLUTE SEMANTIC",'19_FEATURE_CONFIDENCE'!$D$36,SQRT((SUMPRODUCT(--('93_TARGET_MEMBERSHIP'!AP$5:AP$27=1),'92_FEATURE_CONF_NUMERIC'!AI$5:AI$27)/MAX(1,COUNTIF('93_TARGET_MEMBERSHIP'!AP$5:AP$27,1)))*(SUMPRODUCT(--('93_TARGET_MEMBERSHIP'!AP$5:AP$27=-1),'92_FEATURE_CONF_NUMERIC'!AI$5:AI$27)/MAX(1,COUNTIF('93_TARGET_MEMBERSHIP'!AP$5:AP$27,-1)))))</f>
        <v/>
      </c>
      <c r="AI45" s="34">
        <f>IF($B45="ABSOLUTE SEMANTIC",'19_FEATURE_CONFIDENCE'!$D$37,SQRT((SUMPRODUCT(--('93_TARGET_MEMBERSHIP'!AP$5:AP$27=1),'92_FEATURE_CONF_NUMERIC'!AJ$5:AJ$27)/MAX(1,COUNTIF('93_TARGET_MEMBERSHIP'!AP$5:AP$27,1)))*(SUMPRODUCT(--('93_TARGET_MEMBERSHIP'!AP$5:AP$27=-1),'92_FEATURE_CONF_NUMERIC'!AJ$5:AJ$27)/MAX(1,COUNTIF('93_TARGET_MEMBERSHIP'!AP$5:AP$27,-1)))))</f>
        <v/>
      </c>
      <c r="AJ45" s="34">
        <f>IF($B45="ABSOLUTE SEMANTIC",'19_FEATURE_CONFIDENCE'!$D$38,SQRT((SUMPRODUCT(--('93_TARGET_MEMBERSHIP'!AP$5:AP$27=1),'92_FEATURE_CONF_NUMERIC'!AK$5:AK$27)/MAX(1,COUNTIF('93_TARGET_MEMBERSHIP'!AP$5:AP$27,1)))*(SUMPRODUCT(--('93_TARGET_MEMBERSHIP'!AP$5:AP$27=-1),'92_FEATURE_CONF_NUMERIC'!AK$5:AK$27)/MAX(1,COUNTIF('93_TARGET_MEMBERSHIP'!AP$5:AP$27,-1)))))</f>
        <v/>
      </c>
      <c r="AK45" s="34">
        <f>IF($B45="ABSOLUTE SEMANTIC",'19_FEATURE_CONFIDENCE'!$D$39,SQRT((SUMPRODUCT(--('93_TARGET_MEMBERSHIP'!AP$5:AP$27=1),'92_FEATURE_CONF_NUMERIC'!AL$5:AL$27)/MAX(1,COUNTIF('93_TARGET_MEMBERSHIP'!AP$5:AP$27,1)))*(SUMPRODUCT(--('93_TARGET_MEMBERSHIP'!AP$5:AP$27=-1),'92_FEATURE_CONF_NUMERIC'!AL$5:AL$27)/MAX(1,COUNTIF('93_TARGET_MEMBERSHIP'!AP$5:AP$27,-1)))))</f>
        <v/>
      </c>
      <c r="AL45" s="34">
        <f>IF($B45="ABSOLUTE SEMANTIC",'19_FEATURE_CONFIDENCE'!$D$40,SQRT((SUMPRODUCT(--('93_TARGET_MEMBERSHIP'!AP$5:AP$27=1),'92_FEATURE_CONF_NUMERIC'!AM$5:AM$27)/MAX(1,COUNTIF('93_TARGET_MEMBERSHIP'!AP$5:AP$27,1)))*(SUMPRODUCT(--('93_TARGET_MEMBERSHIP'!AP$5:AP$27=-1),'92_FEATURE_CONF_NUMERIC'!AM$5:AM$27)/MAX(1,COUNTIF('93_TARGET_MEMBERSHIP'!AP$5:AP$27,-1)))))</f>
        <v/>
      </c>
      <c r="AM45" s="34">
        <f>IF($B45="ABSOLUTE SEMANTIC",'19_FEATURE_CONFIDENCE'!$D$41,SQRT((SUMPRODUCT(--('93_TARGET_MEMBERSHIP'!AP$5:AP$27=1),'92_FEATURE_CONF_NUMERIC'!AN$5:AN$27)/MAX(1,COUNTIF('93_TARGET_MEMBERSHIP'!AP$5:AP$27,1)))*(SUMPRODUCT(--('93_TARGET_MEMBERSHIP'!AP$5:AP$27=-1),'92_FEATURE_CONF_NUMERIC'!AN$5:AN$27)/MAX(1,COUNTIF('93_TARGET_MEMBERSHIP'!AP$5:AP$27,-1)))))</f>
        <v/>
      </c>
      <c r="AN45" s="34">
        <f>IF($B45="ABSOLUTE SEMANTIC",'19_FEATURE_CONFIDENCE'!$D$42,SQRT((SUMPRODUCT(--('93_TARGET_MEMBERSHIP'!AP$5:AP$27=1),'92_FEATURE_CONF_NUMERIC'!AO$5:AO$27)/MAX(1,COUNTIF('93_TARGET_MEMBERSHIP'!AP$5:AP$27,1)))*(SUMPRODUCT(--('93_TARGET_MEMBERSHIP'!AP$5:AP$27=-1),'92_FEATURE_CONF_NUMERIC'!AO$5:AO$27)/MAX(1,COUNTIF('93_TARGET_MEMBERSHIP'!AP$5:AP$27,-1)))))</f>
        <v/>
      </c>
      <c r="AO45" s="34">
        <f>IF($B45="ABSOLUTE SEMANTIC",'19_FEATURE_CONFIDENCE'!$D$43,SQRT((SUMPRODUCT(--('93_TARGET_MEMBERSHIP'!AP$5:AP$27=1),'92_FEATURE_CONF_NUMERIC'!AP$5:AP$27)/MAX(1,COUNTIF('93_TARGET_MEMBERSHIP'!AP$5:AP$27,1)))*(SUMPRODUCT(--('93_TARGET_MEMBERSHIP'!AP$5:AP$27=-1),'92_FEATURE_CONF_NUMERIC'!AP$5:AP$27)/MAX(1,COUNTIF('93_TARGET_MEMBERSHIP'!AP$5:AP$27,-1)))))</f>
        <v/>
      </c>
      <c r="AP45" s="34">
        <f>IF($B45="ABSOLUTE SEMANTIC",'19_FEATURE_CONFIDENCE'!$D$44,SQRT((SUMPRODUCT(--('93_TARGET_MEMBERSHIP'!AP$5:AP$27=1),'92_FEATURE_CONF_NUMERIC'!AQ$5:AQ$27)/MAX(1,COUNTIF('93_TARGET_MEMBERSHIP'!AP$5:AP$27,1)))*(SUMPRODUCT(--('93_TARGET_MEMBERSHIP'!AP$5:AP$27=-1),'92_FEATURE_CONF_NUMERIC'!AQ$5:AQ$27)/MAX(1,COUNTIF('93_TARGET_MEMBERSHIP'!AP$5:AP$27,-1)))))</f>
        <v/>
      </c>
      <c r="AQ45" s="34">
        <f>IF($B45="ABSOLUTE SEMANTIC",'19_FEATURE_CONFIDENCE'!$D$45,SQRT((SUMPRODUCT(--('93_TARGET_MEMBERSHIP'!AP$5:AP$27=1),'92_FEATURE_CONF_NUMERIC'!AR$5:AR$27)/MAX(1,COUNTIF('93_TARGET_MEMBERSHIP'!AP$5:AP$27,1)))*(SUMPRODUCT(--('93_TARGET_MEMBERSHIP'!AP$5:AP$27=-1),'92_FEATURE_CONF_NUMERIC'!AR$5:AR$27)/MAX(1,COUNTIF('93_TARGET_MEMBERSHIP'!AP$5:AP$27,-1)))))</f>
        <v/>
      </c>
    </row>
    <row r="46" ht="36" customHeight="1">
      <c r="A46" s="34">
        <f>'06_ITEM_POLE_MODEL'!A46</f>
        <v/>
      </c>
      <c r="B46" s="34">
        <f>'06_ITEM_POLE_MODEL'!E46</f>
        <v/>
      </c>
      <c r="C46" s="34">
        <f>IF($B46="ABSOLUTE SEMANTIC",'19_FEATURE_CONFIDENCE'!$D$5,SQRT((SUMPRODUCT(--('93_TARGET_MEMBERSHIP'!AQ$5:AQ$27=1),'92_FEATURE_CONF_NUMERIC'!D$5:D$27)/MAX(1,COUNTIF('93_TARGET_MEMBERSHIP'!AQ$5:AQ$27,1)))*(SUMPRODUCT(--('93_TARGET_MEMBERSHIP'!AQ$5:AQ$27=-1),'92_FEATURE_CONF_NUMERIC'!D$5:D$27)/MAX(1,COUNTIF('93_TARGET_MEMBERSHIP'!AQ$5:AQ$27,-1)))))</f>
        <v/>
      </c>
      <c r="D46" s="34">
        <f>IF($B46="ABSOLUTE SEMANTIC",'19_FEATURE_CONFIDENCE'!$D$6,SQRT((SUMPRODUCT(--('93_TARGET_MEMBERSHIP'!AQ$5:AQ$27=1),'92_FEATURE_CONF_NUMERIC'!E$5:E$27)/MAX(1,COUNTIF('93_TARGET_MEMBERSHIP'!AQ$5:AQ$27,1)))*(SUMPRODUCT(--('93_TARGET_MEMBERSHIP'!AQ$5:AQ$27=-1),'92_FEATURE_CONF_NUMERIC'!E$5:E$27)/MAX(1,COUNTIF('93_TARGET_MEMBERSHIP'!AQ$5:AQ$27,-1)))))</f>
        <v/>
      </c>
      <c r="E46" s="34">
        <f>IF($B46="ABSOLUTE SEMANTIC",'19_FEATURE_CONFIDENCE'!$D$7,SQRT((SUMPRODUCT(--('93_TARGET_MEMBERSHIP'!AQ$5:AQ$27=1),'92_FEATURE_CONF_NUMERIC'!F$5:F$27)/MAX(1,COUNTIF('93_TARGET_MEMBERSHIP'!AQ$5:AQ$27,1)))*(SUMPRODUCT(--('93_TARGET_MEMBERSHIP'!AQ$5:AQ$27=-1),'92_FEATURE_CONF_NUMERIC'!F$5:F$27)/MAX(1,COUNTIF('93_TARGET_MEMBERSHIP'!AQ$5:AQ$27,-1)))))</f>
        <v/>
      </c>
      <c r="F46" s="34">
        <f>IF($B46="ABSOLUTE SEMANTIC",'19_FEATURE_CONFIDENCE'!$D$8,SQRT((SUMPRODUCT(--('93_TARGET_MEMBERSHIP'!AQ$5:AQ$27=1),'92_FEATURE_CONF_NUMERIC'!G$5:G$27)/MAX(1,COUNTIF('93_TARGET_MEMBERSHIP'!AQ$5:AQ$27,1)))*(SUMPRODUCT(--('93_TARGET_MEMBERSHIP'!AQ$5:AQ$27=-1),'92_FEATURE_CONF_NUMERIC'!G$5:G$27)/MAX(1,COUNTIF('93_TARGET_MEMBERSHIP'!AQ$5:AQ$27,-1)))))</f>
        <v/>
      </c>
      <c r="G46" s="34">
        <f>IF($B46="ABSOLUTE SEMANTIC",'19_FEATURE_CONFIDENCE'!$D$9,SQRT((SUMPRODUCT(--('93_TARGET_MEMBERSHIP'!AQ$5:AQ$27=1),'92_FEATURE_CONF_NUMERIC'!H$5:H$27)/MAX(1,COUNTIF('93_TARGET_MEMBERSHIP'!AQ$5:AQ$27,1)))*(SUMPRODUCT(--('93_TARGET_MEMBERSHIP'!AQ$5:AQ$27=-1),'92_FEATURE_CONF_NUMERIC'!H$5:H$27)/MAX(1,COUNTIF('93_TARGET_MEMBERSHIP'!AQ$5:AQ$27,-1)))))</f>
        <v/>
      </c>
      <c r="H46" s="34">
        <f>IF($B46="ABSOLUTE SEMANTIC",'19_FEATURE_CONFIDENCE'!$D$10,SQRT((SUMPRODUCT(--('93_TARGET_MEMBERSHIP'!AQ$5:AQ$27=1),'92_FEATURE_CONF_NUMERIC'!I$5:I$27)/MAX(1,COUNTIF('93_TARGET_MEMBERSHIP'!AQ$5:AQ$27,1)))*(SUMPRODUCT(--('93_TARGET_MEMBERSHIP'!AQ$5:AQ$27=-1),'92_FEATURE_CONF_NUMERIC'!I$5:I$27)/MAX(1,COUNTIF('93_TARGET_MEMBERSHIP'!AQ$5:AQ$27,-1)))))</f>
        <v/>
      </c>
      <c r="I46" s="34">
        <f>IF($B46="ABSOLUTE SEMANTIC",'19_FEATURE_CONFIDENCE'!$D$11,SQRT((SUMPRODUCT(--('93_TARGET_MEMBERSHIP'!AQ$5:AQ$27=1),'92_FEATURE_CONF_NUMERIC'!J$5:J$27)/MAX(1,COUNTIF('93_TARGET_MEMBERSHIP'!AQ$5:AQ$27,1)))*(SUMPRODUCT(--('93_TARGET_MEMBERSHIP'!AQ$5:AQ$27=-1),'92_FEATURE_CONF_NUMERIC'!J$5:J$27)/MAX(1,COUNTIF('93_TARGET_MEMBERSHIP'!AQ$5:AQ$27,-1)))))</f>
        <v/>
      </c>
      <c r="J46" s="34">
        <f>IF($B46="ABSOLUTE SEMANTIC",'19_FEATURE_CONFIDENCE'!$D$12,SQRT((SUMPRODUCT(--('93_TARGET_MEMBERSHIP'!AQ$5:AQ$27=1),'92_FEATURE_CONF_NUMERIC'!K$5:K$27)/MAX(1,COUNTIF('93_TARGET_MEMBERSHIP'!AQ$5:AQ$27,1)))*(SUMPRODUCT(--('93_TARGET_MEMBERSHIP'!AQ$5:AQ$27=-1),'92_FEATURE_CONF_NUMERIC'!K$5:K$27)/MAX(1,COUNTIF('93_TARGET_MEMBERSHIP'!AQ$5:AQ$27,-1)))))</f>
        <v/>
      </c>
      <c r="K46" s="34">
        <f>IF($B46="ABSOLUTE SEMANTIC",'19_FEATURE_CONFIDENCE'!$D$13,SQRT((SUMPRODUCT(--('93_TARGET_MEMBERSHIP'!AQ$5:AQ$27=1),'92_FEATURE_CONF_NUMERIC'!L$5:L$27)/MAX(1,COUNTIF('93_TARGET_MEMBERSHIP'!AQ$5:AQ$27,1)))*(SUMPRODUCT(--('93_TARGET_MEMBERSHIP'!AQ$5:AQ$27=-1),'92_FEATURE_CONF_NUMERIC'!L$5:L$27)/MAX(1,COUNTIF('93_TARGET_MEMBERSHIP'!AQ$5:AQ$27,-1)))))</f>
        <v/>
      </c>
      <c r="L46" s="34">
        <f>IF($B46="ABSOLUTE SEMANTIC",'19_FEATURE_CONFIDENCE'!$D$14,SQRT((SUMPRODUCT(--('93_TARGET_MEMBERSHIP'!AQ$5:AQ$27=1),'92_FEATURE_CONF_NUMERIC'!M$5:M$27)/MAX(1,COUNTIF('93_TARGET_MEMBERSHIP'!AQ$5:AQ$27,1)))*(SUMPRODUCT(--('93_TARGET_MEMBERSHIP'!AQ$5:AQ$27=-1),'92_FEATURE_CONF_NUMERIC'!M$5:M$27)/MAX(1,COUNTIF('93_TARGET_MEMBERSHIP'!AQ$5:AQ$27,-1)))))</f>
        <v/>
      </c>
      <c r="M46" s="34">
        <f>IF($B46="ABSOLUTE SEMANTIC",'19_FEATURE_CONFIDENCE'!$D$15,SQRT((SUMPRODUCT(--('93_TARGET_MEMBERSHIP'!AQ$5:AQ$27=1),'92_FEATURE_CONF_NUMERIC'!N$5:N$27)/MAX(1,COUNTIF('93_TARGET_MEMBERSHIP'!AQ$5:AQ$27,1)))*(SUMPRODUCT(--('93_TARGET_MEMBERSHIP'!AQ$5:AQ$27=-1),'92_FEATURE_CONF_NUMERIC'!N$5:N$27)/MAX(1,COUNTIF('93_TARGET_MEMBERSHIP'!AQ$5:AQ$27,-1)))))</f>
        <v/>
      </c>
      <c r="N46" s="34">
        <f>IF($B46="ABSOLUTE SEMANTIC",'19_FEATURE_CONFIDENCE'!$D$16,SQRT((SUMPRODUCT(--('93_TARGET_MEMBERSHIP'!AQ$5:AQ$27=1),'92_FEATURE_CONF_NUMERIC'!O$5:O$27)/MAX(1,COUNTIF('93_TARGET_MEMBERSHIP'!AQ$5:AQ$27,1)))*(SUMPRODUCT(--('93_TARGET_MEMBERSHIP'!AQ$5:AQ$27=-1),'92_FEATURE_CONF_NUMERIC'!O$5:O$27)/MAX(1,COUNTIF('93_TARGET_MEMBERSHIP'!AQ$5:AQ$27,-1)))))</f>
        <v/>
      </c>
      <c r="O46" s="34">
        <f>IF($B46="ABSOLUTE SEMANTIC",'19_FEATURE_CONFIDENCE'!$D$17,SQRT((SUMPRODUCT(--('93_TARGET_MEMBERSHIP'!AQ$5:AQ$27=1),'92_FEATURE_CONF_NUMERIC'!P$5:P$27)/MAX(1,COUNTIF('93_TARGET_MEMBERSHIP'!AQ$5:AQ$27,1)))*(SUMPRODUCT(--('93_TARGET_MEMBERSHIP'!AQ$5:AQ$27=-1),'92_FEATURE_CONF_NUMERIC'!P$5:P$27)/MAX(1,COUNTIF('93_TARGET_MEMBERSHIP'!AQ$5:AQ$27,-1)))))</f>
        <v/>
      </c>
      <c r="P46" s="34">
        <f>IF($B46="ABSOLUTE SEMANTIC",'19_FEATURE_CONFIDENCE'!$D$18,SQRT((SUMPRODUCT(--('93_TARGET_MEMBERSHIP'!AQ$5:AQ$27=1),'92_FEATURE_CONF_NUMERIC'!Q$5:Q$27)/MAX(1,COUNTIF('93_TARGET_MEMBERSHIP'!AQ$5:AQ$27,1)))*(SUMPRODUCT(--('93_TARGET_MEMBERSHIP'!AQ$5:AQ$27=-1),'92_FEATURE_CONF_NUMERIC'!Q$5:Q$27)/MAX(1,COUNTIF('93_TARGET_MEMBERSHIP'!AQ$5:AQ$27,-1)))))</f>
        <v/>
      </c>
      <c r="Q46" s="34">
        <f>IF($B46="ABSOLUTE SEMANTIC",'19_FEATURE_CONFIDENCE'!$D$19,SQRT((SUMPRODUCT(--('93_TARGET_MEMBERSHIP'!AQ$5:AQ$27=1),'92_FEATURE_CONF_NUMERIC'!R$5:R$27)/MAX(1,COUNTIF('93_TARGET_MEMBERSHIP'!AQ$5:AQ$27,1)))*(SUMPRODUCT(--('93_TARGET_MEMBERSHIP'!AQ$5:AQ$27=-1),'92_FEATURE_CONF_NUMERIC'!R$5:R$27)/MAX(1,COUNTIF('93_TARGET_MEMBERSHIP'!AQ$5:AQ$27,-1)))))</f>
        <v/>
      </c>
      <c r="R46" s="34">
        <f>IF($B46="ABSOLUTE SEMANTIC",'19_FEATURE_CONFIDENCE'!$D$20,SQRT((SUMPRODUCT(--('93_TARGET_MEMBERSHIP'!AQ$5:AQ$27=1),'92_FEATURE_CONF_NUMERIC'!S$5:S$27)/MAX(1,COUNTIF('93_TARGET_MEMBERSHIP'!AQ$5:AQ$27,1)))*(SUMPRODUCT(--('93_TARGET_MEMBERSHIP'!AQ$5:AQ$27=-1),'92_FEATURE_CONF_NUMERIC'!S$5:S$27)/MAX(1,COUNTIF('93_TARGET_MEMBERSHIP'!AQ$5:AQ$27,-1)))))</f>
        <v/>
      </c>
      <c r="S46" s="34">
        <f>IF($B46="ABSOLUTE SEMANTIC",'19_FEATURE_CONFIDENCE'!$D$21,SQRT((SUMPRODUCT(--('93_TARGET_MEMBERSHIP'!AQ$5:AQ$27=1),'92_FEATURE_CONF_NUMERIC'!T$5:T$27)/MAX(1,COUNTIF('93_TARGET_MEMBERSHIP'!AQ$5:AQ$27,1)))*(SUMPRODUCT(--('93_TARGET_MEMBERSHIP'!AQ$5:AQ$27=-1),'92_FEATURE_CONF_NUMERIC'!T$5:T$27)/MAX(1,COUNTIF('93_TARGET_MEMBERSHIP'!AQ$5:AQ$27,-1)))))</f>
        <v/>
      </c>
      <c r="T46" s="34">
        <f>IF($B46="ABSOLUTE SEMANTIC",'19_FEATURE_CONFIDENCE'!$D$22,SQRT((SUMPRODUCT(--('93_TARGET_MEMBERSHIP'!AQ$5:AQ$27=1),'92_FEATURE_CONF_NUMERIC'!U$5:U$27)/MAX(1,COUNTIF('93_TARGET_MEMBERSHIP'!AQ$5:AQ$27,1)))*(SUMPRODUCT(--('93_TARGET_MEMBERSHIP'!AQ$5:AQ$27=-1),'92_FEATURE_CONF_NUMERIC'!U$5:U$27)/MAX(1,COUNTIF('93_TARGET_MEMBERSHIP'!AQ$5:AQ$27,-1)))))</f>
        <v/>
      </c>
      <c r="U46" s="34">
        <f>IF($B46="ABSOLUTE SEMANTIC",'19_FEATURE_CONFIDENCE'!$D$23,SQRT((SUMPRODUCT(--('93_TARGET_MEMBERSHIP'!AQ$5:AQ$27=1),'92_FEATURE_CONF_NUMERIC'!V$5:V$27)/MAX(1,COUNTIF('93_TARGET_MEMBERSHIP'!AQ$5:AQ$27,1)))*(SUMPRODUCT(--('93_TARGET_MEMBERSHIP'!AQ$5:AQ$27=-1),'92_FEATURE_CONF_NUMERIC'!V$5:V$27)/MAX(1,COUNTIF('93_TARGET_MEMBERSHIP'!AQ$5:AQ$27,-1)))))</f>
        <v/>
      </c>
      <c r="V46" s="34">
        <f>IF($B46="ABSOLUTE SEMANTIC",'19_FEATURE_CONFIDENCE'!$D$24,SQRT((SUMPRODUCT(--('93_TARGET_MEMBERSHIP'!AQ$5:AQ$27=1),'92_FEATURE_CONF_NUMERIC'!W$5:W$27)/MAX(1,COUNTIF('93_TARGET_MEMBERSHIP'!AQ$5:AQ$27,1)))*(SUMPRODUCT(--('93_TARGET_MEMBERSHIP'!AQ$5:AQ$27=-1),'92_FEATURE_CONF_NUMERIC'!W$5:W$27)/MAX(1,COUNTIF('93_TARGET_MEMBERSHIP'!AQ$5:AQ$27,-1)))))</f>
        <v/>
      </c>
      <c r="W46" s="34">
        <f>IF($B46="ABSOLUTE SEMANTIC",'19_FEATURE_CONFIDENCE'!$D$25,SQRT((SUMPRODUCT(--('93_TARGET_MEMBERSHIP'!AQ$5:AQ$27=1),'92_FEATURE_CONF_NUMERIC'!X$5:X$27)/MAX(1,COUNTIF('93_TARGET_MEMBERSHIP'!AQ$5:AQ$27,1)))*(SUMPRODUCT(--('93_TARGET_MEMBERSHIP'!AQ$5:AQ$27=-1),'92_FEATURE_CONF_NUMERIC'!X$5:X$27)/MAX(1,COUNTIF('93_TARGET_MEMBERSHIP'!AQ$5:AQ$27,-1)))))</f>
        <v/>
      </c>
      <c r="X46" s="34">
        <f>IF($B46="ABSOLUTE SEMANTIC",'19_FEATURE_CONFIDENCE'!$D$26,SQRT((SUMPRODUCT(--('93_TARGET_MEMBERSHIP'!AQ$5:AQ$27=1),'92_FEATURE_CONF_NUMERIC'!Y$5:Y$27)/MAX(1,COUNTIF('93_TARGET_MEMBERSHIP'!AQ$5:AQ$27,1)))*(SUMPRODUCT(--('93_TARGET_MEMBERSHIP'!AQ$5:AQ$27=-1),'92_FEATURE_CONF_NUMERIC'!Y$5:Y$27)/MAX(1,COUNTIF('93_TARGET_MEMBERSHIP'!AQ$5:AQ$27,-1)))))</f>
        <v/>
      </c>
      <c r="Y46" s="34">
        <f>IF($B46="ABSOLUTE SEMANTIC",'19_FEATURE_CONFIDENCE'!$D$27,SQRT((SUMPRODUCT(--('93_TARGET_MEMBERSHIP'!AQ$5:AQ$27=1),'92_FEATURE_CONF_NUMERIC'!Z$5:Z$27)/MAX(1,COUNTIF('93_TARGET_MEMBERSHIP'!AQ$5:AQ$27,1)))*(SUMPRODUCT(--('93_TARGET_MEMBERSHIP'!AQ$5:AQ$27=-1),'92_FEATURE_CONF_NUMERIC'!Z$5:Z$27)/MAX(1,COUNTIF('93_TARGET_MEMBERSHIP'!AQ$5:AQ$27,-1)))))</f>
        <v/>
      </c>
      <c r="Z46" s="34">
        <f>IF($B46="ABSOLUTE SEMANTIC",'19_FEATURE_CONFIDENCE'!$D$28,SQRT((SUMPRODUCT(--('93_TARGET_MEMBERSHIP'!AQ$5:AQ$27=1),'92_FEATURE_CONF_NUMERIC'!AA$5:AA$27)/MAX(1,COUNTIF('93_TARGET_MEMBERSHIP'!AQ$5:AQ$27,1)))*(SUMPRODUCT(--('93_TARGET_MEMBERSHIP'!AQ$5:AQ$27=-1),'92_FEATURE_CONF_NUMERIC'!AA$5:AA$27)/MAX(1,COUNTIF('93_TARGET_MEMBERSHIP'!AQ$5:AQ$27,-1)))))</f>
        <v/>
      </c>
      <c r="AA46" s="34">
        <f>IF($B46="ABSOLUTE SEMANTIC",'19_FEATURE_CONFIDENCE'!$D$29,SQRT((SUMPRODUCT(--('93_TARGET_MEMBERSHIP'!AQ$5:AQ$27=1),'92_FEATURE_CONF_NUMERIC'!AB$5:AB$27)/MAX(1,COUNTIF('93_TARGET_MEMBERSHIP'!AQ$5:AQ$27,1)))*(SUMPRODUCT(--('93_TARGET_MEMBERSHIP'!AQ$5:AQ$27=-1),'92_FEATURE_CONF_NUMERIC'!AB$5:AB$27)/MAX(1,COUNTIF('93_TARGET_MEMBERSHIP'!AQ$5:AQ$27,-1)))))</f>
        <v/>
      </c>
      <c r="AB46" s="34">
        <f>IF($B46="ABSOLUTE SEMANTIC",'19_FEATURE_CONFIDENCE'!$D$30,SQRT((SUMPRODUCT(--('93_TARGET_MEMBERSHIP'!AQ$5:AQ$27=1),'92_FEATURE_CONF_NUMERIC'!AC$5:AC$27)/MAX(1,COUNTIF('93_TARGET_MEMBERSHIP'!AQ$5:AQ$27,1)))*(SUMPRODUCT(--('93_TARGET_MEMBERSHIP'!AQ$5:AQ$27=-1),'92_FEATURE_CONF_NUMERIC'!AC$5:AC$27)/MAX(1,COUNTIF('93_TARGET_MEMBERSHIP'!AQ$5:AQ$27,-1)))))</f>
        <v/>
      </c>
      <c r="AC46" s="34">
        <f>IF($B46="ABSOLUTE SEMANTIC",'19_FEATURE_CONFIDENCE'!$D$31,SQRT((SUMPRODUCT(--('93_TARGET_MEMBERSHIP'!AQ$5:AQ$27=1),'92_FEATURE_CONF_NUMERIC'!AD$5:AD$27)/MAX(1,COUNTIF('93_TARGET_MEMBERSHIP'!AQ$5:AQ$27,1)))*(SUMPRODUCT(--('93_TARGET_MEMBERSHIP'!AQ$5:AQ$27=-1),'92_FEATURE_CONF_NUMERIC'!AD$5:AD$27)/MAX(1,COUNTIF('93_TARGET_MEMBERSHIP'!AQ$5:AQ$27,-1)))))</f>
        <v/>
      </c>
      <c r="AD46" s="34">
        <f>IF($B46="ABSOLUTE SEMANTIC",'19_FEATURE_CONFIDENCE'!$D$32,SQRT((SUMPRODUCT(--('93_TARGET_MEMBERSHIP'!AQ$5:AQ$27=1),'92_FEATURE_CONF_NUMERIC'!AE$5:AE$27)/MAX(1,COUNTIF('93_TARGET_MEMBERSHIP'!AQ$5:AQ$27,1)))*(SUMPRODUCT(--('93_TARGET_MEMBERSHIP'!AQ$5:AQ$27=-1),'92_FEATURE_CONF_NUMERIC'!AE$5:AE$27)/MAX(1,COUNTIF('93_TARGET_MEMBERSHIP'!AQ$5:AQ$27,-1)))))</f>
        <v/>
      </c>
      <c r="AE46" s="34">
        <f>IF($B46="ABSOLUTE SEMANTIC",'19_FEATURE_CONFIDENCE'!$D$33,SQRT((SUMPRODUCT(--('93_TARGET_MEMBERSHIP'!AQ$5:AQ$27=1),'92_FEATURE_CONF_NUMERIC'!AF$5:AF$27)/MAX(1,COUNTIF('93_TARGET_MEMBERSHIP'!AQ$5:AQ$27,1)))*(SUMPRODUCT(--('93_TARGET_MEMBERSHIP'!AQ$5:AQ$27=-1),'92_FEATURE_CONF_NUMERIC'!AF$5:AF$27)/MAX(1,COUNTIF('93_TARGET_MEMBERSHIP'!AQ$5:AQ$27,-1)))))</f>
        <v/>
      </c>
      <c r="AF46" s="34">
        <f>IF($B46="ABSOLUTE SEMANTIC",'19_FEATURE_CONFIDENCE'!$D$34,SQRT((SUMPRODUCT(--('93_TARGET_MEMBERSHIP'!AQ$5:AQ$27=1),'92_FEATURE_CONF_NUMERIC'!AG$5:AG$27)/MAX(1,COUNTIF('93_TARGET_MEMBERSHIP'!AQ$5:AQ$27,1)))*(SUMPRODUCT(--('93_TARGET_MEMBERSHIP'!AQ$5:AQ$27=-1),'92_FEATURE_CONF_NUMERIC'!AG$5:AG$27)/MAX(1,COUNTIF('93_TARGET_MEMBERSHIP'!AQ$5:AQ$27,-1)))))</f>
        <v/>
      </c>
      <c r="AG46" s="34">
        <f>IF($B46="ABSOLUTE SEMANTIC",'19_FEATURE_CONFIDENCE'!$D$35,SQRT((SUMPRODUCT(--('93_TARGET_MEMBERSHIP'!AQ$5:AQ$27=1),'92_FEATURE_CONF_NUMERIC'!AH$5:AH$27)/MAX(1,COUNTIF('93_TARGET_MEMBERSHIP'!AQ$5:AQ$27,1)))*(SUMPRODUCT(--('93_TARGET_MEMBERSHIP'!AQ$5:AQ$27=-1),'92_FEATURE_CONF_NUMERIC'!AH$5:AH$27)/MAX(1,COUNTIF('93_TARGET_MEMBERSHIP'!AQ$5:AQ$27,-1)))))</f>
        <v/>
      </c>
      <c r="AH46" s="34">
        <f>IF($B46="ABSOLUTE SEMANTIC",'19_FEATURE_CONFIDENCE'!$D$36,SQRT((SUMPRODUCT(--('93_TARGET_MEMBERSHIP'!AQ$5:AQ$27=1),'92_FEATURE_CONF_NUMERIC'!AI$5:AI$27)/MAX(1,COUNTIF('93_TARGET_MEMBERSHIP'!AQ$5:AQ$27,1)))*(SUMPRODUCT(--('93_TARGET_MEMBERSHIP'!AQ$5:AQ$27=-1),'92_FEATURE_CONF_NUMERIC'!AI$5:AI$27)/MAX(1,COUNTIF('93_TARGET_MEMBERSHIP'!AQ$5:AQ$27,-1)))))</f>
        <v/>
      </c>
      <c r="AI46" s="34">
        <f>IF($B46="ABSOLUTE SEMANTIC",'19_FEATURE_CONFIDENCE'!$D$37,SQRT((SUMPRODUCT(--('93_TARGET_MEMBERSHIP'!AQ$5:AQ$27=1),'92_FEATURE_CONF_NUMERIC'!AJ$5:AJ$27)/MAX(1,COUNTIF('93_TARGET_MEMBERSHIP'!AQ$5:AQ$27,1)))*(SUMPRODUCT(--('93_TARGET_MEMBERSHIP'!AQ$5:AQ$27=-1),'92_FEATURE_CONF_NUMERIC'!AJ$5:AJ$27)/MAX(1,COUNTIF('93_TARGET_MEMBERSHIP'!AQ$5:AQ$27,-1)))))</f>
        <v/>
      </c>
      <c r="AJ46" s="34">
        <f>IF($B46="ABSOLUTE SEMANTIC",'19_FEATURE_CONFIDENCE'!$D$38,SQRT((SUMPRODUCT(--('93_TARGET_MEMBERSHIP'!AQ$5:AQ$27=1),'92_FEATURE_CONF_NUMERIC'!AK$5:AK$27)/MAX(1,COUNTIF('93_TARGET_MEMBERSHIP'!AQ$5:AQ$27,1)))*(SUMPRODUCT(--('93_TARGET_MEMBERSHIP'!AQ$5:AQ$27=-1),'92_FEATURE_CONF_NUMERIC'!AK$5:AK$27)/MAX(1,COUNTIF('93_TARGET_MEMBERSHIP'!AQ$5:AQ$27,-1)))))</f>
        <v/>
      </c>
      <c r="AK46" s="34">
        <f>IF($B46="ABSOLUTE SEMANTIC",'19_FEATURE_CONFIDENCE'!$D$39,SQRT((SUMPRODUCT(--('93_TARGET_MEMBERSHIP'!AQ$5:AQ$27=1),'92_FEATURE_CONF_NUMERIC'!AL$5:AL$27)/MAX(1,COUNTIF('93_TARGET_MEMBERSHIP'!AQ$5:AQ$27,1)))*(SUMPRODUCT(--('93_TARGET_MEMBERSHIP'!AQ$5:AQ$27=-1),'92_FEATURE_CONF_NUMERIC'!AL$5:AL$27)/MAX(1,COUNTIF('93_TARGET_MEMBERSHIP'!AQ$5:AQ$27,-1)))))</f>
        <v/>
      </c>
      <c r="AL46" s="34">
        <f>IF($B46="ABSOLUTE SEMANTIC",'19_FEATURE_CONFIDENCE'!$D$40,SQRT((SUMPRODUCT(--('93_TARGET_MEMBERSHIP'!AQ$5:AQ$27=1),'92_FEATURE_CONF_NUMERIC'!AM$5:AM$27)/MAX(1,COUNTIF('93_TARGET_MEMBERSHIP'!AQ$5:AQ$27,1)))*(SUMPRODUCT(--('93_TARGET_MEMBERSHIP'!AQ$5:AQ$27=-1),'92_FEATURE_CONF_NUMERIC'!AM$5:AM$27)/MAX(1,COUNTIF('93_TARGET_MEMBERSHIP'!AQ$5:AQ$27,-1)))))</f>
        <v/>
      </c>
      <c r="AM46" s="34">
        <f>IF($B46="ABSOLUTE SEMANTIC",'19_FEATURE_CONFIDENCE'!$D$41,SQRT((SUMPRODUCT(--('93_TARGET_MEMBERSHIP'!AQ$5:AQ$27=1),'92_FEATURE_CONF_NUMERIC'!AN$5:AN$27)/MAX(1,COUNTIF('93_TARGET_MEMBERSHIP'!AQ$5:AQ$27,1)))*(SUMPRODUCT(--('93_TARGET_MEMBERSHIP'!AQ$5:AQ$27=-1),'92_FEATURE_CONF_NUMERIC'!AN$5:AN$27)/MAX(1,COUNTIF('93_TARGET_MEMBERSHIP'!AQ$5:AQ$27,-1)))))</f>
        <v/>
      </c>
      <c r="AN46" s="34">
        <f>IF($B46="ABSOLUTE SEMANTIC",'19_FEATURE_CONFIDENCE'!$D$42,SQRT((SUMPRODUCT(--('93_TARGET_MEMBERSHIP'!AQ$5:AQ$27=1),'92_FEATURE_CONF_NUMERIC'!AO$5:AO$27)/MAX(1,COUNTIF('93_TARGET_MEMBERSHIP'!AQ$5:AQ$27,1)))*(SUMPRODUCT(--('93_TARGET_MEMBERSHIP'!AQ$5:AQ$27=-1),'92_FEATURE_CONF_NUMERIC'!AO$5:AO$27)/MAX(1,COUNTIF('93_TARGET_MEMBERSHIP'!AQ$5:AQ$27,-1)))))</f>
        <v/>
      </c>
      <c r="AO46" s="34">
        <f>IF($B46="ABSOLUTE SEMANTIC",'19_FEATURE_CONFIDENCE'!$D$43,SQRT((SUMPRODUCT(--('93_TARGET_MEMBERSHIP'!AQ$5:AQ$27=1),'92_FEATURE_CONF_NUMERIC'!AP$5:AP$27)/MAX(1,COUNTIF('93_TARGET_MEMBERSHIP'!AQ$5:AQ$27,1)))*(SUMPRODUCT(--('93_TARGET_MEMBERSHIP'!AQ$5:AQ$27=-1),'92_FEATURE_CONF_NUMERIC'!AP$5:AP$27)/MAX(1,COUNTIF('93_TARGET_MEMBERSHIP'!AQ$5:AQ$27,-1)))))</f>
        <v/>
      </c>
      <c r="AP46" s="34">
        <f>IF($B46="ABSOLUTE SEMANTIC",'19_FEATURE_CONFIDENCE'!$D$44,SQRT((SUMPRODUCT(--('93_TARGET_MEMBERSHIP'!AQ$5:AQ$27=1),'92_FEATURE_CONF_NUMERIC'!AQ$5:AQ$27)/MAX(1,COUNTIF('93_TARGET_MEMBERSHIP'!AQ$5:AQ$27,1)))*(SUMPRODUCT(--('93_TARGET_MEMBERSHIP'!AQ$5:AQ$27=-1),'92_FEATURE_CONF_NUMERIC'!AQ$5:AQ$27)/MAX(1,COUNTIF('93_TARGET_MEMBERSHIP'!AQ$5:AQ$27,-1)))))</f>
        <v/>
      </c>
      <c r="AQ46" s="34">
        <f>IF($B46="ABSOLUTE SEMANTIC",'19_FEATURE_CONFIDENCE'!$D$45,SQRT((SUMPRODUCT(--('93_TARGET_MEMBERSHIP'!AQ$5:AQ$27=1),'92_FEATURE_CONF_NUMERIC'!AR$5:AR$27)/MAX(1,COUNTIF('93_TARGET_MEMBERSHIP'!AQ$5:AQ$27,1)))*(SUMPRODUCT(--('93_TARGET_MEMBERSHIP'!AQ$5:AQ$27=-1),'92_FEATURE_CONF_NUMERIC'!AR$5:AR$27)/MAX(1,COUNTIF('93_TARGET_MEMBERSHIP'!AQ$5:AQ$27,-1)))))</f>
        <v/>
      </c>
    </row>
    <row r="47" ht="36" customHeight="1">
      <c r="A47" s="34">
        <f>'06_ITEM_POLE_MODEL'!A47</f>
        <v/>
      </c>
      <c r="B47" s="34">
        <f>'06_ITEM_POLE_MODEL'!E47</f>
        <v/>
      </c>
      <c r="C47" s="34">
        <f>IF($B47="ABSOLUTE SEMANTIC",'19_FEATURE_CONFIDENCE'!$D$5,SQRT((SUMPRODUCT(--('93_TARGET_MEMBERSHIP'!AR$5:AR$27=1),'92_FEATURE_CONF_NUMERIC'!D$5:D$27)/MAX(1,COUNTIF('93_TARGET_MEMBERSHIP'!AR$5:AR$27,1)))*(SUMPRODUCT(--('93_TARGET_MEMBERSHIP'!AR$5:AR$27=-1),'92_FEATURE_CONF_NUMERIC'!D$5:D$27)/MAX(1,COUNTIF('93_TARGET_MEMBERSHIP'!AR$5:AR$27,-1)))))</f>
        <v/>
      </c>
      <c r="D47" s="34">
        <f>IF($B47="ABSOLUTE SEMANTIC",'19_FEATURE_CONFIDENCE'!$D$6,SQRT((SUMPRODUCT(--('93_TARGET_MEMBERSHIP'!AR$5:AR$27=1),'92_FEATURE_CONF_NUMERIC'!E$5:E$27)/MAX(1,COUNTIF('93_TARGET_MEMBERSHIP'!AR$5:AR$27,1)))*(SUMPRODUCT(--('93_TARGET_MEMBERSHIP'!AR$5:AR$27=-1),'92_FEATURE_CONF_NUMERIC'!E$5:E$27)/MAX(1,COUNTIF('93_TARGET_MEMBERSHIP'!AR$5:AR$27,-1)))))</f>
        <v/>
      </c>
      <c r="E47" s="34">
        <f>IF($B47="ABSOLUTE SEMANTIC",'19_FEATURE_CONFIDENCE'!$D$7,SQRT((SUMPRODUCT(--('93_TARGET_MEMBERSHIP'!AR$5:AR$27=1),'92_FEATURE_CONF_NUMERIC'!F$5:F$27)/MAX(1,COUNTIF('93_TARGET_MEMBERSHIP'!AR$5:AR$27,1)))*(SUMPRODUCT(--('93_TARGET_MEMBERSHIP'!AR$5:AR$27=-1),'92_FEATURE_CONF_NUMERIC'!F$5:F$27)/MAX(1,COUNTIF('93_TARGET_MEMBERSHIP'!AR$5:AR$27,-1)))))</f>
        <v/>
      </c>
      <c r="F47" s="34">
        <f>IF($B47="ABSOLUTE SEMANTIC",'19_FEATURE_CONFIDENCE'!$D$8,SQRT((SUMPRODUCT(--('93_TARGET_MEMBERSHIP'!AR$5:AR$27=1),'92_FEATURE_CONF_NUMERIC'!G$5:G$27)/MAX(1,COUNTIF('93_TARGET_MEMBERSHIP'!AR$5:AR$27,1)))*(SUMPRODUCT(--('93_TARGET_MEMBERSHIP'!AR$5:AR$27=-1),'92_FEATURE_CONF_NUMERIC'!G$5:G$27)/MAX(1,COUNTIF('93_TARGET_MEMBERSHIP'!AR$5:AR$27,-1)))))</f>
        <v/>
      </c>
      <c r="G47" s="34">
        <f>IF($B47="ABSOLUTE SEMANTIC",'19_FEATURE_CONFIDENCE'!$D$9,SQRT((SUMPRODUCT(--('93_TARGET_MEMBERSHIP'!AR$5:AR$27=1),'92_FEATURE_CONF_NUMERIC'!H$5:H$27)/MAX(1,COUNTIF('93_TARGET_MEMBERSHIP'!AR$5:AR$27,1)))*(SUMPRODUCT(--('93_TARGET_MEMBERSHIP'!AR$5:AR$27=-1),'92_FEATURE_CONF_NUMERIC'!H$5:H$27)/MAX(1,COUNTIF('93_TARGET_MEMBERSHIP'!AR$5:AR$27,-1)))))</f>
        <v/>
      </c>
      <c r="H47" s="34">
        <f>IF($B47="ABSOLUTE SEMANTIC",'19_FEATURE_CONFIDENCE'!$D$10,SQRT((SUMPRODUCT(--('93_TARGET_MEMBERSHIP'!AR$5:AR$27=1),'92_FEATURE_CONF_NUMERIC'!I$5:I$27)/MAX(1,COUNTIF('93_TARGET_MEMBERSHIP'!AR$5:AR$27,1)))*(SUMPRODUCT(--('93_TARGET_MEMBERSHIP'!AR$5:AR$27=-1),'92_FEATURE_CONF_NUMERIC'!I$5:I$27)/MAX(1,COUNTIF('93_TARGET_MEMBERSHIP'!AR$5:AR$27,-1)))))</f>
        <v/>
      </c>
      <c r="I47" s="34">
        <f>IF($B47="ABSOLUTE SEMANTIC",'19_FEATURE_CONFIDENCE'!$D$11,SQRT((SUMPRODUCT(--('93_TARGET_MEMBERSHIP'!AR$5:AR$27=1),'92_FEATURE_CONF_NUMERIC'!J$5:J$27)/MAX(1,COUNTIF('93_TARGET_MEMBERSHIP'!AR$5:AR$27,1)))*(SUMPRODUCT(--('93_TARGET_MEMBERSHIP'!AR$5:AR$27=-1),'92_FEATURE_CONF_NUMERIC'!J$5:J$27)/MAX(1,COUNTIF('93_TARGET_MEMBERSHIP'!AR$5:AR$27,-1)))))</f>
        <v/>
      </c>
      <c r="J47" s="34">
        <f>IF($B47="ABSOLUTE SEMANTIC",'19_FEATURE_CONFIDENCE'!$D$12,SQRT((SUMPRODUCT(--('93_TARGET_MEMBERSHIP'!AR$5:AR$27=1),'92_FEATURE_CONF_NUMERIC'!K$5:K$27)/MAX(1,COUNTIF('93_TARGET_MEMBERSHIP'!AR$5:AR$27,1)))*(SUMPRODUCT(--('93_TARGET_MEMBERSHIP'!AR$5:AR$27=-1),'92_FEATURE_CONF_NUMERIC'!K$5:K$27)/MAX(1,COUNTIF('93_TARGET_MEMBERSHIP'!AR$5:AR$27,-1)))))</f>
        <v/>
      </c>
      <c r="K47" s="34">
        <f>IF($B47="ABSOLUTE SEMANTIC",'19_FEATURE_CONFIDENCE'!$D$13,SQRT((SUMPRODUCT(--('93_TARGET_MEMBERSHIP'!AR$5:AR$27=1),'92_FEATURE_CONF_NUMERIC'!L$5:L$27)/MAX(1,COUNTIF('93_TARGET_MEMBERSHIP'!AR$5:AR$27,1)))*(SUMPRODUCT(--('93_TARGET_MEMBERSHIP'!AR$5:AR$27=-1),'92_FEATURE_CONF_NUMERIC'!L$5:L$27)/MAX(1,COUNTIF('93_TARGET_MEMBERSHIP'!AR$5:AR$27,-1)))))</f>
        <v/>
      </c>
      <c r="L47" s="34">
        <f>IF($B47="ABSOLUTE SEMANTIC",'19_FEATURE_CONFIDENCE'!$D$14,SQRT((SUMPRODUCT(--('93_TARGET_MEMBERSHIP'!AR$5:AR$27=1),'92_FEATURE_CONF_NUMERIC'!M$5:M$27)/MAX(1,COUNTIF('93_TARGET_MEMBERSHIP'!AR$5:AR$27,1)))*(SUMPRODUCT(--('93_TARGET_MEMBERSHIP'!AR$5:AR$27=-1),'92_FEATURE_CONF_NUMERIC'!M$5:M$27)/MAX(1,COUNTIF('93_TARGET_MEMBERSHIP'!AR$5:AR$27,-1)))))</f>
        <v/>
      </c>
      <c r="M47" s="34">
        <f>IF($B47="ABSOLUTE SEMANTIC",'19_FEATURE_CONFIDENCE'!$D$15,SQRT((SUMPRODUCT(--('93_TARGET_MEMBERSHIP'!AR$5:AR$27=1),'92_FEATURE_CONF_NUMERIC'!N$5:N$27)/MAX(1,COUNTIF('93_TARGET_MEMBERSHIP'!AR$5:AR$27,1)))*(SUMPRODUCT(--('93_TARGET_MEMBERSHIP'!AR$5:AR$27=-1),'92_FEATURE_CONF_NUMERIC'!N$5:N$27)/MAX(1,COUNTIF('93_TARGET_MEMBERSHIP'!AR$5:AR$27,-1)))))</f>
        <v/>
      </c>
      <c r="N47" s="34">
        <f>IF($B47="ABSOLUTE SEMANTIC",'19_FEATURE_CONFIDENCE'!$D$16,SQRT((SUMPRODUCT(--('93_TARGET_MEMBERSHIP'!AR$5:AR$27=1),'92_FEATURE_CONF_NUMERIC'!O$5:O$27)/MAX(1,COUNTIF('93_TARGET_MEMBERSHIP'!AR$5:AR$27,1)))*(SUMPRODUCT(--('93_TARGET_MEMBERSHIP'!AR$5:AR$27=-1),'92_FEATURE_CONF_NUMERIC'!O$5:O$27)/MAX(1,COUNTIF('93_TARGET_MEMBERSHIP'!AR$5:AR$27,-1)))))</f>
        <v/>
      </c>
      <c r="O47" s="34">
        <f>IF($B47="ABSOLUTE SEMANTIC",'19_FEATURE_CONFIDENCE'!$D$17,SQRT((SUMPRODUCT(--('93_TARGET_MEMBERSHIP'!AR$5:AR$27=1),'92_FEATURE_CONF_NUMERIC'!P$5:P$27)/MAX(1,COUNTIF('93_TARGET_MEMBERSHIP'!AR$5:AR$27,1)))*(SUMPRODUCT(--('93_TARGET_MEMBERSHIP'!AR$5:AR$27=-1),'92_FEATURE_CONF_NUMERIC'!P$5:P$27)/MAX(1,COUNTIF('93_TARGET_MEMBERSHIP'!AR$5:AR$27,-1)))))</f>
        <v/>
      </c>
      <c r="P47" s="34">
        <f>IF($B47="ABSOLUTE SEMANTIC",'19_FEATURE_CONFIDENCE'!$D$18,SQRT((SUMPRODUCT(--('93_TARGET_MEMBERSHIP'!AR$5:AR$27=1),'92_FEATURE_CONF_NUMERIC'!Q$5:Q$27)/MAX(1,COUNTIF('93_TARGET_MEMBERSHIP'!AR$5:AR$27,1)))*(SUMPRODUCT(--('93_TARGET_MEMBERSHIP'!AR$5:AR$27=-1),'92_FEATURE_CONF_NUMERIC'!Q$5:Q$27)/MAX(1,COUNTIF('93_TARGET_MEMBERSHIP'!AR$5:AR$27,-1)))))</f>
        <v/>
      </c>
      <c r="Q47" s="34">
        <f>IF($B47="ABSOLUTE SEMANTIC",'19_FEATURE_CONFIDENCE'!$D$19,SQRT((SUMPRODUCT(--('93_TARGET_MEMBERSHIP'!AR$5:AR$27=1),'92_FEATURE_CONF_NUMERIC'!R$5:R$27)/MAX(1,COUNTIF('93_TARGET_MEMBERSHIP'!AR$5:AR$27,1)))*(SUMPRODUCT(--('93_TARGET_MEMBERSHIP'!AR$5:AR$27=-1),'92_FEATURE_CONF_NUMERIC'!R$5:R$27)/MAX(1,COUNTIF('93_TARGET_MEMBERSHIP'!AR$5:AR$27,-1)))))</f>
        <v/>
      </c>
      <c r="R47" s="34">
        <f>IF($B47="ABSOLUTE SEMANTIC",'19_FEATURE_CONFIDENCE'!$D$20,SQRT((SUMPRODUCT(--('93_TARGET_MEMBERSHIP'!AR$5:AR$27=1),'92_FEATURE_CONF_NUMERIC'!S$5:S$27)/MAX(1,COUNTIF('93_TARGET_MEMBERSHIP'!AR$5:AR$27,1)))*(SUMPRODUCT(--('93_TARGET_MEMBERSHIP'!AR$5:AR$27=-1),'92_FEATURE_CONF_NUMERIC'!S$5:S$27)/MAX(1,COUNTIF('93_TARGET_MEMBERSHIP'!AR$5:AR$27,-1)))))</f>
        <v/>
      </c>
      <c r="S47" s="34">
        <f>IF($B47="ABSOLUTE SEMANTIC",'19_FEATURE_CONFIDENCE'!$D$21,SQRT((SUMPRODUCT(--('93_TARGET_MEMBERSHIP'!AR$5:AR$27=1),'92_FEATURE_CONF_NUMERIC'!T$5:T$27)/MAX(1,COUNTIF('93_TARGET_MEMBERSHIP'!AR$5:AR$27,1)))*(SUMPRODUCT(--('93_TARGET_MEMBERSHIP'!AR$5:AR$27=-1),'92_FEATURE_CONF_NUMERIC'!T$5:T$27)/MAX(1,COUNTIF('93_TARGET_MEMBERSHIP'!AR$5:AR$27,-1)))))</f>
        <v/>
      </c>
      <c r="T47" s="34">
        <f>IF($B47="ABSOLUTE SEMANTIC",'19_FEATURE_CONFIDENCE'!$D$22,SQRT((SUMPRODUCT(--('93_TARGET_MEMBERSHIP'!AR$5:AR$27=1),'92_FEATURE_CONF_NUMERIC'!U$5:U$27)/MAX(1,COUNTIF('93_TARGET_MEMBERSHIP'!AR$5:AR$27,1)))*(SUMPRODUCT(--('93_TARGET_MEMBERSHIP'!AR$5:AR$27=-1),'92_FEATURE_CONF_NUMERIC'!U$5:U$27)/MAX(1,COUNTIF('93_TARGET_MEMBERSHIP'!AR$5:AR$27,-1)))))</f>
        <v/>
      </c>
      <c r="U47" s="34">
        <f>IF($B47="ABSOLUTE SEMANTIC",'19_FEATURE_CONFIDENCE'!$D$23,SQRT((SUMPRODUCT(--('93_TARGET_MEMBERSHIP'!AR$5:AR$27=1),'92_FEATURE_CONF_NUMERIC'!V$5:V$27)/MAX(1,COUNTIF('93_TARGET_MEMBERSHIP'!AR$5:AR$27,1)))*(SUMPRODUCT(--('93_TARGET_MEMBERSHIP'!AR$5:AR$27=-1),'92_FEATURE_CONF_NUMERIC'!V$5:V$27)/MAX(1,COUNTIF('93_TARGET_MEMBERSHIP'!AR$5:AR$27,-1)))))</f>
        <v/>
      </c>
      <c r="V47" s="34">
        <f>IF($B47="ABSOLUTE SEMANTIC",'19_FEATURE_CONFIDENCE'!$D$24,SQRT((SUMPRODUCT(--('93_TARGET_MEMBERSHIP'!AR$5:AR$27=1),'92_FEATURE_CONF_NUMERIC'!W$5:W$27)/MAX(1,COUNTIF('93_TARGET_MEMBERSHIP'!AR$5:AR$27,1)))*(SUMPRODUCT(--('93_TARGET_MEMBERSHIP'!AR$5:AR$27=-1),'92_FEATURE_CONF_NUMERIC'!W$5:W$27)/MAX(1,COUNTIF('93_TARGET_MEMBERSHIP'!AR$5:AR$27,-1)))))</f>
        <v/>
      </c>
      <c r="W47" s="34">
        <f>IF($B47="ABSOLUTE SEMANTIC",'19_FEATURE_CONFIDENCE'!$D$25,SQRT((SUMPRODUCT(--('93_TARGET_MEMBERSHIP'!AR$5:AR$27=1),'92_FEATURE_CONF_NUMERIC'!X$5:X$27)/MAX(1,COUNTIF('93_TARGET_MEMBERSHIP'!AR$5:AR$27,1)))*(SUMPRODUCT(--('93_TARGET_MEMBERSHIP'!AR$5:AR$27=-1),'92_FEATURE_CONF_NUMERIC'!X$5:X$27)/MAX(1,COUNTIF('93_TARGET_MEMBERSHIP'!AR$5:AR$27,-1)))))</f>
        <v/>
      </c>
      <c r="X47" s="34">
        <f>IF($B47="ABSOLUTE SEMANTIC",'19_FEATURE_CONFIDENCE'!$D$26,SQRT((SUMPRODUCT(--('93_TARGET_MEMBERSHIP'!AR$5:AR$27=1),'92_FEATURE_CONF_NUMERIC'!Y$5:Y$27)/MAX(1,COUNTIF('93_TARGET_MEMBERSHIP'!AR$5:AR$27,1)))*(SUMPRODUCT(--('93_TARGET_MEMBERSHIP'!AR$5:AR$27=-1),'92_FEATURE_CONF_NUMERIC'!Y$5:Y$27)/MAX(1,COUNTIF('93_TARGET_MEMBERSHIP'!AR$5:AR$27,-1)))))</f>
        <v/>
      </c>
      <c r="Y47" s="34">
        <f>IF($B47="ABSOLUTE SEMANTIC",'19_FEATURE_CONFIDENCE'!$D$27,SQRT((SUMPRODUCT(--('93_TARGET_MEMBERSHIP'!AR$5:AR$27=1),'92_FEATURE_CONF_NUMERIC'!Z$5:Z$27)/MAX(1,COUNTIF('93_TARGET_MEMBERSHIP'!AR$5:AR$27,1)))*(SUMPRODUCT(--('93_TARGET_MEMBERSHIP'!AR$5:AR$27=-1),'92_FEATURE_CONF_NUMERIC'!Z$5:Z$27)/MAX(1,COUNTIF('93_TARGET_MEMBERSHIP'!AR$5:AR$27,-1)))))</f>
        <v/>
      </c>
      <c r="Z47" s="34">
        <f>IF($B47="ABSOLUTE SEMANTIC",'19_FEATURE_CONFIDENCE'!$D$28,SQRT((SUMPRODUCT(--('93_TARGET_MEMBERSHIP'!AR$5:AR$27=1),'92_FEATURE_CONF_NUMERIC'!AA$5:AA$27)/MAX(1,COUNTIF('93_TARGET_MEMBERSHIP'!AR$5:AR$27,1)))*(SUMPRODUCT(--('93_TARGET_MEMBERSHIP'!AR$5:AR$27=-1),'92_FEATURE_CONF_NUMERIC'!AA$5:AA$27)/MAX(1,COUNTIF('93_TARGET_MEMBERSHIP'!AR$5:AR$27,-1)))))</f>
        <v/>
      </c>
      <c r="AA47" s="34">
        <f>IF($B47="ABSOLUTE SEMANTIC",'19_FEATURE_CONFIDENCE'!$D$29,SQRT((SUMPRODUCT(--('93_TARGET_MEMBERSHIP'!AR$5:AR$27=1),'92_FEATURE_CONF_NUMERIC'!AB$5:AB$27)/MAX(1,COUNTIF('93_TARGET_MEMBERSHIP'!AR$5:AR$27,1)))*(SUMPRODUCT(--('93_TARGET_MEMBERSHIP'!AR$5:AR$27=-1),'92_FEATURE_CONF_NUMERIC'!AB$5:AB$27)/MAX(1,COUNTIF('93_TARGET_MEMBERSHIP'!AR$5:AR$27,-1)))))</f>
        <v/>
      </c>
      <c r="AB47" s="34">
        <f>IF($B47="ABSOLUTE SEMANTIC",'19_FEATURE_CONFIDENCE'!$D$30,SQRT((SUMPRODUCT(--('93_TARGET_MEMBERSHIP'!AR$5:AR$27=1),'92_FEATURE_CONF_NUMERIC'!AC$5:AC$27)/MAX(1,COUNTIF('93_TARGET_MEMBERSHIP'!AR$5:AR$27,1)))*(SUMPRODUCT(--('93_TARGET_MEMBERSHIP'!AR$5:AR$27=-1),'92_FEATURE_CONF_NUMERIC'!AC$5:AC$27)/MAX(1,COUNTIF('93_TARGET_MEMBERSHIP'!AR$5:AR$27,-1)))))</f>
        <v/>
      </c>
      <c r="AC47" s="34">
        <f>IF($B47="ABSOLUTE SEMANTIC",'19_FEATURE_CONFIDENCE'!$D$31,SQRT((SUMPRODUCT(--('93_TARGET_MEMBERSHIP'!AR$5:AR$27=1),'92_FEATURE_CONF_NUMERIC'!AD$5:AD$27)/MAX(1,COUNTIF('93_TARGET_MEMBERSHIP'!AR$5:AR$27,1)))*(SUMPRODUCT(--('93_TARGET_MEMBERSHIP'!AR$5:AR$27=-1),'92_FEATURE_CONF_NUMERIC'!AD$5:AD$27)/MAX(1,COUNTIF('93_TARGET_MEMBERSHIP'!AR$5:AR$27,-1)))))</f>
        <v/>
      </c>
      <c r="AD47" s="34">
        <f>IF($B47="ABSOLUTE SEMANTIC",'19_FEATURE_CONFIDENCE'!$D$32,SQRT((SUMPRODUCT(--('93_TARGET_MEMBERSHIP'!AR$5:AR$27=1),'92_FEATURE_CONF_NUMERIC'!AE$5:AE$27)/MAX(1,COUNTIF('93_TARGET_MEMBERSHIP'!AR$5:AR$27,1)))*(SUMPRODUCT(--('93_TARGET_MEMBERSHIP'!AR$5:AR$27=-1),'92_FEATURE_CONF_NUMERIC'!AE$5:AE$27)/MAX(1,COUNTIF('93_TARGET_MEMBERSHIP'!AR$5:AR$27,-1)))))</f>
        <v/>
      </c>
      <c r="AE47" s="34">
        <f>IF($B47="ABSOLUTE SEMANTIC",'19_FEATURE_CONFIDENCE'!$D$33,SQRT((SUMPRODUCT(--('93_TARGET_MEMBERSHIP'!AR$5:AR$27=1),'92_FEATURE_CONF_NUMERIC'!AF$5:AF$27)/MAX(1,COUNTIF('93_TARGET_MEMBERSHIP'!AR$5:AR$27,1)))*(SUMPRODUCT(--('93_TARGET_MEMBERSHIP'!AR$5:AR$27=-1),'92_FEATURE_CONF_NUMERIC'!AF$5:AF$27)/MAX(1,COUNTIF('93_TARGET_MEMBERSHIP'!AR$5:AR$27,-1)))))</f>
        <v/>
      </c>
      <c r="AF47" s="34">
        <f>IF($B47="ABSOLUTE SEMANTIC",'19_FEATURE_CONFIDENCE'!$D$34,SQRT((SUMPRODUCT(--('93_TARGET_MEMBERSHIP'!AR$5:AR$27=1),'92_FEATURE_CONF_NUMERIC'!AG$5:AG$27)/MAX(1,COUNTIF('93_TARGET_MEMBERSHIP'!AR$5:AR$27,1)))*(SUMPRODUCT(--('93_TARGET_MEMBERSHIP'!AR$5:AR$27=-1),'92_FEATURE_CONF_NUMERIC'!AG$5:AG$27)/MAX(1,COUNTIF('93_TARGET_MEMBERSHIP'!AR$5:AR$27,-1)))))</f>
        <v/>
      </c>
      <c r="AG47" s="34">
        <f>IF($B47="ABSOLUTE SEMANTIC",'19_FEATURE_CONFIDENCE'!$D$35,SQRT((SUMPRODUCT(--('93_TARGET_MEMBERSHIP'!AR$5:AR$27=1),'92_FEATURE_CONF_NUMERIC'!AH$5:AH$27)/MAX(1,COUNTIF('93_TARGET_MEMBERSHIP'!AR$5:AR$27,1)))*(SUMPRODUCT(--('93_TARGET_MEMBERSHIP'!AR$5:AR$27=-1),'92_FEATURE_CONF_NUMERIC'!AH$5:AH$27)/MAX(1,COUNTIF('93_TARGET_MEMBERSHIP'!AR$5:AR$27,-1)))))</f>
        <v/>
      </c>
      <c r="AH47" s="34">
        <f>IF($B47="ABSOLUTE SEMANTIC",'19_FEATURE_CONFIDENCE'!$D$36,SQRT((SUMPRODUCT(--('93_TARGET_MEMBERSHIP'!AR$5:AR$27=1),'92_FEATURE_CONF_NUMERIC'!AI$5:AI$27)/MAX(1,COUNTIF('93_TARGET_MEMBERSHIP'!AR$5:AR$27,1)))*(SUMPRODUCT(--('93_TARGET_MEMBERSHIP'!AR$5:AR$27=-1),'92_FEATURE_CONF_NUMERIC'!AI$5:AI$27)/MAX(1,COUNTIF('93_TARGET_MEMBERSHIP'!AR$5:AR$27,-1)))))</f>
        <v/>
      </c>
      <c r="AI47" s="34">
        <f>IF($B47="ABSOLUTE SEMANTIC",'19_FEATURE_CONFIDENCE'!$D$37,SQRT((SUMPRODUCT(--('93_TARGET_MEMBERSHIP'!AR$5:AR$27=1),'92_FEATURE_CONF_NUMERIC'!AJ$5:AJ$27)/MAX(1,COUNTIF('93_TARGET_MEMBERSHIP'!AR$5:AR$27,1)))*(SUMPRODUCT(--('93_TARGET_MEMBERSHIP'!AR$5:AR$27=-1),'92_FEATURE_CONF_NUMERIC'!AJ$5:AJ$27)/MAX(1,COUNTIF('93_TARGET_MEMBERSHIP'!AR$5:AR$27,-1)))))</f>
        <v/>
      </c>
      <c r="AJ47" s="34">
        <f>IF($B47="ABSOLUTE SEMANTIC",'19_FEATURE_CONFIDENCE'!$D$38,SQRT((SUMPRODUCT(--('93_TARGET_MEMBERSHIP'!AR$5:AR$27=1),'92_FEATURE_CONF_NUMERIC'!AK$5:AK$27)/MAX(1,COUNTIF('93_TARGET_MEMBERSHIP'!AR$5:AR$27,1)))*(SUMPRODUCT(--('93_TARGET_MEMBERSHIP'!AR$5:AR$27=-1),'92_FEATURE_CONF_NUMERIC'!AK$5:AK$27)/MAX(1,COUNTIF('93_TARGET_MEMBERSHIP'!AR$5:AR$27,-1)))))</f>
        <v/>
      </c>
      <c r="AK47" s="34">
        <f>IF($B47="ABSOLUTE SEMANTIC",'19_FEATURE_CONFIDENCE'!$D$39,SQRT((SUMPRODUCT(--('93_TARGET_MEMBERSHIP'!AR$5:AR$27=1),'92_FEATURE_CONF_NUMERIC'!AL$5:AL$27)/MAX(1,COUNTIF('93_TARGET_MEMBERSHIP'!AR$5:AR$27,1)))*(SUMPRODUCT(--('93_TARGET_MEMBERSHIP'!AR$5:AR$27=-1),'92_FEATURE_CONF_NUMERIC'!AL$5:AL$27)/MAX(1,COUNTIF('93_TARGET_MEMBERSHIP'!AR$5:AR$27,-1)))))</f>
        <v/>
      </c>
      <c r="AL47" s="34">
        <f>IF($B47="ABSOLUTE SEMANTIC",'19_FEATURE_CONFIDENCE'!$D$40,SQRT((SUMPRODUCT(--('93_TARGET_MEMBERSHIP'!AR$5:AR$27=1),'92_FEATURE_CONF_NUMERIC'!AM$5:AM$27)/MAX(1,COUNTIF('93_TARGET_MEMBERSHIP'!AR$5:AR$27,1)))*(SUMPRODUCT(--('93_TARGET_MEMBERSHIP'!AR$5:AR$27=-1),'92_FEATURE_CONF_NUMERIC'!AM$5:AM$27)/MAX(1,COUNTIF('93_TARGET_MEMBERSHIP'!AR$5:AR$27,-1)))))</f>
        <v/>
      </c>
      <c r="AM47" s="34">
        <f>IF($B47="ABSOLUTE SEMANTIC",'19_FEATURE_CONFIDENCE'!$D$41,SQRT((SUMPRODUCT(--('93_TARGET_MEMBERSHIP'!AR$5:AR$27=1),'92_FEATURE_CONF_NUMERIC'!AN$5:AN$27)/MAX(1,COUNTIF('93_TARGET_MEMBERSHIP'!AR$5:AR$27,1)))*(SUMPRODUCT(--('93_TARGET_MEMBERSHIP'!AR$5:AR$27=-1),'92_FEATURE_CONF_NUMERIC'!AN$5:AN$27)/MAX(1,COUNTIF('93_TARGET_MEMBERSHIP'!AR$5:AR$27,-1)))))</f>
        <v/>
      </c>
      <c r="AN47" s="34">
        <f>IF($B47="ABSOLUTE SEMANTIC",'19_FEATURE_CONFIDENCE'!$D$42,SQRT((SUMPRODUCT(--('93_TARGET_MEMBERSHIP'!AR$5:AR$27=1),'92_FEATURE_CONF_NUMERIC'!AO$5:AO$27)/MAX(1,COUNTIF('93_TARGET_MEMBERSHIP'!AR$5:AR$27,1)))*(SUMPRODUCT(--('93_TARGET_MEMBERSHIP'!AR$5:AR$27=-1),'92_FEATURE_CONF_NUMERIC'!AO$5:AO$27)/MAX(1,COUNTIF('93_TARGET_MEMBERSHIP'!AR$5:AR$27,-1)))))</f>
        <v/>
      </c>
      <c r="AO47" s="34">
        <f>IF($B47="ABSOLUTE SEMANTIC",'19_FEATURE_CONFIDENCE'!$D$43,SQRT((SUMPRODUCT(--('93_TARGET_MEMBERSHIP'!AR$5:AR$27=1),'92_FEATURE_CONF_NUMERIC'!AP$5:AP$27)/MAX(1,COUNTIF('93_TARGET_MEMBERSHIP'!AR$5:AR$27,1)))*(SUMPRODUCT(--('93_TARGET_MEMBERSHIP'!AR$5:AR$27=-1),'92_FEATURE_CONF_NUMERIC'!AP$5:AP$27)/MAX(1,COUNTIF('93_TARGET_MEMBERSHIP'!AR$5:AR$27,-1)))))</f>
        <v/>
      </c>
      <c r="AP47" s="34">
        <f>IF($B47="ABSOLUTE SEMANTIC",'19_FEATURE_CONFIDENCE'!$D$44,SQRT((SUMPRODUCT(--('93_TARGET_MEMBERSHIP'!AR$5:AR$27=1),'92_FEATURE_CONF_NUMERIC'!AQ$5:AQ$27)/MAX(1,COUNTIF('93_TARGET_MEMBERSHIP'!AR$5:AR$27,1)))*(SUMPRODUCT(--('93_TARGET_MEMBERSHIP'!AR$5:AR$27=-1),'92_FEATURE_CONF_NUMERIC'!AQ$5:AQ$27)/MAX(1,COUNTIF('93_TARGET_MEMBERSHIP'!AR$5:AR$27,-1)))))</f>
        <v/>
      </c>
      <c r="AQ47" s="34">
        <f>IF($B47="ABSOLUTE SEMANTIC",'19_FEATURE_CONFIDENCE'!$D$45,SQRT((SUMPRODUCT(--('93_TARGET_MEMBERSHIP'!AR$5:AR$27=1),'92_FEATURE_CONF_NUMERIC'!AR$5:AR$27)/MAX(1,COUNTIF('93_TARGET_MEMBERSHIP'!AR$5:AR$27,1)))*(SUMPRODUCT(--('93_TARGET_MEMBERSHIP'!AR$5:AR$27=-1),'92_FEATURE_CONF_NUMERIC'!AR$5:AR$27)/MAX(1,COUNTIF('93_TARGET_MEMBERSHIP'!AR$5:AR$27,-1)))))</f>
        <v/>
      </c>
    </row>
    <row r="48" ht="36" customHeight="1">
      <c r="A48" s="34">
        <f>'06_ITEM_POLE_MODEL'!A48</f>
        <v/>
      </c>
      <c r="B48" s="34">
        <f>'06_ITEM_POLE_MODEL'!E48</f>
        <v/>
      </c>
      <c r="C48" s="34">
        <f>IF($B48="ABSOLUTE SEMANTIC",'19_FEATURE_CONFIDENCE'!$D$5,SQRT((SUMPRODUCT(--('93_TARGET_MEMBERSHIP'!AS$5:AS$27=1),'92_FEATURE_CONF_NUMERIC'!D$5:D$27)/MAX(1,COUNTIF('93_TARGET_MEMBERSHIP'!AS$5:AS$27,1)))*(SUMPRODUCT(--('93_TARGET_MEMBERSHIP'!AS$5:AS$27=-1),'92_FEATURE_CONF_NUMERIC'!D$5:D$27)/MAX(1,COUNTIF('93_TARGET_MEMBERSHIP'!AS$5:AS$27,-1)))))</f>
        <v/>
      </c>
      <c r="D48" s="34">
        <f>IF($B48="ABSOLUTE SEMANTIC",'19_FEATURE_CONFIDENCE'!$D$6,SQRT((SUMPRODUCT(--('93_TARGET_MEMBERSHIP'!AS$5:AS$27=1),'92_FEATURE_CONF_NUMERIC'!E$5:E$27)/MAX(1,COUNTIF('93_TARGET_MEMBERSHIP'!AS$5:AS$27,1)))*(SUMPRODUCT(--('93_TARGET_MEMBERSHIP'!AS$5:AS$27=-1),'92_FEATURE_CONF_NUMERIC'!E$5:E$27)/MAX(1,COUNTIF('93_TARGET_MEMBERSHIP'!AS$5:AS$27,-1)))))</f>
        <v/>
      </c>
      <c r="E48" s="34">
        <f>IF($B48="ABSOLUTE SEMANTIC",'19_FEATURE_CONFIDENCE'!$D$7,SQRT((SUMPRODUCT(--('93_TARGET_MEMBERSHIP'!AS$5:AS$27=1),'92_FEATURE_CONF_NUMERIC'!F$5:F$27)/MAX(1,COUNTIF('93_TARGET_MEMBERSHIP'!AS$5:AS$27,1)))*(SUMPRODUCT(--('93_TARGET_MEMBERSHIP'!AS$5:AS$27=-1),'92_FEATURE_CONF_NUMERIC'!F$5:F$27)/MAX(1,COUNTIF('93_TARGET_MEMBERSHIP'!AS$5:AS$27,-1)))))</f>
        <v/>
      </c>
      <c r="F48" s="34">
        <f>IF($B48="ABSOLUTE SEMANTIC",'19_FEATURE_CONFIDENCE'!$D$8,SQRT((SUMPRODUCT(--('93_TARGET_MEMBERSHIP'!AS$5:AS$27=1),'92_FEATURE_CONF_NUMERIC'!G$5:G$27)/MAX(1,COUNTIF('93_TARGET_MEMBERSHIP'!AS$5:AS$27,1)))*(SUMPRODUCT(--('93_TARGET_MEMBERSHIP'!AS$5:AS$27=-1),'92_FEATURE_CONF_NUMERIC'!G$5:G$27)/MAX(1,COUNTIF('93_TARGET_MEMBERSHIP'!AS$5:AS$27,-1)))))</f>
        <v/>
      </c>
      <c r="G48" s="34">
        <f>IF($B48="ABSOLUTE SEMANTIC",'19_FEATURE_CONFIDENCE'!$D$9,SQRT((SUMPRODUCT(--('93_TARGET_MEMBERSHIP'!AS$5:AS$27=1),'92_FEATURE_CONF_NUMERIC'!H$5:H$27)/MAX(1,COUNTIF('93_TARGET_MEMBERSHIP'!AS$5:AS$27,1)))*(SUMPRODUCT(--('93_TARGET_MEMBERSHIP'!AS$5:AS$27=-1),'92_FEATURE_CONF_NUMERIC'!H$5:H$27)/MAX(1,COUNTIF('93_TARGET_MEMBERSHIP'!AS$5:AS$27,-1)))))</f>
        <v/>
      </c>
      <c r="H48" s="34">
        <f>IF($B48="ABSOLUTE SEMANTIC",'19_FEATURE_CONFIDENCE'!$D$10,SQRT((SUMPRODUCT(--('93_TARGET_MEMBERSHIP'!AS$5:AS$27=1),'92_FEATURE_CONF_NUMERIC'!I$5:I$27)/MAX(1,COUNTIF('93_TARGET_MEMBERSHIP'!AS$5:AS$27,1)))*(SUMPRODUCT(--('93_TARGET_MEMBERSHIP'!AS$5:AS$27=-1),'92_FEATURE_CONF_NUMERIC'!I$5:I$27)/MAX(1,COUNTIF('93_TARGET_MEMBERSHIP'!AS$5:AS$27,-1)))))</f>
        <v/>
      </c>
      <c r="I48" s="34">
        <f>IF($B48="ABSOLUTE SEMANTIC",'19_FEATURE_CONFIDENCE'!$D$11,SQRT((SUMPRODUCT(--('93_TARGET_MEMBERSHIP'!AS$5:AS$27=1),'92_FEATURE_CONF_NUMERIC'!J$5:J$27)/MAX(1,COUNTIF('93_TARGET_MEMBERSHIP'!AS$5:AS$27,1)))*(SUMPRODUCT(--('93_TARGET_MEMBERSHIP'!AS$5:AS$27=-1),'92_FEATURE_CONF_NUMERIC'!J$5:J$27)/MAX(1,COUNTIF('93_TARGET_MEMBERSHIP'!AS$5:AS$27,-1)))))</f>
        <v/>
      </c>
      <c r="J48" s="34">
        <f>IF($B48="ABSOLUTE SEMANTIC",'19_FEATURE_CONFIDENCE'!$D$12,SQRT((SUMPRODUCT(--('93_TARGET_MEMBERSHIP'!AS$5:AS$27=1),'92_FEATURE_CONF_NUMERIC'!K$5:K$27)/MAX(1,COUNTIF('93_TARGET_MEMBERSHIP'!AS$5:AS$27,1)))*(SUMPRODUCT(--('93_TARGET_MEMBERSHIP'!AS$5:AS$27=-1),'92_FEATURE_CONF_NUMERIC'!K$5:K$27)/MAX(1,COUNTIF('93_TARGET_MEMBERSHIP'!AS$5:AS$27,-1)))))</f>
        <v/>
      </c>
      <c r="K48" s="34">
        <f>IF($B48="ABSOLUTE SEMANTIC",'19_FEATURE_CONFIDENCE'!$D$13,SQRT((SUMPRODUCT(--('93_TARGET_MEMBERSHIP'!AS$5:AS$27=1),'92_FEATURE_CONF_NUMERIC'!L$5:L$27)/MAX(1,COUNTIF('93_TARGET_MEMBERSHIP'!AS$5:AS$27,1)))*(SUMPRODUCT(--('93_TARGET_MEMBERSHIP'!AS$5:AS$27=-1),'92_FEATURE_CONF_NUMERIC'!L$5:L$27)/MAX(1,COUNTIF('93_TARGET_MEMBERSHIP'!AS$5:AS$27,-1)))))</f>
        <v/>
      </c>
      <c r="L48" s="34">
        <f>IF($B48="ABSOLUTE SEMANTIC",'19_FEATURE_CONFIDENCE'!$D$14,SQRT((SUMPRODUCT(--('93_TARGET_MEMBERSHIP'!AS$5:AS$27=1),'92_FEATURE_CONF_NUMERIC'!M$5:M$27)/MAX(1,COUNTIF('93_TARGET_MEMBERSHIP'!AS$5:AS$27,1)))*(SUMPRODUCT(--('93_TARGET_MEMBERSHIP'!AS$5:AS$27=-1),'92_FEATURE_CONF_NUMERIC'!M$5:M$27)/MAX(1,COUNTIF('93_TARGET_MEMBERSHIP'!AS$5:AS$27,-1)))))</f>
        <v/>
      </c>
      <c r="M48" s="34">
        <f>IF($B48="ABSOLUTE SEMANTIC",'19_FEATURE_CONFIDENCE'!$D$15,SQRT((SUMPRODUCT(--('93_TARGET_MEMBERSHIP'!AS$5:AS$27=1),'92_FEATURE_CONF_NUMERIC'!N$5:N$27)/MAX(1,COUNTIF('93_TARGET_MEMBERSHIP'!AS$5:AS$27,1)))*(SUMPRODUCT(--('93_TARGET_MEMBERSHIP'!AS$5:AS$27=-1),'92_FEATURE_CONF_NUMERIC'!N$5:N$27)/MAX(1,COUNTIF('93_TARGET_MEMBERSHIP'!AS$5:AS$27,-1)))))</f>
        <v/>
      </c>
      <c r="N48" s="34">
        <f>IF($B48="ABSOLUTE SEMANTIC",'19_FEATURE_CONFIDENCE'!$D$16,SQRT((SUMPRODUCT(--('93_TARGET_MEMBERSHIP'!AS$5:AS$27=1),'92_FEATURE_CONF_NUMERIC'!O$5:O$27)/MAX(1,COUNTIF('93_TARGET_MEMBERSHIP'!AS$5:AS$27,1)))*(SUMPRODUCT(--('93_TARGET_MEMBERSHIP'!AS$5:AS$27=-1),'92_FEATURE_CONF_NUMERIC'!O$5:O$27)/MAX(1,COUNTIF('93_TARGET_MEMBERSHIP'!AS$5:AS$27,-1)))))</f>
        <v/>
      </c>
      <c r="O48" s="34">
        <f>IF($B48="ABSOLUTE SEMANTIC",'19_FEATURE_CONFIDENCE'!$D$17,SQRT((SUMPRODUCT(--('93_TARGET_MEMBERSHIP'!AS$5:AS$27=1),'92_FEATURE_CONF_NUMERIC'!P$5:P$27)/MAX(1,COUNTIF('93_TARGET_MEMBERSHIP'!AS$5:AS$27,1)))*(SUMPRODUCT(--('93_TARGET_MEMBERSHIP'!AS$5:AS$27=-1),'92_FEATURE_CONF_NUMERIC'!P$5:P$27)/MAX(1,COUNTIF('93_TARGET_MEMBERSHIP'!AS$5:AS$27,-1)))))</f>
        <v/>
      </c>
      <c r="P48" s="34">
        <f>IF($B48="ABSOLUTE SEMANTIC",'19_FEATURE_CONFIDENCE'!$D$18,SQRT((SUMPRODUCT(--('93_TARGET_MEMBERSHIP'!AS$5:AS$27=1),'92_FEATURE_CONF_NUMERIC'!Q$5:Q$27)/MAX(1,COUNTIF('93_TARGET_MEMBERSHIP'!AS$5:AS$27,1)))*(SUMPRODUCT(--('93_TARGET_MEMBERSHIP'!AS$5:AS$27=-1),'92_FEATURE_CONF_NUMERIC'!Q$5:Q$27)/MAX(1,COUNTIF('93_TARGET_MEMBERSHIP'!AS$5:AS$27,-1)))))</f>
        <v/>
      </c>
      <c r="Q48" s="34">
        <f>IF($B48="ABSOLUTE SEMANTIC",'19_FEATURE_CONFIDENCE'!$D$19,SQRT((SUMPRODUCT(--('93_TARGET_MEMBERSHIP'!AS$5:AS$27=1),'92_FEATURE_CONF_NUMERIC'!R$5:R$27)/MAX(1,COUNTIF('93_TARGET_MEMBERSHIP'!AS$5:AS$27,1)))*(SUMPRODUCT(--('93_TARGET_MEMBERSHIP'!AS$5:AS$27=-1),'92_FEATURE_CONF_NUMERIC'!R$5:R$27)/MAX(1,COUNTIF('93_TARGET_MEMBERSHIP'!AS$5:AS$27,-1)))))</f>
        <v/>
      </c>
      <c r="R48" s="34">
        <f>IF($B48="ABSOLUTE SEMANTIC",'19_FEATURE_CONFIDENCE'!$D$20,SQRT((SUMPRODUCT(--('93_TARGET_MEMBERSHIP'!AS$5:AS$27=1),'92_FEATURE_CONF_NUMERIC'!S$5:S$27)/MAX(1,COUNTIF('93_TARGET_MEMBERSHIP'!AS$5:AS$27,1)))*(SUMPRODUCT(--('93_TARGET_MEMBERSHIP'!AS$5:AS$27=-1),'92_FEATURE_CONF_NUMERIC'!S$5:S$27)/MAX(1,COUNTIF('93_TARGET_MEMBERSHIP'!AS$5:AS$27,-1)))))</f>
        <v/>
      </c>
      <c r="S48" s="34">
        <f>IF($B48="ABSOLUTE SEMANTIC",'19_FEATURE_CONFIDENCE'!$D$21,SQRT((SUMPRODUCT(--('93_TARGET_MEMBERSHIP'!AS$5:AS$27=1),'92_FEATURE_CONF_NUMERIC'!T$5:T$27)/MAX(1,COUNTIF('93_TARGET_MEMBERSHIP'!AS$5:AS$27,1)))*(SUMPRODUCT(--('93_TARGET_MEMBERSHIP'!AS$5:AS$27=-1),'92_FEATURE_CONF_NUMERIC'!T$5:T$27)/MAX(1,COUNTIF('93_TARGET_MEMBERSHIP'!AS$5:AS$27,-1)))))</f>
        <v/>
      </c>
      <c r="T48" s="34">
        <f>IF($B48="ABSOLUTE SEMANTIC",'19_FEATURE_CONFIDENCE'!$D$22,SQRT((SUMPRODUCT(--('93_TARGET_MEMBERSHIP'!AS$5:AS$27=1),'92_FEATURE_CONF_NUMERIC'!U$5:U$27)/MAX(1,COUNTIF('93_TARGET_MEMBERSHIP'!AS$5:AS$27,1)))*(SUMPRODUCT(--('93_TARGET_MEMBERSHIP'!AS$5:AS$27=-1),'92_FEATURE_CONF_NUMERIC'!U$5:U$27)/MAX(1,COUNTIF('93_TARGET_MEMBERSHIP'!AS$5:AS$27,-1)))))</f>
        <v/>
      </c>
      <c r="U48" s="34">
        <f>IF($B48="ABSOLUTE SEMANTIC",'19_FEATURE_CONFIDENCE'!$D$23,SQRT((SUMPRODUCT(--('93_TARGET_MEMBERSHIP'!AS$5:AS$27=1),'92_FEATURE_CONF_NUMERIC'!V$5:V$27)/MAX(1,COUNTIF('93_TARGET_MEMBERSHIP'!AS$5:AS$27,1)))*(SUMPRODUCT(--('93_TARGET_MEMBERSHIP'!AS$5:AS$27=-1),'92_FEATURE_CONF_NUMERIC'!V$5:V$27)/MAX(1,COUNTIF('93_TARGET_MEMBERSHIP'!AS$5:AS$27,-1)))))</f>
        <v/>
      </c>
      <c r="V48" s="34">
        <f>IF($B48="ABSOLUTE SEMANTIC",'19_FEATURE_CONFIDENCE'!$D$24,SQRT((SUMPRODUCT(--('93_TARGET_MEMBERSHIP'!AS$5:AS$27=1),'92_FEATURE_CONF_NUMERIC'!W$5:W$27)/MAX(1,COUNTIF('93_TARGET_MEMBERSHIP'!AS$5:AS$27,1)))*(SUMPRODUCT(--('93_TARGET_MEMBERSHIP'!AS$5:AS$27=-1),'92_FEATURE_CONF_NUMERIC'!W$5:W$27)/MAX(1,COUNTIF('93_TARGET_MEMBERSHIP'!AS$5:AS$27,-1)))))</f>
        <v/>
      </c>
      <c r="W48" s="34">
        <f>IF($B48="ABSOLUTE SEMANTIC",'19_FEATURE_CONFIDENCE'!$D$25,SQRT((SUMPRODUCT(--('93_TARGET_MEMBERSHIP'!AS$5:AS$27=1),'92_FEATURE_CONF_NUMERIC'!X$5:X$27)/MAX(1,COUNTIF('93_TARGET_MEMBERSHIP'!AS$5:AS$27,1)))*(SUMPRODUCT(--('93_TARGET_MEMBERSHIP'!AS$5:AS$27=-1),'92_FEATURE_CONF_NUMERIC'!X$5:X$27)/MAX(1,COUNTIF('93_TARGET_MEMBERSHIP'!AS$5:AS$27,-1)))))</f>
        <v/>
      </c>
      <c r="X48" s="34">
        <f>IF($B48="ABSOLUTE SEMANTIC",'19_FEATURE_CONFIDENCE'!$D$26,SQRT((SUMPRODUCT(--('93_TARGET_MEMBERSHIP'!AS$5:AS$27=1),'92_FEATURE_CONF_NUMERIC'!Y$5:Y$27)/MAX(1,COUNTIF('93_TARGET_MEMBERSHIP'!AS$5:AS$27,1)))*(SUMPRODUCT(--('93_TARGET_MEMBERSHIP'!AS$5:AS$27=-1),'92_FEATURE_CONF_NUMERIC'!Y$5:Y$27)/MAX(1,COUNTIF('93_TARGET_MEMBERSHIP'!AS$5:AS$27,-1)))))</f>
        <v/>
      </c>
      <c r="Y48" s="34">
        <f>IF($B48="ABSOLUTE SEMANTIC",'19_FEATURE_CONFIDENCE'!$D$27,SQRT((SUMPRODUCT(--('93_TARGET_MEMBERSHIP'!AS$5:AS$27=1),'92_FEATURE_CONF_NUMERIC'!Z$5:Z$27)/MAX(1,COUNTIF('93_TARGET_MEMBERSHIP'!AS$5:AS$27,1)))*(SUMPRODUCT(--('93_TARGET_MEMBERSHIP'!AS$5:AS$27=-1),'92_FEATURE_CONF_NUMERIC'!Z$5:Z$27)/MAX(1,COUNTIF('93_TARGET_MEMBERSHIP'!AS$5:AS$27,-1)))))</f>
        <v/>
      </c>
      <c r="Z48" s="34">
        <f>IF($B48="ABSOLUTE SEMANTIC",'19_FEATURE_CONFIDENCE'!$D$28,SQRT((SUMPRODUCT(--('93_TARGET_MEMBERSHIP'!AS$5:AS$27=1),'92_FEATURE_CONF_NUMERIC'!AA$5:AA$27)/MAX(1,COUNTIF('93_TARGET_MEMBERSHIP'!AS$5:AS$27,1)))*(SUMPRODUCT(--('93_TARGET_MEMBERSHIP'!AS$5:AS$27=-1),'92_FEATURE_CONF_NUMERIC'!AA$5:AA$27)/MAX(1,COUNTIF('93_TARGET_MEMBERSHIP'!AS$5:AS$27,-1)))))</f>
        <v/>
      </c>
      <c r="AA48" s="34">
        <f>IF($B48="ABSOLUTE SEMANTIC",'19_FEATURE_CONFIDENCE'!$D$29,SQRT((SUMPRODUCT(--('93_TARGET_MEMBERSHIP'!AS$5:AS$27=1),'92_FEATURE_CONF_NUMERIC'!AB$5:AB$27)/MAX(1,COUNTIF('93_TARGET_MEMBERSHIP'!AS$5:AS$27,1)))*(SUMPRODUCT(--('93_TARGET_MEMBERSHIP'!AS$5:AS$27=-1),'92_FEATURE_CONF_NUMERIC'!AB$5:AB$27)/MAX(1,COUNTIF('93_TARGET_MEMBERSHIP'!AS$5:AS$27,-1)))))</f>
        <v/>
      </c>
      <c r="AB48" s="34">
        <f>IF($B48="ABSOLUTE SEMANTIC",'19_FEATURE_CONFIDENCE'!$D$30,SQRT((SUMPRODUCT(--('93_TARGET_MEMBERSHIP'!AS$5:AS$27=1),'92_FEATURE_CONF_NUMERIC'!AC$5:AC$27)/MAX(1,COUNTIF('93_TARGET_MEMBERSHIP'!AS$5:AS$27,1)))*(SUMPRODUCT(--('93_TARGET_MEMBERSHIP'!AS$5:AS$27=-1),'92_FEATURE_CONF_NUMERIC'!AC$5:AC$27)/MAX(1,COUNTIF('93_TARGET_MEMBERSHIP'!AS$5:AS$27,-1)))))</f>
        <v/>
      </c>
      <c r="AC48" s="34">
        <f>IF($B48="ABSOLUTE SEMANTIC",'19_FEATURE_CONFIDENCE'!$D$31,SQRT((SUMPRODUCT(--('93_TARGET_MEMBERSHIP'!AS$5:AS$27=1),'92_FEATURE_CONF_NUMERIC'!AD$5:AD$27)/MAX(1,COUNTIF('93_TARGET_MEMBERSHIP'!AS$5:AS$27,1)))*(SUMPRODUCT(--('93_TARGET_MEMBERSHIP'!AS$5:AS$27=-1),'92_FEATURE_CONF_NUMERIC'!AD$5:AD$27)/MAX(1,COUNTIF('93_TARGET_MEMBERSHIP'!AS$5:AS$27,-1)))))</f>
        <v/>
      </c>
      <c r="AD48" s="34">
        <f>IF($B48="ABSOLUTE SEMANTIC",'19_FEATURE_CONFIDENCE'!$D$32,SQRT((SUMPRODUCT(--('93_TARGET_MEMBERSHIP'!AS$5:AS$27=1),'92_FEATURE_CONF_NUMERIC'!AE$5:AE$27)/MAX(1,COUNTIF('93_TARGET_MEMBERSHIP'!AS$5:AS$27,1)))*(SUMPRODUCT(--('93_TARGET_MEMBERSHIP'!AS$5:AS$27=-1),'92_FEATURE_CONF_NUMERIC'!AE$5:AE$27)/MAX(1,COUNTIF('93_TARGET_MEMBERSHIP'!AS$5:AS$27,-1)))))</f>
        <v/>
      </c>
      <c r="AE48" s="34">
        <f>IF($B48="ABSOLUTE SEMANTIC",'19_FEATURE_CONFIDENCE'!$D$33,SQRT((SUMPRODUCT(--('93_TARGET_MEMBERSHIP'!AS$5:AS$27=1),'92_FEATURE_CONF_NUMERIC'!AF$5:AF$27)/MAX(1,COUNTIF('93_TARGET_MEMBERSHIP'!AS$5:AS$27,1)))*(SUMPRODUCT(--('93_TARGET_MEMBERSHIP'!AS$5:AS$27=-1),'92_FEATURE_CONF_NUMERIC'!AF$5:AF$27)/MAX(1,COUNTIF('93_TARGET_MEMBERSHIP'!AS$5:AS$27,-1)))))</f>
        <v/>
      </c>
      <c r="AF48" s="34">
        <f>IF($B48="ABSOLUTE SEMANTIC",'19_FEATURE_CONFIDENCE'!$D$34,SQRT((SUMPRODUCT(--('93_TARGET_MEMBERSHIP'!AS$5:AS$27=1),'92_FEATURE_CONF_NUMERIC'!AG$5:AG$27)/MAX(1,COUNTIF('93_TARGET_MEMBERSHIP'!AS$5:AS$27,1)))*(SUMPRODUCT(--('93_TARGET_MEMBERSHIP'!AS$5:AS$27=-1),'92_FEATURE_CONF_NUMERIC'!AG$5:AG$27)/MAX(1,COUNTIF('93_TARGET_MEMBERSHIP'!AS$5:AS$27,-1)))))</f>
        <v/>
      </c>
      <c r="AG48" s="34">
        <f>IF($B48="ABSOLUTE SEMANTIC",'19_FEATURE_CONFIDENCE'!$D$35,SQRT((SUMPRODUCT(--('93_TARGET_MEMBERSHIP'!AS$5:AS$27=1),'92_FEATURE_CONF_NUMERIC'!AH$5:AH$27)/MAX(1,COUNTIF('93_TARGET_MEMBERSHIP'!AS$5:AS$27,1)))*(SUMPRODUCT(--('93_TARGET_MEMBERSHIP'!AS$5:AS$27=-1),'92_FEATURE_CONF_NUMERIC'!AH$5:AH$27)/MAX(1,COUNTIF('93_TARGET_MEMBERSHIP'!AS$5:AS$27,-1)))))</f>
        <v/>
      </c>
      <c r="AH48" s="34">
        <f>IF($B48="ABSOLUTE SEMANTIC",'19_FEATURE_CONFIDENCE'!$D$36,SQRT((SUMPRODUCT(--('93_TARGET_MEMBERSHIP'!AS$5:AS$27=1),'92_FEATURE_CONF_NUMERIC'!AI$5:AI$27)/MAX(1,COUNTIF('93_TARGET_MEMBERSHIP'!AS$5:AS$27,1)))*(SUMPRODUCT(--('93_TARGET_MEMBERSHIP'!AS$5:AS$27=-1),'92_FEATURE_CONF_NUMERIC'!AI$5:AI$27)/MAX(1,COUNTIF('93_TARGET_MEMBERSHIP'!AS$5:AS$27,-1)))))</f>
        <v/>
      </c>
      <c r="AI48" s="34">
        <f>IF($B48="ABSOLUTE SEMANTIC",'19_FEATURE_CONFIDENCE'!$D$37,SQRT((SUMPRODUCT(--('93_TARGET_MEMBERSHIP'!AS$5:AS$27=1),'92_FEATURE_CONF_NUMERIC'!AJ$5:AJ$27)/MAX(1,COUNTIF('93_TARGET_MEMBERSHIP'!AS$5:AS$27,1)))*(SUMPRODUCT(--('93_TARGET_MEMBERSHIP'!AS$5:AS$27=-1),'92_FEATURE_CONF_NUMERIC'!AJ$5:AJ$27)/MAX(1,COUNTIF('93_TARGET_MEMBERSHIP'!AS$5:AS$27,-1)))))</f>
        <v/>
      </c>
      <c r="AJ48" s="34">
        <f>IF($B48="ABSOLUTE SEMANTIC",'19_FEATURE_CONFIDENCE'!$D$38,SQRT((SUMPRODUCT(--('93_TARGET_MEMBERSHIP'!AS$5:AS$27=1),'92_FEATURE_CONF_NUMERIC'!AK$5:AK$27)/MAX(1,COUNTIF('93_TARGET_MEMBERSHIP'!AS$5:AS$27,1)))*(SUMPRODUCT(--('93_TARGET_MEMBERSHIP'!AS$5:AS$27=-1),'92_FEATURE_CONF_NUMERIC'!AK$5:AK$27)/MAX(1,COUNTIF('93_TARGET_MEMBERSHIP'!AS$5:AS$27,-1)))))</f>
        <v/>
      </c>
      <c r="AK48" s="34">
        <f>IF($B48="ABSOLUTE SEMANTIC",'19_FEATURE_CONFIDENCE'!$D$39,SQRT((SUMPRODUCT(--('93_TARGET_MEMBERSHIP'!AS$5:AS$27=1),'92_FEATURE_CONF_NUMERIC'!AL$5:AL$27)/MAX(1,COUNTIF('93_TARGET_MEMBERSHIP'!AS$5:AS$27,1)))*(SUMPRODUCT(--('93_TARGET_MEMBERSHIP'!AS$5:AS$27=-1),'92_FEATURE_CONF_NUMERIC'!AL$5:AL$27)/MAX(1,COUNTIF('93_TARGET_MEMBERSHIP'!AS$5:AS$27,-1)))))</f>
        <v/>
      </c>
      <c r="AL48" s="34">
        <f>IF($B48="ABSOLUTE SEMANTIC",'19_FEATURE_CONFIDENCE'!$D$40,SQRT((SUMPRODUCT(--('93_TARGET_MEMBERSHIP'!AS$5:AS$27=1),'92_FEATURE_CONF_NUMERIC'!AM$5:AM$27)/MAX(1,COUNTIF('93_TARGET_MEMBERSHIP'!AS$5:AS$27,1)))*(SUMPRODUCT(--('93_TARGET_MEMBERSHIP'!AS$5:AS$27=-1),'92_FEATURE_CONF_NUMERIC'!AM$5:AM$27)/MAX(1,COUNTIF('93_TARGET_MEMBERSHIP'!AS$5:AS$27,-1)))))</f>
        <v/>
      </c>
      <c r="AM48" s="34">
        <f>IF($B48="ABSOLUTE SEMANTIC",'19_FEATURE_CONFIDENCE'!$D$41,SQRT((SUMPRODUCT(--('93_TARGET_MEMBERSHIP'!AS$5:AS$27=1),'92_FEATURE_CONF_NUMERIC'!AN$5:AN$27)/MAX(1,COUNTIF('93_TARGET_MEMBERSHIP'!AS$5:AS$27,1)))*(SUMPRODUCT(--('93_TARGET_MEMBERSHIP'!AS$5:AS$27=-1),'92_FEATURE_CONF_NUMERIC'!AN$5:AN$27)/MAX(1,COUNTIF('93_TARGET_MEMBERSHIP'!AS$5:AS$27,-1)))))</f>
        <v/>
      </c>
      <c r="AN48" s="34">
        <f>IF($B48="ABSOLUTE SEMANTIC",'19_FEATURE_CONFIDENCE'!$D$42,SQRT((SUMPRODUCT(--('93_TARGET_MEMBERSHIP'!AS$5:AS$27=1),'92_FEATURE_CONF_NUMERIC'!AO$5:AO$27)/MAX(1,COUNTIF('93_TARGET_MEMBERSHIP'!AS$5:AS$27,1)))*(SUMPRODUCT(--('93_TARGET_MEMBERSHIP'!AS$5:AS$27=-1),'92_FEATURE_CONF_NUMERIC'!AO$5:AO$27)/MAX(1,COUNTIF('93_TARGET_MEMBERSHIP'!AS$5:AS$27,-1)))))</f>
        <v/>
      </c>
      <c r="AO48" s="34">
        <f>IF($B48="ABSOLUTE SEMANTIC",'19_FEATURE_CONFIDENCE'!$D$43,SQRT((SUMPRODUCT(--('93_TARGET_MEMBERSHIP'!AS$5:AS$27=1),'92_FEATURE_CONF_NUMERIC'!AP$5:AP$27)/MAX(1,COUNTIF('93_TARGET_MEMBERSHIP'!AS$5:AS$27,1)))*(SUMPRODUCT(--('93_TARGET_MEMBERSHIP'!AS$5:AS$27=-1),'92_FEATURE_CONF_NUMERIC'!AP$5:AP$27)/MAX(1,COUNTIF('93_TARGET_MEMBERSHIP'!AS$5:AS$27,-1)))))</f>
        <v/>
      </c>
      <c r="AP48" s="34">
        <f>IF($B48="ABSOLUTE SEMANTIC",'19_FEATURE_CONFIDENCE'!$D$44,SQRT((SUMPRODUCT(--('93_TARGET_MEMBERSHIP'!AS$5:AS$27=1),'92_FEATURE_CONF_NUMERIC'!AQ$5:AQ$27)/MAX(1,COUNTIF('93_TARGET_MEMBERSHIP'!AS$5:AS$27,1)))*(SUMPRODUCT(--('93_TARGET_MEMBERSHIP'!AS$5:AS$27=-1),'92_FEATURE_CONF_NUMERIC'!AQ$5:AQ$27)/MAX(1,COUNTIF('93_TARGET_MEMBERSHIP'!AS$5:AS$27,-1)))))</f>
        <v/>
      </c>
      <c r="AQ48" s="34">
        <f>IF($B48="ABSOLUTE SEMANTIC",'19_FEATURE_CONFIDENCE'!$D$45,SQRT((SUMPRODUCT(--('93_TARGET_MEMBERSHIP'!AS$5:AS$27=1),'92_FEATURE_CONF_NUMERIC'!AR$5:AR$27)/MAX(1,COUNTIF('93_TARGET_MEMBERSHIP'!AS$5:AS$27,1)))*(SUMPRODUCT(--('93_TARGET_MEMBERSHIP'!AS$5:AS$27=-1),'92_FEATURE_CONF_NUMERIC'!AR$5:AR$27)/MAX(1,COUNTIF('93_TARGET_MEMBERSHIP'!AS$5:AS$27,-1)))))</f>
        <v/>
      </c>
    </row>
    <row r="49" ht="36" customHeight="1">
      <c r="A49" s="34">
        <f>'06_ITEM_POLE_MODEL'!A49</f>
        <v/>
      </c>
      <c r="B49" s="34">
        <f>'06_ITEM_POLE_MODEL'!E49</f>
        <v/>
      </c>
      <c r="C49" s="34">
        <f>IF($B49="ABSOLUTE SEMANTIC",'19_FEATURE_CONFIDENCE'!$D$5,SQRT((SUMPRODUCT(--('93_TARGET_MEMBERSHIP'!AT$5:AT$27=1),'92_FEATURE_CONF_NUMERIC'!D$5:D$27)/MAX(1,COUNTIF('93_TARGET_MEMBERSHIP'!AT$5:AT$27,1)))*(SUMPRODUCT(--('93_TARGET_MEMBERSHIP'!AT$5:AT$27=-1),'92_FEATURE_CONF_NUMERIC'!D$5:D$27)/MAX(1,COUNTIF('93_TARGET_MEMBERSHIP'!AT$5:AT$27,-1)))))</f>
        <v/>
      </c>
      <c r="D49" s="34">
        <f>IF($B49="ABSOLUTE SEMANTIC",'19_FEATURE_CONFIDENCE'!$D$6,SQRT((SUMPRODUCT(--('93_TARGET_MEMBERSHIP'!AT$5:AT$27=1),'92_FEATURE_CONF_NUMERIC'!E$5:E$27)/MAX(1,COUNTIF('93_TARGET_MEMBERSHIP'!AT$5:AT$27,1)))*(SUMPRODUCT(--('93_TARGET_MEMBERSHIP'!AT$5:AT$27=-1),'92_FEATURE_CONF_NUMERIC'!E$5:E$27)/MAX(1,COUNTIF('93_TARGET_MEMBERSHIP'!AT$5:AT$27,-1)))))</f>
        <v/>
      </c>
      <c r="E49" s="34">
        <f>IF($B49="ABSOLUTE SEMANTIC",'19_FEATURE_CONFIDENCE'!$D$7,SQRT((SUMPRODUCT(--('93_TARGET_MEMBERSHIP'!AT$5:AT$27=1),'92_FEATURE_CONF_NUMERIC'!F$5:F$27)/MAX(1,COUNTIF('93_TARGET_MEMBERSHIP'!AT$5:AT$27,1)))*(SUMPRODUCT(--('93_TARGET_MEMBERSHIP'!AT$5:AT$27=-1),'92_FEATURE_CONF_NUMERIC'!F$5:F$27)/MAX(1,COUNTIF('93_TARGET_MEMBERSHIP'!AT$5:AT$27,-1)))))</f>
        <v/>
      </c>
      <c r="F49" s="34">
        <f>IF($B49="ABSOLUTE SEMANTIC",'19_FEATURE_CONFIDENCE'!$D$8,SQRT((SUMPRODUCT(--('93_TARGET_MEMBERSHIP'!AT$5:AT$27=1),'92_FEATURE_CONF_NUMERIC'!G$5:G$27)/MAX(1,COUNTIF('93_TARGET_MEMBERSHIP'!AT$5:AT$27,1)))*(SUMPRODUCT(--('93_TARGET_MEMBERSHIP'!AT$5:AT$27=-1),'92_FEATURE_CONF_NUMERIC'!G$5:G$27)/MAX(1,COUNTIF('93_TARGET_MEMBERSHIP'!AT$5:AT$27,-1)))))</f>
        <v/>
      </c>
      <c r="G49" s="34">
        <f>IF($B49="ABSOLUTE SEMANTIC",'19_FEATURE_CONFIDENCE'!$D$9,SQRT((SUMPRODUCT(--('93_TARGET_MEMBERSHIP'!AT$5:AT$27=1),'92_FEATURE_CONF_NUMERIC'!H$5:H$27)/MAX(1,COUNTIF('93_TARGET_MEMBERSHIP'!AT$5:AT$27,1)))*(SUMPRODUCT(--('93_TARGET_MEMBERSHIP'!AT$5:AT$27=-1),'92_FEATURE_CONF_NUMERIC'!H$5:H$27)/MAX(1,COUNTIF('93_TARGET_MEMBERSHIP'!AT$5:AT$27,-1)))))</f>
        <v/>
      </c>
      <c r="H49" s="34">
        <f>IF($B49="ABSOLUTE SEMANTIC",'19_FEATURE_CONFIDENCE'!$D$10,SQRT((SUMPRODUCT(--('93_TARGET_MEMBERSHIP'!AT$5:AT$27=1),'92_FEATURE_CONF_NUMERIC'!I$5:I$27)/MAX(1,COUNTIF('93_TARGET_MEMBERSHIP'!AT$5:AT$27,1)))*(SUMPRODUCT(--('93_TARGET_MEMBERSHIP'!AT$5:AT$27=-1),'92_FEATURE_CONF_NUMERIC'!I$5:I$27)/MAX(1,COUNTIF('93_TARGET_MEMBERSHIP'!AT$5:AT$27,-1)))))</f>
        <v/>
      </c>
      <c r="I49" s="34">
        <f>IF($B49="ABSOLUTE SEMANTIC",'19_FEATURE_CONFIDENCE'!$D$11,SQRT((SUMPRODUCT(--('93_TARGET_MEMBERSHIP'!AT$5:AT$27=1),'92_FEATURE_CONF_NUMERIC'!J$5:J$27)/MAX(1,COUNTIF('93_TARGET_MEMBERSHIP'!AT$5:AT$27,1)))*(SUMPRODUCT(--('93_TARGET_MEMBERSHIP'!AT$5:AT$27=-1),'92_FEATURE_CONF_NUMERIC'!J$5:J$27)/MAX(1,COUNTIF('93_TARGET_MEMBERSHIP'!AT$5:AT$27,-1)))))</f>
        <v/>
      </c>
      <c r="J49" s="34">
        <f>IF($B49="ABSOLUTE SEMANTIC",'19_FEATURE_CONFIDENCE'!$D$12,SQRT((SUMPRODUCT(--('93_TARGET_MEMBERSHIP'!AT$5:AT$27=1),'92_FEATURE_CONF_NUMERIC'!K$5:K$27)/MAX(1,COUNTIF('93_TARGET_MEMBERSHIP'!AT$5:AT$27,1)))*(SUMPRODUCT(--('93_TARGET_MEMBERSHIP'!AT$5:AT$27=-1),'92_FEATURE_CONF_NUMERIC'!K$5:K$27)/MAX(1,COUNTIF('93_TARGET_MEMBERSHIP'!AT$5:AT$27,-1)))))</f>
        <v/>
      </c>
      <c r="K49" s="34">
        <f>IF($B49="ABSOLUTE SEMANTIC",'19_FEATURE_CONFIDENCE'!$D$13,SQRT((SUMPRODUCT(--('93_TARGET_MEMBERSHIP'!AT$5:AT$27=1),'92_FEATURE_CONF_NUMERIC'!L$5:L$27)/MAX(1,COUNTIF('93_TARGET_MEMBERSHIP'!AT$5:AT$27,1)))*(SUMPRODUCT(--('93_TARGET_MEMBERSHIP'!AT$5:AT$27=-1),'92_FEATURE_CONF_NUMERIC'!L$5:L$27)/MAX(1,COUNTIF('93_TARGET_MEMBERSHIP'!AT$5:AT$27,-1)))))</f>
        <v/>
      </c>
      <c r="L49" s="34">
        <f>IF($B49="ABSOLUTE SEMANTIC",'19_FEATURE_CONFIDENCE'!$D$14,SQRT((SUMPRODUCT(--('93_TARGET_MEMBERSHIP'!AT$5:AT$27=1),'92_FEATURE_CONF_NUMERIC'!M$5:M$27)/MAX(1,COUNTIF('93_TARGET_MEMBERSHIP'!AT$5:AT$27,1)))*(SUMPRODUCT(--('93_TARGET_MEMBERSHIP'!AT$5:AT$27=-1),'92_FEATURE_CONF_NUMERIC'!M$5:M$27)/MAX(1,COUNTIF('93_TARGET_MEMBERSHIP'!AT$5:AT$27,-1)))))</f>
        <v/>
      </c>
      <c r="M49" s="34">
        <f>IF($B49="ABSOLUTE SEMANTIC",'19_FEATURE_CONFIDENCE'!$D$15,SQRT((SUMPRODUCT(--('93_TARGET_MEMBERSHIP'!AT$5:AT$27=1),'92_FEATURE_CONF_NUMERIC'!N$5:N$27)/MAX(1,COUNTIF('93_TARGET_MEMBERSHIP'!AT$5:AT$27,1)))*(SUMPRODUCT(--('93_TARGET_MEMBERSHIP'!AT$5:AT$27=-1),'92_FEATURE_CONF_NUMERIC'!N$5:N$27)/MAX(1,COUNTIF('93_TARGET_MEMBERSHIP'!AT$5:AT$27,-1)))))</f>
        <v/>
      </c>
      <c r="N49" s="34">
        <f>IF($B49="ABSOLUTE SEMANTIC",'19_FEATURE_CONFIDENCE'!$D$16,SQRT((SUMPRODUCT(--('93_TARGET_MEMBERSHIP'!AT$5:AT$27=1),'92_FEATURE_CONF_NUMERIC'!O$5:O$27)/MAX(1,COUNTIF('93_TARGET_MEMBERSHIP'!AT$5:AT$27,1)))*(SUMPRODUCT(--('93_TARGET_MEMBERSHIP'!AT$5:AT$27=-1),'92_FEATURE_CONF_NUMERIC'!O$5:O$27)/MAX(1,COUNTIF('93_TARGET_MEMBERSHIP'!AT$5:AT$27,-1)))))</f>
        <v/>
      </c>
      <c r="O49" s="34">
        <f>IF($B49="ABSOLUTE SEMANTIC",'19_FEATURE_CONFIDENCE'!$D$17,SQRT((SUMPRODUCT(--('93_TARGET_MEMBERSHIP'!AT$5:AT$27=1),'92_FEATURE_CONF_NUMERIC'!P$5:P$27)/MAX(1,COUNTIF('93_TARGET_MEMBERSHIP'!AT$5:AT$27,1)))*(SUMPRODUCT(--('93_TARGET_MEMBERSHIP'!AT$5:AT$27=-1),'92_FEATURE_CONF_NUMERIC'!P$5:P$27)/MAX(1,COUNTIF('93_TARGET_MEMBERSHIP'!AT$5:AT$27,-1)))))</f>
        <v/>
      </c>
      <c r="P49" s="34">
        <f>IF($B49="ABSOLUTE SEMANTIC",'19_FEATURE_CONFIDENCE'!$D$18,SQRT((SUMPRODUCT(--('93_TARGET_MEMBERSHIP'!AT$5:AT$27=1),'92_FEATURE_CONF_NUMERIC'!Q$5:Q$27)/MAX(1,COUNTIF('93_TARGET_MEMBERSHIP'!AT$5:AT$27,1)))*(SUMPRODUCT(--('93_TARGET_MEMBERSHIP'!AT$5:AT$27=-1),'92_FEATURE_CONF_NUMERIC'!Q$5:Q$27)/MAX(1,COUNTIF('93_TARGET_MEMBERSHIP'!AT$5:AT$27,-1)))))</f>
        <v/>
      </c>
      <c r="Q49" s="34">
        <f>IF($B49="ABSOLUTE SEMANTIC",'19_FEATURE_CONFIDENCE'!$D$19,SQRT((SUMPRODUCT(--('93_TARGET_MEMBERSHIP'!AT$5:AT$27=1),'92_FEATURE_CONF_NUMERIC'!R$5:R$27)/MAX(1,COUNTIF('93_TARGET_MEMBERSHIP'!AT$5:AT$27,1)))*(SUMPRODUCT(--('93_TARGET_MEMBERSHIP'!AT$5:AT$27=-1),'92_FEATURE_CONF_NUMERIC'!R$5:R$27)/MAX(1,COUNTIF('93_TARGET_MEMBERSHIP'!AT$5:AT$27,-1)))))</f>
        <v/>
      </c>
      <c r="R49" s="34">
        <f>IF($B49="ABSOLUTE SEMANTIC",'19_FEATURE_CONFIDENCE'!$D$20,SQRT((SUMPRODUCT(--('93_TARGET_MEMBERSHIP'!AT$5:AT$27=1),'92_FEATURE_CONF_NUMERIC'!S$5:S$27)/MAX(1,COUNTIF('93_TARGET_MEMBERSHIP'!AT$5:AT$27,1)))*(SUMPRODUCT(--('93_TARGET_MEMBERSHIP'!AT$5:AT$27=-1),'92_FEATURE_CONF_NUMERIC'!S$5:S$27)/MAX(1,COUNTIF('93_TARGET_MEMBERSHIP'!AT$5:AT$27,-1)))))</f>
        <v/>
      </c>
      <c r="S49" s="34">
        <f>IF($B49="ABSOLUTE SEMANTIC",'19_FEATURE_CONFIDENCE'!$D$21,SQRT((SUMPRODUCT(--('93_TARGET_MEMBERSHIP'!AT$5:AT$27=1),'92_FEATURE_CONF_NUMERIC'!T$5:T$27)/MAX(1,COUNTIF('93_TARGET_MEMBERSHIP'!AT$5:AT$27,1)))*(SUMPRODUCT(--('93_TARGET_MEMBERSHIP'!AT$5:AT$27=-1),'92_FEATURE_CONF_NUMERIC'!T$5:T$27)/MAX(1,COUNTIF('93_TARGET_MEMBERSHIP'!AT$5:AT$27,-1)))))</f>
        <v/>
      </c>
      <c r="T49" s="34">
        <f>IF($B49="ABSOLUTE SEMANTIC",'19_FEATURE_CONFIDENCE'!$D$22,SQRT((SUMPRODUCT(--('93_TARGET_MEMBERSHIP'!AT$5:AT$27=1),'92_FEATURE_CONF_NUMERIC'!U$5:U$27)/MAX(1,COUNTIF('93_TARGET_MEMBERSHIP'!AT$5:AT$27,1)))*(SUMPRODUCT(--('93_TARGET_MEMBERSHIP'!AT$5:AT$27=-1),'92_FEATURE_CONF_NUMERIC'!U$5:U$27)/MAX(1,COUNTIF('93_TARGET_MEMBERSHIP'!AT$5:AT$27,-1)))))</f>
        <v/>
      </c>
      <c r="U49" s="34">
        <f>IF($B49="ABSOLUTE SEMANTIC",'19_FEATURE_CONFIDENCE'!$D$23,SQRT((SUMPRODUCT(--('93_TARGET_MEMBERSHIP'!AT$5:AT$27=1),'92_FEATURE_CONF_NUMERIC'!V$5:V$27)/MAX(1,COUNTIF('93_TARGET_MEMBERSHIP'!AT$5:AT$27,1)))*(SUMPRODUCT(--('93_TARGET_MEMBERSHIP'!AT$5:AT$27=-1),'92_FEATURE_CONF_NUMERIC'!V$5:V$27)/MAX(1,COUNTIF('93_TARGET_MEMBERSHIP'!AT$5:AT$27,-1)))))</f>
        <v/>
      </c>
      <c r="V49" s="34">
        <f>IF($B49="ABSOLUTE SEMANTIC",'19_FEATURE_CONFIDENCE'!$D$24,SQRT((SUMPRODUCT(--('93_TARGET_MEMBERSHIP'!AT$5:AT$27=1),'92_FEATURE_CONF_NUMERIC'!W$5:W$27)/MAX(1,COUNTIF('93_TARGET_MEMBERSHIP'!AT$5:AT$27,1)))*(SUMPRODUCT(--('93_TARGET_MEMBERSHIP'!AT$5:AT$27=-1),'92_FEATURE_CONF_NUMERIC'!W$5:W$27)/MAX(1,COUNTIF('93_TARGET_MEMBERSHIP'!AT$5:AT$27,-1)))))</f>
        <v/>
      </c>
      <c r="W49" s="34">
        <f>IF($B49="ABSOLUTE SEMANTIC",'19_FEATURE_CONFIDENCE'!$D$25,SQRT((SUMPRODUCT(--('93_TARGET_MEMBERSHIP'!AT$5:AT$27=1),'92_FEATURE_CONF_NUMERIC'!X$5:X$27)/MAX(1,COUNTIF('93_TARGET_MEMBERSHIP'!AT$5:AT$27,1)))*(SUMPRODUCT(--('93_TARGET_MEMBERSHIP'!AT$5:AT$27=-1),'92_FEATURE_CONF_NUMERIC'!X$5:X$27)/MAX(1,COUNTIF('93_TARGET_MEMBERSHIP'!AT$5:AT$27,-1)))))</f>
        <v/>
      </c>
      <c r="X49" s="34">
        <f>IF($B49="ABSOLUTE SEMANTIC",'19_FEATURE_CONFIDENCE'!$D$26,SQRT((SUMPRODUCT(--('93_TARGET_MEMBERSHIP'!AT$5:AT$27=1),'92_FEATURE_CONF_NUMERIC'!Y$5:Y$27)/MAX(1,COUNTIF('93_TARGET_MEMBERSHIP'!AT$5:AT$27,1)))*(SUMPRODUCT(--('93_TARGET_MEMBERSHIP'!AT$5:AT$27=-1),'92_FEATURE_CONF_NUMERIC'!Y$5:Y$27)/MAX(1,COUNTIF('93_TARGET_MEMBERSHIP'!AT$5:AT$27,-1)))))</f>
        <v/>
      </c>
      <c r="Y49" s="34">
        <f>IF($B49="ABSOLUTE SEMANTIC",'19_FEATURE_CONFIDENCE'!$D$27,SQRT((SUMPRODUCT(--('93_TARGET_MEMBERSHIP'!AT$5:AT$27=1),'92_FEATURE_CONF_NUMERIC'!Z$5:Z$27)/MAX(1,COUNTIF('93_TARGET_MEMBERSHIP'!AT$5:AT$27,1)))*(SUMPRODUCT(--('93_TARGET_MEMBERSHIP'!AT$5:AT$27=-1),'92_FEATURE_CONF_NUMERIC'!Z$5:Z$27)/MAX(1,COUNTIF('93_TARGET_MEMBERSHIP'!AT$5:AT$27,-1)))))</f>
        <v/>
      </c>
      <c r="Z49" s="34">
        <f>IF($B49="ABSOLUTE SEMANTIC",'19_FEATURE_CONFIDENCE'!$D$28,SQRT((SUMPRODUCT(--('93_TARGET_MEMBERSHIP'!AT$5:AT$27=1),'92_FEATURE_CONF_NUMERIC'!AA$5:AA$27)/MAX(1,COUNTIF('93_TARGET_MEMBERSHIP'!AT$5:AT$27,1)))*(SUMPRODUCT(--('93_TARGET_MEMBERSHIP'!AT$5:AT$27=-1),'92_FEATURE_CONF_NUMERIC'!AA$5:AA$27)/MAX(1,COUNTIF('93_TARGET_MEMBERSHIP'!AT$5:AT$27,-1)))))</f>
        <v/>
      </c>
      <c r="AA49" s="34">
        <f>IF($B49="ABSOLUTE SEMANTIC",'19_FEATURE_CONFIDENCE'!$D$29,SQRT((SUMPRODUCT(--('93_TARGET_MEMBERSHIP'!AT$5:AT$27=1),'92_FEATURE_CONF_NUMERIC'!AB$5:AB$27)/MAX(1,COUNTIF('93_TARGET_MEMBERSHIP'!AT$5:AT$27,1)))*(SUMPRODUCT(--('93_TARGET_MEMBERSHIP'!AT$5:AT$27=-1),'92_FEATURE_CONF_NUMERIC'!AB$5:AB$27)/MAX(1,COUNTIF('93_TARGET_MEMBERSHIP'!AT$5:AT$27,-1)))))</f>
        <v/>
      </c>
      <c r="AB49" s="34">
        <f>IF($B49="ABSOLUTE SEMANTIC",'19_FEATURE_CONFIDENCE'!$D$30,SQRT((SUMPRODUCT(--('93_TARGET_MEMBERSHIP'!AT$5:AT$27=1),'92_FEATURE_CONF_NUMERIC'!AC$5:AC$27)/MAX(1,COUNTIF('93_TARGET_MEMBERSHIP'!AT$5:AT$27,1)))*(SUMPRODUCT(--('93_TARGET_MEMBERSHIP'!AT$5:AT$27=-1),'92_FEATURE_CONF_NUMERIC'!AC$5:AC$27)/MAX(1,COUNTIF('93_TARGET_MEMBERSHIP'!AT$5:AT$27,-1)))))</f>
        <v/>
      </c>
      <c r="AC49" s="34">
        <f>IF($B49="ABSOLUTE SEMANTIC",'19_FEATURE_CONFIDENCE'!$D$31,SQRT((SUMPRODUCT(--('93_TARGET_MEMBERSHIP'!AT$5:AT$27=1),'92_FEATURE_CONF_NUMERIC'!AD$5:AD$27)/MAX(1,COUNTIF('93_TARGET_MEMBERSHIP'!AT$5:AT$27,1)))*(SUMPRODUCT(--('93_TARGET_MEMBERSHIP'!AT$5:AT$27=-1),'92_FEATURE_CONF_NUMERIC'!AD$5:AD$27)/MAX(1,COUNTIF('93_TARGET_MEMBERSHIP'!AT$5:AT$27,-1)))))</f>
        <v/>
      </c>
      <c r="AD49" s="34">
        <f>IF($B49="ABSOLUTE SEMANTIC",'19_FEATURE_CONFIDENCE'!$D$32,SQRT((SUMPRODUCT(--('93_TARGET_MEMBERSHIP'!AT$5:AT$27=1),'92_FEATURE_CONF_NUMERIC'!AE$5:AE$27)/MAX(1,COUNTIF('93_TARGET_MEMBERSHIP'!AT$5:AT$27,1)))*(SUMPRODUCT(--('93_TARGET_MEMBERSHIP'!AT$5:AT$27=-1),'92_FEATURE_CONF_NUMERIC'!AE$5:AE$27)/MAX(1,COUNTIF('93_TARGET_MEMBERSHIP'!AT$5:AT$27,-1)))))</f>
        <v/>
      </c>
      <c r="AE49" s="34">
        <f>IF($B49="ABSOLUTE SEMANTIC",'19_FEATURE_CONFIDENCE'!$D$33,SQRT((SUMPRODUCT(--('93_TARGET_MEMBERSHIP'!AT$5:AT$27=1),'92_FEATURE_CONF_NUMERIC'!AF$5:AF$27)/MAX(1,COUNTIF('93_TARGET_MEMBERSHIP'!AT$5:AT$27,1)))*(SUMPRODUCT(--('93_TARGET_MEMBERSHIP'!AT$5:AT$27=-1),'92_FEATURE_CONF_NUMERIC'!AF$5:AF$27)/MAX(1,COUNTIF('93_TARGET_MEMBERSHIP'!AT$5:AT$27,-1)))))</f>
        <v/>
      </c>
      <c r="AF49" s="34">
        <f>IF($B49="ABSOLUTE SEMANTIC",'19_FEATURE_CONFIDENCE'!$D$34,SQRT((SUMPRODUCT(--('93_TARGET_MEMBERSHIP'!AT$5:AT$27=1),'92_FEATURE_CONF_NUMERIC'!AG$5:AG$27)/MAX(1,COUNTIF('93_TARGET_MEMBERSHIP'!AT$5:AT$27,1)))*(SUMPRODUCT(--('93_TARGET_MEMBERSHIP'!AT$5:AT$27=-1),'92_FEATURE_CONF_NUMERIC'!AG$5:AG$27)/MAX(1,COUNTIF('93_TARGET_MEMBERSHIP'!AT$5:AT$27,-1)))))</f>
        <v/>
      </c>
      <c r="AG49" s="34">
        <f>IF($B49="ABSOLUTE SEMANTIC",'19_FEATURE_CONFIDENCE'!$D$35,SQRT((SUMPRODUCT(--('93_TARGET_MEMBERSHIP'!AT$5:AT$27=1),'92_FEATURE_CONF_NUMERIC'!AH$5:AH$27)/MAX(1,COUNTIF('93_TARGET_MEMBERSHIP'!AT$5:AT$27,1)))*(SUMPRODUCT(--('93_TARGET_MEMBERSHIP'!AT$5:AT$27=-1),'92_FEATURE_CONF_NUMERIC'!AH$5:AH$27)/MAX(1,COUNTIF('93_TARGET_MEMBERSHIP'!AT$5:AT$27,-1)))))</f>
        <v/>
      </c>
      <c r="AH49" s="34">
        <f>IF($B49="ABSOLUTE SEMANTIC",'19_FEATURE_CONFIDENCE'!$D$36,SQRT((SUMPRODUCT(--('93_TARGET_MEMBERSHIP'!AT$5:AT$27=1),'92_FEATURE_CONF_NUMERIC'!AI$5:AI$27)/MAX(1,COUNTIF('93_TARGET_MEMBERSHIP'!AT$5:AT$27,1)))*(SUMPRODUCT(--('93_TARGET_MEMBERSHIP'!AT$5:AT$27=-1),'92_FEATURE_CONF_NUMERIC'!AI$5:AI$27)/MAX(1,COUNTIF('93_TARGET_MEMBERSHIP'!AT$5:AT$27,-1)))))</f>
        <v/>
      </c>
      <c r="AI49" s="34">
        <f>IF($B49="ABSOLUTE SEMANTIC",'19_FEATURE_CONFIDENCE'!$D$37,SQRT((SUMPRODUCT(--('93_TARGET_MEMBERSHIP'!AT$5:AT$27=1),'92_FEATURE_CONF_NUMERIC'!AJ$5:AJ$27)/MAX(1,COUNTIF('93_TARGET_MEMBERSHIP'!AT$5:AT$27,1)))*(SUMPRODUCT(--('93_TARGET_MEMBERSHIP'!AT$5:AT$27=-1),'92_FEATURE_CONF_NUMERIC'!AJ$5:AJ$27)/MAX(1,COUNTIF('93_TARGET_MEMBERSHIP'!AT$5:AT$27,-1)))))</f>
        <v/>
      </c>
      <c r="AJ49" s="34">
        <f>IF($B49="ABSOLUTE SEMANTIC",'19_FEATURE_CONFIDENCE'!$D$38,SQRT((SUMPRODUCT(--('93_TARGET_MEMBERSHIP'!AT$5:AT$27=1),'92_FEATURE_CONF_NUMERIC'!AK$5:AK$27)/MAX(1,COUNTIF('93_TARGET_MEMBERSHIP'!AT$5:AT$27,1)))*(SUMPRODUCT(--('93_TARGET_MEMBERSHIP'!AT$5:AT$27=-1),'92_FEATURE_CONF_NUMERIC'!AK$5:AK$27)/MAX(1,COUNTIF('93_TARGET_MEMBERSHIP'!AT$5:AT$27,-1)))))</f>
        <v/>
      </c>
      <c r="AK49" s="34">
        <f>IF($B49="ABSOLUTE SEMANTIC",'19_FEATURE_CONFIDENCE'!$D$39,SQRT((SUMPRODUCT(--('93_TARGET_MEMBERSHIP'!AT$5:AT$27=1),'92_FEATURE_CONF_NUMERIC'!AL$5:AL$27)/MAX(1,COUNTIF('93_TARGET_MEMBERSHIP'!AT$5:AT$27,1)))*(SUMPRODUCT(--('93_TARGET_MEMBERSHIP'!AT$5:AT$27=-1),'92_FEATURE_CONF_NUMERIC'!AL$5:AL$27)/MAX(1,COUNTIF('93_TARGET_MEMBERSHIP'!AT$5:AT$27,-1)))))</f>
        <v/>
      </c>
      <c r="AL49" s="34">
        <f>IF($B49="ABSOLUTE SEMANTIC",'19_FEATURE_CONFIDENCE'!$D$40,SQRT((SUMPRODUCT(--('93_TARGET_MEMBERSHIP'!AT$5:AT$27=1),'92_FEATURE_CONF_NUMERIC'!AM$5:AM$27)/MAX(1,COUNTIF('93_TARGET_MEMBERSHIP'!AT$5:AT$27,1)))*(SUMPRODUCT(--('93_TARGET_MEMBERSHIP'!AT$5:AT$27=-1),'92_FEATURE_CONF_NUMERIC'!AM$5:AM$27)/MAX(1,COUNTIF('93_TARGET_MEMBERSHIP'!AT$5:AT$27,-1)))))</f>
        <v/>
      </c>
      <c r="AM49" s="34">
        <f>IF($B49="ABSOLUTE SEMANTIC",'19_FEATURE_CONFIDENCE'!$D$41,SQRT((SUMPRODUCT(--('93_TARGET_MEMBERSHIP'!AT$5:AT$27=1),'92_FEATURE_CONF_NUMERIC'!AN$5:AN$27)/MAX(1,COUNTIF('93_TARGET_MEMBERSHIP'!AT$5:AT$27,1)))*(SUMPRODUCT(--('93_TARGET_MEMBERSHIP'!AT$5:AT$27=-1),'92_FEATURE_CONF_NUMERIC'!AN$5:AN$27)/MAX(1,COUNTIF('93_TARGET_MEMBERSHIP'!AT$5:AT$27,-1)))))</f>
        <v/>
      </c>
      <c r="AN49" s="34">
        <f>IF($B49="ABSOLUTE SEMANTIC",'19_FEATURE_CONFIDENCE'!$D$42,SQRT((SUMPRODUCT(--('93_TARGET_MEMBERSHIP'!AT$5:AT$27=1),'92_FEATURE_CONF_NUMERIC'!AO$5:AO$27)/MAX(1,COUNTIF('93_TARGET_MEMBERSHIP'!AT$5:AT$27,1)))*(SUMPRODUCT(--('93_TARGET_MEMBERSHIP'!AT$5:AT$27=-1),'92_FEATURE_CONF_NUMERIC'!AO$5:AO$27)/MAX(1,COUNTIF('93_TARGET_MEMBERSHIP'!AT$5:AT$27,-1)))))</f>
        <v/>
      </c>
      <c r="AO49" s="34">
        <f>IF($B49="ABSOLUTE SEMANTIC",'19_FEATURE_CONFIDENCE'!$D$43,SQRT((SUMPRODUCT(--('93_TARGET_MEMBERSHIP'!AT$5:AT$27=1),'92_FEATURE_CONF_NUMERIC'!AP$5:AP$27)/MAX(1,COUNTIF('93_TARGET_MEMBERSHIP'!AT$5:AT$27,1)))*(SUMPRODUCT(--('93_TARGET_MEMBERSHIP'!AT$5:AT$27=-1),'92_FEATURE_CONF_NUMERIC'!AP$5:AP$27)/MAX(1,COUNTIF('93_TARGET_MEMBERSHIP'!AT$5:AT$27,-1)))))</f>
        <v/>
      </c>
      <c r="AP49" s="34">
        <f>IF($B49="ABSOLUTE SEMANTIC",'19_FEATURE_CONFIDENCE'!$D$44,SQRT((SUMPRODUCT(--('93_TARGET_MEMBERSHIP'!AT$5:AT$27=1),'92_FEATURE_CONF_NUMERIC'!AQ$5:AQ$27)/MAX(1,COUNTIF('93_TARGET_MEMBERSHIP'!AT$5:AT$27,1)))*(SUMPRODUCT(--('93_TARGET_MEMBERSHIP'!AT$5:AT$27=-1),'92_FEATURE_CONF_NUMERIC'!AQ$5:AQ$27)/MAX(1,COUNTIF('93_TARGET_MEMBERSHIP'!AT$5:AT$27,-1)))))</f>
        <v/>
      </c>
      <c r="AQ49" s="34">
        <f>IF($B49="ABSOLUTE SEMANTIC",'19_FEATURE_CONFIDENCE'!$D$45,SQRT((SUMPRODUCT(--('93_TARGET_MEMBERSHIP'!AT$5:AT$27=1),'92_FEATURE_CONF_NUMERIC'!AR$5:AR$27)/MAX(1,COUNTIF('93_TARGET_MEMBERSHIP'!AT$5:AT$27,1)))*(SUMPRODUCT(--('93_TARGET_MEMBERSHIP'!AT$5:AT$27=-1),'92_FEATURE_CONF_NUMERIC'!AR$5:AR$27)/MAX(1,COUNTIF('93_TARGET_MEMBERSHIP'!AT$5:AT$27,-1)))))</f>
        <v/>
      </c>
    </row>
    <row r="50" ht="36" customHeight="1">
      <c r="A50" s="34">
        <f>'06_ITEM_POLE_MODEL'!A50</f>
        <v/>
      </c>
      <c r="B50" s="34">
        <f>'06_ITEM_POLE_MODEL'!E50</f>
        <v/>
      </c>
      <c r="C50" s="34">
        <f>IF($B50="ABSOLUTE SEMANTIC",'19_FEATURE_CONFIDENCE'!$D$5,SQRT((SUMPRODUCT(--('93_TARGET_MEMBERSHIP'!AU$5:AU$27=1),'92_FEATURE_CONF_NUMERIC'!D$5:D$27)/MAX(1,COUNTIF('93_TARGET_MEMBERSHIP'!AU$5:AU$27,1)))*(SUMPRODUCT(--('93_TARGET_MEMBERSHIP'!AU$5:AU$27=-1),'92_FEATURE_CONF_NUMERIC'!D$5:D$27)/MAX(1,COUNTIF('93_TARGET_MEMBERSHIP'!AU$5:AU$27,-1)))))</f>
        <v/>
      </c>
      <c r="D50" s="34">
        <f>IF($B50="ABSOLUTE SEMANTIC",'19_FEATURE_CONFIDENCE'!$D$6,SQRT((SUMPRODUCT(--('93_TARGET_MEMBERSHIP'!AU$5:AU$27=1),'92_FEATURE_CONF_NUMERIC'!E$5:E$27)/MAX(1,COUNTIF('93_TARGET_MEMBERSHIP'!AU$5:AU$27,1)))*(SUMPRODUCT(--('93_TARGET_MEMBERSHIP'!AU$5:AU$27=-1),'92_FEATURE_CONF_NUMERIC'!E$5:E$27)/MAX(1,COUNTIF('93_TARGET_MEMBERSHIP'!AU$5:AU$27,-1)))))</f>
        <v/>
      </c>
      <c r="E50" s="34">
        <f>IF($B50="ABSOLUTE SEMANTIC",'19_FEATURE_CONFIDENCE'!$D$7,SQRT((SUMPRODUCT(--('93_TARGET_MEMBERSHIP'!AU$5:AU$27=1),'92_FEATURE_CONF_NUMERIC'!F$5:F$27)/MAX(1,COUNTIF('93_TARGET_MEMBERSHIP'!AU$5:AU$27,1)))*(SUMPRODUCT(--('93_TARGET_MEMBERSHIP'!AU$5:AU$27=-1),'92_FEATURE_CONF_NUMERIC'!F$5:F$27)/MAX(1,COUNTIF('93_TARGET_MEMBERSHIP'!AU$5:AU$27,-1)))))</f>
        <v/>
      </c>
      <c r="F50" s="34">
        <f>IF($B50="ABSOLUTE SEMANTIC",'19_FEATURE_CONFIDENCE'!$D$8,SQRT((SUMPRODUCT(--('93_TARGET_MEMBERSHIP'!AU$5:AU$27=1),'92_FEATURE_CONF_NUMERIC'!G$5:G$27)/MAX(1,COUNTIF('93_TARGET_MEMBERSHIP'!AU$5:AU$27,1)))*(SUMPRODUCT(--('93_TARGET_MEMBERSHIP'!AU$5:AU$27=-1),'92_FEATURE_CONF_NUMERIC'!G$5:G$27)/MAX(1,COUNTIF('93_TARGET_MEMBERSHIP'!AU$5:AU$27,-1)))))</f>
        <v/>
      </c>
      <c r="G50" s="34">
        <f>IF($B50="ABSOLUTE SEMANTIC",'19_FEATURE_CONFIDENCE'!$D$9,SQRT((SUMPRODUCT(--('93_TARGET_MEMBERSHIP'!AU$5:AU$27=1),'92_FEATURE_CONF_NUMERIC'!H$5:H$27)/MAX(1,COUNTIF('93_TARGET_MEMBERSHIP'!AU$5:AU$27,1)))*(SUMPRODUCT(--('93_TARGET_MEMBERSHIP'!AU$5:AU$27=-1),'92_FEATURE_CONF_NUMERIC'!H$5:H$27)/MAX(1,COUNTIF('93_TARGET_MEMBERSHIP'!AU$5:AU$27,-1)))))</f>
        <v/>
      </c>
      <c r="H50" s="34">
        <f>IF($B50="ABSOLUTE SEMANTIC",'19_FEATURE_CONFIDENCE'!$D$10,SQRT((SUMPRODUCT(--('93_TARGET_MEMBERSHIP'!AU$5:AU$27=1),'92_FEATURE_CONF_NUMERIC'!I$5:I$27)/MAX(1,COUNTIF('93_TARGET_MEMBERSHIP'!AU$5:AU$27,1)))*(SUMPRODUCT(--('93_TARGET_MEMBERSHIP'!AU$5:AU$27=-1),'92_FEATURE_CONF_NUMERIC'!I$5:I$27)/MAX(1,COUNTIF('93_TARGET_MEMBERSHIP'!AU$5:AU$27,-1)))))</f>
        <v/>
      </c>
      <c r="I50" s="34">
        <f>IF($B50="ABSOLUTE SEMANTIC",'19_FEATURE_CONFIDENCE'!$D$11,SQRT((SUMPRODUCT(--('93_TARGET_MEMBERSHIP'!AU$5:AU$27=1),'92_FEATURE_CONF_NUMERIC'!J$5:J$27)/MAX(1,COUNTIF('93_TARGET_MEMBERSHIP'!AU$5:AU$27,1)))*(SUMPRODUCT(--('93_TARGET_MEMBERSHIP'!AU$5:AU$27=-1),'92_FEATURE_CONF_NUMERIC'!J$5:J$27)/MAX(1,COUNTIF('93_TARGET_MEMBERSHIP'!AU$5:AU$27,-1)))))</f>
        <v/>
      </c>
      <c r="J50" s="34">
        <f>IF($B50="ABSOLUTE SEMANTIC",'19_FEATURE_CONFIDENCE'!$D$12,SQRT((SUMPRODUCT(--('93_TARGET_MEMBERSHIP'!AU$5:AU$27=1),'92_FEATURE_CONF_NUMERIC'!K$5:K$27)/MAX(1,COUNTIF('93_TARGET_MEMBERSHIP'!AU$5:AU$27,1)))*(SUMPRODUCT(--('93_TARGET_MEMBERSHIP'!AU$5:AU$27=-1),'92_FEATURE_CONF_NUMERIC'!K$5:K$27)/MAX(1,COUNTIF('93_TARGET_MEMBERSHIP'!AU$5:AU$27,-1)))))</f>
        <v/>
      </c>
      <c r="K50" s="34">
        <f>IF($B50="ABSOLUTE SEMANTIC",'19_FEATURE_CONFIDENCE'!$D$13,SQRT((SUMPRODUCT(--('93_TARGET_MEMBERSHIP'!AU$5:AU$27=1),'92_FEATURE_CONF_NUMERIC'!L$5:L$27)/MAX(1,COUNTIF('93_TARGET_MEMBERSHIP'!AU$5:AU$27,1)))*(SUMPRODUCT(--('93_TARGET_MEMBERSHIP'!AU$5:AU$27=-1),'92_FEATURE_CONF_NUMERIC'!L$5:L$27)/MAX(1,COUNTIF('93_TARGET_MEMBERSHIP'!AU$5:AU$27,-1)))))</f>
        <v/>
      </c>
      <c r="L50" s="34">
        <f>IF($B50="ABSOLUTE SEMANTIC",'19_FEATURE_CONFIDENCE'!$D$14,SQRT((SUMPRODUCT(--('93_TARGET_MEMBERSHIP'!AU$5:AU$27=1),'92_FEATURE_CONF_NUMERIC'!M$5:M$27)/MAX(1,COUNTIF('93_TARGET_MEMBERSHIP'!AU$5:AU$27,1)))*(SUMPRODUCT(--('93_TARGET_MEMBERSHIP'!AU$5:AU$27=-1),'92_FEATURE_CONF_NUMERIC'!M$5:M$27)/MAX(1,COUNTIF('93_TARGET_MEMBERSHIP'!AU$5:AU$27,-1)))))</f>
        <v/>
      </c>
      <c r="M50" s="34">
        <f>IF($B50="ABSOLUTE SEMANTIC",'19_FEATURE_CONFIDENCE'!$D$15,SQRT((SUMPRODUCT(--('93_TARGET_MEMBERSHIP'!AU$5:AU$27=1),'92_FEATURE_CONF_NUMERIC'!N$5:N$27)/MAX(1,COUNTIF('93_TARGET_MEMBERSHIP'!AU$5:AU$27,1)))*(SUMPRODUCT(--('93_TARGET_MEMBERSHIP'!AU$5:AU$27=-1),'92_FEATURE_CONF_NUMERIC'!N$5:N$27)/MAX(1,COUNTIF('93_TARGET_MEMBERSHIP'!AU$5:AU$27,-1)))))</f>
        <v/>
      </c>
      <c r="N50" s="34">
        <f>IF($B50="ABSOLUTE SEMANTIC",'19_FEATURE_CONFIDENCE'!$D$16,SQRT((SUMPRODUCT(--('93_TARGET_MEMBERSHIP'!AU$5:AU$27=1),'92_FEATURE_CONF_NUMERIC'!O$5:O$27)/MAX(1,COUNTIF('93_TARGET_MEMBERSHIP'!AU$5:AU$27,1)))*(SUMPRODUCT(--('93_TARGET_MEMBERSHIP'!AU$5:AU$27=-1),'92_FEATURE_CONF_NUMERIC'!O$5:O$27)/MAX(1,COUNTIF('93_TARGET_MEMBERSHIP'!AU$5:AU$27,-1)))))</f>
        <v/>
      </c>
      <c r="O50" s="34">
        <f>IF($B50="ABSOLUTE SEMANTIC",'19_FEATURE_CONFIDENCE'!$D$17,SQRT((SUMPRODUCT(--('93_TARGET_MEMBERSHIP'!AU$5:AU$27=1),'92_FEATURE_CONF_NUMERIC'!P$5:P$27)/MAX(1,COUNTIF('93_TARGET_MEMBERSHIP'!AU$5:AU$27,1)))*(SUMPRODUCT(--('93_TARGET_MEMBERSHIP'!AU$5:AU$27=-1),'92_FEATURE_CONF_NUMERIC'!P$5:P$27)/MAX(1,COUNTIF('93_TARGET_MEMBERSHIP'!AU$5:AU$27,-1)))))</f>
        <v/>
      </c>
      <c r="P50" s="34">
        <f>IF($B50="ABSOLUTE SEMANTIC",'19_FEATURE_CONFIDENCE'!$D$18,SQRT((SUMPRODUCT(--('93_TARGET_MEMBERSHIP'!AU$5:AU$27=1),'92_FEATURE_CONF_NUMERIC'!Q$5:Q$27)/MAX(1,COUNTIF('93_TARGET_MEMBERSHIP'!AU$5:AU$27,1)))*(SUMPRODUCT(--('93_TARGET_MEMBERSHIP'!AU$5:AU$27=-1),'92_FEATURE_CONF_NUMERIC'!Q$5:Q$27)/MAX(1,COUNTIF('93_TARGET_MEMBERSHIP'!AU$5:AU$27,-1)))))</f>
        <v/>
      </c>
      <c r="Q50" s="34">
        <f>IF($B50="ABSOLUTE SEMANTIC",'19_FEATURE_CONFIDENCE'!$D$19,SQRT((SUMPRODUCT(--('93_TARGET_MEMBERSHIP'!AU$5:AU$27=1),'92_FEATURE_CONF_NUMERIC'!R$5:R$27)/MAX(1,COUNTIF('93_TARGET_MEMBERSHIP'!AU$5:AU$27,1)))*(SUMPRODUCT(--('93_TARGET_MEMBERSHIP'!AU$5:AU$27=-1),'92_FEATURE_CONF_NUMERIC'!R$5:R$27)/MAX(1,COUNTIF('93_TARGET_MEMBERSHIP'!AU$5:AU$27,-1)))))</f>
        <v/>
      </c>
      <c r="R50" s="34">
        <f>IF($B50="ABSOLUTE SEMANTIC",'19_FEATURE_CONFIDENCE'!$D$20,SQRT((SUMPRODUCT(--('93_TARGET_MEMBERSHIP'!AU$5:AU$27=1),'92_FEATURE_CONF_NUMERIC'!S$5:S$27)/MAX(1,COUNTIF('93_TARGET_MEMBERSHIP'!AU$5:AU$27,1)))*(SUMPRODUCT(--('93_TARGET_MEMBERSHIP'!AU$5:AU$27=-1),'92_FEATURE_CONF_NUMERIC'!S$5:S$27)/MAX(1,COUNTIF('93_TARGET_MEMBERSHIP'!AU$5:AU$27,-1)))))</f>
        <v/>
      </c>
      <c r="S50" s="34">
        <f>IF($B50="ABSOLUTE SEMANTIC",'19_FEATURE_CONFIDENCE'!$D$21,SQRT((SUMPRODUCT(--('93_TARGET_MEMBERSHIP'!AU$5:AU$27=1),'92_FEATURE_CONF_NUMERIC'!T$5:T$27)/MAX(1,COUNTIF('93_TARGET_MEMBERSHIP'!AU$5:AU$27,1)))*(SUMPRODUCT(--('93_TARGET_MEMBERSHIP'!AU$5:AU$27=-1),'92_FEATURE_CONF_NUMERIC'!T$5:T$27)/MAX(1,COUNTIF('93_TARGET_MEMBERSHIP'!AU$5:AU$27,-1)))))</f>
        <v/>
      </c>
      <c r="T50" s="34">
        <f>IF($B50="ABSOLUTE SEMANTIC",'19_FEATURE_CONFIDENCE'!$D$22,SQRT((SUMPRODUCT(--('93_TARGET_MEMBERSHIP'!AU$5:AU$27=1),'92_FEATURE_CONF_NUMERIC'!U$5:U$27)/MAX(1,COUNTIF('93_TARGET_MEMBERSHIP'!AU$5:AU$27,1)))*(SUMPRODUCT(--('93_TARGET_MEMBERSHIP'!AU$5:AU$27=-1),'92_FEATURE_CONF_NUMERIC'!U$5:U$27)/MAX(1,COUNTIF('93_TARGET_MEMBERSHIP'!AU$5:AU$27,-1)))))</f>
        <v/>
      </c>
      <c r="U50" s="34">
        <f>IF($B50="ABSOLUTE SEMANTIC",'19_FEATURE_CONFIDENCE'!$D$23,SQRT((SUMPRODUCT(--('93_TARGET_MEMBERSHIP'!AU$5:AU$27=1),'92_FEATURE_CONF_NUMERIC'!V$5:V$27)/MAX(1,COUNTIF('93_TARGET_MEMBERSHIP'!AU$5:AU$27,1)))*(SUMPRODUCT(--('93_TARGET_MEMBERSHIP'!AU$5:AU$27=-1),'92_FEATURE_CONF_NUMERIC'!V$5:V$27)/MAX(1,COUNTIF('93_TARGET_MEMBERSHIP'!AU$5:AU$27,-1)))))</f>
        <v/>
      </c>
      <c r="V50" s="34">
        <f>IF($B50="ABSOLUTE SEMANTIC",'19_FEATURE_CONFIDENCE'!$D$24,SQRT((SUMPRODUCT(--('93_TARGET_MEMBERSHIP'!AU$5:AU$27=1),'92_FEATURE_CONF_NUMERIC'!W$5:W$27)/MAX(1,COUNTIF('93_TARGET_MEMBERSHIP'!AU$5:AU$27,1)))*(SUMPRODUCT(--('93_TARGET_MEMBERSHIP'!AU$5:AU$27=-1),'92_FEATURE_CONF_NUMERIC'!W$5:W$27)/MAX(1,COUNTIF('93_TARGET_MEMBERSHIP'!AU$5:AU$27,-1)))))</f>
        <v/>
      </c>
      <c r="W50" s="34">
        <f>IF($B50="ABSOLUTE SEMANTIC",'19_FEATURE_CONFIDENCE'!$D$25,SQRT((SUMPRODUCT(--('93_TARGET_MEMBERSHIP'!AU$5:AU$27=1),'92_FEATURE_CONF_NUMERIC'!X$5:X$27)/MAX(1,COUNTIF('93_TARGET_MEMBERSHIP'!AU$5:AU$27,1)))*(SUMPRODUCT(--('93_TARGET_MEMBERSHIP'!AU$5:AU$27=-1),'92_FEATURE_CONF_NUMERIC'!X$5:X$27)/MAX(1,COUNTIF('93_TARGET_MEMBERSHIP'!AU$5:AU$27,-1)))))</f>
        <v/>
      </c>
      <c r="X50" s="34">
        <f>IF($B50="ABSOLUTE SEMANTIC",'19_FEATURE_CONFIDENCE'!$D$26,SQRT((SUMPRODUCT(--('93_TARGET_MEMBERSHIP'!AU$5:AU$27=1),'92_FEATURE_CONF_NUMERIC'!Y$5:Y$27)/MAX(1,COUNTIF('93_TARGET_MEMBERSHIP'!AU$5:AU$27,1)))*(SUMPRODUCT(--('93_TARGET_MEMBERSHIP'!AU$5:AU$27=-1),'92_FEATURE_CONF_NUMERIC'!Y$5:Y$27)/MAX(1,COUNTIF('93_TARGET_MEMBERSHIP'!AU$5:AU$27,-1)))))</f>
        <v/>
      </c>
      <c r="Y50" s="34">
        <f>IF($B50="ABSOLUTE SEMANTIC",'19_FEATURE_CONFIDENCE'!$D$27,SQRT((SUMPRODUCT(--('93_TARGET_MEMBERSHIP'!AU$5:AU$27=1),'92_FEATURE_CONF_NUMERIC'!Z$5:Z$27)/MAX(1,COUNTIF('93_TARGET_MEMBERSHIP'!AU$5:AU$27,1)))*(SUMPRODUCT(--('93_TARGET_MEMBERSHIP'!AU$5:AU$27=-1),'92_FEATURE_CONF_NUMERIC'!Z$5:Z$27)/MAX(1,COUNTIF('93_TARGET_MEMBERSHIP'!AU$5:AU$27,-1)))))</f>
        <v/>
      </c>
      <c r="Z50" s="34">
        <f>IF($B50="ABSOLUTE SEMANTIC",'19_FEATURE_CONFIDENCE'!$D$28,SQRT((SUMPRODUCT(--('93_TARGET_MEMBERSHIP'!AU$5:AU$27=1),'92_FEATURE_CONF_NUMERIC'!AA$5:AA$27)/MAX(1,COUNTIF('93_TARGET_MEMBERSHIP'!AU$5:AU$27,1)))*(SUMPRODUCT(--('93_TARGET_MEMBERSHIP'!AU$5:AU$27=-1),'92_FEATURE_CONF_NUMERIC'!AA$5:AA$27)/MAX(1,COUNTIF('93_TARGET_MEMBERSHIP'!AU$5:AU$27,-1)))))</f>
        <v/>
      </c>
      <c r="AA50" s="34">
        <f>IF($B50="ABSOLUTE SEMANTIC",'19_FEATURE_CONFIDENCE'!$D$29,SQRT((SUMPRODUCT(--('93_TARGET_MEMBERSHIP'!AU$5:AU$27=1),'92_FEATURE_CONF_NUMERIC'!AB$5:AB$27)/MAX(1,COUNTIF('93_TARGET_MEMBERSHIP'!AU$5:AU$27,1)))*(SUMPRODUCT(--('93_TARGET_MEMBERSHIP'!AU$5:AU$27=-1),'92_FEATURE_CONF_NUMERIC'!AB$5:AB$27)/MAX(1,COUNTIF('93_TARGET_MEMBERSHIP'!AU$5:AU$27,-1)))))</f>
        <v/>
      </c>
      <c r="AB50" s="34">
        <f>IF($B50="ABSOLUTE SEMANTIC",'19_FEATURE_CONFIDENCE'!$D$30,SQRT((SUMPRODUCT(--('93_TARGET_MEMBERSHIP'!AU$5:AU$27=1),'92_FEATURE_CONF_NUMERIC'!AC$5:AC$27)/MAX(1,COUNTIF('93_TARGET_MEMBERSHIP'!AU$5:AU$27,1)))*(SUMPRODUCT(--('93_TARGET_MEMBERSHIP'!AU$5:AU$27=-1),'92_FEATURE_CONF_NUMERIC'!AC$5:AC$27)/MAX(1,COUNTIF('93_TARGET_MEMBERSHIP'!AU$5:AU$27,-1)))))</f>
        <v/>
      </c>
      <c r="AC50" s="34">
        <f>IF($B50="ABSOLUTE SEMANTIC",'19_FEATURE_CONFIDENCE'!$D$31,SQRT((SUMPRODUCT(--('93_TARGET_MEMBERSHIP'!AU$5:AU$27=1),'92_FEATURE_CONF_NUMERIC'!AD$5:AD$27)/MAX(1,COUNTIF('93_TARGET_MEMBERSHIP'!AU$5:AU$27,1)))*(SUMPRODUCT(--('93_TARGET_MEMBERSHIP'!AU$5:AU$27=-1),'92_FEATURE_CONF_NUMERIC'!AD$5:AD$27)/MAX(1,COUNTIF('93_TARGET_MEMBERSHIP'!AU$5:AU$27,-1)))))</f>
        <v/>
      </c>
      <c r="AD50" s="34">
        <f>IF($B50="ABSOLUTE SEMANTIC",'19_FEATURE_CONFIDENCE'!$D$32,SQRT((SUMPRODUCT(--('93_TARGET_MEMBERSHIP'!AU$5:AU$27=1),'92_FEATURE_CONF_NUMERIC'!AE$5:AE$27)/MAX(1,COUNTIF('93_TARGET_MEMBERSHIP'!AU$5:AU$27,1)))*(SUMPRODUCT(--('93_TARGET_MEMBERSHIP'!AU$5:AU$27=-1),'92_FEATURE_CONF_NUMERIC'!AE$5:AE$27)/MAX(1,COUNTIF('93_TARGET_MEMBERSHIP'!AU$5:AU$27,-1)))))</f>
        <v/>
      </c>
      <c r="AE50" s="34">
        <f>IF($B50="ABSOLUTE SEMANTIC",'19_FEATURE_CONFIDENCE'!$D$33,SQRT((SUMPRODUCT(--('93_TARGET_MEMBERSHIP'!AU$5:AU$27=1),'92_FEATURE_CONF_NUMERIC'!AF$5:AF$27)/MAX(1,COUNTIF('93_TARGET_MEMBERSHIP'!AU$5:AU$27,1)))*(SUMPRODUCT(--('93_TARGET_MEMBERSHIP'!AU$5:AU$27=-1),'92_FEATURE_CONF_NUMERIC'!AF$5:AF$27)/MAX(1,COUNTIF('93_TARGET_MEMBERSHIP'!AU$5:AU$27,-1)))))</f>
        <v/>
      </c>
      <c r="AF50" s="34">
        <f>IF($B50="ABSOLUTE SEMANTIC",'19_FEATURE_CONFIDENCE'!$D$34,SQRT((SUMPRODUCT(--('93_TARGET_MEMBERSHIP'!AU$5:AU$27=1),'92_FEATURE_CONF_NUMERIC'!AG$5:AG$27)/MAX(1,COUNTIF('93_TARGET_MEMBERSHIP'!AU$5:AU$27,1)))*(SUMPRODUCT(--('93_TARGET_MEMBERSHIP'!AU$5:AU$27=-1),'92_FEATURE_CONF_NUMERIC'!AG$5:AG$27)/MAX(1,COUNTIF('93_TARGET_MEMBERSHIP'!AU$5:AU$27,-1)))))</f>
        <v/>
      </c>
      <c r="AG50" s="34">
        <f>IF($B50="ABSOLUTE SEMANTIC",'19_FEATURE_CONFIDENCE'!$D$35,SQRT((SUMPRODUCT(--('93_TARGET_MEMBERSHIP'!AU$5:AU$27=1),'92_FEATURE_CONF_NUMERIC'!AH$5:AH$27)/MAX(1,COUNTIF('93_TARGET_MEMBERSHIP'!AU$5:AU$27,1)))*(SUMPRODUCT(--('93_TARGET_MEMBERSHIP'!AU$5:AU$27=-1),'92_FEATURE_CONF_NUMERIC'!AH$5:AH$27)/MAX(1,COUNTIF('93_TARGET_MEMBERSHIP'!AU$5:AU$27,-1)))))</f>
        <v/>
      </c>
      <c r="AH50" s="34">
        <f>IF($B50="ABSOLUTE SEMANTIC",'19_FEATURE_CONFIDENCE'!$D$36,SQRT((SUMPRODUCT(--('93_TARGET_MEMBERSHIP'!AU$5:AU$27=1),'92_FEATURE_CONF_NUMERIC'!AI$5:AI$27)/MAX(1,COUNTIF('93_TARGET_MEMBERSHIP'!AU$5:AU$27,1)))*(SUMPRODUCT(--('93_TARGET_MEMBERSHIP'!AU$5:AU$27=-1),'92_FEATURE_CONF_NUMERIC'!AI$5:AI$27)/MAX(1,COUNTIF('93_TARGET_MEMBERSHIP'!AU$5:AU$27,-1)))))</f>
        <v/>
      </c>
      <c r="AI50" s="34">
        <f>IF($B50="ABSOLUTE SEMANTIC",'19_FEATURE_CONFIDENCE'!$D$37,SQRT((SUMPRODUCT(--('93_TARGET_MEMBERSHIP'!AU$5:AU$27=1),'92_FEATURE_CONF_NUMERIC'!AJ$5:AJ$27)/MAX(1,COUNTIF('93_TARGET_MEMBERSHIP'!AU$5:AU$27,1)))*(SUMPRODUCT(--('93_TARGET_MEMBERSHIP'!AU$5:AU$27=-1),'92_FEATURE_CONF_NUMERIC'!AJ$5:AJ$27)/MAX(1,COUNTIF('93_TARGET_MEMBERSHIP'!AU$5:AU$27,-1)))))</f>
        <v/>
      </c>
      <c r="AJ50" s="34">
        <f>IF($B50="ABSOLUTE SEMANTIC",'19_FEATURE_CONFIDENCE'!$D$38,SQRT((SUMPRODUCT(--('93_TARGET_MEMBERSHIP'!AU$5:AU$27=1),'92_FEATURE_CONF_NUMERIC'!AK$5:AK$27)/MAX(1,COUNTIF('93_TARGET_MEMBERSHIP'!AU$5:AU$27,1)))*(SUMPRODUCT(--('93_TARGET_MEMBERSHIP'!AU$5:AU$27=-1),'92_FEATURE_CONF_NUMERIC'!AK$5:AK$27)/MAX(1,COUNTIF('93_TARGET_MEMBERSHIP'!AU$5:AU$27,-1)))))</f>
        <v/>
      </c>
      <c r="AK50" s="34">
        <f>IF($B50="ABSOLUTE SEMANTIC",'19_FEATURE_CONFIDENCE'!$D$39,SQRT((SUMPRODUCT(--('93_TARGET_MEMBERSHIP'!AU$5:AU$27=1),'92_FEATURE_CONF_NUMERIC'!AL$5:AL$27)/MAX(1,COUNTIF('93_TARGET_MEMBERSHIP'!AU$5:AU$27,1)))*(SUMPRODUCT(--('93_TARGET_MEMBERSHIP'!AU$5:AU$27=-1),'92_FEATURE_CONF_NUMERIC'!AL$5:AL$27)/MAX(1,COUNTIF('93_TARGET_MEMBERSHIP'!AU$5:AU$27,-1)))))</f>
        <v/>
      </c>
      <c r="AL50" s="34">
        <f>IF($B50="ABSOLUTE SEMANTIC",'19_FEATURE_CONFIDENCE'!$D$40,SQRT((SUMPRODUCT(--('93_TARGET_MEMBERSHIP'!AU$5:AU$27=1),'92_FEATURE_CONF_NUMERIC'!AM$5:AM$27)/MAX(1,COUNTIF('93_TARGET_MEMBERSHIP'!AU$5:AU$27,1)))*(SUMPRODUCT(--('93_TARGET_MEMBERSHIP'!AU$5:AU$27=-1),'92_FEATURE_CONF_NUMERIC'!AM$5:AM$27)/MAX(1,COUNTIF('93_TARGET_MEMBERSHIP'!AU$5:AU$27,-1)))))</f>
        <v/>
      </c>
      <c r="AM50" s="34">
        <f>IF($B50="ABSOLUTE SEMANTIC",'19_FEATURE_CONFIDENCE'!$D$41,SQRT((SUMPRODUCT(--('93_TARGET_MEMBERSHIP'!AU$5:AU$27=1),'92_FEATURE_CONF_NUMERIC'!AN$5:AN$27)/MAX(1,COUNTIF('93_TARGET_MEMBERSHIP'!AU$5:AU$27,1)))*(SUMPRODUCT(--('93_TARGET_MEMBERSHIP'!AU$5:AU$27=-1),'92_FEATURE_CONF_NUMERIC'!AN$5:AN$27)/MAX(1,COUNTIF('93_TARGET_MEMBERSHIP'!AU$5:AU$27,-1)))))</f>
        <v/>
      </c>
      <c r="AN50" s="34">
        <f>IF($B50="ABSOLUTE SEMANTIC",'19_FEATURE_CONFIDENCE'!$D$42,SQRT((SUMPRODUCT(--('93_TARGET_MEMBERSHIP'!AU$5:AU$27=1),'92_FEATURE_CONF_NUMERIC'!AO$5:AO$27)/MAX(1,COUNTIF('93_TARGET_MEMBERSHIP'!AU$5:AU$27,1)))*(SUMPRODUCT(--('93_TARGET_MEMBERSHIP'!AU$5:AU$27=-1),'92_FEATURE_CONF_NUMERIC'!AO$5:AO$27)/MAX(1,COUNTIF('93_TARGET_MEMBERSHIP'!AU$5:AU$27,-1)))))</f>
        <v/>
      </c>
      <c r="AO50" s="34">
        <f>IF($B50="ABSOLUTE SEMANTIC",'19_FEATURE_CONFIDENCE'!$D$43,SQRT((SUMPRODUCT(--('93_TARGET_MEMBERSHIP'!AU$5:AU$27=1),'92_FEATURE_CONF_NUMERIC'!AP$5:AP$27)/MAX(1,COUNTIF('93_TARGET_MEMBERSHIP'!AU$5:AU$27,1)))*(SUMPRODUCT(--('93_TARGET_MEMBERSHIP'!AU$5:AU$27=-1),'92_FEATURE_CONF_NUMERIC'!AP$5:AP$27)/MAX(1,COUNTIF('93_TARGET_MEMBERSHIP'!AU$5:AU$27,-1)))))</f>
        <v/>
      </c>
      <c r="AP50" s="34">
        <f>IF($B50="ABSOLUTE SEMANTIC",'19_FEATURE_CONFIDENCE'!$D$44,SQRT((SUMPRODUCT(--('93_TARGET_MEMBERSHIP'!AU$5:AU$27=1),'92_FEATURE_CONF_NUMERIC'!AQ$5:AQ$27)/MAX(1,COUNTIF('93_TARGET_MEMBERSHIP'!AU$5:AU$27,1)))*(SUMPRODUCT(--('93_TARGET_MEMBERSHIP'!AU$5:AU$27=-1),'92_FEATURE_CONF_NUMERIC'!AQ$5:AQ$27)/MAX(1,COUNTIF('93_TARGET_MEMBERSHIP'!AU$5:AU$27,-1)))))</f>
        <v/>
      </c>
      <c r="AQ50" s="34">
        <f>IF($B50="ABSOLUTE SEMANTIC",'19_FEATURE_CONFIDENCE'!$D$45,SQRT((SUMPRODUCT(--('93_TARGET_MEMBERSHIP'!AU$5:AU$27=1),'92_FEATURE_CONF_NUMERIC'!AR$5:AR$27)/MAX(1,COUNTIF('93_TARGET_MEMBERSHIP'!AU$5:AU$27,1)))*(SUMPRODUCT(--('93_TARGET_MEMBERSHIP'!AU$5:AU$27=-1),'92_FEATURE_CONF_NUMERIC'!AR$5:AR$27)/MAX(1,COUNTIF('93_TARGET_MEMBERSHIP'!AU$5:AU$27,-1)))))</f>
        <v/>
      </c>
    </row>
    <row r="51" ht="36" customHeight="1">
      <c r="A51" s="34">
        <f>'06_ITEM_POLE_MODEL'!A51</f>
        <v/>
      </c>
      <c r="B51" s="34">
        <f>'06_ITEM_POLE_MODEL'!E51</f>
        <v/>
      </c>
      <c r="C51" s="34">
        <f>IF($B51="ABSOLUTE SEMANTIC",'19_FEATURE_CONFIDENCE'!$D$5,SQRT((SUMPRODUCT(--('93_TARGET_MEMBERSHIP'!AV$5:AV$27=1),'92_FEATURE_CONF_NUMERIC'!D$5:D$27)/MAX(1,COUNTIF('93_TARGET_MEMBERSHIP'!AV$5:AV$27,1)))*(SUMPRODUCT(--('93_TARGET_MEMBERSHIP'!AV$5:AV$27=-1),'92_FEATURE_CONF_NUMERIC'!D$5:D$27)/MAX(1,COUNTIF('93_TARGET_MEMBERSHIP'!AV$5:AV$27,-1)))))</f>
        <v/>
      </c>
      <c r="D51" s="34">
        <f>IF($B51="ABSOLUTE SEMANTIC",'19_FEATURE_CONFIDENCE'!$D$6,SQRT((SUMPRODUCT(--('93_TARGET_MEMBERSHIP'!AV$5:AV$27=1),'92_FEATURE_CONF_NUMERIC'!E$5:E$27)/MAX(1,COUNTIF('93_TARGET_MEMBERSHIP'!AV$5:AV$27,1)))*(SUMPRODUCT(--('93_TARGET_MEMBERSHIP'!AV$5:AV$27=-1),'92_FEATURE_CONF_NUMERIC'!E$5:E$27)/MAX(1,COUNTIF('93_TARGET_MEMBERSHIP'!AV$5:AV$27,-1)))))</f>
        <v/>
      </c>
      <c r="E51" s="34">
        <f>IF($B51="ABSOLUTE SEMANTIC",'19_FEATURE_CONFIDENCE'!$D$7,SQRT((SUMPRODUCT(--('93_TARGET_MEMBERSHIP'!AV$5:AV$27=1),'92_FEATURE_CONF_NUMERIC'!F$5:F$27)/MAX(1,COUNTIF('93_TARGET_MEMBERSHIP'!AV$5:AV$27,1)))*(SUMPRODUCT(--('93_TARGET_MEMBERSHIP'!AV$5:AV$27=-1),'92_FEATURE_CONF_NUMERIC'!F$5:F$27)/MAX(1,COUNTIF('93_TARGET_MEMBERSHIP'!AV$5:AV$27,-1)))))</f>
        <v/>
      </c>
      <c r="F51" s="34">
        <f>IF($B51="ABSOLUTE SEMANTIC",'19_FEATURE_CONFIDENCE'!$D$8,SQRT((SUMPRODUCT(--('93_TARGET_MEMBERSHIP'!AV$5:AV$27=1),'92_FEATURE_CONF_NUMERIC'!G$5:G$27)/MAX(1,COUNTIF('93_TARGET_MEMBERSHIP'!AV$5:AV$27,1)))*(SUMPRODUCT(--('93_TARGET_MEMBERSHIP'!AV$5:AV$27=-1),'92_FEATURE_CONF_NUMERIC'!G$5:G$27)/MAX(1,COUNTIF('93_TARGET_MEMBERSHIP'!AV$5:AV$27,-1)))))</f>
        <v/>
      </c>
      <c r="G51" s="34">
        <f>IF($B51="ABSOLUTE SEMANTIC",'19_FEATURE_CONFIDENCE'!$D$9,SQRT((SUMPRODUCT(--('93_TARGET_MEMBERSHIP'!AV$5:AV$27=1),'92_FEATURE_CONF_NUMERIC'!H$5:H$27)/MAX(1,COUNTIF('93_TARGET_MEMBERSHIP'!AV$5:AV$27,1)))*(SUMPRODUCT(--('93_TARGET_MEMBERSHIP'!AV$5:AV$27=-1),'92_FEATURE_CONF_NUMERIC'!H$5:H$27)/MAX(1,COUNTIF('93_TARGET_MEMBERSHIP'!AV$5:AV$27,-1)))))</f>
        <v/>
      </c>
      <c r="H51" s="34">
        <f>IF($B51="ABSOLUTE SEMANTIC",'19_FEATURE_CONFIDENCE'!$D$10,SQRT((SUMPRODUCT(--('93_TARGET_MEMBERSHIP'!AV$5:AV$27=1),'92_FEATURE_CONF_NUMERIC'!I$5:I$27)/MAX(1,COUNTIF('93_TARGET_MEMBERSHIP'!AV$5:AV$27,1)))*(SUMPRODUCT(--('93_TARGET_MEMBERSHIP'!AV$5:AV$27=-1),'92_FEATURE_CONF_NUMERIC'!I$5:I$27)/MAX(1,COUNTIF('93_TARGET_MEMBERSHIP'!AV$5:AV$27,-1)))))</f>
        <v/>
      </c>
      <c r="I51" s="34">
        <f>IF($B51="ABSOLUTE SEMANTIC",'19_FEATURE_CONFIDENCE'!$D$11,SQRT((SUMPRODUCT(--('93_TARGET_MEMBERSHIP'!AV$5:AV$27=1),'92_FEATURE_CONF_NUMERIC'!J$5:J$27)/MAX(1,COUNTIF('93_TARGET_MEMBERSHIP'!AV$5:AV$27,1)))*(SUMPRODUCT(--('93_TARGET_MEMBERSHIP'!AV$5:AV$27=-1),'92_FEATURE_CONF_NUMERIC'!J$5:J$27)/MAX(1,COUNTIF('93_TARGET_MEMBERSHIP'!AV$5:AV$27,-1)))))</f>
        <v/>
      </c>
      <c r="J51" s="34">
        <f>IF($B51="ABSOLUTE SEMANTIC",'19_FEATURE_CONFIDENCE'!$D$12,SQRT((SUMPRODUCT(--('93_TARGET_MEMBERSHIP'!AV$5:AV$27=1),'92_FEATURE_CONF_NUMERIC'!K$5:K$27)/MAX(1,COUNTIF('93_TARGET_MEMBERSHIP'!AV$5:AV$27,1)))*(SUMPRODUCT(--('93_TARGET_MEMBERSHIP'!AV$5:AV$27=-1),'92_FEATURE_CONF_NUMERIC'!K$5:K$27)/MAX(1,COUNTIF('93_TARGET_MEMBERSHIP'!AV$5:AV$27,-1)))))</f>
        <v/>
      </c>
      <c r="K51" s="34">
        <f>IF($B51="ABSOLUTE SEMANTIC",'19_FEATURE_CONFIDENCE'!$D$13,SQRT((SUMPRODUCT(--('93_TARGET_MEMBERSHIP'!AV$5:AV$27=1),'92_FEATURE_CONF_NUMERIC'!L$5:L$27)/MAX(1,COUNTIF('93_TARGET_MEMBERSHIP'!AV$5:AV$27,1)))*(SUMPRODUCT(--('93_TARGET_MEMBERSHIP'!AV$5:AV$27=-1),'92_FEATURE_CONF_NUMERIC'!L$5:L$27)/MAX(1,COUNTIF('93_TARGET_MEMBERSHIP'!AV$5:AV$27,-1)))))</f>
        <v/>
      </c>
      <c r="L51" s="34">
        <f>IF($B51="ABSOLUTE SEMANTIC",'19_FEATURE_CONFIDENCE'!$D$14,SQRT((SUMPRODUCT(--('93_TARGET_MEMBERSHIP'!AV$5:AV$27=1),'92_FEATURE_CONF_NUMERIC'!M$5:M$27)/MAX(1,COUNTIF('93_TARGET_MEMBERSHIP'!AV$5:AV$27,1)))*(SUMPRODUCT(--('93_TARGET_MEMBERSHIP'!AV$5:AV$27=-1),'92_FEATURE_CONF_NUMERIC'!M$5:M$27)/MAX(1,COUNTIF('93_TARGET_MEMBERSHIP'!AV$5:AV$27,-1)))))</f>
        <v/>
      </c>
      <c r="M51" s="34">
        <f>IF($B51="ABSOLUTE SEMANTIC",'19_FEATURE_CONFIDENCE'!$D$15,SQRT((SUMPRODUCT(--('93_TARGET_MEMBERSHIP'!AV$5:AV$27=1),'92_FEATURE_CONF_NUMERIC'!N$5:N$27)/MAX(1,COUNTIF('93_TARGET_MEMBERSHIP'!AV$5:AV$27,1)))*(SUMPRODUCT(--('93_TARGET_MEMBERSHIP'!AV$5:AV$27=-1),'92_FEATURE_CONF_NUMERIC'!N$5:N$27)/MAX(1,COUNTIF('93_TARGET_MEMBERSHIP'!AV$5:AV$27,-1)))))</f>
        <v/>
      </c>
      <c r="N51" s="34">
        <f>IF($B51="ABSOLUTE SEMANTIC",'19_FEATURE_CONFIDENCE'!$D$16,SQRT((SUMPRODUCT(--('93_TARGET_MEMBERSHIP'!AV$5:AV$27=1),'92_FEATURE_CONF_NUMERIC'!O$5:O$27)/MAX(1,COUNTIF('93_TARGET_MEMBERSHIP'!AV$5:AV$27,1)))*(SUMPRODUCT(--('93_TARGET_MEMBERSHIP'!AV$5:AV$27=-1),'92_FEATURE_CONF_NUMERIC'!O$5:O$27)/MAX(1,COUNTIF('93_TARGET_MEMBERSHIP'!AV$5:AV$27,-1)))))</f>
        <v/>
      </c>
      <c r="O51" s="34">
        <f>IF($B51="ABSOLUTE SEMANTIC",'19_FEATURE_CONFIDENCE'!$D$17,SQRT((SUMPRODUCT(--('93_TARGET_MEMBERSHIP'!AV$5:AV$27=1),'92_FEATURE_CONF_NUMERIC'!P$5:P$27)/MAX(1,COUNTIF('93_TARGET_MEMBERSHIP'!AV$5:AV$27,1)))*(SUMPRODUCT(--('93_TARGET_MEMBERSHIP'!AV$5:AV$27=-1),'92_FEATURE_CONF_NUMERIC'!P$5:P$27)/MAX(1,COUNTIF('93_TARGET_MEMBERSHIP'!AV$5:AV$27,-1)))))</f>
        <v/>
      </c>
      <c r="P51" s="34">
        <f>IF($B51="ABSOLUTE SEMANTIC",'19_FEATURE_CONFIDENCE'!$D$18,SQRT((SUMPRODUCT(--('93_TARGET_MEMBERSHIP'!AV$5:AV$27=1),'92_FEATURE_CONF_NUMERIC'!Q$5:Q$27)/MAX(1,COUNTIF('93_TARGET_MEMBERSHIP'!AV$5:AV$27,1)))*(SUMPRODUCT(--('93_TARGET_MEMBERSHIP'!AV$5:AV$27=-1),'92_FEATURE_CONF_NUMERIC'!Q$5:Q$27)/MAX(1,COUNTIF('93_TARGET_MEMBERSHIP'!AV$5:AV$27,-1)))))</f>
        <v/>
      </c>
      <c r="Q51" s="34">
        <f>IF($B51="ABSOLUTE SEMANTIC",'19_FEATURE_CONFIDENCE'!$D$19,SQRT((SUMPRODUCT(--('93_TARGET_MEMBERSHIP'!AV$5:AV$27=1),'92_FEATURE_CONF_NUMERIC'!R$5:R$27)/MAX(1,COUNTIF('93_TARGET_MEMBERSHIP'!AV$5:AV$27,1)))*(SUMPRODUCT(--('93_TARGET_MEMBERSHIP'!AV$5:AV$27=-1),'92_FEATURE_CONF_NUMERIC'!R$5:R$27)/MAX(1,COUNTIF('93_TARGET_MEMBERSHIP'!AV$5:AV$27,-1)))))</f>
        <v/>
      </c>
      <c r="R51" s="34">
        <f>IF($B51="ABSOLUTE SEMANTIC",'19_FEATURE_CONFIDENCE'!$D$20,SQRT((SUMPRODUCT(--('93_TARGET_MEMBERSHIP'!AV$5:AV$27=1),'92_FEATURE_CONF_NUMERIC'!S$5:S$27)/MAX(1,COUNTIF('93_TARGET_MEMBERSHIP'!AV$5:AV$27,1)))*(SUMPRODUCT(--('93_TARGET_MEMBERSHIP'!AV$5:AV$27=-1),'92_FEATURE_CONF_NUMERIC'!S$5:S$27)/MAX(1,COUNTIF('93_TARGET_MEMBERSHIP'!AV$5:AV$27,-1)))))</f>
        <v/>
      </c>
      <c r="S51" s="34">
        <f>IF($B51="ABSOLUTE SEMANTIC",'19_FEATURE_CONFIDENCE'!$D$21,SQRT((SUMPRODUCT(--('93_TARGET_MEMBERSHIP'!AV$5:AV$27=1),'92_FEATURE_CONF_NUMERIC'!T$5:T$27)/MAX(1,COUNTIF('93_TARGET_MEMBERSHIP'!AV$5:AV$27,1)))*(SUMPRODUCT(--('93_TARGET_MEMBERSHIP'!AV$5:AV$27=-1),'92_FEATURE_CONF_NUMERIC'!T$5:T$27)/MAX(1,COUNTIF('93_TARGET_MEMBERSHIP'!AV$5:AV$27,-1)))))</f>
        <v/>
      </c>
      <c r="T51" s="34">
        <f>IF($B51="ABSOLUTE SEMANTIC",'19_FEATURE_CONFIDENCE'!$D$22,SQRT((SUMPRODUCT(--('93_TARGET_MEMBERSHIP'!AV$5:AV$27=1),'92_FEATURE_CONF_NUMERIC'!U$5:U$27)/MAX(1,COUNTIF('93_TARGET_MEMBERSHIP'!AV$5:AV$27,1)))*(SUMPRODUCT(--('93_TARGET_MEMBERSHIP'!AV$5:AV$27=-1),'92_FEATURE_CONF_NUMERIC'!U$5:U$27)/MAX(1,COUNTIF('93_TARGET_MEMBERSHIP'!AV$5:AV$27,-1)))))</f>
        <v/>
      </c>
      <c r="U51" s="34">
        <f>IF($B51="ABSOLUTE SEMANTIC",'19_FEATURE_CONFIDENCE'!$D$23,SQRT((SUMPRODUCT(--('93_TARGET_MEMBERSHIP'!AV$5:AV$27=1),'92_FEATURE_CONF_NUMERIC'!V$5:V$27)/MAX(1,COUNTIF('93_TARGET_MEMBERSHIP'!AV$5:AV$27,1)))*(SUMPRODUCT(--('93_TARGET_MEMBERSHIP'!AV$5:AV$27=-1),'92_FEATURE_CONF_NUMERIC'!V$5:V$27)/MAX(1,COUNTIF('93_TARGET_MEMBERSHIP'!AV$5:AV$27,-1)))))</f>
        <v/>
      </c>
      <c r="V51" s="34">
        <f>IF($B51="ABSOLUTE SEMANTIC",'19_FEATURE_CONFIDENCE'!$D$24,SQRT((SUMPRODUCT(--('93_TARGET_MEMBERSHIP'!AV$5:AV$27=1),'92_FEATURE_CONF_NUMERIC'!W$5:W$27)/MAX(1,COUNTIF('93_TARGET_MEMBERSHIP'!AV$5:AV$27,1)))*(SUMPRODUCT(--('93_TARGET_MEMBERSHIP'!AV$5:AV$27=-1),'92_FEATURE_CONF_NUMERIC'!W$5:W$27)/MAX(1,COUNTIF('93_TARGET_MEMBERSHIP'!AV$5:AV$27,-1)))))</f>
        <v/>
      </c>
      <c r="W51" s="34">
        <f>IF($B51="ABSOLUTE SEMANTIC",'19_FEATURE_CONFIDENCE'!$D$25,SQRT((SUMPRODUCT(--('93_TARGET_MEMBERSHIP'!AV$5:AV$27=1),'92_FEATURE_CONF_NUMERIC'!X$5:X$27)/MAX(1,COUNTIF('93_TARGET_MEMBERSHIP'!AV$5:AV$27,1)))*(SUMPRODUCT(--('93_TARGET_MEMBERSHIP'!AV$5:AV$27=-1),'92_FEATURE_CONF_NUMERIC'!X$5:X$27)/MAX(1,COUNTIF('93_TARGET_MEMBERSHIP'!AV$5:AV$27,-1)))))</f>
        <v/>
      </c>
      <c r="X51" s="34">
        <f>IF($B51="ABSOLUTE SEMANTIC",'19_FEATURE_CONFIDENCE'!$D$26,SQRT((SUMPRODUCT(--('93_TARGET_MEMBERSHIP'!AV$5:AV$27=1),'92_FEATURE_CONF_NUMERIC'!Y$5:Y$27)/MAX(1,COUNTIF('93_TARGET_MEMBERSHIP'!AV$5:AV$27,1)))*(SUMPRODUCT(--('93_TARGET_MEMBERSHIP'!AV$5:AV$27=-1),'92_FEATURE_CONF_NUMERIC'!Y$5:Y$27)/MAX(1,COUNTIF('93_TARGET_MEMBERSHIP'!AV$5:AV$27,-1)))))</f>
        <v/>
      </c>
      <c r="Y51" s="34">
        <f>IF($B51="ABSOLUTE SEMANTIC",'19_FEATURE_CONFIDENCE'!$D$27,SQRT((SUMPRODUCT(--('93_TARGET_MEMBERSHIP'!AV$5:AV$27=1),'92_FEATURE_CONF_NUMERIC'!Z$5:Z$27)/MAX(1,COUNTIF('93_TARGET_MEMBERSHIP'!AV$5:AV$27,1)))*(SUMPRODUCT(--('93_TARGET_MEMBERSHIP'!AV$5:AV$27=-1),'92_FEATURE_CONF_NUMERIC'!Z$5:Z$27)/MAX(1,COUNTIF('93_TARGET_MEMBERSHIP'!AV$5:AV$27,-1)))))</f>
        <v/>
      </c>
      <c r="Z51" s="34">
        <f>IF($B51="ABSOLUTE SEMANTIC",'19_FEATURE_CONFIDENCE'!$D$28,SQRT((SUMPRODUCT(--('93_TARGET_MEMBERSHIP'!AV$5:AV$27=1),'92_FEATURE_CONF_NUMERIC'!AA$5:AA$27)/MAX(1,COUNTIF('93_TARGET_MEMBERSHIP'!AV$5:AV$27,1)))*(SUMPRODUCT(--('93_TARGET_MEMBERSHIP'!AV$5:AV$27=-1),'92_FEATURE_CONF_NUMERIC'!AA$5:AA$27)/MAX(1,COUNTIF('93_TARGET_MEMBERSHIP'!AV$5:AV$27,-1)))))</f>
        <v/>
      </c>
      <c r="AA51" s="34">
        <f>IF($B51="ABSOLUTE SEMANTIC",'19_FEATURE_CONFIDENCE'!$D$29,SQRT((SUMPRODUCT(--('93_TARGET_MEMBERSHIP'!AV$5:AV$27=1),'92_FEATURE_CONF_NUMERIC'!AB$5:AB$27)/MAX(1,COUNTIF('93_TARGET_MEMBERSHIP'!AV$5:AV$27,1)))*(SUMPRODUCT(--('93_TARGET_MEMBERSHIP'!AV$5:AV$27=-1),'92_FEATURE_CONF_NUMERIC'!AB$5:AB$27)/MAX(1,COUNTIF('93_TARGET_MEMBERSHIP'!AV$5:AV$27,-1)))))</f>
        <v/>
      </c>
      <c r="AB51" s="34">
        <f>IF($B51="ABSOLUTE SEMANTIC",'19_FEATURE_CONFIDENCE'!$D$30,SQRT((SUMPRODUCT(--('93_TARGET_MEMBERSHIP'!AV$5:AV$27=1),'92_FEATURE_CONF_NUMERIC'!AC$5:AC$27)/MAX(1,COUNTIF('93_TARGET_MEMBERSHIP'!AV$5:AV$27,1)))*(SUMPRODUCT(--('93_TARGET_MEMBERSHIP'!AV$5:AV$27=-1),'92_FEATURE_CONF_NUMERIC'!AC$5:AC$27)/MAX(1,COUNTIF('93_TARGET_MEMBERSHIP'!AV$5:AV$27,-1)))))</f>
        <v/>
      </c>
      <c r="AC51" s="34">
        <f>IF($B51="ABSOLUTE SEMANTIC",'19_FEATURE_CONFIDENCE'!$D$31,SQRT((SUMPRODUCT(--('93_TARGET_MEMBERSHIP'!AV$5:AV$27=1),'92_FEATURE_CONF_NUMERIC'!AD$5:AD$27)/MAX(1,COUNTIF('93_TARGET_MEMBERSHIP'!AV$5:AV$27,1)))*(SUMPRODUCT(--('93_TARGET_MEMBERSHIP'!AV$5:AV$27=-1),'92_FEATURE_CONF_NUMERIC'!AD$5:AD$27)/MAX(1,COUNTIF('93_TARGET_MEMBERSHIP'!AV$5:AV$27,-1)))))</f>
        <v/>
      </c>
      <c r="AD51" s="34">
        <f>IF($B51="ABSOLUTE SEMANTIC",'19_FEATURE_CONFIDENCE'!$D$32,SQRT((SUMPRODUCT(--('93_TARGET_MEMBERSHIP'!AV$5:AV$27=1),'92_FEATURE_CONF_NUMERIC'!AE$5:AE$27)/MAX(1,COUNTIF('93_TARGET_MEMBERSHIP'!AV$5:AV$27,1)))*(SUMPRODUCT(--('93_TARGET_MEMBERSHIP'!AV$5:AV$27=-1),'92_FEATURE_CONF_NUMERIC'!AE$5:AE$27)/MAX(1,COUNTIF('93_TARGET_MEMBERSHIP'!AV$5:AV$27,-1)))))</f>
        <v/>
      </c>
      <c r="AE51" s="34">
        <f>IF($B51="ABSOLUTE SEMANTIC",'19_FEATURE_CONFIDENCE'!$D$33,SQRT((SUMPRODUCT(--('93_TARGET_MEMBERSHIP'!AV$5:AV$27=1),'92_FEATURE_CONF_NUMERIC'!AF$5:AF$27)/MAX(1,COUNTIF('93_TARGET_MEMBERSHIP'!AV$5:AV$27,1)))*(SUMPRODUCT(--('93_TARGET_MEMBERSHIP'!AV$5:AV$27=-1),'92_FEATURE_CONF_NUMERIC'!AF$5:AF$27)/MAX(1,COUNTIF('93_TARGET_MEMBERSHIP'!AV$5:AV$27,-1)))))</f>
        <v/>
      </c>
      <c r="AF51" s="34">
        <f>IF($B51="ABSOLUTE SEMANTIC",'19_FEATURE_CONFIDENCE'!$D$34,SQRT((SUMPRODUCT(--('93_TARGET_MEMBERSHIP'!AV$5:AV$27=1),'92_FEATURE_CONF_NUMERIC'!AG$5:AG$27)/MAX(1,COUNTIF('93_TARGET_MEMBERSHIP'!AV$5:AV$27,1)))*(SUMPRODUCT(--('93_TARGET_MEMBERSHIP'!AV$5:AV$27=-1),'92_FEATURE_CONF_NUMERIC'!AG$5:AG$27)/MAX(1,COUNTIF('93_TARGET_MEMBERSHIP'!AV$5:AV$27,-1)))))</f>
        <v/>
      </c>
      <c r="AG51" s="34">
        <f>IF($B51="ABSOLUTE SEMANTIC",'19_FEATURE_CONFIDENCE'!$D$35,SQRT((SUMPRODUCT(--('93_TARGET_MEMBERSHIP'!AV$5:AV$27=1),'92_FEATURE_CONF_NUMERIC'!AH$5:AH$27)/MAX(1,COUNTIF('93_TARGET_MEMBERSHIP'!AV$5:AV$27,1)))*(SUMPRODUCT(--('93_TARGET_MEMBERSHIP'!AV$5:AV$27=-1),'92_FEATURE_CONF_NUMERIC'!AH$5:AH$27)/MAX(1,COUNTIF('93_TARGET_MEMBERSHIP'!AV$5:AV$27,-1)))))</f>
        <v/>
      </c>
      <c r="AH51" s="34">
        <f>IF($B51="ABSOLUTE SEMANTIC",'19_FEATURE_CONFIDENCE'!$D$36,SQRT((SUMPRODUCT(--('93_TARGET_MEMBERSHIP'!AV$5:AV$27=1),'92_FEATURE_CONF_NUMERIC'!AI$5:AI$27)/MAX(1,COUNTIF('93_TARGET_MEMBERSHIP'!AV$5:AV$27,1)))*(SUMPRODUCT(--('93_TARGET_MEMBERSHIP'!AV$5:AV$27=-1),'92_FEATURE_CONF_NUMERIC'!AI$5:AI$27)/MAX(1,COUNTIF('93_TARGET_MEMBERSHIP'!AV$5:AV$27,-1)))))</f>
        <v/>
      </c>
      <c r="AI51" s="34">
        <f>IF($B51="ABSOLUTE SEMANTIC",'19_FEATURE_CONFIDENCE'!$D$37,SQRT((SUMPRODUCT(--('93_TARGET_MEMBERSHIP'!AV$5:AV$27=1),'92_FEATURE_CONF_NUMERIC'!AJ$5:AJ$27)/MAX(1,COUNTIF('93_TARGET_MEMBERSHIP'!AV$5:AV$27,1)))*(SUMPRODUCT(--('93_TARGET_MEMBERSHIP'!AV$5:AV$27=-1),'92_FEATURE_CONF_NUMERIC'!AJ$5:AJ$27)/MAX(1,COUNTIF('93_TARGET_MEMBERSHIP'!AV$5:AV$27,-1)))))</f>
        <v/>
      </c>
      <c r="AJ51" s="34">
        <f>IF($B51="ABSOLUTE SEMANTIC",'19_FEATURE_CONFIDENCE'!$D$38,SQRT((SUMPRODUCT(--('93_TARGET_MEMBERSHIP'!AV$5:AV$27=1),'92_FEATURE_CONF_NUMERIC'!AK$5:AK$27)/MAX(1,COUNTIF('93_TARGET_MEMBERSHIP'!AV$5:AV$27,1)))*(SUMPRODUCT(--('93_TARGET_MEMBERSHIP'!AV$5:AV$27=-1),'92_FEATURE_CONF_NUMERIC'!AK$5:AK$27)/MAX(1,COUNTIF('93_TARGET_MEMBERSHIP'!AV$5:AV$27,-1)))))</f>
        <v/>
      </c>
      <c r="AK51" s="34">
        <f>IF($B51="ABSOLUTE SEMANTIC",'19_FEATURE_CONFIDENCE'!$D$39,SQRT((SUMPRODUCT(--('93_TARGET_MEMBERSHIP'!AV$5:AV$27=1),'92_FEATURE_CONF_NUMERIC'!AL$5:AL$27)/MAX(1,COUNTIF('93_TARGET_MEMBERSHIP'!AV$5:AV$27,1)))*(SUMPRODUCT(--('93_TARGET_MEMBERSHIP'!AV$5:AV$27=-1),'92_FEATURE_CONF_NUMERIC'!AL$5:AL$27)/MAX(1,COUNTIF('93_TARGET_MEMBERSHIP'!AV$5:AV$27,-1)))))</f>
        <v/>
      </c>
      <c r="AL51" s="34">
        <f>IF($B51="ABSOLUTE SEMANTIC",'19_FEATURE_CONFIDENCE'!$D$40,SQRT((SUMPRODUCT(--('93_TARGET_MEMBERSHIP'!AV$5:AV$27=1),'92_FEATURE_CONF_NUMERIC'!AM$5:AM$27)/MAX(1,COUNTIF('93_TARGET_MEMBERSHIP'!AV$5:AV$27,1)))*(SUMPRODUCT(--('93_TARGET_MEMBERSHIP'!AV$5:AV$27=-1),'92_FEATURE_CONF_NUMERIC'!AM$5:AM$27)/MAX(1,COUNTIF('93_TARGET_MEMBERSHIP'!AV$5:AV$27,-1)))))</f>
        <v/>
      </c>
      <c r="AM51" s="34">
        <f>IF($B51="ABSOLUTE SEMANTIC",'19_FEATURE_CONFIDENCE'!$D$41,SQRT((SUMPRODUCT(--('93_TARGET_MEMBERSHIP'!AV$5:AV$27=1),'92_FEATURE_CONF_NUMERIC'!AN$5:AN$27)/MAX(1,COUNTIF('93_TARGET_MEMBERSHIP'!AV$5:AV$27,1)))*(SUMPRODUCT(--('93_TARGET_MEMBERSHIP'!AV$5:AV$27=-1),'92_FEATURE_CONF_NUMERIC'!AN$5:AN$27)/MAX(1,COUNTIF('93_TARGET_MEMBERSHIP'!AV$5:AV$27,-1)))))</f>
        <v/>
      </c>
      <c r="AN51" s="34">
        <f>IF($B51="ABSOLUTE SEMANTIC",'19_FEATURE_CONFIDENCE'!$D$42,SQRT((SUMPRODUCT(--('93_TARGET_MEMBERSHIP'!AV$5:AV$27=1),'92_FEATURE_CONF_NUMERIC'!AO$5:AO$27)/MAX(1,COUNTIF('93_TARGET_MEMBERSHIP'!AV$5:AV$27,1)))*(SUMPRODUCT(--('93_TARGET_MEMBERSHIP'!AV$5:AV$27=-1),'92_FEATURE_CONF_NUMERIC'!AO$5:AO$27)/MAX(1,COUNTIF('93_TARGET_MEMBERSHIP'!AV$5:AV$27,-1)))))</f>
        <v/>
      </c>
      <c r="AO51" s="34">
        <f>IF($B51="ABSOLUTE SEMANTIC",'19_FEATURE_CONFIDENCE'!$D$43,SQRT((SUMPRODUCT(--('93_TARGET_MEMBERSHIP'!AV$5:AV$27=1),'92_FEATURE_CONF_NUMERIC'!AP$5:AP$27)/MAX(1,COUNTIF('93_TARGET_MEMBERSHIP'!AV$5:AV$27,1)))*(SUMPRODUCT(--('93_TARGET_MEMBERSHIP'!AV$5:AV$27=-1),'92_FEATURE_CONF_NUMERIC'!AP$5:AP$27)/MAX(1,COUNTIF('93_TARGET_MEMBERSHIP'!AV$5:AV$27,-1)))))</f>
        <v/>
      </c>
      <c r="AP51" s="34">
        <f>IF($B51="ABSOLUTE SEMANTIC",'19_FEATURE_CONFIDENCE'!$D$44,SQRT((SUMPRODUCT(--('93_TARGET_MEMBERSHIP'!AV$5:AV$27=1),'92_FEATURE_CONF_NUMERIC'!AQ$5:AQ$27)/MAX(1,COUNTIF('93_TARGET_MEMBERSHIP'!AV$5:AV$27,1)))*(SUMPRODUCT(--('93_TARGET_MEMBERSHIP'!AV$5:AV$27=-1),'92_FEATURE_CONF_NUMERIC'!AQ$5:AQ$27)/MAX(1,COUNTIF('93_TARGET_MEMBERSHIP'!AV$5:AV$27,-1)))))</f>
        <v/>
      </c>
      <c r="AQ51" s="34">
        <f>IF($B51="ABSOLUTE SEMANTIC",'19_FEATURE_CONFIDENCE'!$D$45,SQRT((SUMPRODUCT(--('93_TARGET_MEMBERSHIP'!AV$5:AV$27=1),'92_FEATURE_CONF_NUMERIC'!AR$5:AR$27)/MAX(1,COUNTIF('93_TARGET_MEMBERSHIP'!AV$5:AV$27,1)))*(SUMPRODUCT(--('93_TARGET_MEMBERSHIP'!AV$5:AV$27=-1),'92_FEATURE_CONF_NUMERIC'!AR$5:AR$27)/MAX(1,COUNTIF('93_TARGET_MEMBERSHIP'!AV$5:AV$27,-1)))))</f>
        <v/>
      </c>
    </row>
    <row r="52" ht="36" customHeight="1">
      <c r="A52" s="34">
        <f>'06_ITEM_POLE_MODEL'!A52</f>
        <v/>
      </c>
      <c r="B52" s="34">
        <f>'06_ITEM_POLE_MODEL'!E52</f>
        <v/>
      </c>
      <c r="C52" s="34">
        <f>IF($B52="ABSOLUTE SEMANTIC",'19_FEATURE_CONFIDENCE'!$D$5,SQRT((SUMPRODUCT(--('93_TARGET_MEMBERSHIP'!AW$5:AW$27=1),'92_FEATURE_CONF_NUMERIC'!D$5:D$27)/MAX(1,COUNTIF('93_TARGET_MEMBERSHIP'!AW$5:AW$27,1)))*(SUMPRODUCT(--('93_TARGET_MEMBERSHIP'!AW$5:AW$27=-1),'92_FEATURE_CONF_NUMERIC'!D$5:D$27)/MAX(1,COUNTIF('93_TARGET_MEMBERSHIP'!AW$5:AW$27,-1)))))</f>
        <v/>
      </c>
      <c r="D52" s="34">
        <f>IF($B52="ABSOLUTE SEMANTIC",'19_FEATURE_CONFIDENCE'!$D$6,SQRT((SUMPRODUCT(--('93_TARGET_MEMBERSHIP'!AW$5:AW$27=1),'92_FEATURE_CONF_NUMERIC'!E$5:E$27)/MAX(1,COUNTIF('93_TARGET_MEMBERSHIP'!AW$5:AW$27,1)))*(SUMPRODUCT(--('93_TARGET_MEMBERSHIP'!AW$5:AW$27=-1),'92_FEATURE_CONF_NUMERIC'!E$5:E$27)/MAX(1,COUNTIF('93_TARGET_MEMBERSHIP'!AW$5:AW$27,-1)))))</f>
        <v/>
      </c>
      <c r="E52" s="34">
        <f>IF($B52="ABSOLUTE SEMANTIC",'19_FEATURE_CONFIDENCE'!$D$7,SQRT((SUMPRODUCT(--('93_TARGET_MEMBERSHIP'!AW$5:AW$27=1),'92_FEATURE_CONF_NUMERIC'!F$5:F$27)/MAX(1,COUNTIF('93_TARGET_MEMBERSHIP'!AW$5:AW$27,1)))*(SUMPRODUCT(--('93_TARGET_MEMBERSHIP'!AW$5:AW$27=-1),'92_FEATURE_CONF_NUMERIC'!F$5:F$27)/MAX(1,COUNTIF('93_TARGET_MEMBERSHIP'!AW$5:AW$27,-1)))))</f>
        <v/>
      </c>
      <c r="F52" s="34">
        <f>IF($B52="ABSOLUTE SEMANTIC",'19_FEATURE_CONFIDENCE'!$D$8,SQRT((SUMPRODUCT(--('93_TARGET_MEMBERSHIP'!AW$5:AW$27=1),'92_FEATURE_CONF_NUMERIC'!G$5:G$27)/MAX(1,COUNTIF('93_TARGET_MEMBERSHIP'!AW$5:AW$27,1)))*(SUMPRODUCT(--('93_TARGET_MEMBERSHIP'!AW$5:AW$27=-1),'92_FEATURE_CONF_NUMERIC'!G$5:G$27)/MAX(1,COUNTIF('93_TARGET_MEMBERSHIP'!AW$5:AW$27,-1)))))</f>
        <v/>
      </c>
      <c r="G52" s="34">
        <f>IF($B52="ABSOLUTE SEMANTIC",'19_FEATURE_CONFIDENCE'!$D$9,SQRT((SUMPRODUCT(--('93_TARGET_MEMBERSHIP'!AW$5:AW$27=1),'92_FEATURE_CONF_NUMERIC'!H$5:H$27)/MAX(1,COUNTIF('93_TARGET_MEMBERSHIP'!AW$5:AW$27,1)))*(SUMPRODUCT(--('93_TARGET_MEMBERSHIP'!AW$5:AW$27=-1),'92_FEATURE_CONF_NUMERIC'!H$5:H$27)/MAX(1,COUNTIF('93_TARGET_MEMBERSHIP'!AW$5:AW$27,-1)))))</f>
        <v/>
      </c>
      <c r="H52" s="34">
        <f>IF($B52="ABSOLUTE SEMANTIC",'19_FEATURE_CONFIDENCE'!$D$10,SQRT((SUMPRODUCT(--('93_TARGET_MEMBERSHIP'!AW$5:AW$27=1),'92_FEATURE_CONF_NUMERIC'!I$5:I$27)/MAX(1,COUNTIF('93_TARGET_MEMBERSHIP'!AW$5:AW$27,1)))*(SUMPRODUCT(--('93_TARGET_MEMBERSHIP'!AW$5:AW$27=-1),'92_FEATURE_CONF_NUMERIC'!I$5:I$27)/MAX(1,COUNTIF('93_TARGET_MEMBERSHIP'!AW$5:AW$27,-1)))))</f>
        <v/>
      </c>
      <c r="I52" s="34">
        <f>IF($B52="ABSOLUTE SEMANTIC",'19_FEATURE_CONFIDENCE'!$D$11,SQRT((SUMPRODUCT(--('93_TARGET_MEMBERSHIP'!AW$5:AW$27=1),'92_FEATURE_CONF_NUMERIC'!J$5:J$27)/MAX(1,COUNTIF('93_TARGET_MEMBERSHIP'!AW$5:AW$27,1)))*(SUMPRODUCT(--('93_TARGET_MEMBERSHIP'!AW$5:AW$27=-1),'92_FEATURE_CONF_NUMERIC'!J$5:J$27)/MAX(1,COUNTIF('93_TARGET_MEMBERSHIP'!AW$5:AW$27,-1)))))</f>
        <v/>
      </c>
      <c r="J52" s="34">
        <f>IF($B52="ABSOLUTE SEMANTIC",'19_FEATURE_CONFIDENCE'!$D$12,SQRT((SUMPRODUCT(--('93_TARGET_MEMBERSHIP'!AW$5:AW$27=1),'92_FEATURE_CONF_NUMERIC'!K$5:K$27)/MAX(1,COUNTIF('93_TARGET_MEMBERSHIP'!AW$5:AW$27,1)))*(SUMPRODUCT(--('93_TARGET_MEMBERSHIP'!AW$5:AW$27=-1),'92_FEATURE_CONF_NUMERIC'!K$5:K$27)/MAX(1,COUNTIF('93_TARGET_MEMBERSHIP'!AW$5:AW$27,-1)))))</f>
        <v/>
      </c>
      <c r="K52" s="34">
        <f>IF($B52="ABSOLUTE SEMANTIC",'19_FEATURE_CONFIDENCE'!$D$13,SQRT((SUMPRODUCT(--('93_TARGET_MEMBERSHIP'!AW$5:AW$27=1),'92_FEATURE_CONF_NUMERIC'!L$5:L$27)/MAX(1,COUNTIF('93_TARGET_MEMBERSHIP'!AW$5:AW$27,1)))*(SUMPRODUCT(--('93_TARGET_MEMBERSHIP'!AW$5:AW$27=-1),'92_FEATURE_CONF_NUMERIC'!L$5:L$27)/MAX(1,COUNTIF('93_TARGET_MEMBERSHIP'!AW$5:AW$27,-1)))))</f>
        <v/>
      </c>
      <c r="L52" s="34">
        <f>IF($B52="ABSOLUTE SEMANTIC",'19_FEATURE_CONFIDENCE'!$D$14,SQRT((SUMPRODUCT(--('93_TARGET_MEMBERSHIP'!AW$5:AW$27=1),'92_FEATURE_CONF_NUMERIC'!M$5:M$27)/MAX(1,COUNTIF('93_TARGET_MEMBERSHIP'!AW$5:AW$27,1)))*(SUMPRODUCT(--('93_TARGET_MEMBERSHIP'!AW$5:AW$27=-1),'92_FEATURE_CONF_NUMERIC'!M$5:M$27)/MAX(1,COUNTIF('93_TARGET_MEMBERSHIP'!AW$5:AW$27,-1)))))</f>
        <v/>
      </c>
      <c r="M52" s="34">
        <f>IF($B52="ABSOLUTE SEMANTIC",'19_FEATURE_CONFIDENCE'!$D$15,SQRT((SUMPRODUCT(--('93_TARGET_MEMBERSHIP'!AW$5:AW$27=1),'92_FEATURE_CONF_NUMERIC'!N$5:N$27)/MAX(1,COUNTIF('93_TARGET_MEMBERSHIP'!AW$5:AW$27,1)))*(SUMPRODUCT(--('93_TARGET_MEMBERSHIP'!AW$5:AW$27=-1),'92_FEATURE_CONF_NUMERIC'!N$5:N$27)/MAX(1,COUNTIF('93_TARGET_MEMBERSHIP'!AW$5:AW$27,-1)))))</f>
        <v/>
      </c>
      <c r="N52" s="34">
        <f>IF($B52="ABSOLUTE SEMANTIC",'19_FEATURE_CONFIDENCE'!$D$16,SQRT((SUMPRODUCT(--('93_TARGET_MEMBERSHIP'!AW$5:AW$27=1),'92_FEATURE_CONF_NUMERIC'!O$5:O$27)/MAX(1,COUNTIF('93_TARGET_MEMBERSHIP'!AW$5:AW$27,1)))*(SUMPRODUCT(--('93_TARGET_MEMBERSHIP'!AW$5:AW$27=-1),'92_FEATURE_CONF_NUMERIC'!O$5:O$27)/MAX(1,COUNTIF('93_TARGET_MEMBERSHIP'!AW$5:AW$27,-1)))))</f>
        <v/>
      </c>
      <c r="O52" s="34">
        <f>IF($B52="ABSOLUTE SEMANTIC",'19_FEATURE_CONFIDENCE'!$D$17,SQRT((SUMPRODUCT(--('93_TARGET_MEMBERSHIP'!AW$5:AW$27=1),'92_FEATURE_CONF_NUMERIC'!P$5:P$27)/MAX(1,COUNTIF('93_TARGET_MEMBERSHIP'!AW$5:AW$27,1)))*(SUMPRODUCT(--('93_TARGET_MEMBERSHIP'!AW$5:AW$27=-1),'92_FEATURE_CONF_NUMERIC'!P$5:P$27)/MAX(1,COUNTIF('93_TARGET_MEMBERSHIP'!AW$5:AW$27,-1)))))</f>
        <v/>
      </c>
      <c r="P52" s="34">
        <f>IF($B52="ABSOLUTE SEMANTIC",'19_FEATURE_CONFIDENCE'!$D$18,SQRT((SUMPRODUCT(--('93_TARGET_MEMBERSHIP'!AW$5:AW$27=1),'92_FEATURE_CONF_NUMERIC'!Q$5:Q$27)/MAX(1,COUNTIF('93_TARGET_MEMBERSHIP'!AW$5:AW$27,1)))*(SUMPRODUCT(--('93_TARGET_MEMBERSHIP'!AW$5:AW$27=-1),'92_FEATURE_CONF_NUMERIC'!Q$5:Q$27)/MAX(1,COUNTIF('93_TARGET_MEMBERSHIP'!AW$5:AW$27,-1)))))</f>
        <v/>
      </c>
      <c r="Q52" s="34">
        <f>IF($B52="ABSOLUTE SEMANTIC",'19_FEATURE_CONFIDENCE'!$D$19,SQRT((SUMPRODUCT(--('93_TARGET_MEMBERSHIP'!AW$5:AW$27=1),'92_FEATURE_CONF_NUMERIC'!R$5:R$27)/MAX(1,COUNTIF('93_TARGET_MEMBERSHIP'!AW$5:AW$27,1)))*(SUMPRODUCT(--('93_TARGET_MEMBERSHIP'!AW$5:AW$27=-1),'92_FEATURE_CONF_NUMERIC'!R$5:R$27)/MAX(1,COUNTIF('93_TARGET_MEMBERSHIP'!AW$5:AW$27,-1)))))</f>
        <v/>
      </c>
      <c r="R52" s="34">
        <f>IF($B52="ABSOLUTE SEMANTIC",'19_FEATURE_CONFIDENCE'!$D$20,SQRT((SUMPRODUCT(--('93_TARGET_MEMBERSHIP'!AW$5:AW$27=1),'92_FEATURE_CONF_NUMERIC'!S$5:S$27)/MAX(1,COUNTIF('93_TARGET_MEMBERSHIP'!AW$5:AW$27,1)))*(SUMPRODUCT(--('93_TARGET_MEMBERSHIP'!AW$5:AW$27=-1),'92_FEATURE_CONF_NUMERIC'!S$5:S$27)/MAX(1,COUNTIF('93_TARGET_MEMBERSHIP'!AW$5:AW$27,-1)))))</f>
        <v/>
      </c>
      <c r="S52" s="34">
        <f>IF($B52="ABSOLUTE SEMANTIC",'19_FEATURE_CONFIDENCE'!$D$21,SQRT((SUMPRODUCT(--('93_TARGET_MEMBERSHIP'!AW$5:AW$27=1),'92_FEATURE_CONF_NUMERIC'!T$5:T$27)/MAX(1,COUNTIF('93_TARGET_MEMBERSHIP'!AW$5:AW$27,1)))*(SUMPRODUCT(--('93_TARGET_MEMBERSHIP'!AW$5:AW$27=-1),'92_FEATURE_CONF_NUMERIC'!T$5:T$27)/MAX(1,COUNTIF('93_TARGET_MEMBERSHIP'!AW$5:AW$27,-1)))))</f>
        <v/>
      </c>
      <c r="T52" s="34">
        <f>IF($B52="ABSOLUTE SEMANTIC",'19_FEATURE_CONFIDENCE'!$D$22,SQRT((SUMPRODUCT(--('93_TARGET_MEMBERSHIP'!AW$5:AW$27=1),'92_FEATURE_CONF_NUMERIC'!U$5:U$27)/MAX(1,COUNTIF('93_TARGET_MEMBERSHIP'!AW$5:AW$27,1)))*(SUMPRODUCT(--('93_TARGET_MEMBERSHIP'!AW$5:AW$27=-1),'92_FEATURE_CONF_NUMERIC'!U$5:U$27)/MAX(1,COUNTIF('93_TARGET_MEMBERSHIP'!AW$5:AW$27,-1)))))</f>
        <v/>
      </c>
      <c r="U52" s="34">
        <f>IF($B52="ABSOLUTE SEMANTIC",'19_FEATURE_CONFIDENCE'!$D$23,SQRT((SUMPRODUCT(--('93_TARGET_MEMBERSHIP'!AW$5:AW$27=1),'92_FEATURE_CONF_NUMERIC'!V$5:V$27)/MAX(1,COUNTIF('93_TARGET_MEMBERSHIP'!AW$5:AW$27,1)))*(SUMPRODUCT(--('93_TARGET_MEMBERSHIP'!AW$5:AW$27=-1),'92_FEATURE_CONF_NUMERIC'!V$5:V$27)/MAX(1,COUNTIF('93_TARGET_MEMBERSHIP'!AW$5:AW$27,-1)))))</f>
        <v/>
      </c>
      <c r="V52" s="34">
        <f>IF($B52="ABSOLUTE SEMANTIC",'19_FEATURE_CONFIDENCE'!$D$24,SQRT((SUMPRODUCT(--('93_TARGET_MEMBERSHIP'!AW$5:AW$27=1),'92_FEATURE_CONF_NUMERIC'!W$5:W$27)/MAX(1,COUNTIF('93_TARGET_MEMBERSHIP'!AW$5:AW$27,1)))*(SUMPRODUCT(--('93_TARGET_MEMBERSHIP'!AW$5:AW$27=-1),'92_FEATURE_CONF_NUMERIC'!W$5:W$27)/MAX(1,COUNTIF('93_TARGET_MEMBERSHIP'!AW$5:AW$27,-1)))))</f>
        <v/>
      </c>
      <c r="W52" s="34">
        <f>IF($B52="ABSOLUTE SEMANTIC",'19_FEATURE_CONFIDENCE'!$D$25,SQRT((SUMPRODUCT(--('93_TARGET_MEMBERSHIP'!AW$5:AW$27=1),'92_FEATURE_CONF_NUMERIC'!X$5:X$27)/MAX(1,COUNTIF('93_TARGET_MEMBERSHIP'!AW$5:AW$27,1)))*(SUMPRODUCT(--('93_TARGET_MEMBERSHIP'!AW$5:AW$27=-1),'92_FEATURE_CONF_NUMERIC'!X$5:X$27)/MAX(1,COUNTIF('93_TARGET_MEMBERSHIP'!AW$5:AW$27,-1)))))</f>
        <v/>
      </c>
      <c r="X52" s="34">
        <f>IF($B52="ABSOLUTE SEMANTIC",'19_FEATURE_CONFIDENCE'!$D$26,SQRT((SUMPRODUCT(--('93_TARGET_MEMBERSHIP'!AW$5:AW$27=1),'92_FEATURE_CONF_NUMERIC'!Y$5:Y$27)/MAX(1,COUNTIF('93_TARGET_MEMBERSHIP'!AW$5:AW$27,1)))*(SUMPRODUCT(--('93_TARGET_MEMBERSHIP'!AW$5:AW$27=-1),'92_FEATURE_CONF_NUMERIC'!Y$5:Y$27)/MAX(1,COUNTIF('93_TARGET_MEMBERSHIP'!AW$5:AW$27,-1)))))</f>
        <v/>
      </c>
      <c r="Y52" s="34">
        <f>IF($B52="ABSOLUTE SEMANTIC",'19_FEATURE_CONFIDENCE'!$D$27,SQRT((SUMPRODUCT(--('93_TARGET_MEMBERSHIP'!AW$5:AW$27=1),'92_FEATURE_CONF_NUMERIC'!Z$5:Z$27)/MAX(1,COUNTIF('93_TARGET_MEMBERSHIP'!AW$5:AW$27,1)))*(SUMPRODUCT(--('93_TARGET_MEMBERSHIP'!AW$5:AW$27=-1),'92_FEATURE_CONF_NUMERIC'!Z$5:Z$27)/MAX(1,COUNTIF('93_TARGET_MEMBERSHIP'!AW$5:AW$27,-1)))))</f>
        <v/>
      </c>
      <c r="Z52" s="34">
        <f>IF($B52="ABSOLUTE SEMANTIC",'19_FEATURE_CONFIDENCE'!$D$28,SQRT((SUMPRODUCT(--('93_TARGET_MEMBERSHIP'!AW$5:AW$27=1),'92_FEATURE_CONF_NUMERIC'!AA$5:AA$27)/MAX(1,COUNTIF('93_TARGET_MEMBERSHIP'!AW$5:AW$27,1)))*(SUMPRODUCT(--('93_TARGET_MEMBERSHIP'!AW$5:AW$27=-1),'92_FEATURE_CONF_NUMERIC'!AA$5:AA$27)/MAX(1,COUNTIF('93_TARGET_MEMBERSHIP'!AW$5:AW$27,-1)))))</f>
        <v/>
      </c>
      <c r="AA52" s="34">
        <f>IF($B52="ABSOLUTE SEMANTIC",'19_FEATURE_CONFIDENCE'!$D$29,SQRT((SUMPRODUCT(--('93_TARGET_MEMBERSHIP'!AW$5:AW$27=1),'92_FEATURE_CONF_NUMERIC'!AB$5:AB$27)/MAX(1,COUNTIF('93_TARGET_MEMBERSHIP'!AW$5:AW$27,1)))*(SUMPRODUCT(--('93_TARGET_MEMBERSHIP'!AW$5:AW$27=-1),'92_FEATURE_CONF_NUMERIC'!AB$5:AB$27)/MAX(1,COUNTIF('93_TARGET_MEMBERSHIP'!AW$5:AW$27,-1)))))</f>
        <v/>
      </c>
      <c r="AB52" s="34">
        <f>IF($B52="ABSOLUTE SEMANTIC",'19_FEATURE_CONFIDENCE'!$D$30,SQRT((SUMPRODUCT(--('93_TARGET_MEMBERSHIP'!AW$5:AW$27=1),'92_FEATURE_CONF_NUMERIC'!AC$5:AC$27)/MAX(1,COUNTIF('93_TARGET_MEMBERSHIP'!AW$5:AW$27,1)))*(SUMPRODUCT(--('93_TARGET_MEMBERSHIP'!AW$5:AW$27=-1),'92_FEATURE_CONF_NUMERIC'!AC$5:AC$27)/MAX(1,COUNTIF('93_TARGET_MEMBERSHIP'!AW$5:AW$27,-1)))))</f>
        <v/>
      </c>
      <c r="AC52" s="34">
        <f>IF($B52="ABSOLUTE SEMANTIC",'19_FEATURE_CONFIDENCE'!$D$31,SQRT((SUMPRODUCT(--('93_TARGET_MEMBERSHIP'!AW$5:AW$27=1),'92_FEATURE_CONF_NUMERIC'!AD$5:AD$27)/MAX(1,COUNTIF('93_TARGET_MEMBERSHIP'!AW$5:AW$27,1)))*(SUMPRODUCT(--('93_TARGET_MEMBERSHIP'!AW$5:AW$27=-1),'92_FEATURE_CONF_NUMERIC'!AD$5:AD$27)/MAX(1,COUNTIF('93_TARGET_MEMBERSHIP'!AW$5:AW$27,-1)))))</f>
        <v/>
      </c>
      <c r="AD52" s="34">
        <f>IF($B52="ABSOLUTE SEMANTIC",'19_FEATURE_CONFIDENCE'!$D$32,SQRT((SUMPRODUCT(--('93_TARGET_MEMBERSHIP'!AW$5:AW$27=1),'92_FEATURE_CONF_NUMERIC'!AE$5:AE$27)/MAX(1,COUNTIF('93_TARGET_MEMBERSHIP'!AW$5:AW$27,1)))*(SUMPRODUCT(--('93_TARGET_MEMBERSHIP'!AW$5:AW$27=-1),'92_FEATURE_CONF_NUMERIC'!AE$5:AE$27)/MAX(1,COUNTIF('93_TARGET_MEMBERSHIP'!AW$5:AW$27,-1)))))</f>
        <v/>
      </c>
      <c r="AE52" s="34">
        <f>IF($B52="ABSOLUTE SEMANTIC",'19_FEATURE_CONFIDENCE'!$D$33,SQRT((SUMPRODUCT(--('93_TARGET_MEMBERSHIP'!AW$5:AW$27=1),'92_FEATURE_CONF_NUMERIC'!AF$5:AF$27)/MAX(1,COUNTIF('93_TARGET_MEMBERSHIP'!AW$5:AW$27,1)))*(SUMPRODUCT(--('93_TARGET_MEMBERSHIP'!AW$5:AW$27=-1),'92_FEATURE_CONF_NUMERIC'!AF$5:AF$27)/MAX(1,COUNTIF('93_TARGET_MEMBERSHIP'!AW$5:AW$27,-1)))))</f>
        <v/>
      </c>
      <c r="AF52" s="34">
        <f>IF($B52="ABSOLUTE SEMANTIC",'19_FEATURE_CONFIDENCE'!$D$34,SQRT((SUMPRODUCT(--('93_TARGET_MEMBERSHIP'!AW$5:AW$27=1),'92_FEATURE_CONF_NUMERIC'!AG$5:AG$27)/MAX(1,COUNTIF('93_TARGET_MEMBERSHIP'!AW$5:AW$27,1)))*(SUMPRODUCT(--('93_TARGET_MEMBERSHIP'!AW$5:AW$27=-1),'92_FEATURE_CONF_NUMERIC'!AG$5:AG$27)/MAX(1,COUNTIF('93_TARGET_MEMBERSHIP'!AW$5:AW$27,-1)))))</f>
        <v/>
      </c>
      <c r="AG52" s="34">
        <f>IF($B52="ABSOLUTE SEMANTIC",'19_FEATURE_CONFIDENCE'!$D$35,SQRT((SUMPRODUCT(--('93_TARGET_MEMBERSHIP'!AW$5:AW$27=1),'92_FEATURE_CONF_NUMERIC'!AH$5:AH$27)/MAX(1,COUNTIF('93_TARGET_MEMBERSHIP'!AW$5:AW$27,1)))*(SUMPRODUCT(--('93_TARGET_MEMBERSHIP'!AW$5:AW$27=-1),'92_FEATURE_CONF_NUMERIC'!AH$5:AH$27)/MAX(1,COUNTIF('93_TARGET_MEMBERSHIP'!AW$5:AW$27,-1)))))</f>
        <v/>
      </c>
      <c r="AH52" s="34">
        <f>IF($B52="ABSOLUTE SEMANTIC",'19_FEATURE_CONFIDENCE'!$D$36,SQRT((SUMPRODUCT(--('93_TARGET_MEMBERSHIP'!AW$5:AW$27=1),'92_FEATURE_CONF_NUMERIC'!AI$5:AI$27)/MAX(1,COUNTIF('93_TARGET_MEMBERSHIP'!AW$5:AW$27,1)))*(SUMPRODUCT(--('93_TARGET_MEMBERSHIP'!AW$5:AW$27=-1),'92_FEATURE_CONF_NUMERIC'!AI$5:AI$27)/MAX(1,COUNTIF('93_TARGET_MEMBERSHIP'!AW$5:AW$27,-1)))))</f>
        <v/>
      </c>
      <c r="AI52" s="34">
        <f>IF($B52="ABSOLUTE SEMANTIC",'19_FEATURE_CONFIDENCE'!$D$37,SQRT((SUMPRODUCT(--('93_TARGET_MEMBERSHIP'!AW$5:AW$27=1),'92_FEATURE_CONF_NUMERIC'!AJ$5:AJ$27)/MAX(1,COUNTIF('93_TARGET_MEMBERSHIP'!AW$5:AW$27,1)))*(SUMPRODUCT(--('93_TARGET_MEMBERSHIP'!AW$5:AW$27=-1),'92_FEATURE_CONF_NUMERIC'!AJ$5:AJ$27)/MAX(1,COUNTIF('93_TARGET_MEMBERSHIP'!AW$5:AW$27,-1)))))</f>
        <v/>
      </c>
      <c r="AJ52" s="34">
        <f>IF($B52="ABSOLUTE SEMANTIC",'19_FEATURE_CONFIDENCE'!$D$38,SQRT((SUMPRODUCT(--('93_TARGET_MEMBERSHIP'!AW$5:AW$27=1),'92_FEATURE_CONF_NUMERIC'!AK$5:AK$27)/MAX(1,COUNTIF('93_TARGET_MEMBERSHIP'!AW$5:AW$27,1)))*(SUMPRODUCT(--('93_TARGET_MEMBERSHIP'!AW$5:AW$27=-1),'92_FEATURE_CONF_NUMERIC'!AK$5:AK$27)/MAX(1,COUNTIF('93_TARGET_MEMBERSHIP'!AW$5:AW$27,-1)))))</f>
        <v/>
      </c>
      <c r="AK52" s="34">
        <f>IF($B52="ABSOLUTE SEMANTIC",'19_FEATURE_CONFIDENCE'!$D$39,SQRT((SUMPRODUCT(--('93_TARGET_MEMBERSHIP'!AW$5:AW$27=1),'92_FEATURE_CONF_NUMERIC'!AL$5:AL$27)/MAX(1,COUNTIF('93_TARGET_MEMBERSHIP'!AW$5:AW$27,1)))*(SUMPRODUCT(--('93_TARGET_MEMBERSHIP'!AW$5:AW$27=-1),'92_FEATURE_CONF_NUMERIC'!AL$5:AL$27)/MAX(1,COUNTIF('93_TARGET_MEMBERSHIP'!AW$5:AW$27,-1)))))</f>
        <v/>
      </c>
      <c r="AL52" s="34">
        <f>IF($B52="ABSOLUTE SEMANTIC",'19_FEATURE_CONFIDENCE'!$D$40,SQRT((SUMPRODUCT(--('93_TARGET_MEMBERSHIP'!AW$5:AW$27=1),'92_FEATURE_CONF_NUMERIC'!AM$5:AM$27)/MAX(1,COUNTIF('93_TARGET_MEMBERSHIP'!AW$5:AW$27,1)))*(SUMPRODUCT(--('93_TARGET_MEMBERSHIP'!AW$5:AW$27=-1),'92_FEATURE_CONF_NUMERIC'!AM$5:AM$27)/MAX(1,COUNTIF('93_TARGET_MEMBERSHIP'!AW$5:AW$27,-1)))))</f>
        <v/>
      </c>
      <c r="AM52" s="34">
        <f>IF($B52="ABSOLUTE SEMANTIC",'19_FEATURE_CONFIDENCE'!$D$41,SQRT((SUMPRODUCT(--('93_TARGET_MEMBERSHIP'!AW$5:AW$27=1),'92_FEATURE_CONF_NUMERIC'!AN$5:AN$27)/MAX(1,COUNTIF('93_TARGET_MEMBERSHIP'!AW$5:AW$27,1)))*(SUMPRODUCT(--('93_TARGET_MEMBERSHIP'!AW$5:AW$27=-1),'92_FEATURE_CONF_NUMERIC'!AN$5:AN$27)/MAX(1,COUNTIF('93_TARGET_MEMBERSHIP'!AW$5:AW$27,-1)))))</f>
        <v/>
      </c>
      <c r="AN52" s="34">
        <f>IF($B52="ABSOLUTE SEMANTIC",'19_FEATURE_CONFIDENCE'!$D$42,SQRT((SUMPRODUCT(--('93_TARGET_MEMBERSHIP'!AW$5:AW$27=1),'92_FEATURE_CONF_NUMERIC'!AO$5:AO$27)/MAX(1,COUNTIF('93_TARGET_MEMBERSHIP'!AW$5:AW$27,1)))*(SUMPRODUCT(--('93_TARGET_MEMBERSHIP'!AW$5:AW$27=-1),'92_FEATURE_CONF_NUMERIC'!AO$5:AO$27)/MAX(1,COUNTIF('93_TARGET_MEMBERSHIP'!AW$5:AW$27,-1)))))</f>
        <v/>
      </c>
      <c r="AO52" s="34">
        <f>IF($B52="ABSOLUTE SEMANTIC",'19_FEATURE_CONFIDENCE'!$D$43,SQRT((SUMPRODUCT(--('93_TARGET_MEMBERSHIP'!AW$5:AW$27=1),'92_FEATURE_CONF_NUMERIC'!AP$5:AP$27)/MAX(1,COUNTIF('93_TARGET_MEMBERSHIP'!AW$5:AW$27,1)))*(SUMPRODUCT(--('93_TARGET_MEMBERSHIP'!AW$5:AW$27=-1),'92_FEATURE_CONF_NUMERIC'!AP$5:AP$27)/MAX(1,COUNTIF('93_TARGET_MEMBERSHIP'!AW$5:AW$27,-1)))))</f>
        <v/>
      </c>
      <c r="AP52" s="34">
        <f>IF($B52="ABSOLUTE SEMANTIC",'19_FEATURE_CONFIDENCE'!$D$44,SQRT((SUMPRODUCT(--('93_TARGET_MEMBERSHIP'!AW$5:AW$27=1),'92_FEATURE_CONF_NUMERIC'!AQ$5:AQ$27)/MAX(1,COUNTIF('93_TARGET_MEMBERSHIP'!AW$5:AW$27,1)))*(SUMPRODUCT(--('93_TARGET_MEMBERSHIP'!AW$5:AW$27=-1),'92_FEATURE_CONF_NUMERIC'!AQ$5:AQ$27)/MAX(1,COUNTIF('93_TARGET_MEMBERSHIP'!AW$5:AW$27,-1)))))</f>
        <v/>
      </c>
      <c r="AQ52" s="34">
        <f>IF($B52="ABSOLUTE SEMANTIC",'19_FEATURE_CONFIDENCE'!$D$45,SQRT((SUMPRODUCT(--('93_TARGET_MEMBERSHIP'!AW$5:AW$27=1),'92_FEATURE_CONF_NUMERIC'!AR$5:AR$27)/MAX(1,COUNTIF('93_TARGET_MEMBERSHIP'!AW$5:AW$27,1)))*(SUMPRODUCT(--('93_TARGET_MEMBERSHIP'!AW$5:AW$27=-1),'92_FEATURE_CONF_NUMERIC'!AR$5:AR$27)/MAX(1,COUNTIF('93_TARGET_MEMBERSHIP'!AW$5:AW$27,-1)))))</f>
        <v/>
      </c>
    </row>
    <row r="53" ht="36" customHeight="1">
      <c r="A53" s="34">
        <f>'06_ITEM_POLE_MODEL'!A53</f>
        <v/>
      </c>
      <c r="B53" s="34">
        <f>'06_ITEM_POLE_MODEL'!E53</f>
        <v/>
      </c>
      <c r="C53" s="34">
        <f>IF($B53="ABSOLUTE SEMANTIC",'19_FEATURE_CONFIDENCE'!$D$5,SQRT((SUMPRODUCT(--('93_TARGET_MEMBERSHIP'!AX$5:AX$27=1),'92_FEATURE_CONF_NUMERIC'!D$5:D$27)/MAX(1,COUNTIF('93_TARGET_MEMBERSHIP'!AX$5:AX$27,1)))*(SUMPRODUCT(--('93_TARGET_MEMBERSHIP'!AX$5:AX$27=-1),'92_FEATURE_CONF_NUMERIC'!D$5:D$27)/MAX(1,COUNTIF('93_TARGET_MEMBERSHIP'!AX$5:AX$27,-1)))))</f>
        <v/>
      </c>
      <c r="D53" s="34">
        <f>IF($B53="ABSOLUTE SEMANTIC",'19_FEATURE_CONFIDENCE'!$D$6,SQRT((SUMPRODUCT(--('93_TARGET_MEMBERSHIP'!AX$5:AX$27=1),'92_FEATURE_CONF_NUMERIC'!E$5:E$27)/MAX(1,COUNTIF('93_TARGET_MEMBERSHIP'!AX$5:AX$27,1)))*(SUMPRODUCT(--('93_TARGET_MEMBERSHIP'!AX$5:AX$27=-1),'92_FEATURE_CONF_NUMERIC'!E$5:E$27)/MAX(1,COUNTIF('93_TARGET_MEMBERSHIP'!AX$5:AX$27,-1)))))</f>
        <v/>
      </c>
      <c r="E53" s="34">
        <f>IF($B53="ABSOLUTE SEMANTIC",'19_FEATURE_CONFIDENCE'!$D$7,SQRT((SUMPRODUCT(--('93_TARGET_MEMBERSHIP'!AX$5:AX$27=1),'92_FEATURE_CONF_NUMERIC'!F$5:F$27)/MAX(1,COUNTIF('93_TARGET_MEMBERSHIP'!AX$5:AX$27,1)))*(SUMPRODUCT(--('93_TARGET_MEMBERSHIP'!AX$5:AX$27=-1),'92_FEATURE_CONF_NUMERIC'!F$5:F$27)/MAX(1,COUNTIF('93_TARGET_MEMBERSHIP'!AX$5:AX$27,-1)))))</f>
        <v/>
      </c>
      <c r="F53" s="34">
        <f>IF($B53="ABSOLUTE SEMANTIC",'19_FEATURE_CONFIDENCE'!$D$8,SQRT((SUMPRODUCT(--('93_TARGET_MEMBERSHIP'!AX$5:AX$27=1),'92_FEATURE_CONF_NUMERIC'!G$5:G$27)/MAX(1,COUNTIF('93_TARGET_MEMBERSHIP'!AX$5:AX$27,1)))*(SUMPRODUCT(--('93_TARGET_MEMBERSHIP'!AX$5:AX$27=-1),'92_FEATURE_CONF_NUMERIC'!G$5:G$27)/MAX(1,COUNTIF('93_TARGET_MEMBERSHIP'!AX$5:AX$27,-1)))))</f>
        <v/>
      </c>
      <c r="G53" s="34">
        <f>IF($B53="ABSOLUTE SEMANTIC",'19_FEATURE_CONFIDENCE'!$D$9,SQRT((SUMPRODUCT(--('93_TARGET_MEMBERSHIP'!AX$5:AX$27=1),'92_FEATURE_CONF_NUMERIC'!H$5:H$27)/MAX(1,COUNTIF('93_TARGET_MEMBERSHIP'!AX$5:AX$27,1)))*(SUMPRODUCT(--('93_TARGET_MEMBERSHIP'!AX$5:AX$27=-1),'92_FEATURE_CONF_NUMERIC'!H$5:H$27)/MAX(1,COUNTIF('93_TARGET_MEMBERSHIP'!AX$5:AX$27,-1)))))</f>
        <v/>
      </c>
      <c r="H53" s="34">
        <f>IF($B53="ABSOLUTE SEMANTIC",'19_FEATURE_CONFIDENCE'!$D$10,SQRT((SUMPRODUCT(--('93_TARGET_MEMBERSHIP'!AX$5:AX$27=1),'92_FEATURE_CONF_NUMERIC'!I$5:I$27)/MAX(1,COUNTIF('93_TARGET_MEMBERSHIP'!AX$5:AX$27,1)))*(SUMPRODUCT(--('93_TARGET_MEMBERSHIP'!AX$5:AX$27=-1),'92_FEATURE_CONF_NUMERIC'!I$5:I$27)/MAX(1,COUNTIF('93_TARGET_MEMBERSHIP'!AX$5:AX$27,-1)))))</f>
        <v/>
      </c>
      <c r="I53" s="34">
        <f>IF($B53="ABSOLUTE SEMANTIC",'19_FEATURE_CONFIDENCE'!$D$11,SQRT((SUMPRODUCT(--('93_TARGET_MEMBERSHIP'!AX$5:AX$27=1),'92_FEATURE_CONF_NUMERIC'!J$5:J$27)/MAX(1,COUNTIF('93_TARGET_MEMBERSHIP'!AX$5:AX$27,1)))*(SUMPRODUCT(--('93_TARGET_MEMBERSHIP'!AX$5:AX$27=-1),'92_FEATURE_CONF_NUMERIC'!J$5:J$27)/MAX(1,COUNTIF('93_TARGET_MEMBERSHIP'!AX$5:AX$27,-1)))))</f>
        <v/>
      </c>
      <c r="J53" s="34">
        <f>IF($B53="ABSOLUTE SEMANTIC",'19_FEATURE_CONFIDENCE'!$D$12,SQRT((SUMPRODUCT(--('93_TARGET_MEMBERSHIP'!AX$5:AX$27=1),'92_FEATURE_CONF_NUMERIC'!K$5:K$27)/MAX(1,COUNTIF('93_TARGET_MEMBERSHIP'!AX$5:AX$27,1)))*(SUMPRODUCT(--('93_TARGET_MEMBERSHIP'!AX$5:AX$27=-1),'92_FEATURE_CONF_NUMERIC'!K$5:K$27)/MAX(1,COUNTIF('93_TARGET_MEMBERSHIP'!AX$5:AX$27,-1)))))</f>
        <v/>
      </c>
      <c r="K53" s="34">
        <f>IF($B53="ABSOLUTE SEMANTIC",'19_FEATURE_CONFIDENCE'!$D$13,SQRT((SUMPRODUCT(--('93_TARGET_MEMBERSHIP'!AX$5:AX$27=1),'92_FEATURE_CONF_NUMERIC'!L$5:L$27)/MAX(1,COUNTIF('93_TARGET_MEMBERSHIP'!AX$5:AX$27,1)))*(SUMPRODUCT(--('93_TARGET_MEMBERSHIP'!AX$5:AX$27=-1),'92_FEATURE_CONF_NUMERIC'!L$5:L$27)/MAX(1,COUNTIF('93_TARGET_MEMBERSHIP'!AX$5:AX$27,-1)))))</f>
        <v/>
      </c>
      <c r="L53" s="34">
        <f>IF($B53="ABSOLUTE SEMANTIC",'19_FEATURE_CONFIDENCE'!$D$14,SQRT((SUMPRODUCT(--('93_TARGET_MEMBERSHIP'!AX$5:AX$27=1),'92_FEATURE_CONF_NUMERIC'!M$5:M$27)/MAX(1,COUNTIF('93_TARGET_MEMBERSHIP'!AX$5:AX$27,1)))*(SUMPRODUCT(--('93_TARGET_MEMBERSHIP'!AX$5:AX$27=-1),'92_FEATURE_CONF_NUMERIC'!M$5:M$27)/MAX(1,COUNTIF('93_TARGET_MEMBERSHIP'!AX$5:AX$27,-1)))))</f>
        <v/>
      </c>
      <c r="M53" s="34">
        <f>IF($B53="ABSOLUTE SEMANTIC",'19_FEATURE_CONFIDENCE'!$D$15,SQRT((SUMPRODUCT(--('93_TARGET_MEMBERSHIP'!AX$5:AX$27=1),'92_FEATURE_CONF_NUMERIC'!N$5:N$27)/MAX(1,COUNTIF('93_TARGET_MEMBERSHIP'!AX$5:AX$27,1)))*(SUMPRODUCT(--('93_TARGET_MEMBERSHIP'!AX$5:AX$27=-1),'92_FEATURE_CONF_NUMERIC'!N$5:N$27)/MAX(1,COUNTIF('93_TARGET_MEMBERSHIP'!AX$5:AX$27,-1)))))</f>
        <v/>
      </c>
      <c r="N53" s="34">
        <f>IF($B53="ABSOLUTE SEMANTIC",'19_FEATURE_CONFIDENCE'!$D$16,SQRT((SUMPRODUCT(--('93_TARGET_MEMBERSHIP'!AX$5:AX$27=1),'92_FEATURE_CONF_NUMERIC'!O$5:O$27)/MAX(1,COUNTIF('93_TARGET_MEMBERSHIP'!AX$5:AX$27,1)))*(SUMPRODUCT(--('93_TARGET_MEMBERSHIP'!AX$5:AX$27=-1),'92_FEATURE_CONF_NUMERIC'!O$5:O$27)/MAX(1,COUNTIF('93_TARGET_MEMBERSHIP'!AX$5:AX$27,-1)))))</f>
        <v/>
      </c>
      <c r="O53" s="34">
        <f>IF($B53="ABSOLUTE SEMANTIC",'19_FEATURE_CONFIDENCE'!$D$17,SQRT((SUMPRODUCT(--('93_TARGET_MEMBERSHIP'!AX$5:AX$27=1),'92_FEATURE_CONF_NUMERIC'!P$5:P$27)/MAX(1,COUNTIF('93_TARGET_MEMBERSHIP'!AX$5:AX$27,1)))*(SUMPRODUCT(--('93_TARGET_MEMBERSHIP'!AX$5:AX$27=-1),'92_FEATURE_CONF_NUMERIC'!P$5:P$27)/MAX(1,COUNTIF('93_TARGET_MEMBERSHIP'!AX$5:AX$27,-1)))))</f>
        <v/>
      </c>
      <c r="P53" s="34">
        <f>IF($B53="ABSOLUTE SEMANTIC",'19_FEATURE_CONFIDENCE'!$D$18,SQRT((SUMPRODUCT(--('93_TARGET_MEMBERSHIP'!AX$5:AX$27=1),'92_FEATURE_CONF_NUMERIC'!Q$5:Q$27)/MAX(1,COUNTIF('93_TARGET_MEMBERSHIP'!AX$5:AX$27,1)))*(SUMPRODUCT(--('93_TARGET_MEMBERSHIP'!AX$5:AX$27=-1),'92_FEATURE_CONF_NUMERIC'!Q$5:Q$27)/MAX(1,COUNTIF('93_TARGET_MEMBERSHIP'!AX$5:AX$27,-1)))))</f>
        <v/>
      </c>
      <c r="Q53" s="34">
        <f>IF($B53="ABSOLUTE SEMANTIC",'19_FEATURE_CONFIDENCE'!$D$19,SQRT((SUMPRODUCT(--('93_TARGET_MEMBERSHIP'!AX$5:AX$27=1),'92_FEATURE_CONF_NUMERIC'!R$5:R$27)/MAX(1,COUNTIF('93_TARGET_MEMBERSHIP'!AX$5:AX$27,1)))*(SUMPRODUCT(--('93_TARGET_MEMBERSHIP'!AX$5:AX$27=-1),'92_FEATURE_CONF_NUMERIC'!R$5:R$27)/MAX(1,COUNTIF('93_TARGET_MEMBERSHIP'!AX$5:AX$27,-1)))))</f>
        <v/>
      </c>
      <c r="R53" s="34">
        <f>IF($B53="ABSOLUTE SEMANTIC",'19_FEATURE_CONFIDENCE'!$D$20,SQRT((SUMPRODUCT(--('93_TARGET_MEMBERSHIP'!AX$5:AX$27=1),'92_FEATURE_CONF_NUMERIC'!S$5:S$27)/MAX(1,COUNTIF('93_TARGET_MEMBERSHIP'!AX$5:AX$27,1)))*(SUMPRODUCT(--('93_TARGET_MEMBERSHIP'!AX$5:AX$27=-1),'92_FEATURE_CONF_NUMERIC'!S$5:S$27)/MAX(1,COUNTIF('93_TARGET_MEMBERSHIP'!AX$5:AX$27,-1)))))</f>
        <v/>
      </c>
      <c r="S53" s="34">
        <f>IF($B53="ABSOLUTE SEMANTIC",'19_FEATURE_CONFIDENCE'!$D$21,SQRT((SUMPRODUCT(--('93_TARGET_MEMBERSHIP'!AX$5:AX$27=1),'92_FEATURE_CONF_NUMERIC'!T$5:T$27)/MAX(1,COUNTIF('93_TARGET_MEMBERSHIP'!AX$5:AX$27,1)))*(SUMPRODUCT(--('93_TARGET_MEMBERSHIP'!AX$5:AX$27=-1),'92_FEATURE_CONF_NUMERIC'!T$5:T$27)/MAX(1,COUNTIF('93_TARGET_MEMBERSHIP'!AX$5:AX$27,-1)))))</f>
        <v/>
      </c>
      <c r="T53" s="34">
        <f>IF($B53="ABSOLUTE SEMANTIC",'19_FEATURE_CONFIDENCE'!$D$22,SQRT((SUMPRODUCT(--('93_TARGET_MEMBERSHIP'!AX$5:AX$27=1),'92_FEATURE_CONF_NUMERIC'!U$5:U$27)/MAX(1,COUNTIF('93_TARGET_MEMBERSHIP'!AX$5:AX$27,1)))*(SUMPRODUCT(--('93_TARGET_MEMBERSHIP'!AX$5:AX$27=-1),'92_FEATURE_CONF_NUMERIC'!U$5:U$27)/MAX(1,COUNTIF('93_TARGET_MEMBERSHIP'!AX$5:AX$27,-1)))))</f>
        <v/>
      </c>
      <c r="U53" s="34">
        <f>IF($B53="ABSOLUTE SEMANTIC",'19_FEATURE_CONFIDENCE'!$D$23,SQRT((SUMPRODUCT(--('93_TARGET_MEMBERSHIP'!AX$5:AX$27=1),'92_FEATURE_CONF_NUMERIC'!V$5:V$27)/MAX(1,COUNTIF('93_TARGET_MEMBERSHIP'!AX$5:AX$27,1)))*(SUMPRODUCT(--('93_TARGET_MEMBERSHIP'!AX$5:AX$27=-1),'92_FEATURE_CONF_NUMERIC'!V$5:V$27)/MAX(1,COUNTIF('93_TARGET_MEMBERSHIP'!AX$5:AX$27,-1)))))</f>
        <v/>
      </c>
      <c r="V53" s="34">
        <f>IF($B53="ABSOLUTE SEMANTIC",'19_FEATURE_CONFIDENCE'!$D$24,SQRT((SUMPRODUCT(--('93_TARGET_MEMBERSHIP'!AX$5:AX$27=1),'92_FEATURE_CONF_NUMERIC'!W$5:W$27)/MAX(1,COUNTIF('93_TARGET_MEMBERSHIP'!AX$5:AX$27,1)))*(SUMPRODUCT(--('93_TARGET_MEMBERSHIP'!AX$5:AX$27=-1),'92_FEATURE_CONF_NUMERIC'!W$5:W$27)/MAX(1,COUNTIF('93_TARGET_MEMBERSHIP'!AX$5:AX$27,-1)))))</f>
        <v/>
      </c>
      <c r="W53" s="34">
        <f>IF($B53="ABSOLUTE SEMANTIC",'19_FEATURE_CONFIDENCE'!$D$25,SQRT((SUMPRODUCT(--('93_TARGET_MEMBERSHIP'!AX$5:AX$27=1),'92_FEATURE_CONF_NUMERIC'!X$5:X$27)/MAX(1,COUNTIF('93_TARGET_MEMBERSHIP'!AX$5:AX$27,1)))*(SUMPRODUCT(--('93_TARGET_MEMBERSHIP'!AX$5:AX$27=-1),'92_FEATURE_CONF_NUMERIC'!X$5:X$27)/MAX(1,COUNTIF('93_TARGET_MEMBERSHIP'!AX$5:AX$27,-1)))))</f>
        <v/>
      </c>
      <c r="X53" s="34">
        <f>IF($B53="ABSOLUTE SEMANTIC",'19_FEATURE_CONFIDENCE'!$D$26,SQRT((SUMPRODUCT(--('93_TARGET_MEMBERSHIP'!AX$5:AX$27=1),'92_FEATURE_CONF_NUMERIC'!Y$5:Y$27)/MAX(1,COUNTIF('93_TARGET_MEMBERSHIP'!AX$5:AX$27,1)))*(SUMPRODUCT(--('93_TARGET_MEMBERSHIP'!AX$5:AX$27=-1),'92_FEATURE_CONF_NUMERIC'!Y$5:Y$27)/MAX(1,COUNTIF('93_TARGET_MEMBERSHIP'!AX$5:AX$27,-1)))))</f>
        <v/>
      </c>
      <c r="Y53" s="34">
        <f>IF($B53="ABSOLUTE SEMANTIC",'19_FEATURE_CONFIDENCE'!$D$27,SQRT((SUMPRODUCT(--('93_TARGET_MEMBERSHIP'!AX$5:AX$27=1),'92_FEATURE_CONF_NUMERIC'!Z$5:Z$27)/MAX(1,COUNTIF('93_TARGET_MEMBERSHIP'!AX$5:AX$27,1)))*(SUMPRODUCT(--('93_TARGET_MEMBERSHIP'!AX$5:AX$27=-1),'92_FEATURE_CONF_NUMERIC'!Z$5:Z$27)/MAX(1,COUNTIF('93_TARGET_MEMBERSHIP'!AX$5:AX$27,-1)))))</f>
        <v/>
      </c>
      <c r="Z53" s="34">
        <f>IF($B53="ABSOLUTE SEMANTIC",'19_FEATURE_CONFIDENCE'!$D$28,SQRT((SUMPRODUCT(--('93_TARGET_MEMBERSHIP'!AX$5:AX$27=1),'92_FEATURE_CONF_NUMERIC'!AA$5:AA$27)/MAX(1,COUNTIF('93_TARGET_MEMBERSHIP'!AX$5:AX$27,1)))*(SUMPRODUCT(--('93_TARGET_MEMBERSHIP'!AX$5:AX$27=-1),'92_FEATURE_CONF_NUMERIC'!AA$5:AA$27)/MAX(1,COUNTIF('93_TARGET_MEMBERSHIP'!AX$5:AX$27,-1)))))</f>
        <v/>
      </c>
      <c r="AA53" s="34">
        <f>IF($B53="ABSOLUTE SEMANTIC",'19_FEATURE_CONFIDENCE'!$D$29,SQRT((SUMPRODUCT(--('93_TARGET_MEMBERSHIP'!AX$5:AX$27=1),'92_FEATURE_CONF_NUMERIC'!AB$5:AB$27)/MAX(1,COUNTIF('93_TARGET_MEMBERSHIP'!AX$5:AX$27,1)))*(SUMPRODUCT(--('93_TARGET_MEMBERSHIP'!AX$5:AX$27=-1),'92_FEATURE_CONF_NUMERIC'!AB$5:AB$27)/MAX(1,COUNTIF('93_TARGET_MEMBERSHIP'!AX$5:AX$27,-1)))))</f>
        <v/>
      </c>
      <c r="AB53" s="34">
        <f>IF($B53="ABSOLUTE SEMANTIC",'19_FEATURE_CONFIDENCE'!$D$30,SQRT((SUMPRODUCT(--('93_TARGET_MEMBERSHIP'!AX$5:AX$27=1),'92_FEATURE_CONF_NUMERIC'!AC$5:AC$27)/MAX(1,COUNTIF('93_TARGET_MEMBERSHIP'!AX$5:AX$27,1)))*(SUMPRODUCT(--('93_TARGET_MEMBERSHIP'!AX$5:AX$27=-1),'92_FEATURE_CONF_NUMERIC'!AC$5:AC$27)/MAX(1,COUNTIF('93_TARGET_MEMBERSHIP'!AX$5:AX$27,-1)))))</f>
        <v/>
      </c>
      <c r="AC53" s="34">
        <f>IF($B53="ABSOLUTE SEMANTIC",'19_FEATURE_CONFIDENCE'!$D$31,SQRT((SUMPRODUCT(--('93_TARGET_MEMBERSHIP'!AX$5:AX$27=1),'92_FEATURE_CONF_NUMERIC'!AD$5:AD$27)/MAX(1,COUNTIF('93_TARGET_MEMBERSHIP'!AX$5:AX$27,1)))*(SUMPRODUCT(--('93_TARGET_MEMBERSHIP'!AX$5:AX$27=-1),'92_FEATURE_CONF_NUMERIC'!AD$5:AD$27)/MAX(1,COUNTIF('93_TARGET_MEMBERSHIP'!AX$5:AX$27,-1)))))</f>
        <v/>
      </c>
      <c r="AD53" s="34">
        <f>IF($B53="ABSOLUTE SEMANTIC",'19_FEATURE_CONFIDENCE'!$D$32,SQRT((SUMPRODUCT(--('93_TARGET_MEMBERSHIP'!AX$5:AX$27=1),'92_FEATURE_CONF_NUMERIC'!AE$5:AE$27)/MAX(1,COUNTIF('93_TARGET_MEMBERSHIP'!AX$5:AX$27,1)))*(SUMPRODUCT(--('93_TARGET_MEMBERSHIP'!AX$5:AX$27=-1),'92_FEATURE_CONF_NUMERIC'!AE$5:AE$27)/MAX(1,COUNTIF('93_TARGET_MEMBERSHIP'!AX$5:AX$27,-1)))))</f>
        <v/>
      </c>
      <c r="AE53" s="34">
        <f>IF($B53="ABSOLUTE SEMANTIC",'19_FEATURE_CONFIDENCE'!$D$33,SQRT((SUMPRODUCT(--('93_TARGET_MEMBERSHIP'!AX$5:AX$27=1),'92_FEATURE_CONF_NUMERIC'!AF$5:AF$27)/MAX(1,COUNTIF('93_TARGET_MEMBERSHIP'!AX$5:AX$27,1)))*(SUMPRODUCT(--('93_TARGET_MEMBERSHIP'!AX$5:AX$27=-1),'92_FEATURE_CONF_NUMERIC'!AF$5:AF$27)/MAX(1,COUNTIF('93_TARGET_MEMBERSHIP'!AX$5:AX$27,-1)))))</f>
        <v/>
      </c>
      <c r="AF53" s="34">
        <f>IF($B53="ABSOLUTE SEMANTIC",'19_FEATURE_CONFIDENCE'!$D$34,SQRT((SUMPRODUCT(--('93_TARGET_MEMBERSHIP'!AX$5:AX$27=1),'92_FEATURE_CONF_NUMERIC'!AG$5:AG$27)/MAX(1,COUNTIF('93_TARGET_MEMBERSHIP'!AX$5:AX$27,1)))*(SUMPRODUCT(--('93_TARGET_MEMBERSHIP'!AX$5:AX$27=-1),'92_FEATURE_CONF_NUMERIC'!AG$5:AG$27)/MAX(1,COUNTIF('93_TARGET_MEMBERSHIP'!AX$5:AX$27,-1)))))</f>
        <v/>
      </c>
      <c r="AG53" s="34">
        <f>IF($B53="ABSOLUTE SEMANTIC",'19_FEATURE_CONFIDENCE'!$D$35,SQRT((SUMPRODUCT(--('93_TARGET_MEMBERSHIP'!AX$5:AX$27=1),'92_FEATURE_CONF_NUMERIC'!AH$5:AH$27)/MAX(1,COUNTIF('93_TARGET_MEMBERSHIP'!AX$5:AX$27,1)))*(SUMPRODUCT(--('93_TARGET_MEMBERSHIP'!AX$5:AX$27=-1),'92_FEATURE_CONF_NUMERIC'!AH$5:AH$27)/MAX(1,COUNTIF('93_TARGET_MEMBERSHIP'!AX$5:AX$27,-1)))))</f>
        <v/>
      </c>
      <c r="AH53" s="34">
        <f>IF($B53="ABSOLUTE SEMANTIC",'19_FEATURE_CONFIDENCE'!$D$36,SQRT((SUMPRODUCT(--('93_TARGET_MEMBERSHIP'!AX$5:AX$27=1),'92_FEATURE_CONF_NUMERIC'!AI$5:AI$27)/MAX(1,COUNTIF('93_TARGET_MEMBERSHIP'!AX$5:AX$27,1)))*(SUMPRODUCT(--('93_TARGET_MEMBERSHIP'!AX$5:AX$27=-1),'92_FEATURE_CONF_NUMERIC'!AI$5:AI$27)/MAX(1,COUNTIF('93_TARGET_MEMBERSHIP'!AX$5:AX$27,-1)))))</f>
        <v/>
      </c>
      <c r="AI53" s="34">
        <f>IF($B53="ABSOLUTE SEMANTIC",'19_FEATURE_CONFIDENCE'!$D$37,SQRT((SUMPRODUCT(--('93_TARGET_MEMBERSHIP'!AX$5:AX$27=1),'92_FEATURE_CONF_NUMERIC'!AJ$5:AJ$27)/MAX(1,COUNTIF('93_TARGET_MEMBERSHIP'!AX$5:AX$27,1)))*(SUMPRODUCT(--('93_TARGET_MEMBERSHIP'!AX$5:AX$27=-1),'92_FEATURE_CONF_NUMERIC'!AJ$5:AJ$27)/MAX(1,COUNTIF('93_TARGET_MEMBERSHIP'!AX$5:AX$27,-1)))))</f>
        <v/>
      </c>
      <c r="AJ53" s="34">
        <f>IF($B53="ABSOLUTE SEMANTIC",'19_FEATURE_CONFIDENCE'!$D$38,SQRT((SUMPRODUCT(--('93_TARGET_MEMBERSHIP'!AX$5:AX$27=1),'92_FEATURE_CONF_NUMERIC'!AK$5:AK$27)/MAX(1,COUNTIF('93_TARGET_MEMBERSHIP'!AX$5:AX$27,1)))*(SUMPRODUCT(--('93_TARGET_MEMBERSHIP'!AX$5:AX$27=-1),'92_FEATURE_CONF_NUMERIC'!AK$5:AK$27)/MAX(1,COUNTIF('93_TARGET_MEMBERSHIP'!AX$5:AX$27,-1)))))</f>
        <v/>
      </c>
      <c r="AK53" s="34">
        <f>IF($B53="ABSOLUTE SEMANTIC",'19_FEATURE_CONFIDENCE'!$D$39,SQRT((SUMPRODUCT(--('93_TARGET_MEMBERSHIP'!AX$5:AX$27=1),'92_FEATURE_CONF_NUMERIC'!AL$5:AL$27)/MAX(1,COUNTIF('93_TARGET_MEMBERSHIP'!AX$5:AX$27,1)))*(SUMPRODUCT(--('93_TARGET_MEMBERSHIP'!AX$5:AX$27=-1),'92_FEATURE_CONF_NUMERIC'!AL$5:AL$27)/MAX(1,COUNTIF('93_TARGET_MEMBERSHIP'!AX$5:AX$27,-1)))))</f>
        <v/>
      </c>
      <c r="AL53" s="34">
        <f>IF($B53="ABSOLUTE SEMANTIC",'19_FEATURE_CONFIDENCE'!$D$40,SQRT((SUMPRODUCT(--('93_TARGET_MEMBERSHIP'!AX$5:AX$27=1),'92_FEATURE_CONF_NUMERIC'!AM$5:AM$27)/MAX(1,COUNTIF('93_TARGET_MEMBERSHIP'!AX$5:AX$27,1)))*(SUMPRODUCT(--('93_TARGET_MEMBERSHIP'!AX$5:AX$27=-1),'92_FEATURE_CONF_NUMERIC'!AM$5:AM$27)/MAX(1,COUNTIF('93_TARGET_MEMBERSHIP'!AX$5:AX$27,-1)))))</f>
        <v/>
      </c>
      <c r="AM53" s="34">
        <f>IF($B53="ABSOLUTE SEMANTIC",'19_FEATURE_CONFIDENCE'!$D$41,SQRT((SUMPRODUCT(--('93_TARGET_MEMBERSHIP'!AX$5:AX$27=1),'92_FEATURE_CONF_NUMERIC'!AN$5:AN$27)/MAX(1,COUNTIF('93_TARGET_MEMBERSHIP'!AX$5:AX$27,1)))*(SUMPRODUCT(--('93_TARGET_MEMBERSHIP'!AX$5:AX$27=-1),'92_FEATURE_CONF_NUMERIC'!AN$5:AN$27)/MAX(1,COUNTIF('93_TARGET_MEMBERSHIP'!AX$5:AX$27,-1)))))</f>
        <v/>
      </c>
      <c r="AN53" s="34">
        <f>IF($B53="ABSOLUTE SEMANTIC",'19_FEATURE_CONFIDENCE'!$D$42,SQRT((SUMPRODUCT(--('93_TARGET_MEMBERSHIP'!AX$5:AX$27=1),'92_FEATURE_CONF_NUMERIC'!AO$5:AO$27)/MAX(1,COUNTIF('93_TARGET_MEMBERSHIP'!AX$5:AX$27,1)))*(SUMPRODUCT(--('93_TARGET_MEMBERSHIP'!AX$5:AX$27=-1),'92_FEATURE_CONF_NUMERIC'!AO$5:AO$27)/MAX(1,COUNTIF('93_TARGET_MEMBERSHIP'!AX$5:AX$27,-1)))))</f>
        <v/>
      </c>
      <c r="AO53" s="34">
        <f>IF($B53="ABSOLUTE SEMANTIC",'19_FEATURE_CONFIDENCE'!$D$43,SQRT((SUMPRODUCT(--('93_TARGET_MEMBERSHIP'!AX$5:AX$27=1),'92_FEATURE_CONF_NUMERIC'!AP$5:AP$27)/MAX(1,COUNTIF('93_TARGET_MEMBERSHIP'!AX$5:AX$27,1)))*(SUMPRODUCT(--('93_TARGET_MEMBERSHIP'!AX$5:AX$27=-1),'92_FEATURE_CONF_NUMERIC'!AP$5:AP$27)/MAX(1,COUNTIF('93_TARGET_MEMBERSHIP'!AX$5:AX$27,-1)))))</f>
        <v/>
      </c>
      <c r="AP53" s="34">
        <f>IF($B53="ABSOLUTE SEMANTIC",'19_FEATURE_CONFIDENCE'!$D$44,SQRT((SUMPRODUCT(--('93_TARGET_MEMBERSHIP'!AX$5:AX$27=1),'92_FEATURE_CONF_NUMERIC'!AQ$5:AQ$27)/MAX(1,COUNTIF('93_TARGET_MEMBERSHIP'!AX$5:AX$27,1)))*(SUMPRODUCT(--('93_TARGET_MEMBERSHIP'!AX$5:AX$27=-1),'92_FEATURE_CONF_NUMERIC'!AQ$5:AQ$27)/MAX(1,COUNTIF('93_TARGET_MEMBERSHIP'!AX$5:AX$27,-1)))))</f>
        <v/>
      </c>
      <c r="AQ53" s="34">
        <f>IF($B53="ABSOLUTE SEMANTIC",'19_FEATURE_CONFIDENCE'!$D$45,SQRT((SUMPRODUCT(--('93_TARGET_MEMBERSHIP'!AX$5:AX$27=1),'92_FEATURE_CONF_NUMERIC'!AR$5:AR$27)/MAX(1,COUNTIF('93_TARGET_MEMBERSHIP'!AX$5:AX$27,1)))*(SUMPRODUCT(--('93_TARGET_MEMBERSHIP'!AX$5:AX$27=-1),'92_FEATURE_CONF_NUMERIC'!AR$5:AR$27)/MAX(1,COUNTIF('93_TARGET_MEMBERSHIP'!AX$5:AX$27,-1)))))</f>
        <v/>
      </c>
    </row>
    <row r="54" ht="36" customHeight="1">
      <c r="A54" s="34">
        <f>'06_ITEM_POLE_MODEL'!A54</f>
        <v/>
      </c>
      <c r="B54" s="34">
        <f>'06_ITEM_POLE_MODEL'!E54</f>
        <v/>
      </c>
      <c r="C54" s="34">
        <f>IF($B54="ABSOLUTE SEMANTIC",'19_FEATURE_CONFIDENCE'!$D$5,SQRT((SUMPRODUCT(--('93_TARGET_MEMBERSHIP'!AY$5:AY$27=1),'92_FEATURE_CONF_NUMERIC'!D$5:D$27)/MAX(1,COUNTIF('93_TARGET_MEMBERSHIP'!AY$5:AY$27,1)))*(SUMPRODUCT(--('93_TARGET_MEMBERSHIP'!AY$5:AY$27=-1),'92_FEATURE_CONF_NUMERIC'!D$5:D$27)/MAX(1,COUNTIF('93_TARGET_MEMBERSHIP'!AY$5:AY$27,-1)))))</f>
        <v/>
      </c>
      <c r="D54" s="34">
        <f>IF($B54="ABSOLUTE SEMANTIC",'19_FEATURE_CONFIDENCE'!$D$6,SQRT((SUMPRODUCT(--('93_TARGET_MEMBERSHIP'!AY$5:AY$27=1),'92_FEATURE_CONF_NUMERIC'!E$5:E$27)/MAX(1,COUNTIF('93_TARGET_MEMBERSHIP'!AY$5:AY$27,1)))*(SUMPRODUCT(--('93_TARGET_MEMBERSHIP'!AY$5:AY$27=-1),'92_FEATURE_CONF_NUMERIC'!E$5:E$27)/MAX(1,COUNTIF('93_TARGET_MEMBERSHIP'!AY$5:AY$27,-1)))))</f>
        <v/>
      </c>
      <c r="E54" s="34">
        <f>IF($B54="ABSOLUTE SEMANTIC",'19_FEATURE_CONFIDENCE'!$D$7,SQRT((SUMPRODUCT(--('93_TARGET_MEMBERSHIP'!AY$5:AY$27=1),'92_FEATURE_CONF_NUMERIC'!F$5:F$27)/MAX(1,COUNTIF('93_TARGET_MEMBERSHIP'!AY$5:AY$27,1)))*(SUMPRODUCT(--('93_TARGET_MEMBERSHIP'!AY$5:AY$27=-1),'92_FEATURE_CONF_NUMERIC'!F$5:F$27)/MAX(1,COUNTIF('93_TARGET_MEMBERSHIP'!AY$5:AY$27,-1)))))</f>
        <v/>
      </c>
      <c r="F54" s="34">
        <f>IF($B54="ABSOLUTE SEMANTIC",'19_FEATURE_CONFIDENCE'!$D$8,SQRT((SUMPRODUCT(--('93_TARGET_MEMBERSHIP'!AY$5:AY$27=1),'92_FEATURE_CONF_NUMERIC'!G$5:G$27)/MAX(1,COUNTIF('93_TARGET_MEMBERSHIP'!AY$5:AY$27,1)))*(SUMPRODUCT(--('93_TARGET_MEMBERSHIP'!AY$5:AY$27=-1),'92_FEATURE_CONF_NUMERIC'!G$5:G$27)/MAX(1,COUNTIF('93_TARGET_MEMBERSHIP'!AY$5:AY$27,-1)))))</f>
        <v/>
      </c>
      <c r="G54" s="34">
        <f>IF($B54="ABSOLUTE SEMANTIC",'19_FEATURE_CONFIDENCE'!$D$9,SQRT((SUMPRODUCT(--('93_TARGET_MEMBERSHIP'!AY$5:AY$27=1),'92_FEATURE_CONF_NUMERIC'!H$5:H$27)/MAX(1,COUNTIF('93_TARGET_MEMBERSHIP'!AY$5:AY$27,1)))*(SUMPRODUCT(--('93_TARGET_MEMBERSHIP'!AY$5:AY$27=-1),'92_FEATURE_CONF_NUMERIC'!H$5:H$27)/MAX(1,COUNTIF('93_TARGET_MEMBERSHIP'!AY$5:AY$27,-1)))))</f>
        <v/>
      </c>
      <c r="H54" s="34">
        <f>IF($B54="ABSOLUTE SEMANTIC",'19_FEATURE_CONFIDENCE'!$D$10,SQRT((SUMPRODUCT(--('93_TARGET_MEMBERSHIP'!AY$5:AY$27=1),'92_FEATURE_CONF_NUMERIC'!I$5:I$27)/MAX(1,COUNTIF('93_TARGET_MEMBERSHIP'!AY$5:AY$27,1)))*(SUMPRODUCT(--('93_TARGET_MEMBERSHIP'!AY$5:AY$27=-1),'92_FEATURE_CONF_NUMERIC'!I$5:I$27)/MAX(1,COUNTIF('93_TARGET_MEMBERSHIP'!AY$5:AY$27,-1)))))</f>
        <v/>
      </c>
      <c r="I54" s="34">
        <f>IF($B54="ABSOLUTE SEMANTIC",'19_FEATURE_CONFIDENCE'!$D$11,SQRT((SUMPRODUCT(--('93_TARGET_MEMBERSHIP'!AY$5:AY$27=1),'92_FEATURE_CONF_NUMERIC'!J$5:J$27)/MAX(1,COUNTIF('93_TARGET_MEMBERSHIP'!AY$5:AY$27,1)))*(SUMPRODUCT(--('93_TARGET_MEMBERSHIP'!AY$5:AY$27=-1),'92_FEATURE_CONF_NUMERIC'!J$5:J$27)/MAX(1,COUNTIF('93_TARGET_MEMBERSHIP'!AY$5:AY$27,-1)))))</f>
        <v/>
      </c>
      <c r="J54" s="34">
        <f>IF($B54="ABSOLUTE SEMANTIC",'19_FEATURE_CONFIDENCE'!$D$12,SQRT((SUMPRODUCT(--('93_TARGET_MEMBERSHIP'!AY$5:AY$27=1),'92_FEATURE_CONF_NUMERIC'!K$5:K$27)/MAX(1,COUNTIF('93_TARGET_MEMBERSHIP'!AY$5:AY$27,1)))*(SUMPRODUCT(--('93_TARGET_MEMBERSHIP'!AY$5:AY$27=-1),'92_FEATURE_CONF_NUMERIC'!K$5:K$27)/MAX(1,COUNTIF('93_TARGET_MEMBERSHIP'!AY$5:AY$27,-1)))))</f>
        <v/>
      </c>
      <c r="K54" s="34">
        <f>IF($B54="ABSOLUTE SEMANTIC",'19_FEATURE_CONFIDENCE'!$D$13,SQRT((SUMPRODUCT(--('93_TARGET_MEMBERSHIP'!AY$5:AY$27=1),'92_FEATURE_CONF_NUMERIC'!L$5:L$27)/MAX(1,COUNTIF('93_TARGET_MEMBERSHIP'!AY$5:AY$27,1)))*(SUMPRODUCT(--('93_TARGET_MEMBERSHIP'!AY$5:AY$27=-1),'92_FEATURE_CONF_NUMERIC'!L$5:L$27)/MAX(1,COUNTIF('93_TARGET_MEMBERSHIP'!AY$5:AY$27,-1)))))</f>
        <v/>
      </c>
      <c r="L54" s="34">
        <f>IF($B54="ABSOLUTE SEMANTIC",'19_FEATURE_CONFIDENCE'!$D$14,SQRT((SUMPRODUCT(--('93_TARGET_MEMBERSHIP'!AY$5:AY$27=1),'92_FEATURE_CONF_NUMERIC'!M$5:M$27)/MAX(1,COUNTIF('93_TARGET_MEMBERSHIP'!AY$5:AY$27,1)))*(SUMPRODUCT(--('93_TARGET_MEMBERSHIP'!AY$5:AY$27=-1),'92_FEATURE_CONF_NUMERIC'!M$5:M$27)/MAX(1,COUNTIF('93_TARGET_MEMBERSHIP'!AY$5:AY$27,-1)))))</f>
        <v/>
      </c>
      <c r="M54" s="34">
        <f>IF($B54="ABSOLUTE SEMANTIC",'19_FEATURE_CONFIDENCE'!$D$15,SQRT((SUMPRODUCT(--('93_TARGET_MEMBERSHIP'!AY$5:AY$27=1),'92_FEATURE_CONF_NUMERIC'!N$5:N$27)/MAX(1,COUNTIF('93_TARGET_MEMBERSHIP'!AY$5:AY$27,1)))*(SUMPRODUCT(--('93_TARGET_MEMBERSHIP'!AY$5:AY$27=-1),'92_FEATURE_CONF_NUMERIC'!N$5:N$27)/MAX(1,COUNTIF('93_TARGET_MEMBERSHIP'!AY$5:AY$27,-1)))))</f>
        <v/>
      </c>
      <c r="N54" s="34">
        <f>IF($B54="ABSOLUTE SEMANTIC",'19_FEATURE_CONFIDENCE'!$D$16,SQRT((SUMPRODUCT(--('93_TARGET_MEMBERSHIP'!AY$5:AY$27=1),'92_FEATURE_CONF_NUMERIC'!O$5:O$27)/MAX(1,COUNTIF('93_TARGET_MEMBERSHIP'!AY$5:AY$27,1)))*(SUMPRODUCT(--('93_TARGET_MEMBERSHIP'!AY$5:AY$27=-1),'92_FEATURE_CONF_NUMERIC'!O$5:O$27)/MAX(1,COUNTIF('93_TARGET_MEMBERSHIP'!AY$5:AY$27,-1)))))</f>
        <v/>
      </c>
      <c r="O54" s="34">
        <f>IF($B54="ABSOLUTE SEMANTIC",'19_FEATURE_CONFIDENCE'!$D$17,SQRT((SUMPRODUCT(--('93_TARGET_MEMBERSHIP'!AY$5:AY$27=1),'92_FEATURE_CONF_NUMERIC'!P$5:P$27)/MAX(1,COUNTIF('93_TARGET_MEMBERSHIP'!AY$5:AY$27,1)))*(SUMPRODUCT(--('93_TARGET_MEMBERSHIP'!AY$5:AY$27=-1),'92_FEATURE_CONF_NUMERIC'!P$5:P$27)/MAX(1,COUNTIF('93_TARGET_MEMBERSHIP'!AY$5:AY$27,-1)))))</f>
        <v/>
      </c>
      <c r="P54" s="34">
        <f>IF($B54="ABSOLUTE SEMANTIC",'19_FEATURE_CONFIDENCE'!$D$18,SQRT((SUMPRODUCT(--('93_TARGET_MEMBERSHIP'!AY$5:AY$27=1),'92_FEATURE_CONF_NUMERIC'!Q$5:Q$27)/MAX(1,COUNTIF('93_TARGET_MEMBERSHIP'!AY$5:AY$27,1)))*(SUMPRODUCT(--('93_TARGET_MEMBERSHIP'!AY$5:AY$27=-1),'92_FEATURE_CONF_NUMERIC'!Q$5:Q$27)/MAX(1,COUNTIF('93_TARGET_MEMBERSHIP'!AY$5:AY$27,-1)))))</f>
        <v/>
      </c>
      <c r="Q54" s="34">
        <f>IF($B54="ABSOLUTE SEMANTIC",'19_FEATURE_CONFIDENCE'!$D$19,SQRT((SUMPRODUCT(--('93_TARGET_MEMBERSHIP'!AY$5:AY$27=1),'92_FEATURE_CONF_NUMERIC'!R$5:R$27)/MAX(1,COUNTIF('93_TARGET_MEMBERSHIP'!AY$5:AY$27,1)))*(SUMPRODUCT(--('93_TARGET_MEMBERSHIP'!AY$5:AY$27=-1),'92_FEATURE_CONF_NUMERIC'!R$5:R$27)/MAX(1,COUNTIF('93_TARGET_MEMBERSHIP'!AY$5:AY$27,-1)))))</f>
        <v/>
      </c>
      <c r="R54" s="34">
        <f>IF($B54="ABSOLUTE SEMANTIC",'19_FEATURE_CONFIDENCE'!$D$20,SQRT((SUMPRODUCT(--('93_TARGET_MEMBERSHIP'!AY$5:AY$27=1),'92_FEATURE_CONF_NUMERIC'!S$5:S$27)/MAX(1,COUNTIF('93_TARGET_MEMBERSHIP'!AY$5:AY$27,1)))*(SUMPRODUCT(--('93_TARGET_MEMBERSHIP'!AY$5:AY$27=-1),'92_FEATURE_CONF_NUMERIC'!S$5:S$27)/MAX(1,COUNTIF('93_TARGET_MEMBERSHIP'!AY$5:AY$27,-1)))))</f>
        <v/>
      </c>
      <c r="S54" s="34">
        <f>IF($B54="ABSOLUTE SEMANTIC",'19_FEATURE_CONFIDENCE'!$D$21,SQRT((SUMPRODUCT(--('93_TARGET_MEMBERSHIP'!AY$5:AY$27=1),'92_FEATURE_CONF_NUMERIC'!T$5:T$27)/MAX(1,COUNTIF('93_TARGET_MEMBERSHIP'!AY$5:AY$27,1)))*(SUMPRODUCT(--('93_TARGET_MEMBERSHIP'!AY$5:AY$27=-1),'92_FEATURE_CONF_NUMERIC'!T$5:T$27)/MAX(1,COUNTIF('93_TARGET_MEMBERSHIP'!AY$5:AY$27,-1)))))</f>
        <v/>
      </c>
      <c r="T54" s="34">
        <f>IF($B54="ABSOLUTE SEMANTIC",'19_FEATURE_CONFIDENCE'!$D$22,SQRT((SUMPRODUCT(--('93_TARGET_MEMBERSHIP'!AY$5:AY$27=1),'92_FEATURE_CONF_NUMERIC'!U$5:U$27)/MAX(1,COUNTIF('93_TARGET_MEMBERSHIP'!AY$5:AY$27,1)))*(SUMPRODUCT(--('93_TARGET_MEMBERSHIP'!AY$5:AY$27=-1),'92_FEATURE_CONF_NUMERIC'!U$5:U$27)/MAX(1,COUNTIF('93_TARGET_MEMBERSHIP'!AY$5:AY$27,-1)))))</f>
        <v/>
      </c>
      <c r="U54" s="34">
        <f>IF($B54="ABSOLUTE SEMANTIC",'19_FEATURE_CONFIDENCE'!$D$23,SQRT((SUMPRODUCT(--('93_TARGET_MEMBERSHIP'!AY$5:AY$27=1),'92_FEATURE_CONF_NUMERIC'!V$5:V$27)/MAX(1,COUNTIF('93_TARGET_MEMBERSHIP'!AY$5:AY$27,1)))*(SUMPRODUCT(--('93_TARGET_MEMBERSHIP'!AY$5:AY$27=-1),'92_FEATURE_CONF_NUMERIC'!V$5:V$27)/MAX(1,COUNTIF('93_TARGET_MEMBERSHIP'!AY$5:AY$27,-1)))))</f>
        <v/>
      </c>
      <c r="V54" s="34">
        <f>IF($B54="ABSOLUTE SEMANTIC",'19_FEATURE_CONFIDENCE'!$D$24,SQRT((SUMPRODUCT(--('93_TARGET_MEMBERSHIP'!AY$5:AY$27=1),'92_FEATURE_CONF_NUMERIC'!W$5:W$27)/MAX(1,COUNTIF('93_TARGET_MEMBERSHIP'!AY$5:AY$27,1)))*(SUMPRODUCT(--('93_TARGET_MEMBERSHIP'!AY$5:AY$27=-1),'92_FEATURE_CONF_NUMERIC'!W$5:W$27)/MAX(1,COUNTIF('93_TARGET_MEMBERSHIP'!AY$5:AY$27,-1)))))</f>
        <v/>
      </c>
      <c r="W54" s="34">
        <f>IF($B54="ABSOLUTE SEMANTIC",'19_FEATURE_CONFIDENCE'!$D$25,SQRT((SUMPRODUCT(--('93_TARGET_MEMBERSHIP'!AY$5:AY$27=1),'92_FEATURE_CONF_NUMERIC'!X$5:X$27)/MAX(1,COUNTIF('93_TARGET_MEMBERSHIP'!AY$5:AY$27,1)))*(SUMPRODUCT(--('93_TARGET_MEMBERSHIP'!AY$5:AY$27=-1),'92_FEATURE_CONF_NUMERIC'!X$5:X$27)/MAX(1,COUNTIF('93_TARGET_MEMBERSHIP'!AY$5:AY$27,-1)))))</f>
        <v/>
      </c>
      <c r="X54" s="34">
        <f>IF($B54="ABSOLUTE SEMANTIC",'19_FEATURE_CONFIDENCE'!$D$26,SQRT((SUMPRODUCT(--('93_TARGET_MEMBERSHIP'!AY$5:AY$27=1),'92_FEATURE_CONF_NUMERIC'!Y$5:Y$27)/MAX(1,COUNTIF('93_TARGET_MEMBERSHIP'!AY$5:AY$27,1)))*(SUMPRODUCT(--('93_TARGET_MEMBERSHIP'!AY$5:AY$27=-1),'92_FEATURE_CONF_NUMERIC'!Y$5:Y$27)/MAX(1,COUNTIF('93_TARGET_MEMBERSHIP'!AY$5:AY$27,-1)))))</f>
        <v/>
      </c>
      <c r="Y54" s="34">
        <f>IF($B54="ABSOLUTE SEMANTIC",'19_FEATURE_CONFIDENCE'!$D$27,SQRT((SUMPRODUCT(--('93_TARGET_MEMBERSHIP'!AY$5:AY$27=1),'92_FEATURE_CONF_NUMERIC'!Z$5:Z$27)/MAX(1,COUNTIF('93_TARGET_MEMBERSHIP'!AY$5:AY$27,1)))*(SUMPRODUCT(--('93_TARGET_MEMBERSHIP'!AY$5:AY$27=-1),'92_FEATURE_CONF_NUMERIC'!Z$5:Z$27)/MAX(1,COUNTIF('93_TARGET_MEMBERSHIP'!AY$5:AY$27,-1)))))</f>
        <v/>
      </c>
      <c r="Z54" s="34">
        <f>IF($B54="ABSOLUTE SEMANTIC",'19_FEATURE_CONFIDENCE'!$D$28,SQRT((SUMPRODUCT(--('93_TARGET_MEMBERSHIP'!AY$5:AY$27=1),'92_FEATURE_CONF_NUMERIC'!AA$5:AA$27)/MAX(1,COUNTIF('93_TARGET_MEMBERSHIP'!AY$5:AY$27,1)))*(SUMPRODUCT(--('93_TARGET_MEMBERSHIP'!AY$5:AY$27=-1),'92_FEATURE_CONF_NUMERIC'!AA$5:AA$27)/MAX(1,COUNTIF('93_TARGET_MEMBERSHIP'!AY$5:AY$27,-1)))))</f>
        <v/>
      </c>
      <c r="AA54" s="34">
        <f>IF($B54="ABSOLUTE SEMANTIC",'19_FEATURE_CONFIDENCE'!$D$29,SQRT((SUMPRODUCT(--('93_TARGET_MEMBERSHIP'!AY$5:AY$27=1),'92_FEATURE_CONF_NUMERIC'!AB$5:AB$27)/MAX(1,COUNTIF('93_TARGET_MEMBERSHIP'!AY$5:AY$27,1)))*(SUMPRODUCT(--('93_TARGET_MEMBERSHIP'!AY$5:AY$27=-1),'92_FEATURE_CONF_NUMERIC'!AB$5:AB$27)/MAX(1,COUNTIF('93_TARGET_MEMBERSHIP'!AY$5:AY$27,-1)))))</f>
        <v/>
      </c>
      <c r="AB54" s="34">
        <f>IF($B54="ABSOLUTE SEMANTIC",'19_FEATURE_CONFIDENCE'!$D$30,SQRT((SUMPRODUCT(--('93_TARGET_MEMBERSHIP'!AY$5:AY$27=1),'92_FEATURE_CONF_NUMERIC'!AC$5:AC$27)/MAX(1,COUNTIF('93_TARGET_MEMBERSHIP'!AY$5:AY$27,1)))*(SUMPRODUCT(--('93_TARGET_MEMBERSHIP'!AY$5:AY$27=-1),'92_FEATURE_CONF_NUMERIC'!AC$5:AC$27)/MAX(1,COUNTIF('93_TARGET_MEMBERSHIP'!AY$5:AY$27,-1)))))</f>
        <v/>
      </c>
      <c r="AC54" s="34">
        <f>IF($B54="ABSOLUTE SEMANTIC",'19_FEATURE_CONFIDENCE'!$D$31,SQRT((SUMPRODUCT(--('93_TARGET_MEMBERSHIP'!AY$5:AY$27=1),'92_FEATURE_CONF_NUMERIC'!AD$5:AD$27)/MAX(1,COUNTIF('93_TARGET_MEMBERSHIP'!AY$5:AY$27,1)))*(SUMPRODUCT(--('93_TARGET_MEMBERSHIP'!AY$5:AY$27=-1),'92_FEATURE_CONF_NUMERIC'!AD$5:AD$27)/MAX(1,COUNTIF('93_TARGET_MEMBERSHIP'!AY$5:AY$27,-1)))))</f>
        <v/>
      </c>
      <c r="AD54" s="34">
        <f>IF($B54="ABSOLUTE SEMANTIC",'19_FEATURE_CONFIDENCE'!$D$32,SQRT((SUMPRODUCT(--('93_TARGET_MEMBERSHIP'!AY$5:AY$27=1),'92_FEATURE_CONF_NUMERIC'!AE$5:AE$27)/MAX(1,COUNTIF('93_TARGET_MEMBERSHIP'!AY$5:AY$27,1)))*(SUMPRODUCT(--('93_TARGET_MEMBERSHIP'!AY$5:AY$27=-1),'92_FEATURE_CONF_NUMERIC'!AE$5:AE$27)/MAX(1,COUNTIF('93_TARGET_MEMBERSHIP'!AY$5:AY$27,-1)))))</f>
        <v/>
      </c>
      <c r="AE54" s="34">
        <f>IF($B54="ABSOLUTE SEMANTIC",'19_FEATURE_CONFIDENCE'!$D$33,SQRT((SUMPRODUCT(--('93_TARGET_MEMBERSHIP'!AY$5:AY$27=1),'92_FEATURE_CONF_NUMERIC'!AF$5:AF$27)/MAX(1,COUNTIF('93_TARGET_MEMBERSHIP'!AY$5:AY$27,1)))*(SUMPRODUCT(--('93_TARGET_MEMBERSHIP'!AY$5:AY$27=-1),'92_FEATURE_CONF_NUMERIC'!AF$5:AF$27)/MAX(1,COUNTIF('93_TARGET_MEMBERSHIP'!AY$5:AY$27,-1)))))</f>
        <v/>
      </c>
      <c r="AF54" s="34">
        <f>IF($B54="ABSOLUTE SEMANTIC",'19_FEATURE_CONFIDENCE'!$D$34,SQRT((SUMPRODUCT(--('93_TARGET_MEMBERSHIP'!AY$5:AY$27=1),'92_FEATURE_CONF_NUMERIC'!AG$5:AG$27)/MAX(1,COUNTIF('93_TARGET_MEMBERSHIP'!AY$5:AY$27,1)))*(SUMPRODUCT(--('93_TARGET_MEMBERSHIP'!AY$5:AY$27=-1),'92_FEATURE_CONF_NUMERIC'!AG$5:AG$27)/MAX(1,COUNTIF('93_TARGET_MEMBERSHIP'!AY$5:AY$27,-1)))))</f>
        <v/>
      </c>
      <c r="AG54" s="34">
        <f>IF($B54="ABSOLUTE SEMANTIC",'19_FEATURE_CONFIDENCE'!$D$35,SQRT((SUMPRODUCT(--('93_TARGET_MEMBERSHIP'!AY$5:AY$27=1),'92_FEATURE_CONF_NUMERIC'!AH$5:AH$27)/MAX(1,COUNTIF('93_TARGET_MEMBERSHIP'!AY$5:AY$27,1)))*(SUMPRODUCT(--('93_TARGET_MEMBERSHIP'!AY$5:AY$27=-1),'92_FEATURE_CONF_NUMERIC'!AH$5:AH$27)/MAX(1,COUNTIF('93_TARGET_MEMBERSHIP'!AY$5:AY$27,-1)))))</f>
        <v/>
      </c>
      <c r="AH54" s="34">
        <f>IF($B54="ABSOLUTE SEMANTIC",'19_FEATURE_CONFIDENCE'!$D$36,SQRT((SUMPRODUCT(--('93_TARGET_MEMBERSHIP'!AY$5:AY$27=1),'92_FEATURE_CONF_NUMERIC'!AI$5:AI$27)/MAX(1,COUNTIF('93_TARGET_MEMBERSHIP'!AY$5:AY$27,1)))*(SUMPRODUCT(--('93_TARGET_MEMBERSHIP'!AY$5:AY$27=-1),'92_FEATURE_CONF_NUMERIC'!AI$5:AI$27)/MAX(1,COUNTIF('93_TARGET_MEMBERSHIP'!AY$5:AY$27,-1)))))</f>
        <v/>
      </c>
      <c r="AI54" s="34">
        <f>IF($B54="ABSOLUTE SEMANTIC",'19_FEATURE_CONFIDENCE'!$D$37,SQRT((SUMPRODUCT(--('93_TARGET_MEMBERSHIP'!AY$5:AY$27=1),'92_FEATURE_CONF_NUMERIC'!AJ$5:AJ$27)/MAX(1,COUNTIF('93_TARGET_MEMBERSHIP'!AY$5:AY$27,1)))*(SUMPRODUCT(--('93_TARGET_MEMBERSHIP'!AY$5:AY$27=-1),'92_FEATURE_CONF_NUMERIC'!AJ$5:AJ$27)/MAX(1,COUNTIF('93_TARGET_MEMBERSHIP'!AY$5:AY$27,-1)))))</f>
        <v/>
      </c>
      <c r="AJ54" s="34">
        <f>IF($B54="ABSOLUTE SEMANTIC",'19_FEATURE_CONFIDENCE'!$D$38,SQRT((SUMPRODUCT(--('93_TARGET_MEMBERSHIP'!AY$5:AY$27=1),'92_FEATURE_CONF_NUMERIC'!AK$5:AK$27)/MAX(1,COUNTIF('93_TARGET_MEMBERSHIP'!AY$5:AY$27,1)))*(SUMPRODUCT(--('93_TARGET_MEMBERSHIP'!AY$5:AY$27=-1),'92_FEATURE_CONF_NUMERIC'!AK$5:AK$27)/MAX(1,COUNTIF('93_TARGET_MEMBERSHIP'!AY$5:AY$27,-1)))))</f>
        <v/>
      </c>
      <c r="AK54" s="34">
        <f>IF($B54="ABSOLUTE SEMANTIC",'19_FEATURE_CONFIDENCE'!$D$39,SQRT((SUMPRODUCT(--('93_TARGET_MEMBERSHIP'!AY$5:AY$27=1),'92_FEATURE_CONF_NUMERIC'!AL$5:AL$27)/MAX(1,COUNTIF('93_TARGET_MEMBERSHIP'!AY$5:AY$27,1)))*(SUMPRODUCT(--('93_TARGET_MEMBERSHIP'!AY$5:AY$27=-1),'92_FEATURE_CONF_NUMERIC'!AL$5:AL$27)/MAX(1,COUNTIF('93_TARGET_MEMBERSHIP'!AY$5:AY$27,-1)))))</f>
        <v/>
      </c>
      <c r="AL54" s="34">
        <f>IF($B54="ABSOLUTE SEMANTIC",'19_FEATURE_CONFIDENCE'!$D$40,SQRT((SUMPRODUCT(--('93_TARGET_MEMBERSHIP'!AY$5:AY$27=1),'92_FEATURE_CONF_NUMERIC'!AM$5:AM$27)/MAX(1,COUNTIF('93_TARGET_MEMBERSHIP'!AY$5:AY$27,1)))*(SUMPRODUCT(--('93_TARGET_MEMBERSHIP'!AY$5:AY$27=-1),'92_FEATURE_CONF_NUMERIC'!AM$5:AM$27)/MAX(1,COUNTIF('93_TARGET_MEMBERSHIP'!AY$5:AY$27,-1)))))</f>
        <v/>
      </c>
      <c r="AM54" s="34">
        <f>IF($B54="ABSOLUTE SEMANTIC",'19_FEATURE_CONFIDENCE'!$D$41,SQRT((SUMPRODUCT(--('93_TARGET_MEMBERSHIP'!AY$5:AY$27=1),'92_FEATURE_CONF_NUMERIC'!AN$5:AN$27)/MAX(1,COUNTIF('93_TARGET_MEMBERSHIP'!AY$5:AY$27,1)))*(SUMPRODUCT(--('93_TARGET_MEMBERSHIP'!AY$5:AY$27=-1),'92_FEATURE_CONF_NUMERIC'!AN$5:AN$27)/MAX(1,COUNTIF('93_TARGET_MEMBERSHIP'!AY$5:AY$27,-1)))))</f>
        <v/>
      </c>
      <c r="AN54" s="34">
        <f>IF($B54="ABSOLUTE SEMANTIC",'19_FEATURE_CONFIDENCE'!$D$42,SQRT((SUMPRODUCT(--('93_TARGET_MEMBERSHIP'!AY$5:AY$27=1),'92_FEATURE_CONF_NUMERIC'!AO$5:AO$27)/MAX(1,COUNTIF('93_TARGET_MEMBERSHIP'!AY$5:AY$27,1)))*(SUMPRODUCT(--('93_TARGET_MEMBERSHIP'!AY$5:AY$27=-1),'92_FEATURE_CONF_NUMERIC'!AO$5:AO$27)/MAX(1,COUNTIF('93_TARGET_MEMBERSHIP'!AY$5:AY$27,-1)))))</f>
        <v/>
      </c>
      <c r="AO54" s="34">
        <f>IF($B54="ABSOLUTE SEMANTIC",'19_FEATURE_CONFIDENCE'!$D$43,SQRT((SUMPRODUCT(--('93_TARGET_MEMBERSHIP'!AY$5:AY$27=1),'92_FEATURE_CONF_NUMERIC'!AP$5:AP$27)/MAX(1,COUNTIF('93_TARGET_MEMBERSHIP'!AY$5:AY$27,1)))*(SUMPRODUCT(--('93_TARGET_MEMBERSHIP'!AY$5:AY$27=-1),'92_FEATURE_CONF_NUMERIC'!AP$5:AP$27)/MAX(1,COUNTIF('93_TARGET_MEMBERSHIP'!AY$5:AY$27,-1)))))</f>
        <v/>
      </c>
      <c r="AP54" s="34">
        <f>IF($B54="ABSOLUTE SEMANTIC",'19_FEATURE_CONFIDENCE'!$D$44,SQRT((SUMPRODUCT(--('93_TARGET_MEMBERSHIP'!AY$5:AY$27=1),'92_FEATURE_CONF_NUMERIC'!AQ$5:AQ$27)/MAX(1,COUNTIF('93_TARGET_MEMBERSHIP'!AY$5:AY$27,1)))*(SUMPRODUCT(--('93_TARGET_MEMBERSHIP'!AY$5:AY$27=-1),'92_FEATURE_CONF_NUMERIC'!AQ$5:AQ$27)/MAX(1,COUNTIF('93_TARGET_MEMBERSHIP'!AY$5:AY$27,-1)))))</f>
        <v/>
      </c>
      <c r="AQ54" s="34">
        <f>IF($B54="ABSOLUTE SEMANTIC",'19_FEATURE_CONFIDENCE'!$D$45,SQRT((SUMPRODUCT(--('93_TARGET_MEMBERSHIP'!AY$5:AY$27=1),'92_FEATURE_CONF_NUMERIC'!AR$5:AR$27)/MAX(1,COUNTIF('93_TARGET_MEMBERSHIP'!AY$5:AY$27,1)))*(SUMPRODUCT(--('93_TARGET_MEMBERSHIP'!AY$5:AY$27=-1),'92_FEATURE_CONF_NUMERIC'!AR$5:AR$27)/MAX(1,COUNTIF('93_TARGET_MEMBERSHIP'!AY$5:AY$27,-1)))))</f>
        <v/>
      </c>
    </row>
    <row r="55" ht="36" customHeight="1">
      <c r="A55" s="34">
        <f>'06_ITEM_POLE_MODEL'!A55</f>
        <v/>
      </c>
      <c r="B55" s="34">
        <f>'06_ITEM_POLE_MODEL'!E55</f>
        <v/>
      </c>
      <c r="C55" s="34">
        <f>IF($B55="ABSOLUTE SEMANTIC",'19_FEATURE_CONFIDENCE'!$D$5,SQRT((SUMPRODUCT(--('93_TARGET_MEMBERSHIP'!AZ$5:AZ$27=1),'92_FEATURE_CONF_NUMERIC'!D$5:D$27)/MAX(1,COUNTIF('93_TARGET_MEMBERSHIP'!AZ$5:AZ$27,1)))*(SUMPRODUCT(--('93_TARGET_MEMBERSHIP'!AZ$5:AZ$27=-1),'92_FEATURE_CONF_NUMERIC'!D$5:D$27)/MAX(1,COUNTIF('93_TARGET_MEMBERSHIP'!AZ$5:AZ$27,-1)))))</f>
        <v/>
      </c>
      <c r="D55" s="34">
        <f>IF($B55="ABSOLUTE SEMANTIC",'19_FEATURE_CONFIDENCE'!$D$6,SQRT((SUMPRODUCT(--('93_TARGET_MEMBERSHIP'!AZ$5:AZ$27=1),'92_FEATURE_CONF_NUMERIC'!E$5:E$27)/MAX(1,COUNTIF('93_TARGET_MEMBERSHIP'!AZ$5:AZ$27,1)))*(SUMPRODUCT(--('93_TARGET_MEMBERSHIP'!AZ$5:AZ$27=-1),'92_FEATURE_CONF_NUMERIC'!E$5:E$27)/MAX(1,COUNTIF('93_TARGET_MEMBERSHIP'!AZ$5:AZ$27,-1)))))</f>
        <v/>
      </c>
      <c r="E55" s="34">
        <f>IF($B55="ABSOLUTE SEMANTIC",'19_FEATURE_CONFIDENCE'!$D$7,SQRT((SUMPRODUCT(--('93_TARGET_MEMBERSHIP'!AZ$5:AZ$27=1),'92_FEATURE_CONF_NUMERIC'!F$5:F$27)/MAX(1,COUNTIF('93_TARGET_MEMBERSHIP'!AZ$5:AZ$27,1)))*(SUMPRODUCT(--('93_TARGET_MEMBERSHIP'!AZ$5:AZ$27=-1),'92_FEATURE_CONF_NUMERIC'!F$5:F$27)/MAX(1,COUNTIF('93_TARGET_MEMBERSHIP'!AZ$5:AZ$27,-1)))))</f>
        <v/>
      </c>
      <c r="F55" s="34">
        <f>IF($B55="ABSOLUTE SEMANTIC",'19_FEATURE_CONFIDENCE'!$D$8,SQRT((SUMPRODUCT(--('93_TARGET_MEMBERSHIP'!AZ$5:AZ$27=1),'92_FEATURE_CONF_NUMERIC'!G$5:G$27)/MAX(1,COUNTIF('93_TARGET_MEMBERSHIP'!AZ$5:AZ$27,1)))*(SUMPRODUCT(--('93_TARGET_MEMBERSHIP'!AZ$5:AZ$27=-1),'92_FEATURE_CONF_NUMERIC'!G$5:G$27)/MAX(1,COUNTIF('93_TARGET_MEMBERSHIP'!AZ$5:AZ$27,-1)))))</f>
        <v/>
      </c>
      <c r="G55" s="34">
        <f>IF($B55="ABSOLUTE SEMANTIC",'19_FEATURE_CONFIDENCE'!$D$9,SQRT((SUMPRODUCT(--('93_TARGET_MEMBERSHIP'!AZ$5:AZ$27=1),'92_FEATURE_CONF_NUMERIC'!H$5:H$27)/MAX(1,COUNTIF('93_TARGET_MEMBERSHIP'!AZ$5:AZ$27,1)))*(SUMPRODUCT(--('93_TARGET_MEMBERSHIP'!AZ$5:AZ$27=-1),'92_FEATURE_CONF_NUMERIC'!H$5:H$27)/MAX(1,COUNTIF('93_TARGET_MEMBERSHIP'!AZ$5:AZ$27,-1)))))</f>
        <v/>
      </c>
      <c r="H55" s="34">
        <f>IF($B55="ABSOLUTE SEMANTIC",'19_FEATURE_CONFIDENCE'!$D$10,SQRT((SUMPRODUCT(--('93_TARGET_MEMBERSHIP'!AZ$5:AZ$27=1),'92_FEATURE_CONF_NUMERIC'!I$5:I$27)/MAX(1,COUNTIF('93_TARGET_MEMBERSHIP'!AZ$5:AZ$27,1)))*(SUMPRODUCT(--('93_TARGET_MEMBERSHIP'!AZ$5:AZ$27=-1),'92_FEATURE_CONF_NUMERIC'!I$5:I$27)/MAX(1,COUNTIF('93_TARGET_MEMBERSHIP'!AZ$5:AZ$27,-1)))))</f>
        <v/>
      </c>
      <c r="I55" s="34">
        <f>IF($B55="ABSOLUTE SEMANTIC",'19_FEATURE_CONFIDENCE'!$D$11,SQRT((SUMPRODUCT(--('93_TARGET_MEMBERSHIP'!AZ$5:AZ$27=1),'92_FEATURE_CONF_NUMERIC'!J$5:J$27)/MAX(1,COUNTIF('93_TARGET_MEMBERSHIP'!AZ$5:AZ$27,1)))*(SUMPRODUCT(--('93_TARGET_MEMBERSHIP'!AZ$5:AZ$27=-1),'92_FEATURE_CONF_NUMERIC'!J$5:J$27)/MAX(1,COUNTIF('93_TARGET_MEMBERSHIP'!AZ$5:AZ$27,-1)))))</f>
        <v/>
      </c>
      <c r="J55" s="34">
        <f>IF($B55="ABSOLUTE SEMANTIC",'19_FEATURE_CONFIDENCE'!$D$12,SQRT((SUMPRODUCT(--('93_TARGET_MEMBERSHIP'!AZ$5:AZ$27=1),'92_FEATURE_CONF_NUMERIC'!K$5:K$27)/MAX(1,COUNTIF('93_TARGET_MEMBERSHIP'!AZ$5:AZ$27,1)))*(SUMPRODUCT(--('93_TARGET_MEMBERSHIP'!AZ$5:AZ$27=-1),'92_FEATURE_CONF_NUMERIC'!K$5:K$27)/MAX(1,COUNTIF('93_TARGET_MEMBERSHIP'!AZ$5:AZ$27,-1)))))</f>
        <v/>
      </c>
      <c r="K55" s="34">
        <f>IF($B55="ABSOLUTE SEMANTIC",'19_FEATURE_CONFIDENCE'!$D$13,SQRT((SUMPRODUCT(--('93_TARGET_MEMBERSHIP'!AZ$5:AZ$27=1),'92_FEATURE_CONF_NUMERIC'!L$5:L$27)/MAX(1,COUNTIF('93_TARGET_MEMBERSHIP'!AZ$5:AZ$27,1)))*(SUMPRODUCT(--('93_TARGET_MEMBERSHIP'!AZ$5:AZ$27=-1),'92_FEATURE_CONF_NUMERIC'!L$5:L$27)/MAX(1,COUNTIF('93_TARGET_MEMBERSHIP'!AZ$5:AZ$27,-1)))))</f>
        <v/>
      </c>
      <c r="L55" s="34">
        <f>IF($B55="ABSOLUTE SEMANTIC",'19_FEATURE_CONFIDENCE'!$D$14,SQRT((SUMPRODUCT(--('93_TARGET_MEMBERSHIP'!AZ$5:AZ$27=1),'92_FEATURE_CONF_NUMERIC'!M$5:M$27)/MAX(1,COUNTIF('93_TARGET_MEMBERSHIP'!AZ$5:AZ$27,1)))*(SUMPRODUCT(--('93_TARGET_MEMBERSHIP'!AZ$5:AZ$27=-1),'92_FEATURE_CONF_NUMERIC'!M$5:M$27)/MAX(1,COUNTIF('93_TARGET_MEMBERSHIP'!AZ$5:AZ$27,-1)))))</f>
        <v/>
      </c>
      <c r="M55" s="34">
        <f>IF($B55="ABSOLUTE SEMANTIC",'19_FEATURE_CONFIDENCE'!$D$15,SQRT((SUMPRODUCT(--('93_TARGET_MEMBERSHIP'!AZ$5:AZ$27=1),'92_FEATURE_CONF_NUMERIC'!N$5:N$27)/MAX(1,COUNTIF('93_TARGET_MEMBERSHIP'!AZ$5:AZ$27,1)))*(SUMPRODUCT(--('93_TARGET_MEMBERSHIP'!AZ$5:AZ$27=-1),'92_FEATURE_CONF_NUMERIC'!N$5:N$27)/MAX(1,COUNTIF('93_TARGET_MEMBERSHIP'!AZ$5:AZ$27,-1)))))</f>
        <v/>
      </c>
      <c r="N55" s="34">
        <f>IF($B55="ABSOLUTE SEMANTIC",'19_FEATURE_CONFIDENCE'!$D$16,SQRT((SUMPRODUCT(--('93_TARGET_MEMBERSHIP'!AZ$5:AZ$27=1),'92_FEATURE_CONF_NUMERIC'!O$5:O$27)/MAX(1,COUNTIF('93_TARGET_MEMBERSHIP'!AZ$5:AZ$27,1)))*(SUMPRODUCT(--('93_TARGET_MEMBERSHIP'!AZ$5:AZ$27=-1),'92_FEATURE_CONF_NUMERIC'!O$5:O$27)/MAX(1,COUNTIF('93_TARGET_MEMBERSHIP'!AZ$5:AZ$27,-1)))))</f>
        <v/>
      </c>
      <c r="O55" s="34">
        <f>IF($B55="ABSOLUTE SEMANTIC",'19_FEATURE_CONFIDENCE'!$D$17,SQRT((SUMPRODUCT(--('93_TARGET_MEMBERSHIP'!AZ$5:AZ$27=1),'92_FEATURE_CONF_NUMERIC'!P$5:P$27)/MAX(1,COUNTIF('93_TARGET_MEMBERSHIP'!AZ$5:AZ$27,1)))*(SUMPRODUCT(--('93_TARGET_MEMBERSHIP'!AZ$5:AZ$27=-1),'92_FEATURE_CONF_NUMERIC'!P$5:P$27)/MAX(1,COUNTIF('93_TARGET_MEMBERSHIP'!AZ$5:AZ$27,-1)))))</f>
        <v/>
      </c>
      <c r="P55" s="34">
        <f>IF($B55="ABSOLUTE SEMANTIC",'19_FEATURE_CONFIDENCE'!$D$18,SQRT((SUMPRODUCT(--('93_TARGET_MEMBERSHIP'!AZ$5:AZ$27=1),'92_FEATURE_CONF_NUMERIC'!Q$5:Q$27)/MAX(1,COUNTIF('93_TARGET_MEMBERSHIP'!AZ$5:AZ$27,1)))*(SUMPRODUCT(--('93_TARGET_MEMBERSHIP'!AZ$5:AZ$27=-1),'92_FEATURE_CONF_NUMERIC'!Q$5:Q$27)/MAX(1,COUNTIF('93_TARGET_MEMBERSHIP'!AZ$5:AZ$27,-1)))))</f>
        <v/>
      </c>
      <c r="Q55" s="34">
        <f>IF($B55="ABSOLUTE SEMANTIC",'19_FEATURE_CONFIDENCE'!$D$19,SQRT((SUMPRODUCT(--('93_TARGET_MEMBERSHIP'!AZ$5:AZ$27=1),'92_FEATURE_CONF_NUMERIC'!R$5:R$27)/MAX(1,COUNTIF('93_TARGET_MEMBERSHIP'!AZ$5:AZ$27,1)))*(SUMPRODUCT(--('93_TARGET_MEMBERSHIP'!AZ$5:AZ$27=-1),'92_FEATURE_CONF_NUMERIC'!R$5:R$27)/MAX(1,COUNTIF('93_TARGET_MEMBERSHIP'!AZ$5:AZ$27,-1)))))</f>
        <v/>
      </c>
      <c r="R55" s="34">
        <f>IF($B55="ABSOLUTE SEMANTIC",'19_FEATURE_CONFIDENCE'!$D$20,SQRT((SUMPRODUCT(--('93_TARGET_MEMBERSHIP'!AZ$5:AZ$27=1),'92_FEATURE_CONF_NUMERIC'!S$5:S$27)/MAX(1,COUNTIF('93_TARGET_MEMBERSHIP'!AZ$5:AZ$27,1)))*(SUMPRODUCT(--('93_TARGET_MEMBERSHIP'!AZ$5:AZ$27=-1),'92_FEATURE_CONF_NUMERIC'!S$5:S$27)/MAX(1,COUNTIF('93_TARGET_MEMBERSHIP'!AZ$5:AZ$27,-1)))))</f>
        <v/>
      </c>
      <c r="S55" s="34">
        <f>IF($B55="ABSOLUTE SEMANTIC",'19_FEATURE_CONFIDENCE'!$D$21,SQRT((SUMPRODUCT(--('93_TARGET_MEMBERSHIP'!AZ$5:AZ$27=1),'92_FEATURE_CONF_NUMERIC'!T$5:T$27)/MAX(1,COUNTIF('93_TARGET_MEMBERSHIP'!AZ$5:AZ$27,1)))*(SUMPRODUCT(--('93_TARGET_MEMBERSHIP'!AZ$5:AZ$27=-1),'92_FEATURE_CONF_NUMERIC'!T$5:T$27)/MAX(1,COUNTIF('93_TARGET_MEMBERSHIP'!AZ$5:AZ$27,-1)))))</f>
        <v/>
      </c>
      <c r="T55" s="34">
        <f>IF($B55="ABSOLUTE SEMANTIC",'19_FEATURE_CONFIDENCE'!$D$22,SQRT((SUMPRODUCT(--('93_TARGET_MEMBERSHIP'!AZ$5:AZ$27=1),'92_FEATURE_CONF_NUMERIC'!U$5:U$27)/MAX(1,COUNTIF('93_TARGET_MEMBERSHIP'!AZ$5:AZ$27,1)))*(SUMPRODUCT(--('93_TARGET_MEMBERSHIP'!AZ$5:AZ$27=-1),'92_FEATURE_CONF_NUMERIC'!U$5:U$27)/MAX(1,COUNTIF('93_TARGET_MEMBERSHIP'!AZ$5:AZ$27,-1)))))</f>
        <v/>
      </c>
      <c r="U55" s="34">
        <f>IF($B55="ABSOLUTE SEMANTIC",'19_FEATURE_CONFIDENCE'!$D$23,SQRT((SUMPRODUCT(--('93_TARGET_MEMBERSHIP'!AZ$5:AZ$27=1),'92_FEATURE_CONF_NUMERIC'!V$5:V$27)/MAX(1,COUNTIF('93_TARGET_MEMBERSHIP'!AZ$5:AZ$27,1)))*(SUMPRODUCT(--('93_TARGET_MEMBERSHIP'!AZ$5:AZ$27=-1),'92_FEATURE_CONF_NUMERIC'!V$5:V$27)/MAX(1,COUNTIF('93_TARGET_MEMBERSHIP'!AZ$5:AZ$27,-1)))))</f>
        <v/>
      </c>
      <c r="V55" s="34">
        <f>IF($B55="ABSOLUTE SEMANTIC",'19_FEATURE_CONFIDENCE'!$D$24,SQRT((SUMPRODUCT(--('93_TARGET_MEMBERSHIP'!AZ$5:AZ$27=1),'92_FEATURE_CONF_NUMERIC'!W$5:W$27)/MAX(1,COUNTIF('93_TARGET_MEMBERSHIP'!AZ$5:AZ$27,1)))*(SUMPRODUCT(--('93_TARGET_MEMBERSHIP'!AZ$5:AZ$27=-1),'92_FEATURE_CONF_NUMERIC'!W$5:W$27)/MAX(1,COUNTIF('93_TARGET_MEMBERSHIP'!AZ$5:AZ$27,-1)))))</f>
        <v/>
      </c>
      <c r="W55" s="34">
        <f>IF($B55="ABSOLUTE SEMANTIC",'19_FEATURE_CONFIDENCE'!$D$25,SQRT((SUMPRODUCT(--('93_TARGET_MEMBERSHIP'!AZ$5:AZ$27=1),'92_FEATURE_CONF_NUMERIC'!X$5:X$27)/MAX(1,COUNTIF('93_TARGET_MEMBERSHIP'!AZ$5:AZ$27,1)))*(SUMPRODUCT(--('93_TARGET_MEMBERSHIP'!AZ$5:AZ$27=-1),'92_FEATURE_CONF_NUMERIC'!X$5:X$27)/MAX(1,COUNTIF('93_TARGET_MEMBERSHIP'!AZ$5:AZ$27,-1)))))</f>
        <v/>
      </c>
      <c r="X55" s="34">
        <f>IF($B55="ABSOLUTE SEMANTIC",'19_FEATURE_CONFIDENCE'!$D$26,SQRT((SUMPRODUCT(--('93_TARGET_MEMBERSHIP'!AZ$5:AZ$27=1),'92_FEATURE_CONF_NUMERIC'!Y$5:Y$27)/MAX(1,COUNTIF('93_TARGET_MEMBERSHIP'!AZ$5:AZ$27,1)))*(SUMPRODUCT(--('93_TARGET_MEMBERSHIP'!AZ$5:AZ$27=-1),'92_FEATURE_CONF_NUMERIC'!Y$5:Y$27)/MAX(1,COUNTIF('93_TARGET_MEMBERSHIP'!AZ$5:AZ$27,-1)))))</f>
        <v/>
      </c>
      <c r="Y55" s="34">
        <f>IF($B55="ABSOLUTE SEMANTIC",'19_FEATURE_CONFIDENCE'!$D$27,SQRT((SUMPRODUCT(--('93_TARGET_MEMBERSHIP'!AZ$5:AZ$27=1),'92_FEATURE_CONF_NUMERIC'!Z$5:Z$27)/MAX(1,COUNTIF('93_TARGET_MEMBERSHIP'!AZ$5:AZ$27,1)))*(SUMPRODUCT(--('93_TARGET_MEMBERSHIP'!AZ$5:AZ$27=-1),'92_FEATURE_CONF_NUMERIC'!Z$5:Z$27)/MAX(1,COUNTIF('93_TARGET_MEMBERSHIP'!AZ$5:AZ$27,-1)))))</f>
        <v/>
      </c>
      <c r="Z55" s="34">
        <f>IF($B55="ABSOLUTE SEMANTIC",'19_FEATURE_CONFIDENCE'!$D$28,SQRT((SUMPRODUCT(--('93_TARGET_MEMBERSHIP'!AZ$5:AZ$27=1),'92_FEATURE_CONF_NUMERIC'!AA$5:AA$27)/MAX(1,COUNTIF('93_TARGET_MEMBERSHIP'!AZ$5:AZ$27,1)))*(SUMPRODUCT(--('93_TARGET_MEMBERSHIP'!AZ$5:AZ$27=-1),'92_FEATURE_CONF_NUMERIC'!AA$5:AA$27)/MAX(1,COUNTIF('93_TARGET_MEMBERSHIP'!AZ$5:AZ$27,-1)))))</f>
        <v/>
      </c>
      <c r="AA55" s="34">
        <f>IF($B55="ABSOLUTE SEMANTIC",'19_FEATURE_CONFIDENCE'!$D$29,SQRT((SUMPRODUCT(--('93_TARGET_MEMBERSHIP'!AZ$5:AZ$27=1),'92_FEATURE_CONF_NUMERIC'!AB$5:AB$27)/MAX(1,COUNTIF('93_TARGET_MEMBERSHIP'!AZ$5:AZ$27,1)))*(SUMPRODUCT(--('93_TARGET_MEMBERSHIP'!AZ$5:AZ$27=-1),'92_FEATURE_CONF_NUMERIC'!AB$5:AB$27)/MAX(1,COUNTIF('93_TARGET_MEMBERSHIP'!AZ$5:AZ$27,-1)))))</f>
        <v/>
      </c>
      <c r="AB55" s="34">
        <f>IF($B55="ABSOLUTE SEMANTIC",'19_FEATURE_CONFIDENCE'!$D$30,SQRT((SUMPRODUCT(--('93_TARGET_MEMBERSHIP'!AZ$5:AZ$27=1),'92_FEATURE_CONF_NUMERIC'!AC$5:AC$27)/MAX(1,COUNTIF('93_TARGET_MEMBERSHIP'!AZ$5:AZ$27,1)))*(SUMPRODUCT(--('93_TARGET_MEMBERSHIP'!AZ$5:AZ$27=-1),'92_FEATURE_CONF_NUMERIC'!AC$5:AC$27)/MAX(1,COUNTIF('93_TARGET_MEMBERSHIP'!AZ$5:AZ$27,-1)))))</f>
        <v/>
      </c>
      <c r="AC55" s="34">
        <f>IF($B55="ABSOLUTE SEMANTIC",'19_FEATURE_CONFIDENCE'!$D$31,SQRT((SUMPRODUCT(--('93_TARGET_MEMBERSHIP'!AZ$5:AZ$27=1),'92_FEATURE_CONF_NUMERIC'!AD$5:AD$27)/MAX(1,COUNTIF('93_TARGET_MEMBERSHIP'!AZ$5:AZ$27,1)))*(SUMPRODUCT(--('93_TARGET_MEMBERSHIP'!AZ$5:AZ$27=-1),'92_FEATURE_CONF_NUMERIC'!AD$5:AD$27)/MAX(1,COUNTIF('93_TARGET_MEMBERSHIP'!AZ$5:AZ$27,-1)))))</f>
        <v/>
      </c>
      <c r="AD55" s="34">
        <f>IF($B55="ABSOLUTE SEMANTIC",'19_FEATURE_CONFIDENCE'!$D$32,SQRT((SUMPRODUCT(--('93_TARGET_MEMBERSHIP'!AZ$5:AZ$27=1),'92_FEATURE_CONF_NUMERIC'!AE$5:AE$27)/MAX(1,COUNTIF('93_TARGET_MEMBERSHIP'!AZ$5:AZ$27,1)))*(SUMPRODUCT(--('93_TARGET_MEMBERSHIP'!AZ$5:AZ$27=-1),'92_FEATURE_CONF_NUMERIC'!AE$5:AE$27)/MAX(1,COUNTIF('93_TARGET_MEMBERSHIP'!AZ$5:AZ$27,-1)))))</f>
        <v/>
      </c>
      <c r="AE55" s="34">
        <f>IF($B55="ABSOLUTE SEMANTIC",'19_FEATURE_CONFIDENCE'!$D$33,SQRT((SUMPRODUCT(--('93_TARGET_MEMBERSHIP'!AZ$5:AZ$27=1),'92_FEATURE_CONF_NUMERIC'!AF$5:AF$27)/MAX(1,COUNTIF('93_TARGET_MEMBERSHIP'!AZ$5:AZ$27,1)))*(SUMPRODUCT(--('93_TARGET_MEMBERSHIP'!AZ$5:AZ$27=-1),'92_FEATURE_CONF_NUMERIC'!AF$5:AF$27)/MAX(1,COUNTIF('93_TARGET_MEMBERSHIP'!AZ$5:AZ$27,-1)))))</f>
        <v/>
      </c>
      <c r="AF55" s="34">
        <f>IF($B55="ABSOLUTE SEMANTIC",'19_FEATURE_CONFIDENCE'!$D$34,SQRT((SUMPRODUCT(--('93_TARGET_MEMBERSHIP'!AZ$5:AZ$27=1),'92_FEATURE_CONF_NUMERIC'!AG$5:AG$27)/MAX(1,COUNTIF('93_TARGET_MEMBERSHIP'!AZ$5:AZ$27,1)))*(SUMPRODUCT(--('93_TARGET_MEMBERSHIP'!AZ$5:AZ$27=-1),'92_FEATURE_CONF_NUMERIC'!AG$5:AG$27)/MAX(1,COUNTIF('93_TARGET_MEMBERSHIP'!AZ$5:AZ$27,-1)))))</f>
        <v/>
      </c>
      <c r="AG55" s="34">
        <f>IF($B55="ABSOLUTE SEMANTIC",'19_FEATURE_CONFIDENCE'!$D$35,SQRT((SUMPRODUCT(--('93_TARGET_MEMBERSHIP'!AZ$5:AZ$27=1),'92_FEATURE_CONF_NUMERIC'!AH$5:AH$27)/MAX(1,COUNTIF('93_TARGET_MEMBERSHIP'!AZ$5:AZ$27,1)))*(SUMPRODUCT(--('93_TARGET_MEMBERSHIP'!AZ$5:AZ$27=-1),'92_FEATURE_CONF_NUMERIC'!AH$5:AH$27)/MAX(1,COUNTIF('93_TARGET_MEMBERSHIP'!AZ$5:AZ$27,-1)))))</f>
        <v/>
      </c>
      <c r="AH55" s="34">
        <f>IF($B55="ABSOLUTE SEMANTIC",'19_FEATURE_CONFIDENCE'!$D$36,SQRT((SUMPRODUCT(--('93_TARGET_MEMBERSHIP'!AZ$5:AZ$27=1),'92_FEATURE_CONF_NUMERIC'!AI$5:AI$27)/MAX(1,COUNTIF('93_TARGET_MEMBERSHIP'!AZ$5:AZ$27,1)))*(SUMPRODUCT(--('93_TARGET_MEMBERSHIP'!AZ$5:AZ$27=-1),'92_FEATURE_CONF_NUMERIC'!AI$5:AI$27)/MAX(1,COUNTIF('93_TARGET_MEMBERSHIP'!AZ$5:AZ$27,-1)))))</f>
        <v/>
      </c>
      <c r="AI55" s="34">
        <f>IF($B55="ABSOLUTE SEMANTIC",'19_FEATURE_CONFIDENCE'!$D$37,SQRT((SUMPRODUCT(--('93_TARGET_MEMBERSHIP'!AZ$5:AZ$27=1),'92_FEATURE_CONF_NUMERIC'!AJ$5:AJ$27)/MAX(1,COUNTIF('93_TARGET_MEMBERSHIP'!AZ$5:AZ$27,1)))*(SUMPRODUCT(--('93_TARGET_MEMBERSHIP'!AZ$5:AZ$27=-1),'92_FEATURE_CONF_NUMERIC'!AJ$5:AJ$27)/MAX(1,COUNTIF('93_TARGET_MEMBERSHIP'!AZ$5:AZ$27,-1)))))</f>
        <v/>
      </c>
      <c r="AJ55" s="34">
        <f>IF($B55="ABSOLUTE SEMANTIC",'19_FEATURE_CONFIDENCE'!$D$38,SQRT((SUMPRODUCT(--('93_TARGET_MEMBERSHIP'!AZ$5:AZ$27=1),'92_FEATURE_CONF_NUMERIC'!AK$5:AK$27)/MAX(1,COUNTIF('93_TARGET_MEMBERSHIP'!AZ$5:AZ$27,1)))*(SUMPRODUCT(--('93_TARGET_MEMBERSHIP'!AZ$5:AZ$27=-1),'92_FEATURE_CONF_NUMERIC'!AK$5:AK$27)/MAX(1,COUNTIF('93_TARGET_MEMBERSHIP'!AZ$5:AZ$27,-1)))))</f>
        <v/>
      </c>
      <c r="AK55" s="34">
        <f>IF($B55="ABSOLUTE SEMANTIC",'19_FEATURE_CONFIDENCE'!$D$39,SQRT((SUMPRODUCT(--('93_TARGET_MEMBERSHIP'!AZ$5:AZ$27=1),'92_FEATURE_CONF_NUMERIC'!AL$5:AL$27)/MAX(1,COUNTIF('93_TARGET_MEMBERSHIP'!AZ$5:AZ$27,1)))*(SUMPRODUCT(--('93_TARGET_MEMBERSHIP'!AZ$5:AZ$27=-1),'92_FEATURE_CONF_NUMERIC'!AL$5:AL$27)/MAX(1,COUNTIF('93_TARGET_MEMBERSHIP'!AZ$5:AZ$27,-1)))))</f>
        <v/>
      </c>
      <c r="AL55" s="34">
        <f>IF($B55="ABSOLUTE SEMANTIC",'19_FEATURE_CONFIDENCE'!$D$40,SQRT((SUMPRODUCT(--('93_TARGET_MEMBERSHIP'!AZ$5:AZ$27=1),'92_FEATURE_CONF_NUMERIC'!AM$5:AM$27)/MAX(1,COUNTIF('93_TARGET_MEMBERSHIP'!AZ$5:AZ$27,1)))*(SUMPRODUCT(--('93_TARGET_MEMBERSHIP'!AZ$5:AZ$27=-1),'92_FEATURE_CONF_NUMERIC'!AM$5:AM$27)/MAX(1,COUNTIF('93_TARGET_MEMBERSHIP'!AZ$5:AZ$27,-1)))))</f>
        <v/>
      </c>
      <c r="AM55" s="34">
        <f>IF($B55="ABSOLUTE SEMANTIC",'19_FEATURE_CONFIDENCE'!$D$41,SQRT((SUMPRODUCT(--('93_TARGET_MEMBERSHIP'!AZ$5:AZ$27=1),'92_FEATURE_CONF_NUMERIC'!AN$5:AN$27)/MAX(1,COUNTIF('93_TARGET_MEMBERSHIP'!AZ$5:AZ$27,1)))*(SUMPRODUCT(--('93_TARGET_MEMBERSHIP'!AZ$5:AZ$27=-1),'92_FEATURE_CONF_NUMERIC'!AN$5:AN$27)/MAX(1,COUNTIF('93_TARGET_MEMBERSHIP'!AZ$5:AZ$27,-1)))))</f>
        <v/>
      </c>
      <c r="AN55" s="34">
        <f>IF($B55="ABSOLUTE SEMANTIC",'19_FEATURE_CONFIDENCE'!$D$42,SQRT((SUMPRODUCT(--('93_TARGET_MEMBERSHIP'!AZ$5:AZ$27=1),'92_FEATURE_CONF_NUMERIC'!AO$5:AO$27)/MAX(1,COUNTIF('93_TARGET_MEMBERSHIP'!AZ$5:AZ$27,1)))*(SUMPRODUCT(--('93_TARGET_MEMBERSHIP'!AZ$5:AZ$27=-1),'92_FEATURE_CONF_NUMERIC'!AO$5:AO$27)/MAX(1,COUNTIF('93_TARGET_MEMBERSHIP'!AZ$5:AZ$27,-1)))))</f>
        <v/>
      </c>
      <c r="AO55" s="34">
        <f>IF($B55="ABSOLUTE SEMANTIC",'19_FEATURE_CONFIDENCE'!$D$43,SQRT((SUMPRODUCT(--('93_TARGET_MEMBERSHIP'!AZ$5:AZ$27=1),'92_FEATURE_CONF_NUMERIC'!AP$5:AP$27)/MAX(1,COUNTIF('93_TARGET_MEMBERSHIP'!AZ$5:AZ$27,1)))*(SUMPRODUCT(--('93_TARGET_MEMBERSHIP'!AZ$5:AZ$27=-1),'92_FEATURE_CONF_NUMERIC'!AP$5:AP$27)/MAX(1,COUNTIF('93_TARGET_MEMBERSHIP'!AZ$5:AZ$27,-1)))))</f>
        <v/>
      </c>
      <c r="AP55" s="34">
        <f>IF($B55="ABSOLUTE SEMANTIC",'19_FEATURE_CONFIDENCE'!$D$44,SQRT((SUMPRODUCT(--('93_TARGET_MEMBERSHIP'!AZ$5:AZ$27=1),'92_FEATURE_CONF_NUMERIC'!AQ$5:AQ$27)/MAX(1,COUNTIF('93_TARGET_MEMBERSHIP'!AZ$5:AZ$27,1)))*(SUMPRODUCT(--('93_TARGET_MEMBERSHIP'!AZ$5:AZ$27=-1),'92_FEATURE_CONF_NUMERIC'!AQ$5:AQ$27)/MAX(1,COUNTIF('93_TARGET_MEMBERSHIP'!AZ$5:AZ$27,-1)))))</f>
        <v/>
      </c>
      <c r="AQ55" s="34">
        <f>IF($B55="ABSOLUTE SEMANTIC",'19_FEATURE_CONFIDENCE'!$D$45,SQRT((SUMPRODUCT(--('93_TARGET_MEMBERSHIP'!AZ$5:AZ$27=1),'92_FEATURE_CONF_NUMERIC'!AR$5:AR$27)/MAX(1,COUNTIF('93_TARGET_MEMBERSHIP'!AZ$5:AZ$27,1)))*(SUMPRODUCT(--('93_TARGET_MEMBERSHIP'!AZ$5:AZ$27=-1),'92_FEATURE_CONF_NUMERIC'!AR$5:AR$27)/MAX(1,COUNTIF('93_TARGET_MEMBERSHIP'!AZ$5:AZ$27,-1)))))</f>
        <v/>
      </c>
    </row>
    <row r="56" ht="36" customHeight="1">
      <c r="A56" s="34">
        <f>'06_ITEM_POLE_MODEL'!A56</f>
        <v/>
      </c>
      <c r="B56" s="34">
        <f>'06_ITEM_POLE_MODEL'!E56</f>
        <v/>
      </c>
      <c r="C56" s="34">
        <f>IF($B56="ABSOLUTE SEMANTIC",'19_FEATURE_CONFIDENCE'!$D$5,SQRT((SUMPRODUCT(--('93_TARGET_MEMBERSHIP'!BA$5:BA$27=1),'92_FEATURE_CONF_NUMERIC'!D$5:D$27)/MAX(1,COUNTIF('93_TARGET_MEMBERSHIP'!BA$5:BA$27,1)))*(SUMPRODUCT(--('93_TARGET_MEMBERSHIP'!BA$5:BA$27=-1),'92_FEATURE_CONF_NUMERIC'!D$5:D$27)/MAX(1,COUNTIF('93_TARGET_MEMBERSHIP'!BA$5:BA$27,-1)))))</f>
        <v/>
      </c>
      <c r="D56" s="34">
        <f>IF($B56="ABSOLUTE SEMANTIC",'19_FEATURE_CONFIDENCE'!$D$6,SQRT((SUMPRODUCT(--('93_TARGET_MEMBERSHIP'!BA$5:BA$27=1),'92_FEATURE_CONF_NUMERIC'!E$5:E$27)/MAX(1,COUNTIF('93_TARGET_MEMBERSHIP'!BA$5:BA$27,1)))*(SUMPRODUCT(--('93_TARGET_MEMBERSHIP'!BA$5:BA$27=-1),'92_FEATURE_CONF_NUMERIC'!E$5:E$27)/MAX(1,COUNTIF('93_TARGET_MEMBERSHIP'!BA$5:BA$27,-1)))))</f>
        <v/>
      </c>
      <c r="E56" s="34">
        <f>IF($B56="ABSOLUTE SEMANTIC",'19_FEATURE_CONFIDENCE'!$D$7,SQRT((SUMPRODUCT(--('93_TARGET_MEMBERSHIP'!BA$5:BA$27=1),'92_FEATURE_CONF_NUMERIC'!F$5:F$27)/MAX(1,COUNTIF('93_TARGET_MEMBERSHIP'!BA$5:BA$27,1)))*(SUMPRODUCT(--('93_TARGET_MEMBERSHIP'!BA$5:BA$27=-1),'92_FEATURE_CONF_NUMERIC'!F$5:F$27)/MAX(1,COUNTIF('93_TARGET_MEMBERSHIP'!BA$5:BA$27,-1)))))</f>
        <v/>
      </c>
      <c r="F56" s="34">
        <f>IF($B56="ABSOLUTE SEMANTIC",'19_FEATURE_CONFIDENCE'!$D$8,SQRT((SUMPRODUCT(--('93_TARGET_MEMBERSHIP'!BA$5:BA$27=1),'92_FEATURE_CONF_NUMERIC'!G$5:G$27)/MAX(1,COUNTIF('93_TARGET_MEMBERSHIP'!BA$5:BA$27,1)))*(SUMPRODUCT(--('93_TARGET_MEMBERSHIP'!BA$5:BA$27=-1),'92_FEATURE_CONF_NUMERIC'!G$5:G$27)/MAX(1,COUNTIF('93_TARGET_MEMBERSHIP'!BA$5:BA$27,-1)))))</f>
        <v/>
      </c>
      <c r="G56" s="34">
        <f>IF($B56="ABSOLUTE SEMANTIC",'19_FEATURE_CONFIDENCE'!$D$9,SQRT((SUMPRODUCT(--('93_TARGET_MEMBERSHIP'!BA$5:BA$27=1),'92_FEATURE_CONF_NUMERIC'!H$5:H$27)/MAX(1,COUNTIF('93_TARGET_MEMBERSHIP'!BA$5:BA$27,1)))*(SUMPRODUCT(--('93_TARGET_MEMBERSHIP'!BA$5:BA$27=-1),'92_FEATURE_CONF_NUMERIC'!H$5:H$27)/MAX(1,COUNTIF('93_TARGET_MEMBERSHIP'!BA$5:BA$27,-1)))))</f>
        <v/>
      </c>
      <c r="H56" s="34">
        <f>IF($B56="ABSOLUTE SEMANTIC",'19_FEATURE_CONFIDENCE'!$D$10,SQRT((SUMPRODUCT(--('93_TARGET_MEMBERSHIP'!BA$5:BA$27=1),'92_FEATURE_CONF_NUMERIC'!I$5:I$27)/MAX(1,COUNTIF('93_TARGET_MEMBERSHIP'!BA$5:BA$27,1)))*(SUMPRODUCT(--('93_TARGET_MEMBERSHIP'!BA$5:BA$27=-1),'92_FEATURE_CONF_NUMERIC'!I$5:I$27)/MAX(1,COUNTIF('93_TARGET_MEMBERSHIP'!BA$5:BA$27,-1)))))</f>
        <v/>
      </c>
      <c r="I56" s="34">
        <f>IF($B56="ABSOLUTE SEMANTIC",'19_FEATURE_CONFIDENCE'!$D$11,SQRT((SUMPRODUCT(--('93_TARGET_MEMBERSHIP'!BA$5:BA$27=1),'92_FEATURE_CONF_NUMERIC'!J$5:J$27)/MAX(1,COUNTIF('93_TARGET_MEMBERSHIP'!BA$5:BA$27,1)))*(SUMPRODUCT(--('93_TARGET_MEMBERSHIP'!BA$5:BA$27=-1),'92_FEATURE_CONF_NUMERIC'!J$5:J$27)/MAX(1,COUNTIF('93_TARGET_MEMBERSHIP'!BA$5:BA$27,-1)))))</f>
        <v/>
      </c>
      <c r="J56" s="34">
        <f>IF($B56="ABSOLUTE SEMANTIC",'19_FEATURE_CONFIDENCE'!$D$12,SQRT((SUMPRODUCT(--('93_TARGET_MEMBERSHIP'!BA$5:BA$27=1),'92_FEATURE_CONF_NUMERIC'!K$5:K$27)/MAX(1,COUNTIF('93_TARGET_MEMBERSHIP'!BA$5:BA$27,1)))*(SUMPRODUCT(--('93_TARGET_MEMBERSHIP'!BA$5:BA$27=-1),'92_FEATURE_CONF_NUMERIC'!K$5:K$27)/MAX(1,COUNTIF('93_TARGET_MEMBERSHIP'!BA$5:BA$27,-1)))))</f>
        <v/>
      </c>
      <c r="K56" s="34">
        <f>IF($B56="ABSOLUTE SEMANTIC",'19_FEATURE_CONFIDENCE'!$D$13,SQRT((SUMPRODUCT(--('93_TARGET_MEMBERSHIP'!BA$5:BA$27=1),'92_FEATURE_CONF_NUMERIC'!L$5:L$27)/MAX(1,COUNTIF('93_TARGET_MEMBERSHIP'!BA$5:BA$27,1)))*(SUMPRODUCT(--('93_TARGET_MEMBERSHIP'!BA$5:BA$27=-1),'92_FEATURE_CONF_NUMERIC'!L$5:L$27)/MAX(1,COUNTIF('93_TARGET_MEMBERSHIP'!BA$5:BA$27,-1)))))</f>
        <v/>
      </c>
      <c r="L56" s="34">
        <f>IF($B56="ABSOLUTE SEMANTIC",'19_FEATURE_CONFIDENCE'!$D$14,SQRT((SUMPRODUCT(--('93_TARGET_MEMBERSHIP'!BA$5:BA$27=1),'92_FEATURE_CONF_NUMERIC'!M$5:M$27)/MAX(1,COUNTIF('93_TARGET_MEMBERSHIP'!BA$5:BA$27,1)))*(SUMPRODUCT(--('93_TARGET_MEMBERSHIP'!BA$5:BA$27=-1),'92_FEATURE_CONF_NUMERIC'!M$5:M$27)/MAX(1,COUNTIF('93_TARGET_MEMBERSHIP'!BA$5:BA$27,-1)))))</f>
        <v/>
      </c>
      <c r="M56" s="34">
        <f>IF($B56="ABSOLUTE SEMANTIC",'19_FEATURE_CONFIDENCE'!$D$15,SQRT((SUMPRODUCT(--('93_TARGET_MEMBERSHIP'!BA$5:BA$27=1),'92_FEATURE_CONF_NUMERIC'!N$5:N$27)/MAX(1,COUNTIF('93_TARGET_MEMBERSHIP'!BA$5:BA$27,1)))*(SUMPRODUCT(--('93_TARGET_MEMBERSHIP'!BA$5:BA$27=-1),'92_FEATURE_CONF_NUMERIC'!N$5:N$27)/MAX(1,COUNTIF('93_TARGET_MEMBERSHIP'!BA$5:BA$27,-1)))))</f>
        <v/>
      </c>
      <c r="N56" s="34">
        <f>IF($B56="ABSOLUTE SEMANTIC",'19_FEATURE_CONFIDENCE'!$D$16,SQRT((SUMPRODUCT(--('93_TARGET_MEMBERSHIP'!BA$5:BA$27=1),'92_FEATURE_CONF_NUMERIC'!O$5:O$27)/MAX(1,COUNTIF('93_TARGET_MEMBERSHIP'!BA$5:BA$27,1)))*(SUMPRODUCT(--('93_TARGET_MEMBERSHIP'!BA$5:BA$27=-1),'92_FEATURE_CONF_NUMERIC'!O$5:O$27)/MAX(1,COUNTIF('93_TARGET_MEMBERSHIP'!BA$5:BA$27,-1)))))</f>
        <v/>
      </c>
      <c r="O56" s="34">
        <f>IF($B56="ABSOLUTE SEMANTIC",'19_FEATURE_CONFIDENCE'!$D$17,SQRT((SUMPRODUCT(--('93_TARGET_MEMBERSHIP'!BA$5:BA$27=1),'92_FEATURE_CONF_NUMERIC'!P$5:P$27)/MAX(1,COUNTIF('93_TARGET_MEMBERSHIP'!BA$5:BA$27,1)))*(SUMPRODUCT(--('93_TARGET_MEMBERSHIP'!BA$5:BA$27=-1),'92_FEATURE_CONF_NUMERIC'!P$5:P$27)/MAX(1,COUNTIF('93_TARGET_MEMBERSHIP'!BA$5:BA$27,-1)))))</f>
        <v/>
      </c>
      <c r="P56" s="34">
        <f>IF($B56="ABSOLUTE SEMANTIC",'19_FEATURE_CONFIDENCE'!$D$18,SQRT((SUMPRODUCT(--('93_TARGET_MEMBERSHIP'!BA$5:BA$27=1),'92_FEATURE_CONF_NUMERIC'!Q$5:Q$27)/MAX(1,COUNTIF('93_TARGET_MEMBERSHIP'!BA$5:BA$27,1)))*(SUMPRODUCT(--('93_TARGET_MEMBERSHIP'!BA$5:BA$27=-1),'92_FEATURE_CONF_NUMERIC'!Q$5:Q$27)/MAX(1,COUNTIF('93_TARGET_MEMBERSHIP'!BA$5:BA$27,-1)))))</f>
        <v/>
      </c>
      <c r="Q56" s="34">
        <f>IF($B56="ABSOLUTE SEMANTIC",'19_FEATURE_CONFIDENCE'!$D$19,SQRT((SUMPRODUCT(--('93_TARGET_MEMBERSHIP'!BA$5:BA$27=1),'92_FEATURE_CONF_NUMERIC'!R$5:R$27)/MAX(1,COUNTIF('93_TARGET_MEMBERSHIP'!BA$5:BA$27,1)))*(SUMPRODUCT(--('93_TARGET_MEMBERSHIP'!BA$5:BA$27=-1),'92_FEATURE_CONF_NUMERIC'!R$5:R$27)/MAX(1,COUNTIF('93_TARGET_MEMBERSHIP'!BA$5:BA$27,-1)))))</f>
        <v/>
      </c>
      <c r="R56" s="34">
        <f>IF($B56="ABSOLUTE SEMANTIC",'19_FEATURE_CONFIDENCE'!$D$20,SQRT((SUMPRODUCT(--('93_TARGET_MEMBERSHIP'!BA$5:BA$27=1),'92_FEATURE_CONF_NUMERIC'!S$5:S$27)/MAX(1,COUNTIF('93_TARGET_MEMBERSHIP'!BA$5:BA$27,1)))*(SUMPRODUCT(--('93_TARGET_MEMBERSHIP'!BA$5:BA$27=-1),'92_FEATURE_CONF_NUMERIC'!S$5:S$27)/MAX(1,COUNTIF('93_TARGET_MEMBERSHIP'!BA$5:BA$27,-1)))))</f>
        <v/>
      </c>
      <c r="S56" s="34">
        <f>IF($B56="ABSOLUTE SEMANTIC",'19_FEATURE_CONFIDENCE'!$D$21,SQRT((SUMPRODUCT(--('93_TARGET_MEMBERSHIP'!BA$5:BA$27=1),'92_FEATURE_CONF_NUMERIC'!T$5:T$27)/MAX(1,COUNTIF('93_TARGET_MEMBERSHIP'!BA$5:BA$27,1)))*(SUMPRODUCT(--('93_TARGET_MEMBERSHIP'!BA$5:BA$27=-1),'92_FEATURE_CONF_NUMERIC'!T$5:T$27)/MAX(1,COUNTIF('93_TARGET_MEMBERSHIP'!BA$5:BA$27,-1)))))</f>
        <v/>
      </c>
      <c r="T56" s="34">
        <f>IF($B56="ABSOLUTE SEMANTIC",'19_FEATURE_CONFIDENCE'!$D$22,SQRT((SUMPRODUCT(--('93_TARGET_MEMBERSHIP'!BA$5:BA$27=1),'92_FEATURE_CONF_NUMERIC'!U$5:U$27)/MAX(1,COUNTIF('93_TARGET_MEMBERSHIP'!BA$5:BA$27,1)))*(SUMPRODUCT(--('93_TARGET_MEMBERSHIP'!BA$5:BA$27=-1),'92_FEATURE_CONF_NUMERIC'!U$5:U$27)/MAX(1,COUNTIF('93_TARGET_MEMBERSHIP'!BA$5:BA$27,-1)))))</f>
        <v/>
      </c>
      <c r="U56" s="34">
        <f>IF($B56="ABSOLUTE SEMANTIC",'19_FEATURE_CONFIDENCE'!$D$23,SQRT((SUMPRODUCT(--('93_TARGET_MEMBERSHIP'!BA$5:BA$27=1),'92_FEATURE_CONF_NUMERIC'!V$5:V$27)/MAX(1,COUNTIF('93_TARGET_MEMBERSHIP'!BA$5:BA$27,1)))*(SUMPRODUCT(--('93_TARGET_MEMBERSHIP'!BA$5:BA$27=-1),'92_FEATURE_CONF_NUMERIC'!V$5:V$27)/MAX(1,COUNTIF('93_TARGET_MEMBERSHIP'!BA$5:BA$27,-1)))))</f>
        <v/>
      </c>
      <c r="V56" s="34">
        <f>IF($B56="ABSOLUTE SEMANTIC",'19_FEATURE_CONFIDENCE'!$D$24,SQRT((SUMPRODUCT(--('93_TARGET_MEMBERSHIP'!BA$5:BA$27=1),'92_FEATURE_CONF_NUMERIC'!W$5:W$27)/MAX(1,COUNTIF('93_TARGET_MEMBERSHIP'!BA$5:BA$27,1)))*(SUMPRODUCT(--('93_TARGET_MEMBERSHIP'!BA$5:BA$27=-1),'92_FEATURE_CONF_NUMERIC'!W$5:W$27)/MAX(1,COUNTIF('93_TARGET_MEMBERSHIP'!BA$5:BA$27,-1)))))</f>
        <v/>
      </c>
      <c r="W56" s="34">
        <f>IF($B56="ABSOLUTE SEMANTIC",'19_FEATURE_CONFIDENCE'!$D$25,SQRT((SUMPRODUCT(--('93_TARGET_MEMBERSHIP'!BA$5:BA$27=1),'92_FEATURE_CONF_NUMERIC'!X$5:X$27)/MAX(1,COUNTIF('93_TARGET_MEMBERSHIP'!BA$5:BA$27,1)))*(SUMPRODUCT(--('93_TARGET_MEMBERSHIP'!BA$5:BA$27=-1),'92_FEATURE_CONF_NUMERIC'!X$5:X$27)/MAX(1,COUNTIF('93_TARGET_MEMBERSHIP'!BA$5:BA$27,-1)))))</f>
        <v/>
      </c>
      <c r="X56" s="34">
        <f>IF($B56="ABSOLUTE SEMANTIC",'19_FEATURE_CONFIDENCE'!$D$26,SQRT((SUMPRODUCT(--('93_TARGET_MEMBERSHIP'!BA$5:BA$27=1),'92_FEATURE_CONF_NUMERIC'!Y$5:Y$27)/MAX(1,COUNTIF('93_TARGET_MEMBERSHIP'!BA$5:BA$27,1)))*(SUMPRODUCT(--('93_TARGET_MEMBERSHIP'!BA$5:BA$27=-1),'92_FEATURE_CONF_NUMERIC'!Y$5:Y$27)/MAX(1,COUNTIF('93_TARGET_MEMBERSHIP'!BA$5:BA$27,-1)))))</f>
        <v/>
      </c>
      <c r="Y56" s="34">
        <f>IF($B56="ABSOLUTE SEMANTIC",'19_FEATURE_CONFIDENCE'!$D$27,SQRT((SUMPRODUCT(--('93_TARGET_MEMBERSHIP'!BA$5:BA$27=1),'92_FEATURE_CONF_NUMERIC'!Z$5:Z$27)/MAX(1,COUNTIF('93_TARGET_MEMBERSHIP'!BA$5:BA$27,1)))*(SUMPRODUCT(--('93_TARGET_MEMBERSHIP'!BA$5:BA$27=-1),'92_FEATURE_CONF_NUMERIC'!Z$5:Z$27)/MAX(1,COUNTIF('93_TARGET_MEMBERSHIP'!BA$5:BA$27,-1)))))</f>
        <v/>
      </c>
      <c r="Z56" s="34">
        <f>IF($B56="ABSOLUTE SEMANTIC",'19_FEATURE_CONFIDENCE'!$D$28,SQRT((SUMPRODUCT(--('93_TARGET_MEMBERSHIP'!BA$5:BA$27=1),'92_FEATURE_CONF_NUMERIC'!AA$5:AA$27)/MAX(1,COUNTIF('93_TARGET_MEMBERSHIP'!BA$5:BA$27,1)))*(SUMPRODUCT(--('93_TARGET_MEMBERSHIP'!BA$5:BA$27=-1),'92_FEATURE_CONF_NUMERIC'!AA$5:AA$27)/MAX(1,COUNTIF('93_TARGET_MEMBERSHIP'!BA$5:BA$27,-1)))))</f>
        <v/>
      </c>
      <c r="AA56" s="34">
        <f>IF($B56="ABSOLUTE SEMANTIC",'19_FEATURE_CONFIDENCE'!$D$29,SQRT((SUMPRODUCT(--('93_TARGET_MEMBERSHIP'!BA$5:BA$27=1),'92_FEATURE_CONF_NUMERIC'!AB$5:AB$27)/MAX(1,COUNTIF('93_TARGET_MEMBERSHIP'!BA$5:BA$27,1)))*(SUMPRODUCT(--('93_TARGET_MEMBERSHIP'!BA$5:BA$27=-1),'92_FEATURE_CONF_NUMERIC'!AB$5:AB$27)/MAX(1,COUNTIF('93_TARGET_MEMBERSHIP'!BA$5:BA$27,-1)))))</f>
        <v/>
      </c>
      <c r="AB56" s="34">
        <f>IF($B56="ABSOLUTE SEMANTIC",'19_FEATURE_CONFIDENCE'!$D$30,SQRT((SUMPRODUCT(--('93_TARGET_MEMBERSHIP'!BA$5:BA$27=1),'92_FEATURE_CONF_NUMERIC'!AC$5:AC$27)/MAX(1,COUNTIF('93_TARGET_MEMBERSHIP'!BA$5:BA$27,1)))*(SUMPRODUCT(--('93_TARGET_MEMBERSHIP'!BA$5:BA$27=-1),'92_FEATURE_CONF_NUMERIC'!AC$5:AC$27)/MAX(1,COUNTIF('93_TARGET_MEMBERSHIP'!BA$5:BA$27,-1)))))</f>
        <v/>
      </c>
      <c r="AC56" s="34">
        <f>IF($B56="ABSOLUTE SEMANTIC",'19_FEATURE_CONFIDENCE'!$D$31,SQRT((SUMPRODUCT(--('93_TARGET_MEMBERSHIP'!BA$5:BA$27=1),'92_FEATURE_CONF_NUMERIC'!AD$5:AD$27)/MAX(1,COUNTIF('93_TARGET_MEMBERSHIP'!BA$5:BA$27,1)))*(SUMPRODUCT(--('93_TARGET_MEMBERSHIP'!BA$5:BA$27=-1),'92_FEATURE_CONF_NUMERIC'!AD$5:AD$27)/MAX(1,COUNTIF('93_TARGET_MEMBERSHIP'!BA$5:BA$27,-1)))))</f>
        <v/>
      </c>
      <c r="AD56" s="34">
        <f>IF($B56="ABSOLUTE SEMANTIC",'19_FEATURE_CONFIDENCE'!$D$32,SQRT((SUMPRODUCT(--('93_TARGET_MEMBERSHIP'!BA$5:BA$27=1),'92_FEATURE_CONF_NUMERIC'!AE$5:AE$27)/MAX(1,COUNTIF('93_TARGET_MEMBERSHIP'!BA$5:BA$27,1)))*(SUMPRODUCT(--('93_TARGET_MEMBERSHIP'!BA$5:BA$27=-1),'92_FEATURE_CONF_NUMERIC'!AE$5:AE$27)/MAX(1,COUNTIF('93_TARGET_MEMBERSHIP'!BA$5:BA$27,-1)))))</f>
        <v/>
      </c>
      <c r="AE56" s="34">
        <f>IF($B56="ABSOLUTE SEMANTIC",'19_FEATURE_CONFIDENCE'!$D$33,SQRT((SUMPRODUCT(--('93_TARGET_MEMBERSHIP'!BA$5:BA$27=1),'92_FEATURE_CONF_NUMERIC'!AF$5:AF$27)/MAX(1,COUNTIF('93_TARGET_MEMBERSHIP'!BA$5:BA$27,1)))*(SUMPRODUCT(--('93_TARGET_MEMBERSHIP'!BA$5:BA$27=-1),'92_FEATURE_CONF_NUMERIC'!AF$5:AF$27)/MAX(1,COUNTIF('93_TARGET_MEMBERSHIP'!BA$5:BA$27,-1)))))</f>
        <v/>
      </c>
      <c r="AF56" s="34">
        <f>IF($B56="ABSOLUTE SEMANTIC",'19_FEATURE_CONFIDENCE'!$D$34,SQRT((SUMPRODUCT(--('93_TARGET_MEMBERSHIP'!BA$5:BA$27=1),'92_FEATURE_CONF_NUMERIC'!AG$5:AG$27)/MAX(1,COUNTIF('93_TARGET_MEMBERSHIP'!BA$5:BA$27,1)))*(SUMPRODUCT(--('93_TARGET_MEMBERSHIP'!BA$5:BA$27=-1),'92_FEATURE_CONF_NUMERIC'!AG$5:AG$27)/MAX(1,COUNTIF('93_TARGET_MEMBERSHIP'!BA$5:BA$27,-1)))))</f>
        <v/>
      </c>
      <c r="AG56" s="34">
        <f>IF($B56="ABSOLUTE SEMANTIC",'19_FEATURE_CONFIDENCE'!$D$35,SQRT((SUMPRODUCT(--('93_TARGET_MEMBERSHIP'!BA$5:BA$27=1),'92_FEATURE_CONF_NUMERIC'!AH$5:AH$27)/MAX(1,COUNTIF('93_TARGET_MEMBERSHIP'!BA$5:BA$27,1)))*(SUMPRODUCT(--('93_TARGET_MEMBERSHIP'!BA$5:BA$27=-1),'92_FEATURE_CONF_NUMERIC'!AH$5:AH$27)/MAX(1,COUNTIF('93_TARGET_MEMBERSHIP'!BA$5:BA$27,-1)))))</f>
        <v/>
      </c>
      <c r="AH56" s="34">
        <f>IF($B56="ABSOLUTE SEMANTIC",'19_FEATURE_CONFIDENCE'!$D$36,SQRT((SUMPRODUCT(--('93_TARGET_MEMBERSHIP'!BA$5:BA$27=1),'92_FEATURE_CONF_NUMERIC'!AI$5:AI$27)/MAX(1,COUNTIF('93_TARGET_MEMBERSHIP'!BA$5:BA$27,1)))*(SUMPRODUCT(--('93_TARGET_MEMBERSHIP'!BA$5:BA$27=-1),'92_FEATURE_CONF_NUMERIC'!AI$5:AI$27)/MAX(1,COUNTIF('93_TARGET_MEMBERSHIP'!BA$5:BA$27,-1)))))</f>
        <v/>
      </c>
      <c r="AI56" s="34">
        <f>IF($B56="ABSOLUTE SEMANTIC",'19_FEATURE_CONFIDENCE'!$D$37,SQRT((SUMPRODUCT(--('93_TARGET_MEMBERSHIP'!BA$5:BA$27=1),'92_FEATURE_CONF_NUMERIC'!AJ$5:AJ$27)/MAX(1,COUNTIF('93_TARGET_MEMBERSHIP'!BA$5:BA$27,1)))*(SUMPRODUCT(--('93_TARGET_MEMBERSHIP'!BA$5:BA$27=-1),'92_FEATURE_CONF_NUMERIC'!AJ$5:AJ$27)/MAX(1,COUNTIF('93_TARGET_MEMBERSHIP'!BA$5:BA$27,-1)))))</f>
        <v/>
      </c>
      <c r="AJ56" s="34">
        <f>IF($B56="ABSOLUTE SEMANTIC",'19_FEATURE_CONFIDENCE'!$D$38,SQRT((SUMPRODUCT(--('93_TARGET_MEMBERSHIP'!BA$5:BA$27=1),'92_FEATURE_CONF_NUMERIC'!AK$5:AK$27)/MAX(1,COUNTIF('93_TARGET_MEMBERSHIP'!BA$5:BA$27,1)))*(SUMPRODUCT(--('93_TARGET_MEMBERSHIP'!BA$5:BA$27=-1),'92_FEATURE_CONF_NUMERIC'!AK$5:AK$27)/MAX(1,COUNTIF('93_TARGET_MEMBERSHIP'!BA$5:BA$27,-1)))))</f>
        <v/>
      </c>
      <c r="AK56" s="34">
        <f>IF($B56="ABSOLUTE SEMANTIC",'19_FEATURE_CONFIDENCE'!$D$39,SQRT((SUMPRODUCT(--('93_TARGET_MEMBERSHIP'!BA$5:BA$27=1),'92_FEATURE_CONF_NUMERIC'!AL$5:AL$27)/MAX(1,COUNTIF('93_TARGET_MEMBERSHIP'!BA$5:BA$27,1)))*(SUMPRODUCT(--('93_TARGET_MEMBERSHIP'!BA$5:BA$27=-1),'92_FEATURE_CONF_NUMERIC'!AL$5:AL$27)/MAX(1,COUNTIF('93_TARGET_MEMBERSHIP'!BA$5:BA$27,-1)))))</f>
        <v/>
      </c>
      <c r="AL56" s="34">
        <f>IF($B56="ABSOLUTE SEMANTIC",'19_FEATURE_CONFIDENCE'!$D$40,SQRT((SUMPRODUCT(--('93_TARGET_MEMBERSHIP'!BA$5:BA$27=1),'92_FEATURE_CONF_NUMERIC'!AM$5:AM$27)/MAX(1,COUNTIF('93_TARGET_MEMBERSHIP'!BA$5:BA$27,1)))*(SUMPRODUCT(--('93_TARGET_MEMBERSHIP'!BA$5:BA$27=-1),'92_FEATURE_CONF_NUMERIC'!AM$5:AM$27)/MAX(1,COUNTIF('93_TARGET_MEMBERSHIP'!BA$5:BA$27,-1)))))</f>
        <v/>
      </c>
      <c r="AM56" s="34">
        <f>IF($B56="ABSOLUTE SEMANTIC",'19_FEATURE_CONFIDENCE'!$D$41,SQRT((SUMPRODUCT(--('93_TARGET_MEMBERSHIP'!BA$5:BA$27=1),'92_FEATURE_CONF_NUMERIC'!AN$5:AN$27)/MAX(1,COUNTIF('93_TARGET_MEMBERSHIP'!BA$5:BA$27,1)))*(SUMPRODUCT(--('93_TARGET_MEMBERSHIP'!BA$5:BA$27=-1),'92_FEATURE_CONF_NUMERIC'!AN$5:AN$27)/MAX(1,COUNTIF('93_TARGET_MEMBERSHIP'!BA$5:BA$27,-1)))))</f>
        <v/>
      </c>
      <c r="AN56" s="34">
        <f>IF($B56="ABSOLUTE SEMANTIC",'19_FEATURE_CONFIDENCE'!$D$42,SQRT((SUMPRODUCT(--('93_TARGET_MEMBERSHIP'!BA$5:BA$27=1),'92_FEATURE_CONF_NUMERIC'!AO$5:AO$27)/MAX(1,COUNTIF('93_TARGET_MEMBERSHIP'!BA$5:BA$27,1)))*(SUMPRODUCT(--('93_TARGET_MEMBERSHIP'!BA$5:BA$27=-1),'92_FEATURE_CONF_NUMERIC'!AO$5:AO$27)/MAX(1,COUNTIF('93_TARGET_MEMBERSHIP'!BA$5:BA$27,-1)))))</f>
        <v/>
      </c>
      <c r="AO56" s="34">
        <f>IF($B56="ABSOLUTE SEMANTIC",'19_FEATURE_CONFIDENCE'!$D$43,SQRT((SUMPRODUCT(--('93_TARGET_MEMBERSHIP'!BA$5:BA$27=1),'92_FEATURE_CONF_NUMERIC'!AP$5:AP$27)/MAX(1,COUNTIF('93_TARGET_MEMBERSHIP'!BA$5:BA$27,1)))*(SUMPRODUCT(--('93_TARGET_MEMBERSHIP'!BA$5:BA$27=-1),'92_FEATURE_CONF_NUMERIC'!AP$5:AP$27)/MAX(1,COUNTIF('93_TARGET_MEMBERSHIP'!BA$5:BA$27,-1)))))</f>
        <v/>
      </c>
      <c r="AP56" s="34">
        <f>IF($B56="ABSOLUTE SEMANTIC",'19_FEATURE_CONFIDENCE'!$D$44,SQRT((SUMPRODUCT(--('93_TARGET_MEMBERSHIP'!BA$5:BA$27=1),'92_FEATURE_CONF_NUMERIC'!AQ$5:AQ$27)/MAX(1,COUNTIF('93_TARGET_MEMBERSHIP'!BA$5:BA$27,1)))*(SUMPRODUCT(--('93_TARGET_MEMBERSHIP'!BA$5:BA$27=-1),'92_FEATURE_CONF_NUMERIC'!AQ$5:AQ$27)/MAX(1,COUNTIF('93_TARGET_MEMBERSHIP'!BA$5:BA$27,-1)))))</f>
        <v/>
      </c>
      <c r="AQ56" s="34">
        <f>IF($B56="ABSOLUTE SEMANTIC",'19_FEATURE_CONFIDENCE'!$D$45,SQRT((SUMPRODUCT(--('93_TARGET_MEMBERSHIP'!BA$5:BA$27=1),'92_FEATURE_CONF_NUMERIC'!AR$5:AR$27)/MAX(1,COUNTIF('93_TARGET_MEMBERSHIP'!BA$5:BA$27,1)))*(SUMPRODUCT(--('93_TARGET_MEMBERSHIP'!BA$5:BA$27=-1),'92_FEATURE_CONF_NUMERIC'!AR$5:AR$27)/MAX(1,COUNTIF('93_TARGET_MEMBERSHIP'!BA$5:BA$27,-1)))))</f>
        <v/>
      </c>
    </row>
    <row r="57" ht="36" customHeight="1">
      <c r="A57" s="34">
        <f>'06_ITEM_POLE_MODEL'!A57</f>
        <v/>
      </c>
      <c r="B57" s="34">
        <f>'06_ITEM_POLE_MODEL'!E57</f>
        <v/>
      </c>
      <c r="C57" s="34">
        <f>IF($B57="ABSOLUTE SEMANTIC",'19_FEATURE_CONFIDENCE'!$D$5,SQRT((SUMPRODUCT(--('93_TARGET_MEMBERSHIP'!BB$5:BB$27=1),'92_FEATURE_CONF_NUMERIC'!D$5:D$27)/MAX(1,COUNTIF('93_TARGET_MEMBERSHIP'!BB$5:BB$27,1)))*(SUMPRODUCT(--('93_TARGET_MEMBERSHIP'!BB$5:BB$27=-1),'92_FEATURE_CONF_NUMERIC'!D$5:D$27)/MAX(1,COUNTIF('93_TARGET_MEMBERSHIP'!BB$5:BB$27,-1)))))</f>
        <v/>
      </c>
      <c r="D57" s="34">
        <f>IF($B57="ABSOLUTE SEMANTIC",'19_FEATURE_CONFIDENCE'!$D$6,SQRT((SUMPRODUCT(--('93_TARGET_MEMBERSHIP'!BB$5:BB$27=1),'92_FEATURE_CONF_NUMERIC'!E$5:E$27)/MAX(1,COUNTIF('93_TARGET_MEMBERSHIP'!BB$5:BB$27,1)))*(SUMPRODUCT(--('93_TARGET_MEMBERSHIP'!BB$5:BB$27=-1),'92_FEATURE_CONF_NUMERIC'!E$5:E$27)/MAX(1,COUNTIF('93_TARGET_MEMBERSHIP'!BB$5:BB$27,-1)))))</f>
        <v/>
      </c>
      <c r="E57" s="34">
        <f>IF($B57="ABSOLUTE SEMANTIC",'19_FEATURE_CONFIDENCE'!$D$7,SQRT((SUMPRODUCT(--('93_TARGET_MEMBERSHIP'!BB$5:BB$27=1),'92_FEATURE_CONF_NUMERIC'!F$5:F$27)/MAX(1,COUNTIF('93_TARGET_MEMBERSHIP'!BB$5:BB$27,1)))*(SUMPRODUCT(--('93_TARGET_MEMBERSHIP'!BB$5:BB$27=-1),'92_FEATURE_CONF_NUMERIC'!F$5:F$27)/MAX(1,COUNTIF('93_TARGET_MEMBERSHIP'!BB$5:BB$27,-1)))))</f>
        <v/>
      </c>
      <c r="F57" s="34">
        <f>IF($B57="ABSOLUTE SEMANTIC",'19_FEATURE_CONFIDENCE'!$D$8,SQRT((SUMPRODUCT(--('93_TARGET_MEMBERSHIP'!BB$5:BB$27=1),'92_FEATURE_CONF_NUMERIC'!G$5:G$27)/MAX(1,COUNTIF('93_TARGET_MEMBERSHIP'!BB$5:BB$27,1)))*(SUMPRODUCT(--('93_TARGET_MEMBERSHIP'!BB$5:BB$27=-1),'92_FEATURE_CONF_NUMERIC'!G$5:G$27)/MAX(1,COUNTIF('93_TARGET_MEMBERSHIP'!BB$5:BB$27,-1)))))</f>
        <v/>
      </c>
      <c r="G57" s="34">
        <f>IF($B57="ABSOLUTE SEMANTIC",'19_FEATURE_CONFIDENCE'!$D$9,SQRT((SUMPRODUCT(--('93_TARGET_MEMBERSHIP'!BB$5:BB$27=1),'92_FEATURE_CONF_NUMERIC'!H$5:H$27)/MAX(1,COUNTIF('93_TARGET_MEMBERSHIP'!BB$5:BB$27,1)))*(SUMPRODUCT(--('93_TARGET_MEMBERSHIP'!BB$5:BB$27=-1),'92_FEATURE_CONF_NUMERIC'!H$5:H$27)/MAX(1,COUNTIF('93_TARGET_MEMBERSHIP'!BB$5:BB$27,-1)))))</f>
        <v/>
      </c>
      <c r="H57" s="34">
        <f>IF($B57="ABSOLUTE SEMANTIC",'19_FEATURE_CONFIDENCE'!$D$10,SQRT((SUMPRODUCT(--('93_TARGET_MEMBERSHIP'!BB$5:BB$27=1),'92_FEATURE_CONF_NUMERIC'!I$5:I$27)/MAX(1,COUNTIF('93_TARGET_MEMBERSHIP'!BB$5:BB$27,1)))*(SUMPRODUCT(--('93_TARGET_MEMBERSHIP'!BB$5:BB$27=-1),'92_FEATURE_CONF_NUMERIC'!I$5:I$27)/MAX(1,COUNTIF('93_TARGET_MEMBERSHIP'!BB$5:BB$27,-1)))))</f>
        <v/>
      </c>
      <c r="I57" s="34">
        <f>IF($B57="ABSOLUTE SEMANTIC",'19_FEATURE_CONFIDENCE'!$D$11,SQRT((SUMPRODUCT(--('93_TARGET_MEMBERSHIP'!BB$5:BB$27=1),'92_FEATURE_CONF_NUMERIC'!J$5:J$27)/MAX(1,COUNTIF('93_TARGET_MEMBERSHIP'!BB$5:BB$27,1)))*(SUMPRODUCT(--('93_TARGET_MEMBERSHIP'!BB$5:BB$27=-1),'92_FEATURE_CONF_NUMERIC'!J$5:J$27)/MAX(1,COUNTIF('93_TARGET_MEMBERSHIP'!BB$5:BB$27,-1)))))</f>
        <v/>
      </c>
      <c r="J57" s="34">
        <f>IF($B57="ABSOLUTE SEMANTIC",'19_FEATURE_CONFIDENCE'!$D$12,SQRT((SUMPRODUCT(--('93_TARGET_MEMBERSHIP'!BB$5:BB$27=1),'92_FEATURE_CONF_NUMERIC'!K$5:K$27)/MAX(1,COUNTIF('93_TARGET_MEMBERSHIP'!BB$5:BB$27,1)))*(SUMPRODUCT(--('93_TARGET_MEMBERSHIP'!BB$5:BB$27=-1),'92_FEATURE_CONF_NUMERIC'!K$5:K$27)/MAX(1,COUNTIF('93_TARGET_MEMBERSHIP'!BB$5:BB$27,-1)))))</f>
        <v/>
      </c>
      <c r="K57" s="34">
        <f>IF($B57="ABSOLUTE SEMANTIC",'19_FEATURE_CONFIDENCE'!$D$13,SQRT((SUMPRODUCT(--('93_TARGET_MEMBERSHIP'!BB$5:BB$27=1),'92_FEATURE_CONF_NUMERIC'!L$5:L$27)/MAX(1,COUNTIF('93_TARGET_MEMBERSHIP'!BB$5:BB$27,1)))*(SUMPRODUCT(--('93_TARGET_MEMBERSHIP'!BB$5:BB$27=-1),'92_FEATURE_CONF_NUMERIC'!L$5:L$27)/MAX(1,COUNTIF('93_TARGET_MEMBERSHIP'!BB$5:BB$27,-1)))))</f>
        <v/>
      </c>
      <c r="L57" s="34">
        <f>IF($B57="ABSOLUTE SEMANTIC",'19_FEATURE_CONFIDENCE'!$D$14,SQRT((SUMPRODUCT(--('93_TARGET_MEMBERSHIP'!BB$5:BB$27=1),'92_FEATURE_CONF_NUMERIC'!M$5:M$27)/MAX(1,COUNTIF('93_TARGET_MEMBERSHIP'!BB$5:BB$27,1)))*(SUMPRODUCT(--('93_TARGET_MEMBERSHIP'!BB$5:BB$27=-1),'92_FEATURE_CONF_NUMERIC'!M$5:M$27)/MAX(1,COUNTIF('93_TARGET_MEMBERSHIP'!BB$5:BB$27,-1)))))</f>
        <v/>
      </c>
      <c r="M57" s="34">
        <f>IF($B57="ABSOLUTE SEMANTIC",'19_FEATURE_CONFIDENCE'!$D$15,SQRT((SUMPRODUCT(--('93_TARGET_MEMBERSHIP'!BB$5:BB$27=1),'92_FEATURE_CONF_NUMERIC'!N$5:N$27)/MAX(1,COUNTIF('93_TARGET_MEMBERSHIP'!BB$5:BB$27,1)))*(SUMPRODUCT(--('93_TARGET_MEMBERSHIP'!BB$5:BB$27=-1),'92_FEATURE_CONF_NUMERIC'!N$5:N$27)/MAX(1,COUNTIF('93_TARGET_MEMBERSHIP'!BB$5:BB$27,-1)))))</f>
        <v/>
      </c>
      <c r="N57" s="34">
        <f>IF($B57="ABSOLUTE SEMANTIC",'19_FEATURE_CONFIDENCE'!$D$16,SQRT((SUMPRODUCT(--('93_TARGET_MEMBERSHIP'!BB$5:BB$27=1),'92_FEATURE_CONF_NUMERIC'!O$5:O$27)/MAX(1,COUNTIF('93_TARGET_MEMBERSHIP'!BB$5:BB$27,1)))*(SUMPRODUCT(--('93_TARGET_MEMBERSHIP'!BB$5:BB$27=-1),'92_FEATURE_CONF_NUMERIC'!O$5:O$27)/MAX(1,COUNTIF('93_TARGET_MEMBERSHIP'!BB$5:BB$27,-1)))))</f>
        <v/>
      </c>
      <c r="O57" s="34">
        <f>IF($B57="ABSOLUTE SEMANTIC",'19_FEATURE_CONFIDENCE'!$D$17,SQRT((SUMPRODUCT(--('93_TARGET_MEMBERSHIP'!BB$5:BB$27=1),'92_FEATURE_CONF_NUMERIC'!P$5:P$27)/MAX(1,COUNTIF('93_TARGET_MEMBERSHIP'!BB$5:BB$27,1)))*(SUMPRODUCT(--('93_TARGET_MEMBERSHIP'!BB$5:BB$27=-1),'92_FEATURE_CONF_NUMERIC'!P$5:P$27)/MAX(1,COUNTIF('93_TARGET_MEMBERSHIP'!BB$5:BB$27,-1)))))</f>
        <v/>
      </c>
      <c r="P57" s="34">
        <f>IF($B57="ABSOLUTE SEMANTIC",'19_FEATURE_CONFIDENCE'!$D$18,SQRT((SUMPRODUCT(--('93_TARGET_MEMBERSHIP'!BB$5:BB$27=1),'92_FEATURE_CONF_NUMERIC'!Q$5:Q$27)/MAX(1,COUNTIF('93_TARGET_MEMBERSHIP'!BB$5:BB$27,1)))*(SUMPRODUCT(--('93_TARGET_MEMBERSHIP'!BB$5:BB$27=-1),'92_FEATURE_CONF_NUMERIC'!Q$5:Q$27)/MAX(1,COUNTIF('93_TARGET_MEMBERSHIP'!BB$5:BB$27,-1)))))</f>
        <v/>
      </c>
      <c r="Q57" s="34">
        <f>IF($B57="ABSOLUTE SEMANTIC",'19_FEATURE_CONFIDENCE'!$D$19,SQRT((SUMPRODUCT(--('93_TARGET_MEMBERSHIP'!BB$5:BB$27=1),'92_FEATURE_CONF_NUMERIC'!R$5:R$27)/MAX(1,COUNTIF('93_TARGET_MEMBERSHIP'!BB$5:BB$27,1)))*(SUMPRODUCT(--('93_TARGET_MEMBERSHIP'!BB$5:BB$27=-1),'92_FEATURE_CONF_NUMERIC'!R$5:R$27)/MAX(1,COUNTIF('93_TARGET_MEMBERSHIP'!BB$5:BB$27,-1)))))</f>
        <v/>
      </c>
      <c r="R57" s="34">
        <f>IF($B57="ABSOLUTE SEMANTIC",'19_FEATURE_CONFIDENCE'!$D$20,SQRT((SUMPRODUCT(--('93_TARGET_MEMBERSHIP'!BB$5:BB$27=1),'92_FEATURE_CONF_NUMERIC'!S$5:S$27)/MAX(1,COUNTIF('93_TARGET_MEMBERSHIP'!BB$5:BB$27,1)))*(SUMPRODUCT(--('93_TARGET_MEMBERSHIP'!BB$5:BB$27=-1),'92_FEATURE_CONF_NUMERIC'!S$5:S$27)/MAX(1,COUNTIF('93_TARGET_MEMBERSHIP'!BB$5:BB$27,-1)))))</f>
        <v/>
      </c>
      <c r="S57" s="34">
        <f>IF($B57="ABSOLUTE SEMANTIC",'19_FEATURE_CONFIDENCE'!$D$21,SQRT((SUMPRODUCT(--('93_TARGET_MEMBERSHIP'!BB$5:BB$27=1),'92_FEATURE_CONF_NUMERIC'!T$5:T$27)/MAX(1,COUNTIF('93_TARGET_MEMBERSHIP'!BB$5:BB$27,1)))*(SUMPRODUCT(--('93_TARGET_MEMBERSHIP'!BB$5:BB$27=-1),'92_FEATURE_CONF_NUMERIC'!T$5:T$27)/MAX(1,COUNTIF('93_TARGET_MEMBERSHIP'!BB$5:BB$27,-1)))))</f>
        <v/>
      </c>
      <c r="T57" s="34">
        <f>IF($B57="ABSOLUTE SEMANTIC",'19_FEATURE_CONFIDENCE'!$D$22,SQRT((SUMPRODUCT(--('93_TARGET_MEMBERSHIP'!BB$5:BB$27=1),'92_FEATURE_CONF_NUMERIC'!U$5:U$27)/MAX(1,COUNTIF('93_TARGET_MEMBERSHIP'!BB$5:BB$27,1)))*(SUMPRODUCT(--('93_TARGET_MEMBERSHIP'!BB$5:BB$27=-1),'92_FEATURE_CONF_NUMERIC'!U$5:U$27)/MAX(1,COUNTIF('93_TARGET_MEMBERSHIP'!BB$5:BB$27,-1)))))</f>
        <v/>
      </c>
      <c r="U57" s="34">
        <f>IF($B57="ABSOLUTE SEMANTIC",'19_FEATURE_CONFIDENCE'!$D$23,SQRT((SUMPRODUCT(--('93_TARGET_MEMBERSHIP'!BB$5:BB$27=1),'92_FEATURE_CONF_NUMERIC'!V$5:V$27)/MAX(1,COUNTIF('93_TARGET_MEMBERSHIP'!BB$5:BB$27,1)))*(SUMPRODUCT(--('93_TARGET_MEMBERSHIP'!BB$5:BB$27=-1),'92_FEATURE_CONF_NUMERIC'!V$5:V$27)/MAX(1,COUNTIF('93_TARGET_MEMBERSHIP'!BB$5:BB$27,-1)))))</f>
        <v/>
      </c>
      <c r="V57" s="34">
        <f>IF($B57="ABSOLUTE SEMANTIC",'19_FEATURE_CONFIDENCE'!$D$24,SQRT((SUMPRODUCT(--('93_TARGET_MEMBERSHIP'!BB$5:BB$27=1),'92_FEATURE_CONF_NUMERIC'!W$5:W$27)/MAX(1,COUNTIF('93_TARGET_MEMBERSHIP'!BB$5:BB$27,1)))*(SUMPRODUCT(--('93_TARGET_MEMBERSHIP'!BB$5:BB$27=-1),'92_FEATURE_CONF_NUMERIC'!W$5:W$27)/MAX(1,COUNTIF('93_TARGET_MEMBERSHIP'!BB$5:BB$27,-1)))))</f>
        <v/>
      </c>
      <c r="W57" s="34">
        <f>IF($B57="ABSOLUTE SEMANTIC",'19_FEATURE_CONFIDENCE'!$D$25,SQRT((SUMPRODUCT(--('93_TARGET_MEMBERSHIP'!BB$5:BB$27=1),'92_FEATURE_CONF_NUMERIC'!X$5:X$27)/MAX(1,COUNTIF('93_TARGET_MEMBERSHIP'!BB$5:BB$27,1)))*(SUMPRODUCT(--('93_TARGET_MEMBERSHIP'!BB$5:BB$27=-1),'92_FEATURE_CONF_NUMERIC'!X$5:X$27)/MAX(1,COUNTIF('93_TARGET_MEMBERSHIP'!BB$5:BB$27,-1)))))</f>
        <v/>
      </c>
      <c r="X57" s="34">
        <f>IF($B57="ABSOLUTE SEMANTIC",'19_FEATURE_CONFIDENCE'!$D$26,SQRT((SUMPRODUCT(--('93_TARGET_MEMBERSHIP'!BB$5:BB$27=1),'92_FEATURE_CONF_NUMERIC'!Y$5:Y$27)/MAX(1,COUNTIF('93_TARGET_MEMBERSHIP'!BB$5:BB$27,1)))*(SUMPRODUCT(--('93_TARGET_MEMBERSHIP'!BB$5:BB$27=-1),'92_FEATURE_CONF_NUMERIC'!Y$5:Y$27)/MAX(1,COUNTIF('93_TARGET_MEMBERSHIP'!BB$5:BB$27,-1)))))</f>
        <v/>
      </c>
      <c r="Y57" s="34">
        <f>IF($B57="ABSOLUTE SEMANTIC",'19_FEATURE_CONFIDENCE'!$D$27,SQRT((SUMPRODUCT(--('93_TARGET_MEMBERSHIP'!BB$5:BB$27=1),'92_FEATURE_CONF_NUMERIC'!Z$5:Z$27)/MAX(1,COUNTIF('93_TARGET_MEMBERSHIP'!BB$5:BB$27,1)))*(SUMPRODUCT(--('93_TARGET_MEMBERSHIP'!BB$5:BB$27=-1),'92_FEATURE_CONF_NUMERIC'!Z$5:Z$27)/MAX(1,COUNTIF('93_TARGET_MEMBERSHIP'!BB$5:BB$27,-1)))))</f>
        <v/>
      </c>
      <c r="Z57" s="34">
        <f>IF($B57="ABSOLUTE SEMANTIC",'19_FEATURE_CONFIDENCE'!$D$28,SQRT((SUMPRODUCT(--('93_TARGET_MEMBERSHIP'!BB$5:BB$27=1),'92_FEATURE_CONF_NUMERIC'!AA$5:AA$27)/MAX(1,COUNTIF('93_TARGET_MEMBERSHIP'!BB$5:BB$27,1)))*(SUMPRODUCT(--('93_TARGET_MEMBERSHIP'!BB$5:BB$27=-1),'92_FEATURE_CONF_NUMERIC'!AA$5:AA$27)/MAX(1,COUNTIF('93_TARGET_MEMBERSHIP'!BB$5:BB$27,-1)))))</f>
        <v/>
      </c>
      <c r="AA57" s="34">
        <f>IF($B57="ABSOLUTE SEMANTIC",'19_FEATURE_CONFIDENCE'!$D$29,SQRT((SUMPRODUCT(--('93_TARGET_MEMBERSHIP'!BB$5:BB$27=1),'92_FEATURE_CONF_NUMERIC'!AB$5:AB$27)/MAX(1,COUNTIF('93_TARGET_MEMBERSHIP'!BB$5:BB$27,1)))*(SUMPRODUCT(--('93_TARGET_MEMBERSHIP'!BB$5:BB$27=-1),'92_FEATURE_CONF_NUMERIC'!AB$5:AB$27)/MAX(1,COUNTIF('93_TARGET_MEMBERSHIP'!BB$5:BB$27,-1)))))</f>
        <v/>
      </c>
      <c r="AB57" s="34">
        <f>IF($B57="ABSOLUTE SEMANTIC",'19_FEATURE_CONFIDENCE'!$D$30,SQRT((SUMPRODUCT(--('93_TARGET_MEMBERSHIP'!BB$5:BB$27=1),'92_FEATURE_CONF_NUMERIC'!AC$5:AC$27)/MAX(1,COUNTIF('93_TARGET_MEMBERSHIP'!BB$5:BB$27,1)))*(SUMPRODUCT(--('93_TARGET_MEMBERSHIP'!BB$5:BB$27=-1),'92_FEATURE_CONF_NUMERIC'!AC$5:AC$27)/MAX(1,COUNTIF('93_TARGET_MEMBERSHIP'!BB$5:BB$27,-1)))))</f>
        <v/>
      </c>
      <c r="AC57" s="34">
        <f>IF($B57="ABSOLUTE SEMANTIC",'19_FEATURE_CONFIDENCE'!$D$31,SQRT((SUMPRODUCT(--('93_TARGET_MEMBERSHIP'!BB$5:BB$27=1),'92_FEATURE_CONF_NUMERIC'!AD$5:AD$27)/MAX(1,COUNTIF('93_TARGET_MEMBERSHIP'!BB$5:BB$27,1)))*(SUMPRODUCT(--('93_TARGET_MEMBERSHIP'!BB$5:BB$27=-1),'92_FEATURE_CONF_NUMERIC'!AD$5:AD$27)/MAX(1,COUNTIF('93_TARGET_MEMBERSHIP'!BB$5:BB$27,-1)))))</f>
        <v/>
      </c>
      <c r="AD57" s="34">
        <f>IF($B57="ABSOLUTE SEMANTIC",'19_FEATURE_CONFIDENCE'!$D$32,SQRT((SUMPRODUCT(--('93_TARGET_MEMBERSHIP'!BB$5:BB$27=1),'92_FEATURE_CONF_NUMERIC'!AE$5:AE$27)/MAX(1,COUNTIF('93_TARGET_MEMBERSHIP'!BB$5:BB$27,1)))*(SUMPRODUCT(--('93_TARGET_MEMBERSHIP'!BB$5:BB$27=-1),'92_FEATURE_CONF_NUMERIC'!AE$5:AE$27)/MAX(1,COUNTIF('93_TARGET_MEMBERSHIP'!BB$5:BB$27,-1)))))</f>
        <v/>
      </c>
      <c r="AE57" s="34">
        <f>IF($B57="ABSOLUTE SEMANTIC",'19_FEATURE_CONFIDENCE'!$D$33,SQRT((SUMPRODUCT(--('93_TARGET_MEMBERSHIP'!BB$5:BB$27=1),'92_FEATURE_CONF_NUMERIC'!AF$5:AF$27)/MAX(1,COUNTIF('93_TARGET_MEMBERSHIP'!BB$5:BB$27,1)))*(SUMPRODUCT(--('93_TARGET_MEMBERSHIP'!BB$5:BB$27=-1),'92_FEATURE_CONF_NUMERIC'!AF$5:AF$27)/MAX(1,COUNTIF('93_TARGET_MEMBERSHIP'!BB$5:BB$27,-1)))))</f>
        <v/>
      </c>
      <c r="AF57" s="34">
        <f>IF($B57="ABSOLUTE SEMANTIC",'19_FEATURE_CONFIDENCE'!$D$34,SQRT((SUMPRODUCT(--('93_TARGET_MEMBERSHIP'!BB$5:BB$27=1),'92_FEATURE_CONF_NUMERIC'!AG$5:AG$27)/MAX(1,COUNTIF('93_TARGET_MEMBERSHIP'!BB$5:BB$27,1)))*(SUMPRODUCT(--('93_TARGET_MEMBERSHIP'!BB$5:BB$27=-1),'92_FEATURE_CONF_NUMERIC'!AG$5:AG$27)/MAX(1,COUNTIF('93_TARGET_MEMBERSHIP'!BB$5:BB$27,-1)))))</f>
        <v/>
      </c>
      <c r="AG57" s="34">
        <f>IF($B57="ABSOLUTE SEMANTIC",'19_FEATURE_CONFIDENCE'!$D$35,SQRT((SUMPRODUCT(--('93_TARGET_MEMBERSHIP'!BB$5:BB$27=1),'92_FEATURE_CONF_NUMERIC'!AH$5:AH$27)/MAX(1,COUNTIF('93_TARGET_MEMBERSHIP'!BB$5:BB$27,1)))*(SUMPRODUCT(--('93_TARGET_MEMBERSHIP'!BB$5:BB$27=-1),'92_FEATURE_CONF_NUMERIC'!AH$5:AH$27)/MAX(1,COUNTIF('93_TARGET_MEMBERSHIP'!BB$5:BB$27,-1)))))</f>
        <v/>
      </c>
      <c r="AH57" s="34">
        <f>IF($B57="ABSOLUTE SEMANTIC",'19_FEATURE_CONFIDENCE'!$D$36,SQRT((SUMPRODUCT(--('93_TARGET_MEMBERSHIP'!BB$5:BB$27=1),'92_FEATURE_CONF_NUMERIC'!AI$5:AI$27)/MAX(1,COUNTIF('93_TARGET_MEMBERSHIP'!BB$5:BB$27,1)))*(SUMPRODUCT(--('93_TARGET_MEMBERSHIP'!BB$5:BB$27=-1),'92_FEATURE_CONF_NUMERIC'!AI$5:AI$27)/MAX(1,COUNTIF('93_TARGET_MEMBERSHIP'!BB$5:BB$27,-1)))))</f>
        <v/>
      </c>
      <c r="AI57" s="34">
        <f>IF($B57="ABSOLUTE SEMANTIC",'19_FEATURE_CONFIDENCE'!$D$37,SQRT((SUMPRODUCT(--('93_TARGET_MEMBERSHIP'!BB$5:BB$27=1),'92_FEATURE_CONF_NUMERIC'!AJ$5:AJ$27)/MAX(1,COUNTIF('93_TARGET_MEMBERSHIP'!BB$5:BB$27,1)))*(SUMPRODUCT(--('93_TARGET_MEMBERSHIP'!BB$5:BB$27=-1),'92_FEATURE_CONF_NUMERIC'!AJ$5:AJ$27)/MAX(1,COUNTIF('93_TARGET_MEMBERSHIP'!BB$5:BB$27,-1)))))</f>
        <v/>
      </c>
      <c r="AJ57" s="34">
        <f>IF($B57="ABSOLUTE SEMANTIC",'19_FEATURE_CONFIDENCE'!$D$38,SQRT((SUMPRODUCT(--('93_TARGET_MEMBERSHIP'!BB$5:BB$27=1),'92_FEATURE_CONF_NUMERIC'!AK$5:AK$27)/MAX(1,COUNTIF('93_TARGET_MEMBERSHIP'!BB$5:BB$27,1)))*(SUMPRODUCT(--('93_TARGET_MEMBERSHIP'!BB$5:BB$27=-1),'92_FEATURE_CONF_NUMERIC'!AK$5:AK$27)/MAX(1,COUNTIF('93_TARGET_MEMBERSHIP'!BB$5:BB$27,-1)))))</f>
        <v/>
      </c>
      <c r="AK57" s="34">
        <f>IF($B57="ABSOLUTE SEMANTIC",'19_FEATURE_CONFIDENCE'!$D$39,SQRT((SUMPRODUCT(--('93_TARGET_MEMBERSHIP'!BB$5:BB$27=1),'92_FEATURE_CONF_NUMERIC'!AL$5:AL$27)/MAX(1,COUNTIF('93_TARGET_MEMBERSHIP'!BB$5:BB$27,1)))*(SUMPRODUCT(--('93_TARGET_MEMBERSHIP'!BB$5:BB$27=-1),'92_FEATURE_CONF_NUMERIC'!AL$5:AL$27)/MAX(1,COUNTIF('93_TARGET_MEMBERSHIP'!BB$5:BB$27,-1)))))</f>
        <v/>
      </c>
      <c r="AL57" s="34">
        <f>IF($B57="ABSOLUTE SEMANTIC",'19_FEATURE_CONFIDENCE'!$D$40,SQRT((SUMPRODUCT(--('93_TARGET_MEMBERSHIP'!BB$5:BB$27=1),'92_FEATURE_CONF_NUMERIC'!AM$5:AM$27)/MAX(1,COUNTIF('93_TARGET_MEMBERSHIP'!BB$5:BB$27,1)))*(SUMPRODUCT(--('93_TARGET_MEMBERSHIP'!BB$5:BB$27=-1),'92_FEATURE_CONF_NUMERIC'!AM$5:AM$27)/MAX(1,COUNTIF('93_TARGET_MEMBERSHIP'!BB$5:BB$27,-1)))))</f>
        <v/>
      </c>
      <c r="AM57" s="34">
        <f>IF($B57="ABSOLUTE SEMANTIC",'19_FEATURE_CONFIDENCE'!$D$41,SQRT((SUMPRODUCT(--('93_TARGET_MEMBERSHIP'!BB$5:BB$27=1),'92_FEATURE_CONF_NUMERIC'!AN$5:AN$27)/MAX(1,COUNTIF('93_TARGET_MEMBERSHIP'!BB$5:BB$27,1)))*(SUMPRODUCT(--('93_TARGET_MEMBERSHIP'!BB$5:BB$27=-1),'92_FEATURE_CONF_NUMERIC'!AN$5:AN$27)/MAX(1,COUNTIF('93_TARGET_MEMBERSHIP'!BB$5:BB$27,-1)))))</f>
        <v/>
      </c>
      <c r="AN57" s="34">
        <f>IF($B57="ABSOLUTE SEMANTIC",'19_FEATURE_CONFIDENCE'!$D$42,SQRT((SUMPRODUCT(--('93_TARGET_MEMBERSHIP'!BB$5:BB$27=1),'92_FEATURE_CONF_NUMERIC'!AO$5:AO$27)/MAX(1,COUNTIF('93_TARGET_MEMBERSHIP'!BB$5:BB$27,1)))*(SUMPRODUCT(--('93_TARGET_MEMBERSHIP'!BB$5:BB$27=-1),'92_FEATURE_CONF_NUMERIC'!AO$5:AO$27)/MAX(1,COUNTIF('93_TARGET_MEMBERSHIP'!BB$5:BB$27,-1)))))</f>
        <v/>
      </c>
      <c r="AO57" s="34">
        <f>IF($B57="ABSOLUTE SEMANTIC",'19_FEATURE_CONFIDENCE'!$D$43,SQRT((SUMPRODUCT(--('93_TARGET_MEMBERSHIP'!BB$5:BB$27=1),'92_FEATURE_CONF_NUMERIC'!AP$5:AP$27)/MAX(1,COUNTIF('93_TARGET_MEMBERSHIP'!BB$5:BB$27,1)))*(SUMPRODUCT(--('93_TARGET_MEMBERSHIP'!BB$5:BB$27=-1),'92_FEATURE_CONF_NUMERIC'!AP$5:AP$27)/MAX(1,COUNTIF('93_TARGET_MEMBERSHIP'!BB$5:BB$27,-1)))))</f>
        <v/>
      </c>
      <c r="AP57" s="34">
        <f>IF($B57="ABSOLUTE SEMANTIC",'19_FEATURE_CONFIDENCE'!$D$44,SQRT((SUMPRODUCT(--('93_TARGET_MEMBERSHIP'!BB$5:BB$27=1),'92_FEATURE_CONF_NUMERIC'!AQ$5:AQ$27)/MAX(1,COUNTIF('93_TARGET_MEMBERSHIP'!BB$5:BB$27,1)))*(SUMPRODUCT(--('93_TARGET_MEMBERSHIP'!BB$5:BB$27=-1),'92_FEATURE_CONF_NUMERIC'!AQ$5:AQ$27)/MAX(1,COUNTIF('93_TARGET_MEMBERSHIP'!BB$5:BB$27,-1)))))</f>
        <v/>
      </c>
      <c r="AQ57" s="34">
        <f>IF($B57="ABSOLUTE SEMANTIC",'19_FEATURE_CONFIDENCE'!$D$45,SQRT((SUMPRODUCT(--('93_TARGET_MEMBERSHIP'!BB$5:BB$27=1),'92_FEATURE_CONF_NUMERIC'!AR$5:AR$27)/MAX(1,COUNTIF('93_TARGET_MEMBERSHIP'!BB$5:BB$27,1)))*(SUMPRODUCT(--('93_TARGET_MEMBERSHIP'!BB$5:BB$27=-1),'92_FEATURE_CONF_NUMERIC'!AR$5:AR$27)/MAX(1,COUNTIF('93_TARGET_MEMBERSHIP'!BB$5:BB$27,-1)))))</f>
        <v/>
      </c>
    </row>
    <row r="58" ht="36" customHeight="1">
      <c r="A58" s="34">
        <f>'06_ITEM_POLE_MODEL'!A58</f>
        <v/>
      </c>
      <c r="B58" s="34">
        <f>'06_ITEM_POLE_MODEL'!E58</f>
        <v/>
      </c>
      <c r="C58" s="34">
        <f>IF($B58="ABSOLUTE SEMANTIC",'19_FEATURE_CONFIDENCE'!$D$5,SQRT((SUMPRODUCT(--('93_TARGET_MEMBERSHIP'!BC$5:BC$27=1),'92_FEATURE_CONF_NUMERIC'!D$5:D$27)/MAX(1,COUNTIF('93_TARGET_MEMBERSHIP'!BC$5:BC$27,1)))*(SUMPRODUCT(--('93_TARGET_MEMBERSHIP'!BC$5:BC$27=-1),'92_FEATURE_CONF_NUMERIC'!D$5:D$27)/MAX(1,COUNTIF('93_TARGET_MEMBERSHIP'!BC$5:BC$27,-1)))))</f>
        <v/>
      </c>
      <c r="D58" s="34">
        <f>IF($B58="ABSOLUTE SEMANTIC",'19_FEATURE_CONFIDENCE'!$D$6,SQRT((SUMPRODUCT(--('93_TARGET_MEMBERSHIP'!BC$5:BC$27=1),'92_FEATURE_CONF_NUMERIC'!E$5:E$27)/MAX(1,COUNTIF('93_TARGET_MEMBERSHIP'!BC$5:BC$27,1)))*(SUMPRODUCT(--('93_TARGET_MEMBERSHIP'!BC$5:BC$27=-1),'92_FEATURE_CONF_NUMERIC'!E$5:E$27)/MAX(1,COUNTIF('93_TARGET_MEMBERSHIP'!BC$5:BC$27,-1)))))</f>
        <v/>
      </c>
      <c r="E58" s="34">
        <f>IF($B58="ABSOLUTE SEMANTIC",'19_FEATURE_CONFIDENCE'!$D$7,SQRT((SUMPRODUCT(--('93_TARGET_MEMBERSHIP'!BC$5:BC$27=1),'92_FEATURE_CONF_NUMERIC'!F$5:F$27)/MAX(1,COUNTIF('93_TARGET_MEMBERSHIP'!BC$5:BC$27,1)))*(SUMPRODUCT(--('93_TARGET_MEMBERSHIP'!BC$5:BC$27=-1),'92_FEATURE_CONF_NUMERIC'!F$5:F$27)/MAX(1,COUNTIF('93_TARGET_MEMBERSHIP'!BC$5:BC$27,-1)))))</f>
        <v/>
      </c>
      <c r="F58" s="34">
        <f>IF($B58="ABSOLUTE SEMANTIC",'19_FEATURE_CONFIDENCE'!$D$8,SQRT((SUMPRODUCT(--('93_TARGET_MEMBERSHIP'!BC$5:BC$27=1),'92_FEATURE_CONF_NUMERIC'!G$5:G$27)/MAX(1,COUNTIF('93_TARGET_MEMBERSHIP'!BC$5:BC$27,1)))*(SUMPRODUCT(--('93_TARGET_MEMBERSHIP'!BC$5:BC$27=-1),'92_FEATURE_CONF_NUMERIC'!G$5:G$27)/MAX(1,COUNTIF('93_TARGET_MEMBERSHIP'!BC$5:BC$27,-1)))))</f>
        <v/>
      </c>
      <c r="G58" s="34">
        <f>IF($B58="ABSOLUTE SEMANTIC",'19_FEATURE_CONFIDENCE'!$D$9,SQRT((SUMPRODUCT(--('93_TARGET_MEMBERSHIP'!BC$5:BC$27=1),'92_FEATURE_CONF_NUMERIC'!H$5:H$27)/MAX(1,COUNTIF('93_TARGET_MEMBERSHIP'!BC$5:BC$27,1)))*(SUMPRODUCT(--('93_TARGET_MEMBERSHIP'!BC$5:BC$27=-1),'92_FEATURE_CONF_NUMERIC'!H$5:H$27)/MAX(1,COUNTIF('93_TARGET_MEMBERSHIP'!BC$5:BC$27,-1)))))</f>
        <v/>
      </c>
      <c r="H58" s="34">
        <f>IF($B58="ABSOLUTE SEMANTIC",'19_FEATURE_CONFIDENCE'!$D$10,SQRT((SUMPRODUCT(--('93_TARGET_MEMBERSHIP'!BC$5:BC$27=1),'92_FEATURE_CONF_NUMERIC'!I$5:I$27)/MAX(1,COUNTIF('93_TARGET_MEMBERSHIP'!BC$5:BC$27,1)))*(SUMPRODUCT(--('93_TARGET_MEMBERSHIP'!BC$5:BC$27=-1),'92_FEATURE_CONF_NUMERIC'!I$5:I$27)/MAX(1,COUNTIF('93_TARGET_MEMBERSHIP'!BC$5:BC$27,-1)))))</f>
        <v/>
      </c>
      <c r="I58" s="34">
        <f>IF($B58="ABSOLUTE SEMANTIC",'19_FEATURE_CONFIDENCE'!$D$11,SQRT((SUMPRODUCT(--('93_TARGET_MEMBERSHIP'!BC$5:BC$27=1),'92_FEATURE_CONF_NUMERIC'!J$5:J$27)/MAX(1,COUNTIF('93_TARGET_MEMBERSHIP'!BC$5:BC$27,1)))*(SUMPRODUCT(--('93_TARGET_MEMBERSHIP'!BC$5:BC$27=-1),'92_FEATURE_CONF_NUMERIC'!J$5:J$27)/MAX(1,COUNTIF('93_TARGET_MEMBERSHIP'!BC$5:BC$27,-1)))))</f>
        <v/>
      </c>
      <c r="J58" s="34">
        <f>IF($B58="ABSOLUTE SEMANTIC",'19_FEATURE_CONFIDENCE'!$D$12,SQRT((SUMPRODUCT(--('93_TARGET_MEMBERSHIP'!BC$5:BC$27=1),'92_FEATURE_CONF_NUMERIC'!K$5:K$27)/MAX(1,COUNTIF('93_TARGET_MEMBERSHIP'!BC$5:BC$27,1)))*(SUMPRODUCT(--('93_TARGET_MEMBERSHIP'!BC$5:BC$27=-1),'92_FEATURE_CONF_NUMERIC'!K$5:K$27)/MAX(1,COUNTIF('93_TARGET_MEMBERSHIP'!BC$5:BC$27,-1)))))</f>
        <v/>
      </c>
      <c r="K58" s="34">
        <f>IF($B58="ABSOLUTE SEMANTIC",'19_FEATURE_CONFIDENCE'!$D$13,SQRT((SUMPRODUCT(--('93_TARGET_MEMBERSHIP'!BC$5:BC$27=1),'92_FEATURE_CONF_NUMERIC'!L$5:L$27)/MAX(1,COUNTIF('93_TARGET_MEMBERSHIP'!BC$5:BC$27,1)))*(SUMPRODUCT(--('93_TARGET_MEMBERSHIP'!BC$5:BC$27=-1),'92_FEATURE_CONF_NUMERIC'!L$5:L$27)/MAX(1,COUNTIF('93_TARGET_MEMBERSHIP'!BC$5:BC$27,-1)))))</f>
        <v/>
      </c>
      <c r="L58" s="34">
        <f>IF($B58="ABSOLUTE SEMANTIC",'19_FEATURE_CONFIDENCE'!$D$14,SQRT((SUMPRODUCT(--('93_TARGET_MEMBERSHIP'!BC$5:BC$27=1),'92_FEATURE_CONF_NUMERIC'!M$5:M$27)/MAX(1,COUNTIF('93_TARGET_MEMBERSHIP'!BC$5:BC$27,1)))*(SUMPRODUCT(--('93_TARGET_MEMBERSHIP'!BC$5:BC$27=-1),'92_FEATURE_CONF_NUMERIC'!M$5:M$27)/MAX(1,COUNTIF('93_TARGET_MEMBERSHIP'!BC$5:BC$27,-1)))))</f>
        <v/>
      </c>
      <c r="M58" s="34">
        <f>IF($B58="ABSOLUTE SEMANTIC",'19_FEATURE_CONFIDENCE'!$D$15,SQRT((SUMPRODUCT(--('93_TARGET_MEMBERSHIP'!BC$5:BC$27=1),'92_FEATURE_CONF_NUMERIC'!N$5:N$27)/MAX(1,COUNTIF('93_TARGET_MEMBERSHIP'!BC$5:BC$27,1)))*(SUMPRODUCT(--('93_TARGET_MEMBERSHIP'!BC$5:BC$27=-1),'92_FEATURE_CONF_NUMERIC'!N$5:N$27)/MAX(1,COUNTIF('93_TARGET_MEMBERSHIP'!BC$5:BC$27,-1)))))</f>
        <v/>
      </c>
      <c r="N58" s="34">
        <f>IF($B58="ABSOLUTE SEMANTIC",'19_FEATURE_CONFIDENCE'!$D$16,SQRT((SUMPRODUCT(--('93_TARGET_MEMBERSHIP'!BC$5:BC$27=1),'92_FEATURE_CONF_NUMERIC'!O$5:O$27)/MAX(1,COUNTIF('93_TARGET_MEMBERSHIP'!BC$5:BC$27,1)))*(SUMPRODUCT(--('93_TARGET_MEMBERSHIP'!BC$5:BC$27=-1),'92_FEATURE_CONF_NUMERIC'!O$5:O$27)/MAX(1,COUNTIF('93_TARGET_MEMBERSHIP'!BC$5:BC$27,-1)))))</f>
        <v/>
      </c>
      <c r="O58" s="34">
        <f>IF($B58="ABSOLUTE SEMANTIC",'19_FEATURE_CONFIDENCE'!$D$17,SQRT((SUMPRODUCT(--('93_TARGET_MEMBERSHIP'!BC$5:BC$27=1),'92_FEATURE_CONF_NUMERIC'!P$5:P$27)/MAX(1,COUNTIF('93_TARGET_MEMBERSHIP'!BC$5:BC$27,1)))*(SUMPRODUCT(--('93_TARGET_MEMBERSHIP'!BC$5:BC$27=-1),'92_FEATURE_CONF_NUMERIC'!P$5:P$27)/MAX(1,COUNTIF('93_TARGET_MEMBERSHIP'!BC$5:BC$27,-1)))))</f>
        <v/>
      </c>
      <c r="P58" s="34">
        <f>IF($B58="ABSOLUTE SEMANTIC",'19_FEATURE_CONFIDENCE'!$D$18,SQRT((SUMPRODUCT(--('93_TARGET_MEMBERSHIP'!BC$5:BC$27=1),'92_FEATURE_CONF_NUMERIC'!Q$5:Q$27)/MAX(1,COUNTIF('93_TARGET_MEMBERSHIP'!BC$5:BC$27,1)))*(SUMPRODUCT(--('93_TARGET_MEMBERSHIP'!BC$5:BC$27=-1),'92_FEATURE_CONF_NUMERIC'!Q$5:Q$27)/MAX(1,COUNTIF('93_TARGET_MEMBERSHIP'!BC$5:BC$27,-1)))))</f>
        <v/>
      </c>
      <c r="Q58" s="34">
        <f>IF($B58="ABSOLUTE SEMANTIC",'19_FEATURE_CONFIDENCE'!$D$19,SQRT((SUMPRODUCT(--('93_TARGET_MEMBERSHIP'!BC$5:BC$27=1),'92_FEATURE_CONF_NUMERIC'!R$5:R$27)/MAX(1,COUNTIF('93_TARGET_MEMBERSHIP'!BC$5:BC$27,1)))*(SUMPRODUCT(--('93_TARGET_MEMBERSHIP'!BC$5:BC$27=-1),'92_FEATURE_CONF_NUMERIC'!R$5:R$27)/MAX(1,COUNTIF('93_TARGET_MEMBERSHIP'!BC$5:BC$27,-1)))))</f>
        <v/>
      </c>
      <c r="R58" s="34">
        <f>IF($B58="ABSOLUTE SEMANTIC",'19_FEATURE_CONFIDENCE'!$D$20,SQRT((SUMPRODUCT(--('93_TARGET_MEMBERSHIP'!BC$5:BC$27=1),'92_FEATURE_CONF_NUMERIC'!S$5:S$27)/MAX(1,COUNTIF('93_TARGET_MEMBERSHIP'!BC$5:BC$27,1)))*(SUMPRODUCT(--('93_TARGET_MEMBERSHIP'!BC$5:BC$27=-1),'92_FEATURE_CONF_NUMERIC'!S$5:S$27)/MAX(1,COUNTIF('93_TARGET_MEMBERSHIP'!BC$5:BC$27,-1)))))</f>
        <v/>
      </c>
      <c r="S58" s="34">
        <f>IF($B58="ABSOLUTE SEMANTIC",'19_FEATURE_CONFIDENCE'!$D$21,SQRT((SUMPRODUCT(--('93_TARGET_MEMBERSHIP'!BC$5:BC$27=1),'92_FEATURE_CONF_NUMERIC'!T$5:T$27)/MAX(1,COUNTIF('93_TARGET_MEMBERSHIP'!BC$5:BC$27,1)))*(SUMPRODUCT(--('93_TARGET_MEMBERSHIP'!BC$5:BC$27=-1),'92_FEATURE_CONF_NUMERIC'!T$5:T$27)/MAX(1,COUNTIF('93_TARGET_MEMBERSHIP'!BC$5:BC$27,-1)))))</f>
        <v/>
      </c>
      <c r="T58" s="34">
        <f>IF($B58="ABSOLUTE SEMANTIC",'19_FEATURE_CONFIDENCE'!$D$22,SQRT((SUMPRODUCT(--('93_TARGET_MEMBERSHIP'!BC$5:BC$27=1),'92_FEATURE_CONF_NUMERIC'!U$5:U$27)/MAX(1,COUNTIF('93_TARGET_MEMBERSHIP'!BC$5:BC$27,1)))*(SUMPRODUCT(--('93_TARGET_MEMBERSHIP'!BC$5:BC$27=-1),'92_FEATURE_CONF_NUMERIC'!U$5:U$27)/MAX(1,COUNTIF('93_TARGET_MEMBERSHIP'!BC$5:BC$27,-1)))))</f>
        <v/>
      </c>
      <c r="U58" s="34">
        <f>IF($B58="ABSOLUTE SEMANTIC",'19_FEATURE_CONFIDENCE'!$D$23,SQRT((SUMPRODUCT(--('93_TARGET_MEMBERSHIP'!BC$5:BC$27=1),'92_FEATURE_CONF_NUMERIC'!V$5:V$27)/MAX(1,COUNTIF('93_TARGET_MEMBERSHIP'!BC$5:BC$27,1)))*(SUMPRODUCT(--('93_TARGET_MEMBERSHIP'!BC$5:BC$27=-1),'92_FEATURE_CONF_NUMERIC'!V$5:V$27)/MAX(1,COUNTIF('93_TARGET_MEMBERSHIP'!BC$5:BC$27,-1)))))</f>
        <v/>
      </c>
      <c r="V58" s="34">
        <f>IF($B58="ABSOLUTE SEMANTIC",'19_FEATURE_CONFIDENCE'!$D$24,SQRT((SUMPRODUCT(--('93_TARGET_MEMBERSHIP'!BC$5:BC$27=1),'92_FEATURE_CONF_NUMERIC'!W$5:W$27)/MAX(1,COUNTIF('93_TARGET_MEMBERSHIP'!BC$5:BC$27,1)))*(SUMPRODUCT(--('93_TARGET_MEMBERSHIP'!BC$5:BC$27=-1),'92_FEATURE_CONF_NUMERIC'!W$5:W$27)/MAX(1,COUNTIF('93_TARGET_MEMBERSHIP'!BC$5:BC$27,-1)))))</f>
        <v/>
      </c>
      <c r="W58" s="34">
        <f>IF($B58="ABSOLUTE SEMANTIC",'19_FEATURE_CONFIDENCE'!$D$25,SQRT((SUMPRODUCT(--('93_TARGET_MEMBERSHIP'!BC$5:BC$27=1),'92_FEATURE_CONF_NUMERIC'!X$5:X$27)/MAX(1,COUNTIF('93_TARGET_MEMBERSHIP'!BC$5:BC$27,1)))*(SUMPRODUCT(--('93_TARGET_MEMBERSHIP'!BC$5:BC$27=-1),'92_FEATURE_CONF_NUMERIC'!X$5:X$27)/MAX(1,COUNTIF('93_TARGET_MEMBERSHIP'!BC$5:BC$27,-1)))))</f>
        <v/>
      </c>
      <c r="X58" s="34">
        <f>IF($B58="ABSOLUTE SEMANTIC",'19_FEATURE_CONFIDENCE'!$D$26,SQRT((SUMPRODUCT(--('93_TARGET_MEMBERSHIP'!BC$5:BC$27=1),'92_FEATURE_CONF_NUMERIC'!Y$5:Y$27)/MAX(1,COUNTIF('93_TARGET_MEMBERSHIP'!BC$5:BC$27,1)))*(SUMPRODUCT(--('93_TARGET_MEMBERSHIP'!BC$5:BC$27=-1),'92_FEATURE_CONF_NUMERIC'!Y$5:Y$27)/MAX(1,COUNTIF('93_TARGET_MEMBERSHIP'!BC$5:BC$27,-1)))))</f>
        <v/>
      </c>
      <c r="Y58" s="34">
        <f>IF($B58="ABSOLUTE SEMANTIC",'19_FEATURE_CONFIDENCE'!$D$27,SQRT((SUMPRODUCT(--('93_TARGET_MEMBERSHIP'!BC$5:BC$27=1),'92_FEATURE_CONF_NUMERIC'!Z$5:Z$27)/MAX(1,COUNTIF('93_TARGET_MEMBERSHIP'!BC$5:BC$27,1)))*(SUMPRODUCT(--('93_TARGET_MEMBERSHIP'!BC$5:BC$27=-1),'92_FEATURE_CONF_NUMERIC'!Z$5:Z$27)/MAX(1,COUNTIF('93_TARGET_MEMBERSHIP'!BC$5:BC$27,-1)))))</f>
        <v/>
      </c>
      <c r="Z58" s="34">
        <f>IF($B58="ABSOLUTE SEMANTIC",'19_FEATURE_CONFIDENCE'!$D$28,SQRT((SUMPRODUCT(--('93_TARGET_MEMBERSHIP'!BC$5:BC$27=1),'92_FEATURE_CONF_NUMERIC'!AA$5:AA$27)/MAX(1,COUNTIF('93_TARGET_MEMBERSHIP'!BC$5:BC$27,1)))*(SUMPRODUCT(--('93_TARGET_MEMBERSHIP'!BC$5:BC$27=-1),'92_FEATURE_CONF_NUMERIC'!AA$5:AA$27)/MAX(1,COUNTIF('93_TARGET_MEMBERSHIP'!BC$5:BC$27,-1)))))</f>
        <v/>
      </c>
      <c r="AA58" s="34">
        <f>IF($B58="ABSOLUTE SEMANTIC",'19_FEATURE_CONFIDENCE'!$D$29,SQRT((SUMPRODUCT(--('93_TARGET_MEMBERSHIP'!BC$5:BC$27=1),'92_FEATURE_CONF_NUMERIC'!AB$5:AB$27)/MAX(1,COUNTIF('93_TARGET_MEMBERSHIP'!BC$5:BC$27,1)))*(SUMPRODUCT(--('93_TARGET_MEMBERSHIP'!BC$5:BC$27=-1),'92_FEATURE_CONF_NUMERIC'!AB$5:AB$27)/MAX(1,COUNTIF('93_TARGET_MEMBERSHIP'!BC$5:BC$27,-1)))))</f>
        <v/>
      </c>
      <c r="AB58" s="34">
        <f>IF($B58="ABSOLUTE SEMANTIC",'19_FEATURE_CONFIDENCE'!$D$30,SQRT((SUMPRODUCT(--('93_TARGET_MEMBERSHIP'!BC$5:BC$27=1),'92_FEATURE_CONF_NUMERIC'!AC$5:AC$27)/MAX(1,COUNTIF('93_TARGET_MEMBERSHIP'!BC$5:BC$27,1)))*(SUMPRODUCT(--('93_TARGET_MEMBERSHIP'!BC$5:BC$27=-1),'92_FEATURE_CONF_NUMERIC'!AC$5:AC$27)/MAX(1,COUNTIF('93_TARGET_MEMBERSHIP'!BC$5:BC$27,-1)))))</f>
        <v/>
      </c>
      <c r="AC58" s="34">
        <f>IF($B58="ABSOLUTE SEMANTIC",'19_FEATURE_CONFIDENCE'!$D$31,SQRT((SUMPRODUCT(--('93_TARGET_MEMBERSHIP'!BC$5:BC$27=1),'92_FEATURE_CONF_NUMERIC'!AD$5:AD$27)/MAX(1,COUNTIF('93_TARGET_MEMBERSHIP'!BC$5:BC$27,1)))*(SUMPRODUCT(--('93_TARGET_MEMBERSHIP'!BC$5:BC$27=-1),'92_FEATURE_CONF_NUMERIC'!AD$5:AD$27)/MAX(1,COUNTIF('93_TARGET_MEMBERSHIP'!BC$5:BC$27,-1)))))</f>
        <v/>
      </c>
      <c r="AD58" s="34">
        <f>IF($B58="ABSOLUTE SEMANTIC",'19_FEATURE_CONFIDENCE'!$D$32,SQRT((SUMPRODUCT(--('93_TARGET_MEMBERSHIP'!BC$5:BC$27=1),'92_FEATURE_CONF_NUMERIC'!AE$5:AE$27)/MAX(1,COUNTIF('93_TARGET_MEMBERSHIP'!BC$5:BC$27,1)))*(SUMPRODUCT(--('93_TARGET_MEMBERSHIP'!BC$5:BC$27=-1),'92_FEATURE_CONF_NUMERIC'!AE$5:AE$27)/MAX(1,COUNTIF('93_TARGET_MEMBERSHIP'!BC$5:BC$27,-1)))))</f>
        <v/>
      </c>
      <c r="AE58" s="34">
        <f>IF($B58="ABSOLUTE SEMANTIC",'19_FEATURE_CONFIDENCE'!$D$33,SQRT((SUMPRODUCT(--('93_TARGET_MEMBERSHIP'!BC$5:BC$27=1),'92_FEATURE_CONF_NUMERIC'!AF$5:AF$27)/MAX(1,COUNTIF('93_TARGET_MEMBERSHIP'!BC$5:BC$27,1)))*(SUMPRODUCT(--('93_TARGET_MEMBERSHIP'!BC$5:BC$27=-1),'92_FEATURE_CONF_NUMERIC'!AF$5:AF$27)/MAX(1,COUNTIF('93_TARGET_MEMBERSHIP'!BC$5:BC$27,-1)))))</f>
        <v/>
      </c>
      <c r="AF58" s="34">
        <f>IF($B58="ABSOLUTE SEMANTIC",'19_FEATURE_CONFIDENCE'!$D$34,SQRT((SUMPRODUCT(--('93_TARGET_MEMBERSHIP'!BC$5:BC$27=1),'92_FEATURE_CONF_NUMERIC'!AG$5:AG$27)/MAX(1,COUNTIF('93_TARGET_MEMBERSHIP'!BC$5:BC$27,1)))*(SUMPRODUCT(--('93_TARGET_MEMBERSHIP'!BC$5:BC$27=-1),'92_FEATURE_CONF_NUMERIC'!AG$5:AG$27)/MAX(1,COUNTIF('93_TARGET_MEMBERSHIP'!BC$5:BC$27,-1)))))</f>
        <v/>
      </c>
      <c r="AG58" s="34">
        <f>IF($B58="ABSOLUTE SEMANTIC",'19_FEATURE_CONFIDENCE'!$D$35,SQRT((SUMPRODUCT(--('93_TARGET_MEMBERSHIP'!BC$5:BC$27=1),'92_FEATURE_CONF_NUMERIC'!AH$5:AH$27)/MAX(1,COUNTIF('93_TARGET_MEMBERSHIP'!BC$5:BC$27,1)))*(SUMPRODUCT(--('93_TARGET_MEMBERSHIP'!BC$5:BC$27=-1),'92_FEATURE_CONF_NUMERIC'!AH$5:AH$27)/MAX(1,COUNTIF('93_TARGET_MEMBERSHIP'!BC$5:BC$27,-1)))))</f>
        <v/>
      </c>
      <c r="AH58" s="34">
        <f>IF($B58="ABSOLUTE SEMANTIC",'19_FEATURE_CONFIDENCE'!$D$36,SQRT((SUMPRODUCT(--('93_TARGET_MEMBERSHIP'!BC$5:BC$27=1),'92_FEATURE_CONF_NUMERIC'!AI$5:AI$27)/MAX(1,COUNTIF('93_TARGET_MEMBERSHIP'!BC$5:BC$27,1)))*(SUMPRODUCT(--('93_TARGET_MEMBERSHIP'!BC$5:BC$27=-1),'92_FEATURE_CONF_NUMERIC'!AI$5:AI$27)/MAX(1,COUNTIF('93_TARGET_MEMBERSHIP'!BC$5:BC$27,-1)))))</f>
        <v/>
      </c>
      <c r="AI58" s="34">
        <f>IF($B58="ABSOLUTE SEMANTIC",'19_FEATURE_CONFIDENCE'!$D$37,SQRT((SUMPRODUCT(--('93_TARGET_MEMBERSHIP'!BC$5:BC$27=1),'92_FEATURE_CONF_NUMERIC'!AJ$5:AJ$27)/MAX(1,COUNTIF('93_TARGET_MEMBERSHIP'!BC$5:BC$27,1)))*(SUMPRODUCT(--('93_TARGET_MEMBERSHIP'!BC$5:BC$27=-1),'92_FEATURE_CONF_NUMERIC'!AJ$5:AJ$27)/MAX(1,COUNTIF('93_TARGET_MEMBERSHIP'!BC$5:BC$27,-1)))))</f>
        <v/>
      </c>
      <c r="AJ58" s="34">
        <f>IF($B58="ABSOLUTE SEMANTIC",'19_FEATURE_CONFIDENCE'!$D$38,SQRT((SUMPRODUCT(--('93_TARGET_MEMBERSHIP'!BC$5:BC$27=1),'92_FEATURE_CONF_NUMERIC'!AK$5:AK$27)/MAX(1,COUNTIF('93_TARGET_MEMBERSHIP'!BC$5:BC$27,1)))*(SUMPRODUCT(--('93_TARGET_MEMBERSHIP'!BC$5:BC$27=-1),'92_FEATURE_CONF_NUMERIC'!AK$5:AK$27)/MAX(1,COUNTIF('93_TARGET_MEMBERSHIP'!BC$5:BC$27,-1)))))</f>
        <v/>
      </c>
      <c r="AK58" s="34">
        <f>IF($B58="ABSOLUTE SEMANTIC",'19_FEATURE_CONFIDENCE'!$D$39,SQRT((SUMPRODUCT(--('93_TARGET_MEMBERSHIP'!BC$5:BC$27=1),'92_FEATURE_CONF_NUMERIC'!AL$5:AL$27)/MAX(1,COUNTIF('93_TARGET_MEMBERSHIP'!BC$5:BC$27,1)))*(SUMPRODUCT(--('93_TARGET_MEMBERSHIP'!BC$5:BC$27=-1),'92_FEATURE_CONF_NUMERIC'!AL$5:AL$27)/MAX(1,COUNTIF('93_TARGET_MEMBERSHIP'!BC$5:BC$27,-1)))))</f>
        <v/>
      </c>
      <c r="AL58" s="34">
        <f>IF($B58="ABSOLUTE SEMANTIC",'19_FEATURE_CONFIDENCE'!$D$40,SQRT((SUMPRODUCT(--('93_TARGET_MEMBERSHIP'!BC$5:BC$27=1),'92_FEATURE_CONF_NUMERIC'!AM$5:AM$27)/MAX(1,COUNTIF('93_TARGET_MEMBERSHIP'!BC$5:BC$27,1)))*(SUMPRODUCT(--('93_TARGET_MEMBERSHIP'!BC$5:BC$27=-1),'92_FEATURE_CONF_NUMERIC'!AM$5:AM$27)/MAX(1,COUNTIF('93_TARGET_MEMBERSHIP'!BC$5:BC$27,-1)))))</f>
        <v/>
      </c>
      <c r="AM58" s="34">
        <f>IF($B58="ABSOLUTE SEMANTIC",'19_FEATURE_CONFIDENCE'!$D$41,SQRT((SUMPRODUCT(--('93_TARGET_MEMBERSHIP'!BC$5:BC$27=1),'92_FEATURE_CONF_NUMERIC'!AN$5:AN$27)/MAX(1,COUNTIF('93_TARGET_MEMBERSHIP'!BC$5:BC$27,1)))*(SUMPRODUCT(--('93_TARGET_MEMBERSHIP'!BC$5:BC$27=-1),'92_FEATURE_CONF_NUMERIC'!AN$5:AN$27)/MAX(1,COUNTIF('93_TARGET_MEMBERSHIP'!BC$5:BC$27,-1)))))</f>
        <v/>
      </c>
      <c r="AN58" s="34">
        <f>IF($B58="ABSOLUTE SEMANTIC",'19_FEATURE_CONFIDENCE'!$D$42,SQRT((SUMPRODUCT(--('93_TARGET_MEMBERSHIP'!BC$5:BC$27=1),'92_FEATURE_CONF_NUMERIC'!AO$5:AO$27)/MAX(1,COUNTIF('93_TARGET_MEMBERSHIP'!BC$5:BC$27,1)))*(SUMPRODUCT(--('93_TARGET_MEMBERSHIP'!BC$5:BC$27=-1),'92_FEATURE_CONF_NUMERIC'!AO$5:AO$27)/MAX(1,COUNTIF('93_TARGET_MEMBERSHIP'!BC$5:BC$27,-1)))))</f>
        <v/>
      </c>
      <c r="AO58" s="34">
        <f>IF($B58="ABSOLUTE SEMANTIC",'19_FEATURE_CONFIDENCE'!$D$43,SQRT((SUMPRODUCT(--('93_TARGET_MEMBERSHIP'!BC$5:BC$27=1),'92_FEATURE_CONF_NUMERIC'!AP$5:AP$27)/MAX(1,COUNTIF('93_TARGET_MEMBERSHIP'!BC$5:BC$27,1)))*(SUMPRODUCT(--('93_TARGET_MEMBERSHIP'!BC$5:BC$27=-1),'92_FEATURE_CONF_NUMERIC'!AP$5:AP$27)/MAX(1,COUNTIF('93_TARGET_MEMBERSHIP'!BC$5:BC$27,-1)))))</f>
        <v/>
      </c>
      <c r="AP58" s="34">
        <f>IF($B58="ABSOLUTE SEMANTIC",'19_FEATURE_CONFIDENCE'!$D$44,SQRT((SUMPRODUCT(--('93_TARGET_MEMBERSHIP'!BC$5:BC$27=1),'92_FEATURE_CONF_NUMERIC'!AQ$5:AQ$27)/MAX(1,COUNTIF('93_TARGET_MEMBERSHIP'!BC$5:BC$27,1)))*(SUMPRODUCT(--('93_TARGET_MEMBERSHIP'!BC$5:BC$27=-1),'92_FEATURE_CONF_NUMERIC'!AQ$5:AQ$27)/MAX(1,COUNTIF('93_TARGET_MEMBERSHIP'!BC$5:BC$27,-1)))))</f>
        <v/>
      </c>
      <c r="AQ58" s="34">
        <f>IF($B58="ABSOLUTE SEMANTIC",'19_FEATURE_CONFIDENCE'!$D$45,SQRT((SUMPRODUCT(--('93_TARGET_MEMBERSHIP'!BC$5:BC$27=1),'92_FEATURE_CONF_NUMERIC'!AR$5:AR$27)/MAX(1,COUNTIF('93_TARGET_MEMBERSHIP'!BC$5:BC$27,1)))*(SUMPRODUCT(--('93_TARGET_MEMBERSHIP'!BC$5:BC$27=-1),'92_FEATURE_CONF_NUMERIC'!AR$5:AR$27)/MAX(1,COUNTIF('93_TARGET_MEMBERSHIP'!BC$5:BC$27,-1)))))</f>
        <v/>
      </c>
    </row>
    <row r="59" ht="36" customHeight="1">
      <c r="A59" s="34">
        <f>'06_ITEM_POLE_MODEL'!A59</f>
        <v/>
      </c>
      <c r="B59" s="34">
        <f>'06_ITEM_POLE_MODEL'!E59</f>
        <v/>
      </c>
      <c r="C59" s="34">
        <f>IF($B59="ABSOLUTE SEMANTIC",'19_FEATURE_CONFIDENCE'!$D$5,SQRT((SUMPRODUCT(--('93_TARGET_MEMBERSHIP'!BD$5:BD$27=1),'92_FEATURE_CONF_NUMERIC'!D$5:D$27)/MAX(1,COUNTIF('93_TARGET_MEMBERSHIP'!BD$5:BD$27,1)))*(SUMPRODUCT(--('93_TARGET_MEMBERSHIP'!BD$5:BD$27=-1),'92_FEATURE_CONF_NUMERIC'!D$5:D$27)/MAX(1,COUNTIF('93_TARGET_MEMBERSHIP'!BD$5:BD$27,-1)))))</f>
        <v/>
      </c>
      <c r="D59" s="34">
        <f>IF($B59="ABSOLUTE SEMANTIC",'19_FEATURE_CONFIDENCE'!$D$6,SQRT((SUMPRODUCT(--('93_TARGET_MEMBERSHIP'!BD$5:BD$27=1),'92_FEATURE_CONF_NUMERIC'!E$5:E$27)/MAX(1,COUNTIF('93_TARGET_MEMBERSHIP'!BD$5:BD$27,1)))*(SUMPRODUCT(--('93_TARGET_MEMBERSHIP'!BD$5:BD$27=-1),'92_FEATURE_CONF_NUMERIC'!E$5:E$27)/MAX(1,COUNTIF('93_TARGET_MEMBERSHIP'!BD$5:BD$27,-1)))))</f>
        <v/>
      </c>
      <c r="E59" s="34">
        <f>IF($B59="ABSOLUTE SEMANTIC",'19_FEATURE_CONFIDENCE'!$D$7,SQRT((SUMPRODUCT(--('93_TARGET_MEMBERSHIP'!BD$5:BD$27=1),'92_FEATURE_CONF_NUMERIC'!F$5:F$27)/MAX(1,COUNTIF('93_TARGET_MEMBERSHIP'!BD$5:BD$27,1)))*(SUMPRODUCT(--('93_TARGET_MEMBERSHIP'!BD$5:BD$27=-1),'92_FEATURE_CONF_NUMERIC'!F$5:F$27)/MAX(1,COUNTIF('93_TARGET_MEMBERSHIP'!BD$5:BD$27,-1)))))</f>
        <v/>
      </c>
      <c r="F59" s="34">
        <f>IF($B59="ABSOLUTE SEMANTIC",'19_FEATURE_CONFIDENCE'!$D$8,SQRT((SUMPRODUCT(--('93_TARGET_MEMBERSHIP'!BD$5:BD$27=1),'92_FEATURE_CONF_NUMERIC'!G$5:G$27)/MAX(1,COUNTIF('93_TARGET_MEMBERSHIP'!BD$5:BD$27,1)))*(SUMPRODUCT(--('93_TARGET_MEMBERSHIP'!BD$5:BD$27=-1),'92_FEATURE_CONF_NUMERIC'!G$5:G$27)/MAX(1,COUNTIF('93_TARGET_MEMBERSHIP'!BD$5:BD$27,-1)))))</f>
        <v/>
      </c>
      <c r="G59" s="34">
        <f>IF($B59="ABSOLUTE SEMANTIC",'19_FEATURE_CONFIDENCE'!$D$9,SQRT((SUMPRODUCT(--('93_TARGET_MEMBERSHIP'!BD$5:BD$27=1),'92_FEATURE_CONF_NUMERIC'!H$5:H$27)/MAX(1,COUNTIF('93_TARGET_MEMBERSHIP'!BD$5:BD$27,1)))*(SUMPRODUCT(--('93_TARGET_MEMBERSHIP'!BD$5:BD$27=-1),'92_FEATURE_CONF_NUMERIC'!H$5:H$27)/MAX(1,COUNTIF('93_TARGET_MEMBERSHIP'!BD$5:BD$27,-1)))))</f>
        <v/>
      </c>
      <c r="H59" s="34">
        <f>IF($B59="ABSOLUTE SEMANTIC",'19_FEATURE_CONFIDENCE'!$D$10,SQRT((SUMPRODUCT(--('93_TARGET_MEMBERSHIP'!BD$5:BD$27=1),'92_FEATURE_CONF_NUMERIC'!I$5:I$27)/MAX(1,COUNTIF('93_TARGET_MEMBERSHIP'!BD$5:BD$27,1)))*(SUMPRODUCT(--('93_TARGET_MEMBERSHIP'!BD$5:BD$27=-1),'92_FEATURE_CONF_NUMERIC'!I$5:I$27)/MAX(1,COUNTIF('93_TARGET_MEMBERSHIP'!BD$5:BD$27,-1)))))</f>
        <v/>
      </c>
      <c r="I59" s="34">
        <f>IF($B59="ABSOLUTE SEMANTIC",'19_FEATURE_CONFIDENCE'!$D$11,SQRT((SUMPRODUCT(--('93_TARGET_MEMBERSHIP'!BD$5:BD$27=1),'92_FEATURE_CONF_NUMERIC'!J$5:J$27)/MAX(1,COUNTIF('93_TARGET_MEMBERSHIP'!BD$5:BD$27,1)))*(SUMPRODUCT(--('93_TARGET_MEMBERSHIP'!BD$5:BD$27=-1),'92_FEATURE_CONF_NUMERIC'!J$5:J$27)/MAX(1,COUNTIF('93_TARGET_MEMBERSHIP'!BD$5:BD$27,-1)))))</f>
        <v/>
      </c>
      <c r="J59" s="34">
        <f>IF($B59="ABSOLUTE SEMANTIC",'19_FEATURE_CONFIDENCE'!$D$12,SQRT((SUMPRODUCT(--('93_TARGET_MEMBERSHIP'!BD$5:BD$27=1),'92_FEATURE_CONF_NUMERIC'!K$5:K$27)/MAX(1,COUNTIF('93_TARGET_MEMBERSHIP'!BD$5:BD$27,1)))*(SUMPRODUCT(--('93_TARGET_MEMBERSHIP'!BD$5:BD$27=-1),'92_FEATURE_CONF_NUMERIC'!K$5:K$27)/MAX(1,COUNTIF('93_TARGET_MEMBERSHIP'!BD$5:BD$27,-1)))))</f>
        <v/>
      </c>
      <c r="K59" s="34">
        <f>IF($B59="ABSOLUTE SEMANTIC",'19_FEATURE_CONFIDENCE'!$D$13,SQRT((SUMPRODUCT(--('93_TARGET_MEMBERSHIP'!BD$5:BD$27=1),'92_FEATURE_CONF_NUMERIC'!L$5:L$27)/MAX(1,COUNTIF('93_TARGET_MEMBERSHIP'!BD$5:BD$27,1)))*(SUMPRODUCT(--('93_TARGET_MEMBERSHIP'!BD$5:BD$27=-1),'92_FEATURE_CONF_NUMERIC'!L$5:L$27)/MAX(1,COUNTIF('93_TARGET_MEMBERSHIP'!BD$5:BD$27,-1)))))</f>
        <v/>
      </c>
      <c r="L59" s="34">
        <f>IF($B59="ABSOLUTE SEMANTIC",'19_FEATURE_CONFIDENCE'!$D$14,SQRT((SUMPRODUCT(--('93_TARGET_MEMBERSHIP'!BD$5:BD$27=1),'92_FEATURE_CONF_NUMERIC'!M$5:M$27)/MAX(1,COUNTIF('93_TARGET_MEMBERSHIP'!BD$5:BD$27,1)))*(SUMPRODUCT(--('93_TARGET_MEMBERSHIP'!BD$5:BD$27=-1),'92_FEATURE_CONF_NUMERIC'!M$5:M$27)/MAX(1,COUNTIF('93_TARGET_MEMBERSHIP'!BD$5:BD$27,-1)))))</f>
        <v/>
      </c>
      <c r="M59" s="34">
        <f>IF($B59="ABSOLUTE SEMANTIC",'19_FEATURE_CONFIDENCE'!$D$15,SQRT((SUMPRODUCT(--('93_TARGET_MEMBERSHIP'!BD$5:BD$27=1),'92_FEATURE_CONF_NUMERIC'!N$5:N$27)/MAX(1,COUNTIF('93_TARGET_MEMBERSHIP'!BD$5:BD$27,1)))*(SUMPRODUCT(--('93_TARGET_MEMBERSHIP'!BD$5:BD$27=-1),'92_FEATURE_CONF_NUMERIC'!N$5:N$27)/MAX(1,COUNTIF('93_TARGET_MEMBERSHIP'!BD$5:BD$27,-1)))))</f>
        <v/>
      </c>
      <c r="N59" s="34">
        <f>IF($B59="ABSOLUTE SEMANTIC",'19_FEATURE_CONFIDENCE'!$D$16,SQRT((SUMPRODUCT(--('93_TARGET_MEMBERSHIP'!BD$5:BD$27=1),'92_FEATURE_CONF_NUMERIC'!O$5:O$27)/MAX(1,COUNTIF('93_TARGET_MEMBERSHIP'!BD$5:BD$27,1)))*(SUMPRODUCT(--('93_TARGET_MEMBERSHIP'!BD$5:BD$27=-1),'92_FEATURE_CONF_NUMERIC'!O$5:O$27)/MAX(1,COUNTIF('93_TARGET_MEMBERSHIP'!BD$5:BD$27,-1)))))</f>
        <v/>
      </c>
      <c r="O59" s="34">
        <f>IF($B59="ABSOLUTE SEMANTIC",'19_FEATURE_CONFIDENCE'!$D$17,SQRT((SUMPRODUCT(--('93_TARGET_MEMBERSHIP'!BD$5:BD$27=1),'92_FEATURE_CONF_NUMERIC'!P$5:P$27)/MAX(1,COUNTIF('93_TARGET_MEMBERSHIP'!BD$5:BD$27,1)))*(SUMPRODUCT(--('93_TARGET_MEMBERSHIP'!BD$5:BD$27=-1),'92_FEATURE_CONF_NUMERIC'!P$5:P$27)/MAX(1,COUNTIF('93_TARGET_MEMBERSHIP'!BD$5:BD$27,-1)))))</f>
        <v/>
      </c>
      <c r="P59" s="34">
        <f>IF($B59="ABSOLUTE SEMANTIC",'19_FEATURE_CONFIDENCE'!$D$18,SQRT((SUMPRODUCT(--('93_TARGET_MEMBERSHIP'!BD$5:BD$27=1),'92_FEATURE_CONF_NUMERIC'!Q$5:Q$27)/MAX(1,COUNTIF('93_TARGET_MEMBERSHIP'!BD$5:BD$27,1)))*(SUMPRODUCT(--('93_TARGET_MEMBERSHIP'!BD$5:BD$27=-1),'92_FEATURE_CONF_NUMERIC'!Q$5:Q$27)/MAX(1,COUNTIF('93_TARGET_MEMBERSHIP'!BD$5:BD$27,-1)))))</f>
        <v/>
      </c>
      <c r="Q59" s="34">
        <f>IF($B59="ABSOLUTE SEMANTIC",'19_FEATURE_CONFIDENCE'!$D$19,SQRT((SUMPRODUCT(--('93_TARGET_MEMBERSHIP'!BD$5:BD$27=1),'92_FEATURE_CONF_NUMERIC'!R$5:R$27)/MAX(1,COUNTIF('93_TARGET_MEMBERSHIP'!BD$5:BD$27,1)))*(SUMPRODUCT(--('93_TARGET_MEMBERSHIP'!BD$5:BD$27=-1),'92_FEATURE_CONF_NUMERIC'!R$5:R$27)/MAX(1,COUNTIF('93_TARGET_MEMBERSHIP'!BD$5:BD$27,-1)))))</f>
        <v/>
      </c>
      <c r="R59" s="34">
        <f>IF($B59="ABSOLUTE SEMANTIC",'19_FEATURE_CONFIDENCE'!$D$20,SQRT((SUMPRODUCT(--('93_TARGET_MEMBERSHIP'!BD$5:BD$27=1),'92_FEATURE_CONF_NUMERIC'!S$5:S$27)/MAX(1,COUNTIF('93_TARGET_MEMBERSHIP'!BD$5:BD$27,1)))*(SUMPRODUCT(--('93_TARGET_MEMBERSHIP'!BD$5:BD$27=-1),'92_FEATURE_CONF_NUMERIC'!S$5:S$27)/MAX(1,COUNTIF('93_TARGET_MEMBERSHIP'!BD$5:BD$27,-1)))))</f>
        <v/>
      </c>
      <c r="S59" s="34">
        <f>IF($B59="ABSOLUTE SEMANTIC",'19_FEATURE_CONFIDENCE'!$D$21,SQRT((SUMPRODUCT(--('93_TARGET_MEMBERSHIP'!BD$5:BD$27=1),'92_FEATURE_CONF_NUMERIC'!T$5:T$27)/MAX(1,COUNTIF('93_TARGET_MEMBERSHIP'!BD$5:BD$27,1)))*(SUMPRODUCT(--('93_TARGET_MEMBERSHIP'!BD$5:BD$27=-1),'92_FEATURE_CONF_NUMERIC'!T$5:T$27)/MAX(1,COUNTIF('93_TARGET_MEMBERSHIP'!BD$5:BD$27,-1)))))</f>
        <v/>
      </c>
      <c r="T59" s="34">
        <f>IF($B59="ABSOLUTE SEMANTIC",'19_FEATURE_CONFIDENCE'!$D$22,SQRT((SUMPRODUCT(--('93_TARGET_MEMBERSHIP'!BD$5:BD$27=1),'92_FEATURE_CONF_NUMERIC'!U$5:U$27)/MAX(1,COUNTIF('93_TARGET_MEMBERSHIP'!BD$5:BD$27,1)))*(SUMPRODUCT(--('93_TARGET_MEMBERSHIP'!BD$5:BD$27=-1),'92_FEATURE_CONF_NUMERIC'!U$5:U$27)/MAX(1,COUNTIF('93_TARGET_MEMBERSHIP'!BD$5:BD$27,-1)))))</f>
        <v/>
      </c>
      <c r="U59" s="34">
        <f>IF($B59="ABSOLUTE SEMANTIC",'19_FEATURE_CONFIDENCE'!$D$23,SQRT((SUMPRODUCT(--('93_TARGET_MEMBERSHIP'!BD$5:BD$27=1),'92_FEATURE_CONF_NUMERIC'!V$5:V$27)/MAX(1,COUNTIF('93_TARGET_MEMBERSHIP'!BD$5:BD$27,1)))*(SUMPRODUCT(--('93_TARGET_MEMBERSHIP'!BD$5:BD$27=-1),'92_FEATURE_CONF_NUMERIC'!V$5:V$27)/MAX(1,COUNTIF('93_TARGET_MEMBERSHIP'!BD$5:BD$27,-1)))))</f>
        <v/>
      </c>
      <c r="V59" s="34">
        <f>IF($B59="ABSOLUTE SEMANTIC",'19_FEATURE_CONFIDENCE'!$D$24,SQRT((SUMPRODUCT(--('93_TARGET_MEMBERSHIP'!BD$5:BD$27=1),'92_FEATURE_CONF_NUMERIC'!W$5:W$27)/MAX(1,COUNTIF('93_TARGET_MEMBERSHIP'!BD$5:BD$27,1)))*(SUMPRODUCT(--('93_TARGET_MEMBERSHIP'!BD$5:BD$27=-1),'92_FEATURE_CONF_NUMERIC'!W$5:W$27)/MAX(1,COUNTIF('93_TARGET_MEMBERSHIP'!BD$5:BD$27,-1)))))</f>
        <v/>
      </c>
      <c r="W59" s="34">
        <f>IF($B59="ABSOLUTE SEMANTIC",'19_FEATURE_CONFIDENCE'!$D$25,SQRT((SUMPRODUCT(--('93_TARGET_MEMBERSHIP'!BD$5:BD$27=1),'92_FEATURE_CONF_NUMERIC'!X$5:X$27)/MAX(1,COUNTIF('93_TARGET_MEMBERSHIP'!BD$5:BD$27,1)))*(SUMPRODUCT(--('93_TARGET_MEMBERSHIP'!BD$5:BD$27=-1),'92_FEATURE_CONF_NUMERIC'!X$5:X$27)/MAX(1,COUNTIF('93_TARGET_MEMBERSHIP'!BD$5:BD$27,-1)))))</f>
        <v/>
      </c>
      <c r="X59" s="34">
        <f>IF($B59="ABSOLUTE SEMANTIC",'19_FEATURE_CONFIDENCE'!$D$26,SQRT((SUMPRODUCT(--('93_TARGET_MEMBERSHIP'!BD$5:BD$27=1),'92_FEATURE_CONF_NUMERIC'!Y$5:Y$27)/MAX(1,COUNTIF('93_TARGET_MEMBERSHIP'!BD$5:BD$27,1)))*(SUMPRODUCT(--('93_TARGET_MEMBERSHIP'!BD$5:BD$27=-1),'92_FEATURE_CONF_NUMERIC'!Y$5:Y$27)/MAX(1,COUNTIF('93_TARGET_MEMBERSHIP'!BD$5:BD$27,-1)))))</f>
        <v/>
      </c>
      <c r="Y59" s="34">
        <f>IF($B59="ABSOLUTE SEMANTIC",'19_FEATURE_CONFIDENCE'!$D$27,SQRT((SUMPRODUCT(--('93_TARGET_MEMBERSHIP'!BD$5:BD$27=1),'92_FEATURE_CONF_NUMERIC'!Z$5:Z$27)/MAX(1,COUNTIF('93_TARGET_MEMBERSHIP'!BD$5:BD$27,1)))*(SUMPRODUCT(--('93_TARGET_MEMBERSHIP'!BD$5:BD$27=-1),'92_FEATURE_CONF_NUMERIC'!Z$5:Z$27)/MAX(1,COUNTIF('93_TARGET_MEMBERSHIP'!BD$5:BD$27,-1)))))</f>
        <v/>
      </c>
      <c r="Z59" s="34">
        <f>IF($B59="ABSOLUTE SEMANTIC",'19_FEATURE_CONFIDENCE'!$D$28,SQRT((SUMPRODUCT(--('93_TARGET_MEMBERSHIP'!BD$5:BD$27=1),'92_FEATURE_CONF_NUMERIC'!AA$5:AA$27)/MAX(1,COUNTIF('93_TARGET_MEMBERSHIP'!BD$5:BD$27,1)))*(SUMPRODUCT(--('93_TARGET_MEMBERSHIP'!BD$5:BD$27=-1),'92_FEATURE_CONF_NUMERIC'!AA$5:AA$27)/MAX(1,COUNTIF('93_TARGET_MEMBERSHIP'!BD$5:BD$27,-1)))))</f>
        <v/>
      </c>
      <c r="AA59" s="34">
        <f>IF($B59="ABSOLUTE SEMANTIC",'19_FEATURE_CONFIDENCE'!$D$29,SQRT((SUMPRODUCT(--('93_TARGET_MEMBERSHIP'!BD$5:BD$27=1),'92_FEATURE_CONF_NUMERIC'!AB$5:AB$27)/MAX(1,COUNTIF('93_TARGET_MEMBERSHIP'!BD$5:BD$27,1)))*(SUMPRODUCT(--('93_TARGET_MEMBERSHIP'!BD$5:BD$27=-1),'92_FEATURE_CONF_NUMERIC'!AB$5:AB$27)/MAX(1,COUNTIF('93_TARGET_MEMBERSHIP'!BD$5:BD$27,-1)))))</f>
        <v/>
      </c>
      <c r="AB59" s="34">
        <f>IF($B59="ABSOLUTE SEMANTIC",'19_FEATURE_CONFIDENCE'!$D$30,SQRT((SUMPRODUCT(--('93_TARGET_MEMBERSHIP'!BD$5:BD$27=1),'92_FEATURE_CONF_NUMERIC'!AC$5:AC$27)/MAX(1,COUNTIF('93_TARGET_MEMBERSHIP'!BD$5:BD$27,1)))*(SUMPRODUCT(--('93_TARGET_MEMBERSHIP'!BD$5:BD$27=-1),'92_FEATURE_CONF_NUMERIC'!AC$5:AC$27)/MAX(1,COUNTIF('93_TARGET_MEMBERSHIP'!BD$5:BD$27,-1)))))</f>
        <v/>
      </c>
      <c r="AC59" s="34">
        <f>IF($B59="ABSOLUTE SEMANTIC",'19_FEATURE_CONFIDENCE'!$D$31,SQRT((SUMPRODUCT(--('93_TARGET_MEMBERSHIP'!BD$5:BD$27=1),'92_FEATURE_CONF_NUMERIC'!AD$5:AD$27)/MAX(1,COUNTIF('93_TARGET_MEMBERSHIP'!BD$5:BD$27,1)))*(SUMPRODUCT(--('93_TARGET_MEMBERSHIP'!BD$5:BD$27=-1),'92_FEATURE_CONF_NUMERIC'!AD$5:AD$27)/MAX(1,COUNTIF('93_TARGET_MEMBERSHIP'!BD$5:BD$27,-1)))))</f>
        <v/>
      </c>
      <c r="AD59" s="34">
        <f>IF($B59="ABSOLUTE SEMANTIC",'19_FEATURE_CONFIDENCE'!$D$32,SQRT((SUMPRODUCT(--('93_TARGET_MEMBERSHIP'!BD$5:BD$27=1),'92_FEATURE_CONF_NUMERIC'!AE$5:AE$27)/MAX(1,COUNTIF('93_TARGET_MEMBERSHIP'!BD$5:BD$27,1)))*(SUMPRODUCT(--('93_TARGET_MEMBERSHIP'!BD$5:BD$27=-1),'92_FEATURE_CONF_NUMERIC'!AE$5:AE$27)/MAX(1,COUNTIF('93_TARGET_MEMBERSHIP'!BD$5:BD$27,-1)))))</f>
        <v/>
      </c>
      <c r="AE59" s="34">
        <f>IF($B59="ABSOLUTE SEMANTIC",'19_FEATURE_CONFIDENCE'!$D$33,SQRT((SUMPRODUCT(--('93_TARGET_MEMBERSHIP'!BD$5:BD$27=1),'92_FEATURE_CONF_NUMERIC'!AF$5:AF$27)/MAX(1,COUNTIF('93_TARGET_MEMBERSHIP'!BD$5:BD$27,1)))*(SUMPRODUCT(--('93_TARGET_MEMBERSHIP'!BD$5:BD$27=-1),'92_FEATURE_CONF_NUMERIC'!AF$5:AF$27)/MAX(1,COUNTIF('93_TARGET_MEMBERSHIP'!BD$5:BD$27,-1)))))</f>
        <v/>
      </c>
      <c r="AF59" s="34">
        <f>IF($B59="ABSOLUTE SEMANTIC",'19_FEATURE_CONFIDENCE'!$D$34,SQRT((SUMPRODUCT(--('93_TARGET_MEMBERSHIP'!BD$5:BD$27=1),'92_FEATURE_CONF_NUMERIC'!AG$5:AG$27)/MAX(1,COUNTIF('93_TARGET_MEMBERSHIP'!BD$5:BD$27,1)))*(SUMPRODUCT(--('93_TARGET_MEMBERSHIP'!BD$5:BD$27=-1),'92_FEATURE_CONF_NUMERIC'!AG$5:AG$27)/MAX(1,COUNTIF('93_TARGET_MEMBERSHIP'!BD$5:BD$27,-1)))))</f>
        <v/>
      </c>
      <c r="AG59" s="34">
        <f>IF($B59="ABSOLUTE SEMANTIC",'19_FEATURE_CONFIDENCE'!$D$35,SQRT((SUMPRODUCT(--('93_TARGET_MEMBERSHIP'!BD$5:BD$27=1),'92_FEATURE_CONF_NUMERIC'!AH$5:AH$27)/MAX(1,COUNTIF('93_TARGET_MEMBERSHIP'!BD$5:BD$27,1)))*(SUMPRODUCT(--('93_TARGET_MEMBERSHIP'!BD$5:BD$27=-1),'92_FEATURE_CONF_NUMERIC'!AH$5:AH$27)/MAX(1,COUNTIF('93_TARGET_MEMBERSHIP'!BD$5:BD$27,-1)))))</f>
        <v/>
      </c>
      <c r="AH59" s="34">
        <f>IF($B59="ABSOLUTE SEMANTIC",'19_FEATURE_CONFIDENCE'!$D$36,SQRT((SUMPRODUCT(--('93_TARGET_MEMBERSHIP'!BD$5:BD$27=1),'92_FEATURE_CONF_NUMERIC'!AI$5:AI$27)/MAX(1,COUNTIF('93_TARGET_MEMBERSHIP'!BD$5:BD$27,1)))*(SUMPRODUCT(--('93_TARGET_MEMBERSHIP'!BD$5:BD$27=-1),'92_FEATURE_CONF_NUMERIC'!AI$5:AI$27)/MAX(1,COUNTIF('93_TARGET_MEMBERSHIP'!BD$5:BD$27,-1)))))</f>
        <v/>
      </c>
      <c r="AI59" s="34">
        <f>IF($B59="ABSOLUTE SEMANTIC",'19_FEATURE_CONFIDENCE'!$D$37,SQRT((SUMPRODUCT(--('93_TARGET_MEMBERSHIP'!BD$5:BD$27=1),'92_FEATURE_CONF_NUMERIC'!AJ$5:AJ$27)/MAX(1,COUNTIF('93_TARGET_MEMBERSHIP'!BD$5:BD$27,1)))*(SUMPRODUCT(--('93_TARGET_MEMBERSHIP'!BD$5:BD$27=-1),'92_FEATURE_CONF_NUMERIC'!AJ$5:AJ$27)/MAX(1,COUNTIF('93_TARGET_MEMBERSHIP'!BD$5:BD$27,-1)))))</f>
        <v/>
      </c>
      <c r="AJ59" s="34">
        <f>IF($B59="ABSOLUTE SEMANTIC",'19_FEATURE_CONFIDENCE'!$D$38,SQRT((SUMPRODUCT(--('93_TARGET_MEMBERSHIP'!BD$5:BD$27=1),'92_FEATURE_CONF_NUMERIC'!AK$5:AK$27)/MAX(1,COUNTIF('93_TARGET_MEMBERSHIP'!BD$5:BD$27,1)))*(SUMPRODUCT(--('93_TARGET_MEMBERSHIP'!BD$5:BD$27=-1),'92_FEATURE_CONF_NUMERIC'!AK$5:AK$27)/MAX(1,COUNTIF('93_TARGET_MEMBERSHIP'!BD$5:BD$27,-1)))))</f>
        <v/>
      </c>
      <c r="AK59" s="34">
        <f>IF($B59="ABSOLUTE SEMANTIC",'19_FEATURE_CONFIDENCE'!$D$39,SQRT((SUMPRODUCT(--('93_TARGET_MEMBERSHIP'!BD$5:BD$27=1),'92_FEATURE_CONF_NUMERIC'!AL$5:AL$27)/MAX(1,COUNTIF('93_TARGET_MEMBERSHIP'!BD$5:BD$27,1)))*(SUMPRODUCT(--('93_TARGET_MEMBERSHIP'!BD$5:BD$27=-1),'92_FEATURE_CONF_NUMERIC'!AL$5:AL$27)/MAX(1,COUNTIF('93_TARGET_MEMBERSHIP'!BD$5:BD$27,-1)))))</f>
        <v/>
      </c>
      <c r="AL59" s="34">
        <f>IF($B59="ABSOLUTE SEMANTIC",'19_FEATURE_CONFIDENCE'!$D$40,SQRT((SUMPRODUCT(--('93_TARGET_MEMBERSHIP'!BD$5:BD$27=1),'92_FEATURE_CONF_NUMERIC'!AM$5:AM$27)/MAX(1,COUNTIF('93_TARGET_MEMBERSHIP'!BD$5:BD$27,1)))*(SUMPRODUCT(--('93_TARGET_MEMBERSHIP'!BD$5:BD$27=-1),'92_FEATURE_CONF_NUMERIC'!AM$5:AM$27)/MAX(1,COUNTIF('93_TARGET_MEMBERSHIP'!BD$5:BD$27,-1)))))</f>
        <v/>
      </c>
      <c r="AM59" s="34">
        <f>IF($B59="ABSOLUTE SEMANTIC",'19_FEATURE_CONFIDENCE'!$D$41,SQRT((SUMPRODUCT(--('93_TARGET_MEMBERSHIP'!BD$5:BD$27=1),'92_FEATURE_CONF_NUMERIC'!AN$5:AN$27)/MAX(1,COUNTIF('93_TARGET_MEMBERSHIP'!BD$5:BD$27,1)))*(SUMPRODUCT(--('93_TARGET_MEMBERSHIP'!BD$5:BD$27=-1),'92_FEATURE_CONF_NUMERIC'!AN$5:AN$27)/MAX(1,COUNTIF('93_TARGET_MEMBERSHIP'!BD$5:BD$27,-1)))))</f>
        <v/>
      </c>
      <c r="AN59" s="34">
        <f>IF($B59="ABSOLUTE SEMANTIC",'19_FEATURE_CONFIDENCE'!$D$42,SQRT((SUMPRODUCT(--('93_TARGET_MEMBERSHIP'!BD$5:BD$27=1),'92_FEATURE_CONF_NUMERIC'!AO$5:AO$27)/MAX(1,COUNTIF('93_TARGET_MEMBERSHIP'!BD$5:BD$27,1)))*(SUMPRODUCT(--('93_TARGET_MEMBERSHIP'!BD$5:BD$27=-1),'92_FEATURE_CONF_NUMERIC'!AO$5:AO$27)/MAX(1,COUNTIF('93_TARGET_MEMBERSHIP'!BD$5:BD$27,-1)))))</f>
        <v/>
      </c>
      <c r="AO59" s="34">
        <f>IF($B59="ABSOLUTE SEMANTIC",'19_FEATURE_CONFIDENCE'!$D$43,SQRT((SUMPRODUCT(--('93_TARGET_MEMBERSHIP'!BD$5:BD$27=1),'92_FEATURE_CONF_NUMERIC'!AP$5:AP$27)/MAX(1,COUNTIF('93_TARGET_MEMBERSHIP'!BD$5:BD$27,1)))*(SUMPRODUCT(--('93_TARGET_MEMBERSHIP'!BD$5:BD$27=-1),'92_FEATURE_CONF_NUMERIC'!AP$5:AP$27)/MAX(1,COUNTIF('93_TARGET_MEMBERSHIP'!BD$5:BD$27,-1)))))</f>
        <v/>
      </c>
      <c r="AP59" s="34">
        <f>IF($B59="ABSOLUTE SEMANTIC",'19_FEATURE_CONFIDENCE'!$D$44,SQRT((SUMPRODUCT(--('93_TARGET_MEMBERSHIP'!BD$5:BD$27=1),'92_FEATURE_CONF_NUMERIC'!AQ$5:AQ$27)/MAX(1,COUNTIF('93_TARGET_MEMBERSHIP'!BD$5:BD$27,1)))*(SUMPRODUCT(--('93_TARGET_MEMBERSHIP'!BD$5:BD$27=-1),'92_FEATURE_CONF_NUMERIC'!AQ$5:AQ$27)/MAX(1,COUNTIF('93_TARGET_MEMBERSHIP'!BD$5:BD$27,-1)))))</f>
        <v/>
      </c>
      <c r="AQ59" s="34">
        <f>IF($B59="ABSOLUTE SEMANTIC",'19_FEATURE_CONFIDENCE'!$D$45,SQRT((SUMPRODUCT(--('93_TARGET_MEMBERSHIP'!BD$5:BD$27=1),'92_FEATURE_CONF_NUMERIC'!AR$5:AR$27)/MAX(1,COUNTIF('93_TARGET_MEMBERSHIP'!BD$5:BD$27,1)))*(SUMPRODUCT(--('93_TARGET_MEMBERSHIP'!BD$5:BD$27=-1),'92_FEATURE_CONF_NUMERIC'!AR$5:AR$27)/MAX(1,COUNTIF('93_TARGET_MEMBERSHIP'!BD$5:BD$27,-1)))))</f>
        <v/>
      </c>
    </row>
    <row r="60" ht="36" customHeight="1">
      <c r="A60" s="34">
        <f>'06_ITEM_POLE_MODEL'!A60</f>
        <v/>
      </c>
      <c r="B60" s="34">
        <f>'06_ITEM_POLE_MODEL'!E60</f>
        <v/>
      </c>
      <c r="C60" s="34">
        <f>IF($B60="ABSOLUTE SEMANTIC",'19_FEATURE_CONFIDENCE'!$D$5,SQRT((SUMPRODUCT(--('93_TARGET_MEMBERSHIP'!BE$5:BE$27=1),'92_FEATURE_CONF_NUMERIC'!D$5:D$27)/MAX(1,COUNTIF('93_TARGET_MEMBERSHIP'!BE$5:BE$27,1)))*(SUMPRODUCT(--('93_TARGET_MEMBERSHIP'!BE$5:BE$27=-1),'92_FEATURE_CONF_NUMERIC'!D$5:D$27)/MAX(1,COUNTIF('93_TARGET_MEMBERSHIP'!BE$5:BE$27,-1)))))</f>
        <v/>
      </c>
      <c r="D60" s="34">
        <f>IF($B60="ABSOLUTE SEMANTIC",'19_FEATURE_CONFIDENCE'!$D$6,SQRT((SUMPRODUCT(--('93_TARGET_MEMBERSHIP'!BE$5:BE$27=1),'92_FEATURE_CONF_NUMERIC'!E$5:E$27)/MAX(1,COUNTIF('93_TARGET_MEMBERSHIP'!BE$5:BE$27,1)))*(SUMPRODUCT(--('93_TARGET_MEMBERSHIP'!BE$5:BE$27=-1),'92_FEATURE_CONF_NUMERIC'!E$5:E$27)/MAX(1,COUNTIF('93_TARGET_MEMBERSHIP'!BE$5:BE$27,-1)))))</f>
        <v/>
      </c>
      <c r="E60" s="34">
        <f>IF($B60="ABSOLUTE SEMANTIC",'19_FEATURE_CONFIDENCE'!$D$7,SQRT((SUMPRODUCT(--('93_TARGET_MEMBERSHIP'!BE$5:BE$27=1),'92_FEATURE_CONF_NUMERIC'!F$5:F$27)/MAX(1,COUNTIF('93_TARGET_MEMBERSHIP'!BE$5:BE$27,1)))*(SUMPRODUCT(--('93_TARGET_MEMBERSHIP'!BE$5:BE$27=-1),'92_FEATURE_CONF_NUMERIC'!F$5:F$27)/MAX(1,COUNTIF('93_TARGET_MEMBERSHIP'!BE$5:BE$27,-1)))))</f>
        <v/>
      </c>
      <c r="F60" s="34">
        <f>IF($B60="ABSOLUTE SEMANTIC",'19_FEATURE_CONFIDENCE'!$D$8,SQRT((SUMPRODUCT(--('93_TARGET_MEMBERSHIP'!BE$5:BE$27=1),'92_FEATURE_CONF_NUMERIC'!G$5:G$27)/MAX(1,COUNTIF('93_TARGET_MEMBERSHIP'!BE$5:BE$27,1)))*(SUMPRODUCT(--('93_TARGET_MEMBERSHIP'!BE$5:BE$27=-1),'92_FEATURE_CONF_NUMERIC'!G$5:G$27)/MAX(1,COUNTIF('93_TARGET_MEMBERSHIP'!BE$5:BE$27,-1)))))</f>
        <v/>
      </c>
      <c r="G60" s="34">
        <f>IF($B60="ABSOLUTE SEMANTIC",'19_FEATURE_CONFIDENCE'!$D$9,SQRT((SUMPRODUCT(--('93_TARGET_MEMBERSHIP'!BE$5:BE$27=1),'92_FEATURE_CONF_NUMERIC'!H$5:H$27)/MAX(1,COUNTIF('93_TARGET_MEMBERSHIP'!BE$5:BE$27,1)))*(SUMPRODUCT(--('93_TARGET_MEMBERSHIP'!BE$5:BE$27=-1),'92_FEATURE_CONF_NUMERIC'!H$5:H$27)/MAX(1,COUNTIF('93_TARGET_MEMBERSHIP'!BE$5:BE$27,-1)))))</f>
        <v/>
      </c>
      <c r="H60" s="34">
        <f>IF($B60="ABSOLUTE SEMANTIC",'19_FEATURE_CONFIDENCE'!$D$10,SQRT((SUMPRODUCT(--('93_TARGET_MEMBERSHIP'!BE$5:BE$27=1),'92_FEATURE_CONF_NUMERIC'!I$5:I$27)/MAX(1,COUNTIF('93_TARGET_MEMBERSHIP'!BE$5:BE$27,1)))*(SUMPRODUCT(--('93_TARGET_MEMBERSHIP'!BE$5:BE$27=-1),'92_FEATURE_CONF_NUMERIC'!I$5:I$27)/MAX(1,COUNTIF('93_TARGET_MEMBERSHIP'!BE$5:BE$27,-1)))))</f>
        <v/>
      </c>
      <c r="I60" s="34">
        <f>IF($B60="ABSOLUTE SEMANTIC",'19_FEATURE_CONFIDENCE'!$D$11,SQRT((SUMPRODUCT(--('93_TARGET_MEMBERSHIP'!BE$5:BE$27=1),'92_FEATURE_CONF_NUMERIC'!J$5:J$27)/MAX(1,COUNTIF('93_TARGET_MEMBERSHIP'!BE$5:BE$27,1)))*(SUMPRODUCT(--('93_TARGET_MEMBERSHIP'!BE$5:BE$27=-1),'92_FEATURE_CONF_NUMERIC'!J$5:J$27)/MAX(1,COUNTIF('93_TARGET_MEMBERSHIP'!BE$5:BE$27,-1)))))</f>
        <v/>
      </c>
      <c r="J60" s="34">
        <f>IF($B60="ABSOLUTE SEMANTIC",'19_FEATURE_CONFIDENCE'!$D$12,SQRT((SUMPRODUCT(--('93_TARGET_MEMBERSHIP'!BE$5:BE$27=1),'92_FEATURE_CONF_NUMERIC'!K$5:K$27)/MAX(1,COUNTIF('93_TARGET_MEMBERSHIP'!BE$5:BE$27,1)))*(SUMPRODUCT(--('93_TARGET_MEMBERSHIP'!BE$5:BE$27=-1),'92_FEATURE_CONF_NUMERIC'!K$5:K$27)/MAX(1,COUNTIF('93_TARGET_MEMBERSHIP'!BE$5:BE$27,-1)))))</f>
        <v/>
      </c>
      <c r="K60" s="34">
        <f>IF($B60="ABSOLUTE SEMANTIC",'19_FEATURE_CONFIDENCE'!$D$13,SQRT((SUMPRODUCT(--('93_TARGET_MEMBERSHIP'!BE$5:BE$27=1),'92_FEATURE_CONF_NUMERIC'!L$5:L$27)/MAX(1,COUNTIF('93_TARGET_MEMBERSHIP'!BE$5:BE$27,1)))*(SUMPRODUCT(--('93_TARGET_MEMBERSHIP'!BE$5:BE$27=-1),'92_FEATURE_CONF_NUMERIC'!L$5:L$27)/MAX(1,COUNTIF('93_TARGET_MEMBERSHIP'!BE$5:BE$27,-1)))))</f>
        <v/>
      </c>
      <c r="L60" s="34">
        <f>IF($B60="ABSOLUTE SEMANTIC",'19_FEATURE_CONFIDENCE'!$D$14,SQRT((SUMPRODUCT(--('93_TARGET_MEMBERSHIP'!BE$5:BE$27=1),'92_FEATURE_CONF_NUMERIC'!M$5:M$27)/MAX(1,COUNTIF('93_TARGET_MEMBERSHIP'!BE$5:BE$27,1)))*(SUMPRODUCT(--('93_TARGET_MEMBERSHIP'!BE$5:BE$27=-1),'92_FEATURE_CONF_NUMERIC'!M$5:M$27)/MAX(1,COUNTIF('93_TARGET_MEMBERSHIP'!BE$5:BE$27,-1)))))</f>
        <v/>
      </c>
      <c r="M60" s="34">
        <f>IF($B60="ABSOLUTE SEMANTIC",'19_FEATURE_CONFIDENCE'!$D$15,SQRT((SUMPRODUCT(--('93_TARGET_MEMBERSHIP'!BE$5:BE$27=1),'92_FEATURE_CONF_NUMERIC'!N$5:N$27)/MAX(1,COUNTIF('93_TARGET_MEMBERSHIP'!BE$5:BE$27,1)))*(SUMPRODUCT(--('93_TARGET_MEMBERSHIP'!BE$5:BE$27=-1),'92_FEATURE_CONF_NUMERIC'!N$5:N$27)/MAX(1,COUNTIF('93_TARGET_MEMBERSHIP'!BE$5:BE$27,-1)))))</f>
        <v/>
      </c>
      <c r="N60" s="34">
        <f>IF($B60="ABSOLUTE SEMANTIC",'19_FEATURE_CONFIDENCE'!$D$16,SQRT((SUMPRODUCT(--('93_TARGET_MEMBERSHIP'!BE$5:BE$27=1),'92_FEATURE_CONF_NUMERIC'!O$5:O$27)/MAX(1,COUNTIF('93_TARGET_MEMBERSHIP'!BE$5:BE$27,1)))*(SUMPRODUCT(--('93_TARGET_MEMBERSHIP'!BE$5:BE$27=-1),'92_FEATURE_CONF_NUMERIC'!O$5:O$27)/MAX(1,COUNTIF('93_TARGET_MEMBERSHIP'!BE$5:BE$27,-1)))))</f>
        <v/>
      </c>
      <c r="O60" s="34">
        <f>IF($B60="ABSOLUTE SEMANTIC",'19_FEATURE_CONFIDENCE'!$D$17,SQRT((SUMPRODUCT(--('93_TARGET_MEMBERSHIP'!BE$5:BE$27=1),'92_FEATURE_CONF_NUMERIC'!P$5:P$27)/MAX(1,COUNTIF('93_TARGET_MEMBERSHIP'!BE$5:BE$27,1)))*(SUMPRODUCT(--('93_TARGET_MEMBERSHIP'!BE$5:BE$27=-1),'92_FEATURE_CONF_NUMERIC'!P$5:P$27)/MAX(1,COUNTIF('93_TARGET_MEMBERSHIP'!BE$5:BE$27,-1)))))</f>
        <v/>
      </c>
      <c r="P60" s="34">
        <f>IF($B60="ABSOLUTE SEMANTIC",'19_FEATURE_CONFIDENCE'!$D$18,SQRT((SUMPRODUCT(--('93_TARGET_MEMBERSHIP'!BE$5:BE$27=1),'92_FEATURE_CONF_NUMERIC'!Q$5:Q$27)/MAX(1,COUNTIF('93_TARGET_MEMBERSHIP'!BE$5:BE$27,1)))*(SUMPRODUCT(--('93_TARGET_MEMBERSHIP'!BE$5:BE$27=-1),'92_FEATURE_CONF_NUMERIC'!Q$5:Q$27)/MAX(1,COUNTIF('93_TARGET_MEMBERSHIP'!BE$5:BE$27,-1)))))</f>
        <v/>
      </c>
      <c r="Q60" s="34">
        <f>IF($B60="ABSOLUTE SEMANTIC",'19_FEATURE_CONFIDENCE'!$D$19,SQRT((SUMPRODUCT(--('93_TARGET_MEMBERSHIP'!BE$5:BE$27=1),'92_FEATURE_CONF_NUMERIC'!R$5:R$27)/MAX(1,COUNTIF('93_TARGET_MEMBERSHIP'!BE$5:BE$27,1)))*(SUMPRODUCT(--('93_TARGET_MEMBERSHIP'!BE$5:BE$27=-1),'92_FEATURE_CONF_NUMERIC'!R$5:R$27)/MAX(1,COUNTIF('93_TARGET_MEMBERSHIP'!BE$5:BE$27,-1)))))</f>
        <v/>
      </c>
      <c r="R60" s="34">
        <f>IF($B60="ABSOLUTE SEMANTIC",'19_FEATURE_CONFIDENCE'!$D$20,SQRT((SUMPRODUCT(--('93_TARGET_MEMBERSHIP'!BE$5:BE$27=1),'92_FEATURE_CONF_NUMERIC'!S$5:S$27)/MAX(1,COUNTIF('93_TARGET_MEMBERSHIP'!BE$5:BE$27,1)))*(SUMPRODUCT(--('93_TARGET_MEMBERSHIP'!BE$5:BE$27=-1),'92_FEATURE_CONF_NUMERIC'!S$5:S$27)/MAX(1,COUNTIF('93_TARGET_MEMBERSHIP'!BE$5:BE$27,-1)))))</f>
        <v/>
      </c>
      <c r="S60" s="34">
        <f>IF($B60="ABSOLUTE SEMANTIC",'19_FEATURE_CONFIDENCE'!$D$21,SQRT((SUMPRODUCT(--('93_TARGET_MEMBERSHIP'!BE$5:BE$27=1),'92_FEATURE_CONF_NUMERIC'!T$5:T$27)/MAX(1,COUNTIF('93_TARGET_MEMBERSHIP'!BE$5:BE$27,1)))*(SUMPRODUCT(--('93_TARGET_MEMBERSHIP'!BE$5:BE$27=-1),'92_FEATURE_CONF_NUMERIC'!T$5:T$27)/MAX(1,COUNTIF('93_TARGET_MEMBERSHIP'!BE$5:BE$27,-1)))))</f>
        <v/>
      </c>
      <c r="T60" s="34">
        <f>IF($B60="ABSOLUTE SEMANTIC",'19_FEATURE_CONFIDENCE'!$D$22,SQRT((SUMPRODUCT(--('93_TARGET_MEMBERSHIP'!BE$5:BE$27=1),'92_FEATURE_CONF_NUMERIC'!U$5:U$27)/MAX(1,COUNTIF('93_TARGET_MEMBERSHIP'!BE$5:BE$27,1)))*(SUMPRODUCT(--('93_TARGET_MEMBERSHIP'!BE$5:BE$27=-1),'92_FEATURE_CONF_NUMERIC'!U$5:U$27)/MAX(1,COUNTIF('93_TARGET_MEMBERSHIP'!BE$5:BE$27,-1)))))</f>
        <v/>
      </c>
      <c r="U60" s="34">
        <f>IF($B60="ABSOLUTE SEMANTIC",'19_FEATURE_CONFIDENCE'!$D$23,SQRT((SUMPRODUCT(--('93_TARGET_MEMBERSHIP'!BE$5:BE$27=1),'92_FEATURE_CONF_NUMERIC'!V$5:V$27)/MAX(1,COUNTIF('93_TARGET_MEMBERSHIP'!BE$5:BE$27,1)))*(SUMPRODUCT(--('93_TARGET_MEMBERSHIP'!BE$5:BE$27=-1),'92_FEATURE_CONF_NUMERIC'!V$5:V$27)/MAX(1,COUNTIF('93_TARGET_MEMBERSHIP'!BE$5:BE$27,-1)))))</f>
        <v/>
      </c>
      <c r="V60" s="34">
        <f>IF($B60="ABSOLUTE SEMANTIC",'19_FEATURE_CONFIDENCE'!$D$24,SQRT((SUMPRODUCT(--('93_TARGET_MEMBERSHIP'!BE$5:BE$27=1),'92_FEATURE_CONF_NUMERIC'!W$5:W$27)/MAX(1,COUNTIF('93_TARGET_MEMBERSHIP'!BE$5:BE$27,1)))*(SUMPRODUCT(--('93_TARGET_MEMBERSHIP'!BE$5:BE$27=-1),'92_FEATURE_CONF_NUMERIC'!W$5:W$27)/MAX(1,COUNTIF('93_TARGET_MEMBERSHIP'!BE$5:BE$27,-1)))))</f>
        <v/>
      </c>
      <c r="W60" s="34">
        <f>IF($B60="ABSOLUTE SEMANTIC",'19_FEATURE_CONFIDENCE'!$D$25,SQRT((SUMPRODUCT(--('93_TARGET_MEMBERSHIP'!BE$5:BE$27=1),'92_FEATURE_CONF_NUMERIC'!X$5:X$27)/MAX(1,COUNTIF('93_TARGET_MEMBERSHIP'!BE$5:BE$27,1)))*(SUMPRODUCT(--('93_TARGET_MEMBERSHIP'!BE$5:BE$27=-1),'92_FEATURE_CONF_NUMERIC'!X$5:X$27)/MAX(1,COUNTIF('93_TARGET_MEMBERSHIP'!BE$5:BE$27,-1)))))</f>
        <v/>
      </c>
      <c r="X60" s="34">
        <f>IF($B60="ABSOLUTE SEMANTIC",'19_FEATURE_CONFIDENCE'!$D$26,SQRT((SUMPRODUCT(--('93_TARGET_MEMBERSHIP'!BE$5:BE$27=1),'92_FEATURE_CONF_NUMERIC'!Y$5:Y$27)/MAX(1,COUNTIF('93_TARGET_MEMBERSHIP'!BE$5:BE$27,1)))*(SUMPRODUCT(--('93_TARGET_MEMBERSHIP'!BE$5:BE$27=-1),'92_FEATURE_CONF_NUMERIC'!Y$5:Y$27)/MAX(1,COUNTIF('93_TARGET_MEMBERSHIP'!BE$5:BE$27,-1)))))</f>
        <v/>
      </c>
      <c r="Y60" s="34">
        <f>IF($B60="ABSOLUTE SEMANTIC",'19_FEATURE_CONFIDENCE'!$D$27,SQRT((SUMPRODUCT(--('93_TARGET_MEMBERSHIP'!BE$5:BE$27=1),'92_FEATURE_CONF_NUMERIC'!Z$5:Z$27)/MAX(1,COUNTIF('93_TARGET_MEMBERSHIP'!BE$5:BE$27,1)))*(SUMPRODUCT(--('93_TARGET_MEMBERSHIP'!BE$5:BE$27=-1),'92_FEATURE_CONF_NUMERIC'!Z$5:Z$27)/MAX(1,COUNTIF('93_TARGET_MEMBERSHIP'!BE$5:BE$27,-1)))))</f>
        <v/>
      </c>
      <c r="Z60" s="34">
        <f>IF($B60="ABSOLUTE SEMANTIC",'19_FEATURE_CONFIDENCE'!$D$28,SQRT((SUMPRODUCT(--('93_TARGET_MEMBERSHIP'!BE$5:BE$27=1),'92_FEATURE_CONF_NUMERIC'!AA$5:AA$27)/MAX(1,COUNTIF('93_TARGET_MEMBERSHIP'!BE$5:BE$27,1)))*(SUMPRODUCT(--('93_TARGET_MEMBERSHIP'!BE$5:BE$27=-1),'92_FEATURE_CONF_NUMERIC'!AA$5:AA$27)/MAX(1,COUNTIF('93_TARGET_MEMBERSHIP'!BE$5:BE$27,-1)))))</f>
        <v/>
      </c>
      <c r="AA60" s="34">
        <f>IF($B60="ABSOLUTE SEMANTIC",'19_FEATURE_CONFIDENCE'!$D$29,SQRT((SUMPRODUCT(--('93_TARGET_MEMBERSHIP'!BE$5:BE$27=1),'92_FEATURE_CONF_NUMERIC'!AB$5:AB$27)/MAX(1,COUNTIF('93_TARGET_MEMBERSHIP'!BE$5:BE$27,1)))*(SUMPRODUCT(--('93_TARGET_MEMBERSHIP'!BE$5:BE$27=-1),'92_FEATURE_CONF_NUMERIC'!AB$5:AB$27)/MAX(1,COUNTIF('93_TARGET_MEMBERSHIP'!BE$5:BE$27,-1)))))</f>
        <v/>
      </c>
      <c r="AB60" s="34">
        <f>IF($B60="ABSOLUTE SEMANTIC",'19_FEATURE_CONFIDENCE'!$D$30,SQRT((SUMPRODUCT(--('93_TARGET_MEMBERSHIP'!BE$5:BE$27=1),'92_FEATURE_CONF_NUMERIC'!AC$5:AC$27)/MAX(1,COUNTIF('93_TARGET_MEMBERSHIP'!BE$5:BE$27,1)))*(SUMPRODUCT(--('93_TARGET_MEMBERSHIP'!BE$5:BE$27=-1),'92_FEATURE_CONF_NUMERIC'!AC$5:AC$27)/MAX(1,COUNTIF('93_TARGET_MEMBERSHIP'!BE$5:BE$27,-1)))))</f>
        <v/>
      </c>
      <c r="AC60" s="34">
        <f>IF($B60="ABSOLUTE SEMANTIC",'19_FEATURE_CONFIDENCE'!$D$31,SQRT((SUMPRODUCT(--('93_TARGET_MEMBERSHIP'!BE$5:BE$27=1),'92_FEATURE_CONF_NUMERIC'!AD$5:AD$27)/MAX(1,COUNTIF('93_TARGET_MEMBERSHIP'!BE$5:BE$27,1)))*(SUMPRODUCT(--('93_TARGET_MEMBERSHIP'!BE$5:BE$27=-1),'92_FEATURE_CONF_NUMERIC'!AD$5:AD$27)/MAX(1,COUNTIF('93_TARGET_MEMBERSHIP'!BE$5:BE$27,-1)))))</f>
        <v/>
      </c>
      <c r="AD60" s="34">
        <f>IF($B60="ABSOLUTE SEMANTIC",'19_FEATURE_CONFIDENCE'!$D$32,SQRT((SUMPRODUCT(--('93_TARGET_MEMBERSHIP'!BE$5:BE$27=1),'92_FEATURE_CONF_NUMERIC'!AE$5:AE$27)/MAX(1,COUNTIF('93_TARGET_MEMBERSHIP'!BE$5:BE$27,1)))*(SUMPRODUCT(--('93_TARGET_MEMBERSHIP'!BE$5:BE$27=-1),'92_FEATURE_CONF_NUMERIC'!AE$5:AE$27)/MAX(1,COUNTIF('93_TARGET_MEMBERSHIP'!BE$5:BE$27,-1)))))</f>
        <v/>
      </c>
      <c r="AE60" s="34">
        <f>IF($B60="ABSOLUTE SEMANTIC",'19_FEATURE_CONFIDENCE'!$D$33,SQRT((SUMPRODUCT(--('93_TARGET_MEMBERSHIP'!BE$5:BE$27=1),'92_FEATURE_CONF_NUMERIC'!AF$5:AF$27)/MAX(1,COUNTIF('93_TARGET_MEMBERSHIP'!BE$5:BE$27,1)))*(SUMPRODUCT(--('93_TARGET_MEMBERSHIP'!BE$5:BE$27=-1),'92_FEATURE_CONF_NUMERIC'!AF$5:AF$27)/MAX(1,COUNTIF('93_TARGET_MEMBERSHIP'!BE$5:BE$27,-1)))))</f>
        <v/>
      </c>
      <c r="AF60" s="34">
        <f>IF($B60="ABSOLUTE SEMANTIC",'19_FEATURE_CONFIDENCE'!$D$34,SQRT((SUMPRODUCT(--('93_TARGET_MEMBERSHIP'!BE$5:BE$27=1),'92_FEATURE_CONF_NUMERIC'!AG$5:AG$27)/MAX(1,COUNTIF('93_TARGET_MEMBERSHIP'!BE$5:BE$27,1)))*(SUMPRODUCT(--('93_TARGET_MEMBERSHIP'!BE$5:BE$27=-1),'92_FEATURE_CONF_NUMERIC'!AG$5:AG$27)/MAX(1,COUNTIF('93_TARGET_MEMBERSHIP'!BE$5:BE$27,-1)))))</f>
        <v/>
      </c>
      <c r="AG60" s="34">
        <f>IF($B60="ABSOLUTE SEMANTIC",'19_FEATURE_CONFIDENCE'!$D$35,SQRT((SUMPRODUCT(--('93_TARGET_MEMBERSHIP'!BE$5:BE$27=1),'92_FEATURE_CONF_NUMERIC'!AH$5:AH$27)/MAX(1,COUNTIF('93_TARGET_MEMBERSHIP'!BE$5:BE$27,1)))*(SUMPRODUCT(--('93_TARGET_MEMBERSHIP'!BE$5:BE$27=-1),'92_FEATURE_CONF_NUMERIC'!AH$5:AH$27)/MAX(1,COUNTIF('93_TARGET_MEMBERSHIP'!BE$5:BE$27,-1)))))</f>
        <v/>
      </c>
      <c r="AH60" s="34">
        <f>IF($B60="ABSOLUTE SEMANTIC",'19_FEATURE_CONFIDENCE'!$D$36,SQRT((SUMPRODUCT(--('93_TARGET_MEMBERSHIP'!BE$5:BE$27=1),'92_FEATURE_CONF_NUMERIC'!AI$5:AI$27)/MAX(1,COUNTIF('93_TARGET_MEMBERSHIP'!BE$5:BE$27,1)))*(SUMPRODUCT(--('93_TARGET_MEMBERSHIP'!BE$5:BE$27=-1),'92_FEATURE_CONF_NUMERIC'!AI$5:AI$27)/MAX(1,COUNTIF('93_TARGET_MEMBERSHIP'!BE$5:BE$27,-1)))))</f>
        <v/>
      </c>
      <c r="AI60" s="34">
        <f>IF($B60="ABSOLUTE SEMANTIC",'19_FEATURE_CONFIDENCE'!$D$37,SQRT((SUMPRODUCT(--('93_TARGET_MEMBERSHIP'!BE$5:BE$27=1),'92_FEATURE_CONF_NUMERIC'!AJ$5:AJ$27)/MAX(1,COUNTIF('93_TARGET_MEMBERSHIP'!BE$5:BE$27,1)))*(SUMPRODUCT(--('93_TARGET_MEMBERSHIP'!BE$5:BE$27=-1),'92_FEATURE_CONF_NUMERIC'!AJ$5:AJ$27)/MAX(1,COUNTIF('93_TARGET_MEMBERSHIP'!BE$5:BE$27,-1)))))</f>
        <v/>
      </c>
      <c r="AJ60" s="34">
        <f>IF($B60="ABSOLUTE SEMANTIC",'19_FEATURE_CONFIDENCE'!$D$38,SQRT((SUMPRODUCT(--('93_TARGET_MEMBERSHIP'!BE$5:BE$27=1),'92_FEATURE_CONF_NUMERIC'!AK$5:AK$27)/MAX(1,COUNTIF('93_TARGET_MEMBERSHIP'!BE$5:BE$27,1)))*(SUMPRODUCT(--('93_TARGET_MEMBERSHIP'!BE$5:BE$27=-1),'92_FEATURE_CONF_NUMERIC'!AK$5:AK$27)/MAX(1,COUNTIF('93_TARGET_MEMBERSHIP'!BE$5:BE$27,-1)))))</f>
        <v/>
      </c>
      <c r="AK60" s="34">
        <f>IF($B60="ABSOLUTE SEMANTIC",'19_FEATURE_CONFIDENCE'!$D$39,SQRT((SUMPRODUCT(--('93_TARGET_MEMBERSHIP'!BE$5:BE$27=1),'92_FEATURE_CONF_NUMERIC'!AL$5:AL$27)/MAX(1,COUNTIF('93_TARGET_MEMBERSHIP'!BE$5:BE$27,1)))*(SUMPRODUCT(--('93_TARGET_MEMBERSHIP'!BE$5:BE$27=-1),'92_FEATURE_CONF_NUMERIC'!AL$5:AL$27)/MAX(1,COUNTIF('93_TARGET_MEMBERSHIP'!BE$5:BE$27,-1)))))</f>
        <v/>
      </c>
      <c r="AL60" s="34">
        <f>IF($B60="ABSOLUTE SEMANTIC",'19_FEATURE_CONFIDENCE'!$D$40,SQRT((SUMPRODUCT(--('93_TARGET_MEMBERSHIP'!BE$5:BE$27=1),'92_FEATURE_CONF_NUMERIC'!AM$5:AM$27)/MAX(1,COUNTIF('93_TARGET_MEMBERSHIP'!BE$5:BE$27,1)))*(SUMPRODUCT(--('93_TARGET_MEMBERSHIP'!BE$5:BE$27=-1),'92_FEATURE_CONF_NUMERIC'!AM$5:AM$27)/MAX(1,COUNTIF('93_TARGET_MEMBERSHIP'!BE$5:BE$27,-1)))))</f>
        <v/>
      </c>
      <c r="AM60" s="34">
        <f>IF($B60="ABSOLUTE SEMANTIC",'19_FEATURE_CONFIDENCE'!$D$41,SQRT((SUMPRODUCT(--('93_TARGET_MEMBERSHIP'!BE$5:BE$27=1),'92_FEATURE_CONF_NUMERIC'!AN$5:AN$27)/MAX(1,COUNTIF('93_TARGET_MEMBERSHIP'!BE$5:BE$27,1)))*(SUMPRODUCT(--('93_TARGET_MEMBERSHIP'!BE$5:BE$27=-1),'92_FEATURE_CONF_NUMERIC'!AN$5:AN$27)/MAX(1,COUNTIF('93_TARGET_MEMBERSHIP'!BE$5:BE$27,-1)))))</f>
        <v/>
      </c>
      <c r="AN60" s="34">
        <f>IF($B60="ABSOLUTE SEMANTIC",'19_FEATURE_CONFIDENCE'!$D$42,SQRT((SUMPRODUCT(--('93_TARGET_MEMBERSHIP'!BE$5:BE$27=1),'92_FEATURE_CONF_NUMERIC'!AO$5:AO$27)/MAX(1,COUNTIF('93_TARGET_MEMBERSHIP'!BE$5:BE$27,1)))*(SUMPRODUCT(--('93_TARGET_MEMBERSHIP'!BE$5:BE$27=-1),'92_FEATURE_CONF_NUMERIC'!AO$5:AO$27)/MAX(1,COUNTIF('93_TARGET_MEMBERSHIP'!BE$5:BE$27,-1)))))</f>
        <v/>
      </c>
      <c r="AO60" s="34">
        <f>IF($B60="ABSOLUTE SEMANTIC",'19_FEATURE_CONFIDENCE'!$D$43,SQRT((SUMPRODUCT(--('93_TARGET_MEMBERSHIP'!BE$5:BE$27=1),'92_FEATURE_CONF_NUMERIC'!AP$5:AP$27)/MAX(1,COUNTIF('93_TARGET_MEMBERSHIP'!BE$5:BE$27,1)))*(SUMPRODUCT(--('93_TARGET_MEMBERSHIP'!BE$5:BE$27=-1),'92_FEATURE_CONF_NUMERIC'!AP$5:AP$27)/MAX(1,COUNTIF('93_TARGET_MEMBERSHIP'!BE$5:BE$27,-1)))))</f>
        <v/>
      </c>
      <c r="AP60" s="34">
        <f>IF($B60="ABSOLUTE SEMANTIC",'19_FEATURE_CONFIDENCE'!$D$44,SQRT((SUMPRODUCT(--('93_TARGET_MEMBERSHIP'!BE$5:BE$27=1),'92_FEATURE_CONF_NUMERIC'!AQ$5:AQ$27)/MAX(1,COUNTIF('93_TARGET_MEMBERSHIP'!BE$5:BE$27,1)))*(SUMPRODUCT(--('93_TARGET_MEMBERSHIP'!BE$5:BE$27=-1),'92_FEATURE_CONF_NUMERIC'!AQ$5:AQ$27)/MAX(1,COUNTIF('93_TARGET_MEMBERSHIP'!BE$5:BE$27,-1)))))</f>
        <v/>
      </c>
      <c r="AQ60" s="34">
        <f>IF($B60="ABSOLUTE SEMANTIC",'19_FEATURE_CONFIDENCE'!$D$45,SQRT((SUMPRODUCT(--('93_TARGET_MEMBERSHIP'!BE$5:BE$27=1),'92_FEATURE_CONF_NUMERIC'!AR$5:AR$27)/MAX(1,COUNTIF('93_TARGET_MEMBERSHIP'!BE$5:BE$27,1)))*(SUMPRODUCT(--('93_TARGET_MEMBERSHIP'!BE$5:BE$27=-1),'92_FEATURE_CONF_NUMERIC'!AR$5:AR$27)/MAX(1,COUNTIF('93_TARGET_MEMBERSHIP'!BE$5:BE$27,-1)))))</f>
        <v/>
      </c>
    </row>
    <row r="61" ht="36" customHeight="1">
      <c r="A61" s="34">
        <f>'06_ITEM_POLE_MODEL'!A61</f>
        <v/>
      </c>
      <c r="B61" s="34">
        <f>'06_ITEM_POLE_MODEL'!E61</f>
        <v/>
      </c>
      <c r="C61" s="34">
        <f>IF($B61="ABSOLUTE SEMANTIC",'19_FEATURE_CONFIDENCE'!$D$5,SQRT((SUMPRODUCT(--('93_TARGET_MEMBERSHIP'!BF$5:BF$27=1),'92_FEATURE_CONF_NUMERIC'!D$5:D$27)/MAX(1,COUNTIF('93_TARGET_MEMBERSHIP'!BF$5:BF$27,1)))*(SUMPRODUCT(--('93_TARGET_MEMBERSHIP'!BF$5:BF$27=-1),'92_FEATURE_CONF_NUMERIC'!D$5:D$27)/MAX(1,COUNTIF('93_TARGET_MEMBERSHIP'!BF$5:BF$27,-1)))))</f>
        <v/>
      </c>
      <c r="D61" s="34">
        <f>IF($B61="ABSOLUTE SEMANTIC",'19_FEATURE_CONFIDENCE'!$D$6,SQRT((SUMPRODUCT(--('93_TARGET_MEMBERSHIP'!BF$5:BF$27=1),'92_FEATURE_CONF_NUMERIC'!E$5:E$27)/MAX(1,COUNTIF('93_TARGET_MEMBERSHIP'!BF$5:BF$27,1)))*(SUMPRODUCT(--('93_TARGET_MEMBERSHIP'!BF$5:BF$27=-1),'92_FEATURE_CONF_NUMERIC'!E$5:E$27)/MAX(1,COUNTIF('93_TARGET_MEMBERSHIP'!BF$5:BF$27,-1)))))</f>
        <v/>
      </c>
      <c r="E61" s="34">
        <f>IF($B61="ABSOLUTE SEMANTIC",'19_FEATURE_CONFIDENCE'!$D$7,SQRT((SUMPRODUCT(--('93_TARGET_MEMBERSHIP'!BF$5:BF$27=1),'92_FEATURE_CONF_NUMERIC'!F$5:F$27)/MAX(1,COUNTIF('93_TARGET_MEMBERSHIP'!BF$5:BF$27,1)))*(SUMPRODUCT(--('93_TARGET_MEMBERSHIP'!BF$5:BF$27=-1),'92_FEATURE_CONF_NUMERIC'!F$5:F$27)/MAX(1,COUNTIF('93_TARGET_MEMBERSHIP'!BF$5:BF$27,-1)))))</f>
        <v/>
      </c>
      <c r="F61" s="34">
        <f>IF($B61="ABSOLUTE SEMANTIC",'19_FEATURE_CONFIDENCE'!$D$8,SQRT((SUMPRODUCT(--('93_TARGET_MEMBERSHIP'!BF$5:BF$27=1),'92_FEATURE_CONF_NUMERIC'!G$5:G$27)/MAX(1,COUNTIF('93_TARGET_MEMBERSHIP'!BF$5:BF$27,1)))*(SUMPRODUCT(--('93_TARGET_MEMBERSHIP'!BF$5:BF$27=-1),'92_FEATURE_CONF_NUMERIC'!G$5:G$27)/MAX(1,COUNTIF('93_TARGET_MEMBERSHIP'!BF$5:BF$27,-1)))))</f>
        <v/>
      </c>
      <c r="G61" s="34">
        <f>IF($B61="ABSOLUTE SEMANTIC",'19_FEATURE_CONFIDENCE'!$D$9,SQRT((SUMPRODUCT(--('93_TARGET_MEMBERSHIP'!BF$5:BF$27=1),'92_FEATURE_CONF_NUMERIC'!H$5:H$27)/MAX(1,COUNTIF('93_TARGET_MEMBERSHIP'!BF$5:BF$27,1)))*(SUMPRODUCT(--('93_TARGET_MEMBERSHIP'!BF$5:BF$27=-1),'92_FEATURE_CONF_NUMERIC'!H$5:H$27)/MAX(1,COUNTIF('93_TARGET_MEMBERSHIP'!BF$5:BF$27,-1)))))</f>
        <v/>
      </c>
      <c r="H61" s="34">
        <f>IF($B61="ABSOLUTE SEMANTIC",'19_FEATURE_CONFIDENCE'!$D$10,SQRT((SUMPRODUCT(--('93_TARGET_MEMBERSHIP'!BF$5:BF$27=1),'92_FEATURE_CONF_NUMERIC'!I$5:I$27)/MAX(1,COUNTIF('93_TARGET_MEMBERSHIP'!BF$5:BF$27,1)))*(SUMPRODUCT(--('93_TARGET_MEMBERSHIP'!BF$5:BF$27=-1),'92_FEATURE_CONF_NUMERIC'!I$5:I$27)/MAX(1,COUNTIF('93_TARGET_MEMBERSHIP'!BF$5:BF$27,-1)))))</f>
        <v/>
      </c>
      <c r="I61" s="34">
        <f>IF($B61="ABSOLUTE SEMANTIC",'19_FEATURE_CONFIDENCE'!$D$11,SQRT((SUMPRODUCT(--('93_TARGET_MEMBERSHIP'!BF$5:BF$27=1),'92_FEATURE_CONF_NUMERIC'!J$5:J$27)/MAX(1,COUNTIF('93_TARGET_MEMBERSHIP'!BF$5:BF$27,1)))*(SUMPRODUCT(--('93_TARGET_MEMBERSHIP'!BF$5:BF$27=-1),'92_FEATURE_CONF_NUMERIC'!J$5:J$27)/MAX(1,COUNTIF('93_TARGET_MEMBERSHIP'!BF$5:BF$27,-1)))))</f>
        <v/>
      </c>
      <c r="J61" s="34">
        <f>IF($B61="ABSOLUTE SEMANTIC",'19_FEATURE_CONFIDENCE'!$D$12,SQRT((SUMPRODUCT(--('93_TARGET_MEMBERSHIP'!BF$5:BF$27=1),'92_FEATURE_CONF_NUMERIC'!K$5:K$27)/MAX(1,COUNTIF('93_TARGET_MEMBERSHIP'!BF$5:BF$27,1)))*(SUMPRODUCT(--('93_TARGET_MEMBERSHIP'!BF$5:BF$27=-1),'92_FEATURE_CONF_NUMERIC'!K$5:K$27)/MAX(1,COUNTIF('93_TARGET_MEMBERSHIP'!BF$5:BF$27,-1)))))</f>
        <v/>
      </c>
      <c r="K61" s="34">
        <f>IF($B61="ABSOLUTE SEMANTIC",'19_FEATURE_CONFIDENCE'!$D$13,SQRT((SUMPRODUCT(--('93_TARGET_MEMBERSHIP'!BF$5:BF$27=1),'92_FEATURE_CONF_NUMERIC'!L$5:L$27)/MAX(1,COUNTIF('93_TARGET_MEMBERSHIP'!BF$5:BF$27,1)))*(SUMPRODUCT(--('93_TARGET_MEMBERSHIP'!BF$5:BF$27=-1),'92_FEATURE_CONF_NUMERIC'!L$5:L$27)/MAX(1,COUNTIF('93_TARGET_MEMBERSHIP'!BF$5:BF$27,-1)))))</f>
        <v/>
      </c>
      <c r="L61" s="34">
        <f>IF($B61="ABSOLUTE SEMANTIC",'19_FEATURE_CONFIDENCE'!$D$14,SQRT((SUMPRODUCT(--('93_TARGET_MEMBERSHIP'!BF$5:BF$27=1),'92_FEATURE_CONF_NUMERIC'!M$5:M$27)/MAX(1,COUNTIF('93_TARGET_MEMBERSHIP'!BF$5:BF$27,1)))*(SUMPRODUCT(--('93_TARGET_MEMBERSHIP'!BF$5:BF$27=-1),'92_FEATURE_CONF_NUMERIC'!M$5:M$27)/MAX(1,COUNTIF('93_TARGET_MEMBERSHIP'!BF$5:BF$27,-1)))))</f>
        <v/>
      </c>
      <c r="M61" s="34">
        <f>IF($B61="ABSOLUTE SEMANTIC",'19_FEATURE_CONFIDENCE'!$D$15,SQRT((SUMPRODUCT(--('93_TARGET_MEMBERSHIP'!BF$5:BF$27=1),'92_FEATURE_CONF_NUMERIC'!N$5:N$27)/MAX(1,COUNTIF('93_TARGET_MEMBERSHIP'!BF$5:BF$27,1)))*(SUMPRODUCT(--('93_TARGET_MEMBERSHIP'!BF$5:BF$27=-1),'92_FEATURE_CONF_NUMERIC'!N$5:N$27)/MAX(1,COUNTIF('93_TARGET_MEMBERSHIP'!BF$5:BF$27,-1)))))</f>
        <v/>
      </c>
      <c r="N61" s="34">
        <f>IF($B61="ABSOLUTE SEMANTIC",'19_FEATURE_CONFIDENCE'!$D$16,SQRT((SUMPRODUCT(--('93_TARGET_MEMBERSHIP'!BF$5:BF$27=1),'92_FEATURE_CONF_NUMERIC'!O$5:O$27)/MAX(1,COUNTIF('93_TARGET_MEMBERSHIP'!BF$5:BF$27,1)))*(SUMPRODUCT(--('93_TARGET_MEMBERSHIP'!BF$5:BF$27=-1),'92_FEATURE_CONF_NUMERIC'!O$5:O$27)/MAX(1,COUNTIF('93_TARGET_MEMBERSHIP'!BF$5:BF$27,-1)))))</f>
        <v/>
      </c>
      <c r="O61" s="34">
        <f>IF($B61="ABSOLUTE SEMANTIC",'19_FEATURE_CONFIDENCE'!$D$17,SQRT((SUMPRODUCT(--('93_TARGET_MEMBERSHIP'!BF$5:BF$27=1),'92_FEATURE_CONF_NUMERIC'!P$5:P$27)/MAX(1,COUNTIF('93_TARGET_MEMBERSHIP'!BF$5:BF$27,1)))*(SUMPRODUCT(--('93_TARGET_MEMBERSHIP'!BF$5:BF$27=-1),'92_FEATURE_CONF_NUMERIC'!P$5:P$27)/MAX(1,COUNTIF('93_TARGET_MEMBERSHIP'!BF$5:BF$27,-1)))))</f>
        <v/>
      </c>
      <c r="P61" s="34">
        <f>IF($B61="ABSOLUTE SEMANTIC",'19_FEATURE_CONFIDENCE'!$D$18,SQRT((SUMPRODUCT(--('93_TARGET_MEMBERSHIP'!BF$5:BF$27=1),'92_FEATURE_CONF_NUMERIC'!Q$5:Q$27)/MAX(1,COUNTIF('93_TARGET_MEMBERSHIP'!BF$5:BF$27,1)))*(SUMPRODUCT(--('93_TARGET_MEMBERSHIP'!BF$5:BF$27=-1),'92_FEATURE_CONF_NUMERIC'!Q$5:Q$27)/MAX(1,COUNTIF('93_TARGET_MEMBERSHIP'!BF$5:BF$27,-1)))))</f>
        <v/>
      </c>
      <c r="Q61" s="34">
        <f>IF($B61="ABSOLUTE SEMANTIC",'19_FEATURE_CONFIDENCE'!$D$19,SQRT((SUMPRODUCT(--('93_TARGET_MEMBERSHIP'!BF$5:BF$27=1),'92_FEATURE_CONF_NUMERIC'!R$5:R$27)/MAX(1,COUNTIF('93_TARGET_MEMBERSHIP'!BF$5:BF$27,1)))*(SUMPRODUCT(--('93_TARGET_MEMBERSHIP'!BF$5:BF$27=-1),'92_FEATURE_CONF_NUMERIC'!R$5:R$27)/MAX(1,COUNTIF('93_TARGET_MEMBERSHIP'!BF$5:BF$27,-1)))))</f>
        <v/>
      </c>
      <c r="R61" s="34">
        <f>IF($B61="ABSOLUTE SEMANTIC",'19_FEATURE_CONFIDENCE'!$D$20,SQRT((SUMPRODUCT(--('93_TARGET_MEMBERSHIP'!BF$5:BF$27=1),'92_FEATURE_CONF_NUMERIC'!S$5:S$27)/MAX(1,COUNTIF('93_TARGET_MEMBERSHIP'!BF$5:BF$27,1)))*(SUMPRODUCT(--('93_TARGET_MEMBERSHIP'!BF$5:BF$27=-1),'92_FEATURE_CONF_NUMERIC'!S$5:S$27)/MAX(1,COUNTIF('93_TARGET_MEMBERSHIP'!BF$5:BF$27,-1)))))</f>
        <v/>
      </c>
      <c r="S61" s="34">
        <f>IF($B61="ABSOLUTE SEMANTIC",'19_FEATURE_CONFIDENCE'!$D$21,SQRT((SUMPRODUCT(--('93_TARGET_MEMBERSHIP'!BF$5:BF$27=1),'92_FEATURE_CONF_NUMERIC'!T$5:T$27)/MAX(1,COUNTIF('93_TARGET_MEMBERSHIP'!BF$5:BF$27,1)))*(SUMPRODUCT(--('93_TARGET_MEMBERSHIP'!BF$5:BF$27=-1),'92_FEATURE_CONF_NUMERIC'!T$5:T$27)/MAX(1,COUNTIF('93_TARGET_MEMBERSHIP'!BF$5:BF$27,-1)))))</f>
        <v/>
      </c>
      <c r="T61" s="34">
        <f>IF($B61="ABSOLUTE SEMANTIC",'19_FEATURE_CONFIDENCE'!$D$22,SQRT((SUMPRODUCT(--('93_TARGET_MEMBERSHIP'!BF$5:BF$27=1),'92_FEATURE_CONF_NUMERIC'!U$5:U$27)/MAX(1,COUNTIF('93_TARGET_MEMBERSHIP'!BF$5:BF$27,1)))*(SUMPRODUCT(--('93_TARGET_MEMBERSHIP'!BF$5:BF$27=-1),'92_FEATURE_CONF_NUMERIC'!U$5:U$27)/MAX(1,COUNTIF('93_TARGET_MEMBERSHIP'!BF$5:BF$27,-1)))))</f>
        <v/>
      </c>
      <c r="U61" s="34">
        <f>IF($B61="ABSOLUTE SEMANTIC",'19_FEATURE_CONFIDENCE'!$D$23,SQRT((SUMPRODUCT(--('93_TARGET_MEMBERSHIP'!BF$5:BF$27=1),'92_FEATURE_CONF_NUMERIC'!V$5:V$27)/MAX(1,COUNTIF('93_TARGET_MEMBERSHIP'!BF$5:BF$27,1)))*(SUMPRODUCT(--('93_TARGET_MEMBERSHIP'!BF$5:BF$27=-1),'92_FEATURE_CONF_NUMERIC'!V$5:V$27)/MAX(1,COUNTIF('93_TARGET_MEMBERSHIP'!BF$5:BF$27,-1)))))</f>
        <v/>
      </c>
      <c r="V61" s="34">
        <f>IF($B61="ABSOLUTE SEMANTIC",'19_FEATURE_CONFIDENCE'!$D$24,SQRT((SUMPRODUCT(--('93_TARGET_MEMBERSHIP'!BF$5:BF$27=1),'92_FEATURE_CONF_NUMERIC'!W$5:W$27)/MAX(1,COUNTIF('93_TARGET_MEMBERSHIP'!BF$5:BF$27,1)))*(SUMPRODUCT(--('93_TARGET_MEMBERSHIP'!BF$5:BF$27=-1),'92_FEATURE_CONF_NUMERIC'!W$5:W$27)/MAX(1,COUNTIF('93_TARGET_MEMBERSHIP'!BF$5:BF$27,-1)))))</f>
        <v/>
      </c>
      <c r="W61" s="34">
        <f>IF($B61="ABSOLUTE SEMANTIC",'19_FEATURE_CONFIDENCE'!$D$25,SQRT((SUMPRODUCT(--('93_TARGET_MEMBERSHIP'!BF$5:BF$27=1),'92_FEATURE_CONF_NUMERIC'!X$5:X$27)/MAX(1,COUNTIF('93_TARGET_MEMBERSHIP'!BF$5:BF$27,1)))*(SUMPRODUCT(--('93_TARGET_MEMBERSHIP'!BF$5:BF$27=-1),'92_FEATURE_CONF_NUMERIC'!X$5:X$27)/MAX(1,COUNTIF('93_TARGET_MEMBERSHIP'!BF$5:BF$27,-1)))))</f>
        <v/>
      </c>
      <c r="X61" s="34">
        <f>IF($B61="ABSOLUTE SEMANTIC",'19_FEATURE_CONFIDENCE'!$D$26,SQRT((SUMPRODUCT(--('93_TARGET_MEMBERSHIP'!BF$5:BF$27=1),'92_FEATURE_CONF_NUMERIC'!Y$5:Y$27)/MAX(1,COUNTIF('93_TARGET_MEMBERSHIP'!BF$5:BF$27,1)))*(SUMPRODUCT(--('93_TARGET_MEMBERSHIP'!BF$5:BF$27=-1),'92_FEATURE_CONF_NUMERIC'!Y$5:Y$27)/MAX(1,COUNTIF('93_TARGET_MEMBERSHIP'!BF$5:BF$27,-1)))))</f>
        <v/>
      </c>
      <c r="Y61" s="34">
        <f>IF($B61="ABSOLUTE SEMANTIC",'19_FEATURE_CONFIDENCE'!$D$27,SQRT((SUMPRODUCT(--('93_TARGET_MEMBERSHIP'!BF$5:BF$27=1),'92_FEATURE_CONF_NUMERIC'!Z$5:Z$27)/MAX(1,COUNTIF('93_TARGET_MEMBERSHIP'!BF$5:BF$27,1)))*(SUMPRODUCT(--('93_TARGET_MEMBERSHIP'!BF$5:BF$27=-1),'92_FEATURE_CONF_NUMERIC'!Z$5:Z$27)/MAX(1,COUNTIF('93_TARGET_MEMBERSHIP'!BF$5:BF$27,-1)))))</f>
        <v/>
      </c>
      <c r="Z61" s="34">
        <f>IF($B61="ABSOLUTE SEMANTIC",'19_FEATURE_CONFIDENCE'!$D$28,SQRT((SUMPRODUCT(--('93_TARGET_MEMBERSHIP'!BF$5:BF$27=1),'92_FEATURE_CONF_NUMERIC'!AA$5:AA$27)/MAX(1,COUNTIF('93_TARGET_MEMBERSHIP'!BF$5:BF$27,1)))*(SUMPRODUCT(--('93_TARGET_MEMBERSHIP'!BF$5:BF$27=-1),'92_FEATURE_CONF_NUMERIC'!AA$5:AA$27)/MAX(1,COUNTIF('93_TARGET_MEMBERSHIP'!BF$5:BF$27,-1)))))</f>
        <v/>
      </c>
      <c r="AA61" s="34">
        <f>IF($B61="ABSOLUTE SEMANTIC",'19_FEATURE_CONFIDENCE'!$D$29,SQRT((SUMPRODUCT(--('93_TARGET_MEMBERSHIP'!BF$5:BF$27=1),'92_FEATURE_CONF_NUMERIC'!AB$5:AB$27)/MAX(1,COUNTIF('93_TARGET_MEMBERSHIP'!BF$5:BF$27,1)))*(SUMPRODUCT(--('93_TARGET_MEMBERSHIP'!BF$5:BF$27=-1),'92_FEATURE_CONF_NUMERIC'!AB$5:AB$27)/MAX(1,COUNTIF('93_TARGET_MEMBERSHIP'!BF$5:BF$27,-1)))))</f>
        <v/>
      </c>
      <c r="AB61" s="34">
        <f>IF($B61="ABSOLUTE SEMANTIC",'19_FEATURE_CONFIDENCE'!$D$30,SQRT((SUMPRODUCT(--('93_TARGET_MEMBERSHIP'!BF$5:BF$27=1),'92_FEATURE_CONF_NUMERIC'!AC$5:AC$27)/MAX(1,COUNTIF('93_TARGET_MEMBERSHIP'!BF$5:BF$27,1)))*(SUMPRODUCT(--('93_TARGET_MEMBERSHIP'!BF$5:BF$27=-1),'92_FEATURE_CONF_NUMERIC'!AC$5:AC$27)/MAX(1,COUNTIF('93_TARGET_MEMBERSHIP'!BF$5:BF$27,-1)))))</f>
        <v/>
      </c>
      <c r="AC61" s="34">
        <f>IF($B61="ABSOLUTE SEMANTIC",'19_FEATURE_CONFIDENCE'!$D$31,SQRT((SUMPRODUCT(--('93_TARGET_MEMBERSHIP'!BF$5:BF$27=1),'92_FEATURE_CONF_NUMERIC'!AD$5:AD$27)/MAX(1,COUNTIF('93_TARGET_MEMBERSHIP'!BF$5:BF$27,1)))*(SUMPRODUCT(--('93_TARGET_MEMBERSHIP'!BF$5:BF$27=-1),'92_FEATURE_CONF_NUMERIC'!AD$5:AD$27)/MAX(1,COUNTIF('93_TARGET_MEMBERSHIP'!BF$5:BF$27,-1)))))</f>
        <v/>
      </c>
      <c r="AD61" s="34">
        <f>IF($B61="ABSOLUTE SEMANTIC",'19_FEATURE_CONFIDENCE'!$D$32,SQRT((SUMPRODUCT(--('93_TARGET_MEMBERSHIP'!BF$5:BF$27=1),'92_FEATURE_CONF_NUMERIC'!AE$5:AE$27)/MAX(1,COUNTIF('93_TARGET_MEMBERSHIP'!BF$5:BF$27,1)))*(SUMPRODUCT(--('93_TARGET_MEMBERSHIP'!BF$5:BF$27=-1),'92_FEATURE_CONF_NUMERIC'!AE$5:AE$27)/MAX(1,COUNTIF('93_TARGET_MEMBERSHIP'!BF$5:BF$27,-1)))))</f>
        <v/>
      </c>
      <c r="AE61" s="34">
        <f>IF($B61="ABSOLUTE SEMANTIC",'19_FEATURE_CONFIDENCE'!$D$33,SQRT((SUMPRODUCT(--('93_TARGET_MEMBERSHIP'!BF$5:BF$27=1),'92_FEATURE_CONF_NUMERIC'!AF$5:AF$27)/MAX(1,COUNTIF('93_TARGET_MEMBERSHIP'!BF$5:BF$27,1)))*(SUMPRODUCT(--('93_TARGET_MEMBERSHIP'!BF$5:BF$27=-1),'92_FEATURE_CONF_NUMERIC'!AF$5:AF$27)/MAX(1,COUNTIF('93_TARGET_MEMBERSHIP'!BF$5:BF$27,-1)))))</f>
        <v/>
      </c>
      <c r="AF61" s="34">
        <f>IF($B61="ABSOLUTE SEMANTIC",'19_FEATURE_CONFIDENCE'!$D$34,SQRT((SUMPRODUCT(--('93_TARGET_MEMBERSHIP'!BF$5:BF$27=1),'92_FEATURE_CONF_NUMERIC'!AG$5:AG$27)/MAX(1,COUNTIF('93_TARGET_MEMBERSHIP'!BF$5:BF$27,1)))*(SUMPRODUCT(--('93_TARGET_MEMBERSHIP'!BF$5:BF$27=-1),'92_FEATURE_CONF_NUMERIC'!AG$5:AG$27)/MAX(1,COUNTIF('93_TARGET_MEMBERSHIP'!BF$5:BF$27,-1)))))</f>
        <v/>
      </c>
      <c r="AG61" s="34">
        <f>IF($B61="ABSOLUTE SEMANTIC",'19_FEATURE_CONFIDENCE'!$D$35,SQRT((SUMPRODUCT(--('93_TARGET_MEMBERSHIP'!BF$5:BF$27=1),'92_FEATURE_CONF_NUMERIC'!AH$5:AH$27)/MAX(1,COUNTIF('93_TARGET_MEMBERSHIP'!BF$5:BF$27,1)))*(SUMPRODUCT(--('93_TARGET_MEMBERSHIP'!BF$5:BF$27=-1),'92_FEATURE_CONF_NUMERIC'!AH$5:AH$27)/MAX(1,COUNTIF('93_TARGET_MEMBERSHIP'!BF$5:BF$27,-1)))))</f>
        <v/>
      </c>
      <c r="AH61" s="34">
        <f>IF($B61="ABSOLUTE SEMANTIC",'19_FEATURE_CONFIDENCE'!$D$36,SQRT((SUMPRODUCT(--('93_TARGET_MEMBERSHIP'!BF$5:BF$27=1),'92_FEATURE_CONF_NUMERIC'!AI$5:AI$27)/MAX(1,COUNTIF('93_TARGET_MEMBERSHIP'!BF$5:BF$27,1)))*(SUMPRODUCT(--('93_TARGET_MEMBERSHIP'!BF$5:BF$27=-1),'92_FEATURE_CONF_NUMERIC'!AI$5:AI$27)/MAX(1,COUNTIF('93_TARGET_MEMBERSHIP'!BF$5:BF$27,-1)))))</f>
        <v/>
      </c>
      <c r="AI61" s="34">
        <f>IF($B61="ABSOLUTE SEMANTIC",'19_FEATURE_CONFIDENCE'!$D$37,SQRT((SUMPRODUCT(--('93_TARGET_MEMBERSHIP'!BF$5:BF$27=1),'92_FEATURE_CONF_NUMERIC'!AJ$5:AJ$27)/MAX(1,COUNTIF('93_TARGET_MEMBERSHIP'!BF$5:BF$27,1)))*(SUMPRODUCT(--('93_TARGET_MEMBERSHIP'!BF$5:BF$27=-1),'92_FEATURE_CONF_NUMERIC'!AJ$5:AJ$27)/MAX(1,COUNTIF('93_TARGET_MEMBERSHIP'!BF$5:BF$27,-1)))))</f>
        <v/>
      </c>
      <c r="AJ61" s="34">
        <f>IF($B61="ABSOLUTE SEMANTIC",'19_FEATURE_CONFIDENCE'!$D$38,SQRT((SUMPRODUCT(--('93_TARGET_MEMBERSHIP'!BF$5:BF$27=1),'92_FEATURE_CONF_NUMERIC'!AK$5:AK$27)/MAX(1,COUNTIF('93_TARGET_MEMBERSHIP'!BF$5:BF$27,1)))*(SUMPRODUCT(--('93_TARGET_MEMBERSHIP'!BF$5:BF$27=-1),'92_FEATURE_CONF_NUMERIC'!AK$5:AK$27)/MAX(1,COUNTIF('93_TARGET_MEMBERSHIP'!BF$5:BF$27,-1)))))</f>
        <v/>
      </c>
      <c r="AK61" s="34">
        <f>IF($B61="ABSOLUTE SEMANTIC",'19_FEATURE_CONFIDENCE'!$D$39,SQRT((SUMPRODUCT(--('93_TARGET_MEMBERSHIP'!BF$5:BF$27=1),'92_FEATURE_CONF_NUMERIC'!AL$5:AL$27)/MAX(1,COUNTIF('93_TARGET_MEMBERSHIP'!BF$5:BF$27,1)))*(SUMPRODUCT(--('93_TARGET_MEMBERSHIP'!BF$5:BF$27=-1),'92_FEATURE_CONF_NUMERIC'!AL$5:AL$27)/MAX(1,COUNTIF('93_TARGET_MEMBERSHIP'!BF$5:BF$27,-1)))))</f>
        <v/>
      </c>
      <c r="AL61" s="34">
        <f>IF($B61="ABSOLUTE SEMANTIC",'19_FEATURE_CONFIDENCE'!$D$40,SQRT((SUMPRODUCT(--('93_TARGET_MEMBERSHIP'!BF$5:BF$27=1),'92_FEATURE_CONF_NUMERIC'!AM$5:AM$27)/MAX(1,COUNTIF('93_TARGET_MEMBERSHIP'!BF$5:BF$27,1)))*(SUMPRODUCT(--('93_TARGET_MEMBERSHIP'!BF$5:BF$27=-1),'92_FEATURE_CONF_NUMERIC'!AM$5:AM$27)/MAX(1,COUNTIF('93_TARGET_MEMBERSHIP'!BF$5:BF$27,-1)))))</f>
        <v/>
      </c>
      <c r="AM61" s="34">
        <f>IF($B61="ABSOLUTE SEMANTIC",'19_FEATURE_CONFIDENCE'!$D$41,SQRT((SUMPRODUCT(--('93_TARGET_MEMBERSHIP'!BF$5:BF$27=1),'92_FEATURE_CONF_NUMERIC'!AN$5:AN$27)/MAX(1,COUNTIF('93_TARGET_MEMBERSHIP'!BF$5:BF$27,1)))*(SUMPRODUCT(--('93_TARGET_MEMBERSHIP'!BF$5:BF$27=-1),'92_FEATURE_CONF_NUMERIC'!AN$5:AN$27)/MAX(1,COUNTIF('93_TARGET_MEMBERSHIP'!BF$5:BF$27,-1)))))</f>
        <v/>
      </c>
      <c r="AN61" s="34">
        <f>IF($B61="ABSOLUTE SEMANTIC",'19_FEATURE_CONFIDENCE'!$D$42,SQRT((SUMPRODUCT(--('93_TARGET_MEMBERSHIP'!BF$5:BF$27=1),'92_FEATURE_CONF_NUMERIC'!AO$5:AO$27)/MAX(1,COUNTIF('93_TARGET_MEMBERSHIP'!BF$5:BF$27,1)))*(SUMPRODUCT(--('93_TARGET_MEMBERSHIP'!BF$5:BF$27=-1),'92_FEATURE_CONF_NUMERIC'!AO$5:AO$27)/MAX(1,COUNTIF('93_TARGET_MEMBERSHIP'!BF$5:BF$27,-1)))))</f>
        <v/>
      </c>
      <c r="AO61" s="34">
        <f>IF($B61="ABSOLUTE SEMANTIC",'19_FEATURE_CONFIDENCE'!$D$43,SQRT((SUMPRODUCT(--('93_TARGET_MEMBERSHIP'!BF$5:BF$27=1),'92_FEATURE_CONF_NUMERIC'!AP$5:AP$27)/MAX(1,COUNTIF('93_TARGET_MEMBERSHIP'!BF$5:BF$27,1)))*(SUMPRODUCT(--('93_TARGET_MEMBERSHIP'!BF$5:BF$27=-1),'92_FEATURE_CONF_NUMERIC'!AP$5:AP$27)/MAX(1,COUNTIF('93_TARGET_MEMBERSHIP'!BF$5:BF$27,-1)))))</f>
        <v/>
      </c>
      <c r="AP61" s="34">
        <f>IF($B61="ABSOLUTE SEMANTIC",'19_FEATURE_CONFIDENCE'!$D$44,SQRT((SUMPRODUCT(--('93_TARGET_MEMBERSHIP'!BF$5:BF$27=1),'92_FEATURE_CONF_NUMERIC'!AQ$5:AQ$27)/MAX(1,COUNTIF('93_TARGET_MEMBERSHIP'!BF$5:BF$27,1)))*(SUMPRODUCT(--('93_TARGET_MEMBERSHIP'!BF$5:BF$27=-1),'92_FEATURE_CONF_NUMERIC'!AQ$5:AQ$27)/MAX(1,COUNTIF('93_TARGET_MEMBERSHIP'!BF$5:BF$27,-1)))))</f>
        <v/>
      </c>
      <c r="AQ61" s="34">
        <f>IF($B61="ABSOLUTE SEMANTIC",'19_FEATURE_CONFIDENCE'!$D$45,SQRT((SUMPRODUCT(--('93_TARGET_MEMBERSHIP'!BF$5:BF$27=1),'92_FEATURE_CONF_NUMERIC'!AR$5:AR$27)/MAX(1,COUNTIF('93_TARGET_MEMBERSHIP'!BF$5:BF$27,1)))*(SUMPRODUCT(--('93_TARGET_MEMBERSHIP'!BF$5:BF$27=-1),'92_FEATURE_CONF_NUMERIC'!AR$5:AR$27)/MAX(1,COUNTIF('93_TARGET_MEMBERSHIP'!BF$5:BF$27,-1)))))</f>
        <v/>
      </c>
    </row>
    <row r="62" ht="36" customHeight="1">
      <c r="A62" s="34">
        <f>'06_ITEM_POLE_MODEL'!A62</f>
        <v/>
      </c>
      <c r="B62" s="34">
        <f>'06_ITEM_POLE_MODEL'!E62</f>
        <v/>
      </c>
      <c r="C62" s="34">
        <f>IF($B62="ABSOLUTE SEMANTIC",'19_FEATURE_CONFIDENCE'!$D$5,SQRT((SUMPRODUCT(--('93_TARGET_MEMBERSHIP'!BG$5:BG$27=1),'92_FEATURE_CONF_NUMERIC'!D$5:D$27)/MAX(1,COUNTIF('93_TARGET_MEMBERSHIP'!BG$5:BG$27,1)))*(SUMPRODUCT(--('93_TARGET_MEMBERSHIP'!BG$5:BG$27=-1),'92_FEATURE_CONF_NUMERIC'!D$5:D$27)/MAX(1,COUNTIF('93_TARGET_MEMBERSHIP'!BG$5:BG$27,-1)))))</f>
        <v/>
      </c>
      <c r="D62" s="34">
        <f>IF($B62="ABSOLUTE SEMANTIC",'19_FEATURE_CONFIDENCE'!$D$6,SQRT((SUMPRODUCT(--('93_TARGET_MEMBERSHIP'!BG$5:BG$27=1),'92_FEATURE_CONF_NUMERIC'!E$5:E$27)/MAX(1,COUNTIF('93_TARGET_MEMBERSHIP'!BG$5:BG$27,1)))*(SUMPRODUCT(--('93_TARGET_MEMBERSHIP'!BG$5:BG$27=-1),'92_FEATURE_CONF_NUMERIC'!E$5:E$27)/MAX(1,COUNTIF('93_TARGET_MEMBERSHIP'!BG$5:BG$27,-1)))))</f>
        <v/>
      </c>
      <c r="E62" s="34">
        <f>IF($B62="ABSOLUTE SEMANTIC",'19_FEATURE_CONFIDENCE'!$D$7,SQRT((SUMPRODUCT(--('93_TARGET_MEMBERSHIP'!BG$5:BG$27=1),'92_FEATURE_CONF_NUMERIC'!F$5:F$27)/MAX(1,COUNTIF('93_TARGET_MEMBERSHIP'!BG$5:BG$27,1)))*(SUMPRODUCT(--('93_TARGET_MEMBERSHIP'!BG$5:BG$27=-1),'92_FEATURE_CONF_NUMERIC'!F$5:F$27)/MAX(1,COUNTIF('93_TARGET_MEMBERSHIP'!BG$5:BG$27,-1)))))</f>
        <v/>
      </c>
      <c r="F62" s="34">
        <f>IF($B62="ABSOLUTE SEMANTIC",'19_FEATURE_CONFIDENCE'!$D$8,SQRT((SUMPRODUCT(--('93_TARGET_MEMBERSHIP'!BG$5:BG$27=1),'92_FEATURE_CONF_NUMERIC'!G$5:G$27)/MAX(1,COUNTIF('93_TARGET_MEMBERSHIP'!BG$5:BG$27,1)))*(SUMPRODUCT(--('93_TARGET_MEMBERSHIP'!BG$5:BG$27=-1),'92_FEATURE_CONF_NUMERIC'!G$5:G$27)/MAX(1,COUNTIF('93_TARGET_MEMBERSHIP'!BG$5:BG$27,-1)))))</f>
        <v/>
      </c>
      <c r="G62" s="34">
        <f>IF($B62="ABSOLUTE SEMANTIC",'19_FEATURE_CONFIDENCE'!$D$9,SQRT((SUMPRODUCT(--('93_TARGET_MEMBERSHIP'!BG$5:BG$27=1),'92_FEATURE_CONF_NUMERIC'!H$5:H$27)/MAX(1,COUNTIF('93_TARGET_MEMBERSHIP'!BG$5:BG$27,1)))*(SUMPRODUCT(--('93_TARGET_MEMBERSHIP'!BG$5:BG$27=-1),'92_FEATURE_CONF_NUMERIC'!H$5:H$27)/MAX(1,COUNTIF('93_TARGET_MEMBERSHIP'!BG$5:BG$27,-1)))))</f>
        <v/>
      </c>
      <c r="H62" s="34">
        <f>IF($B62="ABSOLUTE SEMANTIC",'19_FEATURE_CONFIDENCE'!$D$10,SQRT((SUMPRODUCT(--('93_TARGET_MEMBERSHIP'!BG$5:BG$27=1),'92_FEATURE_CONF_NUMERIC'!I$5:I$27)/MAX(1,COUNTIF('93_TARGET_MEMBERSHIP'!BG$5:BG$27,1)))*(SUMPRODUCT(--('93_TARGET_MEMBERSHIP'!BG$5:BG$27=-1),'92_FEATURE_CONF_NUMERIC'!I$5:I$27)/MAX(1,COUNTIF('93_TARGET_MEMBERSHIP'!BG$5:BG$27,-1)))))</f>
        <v/>
      </c>
      <c r="I62" s="34">
        <f>IF($B62="ABSOLUTE SEMANTIC",'19_FEATURE_CONFIDENCE'!$D$11,SQRT((SUMPRODUCT(--('93_TARGET_MEMBERSHIP'!BG$5:BG$27=1),'92_FEATURE_CONF_NUMERIC'!J$5:J$27)/MAX(1,COUNTIF('93_TARGET_MEMBERSHIP'!BG$5:BG$27,1)))*(SUMPRODUCT(--('93_TARGET_MEMBERSHIP'!BG$5:BG$27=-1),'92_FEATURE_CONF_NUMERIC'!J$5:J$27)/MAX(1,COUNTIF('93_TARGET_MEMBERSHIP'!BG$5:BG$27,-1)))))</f>
        <v/>
      </c>
      <c r="J62" s="34">
        <f>IF($B62="ABSOLUTE SEMANTIC",'19_FEATURE_CONFIDENCE'!$D$12,SQRT((SUMPRODUCT(--('93_TARGET_MEMBERSHIP'!BG$5:BG$27=1),'92_FEATURE_CONF_NUMERIC'!K$5:K$27)/MAX(1,COUNTIF('93_TARGET_MEMBERSHIP'!BG$5:BG$27,1)))*(SUMPRODUCT(--('93_TARGET_MEMBERSHIP'!BG$5:BG$27=-1),'92_FEATURE_CONF_NUMERIC'!K$5:K$27)/MAX(1,COUNTIF('93_TARGET_MEMBERSHIP'!BG$5:BG$27,-1)))))</f>
        <v/>
      </c>
      <c r="K62" s="34">
        <f>IF($B62="ABSOLUTE SEMANTIC",'19_FEATURE_CONFIDENCE'!$D$13,SQRT((SUMPRODUCT(--('93_TARGET_MEMBERSHIP'!BG$5:BG$27=1),'92_FEATURE_CONF_NUMERIC'!L$5:L$27)/MAX(1,COUNTIF('93_TARGET_MEMBERSHIP'!BG$5:BG$27,1)))*(SUMPRODUCT(--('93_TARGET_MEMBERSHIP'!BG$5:BG$27=-1),'92_FEATURE_CONF_NUMERIC'!L$5:L$27)/MAX(1,COUNTIF('93_TARGET_MEMBERSHIP'!BG$5:BG$27,-1)))))</f>
        <v/>
      </c>
      <c r="L62" s="34">
        <f>IF($B62="ABSOLUTE SEMANTIC",'19_FEATURE_CONFIDENCE'!$D$14,SQRT((SUMPRODUCT(--('93_TARGET_MEMBERSHIP'!BG$5:BG$27=1),'92_FEATURE_CONF_NUMERIC'!M$5:M$27)/MAX(1,COUNTIF('93_TARGET_MEMBERSHIP'!BG$5:BG$27,1)))*(SUMPRODUCT(--('93_TARGET_MEMBERSHIP'!BG$5:BG$27=-1),'92_FEATURE_CONF_NUMERIC'!M$5:M$27)/MAX(1,COUNTIF('93_TARGET_MEMBERSHIP'!BG$5:BG$27,-1)))))</f>
        <v/>
      </c>
      <c r="M62" s="34">
        <f>IF($B62="ABSOLUTE SEMANTIC",'19_FEATURE_CONFIDENCE'!$D$15,SQRT((SUMPRODUCT(--('93_TARGET_MEMBERSHIP'!BG$5:BG$27=1),'92_FEATURE_CONF_NUMERIC'!N$5:N$27)/MAX(1,COUNTIF('93_TARGET_MEMBERSHIP'!BG$5:BG$27,1)))*(SUMPRODUCT(--('93_TARGET_MEMBERSHIP'!BG$5:BG$27=-1),'92_FEATURE_CONF_NUMERIC'!N$5:N$27)/MAX(1,COUNTIF('93_TARGET_MEMBERSHIP'!BG$5:BG$27,-1)))))</f>
        <v/>
      </c>
      <c r="N62" s="34">
        <f>IF($B62="ABSOLUTE SEMANTIC",'19_FEATURE_CONFIDENCE'!$D$16,SQRT((SUMPRODUCT(--('93_TARGET_MEMBERSHIP'!BG$5:BG$27=1),'92_FEATURE_CONF_NUMERIC'!O$5:O$27)/MAX(1,COUNTIF('93_TARGET_MEMBERSHIP'!BG$5:BG$27,1)))*(SUMPRODUCT(--('93_TARGET_MEMBERSHIP'!BG$5:BG$27=-1),'92_FEATURE_CONF_NUMERIC'!O$5:O$27)/MAX(1,COUNTIF('93_TARGET_MEMBERSHIP'!BG$5:BG$27,-1)))))</f>
        <v/>
      </c>
      <c r="O62" s="34">
        <f>IF($B62="ABSOLUTE SEMANTIC",'19_FEATURE_CONFIDENCE'!$D$17,SQRT((SUMPRODUCT(--('93_TARGET_MEMBERSHIP'!BG$5:BG$27=1),'92_FEATURE_CONF_NUMERIC'!P$5:P$27)/MAX(1,COUNTIF('93_TARGET_MEMBERSHIP'!BG$5:BG$27,1)))*(SUMPRODUCT(--('93_TARGET_MEMBERSHIP'!BG$5:BG$27=-1),'92_FEATURE_CONF_NUMERIC'!P$5:P$27)/MAX(1,COUNTIF('93_TARGET_MEMBERSHIP'!BG$5:BG$27,-1)))))</f>
        <v/>
      </c>
      <c r="P62" s="34">
        <f>IF($B62="ABSOLUTE SEMANTIC",'19_FEATURE_CONFIDENCE'!$D$18,SQRT((SUMPRODUCT(--('93_TARGET_MEMBERSHIP'!BG$5:BG$27=1),'92_FEATURE_CONF_NUMERIC'!Q$5:Q$27)/MAX(1,COUNTIF('93_TARGET_MEMBERSHIP'!BG$5:BG$27,1)))*(SUMPRODUCT(--('93_TARGET_MEMBERSHIP'!BG$5:BG$27=-1),'92_FEATURE_CONF_NUMERIC'!Q$5:Q$27)/MAX(1,COUNTIF('93_TARGET_MEMBERSHIP'!BG$5:BG$27,-1)))))</f>
        <v/>
      </c>
      <c r="Q62" s="34">
        <f>IF($B62="ABSOLUTE SEMANTIC",'19_FEATURE_CONFIDENCE'!$D$19,SQRT((SUMPRODUCT(--('93_TARGET_MEMBERSHIP'!BG$5:BG$27=1),'92_FEATURE_CONF_NUMERIC'!R$5:R$27)/MAX(1,COUNTIF('93_TARGET_MEMBERSHIP'!BG$5:BG$27,1)))*(SUMPRODUCT(--('93_TARGET_MEMBERSHIP'!BG$5:BG$27=-1),'92_FEATURE_CONF_NUMERIC'!R$5:R$27)/MAX(1,COUNTIF('93_TARGET_MEMBERSHIP'!BG$5:BG$27,-1)))))</f>
        <v/>
      </c>
      <c r="R62" s="34">
        <f>IF($B62="ABSOLUTE SEMANTIC",'19_FEATURE_CONFIDENCE'!$D$20,SQRT((SUMPRODUCT(--('93_TARGET_MEMBERSHIP'!BG$5:BG$27=1),'92_FEATURE_CONF_NUMERIC'!S$5:S$27)/MAX(1,COUNTIF('93_TARGET_MEMBERSHIP'!BG$5:BG$27,1)))*(SUMPRODUCT(--('93_TARGET_MEMBERSHIP'!BG$5:BG$27=-1),'92_FEATURE_CONF_NUMERIC'!S$5:S$27)/MAX(1,COUNTIF('93_TARGET_MEMBERSHIP'!BG$5:BG$27,-1)))))</f>
        <v/>
      </c>
      <c r="S62" s="34">
        <f>IF($B62="ABSOLUTE SEMANTIC",'19_FEATURE_CONFIDENCE'!$D$21,SQRT((SUMPRODUCT(--('93_TARGET_MEMBERSHIP'!BG$5:BG$27=1),'92_FEATURE_CONF_NUMERIC'!T$5:T$27)/MAX(1,COUNTIF('93_TARGET_MEMBERSHIP'!BG$5:BG$27,1)))*(SUMPRODUCT(--('93_TARGET_MEMBERSHIP'!BG$5:BG$27=-1),'92_FEATURE_CONF_NUMERIC'!T$5:T$27)/MAX(1,COUNTIF('93_TARGET_MEMBERSHIP'!BG$5:BG$27,-1)))))</f>
        <v/>
      </c>
      <c r="T62" s="34">
        <f>IF($B62="ABSOLUTE SEMANTIC",'19_FEATURE_CONFIDENCE'!$D$22,SQRT((SUMPRODUCT(--('93_TARGET_MEMBERSHIP'!BG$5:BG$27=1),'92_FEATURE_CONF_NUMERIC'!U$5:U$27)/MAX(1,COUNTIF('93_TARGET_MEMBERSHIP'!BG$5:BG$27,1)))*(SUMPRODUCT(--('93_TARGET_MEMBERSHIP'!BG$5:BG$27=-1),'92_FEATURE_CONF_NUMERIC'!U$5:U$27)/MAX(1,COUNTIF('93_TARGET_MEMBERSHIP'!BG$5:BG$27,-1)))))</f>
        <v/>
      </c>
      <c r="U62" s="34">
        <f>IF($B62="ABSOLUTE SEMANTIC",'19_FEATURE_CONFIDENCE'!$D$23,SQRT((SUMPRODUCT(--('93_TARGET_MEMBERSHIP'!BG$5:BG$27=1),'92_FEATURE_CONF_NUMERIC'!V$5:V$27)/MAX(1,COUNTIF('93_TARGET_MEMBERSHIP'!BG$5:BG$27,1)))*(SUMPRODUCT(--('93_TARGET_MEMBERSHIP'!BG$5:BG$27=-1),'92_FEATURE_CONF_NUMERIC'!V$5:V$27)/MAX(1,COUNTIF('93_TARGET_MEMBERSHIP'!BG$5:BG$27,-1)))))</f>
        <v/>
      </c>
      <c r="V62" s="34">
        <f>IF($B62="ABSOLUTE SEMANTIC",'19_FEATURE_CONFIDENCE'!$D$24,SQRT((SUMPRODUCT(--('93_TARGET_MEMBERSHIP'!BG$5:BG$27=1),'92_FEATURE_CONF_NUMERIC'!W$5:W$27)/MAX(1,COUNTIF('93_TARGET_MEMBERSHIP'!BG$5:BG$27,1)))*(SUMPRODUCT(--('93_TARGET_MEMBERSHIP'!BG$5:BG$27=-1),'92_FEATURE_CONF_NUMERIC'!W$5:W$27)/MAX(1,COUNTIF('93_TARGET_MEMBERSHIP'!BG$5:BG$27,-1)))))</f>
        <v/>
      </c>
      <c r="W62" s="34">
        <f>IF($B62="ABSOLUTE SEMANTIC",'19_FEATURE_CONFIDENCE'!$D$25,SQRT((SUMPRODUCT(--('93_TARGET_MEMBERSHIP'!BG$5:BG$27=1),'92_FEATURE_CONF_NUMERIC'!X$5:X$27)/MAX(1,COUNTIF('93_TARGET_MEMBERSHIP'!BG$5:BG$27,1)))*(SUMPRODUCT(--('93_TARGET_MEMBERSHIP'!BG$5:BG$27=-1),'92_FEATURE_CONF_NUMERIC'!X$5:X$27)/MAX(1,COUNTIF('93_TARGET_MEMBERSHIP'!BG$5:BG$27,-1)))))</f>
        <v/>
      </c>
      <c r="X62" s="34">
        <f>IF($B62="ABSOLUTE SEMANTIC",'19_FEATURE_CONFIDENCE'!$D$26,SQRT((SUMPRODUCT(--('93_TARGET_MEMBERSHIP'!BG$5:BG$27=1),'92_FEATURE_CONF_NUMERIC'!Y$5:Y$27)/MAX(1,COUNTIF('93_TARGET_MEMBERSHIP'!BG$5:BG$27,1)))*(SUMPRODUCT(--('93_TARGET_MEMBERSHIP'!BG$5:BG$27=-1),'92_FEATURE_CONF_NUMERIC'!Y$5:Y$27)/MAX(1,COUNTIF('93_TARGET_MEMBERSHIP'!BG$5:BG$27,-1)))))</f>
        <v/>
      </c>
      <c r="Y62" s="34">
        <f>IF($B62="ABSOLUTE SEMANTIC",'19_FEATURE_CONFIDENCE'!$D$27,SQRT((SUMPRODUCT(--('93_TARGET_MEMBERSHIP'!BG$5:BG$27=1),'92_FEATURE_CONF_NUMERIC'!Z$5:Z$27)/MAX(1,COUNTIF('93_TARGET_MEMBERSHIP'!BG$5:BG$27,1)))*(SUMPRODUCT(--('93_TARGET_MEMBERSHIP'!BG$5:BG$27=-1),'92_FEATURE_CONF_NUMERIC'!Z$5:Z$27)/MAX(1,COUNTIF('93_TARGET_MEMBERSHIP'!BG$5:BG$27,-1)))))</f>
        <v/>
      </c>
      <c r="Z62" s="34">
        <f>IF($B62="ABSOLUTE SEMANTIC",'19_FEATURE_CONFIDENCE'!$D$28,SQRT((SUMPRODUCT(--('93_TARGET_MEMBERSHIP'!BG$5:BG$27=1),'92_FEATURE_CONF_NUMERIC'!AA$5:AA$27)/MAX(1,COUNTIF('93_TARGET_MEMBERSHIP'!BG$5:BG$27,1)))*(SUMPRODUCT(--('93_TARGET_MEMBERSHIP'!BG$5:BG$27=-1),'92_FEATURE_CONF_NUMERIC'!AA$5:AA$27)/MAX(1,COUNTIF('93_TARGET_MEMBERSHIP'!BG$5:BG$27,-1)))))</f>
        <v/>
      </c>
      <c r="AA62" s="34">
        <f>IF($B62="ABSOLUTE SEMANTIC",'19_FEATURE_CONFIDENCE'!$D$29,SQRT((SUMPRODUCT(--('93_TARGET_MEMBERSHIP'!BG$5:BG$27=1),'92_FEATURE_CONF_NUMERIC'!AB$5:AB$27)/MAX(1,COUNTIF('93_TARGET_MEMBERSHIP'!BG$5:BG$27,1)))*(SUMPRODUCT(--('93_TARGET_MEMBERSHIP'!BG$5:BG$27=-1),'92_FEATURE_CONF_NUMERIC'!AB$5:AB$27)/MAX(1,COUNTIF('93_TARGET_MEMBERSHIP'!BG$5:BG$27,-1)))))</f>
        <v/>
      </c>
      <c r="AB62" s="34">
        <f>IF($B62="ABSOLUTE SEMANTIC",'19_FEATURE_CONFIDENCE'!$D$30,SQRT((SUMPRODUCT(--('93_TARGET_MEMBERSHIP'!BG$5:BG$27=1),'92_FEATURE_CONF_NUMERIC'!AC$5:AC$27)/MAX(1,COUNTIF('93_TARGET_MEMBERSHIP'!BG$5:BG$27,1)))*(SUMPRODUCT(--('93_TARGET_MEMBERSHIP'!BG$5:BG$27=-1),'92_FEATURE_CONF_NUMERIC'!AC$5:AC$27)/MAX(1,COUNTIF('93_TARGET_MEMBERSHIP'!BG$5:BG$27,-1)))))</f>
        <v/>
      </c>
      <c r="AC62" s="34">
        <f>IF($B62="ABSOLUTE SEMANTIC",'19_FEATURE_CONFIDENCE'!$D$31,SQRT((SUMPRODUCT(--('93_TARGET_MEMBERSHIP'!BG$5:BG$27=1),'92_FEATURE_CONF_NUMERIC'!AD$5:AD$27)/MAX(1,COUNTIF('93_TARGET_MEMBERSHIP'!BG$5:BG$27,1)))*(SUMPRODUCT(--('93_TARGET_MEMBERSHIP'!BG$5:BG$27=-1),'92_FEATURE_CONF_NUMERIC'!AD$5:AD$27)/MAX(1,COUNTIF('93_TARGET_MEMBERSHIP'!BG$5:BG$27,-1)))))</f>
        <v/>
      </c>
      <c r="AD62" s="34">
        <f>IF($B62="ABSOLUTE SEMANTIC",'19_FEATURE_CONFIDENCE'!$D$32,SQRT((SUMPRODUCT(--('93_TARGET_MEMBERSHIP'!BG$5:BG$27=1),'92_FEATURE_CONF_NUMERIC'!AE$5:AE$27)/MAX(1,COUNTIF('93_TARGET_MEMBERSHIP'!BG$5:BG$27,1)))*(SUMPRODUCT(--('93_TARGET_MEMBERSHIP'!BG$5:BG$27=-1),'92_FEATURE_CONF_NUMERIC'!AE$5:AE$27)/MAX(1,COUNTIF('93_TARGET_MEMBERSHIP'!BG$5:BG$27,-1)))))</f>
        <v/>
      </c>
      <c r="AE62" s="34">
        <f>IF($B62="ABSOLUTE SEMANTIC",'19_FEATURE_CONFIDENCE'!$D$33,SQRT((SUMPRODUCT(--('93_TARGET_MEMBERSHIP'!BG$5:BG$27=1),'92_FEATURE_CONF_NUMERIC'!AF$5:AF$27)/MAX(1,COUNTIF('93_TARGET_MEMBERSHIP'!BG$5:BG$27,1)))*(SUMPRODUCT(--('93_TARGET_MEMBERSHIP'!BG$5:BG$27=-1),'92_FEATURE_CONF_NUMERIC'!AF$5:AF$27)/MAX(1,COUNTIF('93_TARGET_MEMBERSHIP'!BG$5:BG$27,-1)))))</f>
        <v/>
      </c>
      <c r="AF62" s="34">
        <f>IF($B62="ABSOLUTE SEMANTIC",'19_FEATURE_CONFIDENCE'!$D$34,SQRT((SUMPRODUCT(--('93_TARGET_MEMBERSHIP'!BG$5:BG$27=1),'92_FEATURE_CONF_NUMERIC'!AG$5:AG$27)/MAX(1,COUNTIF('93_TARGET_MEMBERSHIP'!BG$5:BG$27,1)))*(SUMPRODUCT(--('93_TARGET_MEMBERSHIP'!BG$5:BG$27=-1),'92_FEATURE_CONF_NUMERIC'!AG$5:AG$27)/MAX(1,COUNTIF('93_TARGET_MEMBERSHIP'!BG$5:BG$27,-1)))))</f>
        <v/>
      </c>
      <c r="AG62" s="34">
        <f>IF($B62="ABSOLUTE SEMANTIC",'19_FEATURE_CONFIDENCE'!$D$35,SQRT((SUMPRODUCT(--('93_TARGET_MEMBERSHIP'!BG$5:BG$27=1),'92_FEATURE_CONF_NUMERIC'!AH$5:AH$27)/MAX(1,COUNTIF('93_TARGET_MEMBERSHIP'!BG$5:BG$27,1)))*(SUMPRODUCT(--('93_TARGET_MEMBERSHIP'!BG$5:BG$27=-1),'92_FEATURE_CONF_NUMERIC'!AH$5:AH$27)/MAX(1,COUNTIF('93_TARGET_MEMBERSHIP'!BG$5:BG$27,-1)))))</f>
        <v/>
      </c>
      <c r="AH62" s="34">
        <f>IF($B62="ABSOLUTE SEMANTIC",'19_FEATURE_CONFIDENCE'!$D$36,SQRT((SUMPRODUCT(--('93_TARGET_MEMBERSHIP'!BG$5:BG$27=1),'92_FEATURE_CONF_NUMERIC'!AI$5:AI$27)/MAX(1,COUNTIF('93_TARGET_MEMBERSHIP'!BG$5:BG$27,1)))*(SUMPRODUCT(--('93_TARGET_MEMBERSHIP'!BG$5:BG$27=-1),'92_FEATURE_CONF_NUMERIC'!AI$5:AI$27)/MAX(1,COUNTIF('93_TARGET_MEMBERSHIP'!BG$5:BG$27,-1)))))</f>
        <v/>
      </c>
      <c r="AI62" s="34">
        <f>IF($B62="ABSOLUTE SEMANTIC",'19_FEATURE_CONFIDENCE'!$D$37,SQRT((SUMPRODUCT(--('93_TARGET_MEMBERSHIP'!BG$5:BG$27=1),'92_FEATURE_CONF_NUMERIC'!AJ$5:AJ$27)/MAX(1,COUNTIF('93_TARGET_MEMBERSHIP'!BG$5:BG$27,1)))*(SUMPRODUCT(--('93_TARGET_MEMBERSHIP'!BG$5:BG$27=-1),'92_FEATURE_CONF_NUMERIC'!AJ$5:AJ$27)/MAX(1,COUNTIF('93_TARGET_MEMBERSHIP'!BG$5:BG$27,-1)))))</f>
        <v/>
      </c>
      <c r="AJ62" s="34">
        <f>IF($B62="ABSOLUTE SEMANTIC",'19_FEATURE_CONFIDENCE'!$D$38,SQRT((SUMPRODUCT(--('93_TARGET_MEMBERSHIP'!BG$5:BG$27=1),'92_FEATURE_CONF_NUMERIC'!AK$5:AK$27)/MAX(1,COUNTIF('93_TARGET_MEMBERSHIP'!BG$5:BG$27,1)))*(SUMPRODUCT(--('93_TARGET_MEMBERSHIP'!BG$5:BG$27=-1),'92_FEATURE_CONF_NUMERIC'!AK$5:AK$27)/MAX(1,COUNTIF('93_TARGET_MEMBERSHIP'!BG$5:BG$27,-1)))))</f>
        <v/>
      </c>
      <c r="AK62" s="34">
        <f>IF($B62="ABSOLUTE SEMANTIC",'19_FEATURE_CONFIDENCE'!$D$39,SQRT((SUMPRODUCT(--('93_TARGET_MEMBERSHIP'!BG$5:BG$27=1),'92_FEATURE_CONF_NUMERIC'!AL$5:AL$27)/MAX(1,COUNTIF('93_TARGET_MEMBERSHIP'!BG$5:BG$27,1)))*(SUMPRODUCT(--('93_TARGET_MEMBERSHIP'!BG$5:BG$27=-1),'92_FEATURE_CONF_NUMERIC'!AL$5:AL$27)/MAX(1,COUNTIF('93_TARGET_MEMBERSHIP'!BG$5:BG$27,-1)))))</f>
        <v/>
      </c>
      <c r="AL62" s="34">
        <f>IF($B62="ABSOLUTE SEMANTIC",'19_FEATURE_CONFIDENCE'!$D$40,SQRT((SUMPRODUCT(--('93_TARGET_MEMBERSHIP'!BG$5:BG$27=1),'92_FEATURE_CONF_NUMERIC'!AM$5:AM$27)/MAX(1,COUNTIF('93_TARGET_MEMBERSHIP'!BG$5:BG$27,1)))*(SUMPRODUCT(--('93_TARGET_MEMBERSHIP'!BG$5:BG$27=-1),'92_FEATURE_CONF_NUMERIC'!AM$5:AM$27)/MAX(1,COUNTIF('93_TARGET_MEMBERSHIP'!BG$5:BG$27,-1)))))</f>
        <v/>
      </c>
      <c r="AM62" s="34">
        <f>IF($B62="ABSOLUTE SEMANTIC",'19_FEATURE_CONFIDENCE'!$D$41,SQRT((SUMPRODUCT(--('93_TARGET_MEMBERSHIP'!BG$5:BG$27=1),'92_FEATURE_CONF_NUMERIC'!AN$5:AN$27)/MAX(1,COUNTIF('93_TARGET_MEMBERSHIP'!BG$5:BG$27,1)))*(SUMPRODUCT(--('93_TARGET_MEMBERSHIP'!BG$5:BG$27=-1),'92_FEATURE_CONF_NUMERIC'!AN$5:AN$27)/MAX(1,COUNTIF('93_TARGET_MEMBERSHIP'!BG$5:BG$27,-1)))))</f>
        <v/>
      </c>
      <c r="AN62" s="34">
        <f>IF($B62="ABSOLUTE SEMANTIC",'19_FEATURE_CONFIDENCE'!$D$42,SQRT((SUMPRODUCT(--('93_TARGET_MEMBERSHIP'!BG$5:BG$27=1),'92_FEATURE_CONF_NUMERIC'!AO$5:AO$27)/MAX(1,COUNTIF('93_TARGET_MEMBERSHIP'!BG$5:BG$27,1)))*(SUMPRODUCT(--('93_TARGET_MEMBERSHIP'!BG$5:BG$27=-1),'92_FEATURE_CONF_NUMERIC'!AO$5:AO$27)/MAX(1,COUNTIF('93_TARGET_MEMBERSHIP'!BG$5:BG$27,-1)))))</f>
        <v/>
      </c>
      <c r="AO62" s="34">
        <f>IF($B62="ABSOLUTE SEMANTIC",'19_FEATURE_CONFIDENCE'!$D$43,SQRT((SUMPRODUCT(--('93_TARGET_MEMBERSHIP'!BG$5:BG$27=1),'92_FEATURE_CONF_NUMERIC'!AP$5:AP$27)/MAX(1,COUNTIF('93_TARGET_MEMBERSHIP'!BG$5:BG$27,1)))*(SUMPRODUCT(--('93_TARGET_MEMBERSHIP'!BG$5:BG$27=-1),'92_FEATURE_CONF_NUMERIC'!AP$5:AP$27)/MAX(1,COUNTIF('93_TARGET_MEMBERSHIP'!BG$5:BG$27,-1)))))</f>
        <v/>
      </c>
      <c r="AP62" s="34">
        <f>IF($B62="ABSOLUTE SEMANTIC",'19_FEATURE_CONFIDENCE'!$D$44,SQRT((SUMPRODUCT(--('93_TARGET_MEMBERSHIP'!BG$5:BG$27=1),'92_FEATURE_CONF_NUMERIC'!AQ$5:AQ$27)/MAX(1,COUNTIF('93_TARGET_MEMBERSHIP'!BG$5:BG$27,1)))*(SUMPRODUCT(--('93_TARGET_MEMBERSHIP'!BG$5:BG$27=-1),'92_FEATURE_CONF_NUMERIC'!AQ$5:AQ$27)/MAX(1,COUNTIF('93_TARGET_MEMBERSHIP'!BG$5:BG$27,-1)))))</f>
        <v/>
      </c>
      <c r="AQ62" s="34">
        <f>IF($B62="ABSOLUTE SEMANTIC",'19_FEATURE_CONFIDENCE'!$D$45,SQRT((SUMPRODUCT(--('93_TARGET_MEMBERSHIP'!BG$5:BG$27=1),'92_FEATURE_CONF_NUMERIC'!AR$5:AR$27)/MAX(1,COUNTIF('93_TARGET_MEMBERSHIP'!BG$5:BG$27,1)))*(SUMPRODUCT(--('93_TARGET_MEMBERSHIP'!BG$5:BG$27=-1),'92_FEATURE_CONF_NUMERIC'!AR$5:AR$27)/MAX(1,COUNTIF('93_TARGET_MEMBERSHIP'!BG$5:BG$27,-1)))))</f>
        <v/>
      </c>
    </row>
    <row r="63" ht="36" customHeight="1">
      <c r="A63" s="34">
        <f>'06_ITEM_POLE_MODEL'!A63</f>
        <v/>
      </c>
      <c r="B63" s="34">
        <f>'06_ITEM_POLE_MODEL'!E63</f>
        <v/>
      </c>
      <c r="C63" s="34">
        <f>IF($B63="ABSOLUTE SEMANTIC",'19_FEATURE_CONFIDENCE'!$D$5,SQRT((SUMPRODUCT(--('93_TARGET_MEMBERSHIP'!BH$5:BH$27=1),'92_FEATURE_CONF_NUMERIC'!D$5:D$27)/MAX(1,COUNTIF('93_TARGET_MEMBERSHIP'!BH$5:BH$27,1)))*(SUMPRODUCT(--('93_TARGET_MEMBERSHIP'!BH$5:BH$27=-1),'92_FEATURE_CONF_NUMERIC'!D$5:D$27)/MAX(1,COUNTIF('93_TARGET_MEMBERSHIP'!BH$5:BH$27,-1)))))</f>
        <v/>
      </c>
      <c r="D63" s="34">
        <f>IF($B63="ABSOLUTE SEMANTIC",'19_FEATURE_CONFIDENCE'!$D$6,SQRT((SUMPRODUCT(--('93_TARGET_MEMBERSHIP'!BH$5:BH$27=1),'92_FEATURE_CONF_NUMERIC'!E$5:E$27)/MAX(1,COUNTIF('93_TARGET_MEMBERSHIP'!BH$5:BH$27,1)))*(SUMPRODUCT(--('93_TARGET_MEMBERSHIP'!BH$5:BH$27=-1),'92_FEATURE_CONF_NUMERIC'!E$5:E$27)/MAX(1,COUNTIF('93_TARGET_MEMBERSHIP'!BH$5:BH$27,-1)))))</f>
        <v/>
      </c>
      <c r="E63" s="34">
        <f>IF($B63="ABSOLUTE SEMANTIC",'19_FEATURE_CONFIDENCE'!$D$7,SQRT((SUMPRODUCT(--('93_TARGET_MEMBERSHIP'!BH$5:BH$27=1),'92_FEATURE_CONF_NUMERIC'!F$5:F$27)/MAX(1,COUNTIF('93_TARGET_MEMBERSHIP'!BH$5:BH$27,1)))*(SUMPRODUCT(--('93_TARGET_MEMBERSHIP'!BH$5:BH$27=-1),'92_FEATURE_CONF_NUMERIC'!F$5:F$27)/MAX(1,COUNTIF('93_TARGET_MEMBERSHIP'!BH$5:BH$27,-1)))))</f>
        <v/>
      </c>
      <c r="F63" s="34">
        <f>IF($B63="ABSOLUTE SEMANTIC",'19_FEATURE_CONFIDENCE'!$D$8,SQRT((SUMPRODUCT(--('93_TARGET_MEMBERSHIP'!BH$5:BH$27=1),'92_FEATURE_CONF_NUMERIC'!G$5:G$27)/MAX(1,COUNTIF('93_TARGET_MEMBERSHIP'!BH$5:BH$27,1)))*(SUMPRODUCT(--('93_TARGET_MEMBERSHIP'!BH$5:BH$27=-1),'92_FEATURE_CONF_NUMERIC'!G$5:G$27)/MAX(1,COUNTIF('93_TARGET_MEMBERSHIP'!BH$5:BH$27,-1)))))</f>
        <v/>
      </c>
      <c r="G63" s="34">
        <f>IF($B63="ABSOLUTE SEMANTIC",'19_FEATURE_CONFIDENCE'!$D$9,SQRT((SUMPRODUCT(--('93_TARGET_MEMBERSHIP'!BH$5:BH$27=1),'92_FEATURE_CONF_NUMERIC'!H$5:H$27)/MAX(1,COUNTIF('93_TARGET_MEMBERSHIP'!BH$5:BH$27,1)))*(SUMPRODUCT(--('93_TARGET_MEMBERSHIP'!BH$5:BH$27=-1),'92_FEATURE_CONF_NUMERIC'!H$5:H$27)/MAX(1,COUNTIF('93_TARGET_MEMBERSHIP'!BH$5:BH$27,-1)))))</f>
        <v/>
      </c>
      <c r="H63" s="34">
        <f>IF($B63="ABSOLUTE SEMANTIC",'19_FEATURE_CONFIDENCE'!$D$10,SQRT((SUMPRODUCT(--('93_TARGET_MEMBERSHIP'!BH$5:BH$27=1),'92_FEATURE_CONF_NUMERIC'!I$5:I$27)/MAX(1,COUNTIF('93_TARGET_MEMBERSHIP'!BH$5:BH$27,1)))*(SUMPRODUCT(--('93_TARGET_MEMBERSHIP'!BH$5:BH$27=-1),'92_FEATURE_CONF_NUMERIC'!I$5:I$27)/MAX(1,COUNTIF('93_TARGET_MEMBERSHIP'!BH$5:BH$27,-1)))))</f>
        <v/>
      </c>
      <c r="I63" s="34">
        <f>IF($B63="ABSOLUTE SEMANTIC",'19_FEATURE_CONFIDENCE'!$D$11,SQRT((SUMPRODUCT(--('93_TARGET_MEMBERSHIP'!BH$5:BH$27=1),'92_FEATURE_CONF_NUMERIC'!J$5:J$27)/MAX(1,COUNTIF('93_TARGET_MEMBERSHIP'!BH$5:BH$27,1)))*(SUMPRODUCT(--('93_TARGET_MEMBERSHIP'!BH$5:BH$27=-1),'92_FEATURE_CONF_NUMERIC'!J$5:J$27)/MAX(1,COUNTIF('93_TARGET_MEMBERSHIP'!BH$5:BH$27,-1)))))</f>
        <v/>
      </c>
      <c r="J63" s="34">
        <f>IF($B63="ABSOLUTE SEMANTIC",'19_FEATURE_CONFIDENCE'!$D$12,SQRT((SUMPRODUCT(--('93_TARGET_MEMBERSHIP'!BH$5:BH$27=1),'92_FEATURE_CONF_NUMERIC'!K$5:K$27)/MAX(1,COUNTIF('93_TARGET_MEMBERSHIP'!BH$5:BH$27,1)))*(SUMPRODUCT(--('93_TARGET_MEMBERSHIP'!BH$5:BH$27=-1),'92_FEATURE_CONF_NUMERIC'!K$5:K$27)/MAX(1,COUNTIF('93_TARGET_MEMBERSHIP'!BH$5:BH$27,-1)))))</f>
        <v/>
      </c>
      <c r="K63" s="34">
        <f>IF($B63="ABSOLUTE SEMANTIC",'19_FEATURE_CONFIDENCE'!$D$13,SQRT((SUMPRODUCT(--('93_TARGET_MEMBERSHIP'!BH$5:BH$27=1),'92_FEATURE_CONF_NUMERIC'!L$5:L$27)/MAX(1,COUNTIF('93_TARGET_MEMBERSHIP'!BH$5:BH$27,1)))*(SUMPRODUCT(--('93_TARGET_MEMBERSHIP'!BH$5:BH$27=-1),'92_FEATURE_CONF_NUMERIC'!L$5:L$27)/MAX(1,COUNTIF('93_TARGET_MEMBERSHIP'!BH$5:BH$27,-1)))))</f>
        <v/>
      </c>
      <c r="L63" s="34">
        <f>IF($B63="ABSOLUTE SEMANTIC",'19_FEATURE_CONFIDENCE'!$D$14,SQRT((SUMPRODUCT(--('93_TARGET_MEMBERSHIP'!BH$5:BH$27=1),'92_FEATURE_CONF_NUMERIC'!M$5:M$27)/MAX(1,COUNTIF('93_TARGET_MEMBERSHIP'!BH$5:BH$27,1)))*(SUMPRODUCT(--('93_TARGET_MEMBERSHIP'!BH$5:BH$27=-1),'92_FEATURE_CONF_NUMERIC'!M$5:M$27)/MAX(1,COUNTIF('93_TARGET_MEMBERSHIP'!BH$5:BH$27,-1)))))</f>
        <v/>
      </c>
      <c r="M63" s="34">
        <f>IF($B63="ABSOLUTE SEMANTIC",'19_FEATURE_CONFIDENCE'!$D$15,SQRT((SUMPRODUCT(--('93_TARGET_MEMBERSHIP'!BH$5:BH$27=1),'92_FEATURE_CONF_NUMERIC'!N$5:N$27)/MAX(1,COUNTIF('93_TARGET_MEMBERSHIP'!BH$5:BH$27,1)))*(SUMPRODUCT(--('93_TARGET_MEMBERSHIP'!BH$5:BH$27=-1),'92_FEATURE_CONF_NUMERIC'!N$5:N$27)/MAX(1,COUNTIF('93_TARGET_MEMBERSHIP'!BH$5:BH$27,-1)))))</f>
        <v/>
      </c>
      <c r="N63" s="34">
        <f>IF($B63="ABSOLUTE SEMANTIC",'19_FEATURE_CONFIDENCE'!$D$16,SQRT((SUMPRODUCT(--('93_TARGET_MEMBERSHIP'!BH$5:BH$27=1),'92_FEATURE_CONF_NUMERIC'!O$5:O$27)/MAX(1,COUNTIF('93_TARGET_MEMBERSHIP'!BH$5:BH$27,1)))*(SUMPRODUCT(--('93_TARGET_MEMBERSHIP'!BH$5:BH$27=-1),'92_FEATURE_CONF_NUMERIC'!O$5:O$27)/MAX(1,COUNTIF('93_TARGET_MEMBERSHIP'!BH$5:BH$27,-1)))))</f>
        <v/>
      </c>
      <c r="O63" s="34">
        <f>IF($B63="ABSOLUTE SEMANTIC",'19_FEATURE_CONFIDENCE'!$D$17,SQRT((SUMPRODUCT(--('93_TARGET_MEMBERSHIP'!BH$5:BH$27=1),'92_FEATURE_CONF_NUMERIC'!P$5:P$27)/MAX(1,COUNTIF('93_TARGET_MEMBERSHIP'!BH$5:BH$27,1)))*(SUMPRODUCT(--('93_TARGET_MEMBERSHIP'!BH$5:BH$27=-1),'92_FEATURE_CONF_NUMERIC'!P$5:P$27)/MAX(1,COUNTIF('93_TARGET_MEMBERSHIP'!BH$5:BH$27,-1)))))</f>
        <v/>
      </c>
      <c r="P63" s="34">
        <f>IF($B63="ABSOLUTE SEMANTIC",'19_FEATURE_CONFIDENCE'!$D$18,SQRT((SUMPRODUCT(--('93_TARGET_MEMBERSHIP'!BH$5:BH$27=1),'92_FEATURE_CONF_NUMERIC'!Q$5:Q$27)/MAX(1,COUNTIF('93_TARGET_MEMBERSHIP'!BH$5:BH$27,1)))*(SUMPRODUCT(--('93_TARGET_MEMBERSHIP'!BH$5:BH$27=-1),'92_FEATURE_CONF_NUMERIC'!Q$5:Q$27)/MAX(1,COUNTIF('93_TARGET_MEMBERSHIP'!BH$5:BH$27,-1)))))</f>
        <v/>
      </c>
      <c r="Q63" s="34">
        <f>IF($B63="ABSOLUTE SEMANTIC",'19_FEATURE_CONFIDENCE'!$D$19,SQRT((SUMPRODUCT(--('93_TARGET_MEMBERSHIP'!BH$5:BH$27=1),'92_FEATURE_CONF_NUMERIC'!R$5:R$27)/MAX(1,COUNTIF('93_TARGET_MEMBERSHIP'!BH$5:BH$27,1)))*(SUMPRODUCT(--('93_TARGET_MEMBERSHIP'!BH$5:BH$27=-1),'92_FEATURE_CONF_NUMERIC'!R$5:R$27)/MAX(1,COUNTIF('93_TARGET_MEMBERSHIP'!BH$5:BH$27,-1)))))</f>
        <v/>
      </c>
      <c r="R63" s="34">
        <f>IF($B63="ABSOLUTE SEMANTIC",'19_FEATURE_CONFIDENCE'!$D$20,SQRT((SUMPRODUCT(--('93_TARGET_MEMBERSHIP'!BH$5:BH$27=1),'92_FEATURE_CONF_NUMERIC'!S$5:S$27)/MAX(1,COUNTIF('93_TARGET_MEMBERSHIP'!BH$5:BH$27,1)))*(SUMPRODUCT(--('93_TARGET_MEMBERSHIP'!BH$5:BH$27=-1),'92_FEATURE_CONF_NUMERIC'!S$5:S$27)/MAX(1,COUNTIF('93_TARGET_MEMBERSHIP'!BH$5:BH$27,-1)))))</f>
        <v/>
      </c>
      <c r="S63" s="34">
        <f>IF($B63="ABSOLUTE SEMANTIC",'19_FEATURE_CONFIDENCE'!$D$21,SQRT((SUMPRODUCT(--('93_TARGET_MEMBERSHIP'!BH$5:BH$27=1),'92_FEATURE_CONF_NUMERIC'!T$5:T$27)/MAX(1,COUNTIF('93_TARGET_MEMBERSHIP'!BH$5:BH$27,1)))*(SUMPRODUCT(--('93_TARGET_MEMBERSHIP'!BH$5:BH$27=-1),'92_FEATURE_CONF_NUMERIC'!T$5:T$27)/MAX(1,COUNTIF('93_TARGET_MEMBERSHIP'!BH$5:BH$27,-1)))))</f>
        <v/>
      </c>
      <c r="T63" s="34">
        <f>IF($B63="ABSOLUTE SEMANTIC",'19_FEATURE_CONFIDENCE'!$D$22,SQRT((SUMPRODUCT(--('93_TARGET_MEMBERSHIP'!BH$5:BH$27=1),'92_FEATURE_CONF_NUMERIC'!U$5:U$27)/MAX(1,COUNTIF('93_TARGET_MEMBERSHIP'!BH$5:BH$27,1)))*(SUMPRODUCT(--('93_TARGET_MEMBERSHIP'!BH$5:BH$27=-1),'92_FEATURE_CONF_NUMERIC'!U$5:U$27)/MAX(1,COUNTIF('93_TARGET_MEMBERSHIP'!BH$5:BH$27,-1)))))</f>
        <v/>
      </c>
      <c r="U63" s="34">
        <f>IF($B63="ABSOLUTE SEMANTIC",'19_FEATURE_CONFIDENCE'!$D$23,SQRT((SUMPRODUCT(--('93_TARGET_MEMBERSHIP'!BH$5:BH$27=1),'92_FEATURE_CONF_NUMERIC'!V$5:V$27)/MAX(1,COUNTIF('93_TARGET_MEMBERSHIP'!BH$5:BH$27,1)))*(SUMPRODUCT(--('93_TARGET_MEMBERSHIP'!BH$5:BH$27=-1),'92_FEATURE_CONF_NUMERIC'!V$5:V$27)/MAX(1,COUNTIF('93_TARGET_MEMBERSHIP'!BH$5:BH$27,-1)))))</f>
        <v/>
      </c>
      <c r="V63" s="34">
        <f>IF($B63="ABSOLUTE SEMANTIC",'19_FEATURE_CONFIDENCE'!$D$24,SQRT((SUMPRODUCT(--('93_TARGET_MEMBERSHIP'!BH$5:BH$27=1),'92_FEATURE_CONF_NUMERIC'!W$5:W$27)/MAX(1,COUNTIF('93_TARGET_MEMBERSHIP'!BH$5:BH$27,1)))*(SUMPRODUCT(--('93_TARGET_MEMBERSHIP'!BH$5:BH$27=-1),'92_FEATURE_CONF_NUMERIC'!W$5:W$27)/MAX(1,COUNTIF('93_TARGET_MEMBERSHIP'!BH$5:BH$27,-1)))))</f>
        <v/>
      </c>
      <c r="W63" s="34">
        <f>IF($B63="ABSOLUTE SEMANTIC",'19_FEATURE_CONFIDENCE'!$D$25,SQRT((SUMPRODUCT(--('93_TARGET_MEMBERSHIP'!BH$5:BH$27=1),'92_FEATURE_CONF_NUMERIC'!X$5:X$27)/MAX(1,COUNTIF('93_TARGET_MEMBERSHIP'!BH$5:BH$27,1)))*(SUMPRODUCT(--('93_TARGET_MEMBERSHIP'!BH$5:BH$27=-1),'92_FEATURE_CONF_NUMERIC'!X$5:X$27)/MAX(1,COUNTIF('93_TARGET_MEMBERSHIP'!BH$5:BH$27,-1)))))</f>
        <v/>
      </c>
      <c r="X63" s="34">
        <f>IF($B63="ABSOLUTE SEMANTIC",'19_FEATURE_CONFIDENCE'!$D$26,SQRT((SUMPRODUCT(--('93_TARGET_MEMBERSHIP'!BH$5:BH$27=1),'92_FEATURE_CONF_NUMERIC'!Y$5:Y$27)/MAX(1,COUNTIF('93_TARGET_MEMBERSHIP'!BH$5:BH$27,1)))*(SUMPRODUCT(--('93_TARGET_MEMBERSHIP'!BH$5:BH$27=-1),'92_FEATURE_CONF_NUMERIC'!Y$5:Y$27)/MAX(1,COUNTIF('93_TARGET_MEMBERSHIP'!BH$5:BH$27,-1)))))</f>
        <v/>
      </c>
      <c r="Y63" s="34">
        <f>IF($B63="ABSOLUTE SEMANTIC",'19_FEATURE_CONFIDENCE'!$D$27,SQRT((SUMPRODUCT(--('93_TARGET_MEMBERSHIP'!BH$5:BH$27=1),'92_FEATURE_CONF_NUMERIC'!Z$5:Z$27)/MAX(1,COUNTIF('93_TARGET_MEMBERSHIP'!BH$5:BH$27,1)))*(SUMPRODUCT(--('93_TARGET_MEMBERSHIP'!BH$5:BH$27=-1),'92_FEATURE_CONF_NUMERIC'!Z$5:Z$27)/MAX(1,COUNTIF('93_TARGET_MEMBERSHIP'!BH$5:BH$27,-1)))))</f>
        <v/>
      </c>
      <c r="Z63" s="34">
        <f>IF($B63="ABSOLUTE SEMANTIC",'19_FEATURE_CONFIDENCE'!$D$28,SQRT((SUMPRODUCT(--('93_TARGET_MEMBERSHIP'!BH$5:BH$27=1),'92_FEATURE_CONF_NUMERIC'!AA$5:AA$27)/MAX(1,COUNTIF('93_TARGET_MEMBERSHIP'!BH$5:BH$27,1)))*(SUMPRODUCT(--('93_TARGET_MEMBERSHIP'!BH$5:BH$27=-1),'92_FEATURE_CONF_NUMERIC'!AA$5:AA$27)/MAX(1,COUNTIF('93_TARGET_MEMBERSHIP'!BH$5:BH$27,-1)))))</f>
        <v/>
      </c>
      <c r="AA63" s="34">
        <f>IF($B63="ABSOLUTE SEMANTIC",'19_FEATURE_CONFIDENCE'!$D$29,SQRT((SUMPRODUCT(--('93_TARGET_MEMBERSHIP'!BH$5:BH$27=1),'92_FEATURE_CONF_NUMERIC'!AB$5:AB$27)/MAX(1,COUNTIF('93_TARGET_MEMBERSHIP'!BH$5:BH$27,1)))*(SUMPRODUCT(--('93_TARGET_MEMBERSHIP'!BH$5:BH$27=-1),'92_FEATURE_CONF_NUMERIC'!AB$5:AB$27)/MAX(1,COUNTIF('93_TARGET_MEMBERSHIP'!BH$5:BH$27,-1)))))</f>
        <v/>
      </c>
      <c r="AB63" s="34">
        <f>IF($B63="ABSOLUTE SEMANTIC",'19_FEATURE_CONFIDENCE'!$D$30,SQRT((SUMPRODUCT(--('93_TARGET_MEMBERSHIP'!BH$5:BH$27=1),'92_FEATURE_CONF_NUMERIC'!AC$5:AC$27)/MAX(1,COUNTIF('93_TARGET_MEMBERSHIP'!BH$5:BH$27,1)))*(SUMPRODUCT(--('93_TARGET_MEMBERSHIP'!BH$5:BH$27=-1),'92_FEATURE_CONF_NUMERIC'!AC$5:AC$27)/MAX(1,COUNTIF('93_TARGET_MEMBERSHIP'!BH$5:BH$27,-1)))))</f>
        <v/>
      </c>
      <c r="AC63" s="34">
        <f>IF($B63="ABSOLUTE SEMANTIC",'19_FEATURE_CONFIDENCE'!$D$31,SQRT((SUMPRODUCT(--('93_TARGET_MEMBERSHIP'!BH$5:BH$27=1),'92_FEATURE_CONF_NUMERIC'!AD$5:AD$27)/MAX(1,COUNTIF('93_TARGET_MEMBERSHIP'!BH$5:BH$27,1)))*(SUMPRODUCT(--('93_TARGET_MEMBERSHIP'!BH$5:BH$27=-1),'92_FEATURE_CONF_NUMERIC'!AD$5:AD$27)/MAX(1,COUNTIF('93_TARGET_MEMBERSHIP'!BH$5:BH$27,-1)))))</f>
        <v/>
      </c>
      <c r="AD63" s="34">
        <f>IF($B63="ABSOLUTE SEMANTIC",'19_FEATURE_CONFIDENCE'!$D$32,SQRT((SUMPRODUCT(--('93_TARGET_MEMBERSHIP'!BH$5:BH$27=1),'92_FEATURE_CONF_NUMERIC'!AE$5:AE$27)/MAX(1,COUNTIF('93_TARGET_MEMBERSHIP'!BH$5:BH$27,1)))*(SUMPRODUCT(--('93_TARGET_MEMBERSHIP'!BH$5:BH$27=-1),'92_FEATURE_CONF_NUMERIC'!AE$5:AE$27)/MAX(1,COUNTIF('93_TARGET_MEMBERSHIP'!BH$5:BH$27,-1)))))</f>
        <v/>
      </c>
      <c r="AE63" s="34">
        <f>IF($B63="ABSOLUTE SEMANTIC",'19_FEATURE_CONFIDENCE'!$D$33,SQRT((SUMPRODUCT(--('93_TARGET_MEMBERSHIP'!BH$5:BH$27=1),'92_FEATURE_CONF_NUMERIC'!AF$5:AF$27)/MAX(1,COUNTIF('93_TARGET_MEMBERSHIP'!BH$5:BH$27,1)))*(SUMPRODUCT(--('93_TARGET_MEMBERSHIP'!BH$5:BH$27=-1),'92_FEATURE_CONF_NUMERIC'!AF$5:AF$27)/MAX(1,COUNTIF('93_TARGET_MEMBERSHIP'!BH$5:BH$27,-1)))))</f>
        <v/>
      </c>
      <c r="AF63" s="34">
        <f>IF($B63="ABSOLUTE SEMANTIC",'19_FEATURE_CONFIDENCE'!$D$34,SQRT((SUMPRODUCT(--('93_TARGET_MEMBERSHIP'!BH$5:BH$27=1),'92_FEATURE_CONF_NUMERIC'!AG$5:AG$27)/MAX(1,COUNTIF('93_TARGET_MEMBERSHIP'!BH$5:BH$27,1)))*(SUMPRODUCT(--('93_TARGET_MEMBERSHIP'!BH$5:BH$27=-1),'92_FEATURE_CONF_NUMERIC'!AG$5:AG$27)/MAX(1,COUNTIF('93_TARGET_MEMBERSHIP'!BH$5:BH$27,-1)))))</f>
        <v/>
      </c>
      <c r="AG63" s="34">
        <f>IF($B63="ABSOLUTE SEMANTIC",'19_FEATURE_CONFIDENCE'!$D$35,SQRT((SUMPRODUCT(--('93_TARGET_MEMBERSHIP'!BH$5:BH$27=1),'92_FEATURE_CONF_NUMERIC'!AH$5:AH$27)/MAX(1,COUNTIF('93_TARGET_MEMBERSHIP'!BH$5:BH$27,1)))*(SUMPRODUCT(--('93_TARGET_MEMBERSHIP'!BH$5:BH$27=-1),'92_FEATURE_CONF_NUMERIC'!AH$5:AH$27)/MAX(1,COUNTIF('93_TARGET_MEMBERSHIP'!BH$5:BH$27,-1)))))</f>
        <v/>
      </c>
      <c r="AH63" s="34">
        <f>IF($B63="ABSOLUTE SEMANTIC",'19_FEATURE_CONFIDENCE'!$D$36,SQRT((SUMPRODUCT(--('93_TARGET_MEMBERSHIP'!BH$5:BH$27=1),'92_FEATURE_CONF_NUMERIC'!AI$5:AI$27)/MAX(1,COUNTIF('93_TARGET_MEMBERSHIP'!BH$5:BH$27,1)))*(SUMPRODUCT(--('93_TARGET_MEMBERSHIP'!BH$5:BH$27=-1),'92_FEATURE_CONF_NUMERIC'!AI$5:AI$27)/MAX(1,COUNTIF('93_TARGET_MEMBERSHIP'!BH$5:BH$27,-1)))))</f>
        <v/>
      </c>
      <c r="AI63" s="34">
        <f>IF($B63="ABSOLUTE SEMANTIC",'19_FEATURE_CONFIDENCE'!$D$37,SQRT((SUMPRODUCT(--('93_TARGET_MEMBERSHIP'!BH$5:BH$27=1),'92_FEATURE_CONF_NUMERIC'!AJ$5:AJ$27)/MAX(1,COUNTIF('93_TARGET_MEMBERSHIP'!BH$5:BH$27,1)))*(SUMPRODUCT(--('93_TARGET_MEMBERSHIP'!BH$5:BH$27=-1),'92_FEATURE_CONF_NUMERIC'!AJ$5:AJ$27)/MAX(1,COUNTIF('93_TARGET_MEMBERSHIP'!BH$5:BH$27,-1)))))</f>
        <v/>
      </c>
      <c r="AJ63" s="34">
        <f>IF($B63="ABSOLUTE SEMANTIC",'19_FEATURE_CONFIDENCE'!$D$38,SQRT((SUMPRODUCT(--('93_TARGET_MEMBERSHIP'!BH$5:BH$27=1),'92_FEATURE_CONF_NUMERIC'!AK$5:AK$27)/MAX(1,COUNTIF('93_TARGET_MEMBERSHIP'!BH$5:BH$27,1)))*(SUMPRODUCT(--('93_TARGET_MEMBERSHIP'!BH$5:BH$27=-1),'92_FEATURE_CONF_NUMERIC'!AK$5:AK$27)/MAX(1,COUNTIF('93_TARGET_MEMBERSHIP'!BH$5:BH$27,-1)))))</f>
        <v/>
      </c>
      <c r="AK63" s="34">
        <f>IF($B63="ABSOLUTE SEMANTIC",'19_FEATURE_CONFIDENCE'!$D$39,SQRT((SUMPRODUCT(--('93_TARGET_MEMBERSHIP'!BH$5:BH$27=1),'92_FEATURE_CONF_NUMERIC'!AL$5:AL$27)/MAX(1,COUNTIF('93_TARGET_MEMBERSHIP'!BH$5:BH$27,1)))*(SUMPRODUCT(--('93_TARGET_MEMBERSHIP'!BH$5:BH$27=-1),'92_FEATURE_CONF_NUMERIC'!AL$5:AL$27)/MAX(1,COUNTIF('93_TARGET_MEMBERSHIP'!BH$5:BH$27,-1)))))</f>
        <v/>
      </c>
      <c r="AL63" s="34">
        <f>IF($B63="ABSOLUTE SEMANTIC",'19_FEATURE_CONFIDENCE'!$D$40,SQRT((SUMPRODUCT(--('93_TARGET_MEMBERSHIP'!BH$5:BH$27=1),'92_FEATURE_CONF_NUMERIC'!AM$5:AM$27)/MAX(1,COUNTIF('93_TARGET_MEMBERSHIP'!BH$5:BH$27,1)))*(SUMPRODUCT(--('93_TARGET_MEMBERSHIP'!BH$5:BH$27=-1),'92_FEATURE_CONF_NUMERIC'!AM$5:AM$27)/MAX(1,COUNTIF('93_TARGET_MEMBERSHIP'!BH$5:BH$27,-1)))))</f>
        <v/>
      </c>
      <c r="AM63" s="34">
        <f>IF($B63="ABSOLUTE SEMANTIC",'19_FEATURE_CONFIDENCE'!$D$41,SQRT((SUMPRODUCT(--('93_TARGET_MEMBERSHIP'!BH$5:BH$27=1),'92_FEATURE_CONF_NUMERIC'!AN$5:AN$27)/MAX(1,COUNTIF('93_TARGET_MEMBERSHIP'!BH$5:BH$27,1)))*(SUMPRODUCT(--('93_TARGET_MEMBERSHIP'!BH$5:BH$27=-1),'92_FEATURE_CONF_NUMERIC'!AN$5:AN$27)/MAX(1,COUNTIF('93_TARGET_MEMBERSHIP'!BH$5:BH$27,-1)))))</f>
        <v/>
      </c>
      <c r="AN63" s="34">
        <f>IF($B63="ABSOLUTE SEMANTIC",'19_FEATURE_CONFIDENCE'!$D$42,SQRT((SUMPRODUCT(--('93_TARGET_MEMBERSHIP'!BH$5:BH$27=1),'92_FEATURE_CONF_NUMERIC'!AO$5:AO$27)/MAX(1,COUNTIF('93_TARGET_MEMBERSHIP'!BH$5:BH$27,1)))*(SUMPRODUCT(--('93_TARGET_MEMBERSHIP'!BH$5:BH$27=-1),'92_FEATURE_CONF_NUMERIC'!AO$5:AO$27)/MAX(1,COUNTIF('93_TARGET_MEMBERSHIP'!BH$5:BH$27,-1)))))</f>
        <v/>
      </c>
      <c r="AO63" s="34">
        <f>IF($B63="ABSOLUTE SEMANTIC",'19_FEATURE_CONFIDENCE'!$D$43,SQRT((SUMPRODUCT(--('93_TARGET_MEMBERSHIP'!BH$5:BH$27=1),'92_FEATURE_CONF_NUMERIC'!AP$5:AP$27)/MAX(1,COUNTIF('93_TARGET_MEMBERSHIP'!BH$5:BH$27,1)))*(SUMPRODUCT(--('93_TARGET_MEMBERSHIP'!BH$5:BH$27=-1),'92_FEATURE_CONF_NUMERIC'!AP$5:AP$27)/MAX(1,COUNTIF('93_TARGET_MEMBERSHIP'!BH$5:BH$27,-1)))))</f>
        <v/>
      </c>
      <c r="AP63" s="34">
        <f>IF($B63="ABSOLUTE SEMANTIC",'19_FEATURE_CONFIDENCE'!$D$44,SQRT((SUMPRODUCT(--('93_TARGET_MEMBERSHIP'!BH$5:BH$27=1),'92_FEATURE_CONF_NUMERIC'!AQ$5:AQ$27)/MAX(1,COUNTIF('93_TARGET_MEMBERSHIP'!BH$5:BH$27,1)))*(SUMPRODUCT(--('93_TARGET_MEMBERSHIP'!BH$5:BH$27=-1),'92_FEATURE_CONF_NUMERIC'!AQ$5:AQ$27)/MAX(1,COUNTIF('93_TARGET_MEMBERSHIP'!BH$5:BH$27,-1)))))</f>
        <v/>
      </c>
      <c r="AQ63" s="34">
        <f>IF($B63="ABSOLUTE SEMANTIC",'19_FEATURE_CONFIDENCE'!$D$45,SQRT((SUMPRODUCT(--('93_TARGET_MEMBERSHIP'!BH$5:BH$27=1),'92_FEATURE_CONF_NUMERIC'!AR$5:AR$27)/MAX(1,COUNTIF('93_TARGET_MEMBERSHIP'!BH$5:BH$27,1)))*(SUMPRODUCT(--('93_TARGET_MEMBERSHIP'!BH$5:BH$27=-1),'92_FEATURE_CONF_NUMERIC'!AR$5:AR$27)/MAX(1,COUNTIF('93_TARGET_MEMBERSHIP'!BH$5:BH$27,-1)))))</f>
        <v/>
      </c>
    </row>
    <row r="64" ht="36" customHeight="1">
      <c r="A64" s="34">
        <f>'06_ITEM_POLE_MODEL'!A64</f>
        <v/>
      </c>
      <c r="B64" s="34">
        <f>'06_ITEM_POLE_MODEL'!E64</f>
        <v/>
      </c>
      <c r="C64" s="34">
        <f>IF($B64="ABSOLUTE SEMANTIC",'19_FEATURE_CONFIDENCE'!$D$5,SQRT((SUMPRODUCT(--('93_TARGET_MEMBERSHIP'!BI$5:BI$27=1),'92_FEATURE_CONF_NUMERIC'!D$5:D$27)/MAX(1,COUNTIF('93_TARGET_MEMBERSHIP'!BI$5:BI$27,1)))*(SUMPRODUCT(--('93_TARGET_MEMBERSHIP'!BI$5:BI$27=-1),'92_FEATURE_CONF_NUMERIC'!D$5:D$27)/MAX(1,COUNTIF('93_TARGET_MEMBERSHIP'!BI$5:BI$27,-1)))))</f>
        <v/>
      </c>
      <c r="D64" s="34">
        <f>IF($B64="ABSOLUTE SEMANTIC",'19_FEATURE_CONFIDENCE'!$D$6,SQRT((SUMPRODUCT(--('93_TARGET_MEMBERSHIP'!BI$5:BI$27=1),'92_FEATURE_CONF_NUMERIC'!E$5:E$27)/MAX(1,COUNTIF('93_TARGET_MEMBERSHIP'!BI$5:BI$27,1)))*(SUMPRODUCT(--('93_TARGET_MEMBERSHIP'!BI$5:BI$27=-1),'92_FEATURE_CONF_NUMERIC'!E$5:E$27)/MAX(1,COUNTIF('93_TARGET_MEMBERSHIP'!BI$5:BI$27,-1)))))</f>
        <v/>
      </c>
      <c r="E64" s="34">
        <f>IF($B64="ABSOLUTE SEMANTIC",'19_FEATURE_CONFIDENCE'!$D$7,SQRT((SUMPRODUCT(--('93_TARGET_MEMBERSHIP'!BI$5:BI$27=1),'92_FEATURE_CONF_NUMERIC'!F$5:F$27)/MAX(1,COUNTIF('93_TARGET_MEMBERSHIP'!BI$5:BI$27,1)))*(SUMPRODUCT(--('93_TARGET_MEMBERSHIP'!BI$5:BI$27=-1),'92_FEATURE_CONF_NUMERIC'!F$5:F$27)/MAX(1,COUNTIF('93_TARGET_MEMBERSHIP'!BI$5:BI$27,-1)))))</f>
        <v/>
      </c>
      <c r="F64" s="34">
        <f>IF($B64="ABSOLUTE SEMANTIC",'19_FEATURE_CONFIDENCE'!$D$8,SQRT((SUMPRODUCT(--('93_TARGET_MEMBERSHIP'!BI$5:BI$27=1),'92_FEATURE_CONF_NUMERIC'!G$5:G$27)/MAX(1,COUNTIF('93_TARGET_MEMBERSHIP'!BI$5:BI$27,1)))*(SUMPRODUCT(--('93_TARGET_MEMBERSHIP'!BI$5:BI$27=-1),'92_FEATURE_CONF_NUMERIC'!G$5:G$27)/MAX(1,COUNTIF('93_TARGET_MEMBERSHIP'!BI$5:BI$27,-1)))))</f>
        <v/>
      </c>
      <c r="G64" s="34">
        <f>IF($B64="ABSOLUTE SEMANTIC",'19_FEATURE_CONFIDENCE'!$D$9,SQRT((SUMPRODUCT(--('93_TARGET_MEMBERSHIP'!BI$5:BI$27=1),'92_FEATURE_CONF_NUMERIC'!H$5:H$27)/MAX(1,COUNTIF('93_TARGET_MEMBERSHIP'!BI$5:BI$27,1)))*(SUMPRODUCT(--('93_TARGET_MEMBERSHIP'!BI$5:BI$27=-1),'92_FEATURE_CONF_NUMERIC'!H$5:H$27)/MAX(1,COUNTIF('93_TARGET_MEMBERSHIP'!BI$5:BI$27,-1)))))</f>
        <v/>
      </c>
      <c r="H64" s="34">
        <f>IF($B64="ABSOLUTE SEMANTIC",'19_FEATURE_CONFIDENCE'!$D$10,SQRT((SUMPRODUCT(--('93_TARGET_MEMBERSHIP'!BI$5:BI$27=1),'92_FEATURE_CONF_NUMERIC'!I$5:I$27)/MAX(1,COUNTIF('93_TARGET_MEMBERSHIP'!BI$5:BI$27,1)))*(SUMPRODUCT(--('93_TARGET_MEMBERSHIP'!BI$5:BI$27=-1),'92_FEATURE_CONF_NUMERIC'!I$5:I$27)/MAX(1,COUNTIF('93_TARGET_MEMBERSHIP'!BI$5:BI$27,-1)))))</f>
        <v/>
      </c>
      <c r="I64" s="34">
        <f>IF($B64="ABSOLUTE SEMANTIC",'19_FEATURE_CONFIDENCE'!$D$11,SQRT((SUMPRODUCT(--('93_TARGET_MEMBERSHIP'!BI$5:BI$27=1),'92_FEATURE_CONF_NUMERIC'!J$5:J$27)/MAX(1,COUNTIF('93_TARGET_MEMBERSHIP'!BI$5:BI$27,1)))*(SUMPRODUCT(--('93_TARGET_MEMBERSHIP'!BI$5:BI$27=-1),'92_FEATURE_CONF_NUMERIC'!J$5:J$27)/MAX(1,COUNTIF('93_TARGET_MEMBERSHIP'!BI$5:BI$27,-1)))))</f>
        <v/>
      </c>
      <c r="J64" s="34">
        <f>IF($B64="ABSOLUTE SEMANTIC",'19_FEATURE_CONFIDENCE'!$D$12,SQRT((SUMPRODUCT(--('93_TARGET_MEMBERSHIP'!BI$5:BI$27=1),'92_FEATURE_CONF_NUMERIC'!K$5:K$27)/MAX(1,COUNTIF('93_TARGET_MEMBERSHIP'!BI$5:BI$27,1)))*(SUMPRODUCT(--('93_TARGET_MEMBERSHIP'!BI$5:BI$27=-1),'92_FEATURE_CONF_NUMERIC'!K$5:K$27)/MAX(1,COUNTIF('93_TARGET_MEMBERSHIP'!BI$5:BI$27,-1)))))</f>
        <v/>
      </c>
      <c r="K64" s="34">
        <f>IF($B64="ABSOLUTE SEMANTIC",'19_FEATURE_CONFIDENCE'!$D$13,SQRT((SUMPRODUCT(--('93_TARGET_MEMBERSHIP'!BI$5:BI$27=1),'92_FEATURE_CONF_NUMERIC'!L$5:L$27)/MAX(1,COUNTIF('93_TARGET_MEMBERSHIP'!BI$5:BI$27,1)))*(SUMPRODUCT(--('93_TARGET_MEMBERSHIP'!BI$5:BI$27=-1),'92_FEATURE_CONF_NUMERIC'!L$5:L$27)/MAX(1,COUNTIF('93_TARGET_MEMBERSHIP'!BI$5:BI$27,-1)))))</f>
        <v/>
      </c>
      <c r="L64" s="34">
        <f>IF($B64="ABSOLUTE SEMANTIC",'19_FEATURE_CONFIDENCE'!$D$14,SQRT((SUMPRODUCT(--('93_TARGET_MEMBERSHIP'!BI$5:BI$27=1),'92_FEATURE_CONF_NUMERIC'!M$5:M$27)/MAX(1,COUNTIF('93_TARGET_MEMBERSHIP'!BI$5:BI$27,1)))*(SUMPRODUCT(--('93_TARGET_MEMBERSHIP'!BI$5:BI$27=-1),'92_FEATURE_CONF_NUMERIC'!M$5:M$27)/MAX(1,COUNTIF('93_TARGET_MEMBERSHIP'!BI$5:BI$27,-1)))))</f>
        <v/>
      </c>
      <c r="M64" s="34">
        <f>IF($B64="ABSOLUTE SEMANTIC",'19_FEATURE_CONFIDENCE'!$D$15,SQRT((SUMPRODUCT(--('93_TARGET_MEMBERSHIP'!BI$5:BI$27=1),'92_FEATURE_CONF_NUMERIC'!N$5:N$27)/MAX(1,COUNTIF('93_TARGET_MEMBERSHIP'!BI$5:BI$27,1)))*(SUMPRODUCT(--('93_TARGET_MEMBERSHIP'!BI$5:BI$27=-1),'92_FEATURE_CONF_NUMERIC'!N$5:N$27)/MAX(1,COUNTIF('93_TARGET_MEMBERSHIP'!BI$5:BI$27,-1)))))</f>
        <v/>
      </c>
      <c r="N64" s="34">
        <f>IF($B64="ABSOLUTE SEMANTIC",'19_FEATURE_CONFIDENCE'!$D$16,SQRT((SUMPRODUCT(--('93_TARGET_MEMBERSHIP'!BI$5:BI$27=1),'92_FEATURE_CONF_NUMERIC'!O$5:O$27)/MAX(1,COUNTIF('93_TARGET_MEMBERSHIP'!BI$5:BI$27,1)))*(SUMPRODUCT(--('93_TARGET_MEMBERSHIP'!BI$5:BI$27=-1),'92_FEATURE_CONF_NUMERIC'!O$5:O$27)/MAX(1,COUNTIF('93_TARGET_MEMBERSHIP'!BI$5:BI$27,-1)))))</f>
        <v/>
      </c>
      <c r="O64" s="34">
        <f>IF($B64="ABSOLUTE SEMANTIC",'19_FEATURE_CONFIDENCE'!$D$17,SQRT((SUMPRODUCT(--('93_TARGET_MEMBERSHIP'!BI$5:BI$27=1),'92_FEATURE_CONF_NUMERIC'!P$5:P$27)/MAX(1,COUNTIF('93_TARGET_MEMBERSHIP'!BI$5:BI$27,1)))*(SUMPRODUCT(--('93_TARGET_MEMBERSHIP'!BI$5:BI$27=-1),'92_FEATURE_CONF_NUMERIC'!P$5:P$27)/MAX(1,COUNTIF('93_TARGET_MEMBERSHIP'!BI$5:BI$27,-1)))))</f>
        <v/>
      </c>
      <c r="P64" s="34">
        <f>IF($B64="ABSOLUTE SEMANTIC",'19_FEATURE_CONFIDENCE'!$D$18,SQRT((SUMPRODUCT(--('93_TARGET_MEMBERSHIP'!BI$5:BI$27=1),'92_FEATURE_CONF_NUMERIC'!Q$5:Q$27)/MAX(1,COUNTIF('93_TARGET_MEMBERSHIP'!BI$5:BI$27,1)))*(SUMPRODUCT(--('93_TARGET_MEMBERSHIP'!BI$5:BI$27=-1),'92_FEATURE_CONF_NUMERIC'!Q$5:Q$27)/MAX(1,COUNTIF('93_TARGET_MEMBERSHIP'!BI$5:BI$27,-1)))))</f>
        <v/>
      </c>
      <c r="Q64" s="34">
        <f>IF($B64="ABSOLUTE SEMANTIC",'19_FEATURE_CONFIDENCE'!$D$19,SQRT((SUMPRODUCT(--('93_TARGET_MEMBERSHIP'!BI$5:BI$27=1),'92_FEATURE_CONF_NUMERIC'!R$5:R$27)/MAX(1,COUNTIF('93_TARGET_MEMBERSHIP'!BI$5:BI$27,1)))*(SUMPRODUCT(--('93_TARGET_MEMBERSHIP'!BI$5:BI$27=-1),'92_FEATURE_CONF_NUMERIC'!R$5:R$27)/MAX(1,COUNTIF('93_TARGET_MEMBERSHIP'!BI$5:BI$27,-1)))))</f>
        <v/>
      </c>
      <c r="R64" s="34">
        <f>IF($B64="ABSOLUTE SEMANTIC",'19_FEATURE_CONFIDENCE'!$D$20,SQRT((SUMPRODUCT(--('93_TARGET_MEMBERSHIP'!BI$5:BI$27=1),'92_FEATURE_CONF_NUMERIC'!S$5:S$27)/MAX(1,COUNTIF('93_TARGET_MEMBERSHIP'!BI$5:BI$27,1)))*(SUMPRODUCT(--('93_TARGET_MEMBERSHIP'!BI$5:BI$27=-1),'92_FEATURE_CONF_NUMERIC'!S$5:S$27)/MAX(1,COUNTIF('93_TARGET_MEMBERSHIP'!BI$5:BI$27,-1)))))</f>
        <v/>
      </c>
      <c r="S64" s="34">
        <f>IF($B64="ABSOLUTE SEMANTIC",'19_FEATURE_CONFIDENCE'!$D$21,SQRT((SUMPRODUCT(--('93_TARGET_MEMBERSHIP'!BI$5:BI$27=1),'92_FEATURE_CONF_NUMERIC'!T$5:T$27)/MAX(1,COUNTIF('93_TARGET_MEMBERSHIP'!BI$5:BI$27,1)))*(SUMPRODUCT(--('93_TARGET_MEMBERSHIP'!BI$5:BI$27=-1),'92_FEATURE_CONF_NUMERIC'!T$5:T$27)/MAX(1,COUNTIF('93_TARGET_MEMBERSHIP'!BI$5:BI$27,-1)))))</f>
        <v/>
      </c>
      <c r="T64" s="34">
        <f>IF($B64="ABSOLUTE SEMANTIC",'19_FEATURE_CONFIDENCE'!$D$22,SQRT((SUMPRODUCT(--('93_TARGET_MEMBERSHIP'!BI$5:BI$27=1),'92_FEATURE_CONF_NUMERIC'!U$5:U$27)/MAX(1,COUNTIF('93_TARGET_MEMBERSHIP'!BI$5:BI$27,1)))*(SUMPRODUCT(--('93_TARGET_MEMBERSHIP'!BI$5:BI$27=-1),'92_FEATURE_CONF_NUMERIC'!U$5:U$27)/MAX(1,COUNTIF('93_TARGET_MEMBERSHIP'!BI$5:BI$27,-1)))))</f>
        <v/>
      </c>
      <c r="U64" s="34">
        <f>IF($B64="ABSOLUTE SEMANTIC",'19_FEATURE_CONFIDENCE'!$D$23,SQRT((SUMPRODUCT(--('93_TARGET_MEMBERSHIP'!BI$5:BI$27=1),'92_FEATURE_CONF_NUMERIC'!V$5:V$27)/MAX(1,COUNTIF('93_TARGET_MEMBERSHIP'!BI$5:BI$27,1)))*(SUMPRODUCT(--('93_TARGET_MEMBERSHIP'!BI$5:BI$27=-1),'92_FEATURE_CONF_NUMERIC'!V$5:V$27)/MAX(1,COUNTIF('93_TARGET_MEMBERSHIP'!BI$5:BI$27,-1)))))</f>
        <v/>
      </c>
      <c r="V64" s="34">
        <f>IF($B64="ABSOLUTE SEMANTIC",'19_FEATURE_CONFIDENCE'!$D$24,SQRT((SUMPRODUCT(--('93_TARGET_MEMBERSHIP'!BI$5:BI$27=1),'92_FEATURE_CONF_NUMERIC'!W$5:W$27)/MAX(1,COUNTIF('93_TARGET_MEMBERSHIP'!BI$5:BI$27,1)))*(SUMPRODUCT(--('93_TARGET_MEMBERSHIP'!BI$5:BI$27=-1),'92_FEATURE_CONF_NUMERIC'!W$5:W$27)/MAX(1,COUNTIF('93_TARGET_MEMBERSHIP'!BI$5:BI$27,-1)))))</f>
        <v/>
      </c>
      <c r="W64" s="34">
        <f>IF($B64="ABSOLUTE SEMANTIC",'19_FEATURE_CONFIDENCE'!$D$25,SQRT((SUMPRODUCT(--('93_TARGET_MEMBERSHIP'!BI$5:BI$27=1),'92_FEATURE_CONF_NUMERIC'!X$5:X$27)/MAX(1,COUNTIF('93_TARGET_MEMBERSHIP'!BI$5:BI$27,1)))*(SUMPRODUCT(--('93_TARGET_MEMBERSHIP'!BI$5:BI$27=-1),'92_FEATURE_CONF_NUMERIC'!X$5:X$27)/MAX(1,COUNTIF('93_TARGET_MEMBERSHIP'!BI$5:BI$27,-1)))))</f>
        <v/>
      </c>
      <c r="X64" s="34">
        <f>IF($B64="ABSOLUTE SEMANTIC",'19_FEATURE_CONFIDENCE'!$D$26,SQRT((SUMPRODUCT(--('93_TARGET_MEMBERSHIP'!BI$5:BI$27=1),'92_FEATURE_CONF_NUMERIC'!Y$5:Y$27)/MAX(1,COUNTIF('93_TARGET_MEMBERSHIP'!BI$5:BI$27,1)))*(SUMPRODUCT(--('93_TARGET_MEMBERSHIP'!BI$5:BI$27=-1),'92_FEATURE_CONF_NUMERIC'!Y$5:Y$27)/MAX(1,COUNTIF('93_TARGET_MEMBERSHIP'!BI$5:BI$27,-1)))))</f>
        <v/>
      </c>
      <c r="Y64" s="34">
        <f>IF($B64="ABSOLUTE SEMANTIC",'19_FEATURE_CONFIDENCE'!$D$27,SQRT((SUMPRODUCT(--('93_TARGET_MEMBERSHIP'!BI$5:BI$27=1),'92_FEATURE_CONF_NUMERIC'!Z$5:Z$27)/MAX(1,COUNTIF('93_TARGET_MEMBERSHIP'!BI$5:BI$27,1)))*(SUMPRODUCT(--('93_TARGET_MEMBERSHIP'!BI$5:BI$27=-1),'92_FEATURE_CONF_NUMERIC'!Z$5:Z$27)/MAX(1,COUNTIF('93_TARGET_MEMBERSHIP'!BI$5:BI$27,-1)))))</f>
        <v/>
      </c>
      <c r="Z64" s="34">
        <f>IF($B64="ABSOLUTE SEMANTIC",'19_FEATURE_CONFIDENCE'!$D$28,SQRT((SUMPRODUCT(--('93_TARGET_MEMBERSHIP'!BI$5:BI$27=1),'92_FEATURE_CONF_NUMERIC'!AA$5:AA$27)/MAX(1,COUNTIF('93_TARGET_MEMBERSHIP'!BI$5:BI$27,1)))*(SUMPRODUCT(--('93_TARGET_MEMBERSHIP'!BI$5:BI$27=-1),'92_FEATURE_CONF_NUMERIC'!AA$5:AA$27)/MAX(1,COUNTIF('93_TARGET_MEMBERSHIP'!BI$5:BI$27,-1)))))</f>
        <v/>
      </c>
      <c r="AA64" s="34">
        <f>IF($B64="ABSOLUTE SEMANTIC",'19_FEATURE_CONFIDENCE'!$D$29,SQRT((SUMPRODUCT(--('93_TARGET_MEMBERSHIP'!BI$5:BI$27=1),'92_FEATURE_CONF_NUMERIC'!AB$5:AB$27)/MAX(1,COUNTIF('93_TARGET_MEMBERSHIP'!BI$5:BI$27,1)))*(SUMPRODUCT(--('93_TARGET_MEMBERSHIP'!BI$5:BI$27=-1),'92_FEATURE_CONF_NUMERIC'!AB$5:AB$27)/MAX(1,COUNTIF('93_TARGET_MEMBERSHIP'!BI$5:BI$27,-1)))))</f>
        <v/>
      </c>
      <c r="AB64" s="34">
        <f>IF($B64="ABSOLUTE SEMANTIC",'19_FEATURE_CONFIDENCE'!$D$30,SQRT((SUMPRODUCT(--('93_TARGET_MEMBERSHIP'!BI$5:BI$27=1),'92_FEATURE_CONF_NUMERIC'!AC$5:AC$27)/MAX(1,COUNTIF('93_TARGET_MEMBERSHIP'!BI$5:BI$27,1)))*(SUMPRODUCT(--('93_TARGET_MEMBERSHIP'!BI$5:BI$27=-1),'92_FEATURE_CONF_NUMERIC'!AC$5:AC$27)/MAX(1,COUNTIF('93_TARGET_MEMBERSHIP'!BI$5:BI$27,-1)))))</f>
        <v/>
      </c>
      <c r="AC64" s="34">
        <f>IF($B64="ABSOLUTE SEMANTIC",'19_FEATURE_CONFIDENCE'!$D$31,SQRT((SUMPRODUCT(--('93_TARGET_MEMBERSHIP'!BI$5:BI$27=1),'92_FEATURE_CONF_NUMERIC'!AD$5:AD$27)/MAX(1,COUNTIF('93_TARGET_MEMBERSHIP'!BI$5:BI$27,1)))*(SUMPRODUCT(--('93_TARGET_MEMBERSHIP'!BI$5:BI$27=-1),'92_FEATURE_CONF_NUMERIC'!AD$5:AD$27)/MAX(1,COUNTIF('93_TARGET_MEMBERSHIP'!BI$5:BI$27,-1)))))</f>
        <v/>
      </c>
      <c r="AD64" s="34">
        <f>IF($B64="ABSOLUTE SEMANTIC",'19_FEATURE_CONFIDENCE'!$D$32,SQRT((SUMPRODUCT(--('93_TARGET_MEMBERSHIP'!BI$5:BI$27=1),'92_FEATURE_CONF_NUMERIC'!AE$5:AE$27)/MAX(1,COUNTIF('93_TARGET_MEMBERSHIP'!BI$5:BI$27,1)))*(SUMPRODUCT(--('93_TARGET_MEMBERSHIP'!BI$5:BI$27=-1),'92_FEATURE_CONF_NUMERIC'!AE$5:AE$27)/MAX(1,COUNTIF('93_TARGET_MEMBERSHIP'!BI$5:BI$27,-1)))))</f>
        <v/>
      </c>
      <c r="AE64" s="34">
        <f>IF($B64="ABSOLUTE SEMANTIC",'19_FEATURE_CONFIDENCE'!$D$33,SQRT((SUMPRODUCT(--('93_TARGET_MEMBERSHIP'!BI$5:BI$27=1),'92_FEATURE_CONF_NUMERIC'!AF$5:AF$27)/MAX(1,COUNTIF('93_TARGET_MEMBERSHIP'!BI$5:BI$27,1)))*(SUMPRODUCT(--('93_TARGET_MEMBERSHIP'!BI$5:BI$27=-1),'92_FEATURE_CONF_NUMERIC'!AF$5:AF$27)/MAX(1,COUNTIF('93_TARGET_MEMBERSHIP'!BI$5:BI$27,-1)))))</f>
        <v/>
      </c>
      <c r="AF64" s="34">
        <f>IF($B64="ABSOLUTE SEMANTIC",'19_FEATURE_CONFIDENCE'!$D$34,SQRT((SUMPRODUCT(--('93_TARGET_MEMBERSHIP'!BI$5:BI$27=1),'92_FEATURE_CONF_NUMERIC'!AG$5:AG$27)/MAX(1,COUNTIF('93_TARGET_MEMBERSHIP'!BI$5:BI$27,1)))*(SUMPRODUCT(--('93_TARGET_MEMBERSHIP'!BI$5:BI$27=-1),'92_FEATURE_CONF_NUMERIC'!AG$5:AG$27)/MAX(1,COUNTIF('93_TARGET_MEMBERSHIP'!BI$5:BI$27,-1)))))</f>
        <v/>
      </c>
      <c r="AG64" s="34">
        <f>IF($B64="ABSOLUTE SEMANTIC",'19_FEATURE_CONFIDENCE'!$D$35,SQRT((SUMPRODUCT(--('93_TARGET_MEMBERSHIP'!BI$5:BI$27=1),'92_FEATURE_CONF_NUMERIC'!AH$5:AH$27)/MAX(1,COUNTIF('93_TARGET_MEMBERSHIP'!BI$5:BI$27,1)))*(SUMPRODUCT(--('93_TARGET_MEMBERSHIP'!BI$5:BI$27=-1),'92_FEATURE_CONF_NUMERIC'!AH$5:AH$27)/MAX(1,COUNTIF('93_TARGET_MEMBERSHIP'!BI$5:BI$27,-1)))))</f>
        <v/>
      </c>
      <c r="AH64" s="34">
        <f>IF($B64="ABSOLUTE SEMANTIC",'19_FEATURE_CONFIDENCE'!$D$36,SQRT((SUMPRODUCT(--('93_TARGET_MEMBERSHIP'!BI$5:BI$27=1),'92_FEATURE_CONF_NUMERIC'!AI$5:AI$27)/MAX(1,COUNTIF('93_TARGET_MEMBERSHIP'!BI$5:BI$27,1)))*(SUMPRODUCT(--('93_TARGET_MEMBERSHIP'!BI$5:BI$27=-1),'92_FEATURE_CONF_NUMERIC'!AI$5:AI$27)/MAX(1,COUNTIF('93_TARGET_MEMBERSHIP'!BI$5:BI$27,-1)))))</f>
        <v/>
      </c>
      <c r="AI64" s="34">
        <f>IF($B64="ABSOLUTE SEMANTIC",'19_FEATURE_CONFIDENCE'!$D$37,SQRT((SUMPRODUCT(--('93_TARGET_MEMBERSHIP'!BI$5:BI$27=1),'92_FEATURE_CONF_NUMERIC'!AJ$5:AJ$27)/MAX(1,COUNTIF('93_TARGET_MEMBERSHIP'!BI$5:BI$27,1)))*(SUMPRODUCT(--('93_TARGET_MEMBERSHIP'!BI$5:BI$27=-1),'92_FEATURE_CONF_NUMERIC'!AJ$5:AJ$27)/MAX(1,COUNTIF('93_TARGET_MEMBERSHIP'!BI$5:BI$27,-1)))))</f>
        <v/>
      </c>
      <c r="AJ64" s="34">
        <f>IF($B64="ABSOLUTE SEMANTIC",'19_FEATURE_CONFIDENCE'!$D$38,SQRT((SUMPRODUCT(--('93_TARGET_MEMBERSHIP'!BI$5:BI$27=1),'92_FEATURE_CONF_NUMERIC'!AK$5:AK$27)/MAX(1,COUNTIF('93_TARGET_MEMBERSHIP'!BI$5:BI$27,1)))*(SUMPRODUCT(--('93_TARGET_MEMBERSHIP'!BI$5:BI$27=-1),'92_FEATURE_CONF_NUMERIC'!AK$5:AK$27)/MAX(1,COUNTIF('93_TARGET_MEMBERSHIP'!BI$5:BI$27,-1)))))</f>
        <v/>
      </c>
      <c r="AK64" s="34">
        <f>IF($B64="ABSOLUTE SEMANTIC",'19_FEATURE_CONFIDENCE'!$D$39,SQRT((SUMPRODUCT(--('93_TARGET_MEMBERSHIP'!BI$5:BI$27=1),'92_FEATURE_CONF_NUMERIC'!AL$5:AL$27)/MAX(1,COUNTIF('93_TARGET_MEMBERSHIP'!BI$5:BI$27,1)))*(SUMPRODUCT(--('93_TARGET_MEMBERSHIP'!BI$5:BI$27=-1),'92_FEATURE_CONF_NUMERIC'!AL$5:AL$27)/MAX(1,COUNTIF('93_TARGET_MEMBERSHIP'!BI$5:BI$27,-1)))))</f>
        <v/>
      </c>
      <c r="AL64" s="34">
        <f>IF($B64="ABSOLUTE SEMANTIC",'19_FEATURE_CONFIDENCE'!$D$40,SQRT((SUMPRODUCT(--('93_TARGET_MEMBERSHIP'!BI$5:BI$27=1),'92_FEATURE_CONF_NUMERIC'!AM$5:AM$27)/MAX(1,COUNTIF('93_TARGET_MEMBERSHIP'!BI$5:BI$27,1)))*(SUMPRODUCT(--('93_TARGET_MEMBERSHIP'!BI$5:BI$27=-1),'92_FEATURE_CONF_NUMERIC'!AM$5:AM$27)/MAX(1,COUNTIF('93_TARGET_MEMBERSHIP'!BI$5:BI$27,-1)))))</f>
        <v/>
      </c>
      <c r="AM64" s="34">
        <f>IF($B64="ABSOLUTE SEMANTIC",'19_FEATURE_CONFIDENCE'!$D$41,SQRT((SUMPRODUCT(--('93_TARGET_MEMBERSHIP'!BI$5:BI$27=1),'92_FEATURE_CONF_NUMERIC'!AN$5:AN$27)/MAX(1,COUNTIF('93_TARGET_MEMBERSHIP'!BI$5:BI$27,1)))*(SUMPRODUCT(--('93_TARGET_MEMBERSHIP'!BI$5:BI$27=-1),'92_FEATURE_CONF_NUMERIC'!AN$5:AN$27)/MAX(1,COUNTIF('93_TARGET_MEMBERSHIP'!BI$5:BI$27,-1)))))</f>
        <v/>
      </c>
      <c r="AN64" s="34">
        <f>IF($B64="ABSOLUTE SEMANTIC",'19_FEATURE_CONFIDENCE'!$D$42,SQRT((SUMPRODUCT(--('93_TARGET_MEMBERSHIP'!BI$5:BI$27=1),'92_FEATURE_CONF_NUMERIC'!AO$5:AO$27)/MAX(1,COUNTIF('93_TARGET_MEMBERSHIP'!BI$5:BI$27,1)))*(SUMPRODUCT(--('93_TARGET_MEMBERSHIP'!BI$5:BI$27=-1),'92_FEATURE_CONF_NUMERIC'!AO$5:AO$27)/MAX(1,COUNTIF('93_TARGET_MEMBERSHIP'!BI$5:BI$27,-1)))))</f>
        <v/>
      </c>
      <c r="AO64" s="34">
        <f>IF($B64="ABSOLUTE SEMANTIC",'19_FEATURE_CONFIDENCE'!$D$43,SQRT((SUMPRODUCT(--('93_TARGET_MEMBERSHIP'!BI$5:BI$27=1),'92_FEATURE_CONF_NUMERIC'!AP$5:AP$27)/MAX(1,COUNTIF('93_TARGET_MEMBERSHIP'!BI$5:BI$27,1)))*(SUMPRODUCT(--('93_TARGET_MEMBERSHIP'!BI$5:BI$27=-1),'92_FEATURE_CONF_NUMERIC'!AP$5:AP$27)/MAX(1,COUNTIF('93_TARGET_MEMBERSHIP'!BI$5:BI$27,-1)))))</f>
        <v/>
      </c>
      <c r="AP64" s="34">
        <f>IF($B64="ABSOLUTE SEMANTIC",'19_FEATURE_CONFIDENCE'!$D$44,SQRT((SUMPRODUCT(--('93_TARGET_MEMBERSHIP'!BI$5:BI$27=1),'92_FEATURE_CONF_NUMERIC'!AQ$5:AQ$27)/MAX(1,COUNTIF('93_TARGET_MEMBERSHIP'!BI$5:BI$27,1)))*(SUMPRODUCT(--('93_TARGET_MEMBERSHIP'!BI$5:BI$27=-1),'92_FEATURE_CONF_NUMERIC'!AQ$5:AQ$27)/MAX(1,COUNTIF('93_TARGET_MEMBERSHIP'!BI$5:BI$27,-1)))))</f>
        <v/>
      </c>
      <c r="AQ64" s="34">
        <f>IF($B64="ABSOLUTE SEMANTIC",'19_FEATURE_CONFIDENCE'!$D$45,SQRT((SUMPRODUCT(--('93_TARGET_MEMBERSHIP'!BI$5:BI$27=1),'92_FEATURE_CONF_NUMERIC'!AR$5:AR$27)/MAX(1,COUNTIF('93_TARGET_MEMBERSHIP'!BI$5:BI$27,1)))*(SUMPRODUCT(--('93_TARGET_MEMBERSHIP'!BI$5:BI$27=-1),'92_FEATURE_CONF_NUMERIC'!AR$5:AR$27)/MAX(1,COUNTIF('93_TARGET_MEMBERSHIP'!BI$5:BI$27,-1)))))</f>
        <v/>
      </c>
    </row>
    <row r="65" ht="36" customHeight="1">
      <c r="A65" s="34">
        <f>'06_ITEM_POLE_MODEL'!A65</f>
        <v/>
      </c>
      <c r="B65" s="34">
        <f>'06_ITEM_POLE_MODEL'!E65</f>
        <v/>
      </c>
      <c r="C65" s="34">
        <f>IF($B65="ABSOLUTE SEMANTIC",'19_FEATURE_CONFIDENCE'!$D$5,SQRT((SUMPRODUCT(--('93_TARGET_MEMBERSHIP'!BJ$5:BJ$27=1),'92_FEATURE_CONF_NUMERIC'!D$5:D$27)/MAX(1,COUNTIF('93_TARGET_MEMBERSHIP'!BJ$5:BJ$27,1)))*(SUMPRODUCT(--('93_TARGET_MEMBERSHIP'!BJ$5:BJ$27=-1),'92_FEATURE_CONF_NUMERIC'!D$5:D$27)/MAX(1,COUNTIF('93_TARGET_MEMBERSHIP'!BJ$5:BJ$27,-1)))))</f>
        <v/>
      </c>
      <c r="D65" s="34">
        <f>IF($B65="ABSOLUTE SEMANTIC",'19_FEATURE_CONFIDENCE'!$D$6,SQRT((SUMPRODUCT(--('93_TARGET_MEMBERSHIP'!BJ$5:BJ$27=1),'92_FEATURE_CONF_NUMERIC'!E$5:E$27)/MAX(1,COUNTIF('93_TARGET_MEMBERSHIP'!BJ$5:BJ$27,1)))*(SUMPRODUCT(--('93_TARGET_MEMBERSHIP'!BJ$5:BJ$27=-1),'92_FEATURE_CONF_NUMERIC'!E$5:E$27)/MAX(1,COUNTIF('93_TARGET_MEMBERSHIP'!BJ$5:BJ$27,-1)))))</f>
        <v/>
      </c>
      <c r="E65" s="34">
        <f>IF($B65="ABSOLUTE SEMANTIC",'19_FEATURE_CONFIDENCE'!$D$7,SQRT((SUMPRODUCT(--('93_TARGET_MEMBERSHIP'!BJ$5:BJ$27=1),'92_FEATURE_CONF_NUMERIC'!F$5:F$27)/MAX(1,COUNTIF('93_TARGET_MEMBERSHIP'!BJ$5:BJ$27,1)))*(SUMPRODUCT(--('93_TARGET_MEMBERSHIP'!BJ$5:BJ$27=-1),'92_FEATURE_CONF_NUMERIC'!F$5:F$27)/MAX(1,COUNTIF('93_TARGET_MEMBERSHIP'!BJ$5:BJ$27,-1)))))</f>
        <v/>
      </c>
      <c r="F65" s="34">
        <f>IF($B65="ABSOLUTE SEMANTIC",'19_FEATURE_CONFIDENCE'!$D$8,SQRT((SUMPRODUCT(--('93_TARGET_MEMBERSHIP'!BJ$5:BJ$27=1),'92_FEATURE_CONF_NUMERIC'!G$5:G$27)/MAX(1,COUNTIF('93_TARGET_MEMBERSHIP'!BJ$5:BJ$27,1)))*(SUMPRODUCT(--('93_TARGET_MEMBERSHIP'!BJ$5:BJ$27=-1),'92_FEATURE_CONF_NUMERIC'!G$5:G$27)/MAX(1,COUNTIF('93_TARGET_MEMBERSHIP'!BJ$5:BJ$27,-1)))))</f>
        <v/>
      </c>
      <c r="G65" s="34">
        <f>IF($B65="ABSOLUTE SEMANTIC",'19_FEATURE_CONFIDENCE'!$D$9,SQRT((SUMPRODUCT(--('93_TARGET_MEMBERSHIP'!BJ$5:BJ$27=1),'92_FEATURE_CONF_NUMERIC'!H$5:H$27)/MAX(1,COUNTIF('93_TARGET_MEMBERSHIP'!BJ$5:BJ$27,1)))*(SUMPRODUCT(--('93_TARGET_MEMBERSHIP'!BJ$5:BJ$27=-1),'92_FEATURE_CONF_NUMERIC'!H$5:H$27)/MAX(1,COUNTIF('93_TARGET_MEMBERSHIP'!BJ$5:BJ$27,-1)))))</f>
        <v/>
      </c>
      <c r="H65" s="34">
        <f>IF($B65="ABSOLUTE SEMANTIC",'19_FEATURE_CONFIDENCE'!$D$10,SQRT((SUMPRODUCT(--('93_TARGET_MEMBERSHIP'!BJ$5:BJ$27=1),'92_FEATURE_CONF_NUMERIC'!I$5:I$27)/MAX(1,COUNTIF('93_TARGET_MEMBERSHIP'!BJ$5:BJ$27,1)))*(SUMPRODUCT(--('93_TARGET_MEMBERSHIP'!BJ$5:BJ$27=-1),'92_FEATURE_CONF_NUMERIC'!I$5:I$27)/MAX(1,COUNTIF('93_TARGET_MEMBERSHIP'!BJ$5:BJ$27,-1)))))</f>
        <v/>
      </c>
      <c r="I65" s="34">
        <f>IF($B65="ABSOLUTE SEMANTIC",'19_FEATURE_CONFIDENCE'!$D$11,SQRT((SUMPRODUCT(--('93_TARGET_MEMBERSHIP'!BJ$5:BJ$27=1),'92_FEATURE_CONF_NUMERIC'!J$5:J$27)/MAX(1,COUNTIF('93_TARGET_MEMBERSHIP'!BJ$5:BJ$27,1)))*(SUMPRODUCT(--('93_TARGET_MEMBERSHIP'!BJ$5:BJ$27=-1),'92_FEATURE_CONF_NUMERIC'!J$5:J$27)/MAX(1,COUNTIF('93_TARGET_MEMBERSHIP'!BJ$5:BJ$27,-1)))))</f>
        <v/>
      </c>
      <c r="J65" s="34">
        <f>IF($B65="ABSOLUTE SEMANTIC",'19_FEATURE_CONFIDENCE'!$D$12,SQRT((SUMPRODUCT(--('93_TARGET_MEMBERSHIP'!BJ$5:BJ$27=1),'92_FEATURE_CONF_NUMERIC'!K$5:K$27)/MAX(1,COUNTIF('93_TARGET_MEMBERSHIP'!BJ$5:BJ$27,1)))*(SUMPRODUCT(--('93_TARGET_MEMBERSHIP'!BJ$5:BJ$27=-1),'92_FEATURE_CONF_NUMERIC'!K$5:K$27)/MAX(1,COUNTIF('93_TARGET_MEMBERSHIP'!BJ$5:BJ$27,-1)))))</f>
        <v/>
      </c>
      <c r="K65" s="34">
        <f>IF($B65="ABSOLUTE SEMANTIC",'19_FEATURE_CONFIDENCE'!$D$13,SQRT((SUMPRODUCT(--('93_TARGET_MEMBERSHIP'!BJ$5:BJ$27=1),'92_FEATURE_CONF_NUMERIC'!L$5:L$27)/MAX(1,COUNTIF('93_TARGET_MEMBERSHIP'!BJ$5:BJ$27,1)))*(SUMPRODUCT(--('93_TARGET_MEMBERSHIP'!BJ$5:BJ$27=-1),'92_FEATURE_CONF_NUMERIC'!L$5:L$27)/MAX(1,COUNTIF('93_TARGET_MEMBERSHIP'!BJ$5:BJ$27,-1)))))</f>
        <v/>
      </c>
      <c r="L65" s="34">
        <f>IF($B65="ABSOLUTE SEMANTIC",'19_FEATURE_CONFIDENCE'!$D$14,SQRT((SUMPRODUCT(--('93_TARGET_MEMBERSHIP'!BJ$5:BJ$27=1),'92_FEATURE_CONF_NUMERIC'!M$5:M$27)/MAX(1,COUNTIF('93_TARGET_MEMBERSHIP'!BJ$5:BJ$27,1)))*(SUMPRODUCT(--('93_TARGET_MEMBERSHIP'!BJ$5:BJ$27=-1),'92_FEATURE_CONF_NUMERIC'!M$5:M$27)/MAX(1,COUNTIF('93_TARGET_MEMBERSHIP'!BJ$5:BJ$27,-1)))))</f>
        <v/>
      </c>
      <c r="M65" s="34">
        <f>IF($B65="ABSOLUTE SEMANTIC",'19_FEATURE_CONFIDENCE'!$D$15,SQRT((SUMPRODUCT(--('93_TARGET_MEMBERSHIP'!BJ$5:BJ$27=1),'92_FEATURE_CONF_NUMERIC'!N$5:N$27)/MAX(1,COUNTIF('93_TARGET_MEMBERSHIP'!BJ$5:BJ$27,1)))*(SUMPRODUCT(--('93_TARGET_MEMBERSHIP'!BJ$5:BJ$27=-1),'92_FEATURE_CONF_NUMERIC'!N$5:N$27)/MAX(1,COUNTIF('93_TARGET_MEMBERSHIP'!BJ$5:BJ$27,-1)))))</f>
        <v/>
      </c>
      <c r="N65" s="34">
        <f>IF($B65="ABSOLUTE SEMANTIC",'19_FEATURE_CONFIDENCE'!$D$16,SQRT((SUMPRODUCT(--('93_TARGET_MEMBERSHIP'!BJ$5:BJ$27=1),'92_FEATURE_CONF_NUMERIC'!O$5:O$27)/MAX(1,COUNTIF('93_TARGET_MEMBERSHIP'!BJ$5:BJ$27,1)))*(SUMPRODUCT(--('93_TARGET_MEMBERSHIP'!BJ$5:BJ$27=-1),'92_FEATURE_CONF_NUMERIC'!O$5:O$27)/MAX(1,COUNTIF('93_TARGET_MEMBERSHIP'!BJ$5:BJ$27,-1)))))</f>
        <v/>
      </c>
      <c r="O65" s="34">
        <f>IF($B65="ABSOLUTE SEMANTIC",'19_FEATURE_CONFIDENCE'!$D$17,SQRT((SUMPRODUCT(--('93_TARGET_MEMBERSHIP'!BJ$5:BJ$27=1),'92_FEATURE_CONF_NUMERIC'!P$5:P$27)/MAX(1,COUNTIF('93_TARGET_MEMBERSHIP'!BJ$5:BJ$27,1)))*(SUMPRODUCT(--('93_TARGET_MEMBERSHIP'!BJ$5:BJ$27=-1),'92_FEATURE_CONF_NUMERIC'!P$5:P$27)/MAX(1,COUNTIF('93_TARGET_MEMBERSHIP'!BJ$5:BJ$27,-1)))))</f>
        <v/>
      </c>
      <c r="P65" s="34">
        <f>IF($B65="ABSOLUTE SEMANTIC",'19_FEATURE_CONFIDENCE'!$D$18,SQRT((SUMPRODUCT(--('93_TARGET_MEMBERSHIP'!BJ$5:BJ$27=1),'92_FEATURE_CONF_NUMERIC'!Q$5:Q$27)/MAX(1,COUNTIF('93_TARGET_MEMBERSHIP'!BJ$5:BJ$27,1)))*(SUMPRODUCT(--('93_TARGET_MEMBERSHIP'!BJ$5:BJ$27=-1),'92_FEATURE_CONF_NUMERIC'!Q$5:Q$27)/MAX(1,COUNTIF('93_TARGET_MEMBERSHIP'!BJ$5:BJ$27,-1)))))</f>
        <v/>
      </c>
      <c r="Q65" s="34">
        <f>IF($B65="ABSOLUTE SEMANTIC",'19_FEATURE_CONFIDENCE'!$D$19,SQRT((SUMPRODUCT(--('93_TARGET_MEMBERSHIP'!BJ$5:BJ$27=1),'92_FEATURE_CONF_NUMERIC'!R$5:R$27)/MAX(1,COUNTIF('93_TARGET_MEMBERSHIP'!BJ$5:BJ$27,1)))*(SUMPRODUCT(--('93_TARGET_MEMBERSHIP'!BJ$5:BJ$27=-1),'92_FEATURE_CONF_NUMERIC'!R$5:R$27)/MAX(1,COUNTIF('93_TARGET_MEMBERSHIP'!BJ$5:BJ$27,-1)))))</f>
        <v/>
      </c>
      <c r="R65" s="34">
        <f>IF($B65="ABSOLUTE SEMANTIC",'19_FEATURE_CONFIDENCE'!$D$20,SQRT((SUMPRODUCT(--('93_TARGET_MEMBERSHIP'!BJ$5:BJ$27=1),'92_FEATURE_CONF_NUMERIC'!S$5:S$27)/MAX(1,COUNTIF('93_TARGET_MEMBERSHIP'!BJ$5:BJ$27,1)))*(SUMPRODUCT(--('93_TARGET_MEMBERSHIP'!BJ$5:BJ$27=-1),'92_FEATURE_CONF_NUMERIC'!S$5:S$27)/MAX(1,COUNTIF('93_TARGET_MEMBERSHIP'!BJ$5:BJ$27,-1)))))</f>
        <v/>
      </c>
      <c r="S65" s="34">
        <f>IF($B65="ABSOLUTE SEMANTIC",'19_FEATURE_CONFIDENCE'!$D$21,SQRT((SUMPRODUCT(--('93_TARGET_MEMBERSHIP'!BJ$5:BJ$27=1),'92_FEATURE_CONF_NUMERIC'!T$5:T$27)/MAX(1,COUNTIF('93_TARGET_MEMBERSHIP'!BJ$5:BJ$27,1)))*(SUMPRODUCT(--('93_TARGET_MEMBERSHIP'!BJ$5:BJ$27=-1),'92_FEATURE_CONF_NUMERIC'!T$5:T$27)/MAX(1,COUNTIF('93_TARGET_MEMBERSHIP'!BJ$5:BJ$27,-1)))))</f>
        <v/>
      </c>
      <c r="T65" s="34">
        <f>IF($B65="ABSOLUTE SEMANTIC",'19_FEATURE_CONFIDENCE'!$D$22,SQRT((SUMPRODUCT(--('93_TARGET_MEMBERSHIP'!BJ$5:BJ$27=1),'92_FEATURE_CONF_NUMERIC'!U$5:U$27)/MAX(1,COUNTIF('93_TARGET_MEMBERSHIP'!BJ$5:BJ$27,1)))*(SUMPRODUCT(--('93_TARGET_MEMBERSHIP'!BJ$5:BJ$27=-1),'92_FEATURE_CONF_NUMERIC'!U$5:U$27)/MAX(1,COUNTIF('93_TARGET_MEMBERSHIP'!BJ$5:BJ$27,-1)))))</f>
        <v/>
      </c>
      <c r="U65" s="34">
        <f>IF($B65="ABSOLUTE SEMANTIC",'19_FEATURE_CONFIDENCE'!$D$23,SQRT((SUMPRODUCT(--('93_TARGET_MEMBERSHIP'!BJ$5:BJ$27=1),'92_FEATURE_CONF_NUMERIC'!V$5:V$27)/MAX(1,COUNTIF('93_TARGET_MEMBERSHIP'!BJ$5:BJ$27,1)))*(SUMPRODUCT(--('93_TARGET_MEMBERSHIP'!BJ$5:BJ$27=-1),'92_FEATURE_CONF_NUMERIC'!V$5:V$27)/MAX(1,COUNTIF('93_TARGET_MEMBERSHIP'!BJ$5:BJ$27,-1)))))</f>
        <v/>
      </c>
      <c r="V65" s="34">
        <f>IF($B65="ABSOLUTE SEMANTIC",'19_FEATURE_CONFIDENCE'!$D$24,SQRT((SUMPRODUCT(--('93_TARGET_MEMBERSHIP'!BJ$5:BJ$27=1),'92_FEATURE_CONF_NUMERIC'!W$5:W$27)/MAX(1,COUNTIF('93_TARGET_MEMBERSHIP'!BJ$5:BJ$27,1)))*(SUMPRODUCT(--('93_TARGET_MEMBERSHIP'!BJ$5:BJ$27=-1),'92_FEATURE_CONF_NUMERIC'!W$5:W$27)/MAX(1,COUNTIF('93_TARGET_MEMBERSHIP'!BJ$5:BJ$27,-1)))))</f>
        <v/>
      </c>
      <c r="W65" s="34">
        <f>IF($B65="ABSOLUTE SEMANTIC",'19_FEATURE_CONFIDENCE'!$D$25,SQRT((SUMPRODUCT(--('93_TARGET_MEMBERSHIP'!BJ$5:BJ$27=1),'92_FEATURE_CONF_NUMERIC'!X$5:X$27)/MAX(1,COUNTIF('93_TARGET_MEMBERSHIP'!BJ$5:BJ$27,1)))*(SUMPRODUCT(--('93_TARGET_MEMBERSHIP'!BJ$5:BJ$27=-1),'92_FEATURE_CONF_NUMERIC'!X$5:X$27)/MAX(1,COUNTIF('93_TARGET_MEMBERSHIP'!BJ$5:BJ$27,-1)))))</f>
        <v/>
      </c>
      <c r="X65" s="34">
        <f>IF($B65="ABSOLUTE SEMANTIC",'19_FEATURE_CONFIDENCE'!$D$26,SQRT((SUMPRODUCT(--('93_TARGET_MEMBERSHIP'!BJ$5:BJ$27=1),'92_FEATURE_CONF_NUMERIC'!Y$5:Y$27)/MAX(1,COUNTIF('93_TARGET_MEMBERSHIP'!BJ$5:BJ$27,1)))*(SUMPRODUCT(--('93_TARGET_MEMBERSHIP'!BJ$5:BJ$27=-1),'92_FEATURE_CONF_NUMERIC'!Y$5:Y$27)/MAX(1,COUNTIF('93_TARGET_MEMBERSHIP'!BJ$5:BJ$27,-1)))))</f>
        <v/>
      </c>
      <c r="Y65" s="34">
        <f>IF($B65="ABSOLUTE SEMANTIC",'19_FEATURE_CONFIDENCE'!$D$27,SQRT((SUMPRODUCT(--('93_TARGET_MEMBERSHIP'!BJ$5:BJ$27=1),'92_FEATURE_CONF_NUMERIC'!Z$5:Z$27)/MAX(1,COUNTIF('93_TARGET_MEMBERSHIP'!BJ$5:BJ$27,1)))*(SUMPRODUCT(--('93_TARGET_MEMBERSHIP'!BJ$5:BJ$27=-1),'92_FEATURE_CONF_NUMERIC'!Z$5:Z$27)/MAX(1,COUNTIF('93_TARGET_MEMBERSHIP'!BJ$5:BJ$27,-1)))))</f>
        <v/>
      </c>
      <c r="Z65" s="34">
        <f>IF($B65="ABSOLUTE SEMANTIC",'19_FEATURE_CONFIDENCE'!$D$28,SQRT((SUMPRODUCT(--('93_TARGET_MEMBERSHIP'!BJ$5:BJ$27=1),'92_FEATURE_CONF_NUMERIC'!AA$5:AA$27)/MAX(1,COUNTIF('93_TARGET_MEMBERSHIP'!BJ$5:BJ$27,1)))*(SUMPRODUCT(--('93_TARGET_MEMBERSHIP'!BJ$5:BJ$27=-1),'92_FEATURE_CONF_NUMERIC'!AA$5:AA$27)/MAX(1,COUNTIF('93_TARGET_MEMBERSHIP'!BJ$5:BJ$27,-1)))))</f>
        <v/>
      </c>
      <c r="AA65" s="34">
        <f>IF($B65="ABSOLUTE SEMANTIC",'19_FEATURE_CONFIDENCE'!$D$29,SQRT((SUMPRODUCT(--('93_TARGET_MEMBERSHIP'!BJ$5:BJ$27=1),'92_FEATURE_CONF_NUMERIC'!AB$5:AB$27)/MAX(1,COUNTIF('93_TARGET_MEMBERSHIP'!BJ$5:BJ$27,1)))*(SUMPRODUCT(--('93_TARGET_MEMBERSHIP'!BJ$5:BJ$27=-1),'92_FEATURE_CONF_NUMERIC'!AB$5:AB$27)/MAX(1,COUNTIF('93_TARGET_MEMBERSHIP'!BJ$5:BJ$27,-1)))))</f>
        <v/>
      </c>
      <c r="AB65" s="34">
        <f>IF($B65="ABSOLUTE SEMANTIC",'19_FEATURE_CONFIDENCE'!$D$30,SQRT((SUMPRODUCT(--('93_TARGET_MEMBERSHIP'!BJ$5:BJ$27=1),'92_FEATURE_CONF_NUMERIC'!AC$5:AC$27)/MAX(1,COUNTIF('93_TARGET_MEMBERSHIP'!BJ$5:BJ$27,1)))*(SUMPRODUCT(--('93_TARGET_MEMBERSHIP'!BJ$5:BJ$27=-1),'92_FEATURE_CONF_NUMERIC'!AC$5:AC$27)/MAX(1,COUNTIF('93_TARGET_MEMBERSHIP'!BJ$5:BJ$27,-1)))))</f>
        <v/>
      </c>
      <c r="AC65" s="34">
        <f>IF($B65="ABSOLUTE SEMANTIC",'19_FEATURE_CONFIDENCE'!$D$31,SQRT((SUMPRODUCT(--('93_TARGET_MEMBERSHIP'!BJ$5:BJ$27=1),'92_FEATURE_CONF_NUMERIC'!AD$5:AD$27)/MAX(1,COUNTIF('93_TARGET_MEMBERSHIP'!BJ$5:BJ$27,1)))*(SUMPRODUCT(--('93_TARGET_MEMBERSHIP'!BJ$5:BJ$27=-1),'92_FEATURE_CONF_NUMERIC'!AD$5:AD$27)/MAX(1,COUNTIF('93_TARGET_MEMBERSHIP'!BJ$5:BJ$27,-1)))))</f>
        <v/>
      </c>
      <c r="AD65" s="34">
        <f>IF($B65="ABSOLUTE SEMANTIC",'19_FEATURE_CONFIDENCE'!$D$32,SQRT((SUMPRODUCT(--('93_TARGET_MEMBERSHIP'!BJ$5:BJ$27=1),'92_FEATURE_CONF_NUMERIC'!AE$5:AE$27)/MAX(1,COUNTIF('93_TARGET_MEMBERSHIP'!BJ$5:BJ$27,1)))*(SUMPRODUCT(--('93_TARGET_MEMBERSHIP'!BJ$5:BJ$27=-1),'92_FEATURE_CONF_NUMERIC'!AE$5:AE$27)/MAX(1,COUNTIF('93_TARGET_MEMBERSHIP'!BJ$5:BJ$27,-1)))))</f>
        <v/>
      </c>
      <c r="AE65" s="34">
        <f>IF($B65="ABSOLUTE SEMANTIC",'19_FEATURE_CONFIDENCE'!$D$33,SQRT((SUMPRODUCT(--('93_TARGET_MEMBERSHIP'!BJ$5:BJ$27=1),'92_FEATURE_CONF_NUMERIC'!AF$5:AF$27)/MAX(1,COUNTIF('93_TARGET_MEMBERSHIP'!BJ$5:BJ$27,1)))*(SUMPRODUCT(--('93_TARGET_MEMBERSHIP'!BJ$5:BJ$27=-1),'92_FEATURE_CONF_NUMERIC'!AF$5:AF$27)/MAX(1,COUNTIF('93_TARGET_MEMBERSHIP'!BJ$5:BJ$27,-1)))))</f>
        <v/>
      </c>
      <c r="AF65" s="34">
        <f>IF($B65="ABSOLUTE SEMANTIC",'19_FEATURE_CONFIDENCE'!$D$34,SQRT((SUMPRODUCT(--('93_TARGET_MEMBERSHIP'!BJ$5:BJ$27=1),'92_FEATURE_CONF_NUMERIC'!AG$5:AG$27)/MAX(1,COUNTIF('93_TARGET_MEMBERSHIP'!BJ$5:BJ$27,1)))*(SUMPRODUCT(--('93_TARGET_MEMBERSHIP'!BJ$5:BJ$27=-1),'92_FEATURE_CONF_NUMERIC'!AG$5:AG$27)/MAX(1,COUNTIF('93_TARGET_MEMBERSHIP'!BJ$5:BJ$27,-1)))))</f>
        <v/>
      </c>
      <c r="AG65" s="34">
        <f>IF($B65="ABSOLUTE SEMANTIC",'19_FEATURE_CONFIDENCE'!$D$35,SQRT((SUMPRODUCT(--('93_TARGET_MEMBERSHIP'!BJ$5:BJ$27=1),'92_FEATURE_CONF_NUMERIC'!AH$5:AH$27)/MAX(1,COUNTIF('93_TARGET_MEMBERSHIP'!BJ$5:BJ$27,1)))*(SUMPRODUCT(--('93_TARGET_MEMBERSHIP'!BJ$5:BJ$27=-1),'92_FEATURE_CONF_NUMERIC'!AH$5:AH$27)/MAX(1,COUNTIF('93_TARGET_MEMBERSHIP'!BJ$5:BJ$27,-1)))))</f>
        <v/>
      </c>
      <c r="AH65" s="34">
        <f>IF($B65="ABSOLUTE SEMANTIC",'19_FEATURE_CONFIDENCE'!$D$36,SQRT((SUMPRODUCT(--('93_TARGET_MEMBERSHIP'!BJ$5:BJ$27=1),'92_FEATURE_CONF_NUMERIC'!AI$5:AI$27)/MAX(1,COUNTIF('93_TARGET_MEMBERSHIP'!BJ$5:BJ$27,1)))*(SUMPRODUCT(--('93_TARGET_MEMBERSHIP'!BJ$5:BJ$27=-1),'92_FEATURE_CONF_NUMERIC'!AI$5:AI$27)/MAX(1,COUNTIF('93_TARGET_MEMBERSHIP'!BJ$5:BJ$27,-1)))))</f>
        <v/>
      </c>
      <c r="AI65" s="34">
        <f>IF($B65="ABSOLUTE SEMANTIC",'19_FEATURE_CONFIDENCE'!$D$37,SQRT((SUMPRODUCT(--('93_TARGET_MEMBERSHIP'!BJ$5:BJ$27=1),'92_FEATURE_CONF_NUMERIC'!AJ$5:AJ$27)/MAX(1,COUNTIF('93_TARGET_MEMBERSHIP'!BJ$5:BJ$27,1)))*(SUMPRODUCT(--('93_TARGET_MEMBERSHIP'!BJ$5:BJ$27=-1),'92_FEATURE_CONF_NUMERIC'!AJ$5:AJ$27)/MAX(1,COUNTIF('93_TARGET_MEMBERSHIP'!BJ$5:BJ$27,-1)))))</f>
        <v/>
      </c>
      <c r="AJ65" s="34">
        <f>IF($B65="ABSOLUTE SEMANTIC",'19_FEATURE_CONFIDENCE'!$D$38,SQRT((SUMPRODUCT(--('93_TARGET_MEMBERSHIP'!BJ$5:BJ$27=1),'92_FEATURE_CONF_NUMERIC'!AK$5:AK$27)/MAX(1,COUNTIF('93_TARGET_MEMBERSHIP'!BJ$5:BJ$27,1)))*(SUMPRODUCT(--('93_TARGET_MEMBERSHIP'!BJ$5:BJ$27=-1),'92_FEATURE_CONF_NUMERIC'!AK$5:AK$27)/MAX(1,COUNTIF('93_TARGET_MEMBERSHIP'!BJ$5:BJ$27,-1)))))</f>
        <v/>
      </c>
      <c r="AK65" s="34">
        <f>IF($B65="ABSOLUTE SEMANTIC",'19_FEATURE_CONFIDENCE'!$D$39,SQRT((SUMPRODUCT(--('93_TARGET_MEMBERSHIP'!BJ$5:BJ$27=1),'92_FEATURE_CONF_NUMERIC'!AL$5:AL$27)/MAX(1,COUNTIF('93_TARGET_MEMBERSHIP'!BJ$5:BJ$27,1)))*(SUMPRODUCT(--('93_TARGET_MEMBERSHIP'!BJ$5:BJ$27=-1),'92_FEATURE_CONF_NUMERIC'!AL$5:AL$27)/MAX(1,COUNTIF('93_TARGET_MEMBERSHIP'!BJ$5:BJ$27,-1)))))</f>
        <v/>
      </c>
      <c r="AL65" s="34">
        <f>IF($B65="ABSOLUTE SEMANTIC",'19_FEATURE_CONFIDENCE'!$D$40,SQRT((SUMPRODUCT(--('93_TARGET_MEMBERSHIP'!BJ$5:BJ$27=1),'92_FEATURE_CONF_NUMERIC'!AM$5:AM$27)/MAX(1,COUNTIF('93_TARGET_MEMBERSHIP'!BJ$5:BJ$27,1)))*(SUMPRODUCT(--('93_TARGET_MEMBERSHIP'!BJ$5:BJ$27=-1),'92_FEATURE_CONF_NUMERIC'!AM$5:AM$27)/MAX(1,COUNTIF('93_TARGET_MEMBERSHIP'!BJ$5:BJ$27,-1)))))</f>
        <v/>
      </c>
      <c r="AM65" s="34">
        <f>IF($B65="ABSOLUTE SEMANTIC",'19_FEATURE_CONFIDENCE'!$D$41,SQRT((SUMPRODUCT(--('93_TARGET_MEMBERSHIP'!BJ$5:BJ$27=1),'92_FEATURE_CONF_NUMERIC'!AN$5:AN$27)/MAX(1,COUNTIF('93_TARGET_MEMBERSHIP'!BJ$5:BJ$27,1)))*(SUMPRODUCT(--('93_TARGET_MEMBERSHIP'!BJ$5:BJ$27=-1),'92_FEATURE_CONF_NUMERIC'!AN$5:AN$27)/MAX(1,COUNTIF('93_TARGET_MEMBERSHIP'!BJ$5:BJ$27,-1)))))</f>
        <v/>
      </c>
      <c r="AN65" s="34">
        <f>IF($B65="ABSOLUTE SEMANTIC",'19_FEATURE_CONFIDENCE'!$D$42,SQRT((SUMPRODUCT(--('93_TARGET_MEMBERSHIP'!BJ$5:BJ$27=1),'92_FEATURE_CONF_NUMERIC'!AO$5:AO$27)/MAX(1,COUNTIF('93_TARGET_MEMBERSHIP'!BJ$5:BJ$27,1)))*(SUMPRODUCT(--('93_TARGET_MEMBERSHIP'!BJ$5:BJ$27=-1),'92_FEATURE_CONF_NUMERIC'!AO$5:AO$27)/MAX(1,COUNTIF('93_TARGET_MEMBERSHIP'!BJ$5:BJ$27,-1)))))</f>
        <v/>
      </c>
      <c r="AO65" s="34">
        <f>IF($B65="ABSOLUTE SEMANTIC",'19_FEATURE_CONFIDENCE'!$D$43,SQRT((SUMPRODUCT(--('93_TARGET_MEMBERSHIP'!BJ$5:BJ$27=1),'92_FEATURE_CONF_NUMERIC'!AP$5:AP$27)/MAX(1,COUNTIF('93_TARGET_MEMBERSHIP'!BJ$5:BJ$27,1)))*(SUMPRODUCT(--('93_TARGET_MEMBERSHIP'!BJ$5:BJ$27=-1),'92_FEATURE_CONF_NUMERIC'!AP$5:AP$27)/MAX(1,COUNTIF('93_TARGET_MEMBERSHIP'!BJ$5:BJ$27,-1)))))</f>
        <v/>
      </c>
      <c r="AP65" s="34">
        <f>IF($B65="ABSOLUTE SEMANTIC",'19_FEATURE_CONFIDENCE'!$D$44,SQRT((SUMPRODUCT(--('93_TARGET_MEMBERSHIP'!BJ$5:BJ$27=1),'92_FEATURE_CONF_NUMERIC'!AQ$5:AQ$27)/MAX(1,COUNTIF('93_TARGET_MEMBERSHIP'!BJ$5:BJ$27,1)))*(SUMPRODUCT(--('93_TARGET_MEMBERSHIP'!BJ$5:BJ$27=-1),'92_FEATURE_CONF_NUMERIC'!AQ$5:AQ$27)/MAX(1,COUNTIF('93_TARGET_MEMBERSHIP'!BJ$5:BJ$27,-1)))))</f>
        <v/>
      </c>
      <c r="AQ65" s="34">
        <f>IF($B65="ABSOLUTE SEMANTIC",'19_FEATURE_CONFIDENCE'!$D$45,SQRT((SUMPRODUCT(--('93_TARGET_MEMBERSHIP'!BJ$5:BJ$27=1),'92_FEATURE_CONF_NUMERIC'!AR$5:AR$27)/MAX(1,COUNTIF('93_TARGET_MEMBERSHIP'!BJ$5:BJ$27,1)))*(SUMPRODUCT(--('93_TARGET_MEMBERSHIP'!BJ$5:BJ$27=-1),'92_FEATURE_CONF_NUMERIC'!AR$5:AR$27)/MAX(1,COUNTIF('93_TARGET_MEMBERSHIP'!BJ$5:BJ$27,-1)))))</f>
        <v/>
      </c>
    </row>
    <row r="66" ht="36" customHeight="1">
      <c r="A66" s="34">
        <f>'06_ITEM_POLE_MODEL'!A66</f>
        <v/>
      </c>
      <c r="B66" s="34">
        <f>'06_ITEM_POLE_MODEL'!E66</f>
        <v/>
      </c>
      <c r="C66" s="34">
        <f>IF($B66="ABSOLUTE SEMANTIC",'19_FEATURE_CONFIDENCE'!$D$5,SQRT((SUMPRODUCT(--('93_TARGET_MEMBERSHIP'!BK$5:BK$27=1),'92_FEATURE_CONF_NUMERIC'!D$5:D$27)/MAX(1,COUNTIF('93_TARGET_MEMBERSHIP'!BK$5:BK$27,1)))*(SUMPRODUCT(--('93_TARGET_MEMBERSHIP'!BK$5:BK$27=-1),'92_FEATURE_CONF_NUMERIC'!D$5:D$27)/MAX(1,COUNTIF('93_TARGET_MEMBERSHIP'!BK$5:BK$27,-1)))))</f>
        <v/>
      </c>
      <c r="D66" s="34">
        <f>IF($B66="ABSOLUTE SEMANTIC",'19_FEATURE_CONFIDENCE'!$D$6,SQRT((SUMPRODUCT(--('93_TARGET_MEMBERSHIP'!BK$5:BK$27=1),'92_FEATURE_CONF_NUMERIC'!E$5:E$27)/MAX(1,COUNTIF('93_TARGET_MEMBERSHIP'!BK$5:BK$27,1)))*(SUMPRODUCT(--('93_TARGET_MEMBERSHIP'!BK$5:BK$27=-1),'92_FEATURE_CONF_NUMERIC'!E$5:E$27)/MAX(1,COUNTIF('93_TARGET_MEMBERSHIP'!BK$5:BK$27,-1)))))</f>
        <v/>
      </c>
      <c r="E66" s="34">
        <f>IF($B66="ABSOLUTE SEMANTIC",'19_FEATURE_CONFIDENCE'!$D$7,SQRT((SUMPRODUCT(--('93_TARGET_MEMBERSHIP'!BK$5:BK$27=1),'92_FEATURE_CONF_NUMERIC'!F$5:F$27)/MAX(1,COUNTIF('93_TARGET_MEMBERSHIP'!BK$5:BK$27,1)))*(SUMPRODUCT(--('93_TARGET_MEMBERSHIP'!BK$5:BK$27=-1),'92_FEATURE_CONF_NUMERIC'!F$5:F$27)/MAX(1,COUNTIF('93_TARGET_MEMBERSHIP'!BK$5:BK$27,-1)))))</f>
        <v/>
      </c>
      <c r="F66" s="34">
        <f>IF($B66="ABSOLUTE SEMANTIC",'19_FEATURE_CONFIDENCE'!$D$8,SQRT((SUMPRODUCT(--('93_TARGET_MEMBERSHIP'!BK$5:BK$27=1),'92_FEATURE_CONF_NUMERIC'!G$5:G$27)/MAX(1,COUNTIF('93_TARGET_MEMBERSHIP'!BK$5:BK$27,1)))*(SUMPRODUCT(--('93_TARGET_MEMBERSHIP'!BK$5:BK$27=-1),'92_FEATURE_CONF_NUMERIC'!G$5:G$27)/MAX(1,COUNTIF('93_TARGET_MEMBERSHIP'!BK$5:BK$27,-1)))))</f>
        <v/>
      </c>
      <c r="G66" s="34">
        <f>IF($B66="ABSOLUTE SEMANTIC",'19_FEATURE_CONFIDENCE'!$D$9,SQRT((SUMPRODUCT(--('93_TARGET_MEMBERSHIP'!BK$5:BK$27=1),'92_FEATURE_CONF_NUMERIC'!H$5:H$27)/MAX(1,COUNTIF('93_TARGET_MEMBERSHIP'!BK$5:BK$27,1)))*(SUMPRODUCT(--('93_TARGET_MEMBERSHIP'!BK$5:BK$27=-1),'92_FEATURE_CONF_NUMERIC'!H$5:H$27)/MAX(1,COUNTIF('93_TARGET_MEMBERSHIP'!BK$5:BK$27,-1)))))</f>
        <v/>
      </c>
      <c r="H66" s="34">
        <f>IF($B66="ABSOLUTE SEMANTIC",'19_FEATURE_CONFIDENCE'!$D$10,SQRT((SUMPRODUCT(--('93_TARGET_MEMBERSHIP'!BK$5:BK$27=1),'92_FEATURE_CONF_NUMERIC'!I$5:I$27)/MAX(1,COUNTIF('93_TARGET_MEMBERSHIP'!BK$5:BK$27,1)))*(SUMPRODUCT(--('93_TARGET_MEMBERSHIP'!BK$5:BK$27=-1),'92_FEATURE_CONF_NUMERIC'!I$5:I$27)/MAX(1,COUNTIF('93_TARGET_MEMBERSHIP'!BK$5:BK$27,-1)))))</f>
        <v/>
      </c>
      <c r="I66" s="34">
        <f>IF($B66="ABSOLUTE SEMANTIC",'19_FEATURE_CONFIDENCE'!$D$11,SQRT((SUMPRODUCT(--('93_TARGET_MEMBERSHIP'!BK$5:BK$27=1),'92_FEATURE_CONF_NUMERIC'!J$5:J$27)/MAX(1,COUNTIF('93_TARGET_MEMBERSHIP'!BK$5:BK$27,1)))*(SUMPRODUCT(--('93_TARGET_MEMBERSHIP'!BK$5:BK$27=-1),'92_FEATURE_CONF_NUMERIC'!J$5:J$27)/MAX(1,COUNTIF('93_TARGET_MEMBERSHIP'!BK$5:BK$27,-1)))))</f>
        <v/>
      </c>
      <c r="J66" s="34">
        <f>IF($B66="ABSOLUTE SEMANTIC",'19_FEATURE_CONFIDENCE'!$D$12,SQRT((SUMPRODUCT(--('93_TARGET_MEMBERSHIP'!BK$5:BK$27=1),'92_FEATURE_CONF_NUMERIC'!K$5:K$27)/MAX(1,COUNTIF('93_TARGET_MEMBERSHIP'!BK$5:BK$27,1)))*(SUMPRODUCT(--('93_TARGET_MEMBERSHIP'!BK$5:BK$27=-1),'92_FEATURE_CONF_NUMERIC'!K$5:K$27)/MAX(1,COUNTIF('93_TARGET_MEMBERSHIP'!BK$5:BK$27,-1)))))</f>
        <v/>
      </c>
      <c r="K66" s="34">
        <f>IF($B66="ABSOLUTE SEMANTIC",'19_FEATURE_CONFIDENCE'!$D$13,SQRT((SUMPRODUCT(--('93_TARGET_MEMBERSHIP'!BK$5:BK$27=1),'92_FEATURE_CONF_NUMERIC'!L$5:L$27)/MAX(1,COUNTIF('93_TARGET_MEMBERSHIP'!BK$5:BK$27,1)))*(SUMPRODUCT(--('93_TARGET_MEMBERSHIP'!BK$5:BK$27=-1),'92_FEATURE_CONF_NUMERIC'!L$5:L$27)/MAX(1,COUNTIF('93_TARGET_MEMBERSHIP'!BK$5:BK$27,-1)))))</f>
        <v/>
      </c>
      <c r="L66" s="34">
        <f>IF($B66="ABSOLUTE SEMANTIC",'19_FEATURE_CONFIDENCE'!$D$14,SQRT((SUMPRODUCT(--('93_TARGET_MEMBERSHIP'!BK$5:BK$27=1),'92_FEATURE_CONF_NUMERIC'!M$5:M$27)/MAX(1,COUNTIF('93_TARGET_MEMBERSHIP'!BK$5:BK$27,1)))*(SUMPRODUCT(--('93_TARGET_MEMBERSHIP'!BK$5:BK$27=-1),'92_FEATURE_CONF_NUMERIC'!M$5:M$27)/MAX(1,COUNTIF('93_TARGET_MEMBERSHIP'!BK$5:BK$27,-1)))))</f>
        <v/>
      </c>
      <c r="M66" s="34">
        <f>IF($B66="ABSOLUTE SEMANTIC",'19_FEATURE_CONFIDENCE'!$D$15,SQRT((SUMPRODUCT(--('93_TARGET_MEMBERSHIP'!BK$5:BK$27=1),'92_FEATURE_CONF_NUMERIC'!N$5:N$27)/MAX(1,COUNTIF('93_TARGET_MEMBERSHIP'!BK$5:BK$27,1)))*(SUMPRODUCT(--('93_TARGET_MEMBERSHIP'!BK$5:BK$27=-1),'92_FEATURE_CONF_NUMERIC'!N$5:N$27)/MAX(1,COUNTIF('93_TARGET_MEMBERSHIP'!BK$5:BK$27,-1)))))</f>
        <v/>
      </c>
      <c r="N66" s="34">
        <f>IF($B66="ABSOLUTE SEMANTIC",'19_FEATURE_CONFIDENCE'!$D$16,SQRT((SUMPRODUCT(--('93_TARGET_MEMBERSHIP'!BK$5:BK$27=1),'92_FEATURE_CONF_NUMERIC'!O$5:O$27)/MAX(1,COUNTIF('93_TARGET_MEMBERSHIP'!BK$5:BK$27,1)))*(SUMPRODUCT(--('93_TARGET_MEMBERSHIP'!BK$5:BK$27=-1),'92_FEATURE_CONF_NUMERIC'!O$5:O$27)/MAX(1,COUNTIF('93_TARGET_MEMBERSHIP'!BK$5:BK$27,-1)))))</f>
        <v/>
      </c>
      <c r="O66" s="34">
        <f>IF($B66="ABSOLUTE SEMANTIC",'19_FEATURE_CONFIDENCE'!$D$17,SQRT((SUMPRODUCT(--('93_TARGET_MEMBERSHIP'!BK$5:BK$27=1),'92_FEATURE_CONF_NUMERIC'!P$5:P$27)/MAX(1,COUNTIF('93_TARGET_MEMBERSHIP'!BK$5:BK$27,1)))*(SUMPRODUCT(--('93_TARGET_MEMBERSHIP'!BK$5:BK$27=-1),'92_FEATURE_CONF_NUMERIC'!P$5:P$27)/MAX(1,COUNTIF('93_TARGET_MEMBERSHIP'!BK$5:BK$27,-1)))))</f>
        <v/>
      </c>
      <c r="P66" s="34">
        <f>IF($B66="ABSOLUTE SEMANTIC",'19_FEATURE_CONFIDENCE'!$D$18,SQRT((SUMPRODUCT(--('93_TARGET_MEMBERSHIP'!BK$5:BK$27=1),'92_FEATURE_CONF_NUMERIC'!Q$5:Q$27)/MAX(1,COUNTIF('93_TARGET_MEMBERSHIP'!BK$5:BK$27,1)))*(SUMPRODUCT(--('93_TARGET_MEMBERSHIP'!BK$5:BK$27=-1),'92_FEATURE_CONF_NUMERIC'!Q$5:Q$27)/MAX(1,COUNTIF('93_TARGET_MEMBERSHIP'!BK$5:BK$27,-1)))))</f>
        <v/>
      </c>
      <c r="Q66" s="34">
        <f>IF($B66="ABSOLUTE SEMANTIC",'19_FEATURE_CONFIDENCE'!$D$19,SQRT((SUMPRODUCT(--('93_TARGET_MEMBERSHIP'!BK$5:BK$27=1),'92_FEATURE_CONF_NUMERIC'!R$5:R$27)/MAX(1,COUNTIF('93_TARGET_MEMBERSHIP'!BK$5:BK$27,1)))*(SUMPRODUCT(--('93_TARGET_MEMBERSHIP'!BK$5:BK$27=-1),'92_FEATURE_CONF_NUMERIC'!R$5:R$27)/MAX(1,COUNTIF('93_TARGET_MEMBERSHIP'!BK$5:BK$27,-1)))))</f>
        <v/>
      </c>
      <c r="R66" s="34">
        <f>IF($B66="ABSOLUTE SEMANTIC",'19_FEATURE_CONFIDENCE'!$D$20,SQRT((SUMPRODUCT(--('93_TARGET_MEMBERSHIP'!BK$5:BK$27=1),'92_FEATURE_CONF_NUMERIC'!S$5:S$27)/MAX(1,COUNTIF('93_TARGET_MEMBERSHIP'!BK$5:BK$27,1)))*(SUMPRODUCT(--('93_TARGET_MEMBERSHIP'!BK$5:BK$27=-1),'92_FEATURE_CONF_NUMERIC'!S$5:S$27)/MAX(1,COUNTIF('93_TARGET_MEMBERSHIP'!BK$5:BK$27,-1)))))</f>
        <v/>
      </c>
      <c r="S66" s="34">
        <f>IF($B66="ABSOLUTE SEMANTIC",'19_FEATURE_CONFIDENCE'!$D$21,SQRT((SUMPRODUCT(--('93_TARGET_MEMBERSHIP'!BK$5:BK$27=1),'92_FEATURE_CONF_NUMERIC'!T$5:T$27)/MAX(1,COUNTIF('93_TARGET_MEMBERSHIP'!BK$5:BK$27,1)))*(SUMPRODUCT(--('93_TARGET_MEMBERSHIP'!BK$5:BK$27=-1),'92_FEATURE_CONF_NUMERIC'!T$5:T$27)/MAX(1,COUNTIF('93_TARGET_MEMBERSHIP'!BK$5:BK$27,-1)))))</f>
        <v/>
      </c>
      <c r="T66" s="34">
        <f>IF($B66="ABSOLUTE SEMANTIC",'19_FEATURE_CONFIDENCE'!$D$22,SQRT((SUMPRODUCT(--('93_TARGET_MEMBERSHIP'!BK$5:BK$27=1),'92_FEATURE_CONF_NUMERIC'!U$5:U$27)/MAX(1,COUNTIF('93_TARGET_MEMBERSHIP'!BK$5:BK$27,1)))*(SUMPRODUCT(--('93_TARGET_MEMBERSHIP'!BK$5:BK$27=-1),'92_FEATURE_CONF_NUMERIC'!U$5:U$27)/MAX(1,COUNTIF('93_TARGET_MEMBERSHIP'!BK$5:BK$27,-1)))))</f>
        <v/>
      </c>
      <c r="U66" s="34">
        <f>IF($B66="ABSOLUTE SEMANTIC",'19_FEATURE_CONFIDENCE'!$D$23,SQRT((SUMPRODUCT(--('93_TARGET_MEMBERSHIP'!BK$5:BK$27=1),'92_FEATURE_CONF_NUMERIC'!V$5:V$27)/MAX(1,COUNTIF('93_TARGET_MEMBERSHIP'!BK$5:BK$27,1)))*(SUMPRODUCT(--('93_TARGET_MEMBERSHIP'!BK$5:BK$27=-1),'92_FEATURE_CONF_NUMERIC'!V$5:V$27)/MAX(1,COUNTIF('93_TARGET_MEMBERSHIP'!BK$5:BK$27,-1)))))</f>
        <v/>
      </c>
      <c r="V66" s="34">
        <f>IF($B66="ABSOLUTE SEMANTIC",'19_FEATURE_CONFIDENCE'!$D$24,SQRT((SUMPRODUCT(--('93_TARGET_MEMBERSHIP'!BK$5:BK$27=1),'92_FEATURE_CONF_NUMERIC'!W$5:W$27)/MAX(1,COUNTIF('93_TARGET_MEMBERSHIP'!BK$5:BK$27,1)))*(SUMPRODUCT(--('93_TARGET_MEMBERSHIP'!BK$5:BK$27=-1),'92_FEATURE_CONF_NUMERIC'!W$5:W$27)/MAX(1,COUNTIF('93_TARGET_MEMBERSHIP'!BK$5:BK$27,-1)))))</f>
        <v/>
      </c>
      <c r="W66" s="34">
        <f>IF($B66="ABSOLUTE SEMANTIC",'19_FEATURE_CONFIDENCE'!$D$25,SQRT((SUMPRODUCT(--('93_TARGET_MEMBERSHIP'!BK$5:BK$27=1),'92_FEATURE_CONF_NUMERIC'!X$5:X$27)/MAX(1,COUNTIF('93_TARGET_MEMBERSHIP'!BK$5:BK$27,1)))*(SUMPRODUCT(--('93_TARGET_MEMBERSHIP'!BK$5:BK$27=-1),'92_FEATURE_CONF_NUMERIC'!X$5:X$27)/MAX(1,COUNTIF('93_TARGET_MEMBERSHIP'!BK$5:BK$27,-1)))))</f>
        <v/>
      </c>
      <c r="X66" s="34">
        <f>IF($B66="ABSOLUTE SEMANTIC",'19_FEATURE_CONFIDENCE'!$D$26,SQRT((SUMPRODUCT(--('93_TARGET_MEMBERSHIP'!BK$5:BK$27=1),'92_FEATURE_CONF_NUMERIC'!Y$5:Y$27)/MAX(1,COUNTIF('93_TARGET_MEMBERSHIP'!BK$5:BK$27,1)))*(SUMPRODUCT(--('93_TARGET_MEMBERSHIP'!BK$5:BK$27=-1),'92_FEATURE_CONF_NUMERIC'!Y$5:Y$27)/MAX(1,COUNTIF('93_TARGET_MEMBERSHIP'!BK$5:BK$27,-1)))))</f>
        <v/>
      </c>
      <c r="Y66" s="34">
        <f>IF($B66="ABSOLUTE SEMANTIC",'19_FEATURE_CONFIDENCE'!$D$27,SQRT((SUMPRODUCT(--('93_TARGET_MEMBERSHIP'!BK$5:BK$27=1),'92_FEATURE_CONF_NUMERIC'!Z$5:Z$27)/MAX(1,COUNTIF('93_TARGET_MEMBERSHIP'!BK$5:BK$27,1)))*(SUMPRODUCT(--('93_TARGET_MEMBERSHIP'!BK$5:BK$27=-1),'92_FEATURE_CONF_NUMERIC'!Z$5:Z$27)/MAX(1,COUNTIF('93_TARGET_MEMBERSHIP'!BK$5:BK$27,-1)))))</f>
        <v/>
      </c>
      <c r="Z66" s="34">
        <f>IF($B66="ABSOLUTE SEMANTIC",'19_FEATURE_CONFIDENCE'!$D$28,SQRT((SUMPRODUCT(--('93_TARGET_MEMBERSHIP'!BK$5:BK$27=1),'92_FEATURE_CONF_NUMERIC'!AA$5:AA$27)/MAX(1,COUNTIF('93_TARGET_MEMBERSHIP'!BK$5:BK$27,1)))*(SUMPRODUCT(--('93_TARGET_MEMBERSHIP'!BK$5:BK$27=-1),'92_FEATURE_CONF_NUMERIC'!AA$5:AA$27)/MAX(1,COUNTIF('93_TARGET_MEMBERSHIP'!BK$5:BK$27,-1)))))</f>
        <v/>
      </c>
      <c r="AA66" s="34">
        <f>IF($B66="ABSOLUTE SEMANTIC",'19_FEATURE_CONFIDENCE'!$D$29,SQRT((SUMPRODUCT(--('93_TARGET_MEMBERSHIP'!BK$5:BK$27=1),'92_FEATURE_CONF_NUMERIC'!AB$5:AB$27)/MAX(1,COUNTIF('93_TARGET_MEMBERSHIP'!BK$5:BK$27,1)))*(SUMPRODUCT(--('93_TARGET_MEMBERSHIP'!BK$5:BK$27=-1),'92_FEATURE_CONF_NUMERIC'!AB$5:AB$27)/MAX(1,COUNTIF('93_TARGET_MEMBERSHIP'!BK$5:BK$27,-1)))))</f>
        <v/>
      </c>
      <c r="AB66" s="34">
        <f>IF($B66="ABSOLUTE SEMANTIC",'19_FEATURE_CONFIDENCE'!$D$30,SQRT((SUMPRODUCT(--('93_TARGET_MEMBERSHIP'!BK$5:BK$27=1),'92_FEATURE_CONF_NUMERIC'!AC$5:AC$27)/MAX(1,COUNTIF('93_TARGET_MEMBERSHIP'!BK$5:BK$27,1)))*(SUMPRODUCT(--('93_TARGET_MEMBERSHIP'!BK$5:BK$27=-1),'92_FEATURE_CONF_NUMERIC'!AC$5:AC$27)/MAX(1,COUNTIF('93_TARGET_MEMBERSHIP'!BK$5:BK$27,-1)))))</f>
        <v/>
      </c>
      <c r="AC66" s="34">
        <f>IF($B66="ABSOLUTE SEMANTIC",'19_FEATURE_CONFIDENCE'!$D$31,SQRT((SUMPRODUCT(--('93_TARGET_MEMBERSHIP'!BK$5:BK$27=1),'92_FEATURE_CONF_NUMERIC'!AD$5:AD$27)/MAX(1,COUNTIF('93_TARGET_MEMBERSHIP'!BK$5:BK$27,1)))*(SUMPRODUCT(--('93_TARGET_MEMBERSHIP'!BK$5:BK$27=-1),'92_FEATURE_CONF_NUMERIC'!AD$5:AD$27)/MAX(1,COUNTIF('93_TARGET_MEMBERSHIP'!BK$5:BK$27,-1)))))</f>
        <v/>
      </c>
      <c r="AD66" s="34">
        <f>IF($B66="ABSOLUTE SEMANTIC",'19_FEATURE_CONFIDENCE'!$D$32,SQRT((SUMPRODUCT(--('93_TARGET_MEMBERSHIP'!BK$5:BK$27=1),'92_FEATURE_CONF_NUMERIC'!AE$5:AE$27)/MAX(1,COUNTIF('93_TARGET_MEMBERSHIP'!BK$5:BK$27,1)))*(SUMPRODUCT(--('93_TARGET_MEMBERSHIP'!BK$5:BK$27=-1),'92_FEATURE_CONF_NUMERIC'!AE$5:AE$27)/MAX(1,COUNTIF('93_TARGET_MEMBERSHIP'!BK$5:BK$27,-1)))))</f>
        <v/>
      </c>
      <c r="AE66" s="34">
        <f>IF($B66="ABSOLUTE SEMANTIC",'19_FEATURE_CONFIDENCE'!$D$33,SQRT((SUMPRODUCT(--('93_TARGET_MEMBERSHIP'!BK$5:BK$27=1),'92_FEATURE_CONF_NUMERIC'!AF$5:AF$27)/MAX(1,COUNTIF('93_TARGET_MEMBERSHIP'!BK$5:BK$27,1)))*(SUMPRODUCT(--('93_TARGET_MEMBERSHIP'!BK$5:BK$27=-1),'92_FEATURE_CONF_NUMERIC'!AF$5:AF$27)/MAX(1,COUNTIF('93_TARGET_MEMBERSHIP'!BK$5:BK$27,-1)))))</f>
        <v/>
      </c>
      <c r="AF66" s="34">
        <f>IF($B66="ABSOLUTE SEMANTIC",'19_FEATURE_CONFIDENCE'!$D$34,SQRT((SUMPRODUCT(--('93_TARGET_MEMBERSHIP'!BK$5:BK$27=1),'92_FEATURE_CONF_NUMERIC'!AG$5:AG$27)/MAX(1,COUNTIF('93_TARGET_MEMBERSHIP'!BK$5:BK$27,1)))*(SUMPRODUCT(--('93_TARGET_MEMBERSHIP'!BK$5:BK$27=-1),'92_FEATURE_CONF_NUMERIC'!AG$5:AG$27)/MAX(1,COUNTIF('93_TARGET_MEMBERSHIP'!BK$5:BK$27,-1)))))</f>
        <v/>
      </c>
      <c r="AG66" s="34">
        <f>IF($B66="ABSOLUTE SEMANTIC",'19_FEATURE_CONFIDENCE'!$D$35,SQRT((SUMPRODUCT(--('93_TARGET_MEMBERSHIP'!BK$5:BK$27=1),'92_FEATURE_CONF_NUMERIC'!AH$5:AH$27)/MAX(1,COUNTIF('93_TARGET_MEMBERSHIP'!BK$5:BK$27,1)))*(SUMPRODUCT(--('93_TARGET_MEMBERSHIP'!BK$5:BK$27=-1),'92_FEATURE_CONF_NUMERIC'!AH$5:AH$27)/MAX(1,COUNTIF('93_TARGET_MEMBERSHIP'!BK$5:BK$27,-1)))))</f>
        <v/>
      </c>
      <c r="AH66" s="34">
        <f>IF($B66="ABSOLUTE SEMANTIC",'19_FEATURE_CONFIDENCE'!$D$36,SQRT((SUMPRODUCT(--('93_TARGET_MEMBERSHIP'!BK$5:BK$27=1),'92_FEATURE_CONF_NUMERIC'!AI$5:AI$27)/MAX(1,COUNTIF('93_TARGET_MEMBERSHIP'!BK$5:BK$27,1)))*(SUMPRODUCT(--('93_TARGET_MEMBERSHIP'!BK$5:BK$27=-1),'92_FEATURE_CONF_NUMERIC'!AI$5:AI$27)/MAX(1,COUNTIF('93_TARGET_MEMBERSHIP'!BK$5:BK$27,-1)))))</f>
        <v/>
      </c>
      <c r="AI66" s="34">
        <f>IF($B66="ABSOLUTE SEMANTIC",'19_FEATURE_CONFIDENCE'!$D$37,SQRT((SUMPRODUCT(--('93_TARGET_MEMBERSHIP'!BK$5:BK$27=1),'92_FEATURE_CONF_NUMERIC'!AJ$5:AJ$27)/MAX(1,COUNTIF('93_TARGET_MEMBERSHIP'!BK$5:BK$27,1)))*(SUMPRODUCT(--('93_TARGET_MEMBERSHIP'!BK$5:BK$27=-1),'92_FEATURE_CONF_NUMERIC'!AJ$5:AJ$27)/MAX(1,COUNTIF('93_TARGET_MEMBERSHIP'!BK$5:BK$27,-1)))))</f>
        <v/>
      </c>
      <c r="AJ66" s="34">
        <f>IF($B66="ABSOLUTE SEMANTIC",'19_FEATURE_CONFIDENCE'!$D$38,SQRT((SUMPRODUCT(--('93_TARGET_MEMBERSHIP'!BK$5:BK$27=1),'92_FEATURE_CONF_NUMERIC'!AK$5:AK$27)/MAX(1,COUNTIF('93_TARGET_MEMBERSHIP'!BK$5:BK$27,1)))*(SUMPRODUCT(--('93_TARGET_MEMBERSHIP'!BK$5:BK$27=-1),'92_FEATURE_CONF_NUMERIC'!AK$5:AK$27)/MAX(1,COUNTIF('93_TARGET_MEMBERSHIP'!BK$5:BK$27,-1)))))</f>
        <v/>
      </c>
      <c r="AK66" s="34">
        <f>IF($B66="ABSOLUTE SEMANTIC",'19_FEATURE_CONFIDENCE'!$D$39,SQRT((SUMPRODUCT(--('93_TARGET_MEMBERSHIP'!BK$5:BK$27=1),'92_FEATURE_CONF_NUMERIC'!AL$5:AL$27)/MAX(1,COUNTIF('93_TARGET_MEMBERSHIP'!BK$5:BK$27,1)))*(SUMPRODUCT(--('93_TARGET_MEMBERSHIP'!BK$5:BK$27=-1),'92_FEATURE_CONF_NUMERIC'!AL$5:AL$27)/MAX(1,COUNTIF('93_TARGET_MEMBERSHIP'!BK$5:BK$27,-1)))))</f>
        <v/>
      </c>
      <c r="AL66" s="34">
        <f>IF($B66="ABSOLUTE SEMANTIC",'19_FEATURE_CONFIDENCE'!$D$40,SQRT((SUMPRODUCT(--('93_TARGET_MEMBERSHIP'!BK$5:BK$27=1),'92_FEATURE_CONF_NUMERIC'!AM$5:AM$27)/MAX(1,COUNTIF('93_TARGET_MEMBERSHIP'!BK$5:BK$27,1)))*(SUMPRODUCT(--('93_TARGET_MEMBERSHIP'!BK$5:BK$27=-1),'92_FEATURE_CONF_NUMERIC'!AM$5:AM$27)/MAX(1,COUNTIF('93_TARGET_MEMBERSHIP'!BK$5:BK$27,-1)))))</f>
        <v/>
      </c>
      <c r="AM66" s="34">
        <f>IF($B66="ABSOLUTE SEMANTIC",'19_FEATURE_CONFIDENCE'!$D$41,SQRT((SUMPRODUCT(--('93_TARGET_MEMBERSHIP'!BK$5:BK$27=1),'92_FEATURE_CONF_NUMERIC'!AN$5:AN$27)/MAX(1,COUNTIF('93_TARGET_MEMBERSHIP'!BK$5:BK$27,1)))*(SUMPRODUCT(--('93_TARGET_MEMBERSHIP'!BK$5:BK$27=-1),'92_FEATURE_CONF_NUMERIC'!AN$5:AN$27)/MAX(1,COUNTIF('93_TARGET_MEMBERSHIP'!BK$5:BK$27,-1)))))</f>
        <v/>
      </c>
      <c r="AN66" s="34">
        <f>IF($B66="ABSOLUTE SEMANTIC",'19_FEATURE_CONFIDENCE'!$D$42,SQRT((SUMPRODUCT(--('93_TARGET_MEMBERSHIP'!BK$5:BK$27=1),'92_FEATURE_CONF_NUMERIC'!AO$5:AO$27)/MAX(1,COUNTIF('93_TARGET_MEMBERSHIP'!BK$5:BK$27,1)))*(SUMPRODUCT(--('93_TARGET_MEMBERSHIP'!BK$5:BK$27=-1),'92_FEATURE_CONF_NUMERIC'!AO$5:AO$27)/MAX(1,COUNTIF('93_TARGET_MEMBERSHIP'!BK$5:BK$27,-1)))))</f>
        <v/>
      </c>
      <c r="AO66" s="34">
        <f>IF($B66="ABSOLUTE SEMANTIC",'19_FEATURE_CONFIDENCE'!$D$43,SQRT((SUMPRODUCT(--('93_TARGET_MEMBERSHIP'!BK$5:BK$27=1),'92_FEATURE_CONF_NUMERIC'!AP$5:AP$27)/MAX(1,COUNTIF('93_TARGET_MEMBERSHIP'!BK$5:BK$27,1)))*(SUMPRODUCT(--('93_TARGET_MEMBERSHIP'!BK$5:BK$27=-1),'92_FEATURE_CONF_NUMERIC'!AP$5:AP$27)/MAX(1,COUNTIF('93_TARGET_MEMBERSHIP'!BK$5:BK$27,-1)))))</f>
        <v/>
      </c>
      <c r="AP66" s="34">
        <f>IF($B66="ABSOLUTE SEMANTIC",'19_FEATURE_CONFIDENCE'!$D$44,SQRT((SUMPRODUCT(--('93_TARGET_MEMBERSHIP'!BK$5:BK$27=1),'92_FEATURE_CONF_NUMERIC'!AQ$5:AQ$27)/MAX(1,COUNTIF('93_TARGET_MEMBERSHIP'!BK$5:BK$27,1)))*(SUMPRODUCT(--('93_TARGET_MEMBERSHIP'!BK$5:BK$27=-1),'92_FEATURE_CONF_NUMERIC'!AQ$5:AQ$27)/MAX(1,COUNTIF('93_TARGET_MEMBERSHIP'!BK$5:BK$27,-1)))))</f>
        <v/>
      </c>
      <c r="AQ66" s="34">
        <f>IF($B66="ABSOLUTE SEMANTIC",'19_FEATURE_CONFIDENCE'!$D$45,SQRT((SUMPRODUCT(--('93_TARGET_MEMBERSHIP'!BK$5:BK$27=1),'92_FEATURE_CONF_NUMERIC'!AR$5:AR$27)/MAX(1,COUNTIF('93_TARGET_MEMBERSHIP'!BK$5:BK$27,1)))*(SUMPRODUCT(--('93_TARGET_MEMBERSHIP'!BK$5:BK$27=-1),'92_FEATURE_CONF_NUMERIC'!AR$5:AR$27)/MAX(1,COUNTIF('93_TARGET_MEMBERSHIP'!BK$5:BK$27,-1)))))</f>
        <v/>
      </c>
    </row>
    <row r="67" ht="36" customHeight="1">
      <c r="A67" s="34">
        <f>'06_ITEM_POLE_MODEL'!A67</f>
        <v/>
      </c>
      <c r="B67" s="34">
        <f>'06_ITEM_POLE_MODEL'!E67</f>
        <v/>
      </c>
      <c r="C67" s="34">
        <f>IF($B67="ABSOLUTE SEMANTIC",'19_FEATURE_CONFIDENCE'!$D$5,SQRT((SUMPRODUCT(--('93_TARGET_MEMBERSHIP'!BL$5:BL$27=1),'92_FEATURE_CONF_NUMERIC'!D$5:D$27)/MAX(1,COUNTIF('93_TARGET_MEMBERSHIP'!BL$5:BL$27,1)))*(SUMPRODUCT(--('93_TARGET_MEMBERSHIP'!BL$5:BL$27=-1),'92_FEATURE_CONF_NUMERIC'!D$5:D$27)/MAX(1,COUNTIF('93_TARGET_MEMBERSHIP'!BL$5:BL$27,-1)))))</f>
        <v/>
      </c>
      <c r="D67" s="34">
        <f>IF($B67="ABSOLUTE SEMANTIC",'19_FEATURE_CONFIDENCE'!$D$6,SQRT((SUMPRODUCT(--('93_TARGET_MEMBERSHIP'!BL$5:BL$27=1),'92_FEATURE_CONF_NUMERIC'!E$5:E$27)/MAX(1,COUNTIF('93_TARGET_MEMBERSHIP'!BL$5:BL$27,1)))*(SUMPRODUCT(--('93_TARGET_MEMBERSHIP'!BL$5:BL$27=-1),'92_FEATURE_CONF_NUMERIC'!E$5:E$27)/MAX(1,COUNTIF('93_TARGET_MEMBERSHIP'!BL$5:BL$27,-1)))))</f>
        <v/>
      </c>
      <c r="E67" s="34">
        <f>IF($B67="ABSOLUTE SEMANTIC",'19_FEATURE_CONFIDENCE'!$D$7,SQRT((SUMPRODUCT(--('93_TARGET_MEMBERSHIP'!BL$5:BL$27=1),'92_FEATURE_CONF_NUMERIC'!F$5:F$27)/MAX(1,COUNTIF('93_TARGET_MEMBERSHIP'!BL$5:BL$27,1)))*(SUMPRODUCT(--('93_TARGET_MEMBERSHIP'!BL$5:BL$27=-1),'92_FEATURE_CONF_NUMERIC'!F$5:F$27)/MAX(1,COUNTIF('93_TARGET_MEMBERSHIP'!BL$5:BL$27,-1)))))</f>
        <v/>
      </c>
      <c r="F67" s="34">
        <f>IF($B67="ABSOLUTE SEMANTIC",'19_FEATURE_CONFIDENCE'!$D$8,SQRT((SUMPRODUCT(--('93_TARGET_MEMBERSHIP'!BL$5:BL$27=1),'92_FEATURE_CONF_NUMERIC'!G$5:G$27)/MAX(1,COUNTIF('93_TARGET_MEMBERSHIP'!BL$5:BL$27,1)))*(SUMPRODUCT(--('93_TARGET_MEMBERSHIP'!BL$5:BL$27=-1),'92_FEATURE_CONF_NUMERIC'!G$5:G$27)/MAX(1,COUNTIF('93_TARGET_MEMBERSHIP'!BL$5:BL$27,-1)))))</f>
        <v/>
      </c>
      <c r="G67" s="34">
        <f>IF($B67="ABSOLUTE SEMANTIC",'19_FEATURE_CONFIDENCE'!$D$9,SQRT((SUMPRODUCT(--('93_TARGET_MEMBERSHIP'!BL$5:BL$27=1),'92_FEATURE_CONF_NUMERIC'!H$5:H$27)/MAX(1,COUNTIF('93_TARGET_MEMBERSHIP'!BL$5:BL$27,1)))*(SUMPRODUCT(--('93_TARGET_MEMBERSHIP'!BL$5:BL$27=-1),'92_FEATURE_CONF_NUMERIC'!H$5:H$27)/MAX(1,COUNTIF('93_TARGET_MEMBERSHIP'!BL$5:BL$27,-1)))))</f>
        <v/>
      </c>
      <c r="H67" s="34">
        <f>IF($B67="ABSOLUTE SEMANTIC",'19_FEATURE_CONFIDENCE'!$D$10,SQRT((SUMPRODUCT(--('93_TARGET_MEMBERSHIP'!BL$5:BL$27=1),'92_FEATURE_CONF_NUMERIC'!I$5:I$27)/MAX(1,COUNTIF('93_TARGET_MEMBERSHIP'!BL$5:BL$27,1)))*(SUMPRODUCT(--('93_TARGET_MEMBERSHIP'!BL$5:BL$27=-1),'92_FEATURE_CONF_NUMERIC'!I$5:I$27)/MAX(1,COUNTIF('93_TARGET_MEMBERSHIP'!BL$5:BL$27,-1)))))</f>
        <v/>
      </c>
      <c r="I67" s="34">
        <f>IF($B67="ABSOLUTE SEMANTIC",'19_FEATURE_CONFIDENCE'!$D$11,SQRT((SUMPRODUCT(--('93_TARGET_MEMBERSHIP'!BL$5:BL$27=1),'92_FEATURE_CONF_NUMERIC'!J$5:J$27)/MAX(1,COUNTIF('93_TARGET_MEMBERSHIP'!BL$5:BL$27,1)))*(SUMPRODUCT(--('93_TARGET_MEMBERSHIP'!BL$5:BL$27=-1),'92_FEATURE_CONF_NUMERIC'!J$5:J$27)/MAX(1,COUNTIF('93_TARGET_MEMBERSHIP'!BL$5:BL$27,-1)))))</f>
        <v/>
      </c>
      <c r="J67" s="34">
        <f>IF($B67="ABSOLUTE SEMANTIC",'19_FEATURE_CONFIDENCE'!$D$12,SQRT((SUMPRODUCT(--('93_TARGET_MEMBERSHIP'!BL$5:BL$27=1),'92_FEATURE_CONF_NUMERIC'!K$5:K$27)/MAX(1,COUNTIF('93_TARGET_MEMBERSHIP'!BL$5:BL$27,1)))*(SUMPRODUCT(--('93_TARGET_MEMBERSHIP'!BL$5:BL$27=-1),'92_FEATURE_CONF_NUMERIC'!K$5:K$27)/MAX(1,COUNTIF('93_TARGET_MEMBERSHIP'!BL$5:BL$27,-1)))))</f>
        <v/>
      </c>
      <c r="K67" s="34">
        <f>IF($B67="ABSOLUTE SEMANTIC",'19_FEATURE_CONFIDENCE'!$D$13,SQRT((SUMPRODUCT(--('93_TARGET_MEMBERSHIP'!BL$5:BL$27=1),'92_FEATURE_CONF_NUMERIC'!L$5:L$27)/MAX(1,COUNTIF('93_TARGET_MEMBERSHIP'!BL$5:BL$27,1)))*(SUMPRODUCT(--('93_TARGET_MEMBERSHIP'!BL$5:BL$27=-1),'92_FEATURE_CONF_NUMERIC'!L$5:L$27)/MAX(1,COUNTIF('93_TARGET_MEMBERSHIP'!BL$5:BL$27,-1)))))</f>
        <v/>
      </c>
      <c r="L67" s="34">
        <f>IF($B67="ABSOLUTE SEMANTIC",'19_FEATURE_CONFIDENCE'!$D$14,SQRT((SUMPRODUCT(--('93_TARGET_MEMBERSHIP'!BL$5:BL$27=1),'92_FEATURE_CONF_NUMERIC'!M$5:M$27)/MAX(1,COUNTIF('93_TARGET_MEMBERSHIP'!BL$5:BL$27,1)))*(SUMPRODUCT(--('93_TARGET_MEMBERSHIP'!BL$5:BL$27=-1),'92_FEATURE_CONF_NUMERIC'!M$5:M$27)/MAX(1,COUNTIF('93_TARGET_MEMBERSHIP'!BL$5:BL$27,-1)))))</f>
        <v/>
      </c>
      <c r="M67" s="34">
        <f>IF($B67="ABSOLUTE SEMANTIC",'19_FEATURE_CONFIDENCE'!$D$15,SQRT((SUMPRODUCT(--('93_TARGET_MEMBERSHIP'!BL$5:BL$27=1),'92_FEATURE_CONF_NUMERIC'!N$5:N$27)/MAX(1,COUNTIF('93_TARGET_MEMBERSHIP'!BL$5:BL$27,1)))*(SUMPRODUCT(--('93_TARGET_MEMBERSHIP'!BL$5:BL$27=-1),'92_FEATURE_CONF_NUMERIC'!N$5:N$27)/MAX(1,COUNTIF('93_TARGET_MEMBERSHIP'!BL$5:BL$27,-1)))))</f>
        <v/>
      </c>
      <c r="N67" s="34">
        <f>IF($B67="ABSOLUTE SEMANTIC",'19_FEATURE_CONFIDENCE'!$D$16,SQRT((SUMPRODUCT(--('93_TARGET_MEMBERSHIP'!BL$5:BL$27=1),'92_FEATURE_CONF_NUMERIC'!O$5:O$27)/MAX(1,COUNTIF('93_TARGET_MEMBERSHIP'!BL$5:BL$27,1)))*(SUMPRODUCT(--('93_TARGET_MEMBERSHIP'!BL$5:BL$27=-1),'92_FEATURE_CONF_NUMERIC'!O$5:O$27)/MAX(1,COUNTIF('93_TARGET_MEMBERSHIP'!BL$5:BL$27,-1)))))</f>
        <v/>
      </c>
      <c r="O67" s="34">
        <f>IF($B67="ABSOLUTE SEMANTIC",'19_FEATURE_CONFIDENCE'!$D$17,SQRT((SUMPRODUCT(--('93_TARGET_MEMBERSHIP'!BL$5:BL$27=1),'92_FEATURE_CONF_NUMERIC'!P$5:P$27)/MAX(1,COUNTIF('93_TARGET_MEMBERSHIP'!BL$5:BL$27,1)))*(SUMPRODUCT(--('93_TARGET_MEMBERSHIP'!BL$5:BL$27=-1),'92_FEATURE_CONF_NUMERIC'!P$5:P$27)/MAX(1,COUNTIF('93_TARGET_MEMBERSHIP'!BL$5:BL$27,-1)))))</f>
        <v/>
      </c>
      <c r="P67" s="34">
        <f>IF($B67="ABSOLUTE SEMANTIC",'19_FEATURE_CONFIDENCE'!$D$18,SQRT((SUMPRODUCT(--('93_TARGET_MEMBERSHIP'!BL$5:BL$27=1),'92_FEATURE_CONF_NUMERIC'!Q$5:Q$27)/MAX(1,COUNTIF('93_TARGET_MEMBERSHIP'!BL$5:BL$27,1)))*(SUMPRODUCT(--('93_TARGET_MEMBERSHIP'!BL$5:BL$27=-1),'92_FEATURE_CONF_NUMERIC'!Q$5:Q$27)/MAX(1,COUNTIF('93_TARGET_MEMBERSHIP'!BL$5:BL$27,-1)))))</f>
        <v/>
      </c>
      <c r="Q67" s="34">
        <f>IF($B67="ABSOLUTE SEMANTIC",'19_FEATURE_CONFIDENCE'!$D$19,SQRT((SUMPRODUCT(--('93_TARGET_MEMBERSHIP'!BL$5:BL$27=1),'92_FEATURE_CONF_NUMERIC'!R$5:R$27)/MAX(1,COUNTIF('93_TARGET_MEMBERSHIP'!BL$5:BL$27,1)))*(SUMPRODUCT(--('93_TARGET_MEMBERSHIP'!BL$5:BL$27=-1),'92_FEATURE_CONF_NUMERIC'!R$5:R$27)/MAX(1,COUNTIF('93_TARGET_MEMBERSHIP'!BL$5:BL$27,-1)))))</f>
        <v/>
      </c>
      <c r="R67" s="34">
        <f>IF($B67="ABSOLUTE SEMANTIC",'19_FEATURE_CONFIDENCE'!$D$20,SQRT((SUMPRODUCT(--('93_TARGET_MEMBERSHIP'!BL$5:BL$27=1),'92_FEATURE_CONF_NUMERIC'!S$5:S$27)/MAX(1,COUNTIF('93_TARGET_MEMBERSHIP'!BL$5:BL$27,1)))*(SUMPRODUCT(--('93_TARGET_MEMBERSHIP'!BL$5:BL$27=-1),'92_FEATURE_CONF_NUMERIC'!S$5:S$27)/MAX(1,COUNTIF('93_TARGET_MEMBERSHIP'!BL$5:BL$27,-1)))))</f>
        <v/>
      </c>
      <c r="S67" s="34">
        <f>IF($B67="ABSOLUTE SEMANTIC",'19_FEATURE_CONFIDENCE'!$D$21,SQRT((SUMPRODUCT(--('93_TARGET_MEMBERSHIP'!BL$5:BL$27=1),'92_FEATURE_CONF_NUMERIC'!T$5:T$27)/MAX(1,COUNTIF('93_TARGET_MEMBERSHIP'!BL$5:BL$27,1)))*(SUMPRODUCT(--('93_TARGET_MEMBERSHIP'!BL$5:BL$27=-1),'92_FEATURE_CONF_NUMERIC'!T$5:T$27)/MAX(1,COUNTIF('93_TARGET_MEMBERSHIP'!BL$5:BL$27,-1)))))</f>
        <v/>
      </c>
      <c r="T67" s="34">
        <f>IF($B67="ABSOLUTE SEMANTIC",'19_FEATURE_CONFIDENCE'!$D$22,SQRT((SUMPRODUCT(--('93_TARGET_MEMBERSHIP'!BL$5:BL$27=1),'92_FEATURE_CONF_NUMERIC'!U$5:U$27)/MAX(1,COUNTIF('93_TARGET_MEMBERSHIP'!BL$5:BL$27,1)))*(SUMPRODUCT(--('93_TARGET_MEMBERSHIP'!BL$5:BL$27=-1),'92_FEATURE_CONF_NUMERIC'!U$5:U$27)/MAX(1,COUNTIF('93_TARGET_MEMBERSHIP'!BL$5:BL$27,-1)))))</f>
        <v/>
      </c>
      <c r="U67" s="34">
        <f>IF($B67="ABSOLUTE SEMANTIC",'19_FEATURE_CONFIDENCE'!$D$23,SQRT((SUMPRODUCT(--('93_TARGET_MEMBERSHIP'!BL$5:BL$27=1),'92_FEATURE_CONF_NUMERIC'!V$5:V$27)/MAX(1,COUNTIF('93_TARGET_MEMBERSHIP'!BL$5:BL$27,1)))*(SUMPRODUCT(--('93_TARGET_MEMBERSHIP'!BL$5:BL$27=-1),'92_FEATURE_CONF_NUMERIC'!V$5:V$27)/MAX(1,COUNTIF('93_TARGET_MEMBERSHIP'!BL$5:BL$27,-1)))))</f>
        <v/>
      </c>
      <c r="V67" s="34">
        <f>IF($B67="ABSOLUTE SEMANTIC",'19_FEATURE_CONFIDENCE'!$D$24,SQRT((SUMPRODUCT(--('93_TARGET_MEMBERSHIP'!BL$5:BL$27=1),'92_FEATURE_CONF_NUMERIC'!W$5:W$27)/MAX(1,COUNTIF('93_TARGET_MEMBERSHIP'!BL$5:BL$27,1)))*(SUMPRODUCT(--('93_TARGET_MEMBERSHIP'!BL$5:BL$27=-1),'92_FEATURE_CONF_NUMERIC'!W$5:W$27)/MAX(1,COUNTIF('93_TARGET_MEMBERSHIP'!BL$5:BL$27,-1)))))</f>
        <v/>
      </c>
      <c r="W67" s="34">
        <f>IF($B67="ABSOLUTE SEMANTIC",'19_FEATURE_CONFIDENCE'!$D$25,SQRT((SUMPRODUCT(--('93_TARGET_MEMBERSHIP'!BL$5:BL$27=1),'92_FEATURE_CONF_NUMERIC'!X$5:X$27)/MAX(1,COUNTIF('93_TARGET_MEMBERSHIP'!BL$5:BL$27,1)))*(SUMPRODUCT(--('93_TARGET_MEMBERSHIP'!BL$5:BL$27=-1),'92_FEATURE_CONF_NUMERIC'!X$5:X$27)/MAX(1,COUNTIF('93_TARGET_MEMBERSHIP'!BL$5:BL$27,-1)))))</f>
        <v/>
      </c>
      <c r="X67" s="34">
        <f>IF($B67="ABSOLUTE SEMANTIC",'19_FEATURE_CONFIDENCE'!$D$26,SQRT((SUMPRODUCT(--('93_TARGET_MEMBERSHIP'!BL$5:BL$27=1),'92_FEATURE_CONF_NUMERIC'!Y$5:Y$27)/MAX(1,COUNTIF('93_TARGET_MEMBERSHIP'!BL$5:BL$27,1)))*(SUMPRODUCT(--('93_TARGET_MEMBERSHIP'!BL$5:BL$27=-1),'92_FEATURE_CONF_NUMERIC'!Y$5:Y$27)/MAX(1,COUNTIF('93_TARGET_MEMBERSHIP'!BL$5:BL$27,-1)))))</f>
        <v/>
      </c>
      <c r="Y67" s="34">
        <f>IF($B67="ABSOLUTE SEMANTIC",'19_FEATURE_CONFIDENCE'!$D$27,SQRT((SUMPRODUCT(--('93_TARGET_MEMBERSHIP'!BL$5:BL$27=1),'92_FEATURE_CONF_NUMERIC'!Z$5:Z$27)/MAX(1,COUNTIF('93_TARGET_MEMBERSHIP'!BL$5:BL$27,1)))*(SUMPRODUCT(--('93_TARGET_MEMBERSHIP'!BL$5:BL$27=-1),'92_FEATURE_CONF_NUMERIC'!Z$5:Z$27)/MAX(1,COUNTIF('93_TARGET_MEMBERSHIP'!BL$5:BL$27,-1)))))</f>
        <v/>
      </c>
      <c r="Z67" s="34">
        <f>IF($B67="ABSOLUTE SEMANTIC",'19_FEATURE_CONFIDENCE'!$D$28,SQRT((SUMPRODUCT(--('93_TARGET_MEMBERSHIP'!BL$5:BL$27=1),'92_FEATURE_CONF_NUMERIC'!AA$5:AA$27)/MAX(1,COUNTIF('93_TARGET_MEMBERSHIP'!BL$5:BL$27,1)))*(SUMPRODUCT(--('93_TARGET_MEMBERSHIP'!BL$5:BL$27=-1),'92_FEATURE_CONF_NUMERIC'!AA$5:AA$27)/MAX(1,COUNTIF('93_TARGET_MEMBERSHIP'!BL$5:BL$27,-1)))))</f>
        <v/>
      </c>
      <c r="AA67" s="34">
        <f>IF($B67="ABSOLUTE SEMANTIC",'19_FEATURE_CONFIDENCE'!$D$29,SQRT((SUMPRODUCT(--('93_TARGET_MEMBERSHIP'!BL$5:BL$27=1),'92_FEATURE_CONF_NUMERIC'!AB$5:AB$27)/MAX(1,COUNTIF('93_TARGET_MEMBERSHIP'!BL$5:BL$27,1)))*(SUMPRODUCT(--('93_TARGET_MEMBERSHIP'!BL$5:BL$27=-1),'92_FEATURE_CONF_NUMERIC'!AB$5:AB$27)/MAX(1,COUNTIF('93_TARGET_MEMBERSHIP'!BL$5:BL$27,-1)))))</f>
        <v/>
      </c>
      <c r="AB67" s="34">
        <f>IF($B67="ABSOLUTE SEMANTIC",'19_FEATURE_CONFIDENCE'!$D$30,SQRT((SUMPRODUCT(--('93_TARGET_MEMBERSHIP'!BL$5:BL$27=1),'92_FEATURE_CONF_NUMERIC'!AC$5:AC$27)/MAX(1,COUNTIF('93_TARGET_MEMBERSHIP'!BL$5:BL$27,1)))*(SUMPRODUCT(--('93_TARGET_MEMBERSHIP'!BL$5:BL$27=-1),'92_FEATURE_CONF_NUMERIC'!AC$5:AC$27)/MAX(1,COUNTIF('93_TARGET_MEMBERSHIP'!BL$5:BL$27,-1)))))</f>
        <v/>
      </c>
      <c r="AC67" s="34">
        <f>IF($B67="ABSOLUTE SEMANTIC",'19_FEATURE_CONFIDENCE'!$D$31,SQRT((SUMPRODUCT(--('93_TARGET_MEMBERSHIP'!BL$5:BL$27=1),'92_FEATURE_CONF_NUMERIC'!AD$5:AD$27)/MAX(1,COUNTIF('93_TARGET_MEMBERSHIP'!BL$5:BL$27,1)))*(SUMPRODUCT(--('93_TARGET_MEMBERSHIP'!BL$5:BL$27=-1),'92_FEATURE_CONF_NUMERIC'!AD$5:AD$27)/MAX(1,COUNTIF('93_TARGET_MEMBERSHIP'!BL$5:BL$27,-1)))))</f>
        <v/>
      </c>
      <c r="AD67" s="34">
        <f>IF($B67="ABSOLUTE SEMANTIC",'19_FEATURE_CONFIDENCE'!$D$32,SQRT((SUMPRODUCT(--('93_TARGET_MEMBERSHIP'!BL$5:BL$27=1),'92_FEATURE_CONF_NUMERIC'!AE$5:AE$27)/MAX(1,COUNTIF('93_TARGET_MEMBERSHIP'!BL$5:BL$27,1)))*(SUMPRODUCT(--('93_TARGET_MEMBERSHIP'!BL$5:BL$27=-1),'92_FEATURE_CONF_NUMERIC'!AE$5:AE$27)/MAX(1,COUNTIF('93_TARGET_MEMBERSHIP'!BL$5:BL$27,-1)))))</f>
        <v/>
      </c>
      <c r="AE67" s="34">
        <f>IF($B67="ABSOLUTE SEMANTIC",'19_FEATURE_CONFIDENCE'!$D$33,SQRT((SUMPRODUCT(--('93_TARGET_MEMBERSHIP'!BL$5:BL$27=1),'92_FEATURE_CONF_NUMERIC'!AF$5:AF$27)/MAX(1,COUNTIF('93_TARGET_MEMBERSHIP'!BL$5:BL$27,1)))*(SUMPRODUCT(--('93_TARGET_MEMBERSHIP'!BL$5:BL$27=-1),'92_FEATURE_CONF_NUMERIC'!AF$5:AF$27)/MAX(1,COUNTIF('93_TARGET_MEMBERSHIP'!BL$5:BL$27,-1)))))</f>
        <v/>
      </c>
      <c r="AF67" s="34">
        <f>IF($B67="ABSOLUTE SEMANTIC",'19_FEATURE_CONFIDENCE'!$D$34,SQRT((SUMPRODUCT(--('93_TARGET_MEMBERSHIP'!BL$5:BL$27=1),'92_FEATURE_CONF_NUMERIC'!AG$5:AG$27)/MAX(1,COUNTIF('93_TARGET_MEMBERSHIP'!BL$5:BL$27,1)))*(SUMPRODUCT(--('93_TARGET_MEMBERSHIP'!BL$5:BL$27=-1),'92_FEATURE_CONF_NUMERIC'!AG$5:AG$27)/MAX(1,COUNTIF('93_TARGET_MEMBERSHIP'!BL$5:BL$27,-1)))))</f>
        <v/>
      </c>
      <c r="AG67" s="34">
        <f>IF($B67="ABSOLUTE SEMANTIC",'19_FEATURE_CONFIDENCE'!$D$35,SQRT((SUMPRODUCT(--('93_TARGET_MEMBERSHIP'!BL$5:BL$27=1),'92_FEATURE_CONF_NUMERIC'!AH$5:AH$27)/MAX(1,COUNTIF('93_TARGET_MEMBERSHIP'!BL$5:BL$27,1)))*(SUMPRODUCT(--('93_TARGET_MEMBERSHIP'!BL$5:BL$27=-1),'92_FEATURE_CONF_NUMERIC'!AH$5:AH$27)/MAX(1,COUNTIF('93_TARGET_MEMBERSHIP'!BL$5:BL$27,-1)))))</f>
        <v/>
      </c>
      <c r="AH67" s="34">
        <f>IF($B67="ABSOLUTE SEMANTIC",'19_FEATURE_CONFIDENCE'!$D$36,SQRT((SUMPRODUCT(--('93_TARGET_MEMBERSHIP'!BL$5:BL$27=1),'92_FEATURE_CONF_NUMERIC'!AI$5:AI$27)/MAX(1,COUNTIF('93_TARGET_MEMBERSHIP'!BL$5:BL$27,1)))*(SUMPRODUCT(--('93_TARGET_MEMBERSHIP'!BL$5:BL$27=-1),'92_FEATURE_CONF_NUMERIC'!AI$5:AI$27)/MAX(1,COUNTIF('93_TARGET_MEMBERSHIP'!BL$5:BL$27,-1)))))</f>
        <v/>
      </c>
      <c r="AI67" s="34">
        <f>IF($B67="ABSOLUTE SEMANTIC",'19_FEATURE_CONFIDENCE'!$D$37,SQRT((SUMPRODUCT(--('93_TARGET_MEMBERSHIP'!BL$5:BL$27=1),'92_FEATURE_CONF_NUMERIC'!AJ$5:AJ$27)/MAX(1,COUNTIF('93_TARGET_MEMBERSHIP'!BL$5:BL$27,1)))*(SUMPRODUCT(--('93_TARGET_MEMBERSHIP'!BL$5:BL$27=-1),'92_FEATURE_CONF_NUMERIC'!AJ$5:AJ$27)/MAX(1,COUNTIF('93_TARGET_MEMBERSHIP'!BL$5:BL$27,-1)))))</f>
        <v/>
      </c>
      <c r="AJ67" s="34">
        <f>IF($B67="ABSOLUTE SEMANTIC",'19_FEATURE_CONFIDENCE'!$D$38,SQRT((SUMPRODUCT(--('93_TARGET_MEMBERSHIP'!BL$5:BL$27=1),'92_FEATURE_CONF_NUMERIC'!AK$5:AK$27)/MAX(1,COUNTIF('93_TARGET_MEMBERSHIP'!BL$5:BL$27,1)))*(SUMPRODUCT(--('93_TARGET_MEMBERSHIP'!BL$5:BL$27=-1),'92_FEATURE_CONF_NUMERIC'!AK$5:AK$27)/MAX(1,COUNTIF('93_TARGET_MEMBERSHIP'!BL$5:BL$27,-1)))))</f>
        <v/>
      </c>
      <c r="AK67" s="34">
        <f>IF($B67="ABSOLUTE SEMANTIC",'19_FEATURE_CONFIDENCE'!$D$39,SQRT((SUMPRODUCT(--('93_TARGET_MEMBERSHIP'!BL$5:BL$27=1),'92_FEATURE_CONF_NUMERIC'!AL$5:AL$27)/MAX(1,COUNTIF('93_TARGET_MEMBERSHIP'!BL$5:BL$27,1)))*(SUMPRODUCT(--('93_TARGET_MEMBERSHIP'!BL$5:BL$27=-1),'92_FEATURE_CONF_NUMERIC'!AL$5:AL$27)/MAX(1,COUNTIF('93_TARGET_MEMBERSHIP'!BL$5:BL$27,-1)))))</f>
        <v/>
      </c>
      <c r="AL67" s="34">
        <f>IF($B67="ABSOLUTE SEMANTIC",'19_FEATURE_CONFIDENCE'!$D$40,SQRT((SUMPRODUCT(--('93_TARGET_MEMBERSHIP'!BL$5:BL$27=1),'92_FEATURE_CONF_NUMERIC'!AM$5:AM$27)/MAX(1,COUNTIF('93_TARGET_MEMBERSHIP'!BL$5:BL$27,1)))*(SUMPRODUCT(--('93_TARGET_MEMBERSHIP'!BL$5:BL$27=-1),'92_FEATURE_CONF_NUMERIC'!AM$5:AM$27)/MAX(1,COUNTIF('93_TARGET_MEMBERSHIP'!BL$5:BL$27,-1)))))</f>
        <v/>
      </c>
      <c r="AM67" s="34">
        <f>IF($B67="ABSOLUTE SEMANTIC",'19_FEATURE_CONFIDENCE'!$D$41,SQRT((SUMPRODUCT(--('93_TARGET_MEMBERSHIP'!BL$5:BL$27=1),'92_FEATURE_CONF_NUMERIC'!AN$5:AN$27)/MAX(1,COUNTIF('93_TARGET_MEMBERSHIP'!BL$5:BL$27,1)))*(SUMPRODUCT(--('93_TARGET_MEMBERSHIP'!BL$5:BL$27=-1),'92_FEATURE_CONF_NUMERIC'!AN$5:AN$27)/MAX(1,COUNTIF('93_TARGET_MEMBERSHIP'!BL$5:BL$27,-1)))))</f>
        <v/>
      </c>
      <c r="AN67" s="34">
        <f>IF($B67="ABSOLUTE SEMANTIC",'19_FEATURE_CONFIDENCE'!$D$42,SQRT((SUMPRODUCT(--('93_TARGET_MEMBERSHIP'!BL$5:BL$27=1),'92_FEATURE_CONF_NUMERIC'!AO$5:AO$27)/MAX(1,COUNTIF('93_TARGET_MEMBERSHIP'!BL$5:BL$27,1)))*(SUMPRODUCT(--('93_TARGET_MEMBERSHIP'!BL$5:BL$27=-1),'92_FEATURE_CONF_NUMERIC'!AO$5:AO$27)/MAX(1,COUNTIF('93_TARGET_MEMBERSHIP'!BL$5:BL$27,-1)))))</f>
        <v/>
      </c>
      <c r="AO67" s="34">
        <f>IF($B67="ABSOLUTE SEMANTIC",'19_FEATURE_CONFIDENCE'!$D$43,SQRT((SUMPRODUCT(--('93_TARGET_MEMBERSHIP'!BL$5:BL$27=1),'92_FEATURE_CONF_NUMERIC'!AP$5:AP$27)/MAX(1,COUNTIF('93_TARGET_MEMBERSHIP'!BL$5:BL$27,1)))*(SUMPRODUCT(--('93_TARGET_MEMBERSHIP'!BL$5:BL$27=-1),'92_FEATURE_CONF_NUMERIC'!AP$5:AP$27)/MAX(1,COUNTIF('93_TARGET_MEMBERSHIP'!BL$5:BL$27,-1)))))</f>
        <v/>
      </c>
      <c r="AP67" s="34">
        <f>IF($B67="ABSOLUTE SEMANTIC",'19_FEATURE_CONFIDENCE'!$D$44,SQRT((SUMPRODUCT(--('93_TARGET_MEMBERSHIP'!BL$5:BL$27=1),'92_FEATURE_CONF_NUMERIC'!AQ$5:AQ$27)/MAX(1,COUNTIF('93_TARGET_MEMBERSHIP'!BL$5:BL$27,1)))*(SUMPRODUCT(--('93_TARGET_MEMBERSHIP'!BL$5:BL$27=-1),'92_FEATURE_CONF_NUMERIC'!AQ$5:AQ$27)/MAX(1,COUNTIF('93_TARGET_MEMBERSHIP'!BL$5:BL$27,-1)))))</f>
        <v/>
      </c>
      <c r="AQ67" s="34">
        <f>IF($B67="ABSOLUTE SEMANTIC",'19_FEATURE_CONFIDENCE'!$D$45,SQRT((SUMPRODUCT(--('93_TARGET_MEMBERSHIP'!BL$5:BL$27=1),'92_FEATURE_CONF_NUMERIC'!AR$5:AR$27)/MAX(1,COUNTIF('93_TARGET_MEMBERSHIP'!BL$5:BL$27,1)))*(SUMPRODUCT(--('93_TARGET_MEMBERSHIP'!BL$5:BL$27=-1),'92_FEATURE_CONF_NUMERIC'!AR$5:AR$27)/MAX(1,COUNTIF('93_TARGET_MEMBERSHIP'!BL$5:BL$27,-1)))))</f>
        <v/>
      </c>
    </row>
    <row r="68" ht="36" customHeight="1">
      <c r="A68" s="34">
        <f>'06_ITEM_POLE_MODEL'!A68</f>
        <v/>
      </c>
      <c r="B68" s="34">
        <f>'06_ITEM_POLE_MODEL'!E68</f>
        <v/>
      </c>
      <c r="C68" s="34">
        <f>IF($B68="ABSOLUTE SEMANTIC",'19_FEATURE_CONFIDENCE'!$D$5,SQRT((SUMPRODUCT(--('93_TARGET_MEMBERSHIP'!BM$5:BM$27=1),'92_FEATURE_CONF_NUMERIC'!D$5:D$27)/MAX(1,COUNTIF('93_TARGET_MEMBERSHIP'!BM$5:BM$27,1)))*(SUMPRODUCT(--('93_TARGET_MEMBERSHIP'!BM$5:BM$27=-1),'92_FEATURE_CONF_NUMERIC'!D$5:D$27)/MAX(1,COUNTIF('93_TARGET_MEMBERSHIP'!BM$5:BM$27,-1)))))</f>
        <v/>
      </c>
      <c r="D68" s="34">
        <f>IF($B68="ABSOLUTE SEMANTIC",'19_FEATURE_CONFIDENCE'!$D$6,SQRT((SUMPRODUCT(--('93_TARGET_MEMBERSHIP'!BM$5:BM$27=1),'92_FEATURE_CONF_NUMERIC'!E$5:E$27)/MAX(1,COUNTIF('93_TARGET_MEMBERSHIP'!BM$5:BM$27,1)))*(SUMPRODUCT(--('93_TARGET_MEMBERSHIP'!BM$5:BM$27=-1),'92_FEATURE_CONF_NUMERIC'!E$5:E$27)/MAX(1,COUNTIF('93_TARGET_MEMBERSHIP'!BM$5:BM$27,-1)))))</f>
        <v/>
      </c>
      <c r="E68" s="34">
        <f>IF($B68="ABSOLUTE SEMANTIC",'19_FEATURE_CONFIDENCE'!$D$7,SQRT((SUMPRODUCT(--('93_TARGET_MEMBERSHIP'!BM$5:BM$27=1),'92_FEATURE_CONF_NUMERIC'!F$5:F$27)/MAX(1,COUNTIF('93_TARGET_MEMBERSHIP'!BM$5:BM$27,1)))*(SUMPRODUCT(--('93_TARGET_MEMBERSHIP'!BM$5:BM$27=-1),'92_FEATURE_CONF_NUMERIC'!F$5:F$27)/MAX(1,COUNTIF('93_TARGET_MEMBERSHIP'!BM$5:BM$27,-1)))))</f>
        <v/>
      </c>
      <c r="F68" s="34">
        <f>IF($B68="ABSOLUTE SEMANTIC",'19_FEATURE_CONFIDENCE'!$D$8,SQRT((SUMPRODUCT(--('93_TARGET_MEMBERSHIP'!BM$5:BM$27=1),'92_FEATURE_CONF_NUMERIC'!G$5:G$27)/MAX(1,COUNTIF('93_TARGET_MEMBERSHIP'!BM$5:BM$27,1)))*(SUMPRODUCT(--('93_TARGET_MEMBERSHIP'!BM$5:BM$27=-1),'92_FEATURE_CONF_NUMERIC'!G$5:G$27)/MAX(1,COUNTIF('93_TARGET_MEMBERSHIP'!BM$5:BM$27,-1)))))</f>
        <v/>
      </c>
      <c r="G68" s="34">
        <f>IF($B68="ABSOLUTE SEMANTIC",'19_FEATURE_CONFIDENCE'!$D$9,SQRT((SUMPRODUCT(--('93_TARGET_MEMBERSHIP'!BM$5:BM$27=1),'92_FEATURE_CONF_NUMERIC'!H$5:H$27)/MAX(1,COUNTIF('93_TARGET_MEMBERSHIP'!BM$5:BM$27,1)))*(SUMPRODUCT(--('93_TARGET_MEMBERSHIP'!BM$5:BM$27=-1),'92_FEATURE_CONF_NUMERIC'!H$5:H$27)/MAX(1,COUNTIF('93_TARGET_MEMBERSHIP'!BM$5:BM$27,-1)))))</f>
        <v/>
      </c>
      <c r="H68" s="34">
        <f>IF($B68="ABSOLUTE SEMANTIC",'19_FEATURE_CONFIDENCE'!$D$10,SQRT((SUMPRODUCT(--('93_TARGET_MEMBERSHIP'!BM$5:BM$27=1),'92_FEATURE_CONF_NUMERIC'!I$5:I$27)/MAX(1,COUNTIF('93_TARGET_MEMBERSHIP'!BM$5:BM$27,1)))*(SUMPRODUCT(--('93_TARGET_MEMBERSHIP'!BM$5:BM$27=-1),'92_FEATURE_CONF_NUMERIC'!I$5:I$27)/MAX(1,COUNTIF('93_TARGET_MEMBERSHIP'!BM$5:BM$27,-1)))))</f>
        <v/>
      </c>
      <c r="I68" s="34">
        <f>IF($B68="ABSOLUTE SEMANTIC",'19_FEATURE_CONFIDENCE'!$D$11,SQRT((SUMPRODUCT(--('93_TARGET_MEMBERSHIP'!BM$5:BM$27=1),'92_FEATURE_CONF_NUMERIC'!J$5:J$27)/MAX(1,COUNTIF('93_TARGET_MEMBERSHIP'!BM$5:BM$27,1)))*(SUMPRODUCT(--('93_TARGET_MEMBERSHIP'!BM$5:BM$27=-1),'92_FEATURE_CONF_NUMERIC'!J$5:J$27)/MAX(1,COUNTIF('93_TARGET_MEMBERSHIP'!BM$5:BM$27,-1)))))</f>
        <v/>
      </c>
      <c r="J68" s="34">
        <f>IF($B68="ABSOLUTE SEMANTIC",'19_FEATURE_CONFIDENCE'!$D$12,SQRT((SUMPRODUCT(--('93_TARGET_MEMBERSHIP'!BM$5:BM$27=1),'92_FEATURE_CONF_NUMERIC'!K$5:K$27)/MAX(1,COUNTIF('93_TARGET_MEMBERSHIP'!BM$5:BM$27,1)))*(SUMPRODUCT(--('93_TARGET_MEMBERSHIP'!BM$5:BM$27=-1),'92_FEATURE_CONF_NUMERIC'!K$5:K$27)/MAX(1,COUNTIF('93_TARGET_MEMBERSHIP'!BM$5:BM$27,-1)))))</f>
        <v/>
      </c>
      <c r="K68" s="34">
        <f>IF($B68="ABSOLUTE SEMANTIC",'19_FEATURE_CONFIDENCE'!$D$13,SQRT((SUMPRODUCT(--('93_TARGET_MEMBERSHIP'!BM$5:BM$27=1),'92_FEATURE_CONF_NUMERIC'!L$5:L$27)/MAX(1,COUNTIF('93_TARGET_MEMBERSHIP'!BM$5:BM$27,1)))*(SUMPRODUCT(--('93_TARGET_MEMBERSHIP'!BM$5:BM$27=-1),'92_FEATURE_CONF_NUMERIC'!L$5:L$27)/MAX(1,COUNTIF('93_TARGET_MEMBERSHIP'!BM$5:BM$27,-1)))))</f>
        <v/>
      </c>
      <c r="L68" s="34">
        <f>IF($B68="ABSOLUTE SEMANTIC",'19_FEATURE_CONFIDENCE'!$D$14,SQRT((SUMPRODUCT(--('93_TARGET_MEMBERSHIP'!BM$5:BM$27=1),'92_FEATURE_CONF_NUMERIC'!M$5:M$27)/MAX(1,COUNTIF('93_TARGET_MEMBERSHIP'!BM$5:BM$27,1)))*(SUMPRODUCT(--('93_TARGET_MEMBERSHIP'!BM$5:BM$27=-1),'92_FEATURE_CONF_NUMERIC'!M$5:M$27)/MAX(1,COUNTIF('93_TARGET_MEMBERSHIP'!BM$5:BM$27,-1)))))</f>
        <v/>
      </c>
      <c r="M68" s="34">
        <f>IF($B68="ABSOLUTE SEMANTIC",'19_FEATURE_CONFIDENCE'!$D$15,SQRT((SUMPRODUCT(--('93_TARGET_MEMBERSHIP'!BM$5:BM$27=1),'92_FEATURE_CONF_NUMERIC'!N$5:N$27)/MAX(1,COUNTIF('93_TARGET_MEMBERSHIP'!BM$5:BM$27,1)))*(SUMPRODUCT(--('93_TARGET_MEMBERSHIP'!BM$5:BM$27=-1),'92_FEATURE_CONF_NUMERIC'!N$5:N$27)/MAX(1,COUNTIF('93_TARGET_MEMBERSHIP'!BM$5:BM$27,-1)))))</f>
        <v/>
      </c>
      <c r="N68" s="34">
        <f>IF($B68="ABSOLUTE SEMANTIC",'19_FEATURE_CONFIDENCE'!$D$16,SQRT((SUMPRODUCT(--('93_TARGET_MEMBERSHIP'!BM$5:BM$27=1),'92_FEATURE_CONF_NUMERIC'!O$5:O$27)/MAX(1,COUNTIF('93_TARGET_MEMBERSHIP'!BM$5:BM$27,1)))*(SUMPRODUCT(--('93_TARGET_MEMBERSHIP'!BM$5:BM$27=-1),'92_FEATURE_CONF_NUMERIC'!O$5:O$27)/MAX(1,COUNTIF('93_TARGET_MEMBERSHIP'!BM$5:BM$27,-1)))))</f>
        <v/>
      </c>
      <c r="O68" s="34">
        <f>IF($B68="ABSOLUTE SEMANTIC",'19_FEATURE_CONFIDENCE'!$D$17,SQRT((SUMPRODUCT(--('93_TARGET_MEMBERSHIP'!BM$5:BM$27=1),'92_FEATURE_CONF_NUMERIC'!P$5:P$27)/MAX(1,COUNTIF('93_TARGET_MEMBERSHIP'!BM$5:BM$27,1)))*(SUMPRODUCT(--('93_TARGET_MEMBERSHIP'!BM$5:BM$27=-1),'92_FEATURE_CONF_NUMERIC'!P$5:P$27)/MAX(1,COUNTIF('93_TARGET_MEMBERSHIP'!BM$5:BM$27,-1)))))</f>
        <v/>
      </c>
      <c r="P68" s="34">
        <f>IF($B68="ABSOLUTE SEMANTIC",'19_FEATURE_CONFIDENCE'!$D$18,SQRT((SUMPRODUCT(--('93_TARGET_MEMBERSHIP'!BM$5:BM$27=1),'92_FEATURE_CONF_NUMERIC'!Q$5:Q$27)/MAX(1,COUNTIF('93_TARGET_MEMBERSHIP'!BM$5:BM$27,1)))*(SUMPRODUCT(--('93_TARGET_MEMBERSHIP'!BM$5:BM$27=-1),'92_FEATURE_CONF_NUMERIC'!Q$5:Q$27)/MAX(1,COUNTIF('93_TARGET_MEMBERSHIP'!BM$5:BM$27,-1)))))</f>
        <v/>
      </c>
      <c r="Q68" s="34">
        <f>IF($B68="ABSOLUTE SEMANTIC",'19_FEATURE_CONFIDENCE'!$D$19,SQRT((SUMPRODUCT(--('93_TARGET_MEMBERSHIP'!BM$5:BM$27=1),'92_FEATURE_CONF_NUMERIC'!R$5:R$27)/MAX(1,COUNTIF('93_TARGET_MEMBERSHIP'!BM$5:BM$27,1)))*(SUMPRODUCT(--('93_TARGET_MEMBERSHIP'!BM$5:BM$27=-1),'92_FEATURE_CONF_NUMERIC'!R$5:R$27)/MAX(1,COUNTIF('93_TARGET_MEMBERSHIP'!BM$5:BM$27,-1)))))</f>
        <v/>
      </c>
      <c r="R68" s="34">
        <f>IF($B68="ABSOLUTE SEMANTIC",'19_FEATURE_CONFIDENCE'!$D$20,SQRT((SUMPRODUCT(--('93_TARGET_MEMBERSHIP'!BM$5:BM$27=1),'92_FEATURE_CONF_NUMERIC'!S$5:S$27)/MAX(1,COUNTIF('93_TARGET_MEMBERSHIP'!BM$5:BM$27,1)))*(SUMPRODUCT(--('93_TARGET_MEMBERSHIP'!BM$5:BM$27=-1),'92_FEATURE_CONF_NUMERIC'!S$5:S$27)/MAX(1,COUNTIF('93_TARGET_MEMBERSHIP'!BM$5:BM$27,-1)))))</f>
        <v/>
      </c>
      <c r="S68" s="34">
        <f>IF($B68="ABSOLUTE SEMANTIC",'19_FEATURE_CONFIDENCE'!$D$21,SQRT((SUMPRODUCT(--('93_TARGET_MEMBERSHIP'!BM$5:BM$27=1),'92_FEATURE_CONF_NUMERIC'!T$5:T$27)/MAX(1,COUNTIF('93_TARGET_MEMBERSHIP'!BM$5:BM$27,1)))*(SUMPRODUCT(--('93_TARGET_MEMBERSHIP'!BM$5:BM$27=-1),'92_FEATURE_CONF_NUMERIC'!T$5:T$27)/MAX(1,COUNTIF('93_TARGET_MEMBERSHIP'!BM$5:BM$27,-1)))))</f>
        <v/>
      </c>
      <c r="T68" s="34">
        <f>IF($B68="ABSOLUTE SEMANTIC",'19_FEATURE_CONFIDENCE'!$D$22,SQRT((SUMPRODUCT(--('93_TARGET_MEMBERSHIP'!BM$5:BM$27=1),'92_FEATURE_CONF_NUMERIC'!U$5:U$27)/MAX(1,COUNTIF('93_TARGET_MEMBERSHIP'!BM$5:BM$27,1)))*(SUMPRODUCT(--('93_TARGET_MEMBERSHIP'!BM$5:BM$27=-1),'92_FEATURE_CONF_NUMERIC'!U$5:U$27)/MAX(1,COUNTIF('93_TARGET_MEMBERSHIP'!BM$5:BM$27,-1)))))</f>
        <v/>
      </c>
      <c r="U68" s="34">
        <f>IF($B68="ABSOLUTE SEMANTIC",'19_FEATURE_CONFIDENCE'!$D$23,SQRT((SUMPRODUCT(--('93_TARGET_MEMBERSHIP'!BM$5:BM$27=1),'92_FEATURE_CONF_NUMERIC'!V$5:V$27)/MAX(1,COUNTIF('93_TARGET_MEMBERSHIP'!BM$5:BM$27,1)))*(SUMPRODUCT(--('93_TARGET_MEMBERSHIP'!BM$5:BM$27=-1),'92_FEATURE_CONF_NUMERIC'!V$5:V$27)/MAX(1,COUNTIF('93_TARGET_MEMBERSHIP'!BM$5:BM$27,-1)))))</f>
        <v/>
      </c>
      <c r="V68" s="34">
        <f>IF($B68="ABSOLUTE SEMANTIC",'19_FEATURE_CONFIDENCE'!$D$24,SQRT((SUMPRODUCT(--('93_TARGET_MEMBERSHIP'!BM$5:BM$27=1),'92_FEATURE_CONF_NUMERIC'!W$5:W$27)/MAX(1,COUNTIF('93_TARGET_MEMBERSHIP'!BM$5:BM$27,1)))*(SUMPRODUCT(--('93_TARGET_MEMBERSHIP'!BM$5:BM$27=-1),'92_FEATURE_CONF_NUMERIC'!W$5:W$27)/MAX(1,COUNTIF('93_TARGET_MEMBERSHIP'!BM$5:BM$27,-1)))))</f>
        <v/>
      </c>
      <c r="W68" s="34">
        <f>IF($B68="ABSOLUTE SEMANTIC",'19_FEATURE_CONFIDENCE'!$D$25,SQRT((SUMPRODUCT(--('93_TARGET_MEMBERSHIP'!BM$5:BM$27=1),'92_FEATURE_CONF_NUMERIC'!X$5:X$27)/MAX(1,COUNTIF('93_TARGET_MEMBERSHIP'!BM$5:BM$27,1)))*(SUMPRODUCT(--('93_TARGET_MEMBERSHIP'!BM$5:BM$27=-1),'92_FEATURE_CONF_NUMERIC'!X$5:X$27)/MAX(1,COUNTIF('93_TARGET_MEMBERSHIP'!BM$5:BM$27,-1)))))</f>
        <v/>
      </c>
      <c r="X68" s="34">
        <f>IF($B68="ABSOLUTE SEMANTIC",'19_FEATURE_CONFIDENCE'!$D$26,SQRT((SUMPRODUCT(--('93_TARGET_MEMBERSHIP'!BM$5:BM$27=1),'92_FEATURE_CONF_NUMERIC'!Y$5:Y$27)/MAX(1,COUNTIF('93_TARGET_MEMBERSHIP'!BM$5:BM$27,1)))*(SUMPRODUCT(--('93_TARGET_MEMBERSHIP'!BM$5:BM$27=-1),'92_FEATURE_CONF_NUMERIC'!Y$5:Y$27)/MAX(1,COUNTIF('93_TARGET_MEMBERSHIP'!BM$5:BM$27,-1)))))</f>
        <v/>
      </c>
      <c r="Y68" s="34">
        <f>IF($B68="ABSOLUTE SEMANTIC",'19_FEATURE_CONFIDENCE'!$D$27,SQRT((SUMPRODUCT(--('93_TARGET_MEMBERSHIP'!BM$5:BM$27=1),'92_FEATURE_CONF_NUMERIC'!Z$5:Z$27)/MAX(1,COUNTIF('93_TARGET_MEMBERSHIP'!BM$5:BM$27,1)))*(SUMPRODUCT(--('93_TARGET_MEMBERSHIP'!BM$5:BM$27=-1),'92_FEATURE_CONF_NUMERIC'!Z$5:Z$27)/MAX(1,COUNTIF('93_TARGET_MEMBERSHIP'!BM$5:BM$27,-1)))))</f>
        <v/>
      </c>
      <c r="Z68" s="34">
        <f>IF($B68="ABSOLUTE SEMANTIC",'19_FEATURE_CONFIDENCE'!$D$28,SQRT((SUMPRODUCT(--('93_TARGET_MEMBERSHIP'!BM$5:BM$27=1),'92_FEATURE_CONF_NUMERIC'!AA$5:AA$27)/MAX(1,COUNTIF('93_TARGET_MEMBERSHIP'!BM$5:BM$27,1)))*(SUMPRODUCT(--('93_TARGET_MEMBERSHIP'!BM$5:BM$27=-1),'92_FEATURE_CONF_NUMERIC'!AA$5:AA$27)/MAX(1,COUNTIF('93_TARGET_MEMBERSHIP'!BM$5:BM$27,-1)))))</f>
        <v/>
      </c>
      <c r="AA68" s="34">
        <f>IF($B68="ABSOLUTE SEMANTIC",'19_FEATURE_CONFIDENCE'!$D$29,SQRT((SUMPRODUCT(--('93_TARGET_MEMBERSHIP'!BM$5:BM$27=1),'92_FEATURE_CONF_NUMERIC'!AB$5:AB$27)/MAX(1,COUNTIF('93_TARGET_MEMBERSHIP'!BM$5:BM$27,1)))*(SUMPRODUCT(--('93_TARGET_MEMBERSHIP'!BM$5:BM$27=-1),'92_FEATURE_CONF_NUMERIC'!AB$5:AB$27)/MAX(1,COUNTIF('93_TARGET_MEMBERSHIP'!BM$5:BM$27,-1)))))</f>
        <v/>
      </c>
      <c r="AB68" s="34">
        <f>IF($B68="ABSOLUTE SEMANTIC",'19_FEATURE_CONFIDENCE'!$D$30,SQRT((SUMPRODUCT(--('93_TARGET_MEMBERSHIP'!BM$5:BM$27=1),'92_FEATURE_CONF_NUMERIC'!AC$5:AC$27)/MAX(1,COUNTIF('93_TARGET_MEMBERSHIP'!BM$5:BM$27,1)))*(SUMPRODUCT(--('93_TARGET_MEMBERSHIP'!BM$5:BM$27=-1),'92_FEATURE_CONF_NUMERIC'!AC$5:AC$27)/MAX(1,COUNTIF('93_TARGET_MEMBERSHIP'!BM$5:BM$27,-1)))))</f>
        <v/>
      </c>
      <c r="AC68" s="34">
        <f>IF($B68="ABSOLUTE SEMANTIC",'19_FEATURE_CONFIDENCE'!$D$31,SQRT((SUMPRODUCT(--('93_TARGET_MEMBERSHIP'!BM$5:BM$27=1),'92_FEATURE_CONF_NUMERIC'!AD$5:AD$27)/MAX(1,COUNTIF('93_TARGET_MEMBERSHIP'!BM$5:BM$27,1)))*(SUMPRODUCT(--('93_TARGET_MEMBERSHIP'!BM$5:BM$27=-1),'92_FEATURE_CONF_NUMERIC'!AD$5:AD$27)/MAX(1,COUNTIF('93_TARGET_MEMBERSHIP'!BM$5:BM$27,-1)))))</f>
        <v/>
      </c>
      <c r="AD68" s="34">
        <f>IF($B68="ABSOLUTE SEMANTIC",'19_FEATURE_CONFIDENCE'!$D$32,SQRT((SUMPRODUCT(--('93_TARGET_MEMBERSHIP'!BM$5:BM$27=1),'92_FEATURE_CONF_NUMERIC'!AE$5:AE$27)/MAX(1,COUNTIF('93_TARGET_MEMBERSHIP'!BM$5:BM$27,1)))*(SUMPRODUCT(--('93_TARGET_MEMBERSHIP'!BM$5:BM$27=-1),'92_FEATURE_CONF_NUMERIC'!AE$5:AE$27)/MAX(1,COUNTIF('93_TARGET_MEMBERSHIP'!BM$5:BM$27,-1)))))</f>
        <v/>
      </c>
      <c r="AE68" s="34">
        <f>IF($B68="ABSOLUTE SEMANTIC",'19_FEATURE_CONFIDENCE'!$D$33,SQRT((SUMPRODUCT(--('93_TARGET_MEMBERSHIP'!BM$5:BM$27=1),'92_FEATURE_CONF_NUMERIC'!AF$5:AF$27)/MAX(1,COUNTIF('93_TARGET_MEMBERSHIP'!BM$5:BM$27,1)))*(SUMPRODUCT(--('93_TARGET_MEMBERSHIP'!BM$5:BM$27=-1),'92_FEATURE_CONF_NUMERIC'!AF$5:AF$27)/MAX(1,COUNTIF('93_TARGET_MEMBERSHIP'!BM$5:BM$27,-1)))))</f>
        <v/>
      </c>
      <c r="AF68" s="34">
        <f>IF($B68="ABSOLUTE SEMANTIC",'19_FEATURE_CONFIDENCE'!$D$34,SQRT((SUMPRODUCT(--('93_TARGET_MEMBERSHIP'!BM$5:BM$27=1),'92_FEATURE_CONF_NUMERIC'!AG$5:AG$27)/MAX(1,COUNTIF('93_TARGET_MEMBERSHIP'!BM$5:BM$27,1)))*(SUMPRODUCT(--('93_TARGET_MEMBERSHIP'!BM$5:BM$27=-1),'92_FEATURE_CONF_NUMERIC'!AG$5:AG$27)/MAX(1,COUNTIF('93_TARGET_MEMBERSHIP'!BM$5:BM$27,-1)))))</f>
        <v/>
      </c>
      <c r="AG68" s="34">
        <f>IF($B68="ABSOLUTE SEMANTIC",'19_FEATURE_CONFIDENCE'!$D$35,SQRT((SUMPRODUCT(--('93_TARGET_MEMBERSHIP'!BM$5:BM$27=1),'92_FEATURE_CONF_NUMERIC'!AH$5:AH$27)/MAX(1,COUNTIF('93_TARGET_MEMBERSHIP'!BM$5:BM$27,1)))*(SUMPRODUCT(--('93_TARGET_MEMBERSHIP'!BM$5:BM$27=-1),'92_FEATURE_CONF_NUMERIC'!AH$5:AH$27)/MAX(1,COUNTIF('93_TARGET_MEMBERSHIP'!BM$5:BM$27,-1)))))</f>
        <v/>
      </c>
      <c r="AH68" s="34">
        <f>IF($B68="ABSOLUTE SEMANTIC",'19_FEATURE_CONFIDENCE'!$D$36,SQRT((SUMPRODUCT(--('93_TARGET_MEMBERSHIP'!BM$5:BM$27=1),'92_FEATURE_CONF_NUMERIC'!AI$5:AI$27)/MAX(1,COUNTIF('93_TARGET_MEMBERSHIP'!BM$5:BM$27,1)))*(SUMPRODUCT(--('93_TARGET_MEMBERSHIP'!BM$5:BM$27=-1),'92_FEATURE_CONF_NUMERIC'!AI$5:AI$27)/MAX(1,COUNTIF('93_TARGET_MEMBERSHIP'!BM$5:BM$27,-1)))))</f>
        <v/>
      </c>
      <c r="AI68" s="34">
        <f>IF($B68="ABSOLUTE SEMANTIC",'19_FEATURE_CONFIDENCE'!$D$37,SQRT((SUMPRODUCT(--('93_TARGET_MEMBERSHIP'!BM$5:BM$27=1),'92_FEATURE_CONF_NUMERIC'!AJ$5:AJ$27)/MAX(1,COUNTIF('93_TARGET_MEMBERSHIP'!BM$5:BM$27,1)))*(SUMPRODUCT(--('93_TARGET_MEMBERSHIP'!BM$5:BM$27=-1),'92_FEATURE_CONF_NUMERIC'!AJ$5:AJ$27)/MAX(1,COUNTIF('93_TARGET_MEMBERSHIP'!BM$5:BM$27,-1)))))</f>
        <v/>
      </c>
      <c r="AJ68" s="34">
        <f>IF($B68="ABSOLUTE SEMANTIC",'19_FEATURE_CONFIDENCE'!$D$38,SQRT((SUMPRODUCT(--('93_TARGET_MEMBERSHIP'!BM$5:BM$27=1),'92_FEATURE_CONF_NUMERIC'!AK$5:AK$27)/MAX(1,COUNTIF('93_TARGET_MEMBERSHIP'!BM$5:BM$27,1)))*(SUMPRODUCT(--('93_TARGET_MEMBERSHIP'!BM$5:BM$27=-1),'92_FEATURE_CONF_NUMERIC'!AK$5:AK$27)/MAX(1,COUNTIF('93_TARGET_MEMBERSHIP'!BM$5:BM$27,-1)))))</f>
        <v/>
      </c>
      <c r="AK68" s="34">
        <f>IF($B68="ABSOLUTE SEMANTIC",'19_FEATURE_CONFIDENCE'!$D$39,SQRT((SUMPRODUCT(--('93_TARGET_MEMBERSHIP'!BM$5:BM$27=1),'92_FEATURE_CONF_NUMERIC'!AL$5:AL$27)/MAX(1,COUNTIF('93_TARGET_MEMBERSHIP'!BM$5:BM$27,1)))*(SUMPRODUCT(--('93_TARGET_MEMBERSHIP'!BM$5:BM$27=-1),'92_FEATURE_CONF_NUMERIC'!AL$5:AL$27)/MAX(1,COUNTIF('93_TARGET_MEMBERSHIP'!BM$5:BM$27,-1)))))</f>
        <v/>
      </c>
      <c r="AL68" s="34">
        <f>IF($B68="ABSOLUTE SEMANTIC",'19_FEATURE_CONFIDENCE'!$D$40,SQRT((SUMPRODUCT(--('93_TARGET_MEMBERSHIP'!BM$5:BM$27=1),'92_FEATURE_CONF_NUMERIC'!AM$5:AM$27)/MAX(1,COUNTIF('93_TARGET_MEMBERSHIP'!BM$5:BM$27,1)))*(SUMPRODUCT(--('93_TARGET_MEMBERSHIP'!BM$5:BM$27=-1),'92_FEATURE_CONF_NUMERIC'!AM$5:AM$27)/MAX(1,COUNTIF('93_TARGET_MEMBERSHIP'!BM$5:BM$27,-1)))))</f>
        <v/>
      </c>
      <c r="AM68" s="34">
        <f>IF($B68="ABSOLUTE SEMANTIC",'19_FEATURE_CONFIDENCE'!$D$41,SQRT((SUMPRODUCT(--('93_TARGET_MEMBERSHIP'!BM$5:BM$27=1),'92_FEATURE_CONF_NUMERIC'!AN$5:AN$27)/MAX(1,COUNTIF('93_TARGET_MEMBERSHIP'!BM$5:BM$27,1)))*(SUMPRODUCT(--('93_TARGET_MEMBERSHIP'!BM$5:BM$27=-1),'92_FEATURE_CONF_NUMERIC'!AN$5:AN$27)/MAX(1,COUNTIF('93_TARGET_MEMBERSHIP'!BM$5:BM$27,-1)))))</f>
        <v/>
      </c>
      <c r="AN68" s="34">
        <f>IF($B68="ABSOLUTE SEMANTIC",'19_FEATURE_CONFIDENCE'!$D$42,SQRT((SUMPRODUCT(--('93_TARGET_MEMBERSHIP'!BM$5:BM$27=1),'92_FEATURE_CONF_NUMERIC'!AO$5:AO$27)/MAX(1,COUNTIF('93_TARGET_MEMBERSHIP'!BM$5:BM$27,1)))*(SUMPRODUCT(--('93_TARGET_MEMBERSHIP'!BM$5:BM$27=-1),'92_FEATURE_CONF_NUMERIC'!AO$5:AO$27)/MAX(1,COUNTIF('93_TARGET_MEMBERSHIP'!BM$5:BM$27,-1)))))</f>
        <v/>
      </c>
      <c r="AO68" s="34">
        <f>IF($B68="ABSOLUTE SEMANTIC",'19_FEATURE_CONFIDENCE'!$D$43,SQRT((SUMPRODUCT(--('93_TARGET_MEMBERSHIP'!BM$5:BM$27=1),'92_FEATURE_CONF_NUMERIC'!AP$5:AP$27)/MAX(1,COUNTIF('93_TARGET_MEMBERSHIP'!BM$5:BM$27,1)))*(SUMPRODUCT(--('93_TARGET_MEMBERSHIP'!BM$5:BM$27=-1),'92_FEATURE_CONF_NUMERIC'!AP$5:AP$27)/MAX(1,COUNTIF('93_TARGET_MEMBERSHIP'!BM$5:BM$27,-1)))))</f>
        <v/>
      </c>
      <c r="AP68" s="34">
        <f>IF($B68="ABSOLUTE SEMANTIC",'19_FEATURE_CONFIDENCE'!$D$44,SQRT((SUMPRODUCT(--('93_TARGET_MEMBERSHIP'!BM$5:BM$27=1),'92_FEATURE_CONF_NUMERIC'!AQ$5:AQ$27)/MAX(1,COUNTIF('93_TARGET_MEMBERSHIP'!BM$5:BM$27,1)))*(SUMPRODUCT(--('93_TARGET_MEMBERSHIP'!BM$5:BM$27=-1),'92_FEATURE_CONF_NUMERIC'!AQ$5:AQ$27)/MAX(1,COUNTIF('93_TARGET_MEMBERSHIP'!BM$5:BM$27,-1)))))</f>
        <v/>
      </c>
      <c r="AQ68" s="34">
        <f>IF($B68="ABSOLUTE SEMANTIC",'19_FEATURE_CONFIDENCE'!$D$45,SQRT((SUMPRODUCT(--('93_TARGET_MEMBERSHIP'!BM$5:BM$27=1),'92_FEATURE_CONF_NUMERIC'!AR$5:AR$27)/MAX(1,COUNTIF('93_TARGET_MEMBERSHIP'!BM$5:BM$27,1)))*(SUMPRODUCT(--('93_TARGET_MEMBERSHIP'!BM$5:BM$27=-1),'92_FEATURE_CONF_NUMERIC'!AR$5:AR$27)/MAX(1,COUNTIF('93_TARGET_MEMBERSHIP'!BM$5:BM$27,-1)))))</f>
        <v/>
      </c>
    </row>
    <row r="69" ht="36" customHeight="1">
      <c r="A69" s="34">
        <f>'06_ITEM_POLE_MODEL'!A69</f>
        <v/>
      </c>
      <c r="B69" s="34">
        <f>'06_ITEM_POLE_MODEL'!E69</f>
        <v/>
      </c>
      <c r="C69" s="34">
        <f>IF($B69="ABSOLUTE SEMANTIC",'19_FEATURE_CONFIDENCE'!$D$5,SQRT((SUMPRODUCT(--('93_TARGET_MEMBERSHIP'!BN$5:BN$27=1),'92_FEATURE_CONF_NUMERIC'!D$5:D$27)/MAX(1,COUNTIF('93_TARGET_MEMBERSHIP'!BN$5:BN$27,1)))*(SUMPRODUCT(--('93_TARGET_MEMBERSHIP'!BN$5:BN$27=-1),'92_FEATURE_CONF_NUMERIC'!D$5:D$27)/MAX(1,COUNTIF('93_TARGET_MEMBERSHIP'!BN$5:BN$27,-1)))))</f>
        <v/>
      </c>
      <c r="D69" s="34">
        <f>IF($B69="ABSOLUTE SEMANTIC",'19_FEATURE_CONFIDENCE'!$D$6,SQRT((SUMPRODUCT(--('93_TARGET_MEMBERSHIP'!BN$5:BN$27=1),'92_FEATURE_CONF_NUMERIC'!E$5:E$27)/MAX(1,COUNTIF('93_TARGET_MEMBERSHIP'!BN$5:BN$27,1)))*(SUMPRODUCT(--('93_TARGET_MEMBERSHIP'!BN$5:BN$27=-1),'92_FEATURE_CONF_NUMERIC'!E$5:E$27)/MAX(1,COUNTIF('93_TARGET_MEMBERSHIP'!BN$5:BN$27,-1)))))</f>
        <v/>
      </c>
      <c r="E69" s="34">
        <f>IF($B69="ABSOLUTE SEMANTIC",'19_FEATURE_CONFIDENCE'!$D$7,SQRT((SUMPRODUCT(--('93_TARGET_MEMBERSHIP'!BN$5:BN$27=1),'92_FEATURE_CONF_NUMERIC'!F$5:F$27)/MAX(1,COUNTIF('93_TARGET_MEMBERSHIP'!BN$5:BN$27,1)))*(SUMPRODUCT(--('93_TARGET_MEMBERSHIP'!BN$5:BN$27=-1),'92_FEATURE_CONF_NUMERIC'!F$5:F$27)/MAX(1,COUNTIF('93_TARGET_MEMBERSHIP'!BN$5:BN$27,-1)))))</f>
        <v/>
      </c>
      <c r="F69" s="34">
        <f>IF($B69="ABSOLUTE SEMANTIC",'19_FEATURE_CONFIDENCE'!$D$8,SQRT((SUMPRODUCT(--('93_TARGET_MEMBERSHIP'!BN$5:BN$27=1),'92_FEATURE_CONF_NUMERIC'!G$5:G$27)/MAX(1,COUNTIF('93_TARGET_MEMBERSHIP'!BN$5:BN$27,1)))*(SUMPRODUCT(--('93_TARGET_MEMBERSHIP'!BN$5:BN$27=-1),'92_FEATURE_CONF_NUMERIC'!G$5:G$27)/MAX(1,COUNTIF('93_TARGET_MEMBERSHIP'!BN$5:BN$27,-1)))))</f>
        <v/>
      </c>
      <c r="G69" s="34">
        <f>IF($B69="ABSOLUTE SEMANTIC",'19_FEATURE_CONFIDENCE'!$D$9,SQRT((SUMPRODUCT(--('93_TARGET_MEMBERSHIP'!BN$5:BN$27=1),'92_FEATURE_CONF_NUMERIC'!H$5:H$27)/MAX(1,COUNTIF('93_TARGET_MEMBERSHIP'!BN$5:BN$27,1)))*(SUMPRODUCT(--('93_TARGET_MEMBERSHIP'!BN$5:BN$27=-1),'92_FEATURE_CONF_NUMERIC'!H$5:H$27)/MAX(1,COUNTIF('93_TARGET_MEMBERSHIP'!BN$5:BN$27,-1)))))</f>
        <v/>
      </c>
      <c r="H69" s="34">
        <f>IF($B69="ABSOLUTE SEMANTIC",'19_FEATURE_CONFIDENCE'!$D$10,SQRT((SUMPRODUCT(--('93_TARGET_MEMBERSHIP'!BN$5:BN$27=1),'92_FEATURE_CONF_NUMERIC'!I$5:I$27)/MAX(1,COUNTIF('93_TARGET_MEMBERSHIP'!BN$5:BN$27,1)))*(SUMPRODUCT(--('93_TARGET_MEMBERSHIP'!BN$5:BN$27=-1),'92_FEATURE_CONF_NUMERIC'!I$5:I$27)/MAX(1,COUNTIF('93_TARGET_MEMBERSHIP'!BN$5:BN$27,-1)))))</f>
        <v/>
      </c>
      <c r="I69" s="34">
        <f>IF($B69="ABSOLUTE SEMANTIC",'19_FEATURE_CONFIDENCE'!$D$11,SQRT((SUMPRODUCT(--('93_TARGET_MEMBERSHIP'!BN$5:BN$27=1),'92_FEATURE_CONF_NUMERIC'!J$5:J$27)/MAX(1,COUNTIF('93_TARGET_MEMBERSHIP'!BN$5:BN$27,1)))*(SUMPRODUCT(--('93_TARGET_MEMBERSHIP'!BN$5:BN$27=-1),'92_FEATURE_CONF_NUMERIC'!J$5:J$27)/MAX(1,COUNTIF('93_TARGET_MEMBERSHIP'!BN$5:BN$27,-1)))))</f>
        <v/>
      </c>
      <c r="J69" s="34">
        <f>IF($B69="ABSOLUTE SEMANTIC",'19_FEATURE_CONFIDENCE'!$D$12,SQRT((SUMPRODUCT(--('93_TARGET_MEMBERSHIP'!BN$5:BN$27=1),'92_FEATURE_CONF_NUMERIC'!K$5:K$27)/MAX(1,COUNTIF('93_TARGET_MEMBERSHIP'!BN$5:BN$27,1)))*(SUMPRODUCT(--('93_TARGET_MEMBERSHIP'!BN$5:BN$27=-1),'92_FEATURE_CONF_NUMERIC'!K$5:K$27)/MAX(1,COUNTIF('93_TARGET_MEMBERSHIP'!BN$5:BN$27,-1)))))</f>
        <v/>
      </c>
      <c r="K69" s="34">
        <f>IF($B69="ABSOLUTE SEMANTIC",'19_FEATURE_CONFIDENCE'!$D$13,SQRT((SUMPRODUCT(--('93_TARGET_MEMBERSHIP'!BN$5:BN$27=1),'92_FEATURE_CONF_NUMERIC'!L$5:L$27)/MAX(1,COUNTIF('93_TARGET_MEMBERSHIP'!BN$5:BN$27,1)))*(SUMPRODUCT(--('93_TARGET_MEMBERSHIP'!BN$5:BN$27=-1),'92_FEATURE_CONF_NUMERIC'!L$5:L$27)/MAX(1,COUNTIF('93_TARGET_MEMBERSHIP'!BN$5:BN$27,-1)))))</f>
        <v/>
      </c>
      <c r="L69" s="34">
        <f>IF($B69="ABSOLUTE SEMANTIC",'19_FEATURE_CONFIDENCE'!$D$14,SQRT((SUMPRODUCT(--('93_TARGET_MEMBERSHIP'!BN$5:BN$27=1),'92_FEATURE_CONF_NUMERIC'!M$5:M$27)/MAX(1,COUNTIF('93_TARGET_MEMBERSHIP'!BN$5:BN$27,1)))*(SUMPRODUCT(--('93_TARGET_MEMBERSHIP'!BN$5:BN$27=-1),'92_FEATURE_CONF_NUMERIC'!M$5:M$27)/MAX(1,COUNTIF('93_TARGET_MEMBERSHIP'!BN$5:BN$27,-1)))))</f>
        <v/>
      </c>
      <c r="M69" s="34">
        <f>IF($B69="ABSOLUTE SEMANTIC",'19_FEATURE_CONFIDENCE'!$D$15,SQRT((SUMPRODUCT(--('93_TARGET_MEMBERSHIP'!BN$5:BN$27=1),'92_FEATURE_CONF_NUMERIC'!N$5:N$27)/MAX(1,COUNTIF('93_TARGET_MEMBERSHIP'!BN$5:BN$27,1)))*(SUMPRODUCT(--('93_TARGET_MEMBERSHIP'!BN$5:BN$27=-1),'92_FEATURE_CONF_NUMERIC'!N$5:N$27)/MAX(1,COUNTIF('93_TARGET_MEMBERSHIP'!BN$5:BN$27,-1)))))</f>
        <v/>
      </c>
      <c r="N69" s="34">
        <f>IF($B69="ABSOLUTE SEMANTIC",'19_FEATURE_CONFIDENCE'!$D$16,SQRT((SUMPRODUCT(--('93_TARGET_MEMBERSHIP'!BN$5:BN$27=1),'92_FEATURE_CONF_NUMERIC'!O$5:O$27)/MAX(1,COUNTIF('93_TARGET_MEMBERSHIP'!BN$5:BN$27,1)))*(SUMPRODUCT(--('93_TARGET_MEMBERSHIP'!BN$5:BN$27=-1),'92_FEATURE_CONF_NUMERIC'!O$5:O$27)/MAX(1,COUNTIF('93_TARGET_MEMBERSHIP'!BN$5:BN$27,-1)))))</f>
        <v/>
      </c>
      <c r="O69" s="34">
        <f>IF($B69="ABSOLUTE SEMANTIC",'19_FEATURE_CONFIDENCE'!$D$17,SQRT((SUMPRODUCT(--('93_TARGET_MEMBERSHIP'!BN$5:BN$27=1),'92_FEATURE_CONF_NUMERIC'!P$5:P$27)/MAX(1,COUNTIF('93_TARGET_MEMBERSHIP'!BN$5:BN$27,1)))*(SUMPRODUCT(--('93_TARGET_MEMBERSHIP'!BN$5:BN$27=-1),'92_FEATURE_CONF_NUMERIC'!P$5:P$27)/MAX(1,COUNTIF('93_TARGET_MEMBERSHIP'!BN$5:BN$27,-1)))))</f>
        <v/>
      </c>
      <c r="P69" s="34">
        <f>IF($B69="ABSOLUTE SEMANTIC",'19_FEATURE_CONFIDENCE'!$D$18,SQRT((SUMPRODUCT(--('93_TARGET_MEMBERSHIP'!BN$5:BN$27=1),'92_FEATURE_CONF_NUMERIC'!Q$5:Q$27)/MAX(1,COUNTIF('93_TARGET_MEMBERSHIP'!BN$5:BN$27,1)))*(SUMPRODUCT(--('93_TARGET_MEMBERSHIP'!BN$5:BN$27=-1),'92_FEATURE_CONF_NUMERIC'!Q$5:Q$27)/MAX(1,COUNTIF('93_TARGET_MEMBERSHIP'!BN$5:BN$27,-1)))))</f>
        <v/>
      </c>
      <c r="Q69" s="34">
        <f>IF($B69="ABSOLUTE SEMANTIC",'19_FEATURE_CONFIDENCE'!$D$19,SQRT((SUMPRODUCT(--('93_TARGET_MEMBERSHIP'!BN$5:BN$27=1),'92_FEATURE_CONF_NUMERIC'!R$5:R$27)/MAX(1,COUNTIF('93_TARGET_MEMBERSHIP'!BN$5:BN$27,1)))*(SUMPRODUCT(--('93_TARGET_MEMBERSHIP'!BN$5:BN$27=-1),'92_FEATURE_CONF_NUMERIC'!R$5:R$27)/MAX(1,COUNTIF('93_TARGET_MEMBERSHIP'!BN$5:BN$27,-1)))))</f>
        <v/>
      </c>
      <c r="R69" s="34">
        <f>IF($B69="ABSOLUTE SEMANTIC",'19_FEATURE_CONFIDENCE'!$D$20,SQRT((SUMPRODUCT(--('93_TARGET_MEMBERSHIP'!BN$5:BN$27=1),'92_FEATURE_CONF_NUMERIC'!S$5:S$27)/MAX(1,COUNTIF('93_TARGET_MEMBERSHIP'!BN$5:BN$27,1)))*(SUMPRODUCT(--('93_TARGET_MEMBERSHIP'!BN$5:BN$27=-1),'92_FEATURE_CONF_NUMERIC'!S$5:S$27)/MAX(1,COUNTIF('93_TARGET_MEMBERSHIP'!BN$5:BN$27,-1)))))</f>
        <v/>
      </c>
      <c r="S69" s="34">
        <f>IF($B69="ABSOLUTE SEMANTIC",'19_FEATURE_CONFIDENCE'!$D$21,SQRT((SUMPRODUCT(--('93_TARGET_MEMBERSHIP'!BN$5:BN$27=1),'92_FEATURE_CONF_NUMERIC'!T$5:T$27)/MAX(1,COUNTIF('93_TARGET_MEMBERSHIP'!BN$5:BN$27,1)))*(SUMPRODUCT(--('93_TARGET_MEMBERSHIP'!BN$5:BN$27=-1),'92_FEATURE_CONF_NUMERIC'!T$5:T$27)/MAX(1,COUNTIF('93_TARGET_MEMBERSHIP'!BN$5:BN$27,-1)))))</f>
        <v/>
      </c>
      <c r="T69" s="34">
        <f>IF($B69="ABSOLUTE SEMANTIC",'19_FEATURE_CONFIDENCE'!$D$22,SQRT((SUMPRODUCT(--('93_TARGET_MEMBERSHIP'!BN$5:BN$27=1),'92_FEATURE_CONF_NUMERIC'!U$5:U$27)/MAX(1,COUNTIF('93_TARGET_MEMBERSHIP'!BN$5:BN$27,1)))*(SUMPRODUCT(--('93_TARGET_MEMBERSHIP'!BN$5:BN$27=-1),'92_FEATURE_CONF_NUMERIC'!U$5:U$27)/MAX(1,COUNTIF('93_TARGET_MEMBERSHIP'!BN$5:BN$27,-1)))))</f>
        <v/>
      </c>
      <c r="U69" s="34">
        <f>IF($B69="ABSOLUTE SEMANTIC",'19_FEATURE_CONFIDENCE'!$D$23,SQRT((SUMPRODUCT(--('93_TARGET_MEMBERSHIP'!BN$5:BN$27=1),'92_FEATURE_CONF_NUMERIC'!V$5:V$27)/MAX(1,COUNTIF('93_TARGET_MEMBERSHIP'!BN$5:BN$27,1)))*(SUMPRODUCT(--('93_TARGET_MEMBERSHIP'!BN$5:BN$27=-1),'92_FEATURE_CONF_NUMERIC'!V$5:V$27)/MAX(1,COUNTIF('93_TARGET_MEMBERSHIP'!BN$5:BN$27,-1)))))</f>
        <v/>
      </c>
      <c r="V69" s="34">
        <f>IF($B69="ABSOLUTE SEMANTIC",'19_FEATURE_CONFIDENCE'!$D$24,SQRT((SUMPRODUCT(--('93_TARGET_MEMBERSHIP'!BN$5:BN$27=1),'92_FEATURE_CONF_NUMERIC'!W$5:W$27)/MAX(1,COUNTIF('93_TARGET_MEMBERSHIP'!BN$5:BN$27,1)))*(SUMPRODUCT(--('93_TARGET_MEMBERSHIP'!BN$5:BN$27=-1),'92_FEATURE_CONF_NUMERIC'!W$5:W$27)/MAX(1,COUNTIF('93_TARGET_MEMBERSHIP'!BN$5:BN$27,-1)))))</f>
        <v/>
      </c>
      <c r="W69" s="34">
        <f>IF($B69="ABSOLUTE SEMANTIC",'19_FEATURE_CONFIDENCE'!$D$25,SQRT((SUMPRODUCT(--('93_TARGET_MEMBERSHIP'!BN$5:BN$27=1),'92_FEATURE_CONF_NUMERIC'!X$5:X$27)/MAX(1,COUNTIF('93_TARGET_MEMBERSHIP'!BN$5:BN$27,1)))*(SUMPRODUCT(--('93_TARGET_MEMBERSHIP'!BN$5:BN$27=-1),'92_FEATURE_CONF_NUMERIC'!X$5:X$27)/MAX(1,COUNTIF('93_TARGET_MEMBERSHIP'!BN$5:BN$27,-1)))))</f>
        <v/>
      </c>
      <c r="X69" s="34">
        <f>IF($B69="ABSOLUTE SEMANTIC",'19_FEATURE_CONFIDENCE'!$D$26,SQRT((SUMPRODUCT(--('93_TARGET_MEMBERSHIP'!BN$5:BN$27=1),'92_FEATURE_CONF_NUMERIC'!Y$5:Y$27)/MAX(1,COUNTIF('93_TARGET_MEMBERSHIP'!BN$5:BN$27,1)))*(SUMPRODUCT(--('93_TARGET_MEMBERSHIP'!BN$5:BN$27=-1),'92_FEATURE_CONF_NUMERIC'!Y$5:Y$27)/MAX(1,COUNTIF('93_TARGET_MEMBERSHIP'!BN$5:BN$27,-1)))))</f>
        <v/>
      </c>
      <c r="Y69" s="34">
        <f>IF($B69="ABSOLUTE SEMANTIC",'19_FEATURE_CONFIDENCE'!$D$27,SQRT((SUMPRODUCT(--('93_TARGET_MEMBERSHIP'!BN$5:BN$27=1),'92_FEATURE_CONF_NUMERIC'!Z$5:Z$27)/MAX(1,COUNTIF('93_TARGET_MEMBERSHIP'!BN$5:BN$27,1)))*(SUMPRODUCT(--('93_TARGET_MEMBERSHIP'!BN$5:BN$27=-1),'92_FEATURE_CONF_NUMERIC'!Z$5:Z$27)/MAX(1,COUNTIF('93_TARGET_MEMBERSHIP'!BN$5:BN$27,-1)))))</f>
        <v/>
      </c>
      <c r="Z69" s="34">
        <f>IF($B69="ABSOLUTE SEMANTIC",'19_FEATURE_CONFIDENCE'!$D$28,SQRT((SUMPRODUCT(--('93_TARGET_MEMBERSHIP'!BN$5:BN$27=1),'92_FEATURE_CONF_NUMERIC'!AA$5:AA$27)/MAX(1,COUNTIF('93_TARGET_MEMBERSHIP'!BN$5:BN$27,1)))*(SUMPRODUCT(--('93_TARGET_MEMBERSHIP'!BN$5:BN$27=-1),'92_FEATURE_CONF_NUMERIC'!AA$5:AA$27)/MAX(1,COUNTIF('93_TARGET_MEMBERSHIP'!BN$5:BN$27,-1)))))</f>
        <v/>
      </c>
      <c r="AA69" s="34">
        <f>IF($B69="ABSOLUTE SEMANTIC",'19_FEATURE_CONFIDENCE'!$D$29,SQRT((SUMPRODUCT(--('93_TARGET_MEMBERSHIP'!BN$5:BN$27=1),'92_FEATURE_CONF_NUMERIC'!AB$5:AB$27)/MAX(1,COUNTIF('93_TARGET_MEMBERSHIP'!BN$5:BN$27,1)))*(SUMPRODUCT(--('93_TARGET_MEMBERSHIP'!BN$5:BN$27=-1),'92_FEATURE_CONF_NUMERIC'!AB$5:AB$27)/MAX(1,COUNTIF('93_TARGET_MEMBERSHIP'!BN$5:BN$27,-1)))))</f>
        <v/>
      </c>
      <c r="AB69" s="34">
        <f>IF($B69="ABSOLUTE SEMANTIC",'19_FEATURE_CONFIDENCE'!$D$30,SQRT((SUMPRODUCT(--('93_TARGET_MEMBERSHIP'!BN$5:BN$27=1),'92_FEATURE_CONF_NUMERIC'!AC$5:AC$27)/MAX(1,COUNTIF('93_TARGET_MEMBERSHIP'!BN$5:BN$27,1)))*(SUMPRODUCT(--('93_TARGET_MEMBERSHIP'!BN$5:BN$27=-1),'92_FEATURE_CONF_NUMERIC'!AC$5:AC$27)/MAX(1,COUNTIF('93_TARGET_MEMBERSHIP'!BN$5:BN$27,-1)))))</f>
        <v/>
      </c>
      <c r="AC69" s="34">
        <f>IF($B69="ABSOLUTE SEMANTIC",'19_FEATURE_CONFIDENCE'!$D$31,SQRT((SUMPRODUCT(--('93_TARGET_MEMBERSHIP'!BN$5:BN$27=1),'92_FEATURE_CONF_NUMERIC'!AD$5:AD$27)/MAX(1,COUNTIF('93_TARGET_MEMBERSHIP'!BN$5:BN$27,1)))*(SUMPRODUCT(--('93_TARGET_MEMBERSHIP'!BN$5:BN$27=-1),'92_FEATURE_CONF_NUMERIC'!AD$5:AD$27)/MAX(1,COUNTIF('93_TARGET_MEMBERSHIP'!BN$5:BN$27,-1)))))</f>
        <v/>
      </c>
      <c r="AD69" s="34">
        <f>IF($B69="ABSOLUTE SEMANTIC",'19_FEATURE_CONFIDENCE'!$D$32,SQRT((SUMPRODUCT(--('93_TARGET_MEMBERSHIP'!BN$5:BN$27=1),'92_FEATURE_CONF_NUMERIC'!AE$5:AE$27)/MAX(1,COUNTIF('93_TARGET_MEMBERSHIP'!BN$5:BN$27,1)))*(SUMPRODUCT(--('93_TARGET_MEMBERSHIP'!BN$5:BN$27=-1),'92_FEATURE_CONF_NUMERIC'!AE$5:AE$27)/MAX(1,COUNTIF('93_TARGET_MEMBERSHIP'!BN$5:BN$27,-1)))))</f>
        <v/>
      </c>
      <c r="AE69" s="34">
        <f>IF($B69="ABSOLUTE SEMANTIC",'19_FEATURE_CONFIDENCE'!$D$33,SQRT((SUMPRODUCT(--('93_TARGET_MEMBERSHIP'!BN$5:BN$27=1),'92_FEATURE_CONF_NUMERIC'!AF$5:AF$27)/MAX(1,COUNTIF('93_TARGET_MEMBERSHIP'!BN$5:BN$27,1)))*(SUMPRODUCT(--('93_TARGET_MEMBERSHIP'!BN$5:BN$27=-1),'92_FEATURE_CONF_NUMERIC'!AF$5:AF$27)/MAX(1,COUNTIF('93_TARGET_MEMBERSHIP'!BN$5:BN$27,-1)))))</f>
        <v/>
      </c>
      <c r="AF69" s="34">
        <f>IF($B69="ABSOLUTE SEMANTIC",'19_FEATURE_CONFIDENCE'!$D$34,SQRT((SUMPRODUCT(--('93_TARGET_MEMBERSHIP'!BN$5:BN$27=1),'92_FEATURE_CONF_NUMERIC'!AG$5:AG$27)/MAX(1,COUNTIF('93_TARGET_MEMBERSHIP'!BN$5:BN$27,1)))*(SUMPRODUCT(--('93_TARGET_MEMBERSHIP'!BN$5:BN$27=-1),'92_FEATURE_CONF_NUMERIC'!AG$5:AG$27)/MAX(1,COUNTIF('93_TARGET_MEMBERSHIP'!BN$5:BN$27,-1)))))</f>
        <v/>
      </c>
      <c r="AG69" s="34">
        <f>IF($B69="ABSOLUTE SEMANTIC",'19_FEATURE_CONFIDENCE'!$D$35,SQRT((SUMPRODUCT(--('93_TARGET_MEMBERSHIP'!BN$5:BN$27=1),'92_FEATURE_CONF_NUMERIC'!AH$5:AH$27)/MAX(1,COUNTIF('93_TARGET_MEMBERSHIP'!BN$5:BN$27,1)))*(SUMPRODUCT(--('93_TARGET_MEMBERSHIP'!BN$5:BN$27=-1),'92_FEATURE_CONF_NUMERIC'!AH$5:AH$27)/MAX(1,COUNTIF('93_TARGET_MEMBERSHIP'!BN$5:BN$27,-1)))))</f>
        <v/>
      </c>
      <c r="AH69" s="34">
        <f>IF($B69="ABSOLUTE SEMANTIC",'19_FEATURE_CONFIDENCE'!$D$36,SQRT((SUMPRODUCT(--('93_TARGET_MEMBERSHIP'!BN$5:BN$27=1),'92_FEATURE_CONF_NUMERIC'!AI$5:AI$27)/MAX(1,COUNTIF('93_TARGET_MEMBERSHIP'!BN$5:BN$27,1)))*(SUMPRODUCT(--('93_TARGET_MEMBERSHIP'!BN$5:BN$27=-1),'92_FEATURE_CONF_NUMERIC'!AI$5:AI$27)/MAX(1,COUNTIF('93_TARGET_MEMBERSHIP'!BN$5:BN$27,-1)))))</f>
        <v/>
      </c>
      <c r="AI69" s="34">
        <f>IF($B69="ABSOLUTE SEMANTIC",'19_FEATURE_CONFIDENCE'!$D$37,SQRT((SUMPRODUCT(--('93_TARGET_MEMBERSHIP'!BN$5:BN$27=1),'92_FEATURE_CONF_NUMERIC'!AJ$5:AJ$27)/MAX(1,COUNTIF('93_TARGET_MEMBERSHIP'!BN$5:BN$27,1)))*(SUMPRODUCT(--('93_TARGET_MEMBERSHIP'!BN$5:BN$27=-1),'92_FEATURE_CONF_NUMERIC'!AJ$5:AJ$27)/MAX(1,COUNTIF('93_TARGET_MEMBERSHIP'!BN$5:BN$27,-1)))))</f>
        <v/>
      </c>
      <c r="AJ69" s="34">
        <f>IF($B69="ABSOLUTE SEMANTIC",'19_FEATURE_CONFIDENCE'!$D$38,SQRT((SUMPRODUCT(--('93_TARGET_MEMBERSHIP'!BN$5:BN$27=1),'92_FEATURE_CONF_NUMERIC'!AK$5:AK$27)/MAX(1,COUNTIF('93_TARGET_MEMBERSHIP'!BN$5:BN$27,1)))*(SUMPRODUCT(--('93_TARGET_MEMBERSHIP'!BN$5:BN$27=-1),'92_FEATURE_CONF_NUMERIC'!AK$5:AK$27)/MAX(1,COUNTIF('93_TARGET_MEMBERSHIP'!BN$5:BN$27,-1)))))</f>
        <v/>
      </c>
      <c r="AK69" s="34">
        <f>IF($B69="ABSOLUTE SEMANTIC",'19_FEATURE_CONFIDENCE'!$D$39,SQRT((SUMPRODUCT(--('93_TARGET_MEMBERSHIP'!BN$5:BN$27=1),'92_FEATURE_CONF_NUMERIC'!AL$5:AL$27)/MAX(1,COUNTIF('93_TARGET_MEMBERSHIP'!BN$5:BN$27,1)))*(SUMPRODUCT(--('93_TARGET_MEMBERSHIP'!BN$5:BN$27=-1),'92_FEATURE_CONF_NUMERIC'!AL$5:AL$27)/MAX(1,COUNTIF('93_TARGET_MEMBERSHIP'!BN$5:BN$27,-1)))))</f>
        <v/>
      </c>
      <c r="AL69" s="34">
        <f>IF($B69="ABSOLUTE SEMANTIC",'19_FEATURE_CONFIDENCE'!$D$40,SQRT((SUMPRODUCT(--('93_TARGET_MEMBERSHIP'!BN$5:BN$27=1),'92_FEATURE_CONF_NUMERIC'!AM$5:AM$27)/MAX(1,COUNTIF('93_TARGET_MEMBERSHIP'!BN$5:BN$27,1)))*(SUMPRODUCT(--('93_TARGET_MEMBERSHIP'!BN$5:BN$27=-1),'92_FEATURE_CONF_NUMERIC'!AM$5:AM$27)/MAX(1,COUNTIF('93_TARGET_MEMBERSHIP'!BN$5:BN$27,-1)))))</f>
        <v/>
      </c>
      <c r="AM69" s="34">
        <f>IF($B69="ABSOLUTE SEMANTIC",'19_FEATURE_CONFIDENCE'!$D$41,SQRT((SUMPRODUCT(--('93_TARGET_MEMBERSHIP'!BN$5:BN$27=1),'92_FEATURE_CONF_NUMERIC'!AN$5:AN$27)/MAX(1,COUNTIF('93_TARGET_MEMBERSHIP'!BN$5:BN$27,1)))*(SUMPRODUCT(--('93_TARGET_MEMBERSHIP'!BN$5:BN$27=-1),'92_FEATURE_CONF_NUMERIC'!AN$5:AN$27)/MAX(1,COUNTIF('93_TARGET_MEMBERSHIP'!BN$5:BN$27,-1)))))</f>
        <v/>
      </c>
      <c r="AN69" s="34">
        <f>IF($B69="ABSOLUTE SEMANTIC",'19_FEATURE_CONFIDENCE'!$D$42,SQRT((SUMPRODUCT(--('93_TARGET_MEMBERSHIP'!BN$5:BN$27=1),'92_FEATURE_CONF_NUMERIC'!AO$5:AO$27)/MAX(1,COUNTIF('93_TARGET_MEMBERSHIP'!BN$5:BN$27,1)))*(SUMPRODUCT(--('93_TARGET_MEMBERSHIP'!BN$5:BN$27=-1),'92_FEATURE_CONF_NUMERIC'!AO$5:AO$27)/MAX(1,COUNTIF('93_TARGET_MEMBERSHIP'!BN$5:BN$27,-1)))))</f>
        <v/>
      </c>
      <c r="AO69" s="34">
        <f>IF($B69="ABSOLUTE SEMANTIC",'19_FEATURE_CONFIDENCE'!$D$43,SQRT((SUMPRODUCT(--('93_TARGET_MEMBERSHIP'!BN$5:BN$27=1),'92_FEATURE_CONF_NUMERIC'!AP$5:AP$27)/MAX(1,COUNTIF('93_TARGET_MEMBERSHIP'!BN$5:BN$27,1)))*(SUMPRODUCT(--('93_TARGET_MEMBERSHIP'!BN$5:BN$27=-1),'92_FEATURE_CONF_NUMERIC'!AP$5:AP$27)/MAX(1,COUNTIF('93_TARGET_MEMBERSHIP'!BN$5:BN$27,-1)))))</f>
        <v/>
      </c>
      <c r="AP69" s="34">
        <f>IF($B69="ABSOLUTE SEMANTIC",'19_FEATURE_CONFIDENCE'!$D$44,SQRT((SUMPRODUCT(--('93_TARGET_MEMBERSHIP'!BN$5:BN$27=1),'92_FEATURE_CONF_NUMERIC'!AQ$5:AQ$27)/MAX(1,COUNTIF('93_TARGET_MEMBERSHIP'!BN$5:BN$27,1)))*(SUMPRODUCT(--('93_TARGET_MEMBERSHIP'!BN$5:BN$27=-1),'92_FEATURE_CONF_NUMERIC'!AQ$5:AQ$27)/MAX(1,COUNTIF('93_TARGET_MEMBERSHIP'!BN$5:BN$27,-1)))))</f>
        <v/>
      </c>
      <c r="AQ69" s="34">
        <f>IF($B69="ABSOLUTE SEMANTIC",'19_FEATURE_CONFIDENCE'!$D$45,SQRT((SUMPRODUCT(--('93_TARGET_MEMBERSHIP'!BN$5:BN$27=1),'92_FEATURE_CONF_NUMERIC'!AR$5:AR$27)/MAX(1,COUNTIF('93_TARGET_MEMBERSHIP'!BN$5:BN$27,1)))*(SUMPRODUCT(--('93_TARGET_MEMBERSHIP'!BN$5:BN$27=-1),'92_FEATURE_CONF_NUMERIC'!AR$5:AR$27)/MAX(1,COUNTIF('93_TARGET_MEMBERSHIP'!BN$5:BN$27,-1)))))</f>
        <v/>
      </c>
    </row>
    <row r="70" ht="36" customHeight="1">
      <c r="A70" s="34">
        <f>'06_ITEM_POLE_MODEL'!A70</f>
        <v/>
      </c>
      <c r="B70" s="34">
        <f>'06_ITEM_POLE_MODEL'!E70</f>
        <v/>
      </c>
      <c r="C70" s="34">
        <f>IF($B70="ABSOLUTE SEMANTIC",'19_FEATURE_CONFIDENCE'!$D$5,SQRT((SUMPRODUCT(--('93_TARGET_MEMBERSHIP'!BO$5:BO$27=1),'92_FEATURE_CONF_NUMERIC'!D$5:D$27)/MAX(1,COUNTIF('93_TARGET_MEMBERSHIP'!BO$5:BO$27,1)))*(SUMPRODUCT(--('93_TARGET_MEMBERSHIP'!BO$5:BO$27=-1),'92_FEATURE_CONF_NUMERIC'!D$5:D$27)/MAX(1,COUNTIF('93_TARGET_MEMBERSHIP'!BO$5:BO$27,-1)))))</f>
        <v/>
      </c>
      <c r="D70" s="34">
        <f>IF($B70="ABSOLUTE SEMANTIC",'19_FEATURE_CONFIDENCE'!$D$6,SQRT((SUMPRODUCT(--('93_TARGET_MEMBERSHIP'!BO$5:BO$27=1),'92_FEATURE_CONF_NUMERIC'!E$5:E$27)/MAX(1,COUNTIF('93_TARGET_MEMBERSHIP'!BO$5:BO$27,1)))*(SUMPRODUCT(--('93_TARGET_MEMBERSHIP'!BO$5:BO$27=-1),'92_FEATURE_CONF_NUMERIC'!E$5:E$27)/MAX(1,COUNTIF('93_TARGET_MEMBERSHIP'!BO$5:BO$27,-1)))))</f>
        <v/>
      </c>
      <c r="E70" s="34">
        <f>IF($B70="ABSOLUTE SEMANTIC",'19_FEATURE_CONFIDENCE'!$D$7,SQRT((SUMPRODUCT(--('93_TARGET_MEMBERSHIP'!BO$5:BO$27=1),'92_FEATURE_CONF_NUMERIC'!F$5:F$27)/MAX(1,COUNTIF('93_TARGET_MEMBERSHIP'!BO$5:BO$27,1)))*(SUMPRODUCT(--('93_TARGET_MEMBERSHIP'!BO$5:BO$27=-1),'92_FEATURE_CONF_NUMERIC'!F$5:F$27)/MAX(1,COUNTIF('93_TARGET_MEMBERSHIP'!BO$5:BO$27,-1)))))</f>
        <v/>
      </c>
      <c r="F70" s="34">
        <f>IF($B70="ABSOLUTE SEMANTIC",'19_FEATURE_CONFIDENCE'!$D$8,SQRT((SUMPRODUCT(--('93_TARGET_MEMBERSHIP'!BO$5:BO$27=1),'92_FEATURE_CONF_NUMERIC'!G$5:G$27)/MAX(1,COUNTIF('93_TARGET_MEMBERSHIP'!BO$5:BO$27,1)))*(SUMPRODUCT(--('93_TARGET_MEMBERSHIP'!BO$5:BO$27=-1),'92_FEATURE_CONF_NUMERIC'!G$5:G$27)/MAX(1,COUNTIF('93_TARGET_MEMBERSHIP'!BO$5:BO$27,-1)))))</f>
        <v/>
      </c>
      <c r="G70" s="34">
        <f>IF($B70="ABSOLUTE SEMANTIC",'19_FEATURE_CONFIDENCE'!$D$9,SQRT((SUMPRODUCT(--('93_TARGET_MEMBERSHIP'!BO$5:BO$27=1),'92_FEATURE_CONF_NUMERIC'!H$5:H$27)/MAX(1,COUNTIF('93_TARGET_MEMBERSHIP'!BO$5:BO$27,1)))*(SUMPRODUCT(--('93_TARGET_MEMBERSHIP'!BO$5:BO$27=-1),'92_FEATURE_CONF_NUMERIC'!H$5:H$27)/MAX(1,COUNTIF('93_TARGET_MEMBERSHIP'!BO$5:BO$27,-1)))))</f>
        <v/>
      </c>
      <c r="H70" s="34">
        <f>IF($B70="ABSOLUTE SEMANTIC",'19_FEATURE_CONFIDENCE'!$D$10,SQRT((SUMPRODUCT(--('93_TARGET_MEMBERSHIP'!BO$5:BO$27=1),'92_FEATURE_CONF_NUMERIC'!I$5:I$27)/MAX(1,COUNTIF('93_TARGET_MEMBERSHIP'!BO$5:BO$27,1)))*(SUMPRODUCT(--('93_TARGET_MEMBERSHIP'!BO$5:BO$27=-1),'92_FEATURE_CONF_NUMERIC'!I$5:I$27)/MAX(1,COUNTIF('93_TARGET_MEMBERSHIP'!BO$5:BO$27,-1)))))</f>
        <v/>
      </c>
      <c r="I70" s="34">
        <f>IF($B70="ABSOLUTE SEMANTIC",'19_FEATURE_CONFIDENCE'!$D$11,SQRT((SUMPRODUCT(--('93_TARGET_MEMBERSHIP'!BO$5:BO$27=1),'92_FEATURE_CONF_NUMERIC'!J$5:J$27)/MAX(1,COUNTIF('93_TARGET_MEMBERSHIP'!BO$5:BO$27,1)))*(SUMPRODUCT(--('93_TARGET_MEMBERSHIP'!BO$5:BO$27=-1),'92_FEATURE_CONF_NUMERIC'!J$5:J$27)/MAX(1,COUNTIF('93_TARGET_MEMBERSHIP'!BO$5:BO$27,-1)))))</f>
        <v/>
      </c>
      <c r="J70" s="34">
        <f>IF($B70="ABSOLUTE SEMANTIC",'19_FEATURE_CONFIDENCE'!$D$12,SQRT((SUMPRODUCT(--('93_TARGET_MEMBERSHIP'!BO$5:BO$27=1),'92_FEATURE_CONF_NUMERIC'!K$5:K$27)/MAX(1,COUNTIF('93_TARGET_MEMBERSHIP'!BO$5:BO$27,1)))*(SUMPRODUCT(--('93_TARGET_MEMBERSHIP'!BO$5:BO$27=-1),'92_FEATURE_CONF_NUMERIC'!K$5:K$27)/MAX(1,COUNTIF('93_TARGET_MEMBERSHIP'!BO$5:BO$27,-1)))))</f>
        <v/>
      </c>
      <c r="K70" s="34">
        <f>IF($B70="ABSOLUTE SEMANTIC",'19_FEATURE_CONFIDENCE'!$D$13,SQRT((SUMPRODUCT(--('93_TARGET_MEMBERSHIP'!BO$5:BO$27=1),'92_FEATURE_CONF_NUMERIC'!L$5:L$27)/MAX(1,COUNTIF('93_TARGET_MEMBERSHIP'!BO$5:BO$27,1)))*(SUMPRODUCT(--('93_TARGET_MEMBERSHIP'!BO$5:BO$27=-1),'92_FEATURE_CONF_NUMERIC'!L$5:L$27)/MAX(1,COUNTIF('93_TARGET_MEMBERSHIP'!BO$5:BO$27,-1)))))</f>
        <v/>
      </c>
      <c r="L70" s="34">
        <f>IF($B70="ABSOLUTE SEMANTIC",'19_FEATURE_CONFIDENCE'!$D$14,SQRT((SUMPRODUCT(--('93_TARGET_MEMBERSHIP'!BO$5:BO$27=1),'92_FEATURE_CONF_NUMERIC'!M$5:M$27)/MAX(1,COUNTIF('93_TARGET_MEMBERSHIP'!BO$5:BO$27,1)))*(SUMPRODUCT(--('93_TARGET_MEMBERSHIP'!BO$5:BO$27=-1),'92_FEATURE_CONF_NUMERIC'!M$5:M$27)/MAX(1,COUNTIF('93_TARGET_MEMBERSHIP'!BO$5:BO$27,-1)))))</f>
        <v/>
      </c>
      <c r="M70" s="34">
        <f>IF($B70="ABSOLUTE SEMANTIC",'19_FEATURE_CONFIDENCE'!$D$15,SQRT((SUMPRODUCT(--('93_TARGET_MEMBERSHIP'!BO$5:BO$27=1),'92_FEATURE_CONF_NUMERIC'!N$5:N$27)/MAX(1,COUNTIF('93_TARGET_MEMBERSHIP'!BO$5:BO$27,1)))*(SUMPRODUCT(--('93_TARGET_MEMBERSHIP'!BO$5:BO$27=-1),'92_FEATURE_CONF_NUMERIC'!N$5:N$27)/MAX(1,COUNTIF('93_TARGET_MEMBERSHIP'!BO$5:BO$27,-1)))))</f>
        <v/>
      </c>
      <c r="N70" s="34">
        <f>IF($B70="ABSOLUTE SEMANTIC",'19_FEATURE_CONFIDENCE'!$D$16,SQRT((SUMPRODUCT(--('93_TARGET_MEMBERSHIP'!BO$5:BO$27=1),'92_FEATURE_CONF_NUMERIC'!O$5:O$27)/MAX(1,COUNTIF('93_TARGET_MEMBERSHIP'!BO$5:BO$27,1)))*(SUMPRODUCT(--('93_TARGET_MEMBERSHIP'!BO$5:BO$27=-1),'92_FEATURE_CONF_NUMERIC'!O$5:O$27)/MAX(1,COUNTIF('93_TARGET_MEMBERSHIP'!BO$5:BO$27,-1)))))</f>
        <v/>
      </c>
      <c r="O70" s="34">
        <f>IF($B70="ABSOLUTE SEMANTIC",'19_FEATURE_CONFIDENCE'!$D$17,SQRT((SUMPRODUCT(--('93_TARGET_MEMBERSHIP'!BO$5:BO$27=1),'92_FEATURE_CONF_NUMERIC'!P$5:P$27)/MAX(1,COUNTIF('93_TARGET_MEMBERSHIP'!BO$5:BO$27,1)))*(SUMPRODUCT(--('93_TARGET_MEMBERSHIP'!BO$5:BO$27=-1),'92_FEATURE_CONF_NUMERIC'!P$5:P$27)/MAX(1,COUNTIF('93_TARGET_MEMBERSHIP'!BO$5:BO$27,-1)))))</f>
        <v/>
      </c>
      <c r="P70" s="34">
        <f>IF($B70="ABSOLUTE SEMANTIC",'19_FEATURE_CONFIDENCE'!$D$18,SQRT((SUMPRODUCT(--('93_TARGET_MEMBERSHIP'!BO$5:BO$27=1),'92_FEATURE_CONF_NUMERIC'!Q$5:Q$27)/MAX(1,COUNTIF('93_TARGET_MEMBERSHIP'!BO$5:BO$27,1)))*(SUMPRODUCT(--('93_TARGET_MEMBERSHIP'!BO$5:BO$27=-1),'92_FEATURE_CONF_NUMERIC'!Q$5:Q$27)/MAX(1,COUNTIF('93_TARGET_MEMBERSHIP'!BO$5:BO$27,-1)))))</f>
        <v/>
      </c>
      <c r="Q70" s="34">
        <f>IF($B70="ABSOLUTE SEMANTIC",'19_FEATURE_CONFIDENCE'!$D$19,SQRT((SUMPRODUCT(--('93_TARGET_MEMBERSHIP'!BO$5:BO$27=1),'92_FEATURE_CONF_NUMERIC'!R$5:R$27)/MAX(1,COUNTIF('93_TARGET_MEMBERSHIP'!BO$5:BO$27,1)))*(SUMPRODUCT(--('93_TARGET_MEMBERSHIP'!BO$5:BO$27=-1),'92_FEATURE_CONF_NUMERIC'!R$5:R$27)/MAX(1,COUNTIF('93_TARGET_MEMBERSHIP'!BO$5:BO$27,-1)))))</f>
        <v/>
      </c>
      <c r="R70" s="34">
        <f>IF($B70="ABSOLUTE SEMANTIC",'19_FEATURE_CONFIDENCE'!$D$20,SQRT((SUMPRODUCT(--('93_TARGET_MEMBERSHIP'!BO$5:BO$27=1),'92_FEATURE_CONF_NUMERIC'!S$5:S$27)/MAX(1,COUNTIF('93_TARGET_MEMBERSHIP'!BO$5:BO$27,1)))*(SUMPRODUCT(--('93_TARGET_MEMBERSHIP'!BO$5:BO$27=-1),'92_FEATURE_CONF_NUMERIC'!S$5:S$27)/MAX(1,COUNTIF('93_TARGET_MEMBERSHIP'!BO$5:BO$27,-1)))))</f>
        <v/>
      </c>
      <c r="S70" s="34">
        <f>IF($B70="ABSOLUTE SEMANTIC",'19_FEATURE_CONFIDENCE'!$D$21,SQRT((SUMPRODUCT(--('93_TARGET_MEMBERSHIP'!BO$5:BO$27=1),'92_FEATURE_CONF_NUMERIC'!T$5:T$27)/MAX(1,COUNTIF('93_TARGET_MEMBERSHIP'!BO$5:BO$27,1)))*(SUMPRODUCT(--('93_TARGET_MEMBERSHIP'!BO$5:BO$27=-1),'92_FEATURE_CONF_NUMERIC'!T$5:T$27)/MAX(1,COUNTIF('93_TARGET_MEMBERSHIP'!BO$5:BO$27,-1)))))</f>
        <v/>
      </c>
      <c r="T70" s="34">
        <f>IF($B70="ABSOLUTE SEMANTIC",'19_FEATURE_CONFIDENCE'!$D$22,SQRT((SUMPRODUCT(--('93_TARGET_MEMBERSHIP'!BO$5:BO$27=1),'92_FEATURE_CONF_NUMERIC'!U$5:U$27)/MAX(1,COUNTIF('93_TARGET_MEMBERSHIP'!BO$5:BO$27,1)))*(SUMPRODUCT(--('93_TARGET_MEMBERSHIP'!BO$5:BO$27=-1),'92_FEATURE_CONF_NUMERIC'!U$5:U$27)/MAX(1,COUNTIF('93_TARGET_MEMBERSHIP'!BO$5:BO$27,-1)))))</f>
        <v/>
      </c>
      <c r="U70" s="34">
        <f>IF($B70="ABSOLUTE SEMANTIC",'19_FEATURE_CONFIDENCE'!$D$23,SQRT((SUMPRODUCT(--('93_TARGET_MEMBERSHIP'!BO$5:BO$27=1),'92_FEATURE_CONF_NUMERIC'!V$5:V$27)/MAX(1,COUNTIF('93_TARGET_MEMBERSHIP'!BO$5:BO$27,1)))*(SUMPRODUCT(--('93_TARGET_MEMBERSHIP'!BO$5:BO$27=-1),'92_FEATURE_CONF_NUMERIC'!V$5:V$27)/MAX(1,COUNTIF('93_TARGET_MEMBERSHIP'!BO$5:BO$27,-1)))))</f>
        <v/>
      </c>
      <c r="V70" s="34">
        <f>IF($B70="ABSOLUTE SEMANTIC",'19_FEATURE_CONFIDENCE'!$D$24,SQRT((SUMPRODUCT(--('93_TARGET_MEMBERSHIP'!BO$5:BO$27=1),'92_FEATURE_CONF_NUMERIC'!W$5:W$27)/MAX(1,COUNTIF('93_TARGET_MEMBERSHIP'!BO$5:BO$27,1)))*(SUMPRODUCT(--('93_TARGET_MEMBERSHIP'!BO$5:BO$27=-1),'92_FEATURE_CONF_NUMERIC'!W$5:W$27)/MAX(1,COUNTIF('93_TARGET_MEMBERSHIP'!BO$5:BO$27,-1)))))</f>
        <v/>
      </c>
      <c r="W70" s="34">
        <f>IF($B70="ABSOLUTE SEMANTIC",'19_FEATURE_CONFIDENCE'!$D$25,SQRT((SUMPRODUCT(--('93_TARGET_MEMBERSHIP'!BO$5:BO$27=1),'92_FEATURE_CONF_NUMERIC'!X$5:X$27)/MAX(1,COUNTIF('93_TARGET_MEMBERSHIP'!BO$5:BO$27,1)))*(SUMPRODUCT(--('93_TARGET_MEMBERSHIP'!BO$5:BO$27=-1),'92_FEATURE_CONF_NUMERIC'!X$5:X$27)/MAX(1,COUNTIF('93_TARGET_MEMBERSHIP'!BO$5:BO$27,-1)))))</f>
        <v/>
      </c>
      <c r="X70" s="34">
        <f>IF($B70="ABSOLUTE SEMANTIC",'19_FEATURE_CONFIDENCE'!$D$26,SQRT((SUMPRODUCT(--('93_TARGET_MEMBERSHIP'!BO$5:BO$27=1),'92_FEATURE_CONF_NUMERIC'!Y$5:Y$27)/MAX(1,COUNTIF('93_TARGET_MEMBERSHIP'!BO$5:BO$27,1)))*(SUMPRODUCT(--('93_TARGET_MEMBERSHIP'!BO$5:BO$27=-1),'92_FEATURE_CONF_NUMERIC'!Y$5:Y$27)/MAX(1,COUNTIF('93_TARGET_MEMBERSHIP'!BO$5:BO$27,-1)))))</f>
        <v/>
      </c>
      <c r="Y70" s="34">
        <f>IF($B70="ABSOLUTE SEMANTIC",'19_FEATURE_CONFIDENCE'!$D$27,SQRT((SUMPRODUCT(--('93_TARGET_MEMBERSHIP'!BO$5:BO$27=1),'92_FEATURE_CONF_NUMERIC'!Z$5:Z$27)/MAX(1,COUNTIF('93_TARGET_MEMBERSHIP'!BO$5:BO$27,1)))*(SUMPRODUCT(--('93_TARGET_MEMBERSHIP'!BO$5:BO$27=-1),'92_FEATURE_CONF_NUMERIC'!Z$5:Z$27)/MAX(1,COUNTIF('93_TARGET_MEMBERSHIP'!BO$5:BO$27,-1)))))</f>
        <v/>
      </c>
      <c r="Z70" s="34">
        <f>IF($B70="ABSOLUTE SEMANTIC",'19_FEATURE_CONFIDENCE'!$D$28,SQRT((SUMPRODUCT(--('93_TARGET_MEMBERSHIP'!BO$5:BO$27=1),'92_FEATURE_CONF_NUMERIC'!AA$5:AA$27)/MAX(1,COUNTIF('93_TARGET_MEMBERSHIP'!BO$5:BO$27,1)))*(SUMPRODUCT(--('93_TARGET_MEMBERSHIP'!BO$5:BO$27=-1),'92_FEATURE_CONF_NUMERIC'!AA$5:AA$27)/MAX(1,COUNTIF('93_TARGET_MEMBERSHIP'!BO$5:BO$27,-1)))))</f>
        <v/>
      </c>
      <c r="AA70" s="34">
        <f>IF($B70="ABSOLUTE SEMANTIC",'19_FEATURE_CONFIDENCE'!$D$29,SQRT((SUMPRODUCT(--('93_TARGET_MEMBERSHIP'!BO$5:BO$27=1),'92_FEATURE_CONF_NUMERIC'!AB$5:AB$27)/MAX(1,COUNTIF('93_TARGET_MEMBERSHIP'!BO$5:BO$27,1)))*(SUMPRODUCT(--('93_TARGET_MEMBERSHIP'!BO$5:BO$27=-1),'92_FEATURE_CONF_NUMERIC'!AB$5:AB$27)/MAX(1,COUNTIF('93_TARGET_MEMBERSHIP'!BO$5:BO$27,-1)))))</f>
        <v/>
      </c>
      <c r="AB70" s="34">
        <f>IF($B70="ABSOLUTE SEMANTIC",'19_FEATURE_CONFIDENCE'!$D$30,SQRT((SUMPRODUCT(--('93_TARGET_MEMBERSHIP'!BO$5:BO$27=1),'92_FEATURE_CONF_NUMERIC'!AC$5:AC$27)/MAX(1,COUNTIF('93_TARGET_MEMBERSHIP'!BO$5:BO$27,1)))*(SUMPRODUCT(--('93_TARGET_MEMBERSHIP'!BO$5:BO$27=-1),'92_FEATURE_CONF_NUMERIC'!AC$5:AC$27)/MAX(1,COUNTIF('93_TARGET_MEMBERSHIP'!BO$5:BO$27,-1)))))</f>
        <v/>
      </c>
      <c r="AC70" s="34">
        <f>IF($B70="ABSOLUTE SEMANTIC",'19_FEATURE_CONFIDENCE'!$D$31,SQRT((SUMPRODUCT(--('93_TARGET_MEMBERSHIP'!BO$5:BO$27=1),'92_FEATURE_CONF_NUMERIC'!AD$5:AD$27)/MAX(1,COUNTIF('93_TARGET_MEMBERSHIP'!BO$5:BO$27,1)))*(SUMPRODUCT(--('93_TARGET_MEMBERSHIP'!BO$5:BO$27=-1),'92_FEATURE_CONF_NUMERIC'!AD$5:AD$27)/MAX(1,COUNTIF('93_TARGET_MEMBERSHIP'!BO$5:BO$27,-1)))))</f>
        <v/>
      </c>
      <c r="AD70" s="34">
        <f>IF($B70="ABSOLUTE SEMANTIC",'19_FEATURE_CONFIDENCE'!$D$32,SQRT((SUMPRODUCT(--('93_TARGET_MEMBERSHIP'!BO$5:BO$27=1),'92_FEATURE_CONF_NUMERIC'!AE$5:AE$27)/MAX(1,COUNTIF('93_TARGET_MEMBERSHIP'!BO$5:BO$27,1)))*(SUMPRODUCT(--('93_TARGET_MEMBERSHIP'!BO$5:BO$27=-1),'92_FEATURE_CONF_NUMERIC'!AE$5:AE$27)/MAX(1,COUNTIF('93_TARGET_MEMBERSHIP'!BO$5:BO$27,-1)))))</f>
        <v/>
      </c>
      <c r="AE70" s="34">
        <f>IF($B70="ABSOLUTE SEMANTIC",'19_FEATURE_CONFIDENCE'!$D$33,SQRT((SUMPRODUCT(--('93_TARGET_MEMBERSHIP'!BO$5:BO$27=1),'92_FEATURE_CONF_NUMERIC'!AF$5:AF$27)/MAX(1,COUNTIF('93_TARGET_MEMBERSHIP'!BO$5:BO$27,1)))*(SUMPRODUCT(--('93_TARGET_MEMBERSHIP'!BO$5:BO$27=-1),'92_FEATURE_CONF_NUMERIC'!AF$5:AF$27)/MAX(1,COUNTIF('93_TARGET_MEMBERSHIP'!BO$5:BO$27,-1)))))</f>
        <v/>
      </c>
      <c r="AF70" s="34">
        <f>IF($B70="ABSOLUTE SEMANTIC",'19_FEATURE_CONFIDENCE'!$D$34,SQRT((SUMPRODUCT(--('93_TARGET_MEMBERSHIP'!BO$5:BO$27=1),'92_FEATURE_CONF_NUMERIC'!AG$5:AG$27)/MAX(1,COUNTIF('93_TARGET_MEMBERSHIP'!BO$5:BO$27,1)))*(SUMPRODUCT(--('93_TARGET_MEMBERSHIP'!BO$5:BO$27=-1),'92_FEATURE_CONF_NUMERIC'!AG$5:AG$27)/MAX(1,COUNTIF('93_TARGET_MEMBERSHIP'!BO$5:BO$27,-1)))))</f>
        <v/>
      </c>
      <c r="AG70" s="34">
        <f>IF($B70="ABSOLUTE SEMANTIC",'19_FEATURE_CONFIDENCE'!$D$35,SQRT((SUMPRODUCT(--('93_TARGET_MEMBERSHIP'!BO$5:BO$27=1),'92_FEATURE_CONF_NUMERIC'!AH$5:AH$27)/MAX(1,COUNTIF('93_TARGET_MEMBERSHIP'!BO$5:BO$27,1)))*(SUMPRODUCT(--('93_TARGET_MEMBERSHIP'!BO$5:BO$27=-1),'92_FEATURE_CONF_NUMERIC'!AH$5:AH$27)/MAX(1,COUNTIF('93_TARGET_MEMBERSHIP'!BO$5:BO$27,-1)))))</f>
        <v/>
      </c>
      <c r="AH70" s="34">
        <f>IF($B70="ABSOLUTE SEMANTIC",'19_FEATURE_CONFIDENCE'!$D$36,SQRT((SUMPRODUCT(--('93_TARGET_MEMBERSHIP'!BO$5:BO$27=1),'92_FEATURE_CONF_NUMERIC'!AI$5:AI$27)/MAX(1,COUNTIF('93_TARGET_MEMBERSHIP'!BO$5:BO$27,1)))*(SUMPRODUCT(--('93_TARGET_MEMBERSHIP'!BO$5:BO$27=-1),'92_FEATURE_CONF_NUMERIC'!AI$5:AI$27)/MAX(1,COUNTIF('93_TARGET_MEMBERSHIP'!BO$5:BO$27,-1)))))</f>
        <v/>
      </c>
      <c r="AI70" s="34">
        <f>IF($B70="ABSOLUTE SEMANTIC",'19_FEATURE_CONFIDENCE'!$D$37,SQRT((SUMPRODUCT(--('93_TARGET_MEMBERSHIP'!BO$5:BO$27=1),'92_FEATURE_CONF_NUMERIC'!AJ$5:AJ$27)/MAX(1,COUNTIF('93_TARGET_MEMBERSHIP'!BO$5:BO$27,1)))*(SUMPRODUCT(--('93_TARGET_MEMBERSHIP'!BO$5:BO$27=-1),'92_FEATURE_CONF_NUMERIC'!AJ$5:AJ$27)/MAX(1,COUNTIF('93_TARGET_MEMBERSHIP'!BO$5:BO$27,-1)))))</f>
        <v/>
      </c>
      <c r="AJ70" s="34">
        <f>IF($B70="ABSOLUTE SEMANTIC",'19_FEATURE_CONFIDENCE'!$D$38,SQRT((SUMPRODUCT(--('93_TARGET_MEMBERSHIP'!BO$5:BO$27=1),'92_FEATURE_CONF_NUMERIC'!AK$5:AK$27)/MAX(1,COUNTIF('93_TARGET_MEMBERSHIP'!BO$5:BO$27,1)))*(SUMPRODUCT(--('93_TARGET_MEMBERSHIP'!BO$5:BO$27=-1),'92_FEATURE_CONF_NUMERIC'!AK$5:AK$27)/MAX(1,COUNTIF('93_TARGET_MEMBERSHIP'!BO$5:BO$27,-1)))))</f>
        <v/>
      </c>
      <c r="AK70" s="34">
        <f>IF($B70="ABSOLUTE SEMANTIC",'19_FEATURE_CONFIDENCE'!$D$39,SQRT((SUMPRODUCT(--('93_TARGET_MEMBERSHIP'!BO$5:BO$27=1),'92_FEATURE_CONF_NUMERIC'!AL$5:AL$27)/MAX(1,COUNTIF('93_TARGET_MEMBERSHIP'!BO$5:BO$27,1)))*(SUMPRODUCT(--('93_TARGET_MEMBERSHIP'!BO$5:BO$27=-1),'92_FEATURE_CONF_NUMERIC'!AL$5:AL$27)/MAX(1,COUNTIF('93_TARGET_MEMBERSHIP'!BO$5:BO$27,-1)))))</f>
        <v/>
      </c>
      <c r="AL70" s="34">
        <f>IF($B70="ABSOLUTE SEMANTIC",'19_FEATURE_CONFIDENCE'!$D$40,SQRT((SUMPRODUCT(--('93_TARGET_MEMBERSHIP'!BO$5:BO$27=1),'92_FEATURE_CONF_NUMERIC'!AM$5:AM$27)/MAX(1,COUNTIF('93_TARGET_MEMBERSHIP'!BO$5:BO$27,1)))*(SUMPRODUCT(--('93_TARGET_MEMBERSHIP'!BO$5:BO$27=-1),'92_FEATURE_CONF_NUMERIC'!AM$5:AM$27)/MAX(1,COUNTIF('93_TARGET_MEMBERSHIP'!BO$5:BO$27,-1)))))</f>
        <v/>
      </c>
      <c r="AM70" s="34">
        <f>IF($B70="ABSOLUTE SEMANTIC",'19_FEATURE_CONFIDENCE'!$D$41,SQRT((SUMPRODUCT(--('93_TARGET_MEMBERSHIP'!BO$5:BO$27=1),'92_FEATURE_CONF_NUMERIC'!AN$5:AN$27)/MAX(1,COUNTIF('93_TARGET_MEMBERSHIP'!BO$5:BO$27,1)))*(SUMPRODUCT(--('93_TARGET_MEMBERSHIP'!BO$5:BO$27=-1),'92_FEATURE_CONF_NUMERIC'!AN$5:AN$27)/MAX(1,COUNTIF('93_TARGET_MEMBERSHIP'!BO$5:BO$27,-1)))))</f>
        <v/>
      </c>
      <c r="AN70" s="34">
        <f>IF($B70="ABSOLUTE SEMANTIC",'19_FEATURE_CONFIDENCE'!$D$42,SQRT((SUMPRODUCT(--('93_TARGET_MEMBERSHIP'!BO$5:BO$27=1),'92_FEATURE_CONF_NUMERIC'!AO$5:AO$27)/MAX(1,COUNTIF('93_TARGET_MEMBERSHIP'!BO$5:BO$27,1)))*(SUMPRODUCT(--('93_TARGET_MEMBERSHIP'!BO$5:BO$27=-1),'92_FEATURE_CONF_NUMERIC'!AO$5:AO$27)/MAX(1,COUNTIF('93_TARGET_MEMBERSHIP'!BO$5:BO$27,-1)))))</f>
        <v/>
      </c>
      <c r="AO70" s="34">
        <f>IF($B70="ABSOLUTE SEMANTIC",'19_FEATURE_CONFIDENCE'!$D$43,SQRT((SUMPRODUCT(--('93_TARGET_MEMBERSHIP'!BO$5:BO$27=1),'92_FEATURE_CONF_NUMERIC'!AP$5:AP$27)/MAX(1,COUNTIF('93_TARGET_MEMBERSHIP'!BO$5:BO$27,1)))*(SUMPRODUCT(--('93_TARGET_MEMBERSHIP'!BO$5:BO$27=-1),'92_FEATURE_CONF_NUMERIC'!AP$5:AP$27)/MAX(1,COUNTIF('93_TARGET_MEMBERSHIP'!BO$5:BO$27,-1)))))</f>
        <v/>
      </c>
      <c r="AP70" s="34">
        <f>IF($B70="ABSOLUTE SEMANTIC",'19_FEATURE_CONFIDENCE'!$D$44,SQRT((SUMPRODUCT(--('93_TARGET_MEMBERSHIP'!BO$5:BO$27=1),'92_FEATURE_CONF_NUMERIC'!AQ$5:AQ$27)/MAX(1,COUNTIF('93_TARGET_MEMBERSHIP'!BO$5:BO$27,1)))*(SUMPRODUCT(--('93_TARGET_MEMBERSHIP'!BO$5:BO$27=-1),'92_FEATURE_CONF_NUMERIC'!AQ$5:AQ$27)/MAX(1,COUNTIF('93_TARGET_MEMBERSHIP'!BO$5:BO$27,-1)))))</f>
        <v/>
      </c>
      <c r="AQ70" s="34">
        <f>IF($B70="ABSOLUTE SEMANTIC",'19_FEATURE_CONFIDENCE'!$D$45,SQRT((SUMPRODUCT(--('93_TARGET_MEMBERSHIP'!BO$5:BO$27=1),'92_FEATURE_CONF_NUMERIC'!AR$5:AR$27)/MAX(1,COUNTIF('93_TARGET_MEMBERSHIP'!BO$5:BO$27,1)))*(SUMPRODUCT(--('93_TARGET_MEMBERSHIP'!BO$5:BO$27=-1),'92_FEATURE_CONF_NUMERIC'!AR$5:AR$27)/MAX(1,COUNTIF('93_TARGET_MEMBERSHIP'!BO$5:BO$27,-1)))))</f>
        <v/>
      </c>
    </row>
    <row r="71" ht="36" customHeight="1">
      <c r="A71" s="34">
        <f>'06_ITEM_POLE_MODEL'!A71</f>
        <v/>
      </c>
      <c r="B71" s="34">
        <f>'06_ITEM_POLE_MODEL'!E71</f>
        <v/>
      </c>
      <c r="C71" s="34">
        <f>IF($B71="ABSOLUTE SEMANTIC",'19_FEATURE_CONFIDENCE'!$D$5,SQRT((SUMPRODUCT(--('93_TARGET_MEMBERSHIP'!BP$5:BP$27=1),'92_FEATURE_CONF_NUMERIC'!D$5:D$27)/MAX(1,COUNTIF('93_TARGET_MEMBERSHIP'!BP$5:BP$27,1)))*(SUMPRODUCT(--('93_TARGET_MEMBERSHIP'!BP$5:BP$27=-1),'92_FEATURE_CONF_NUMERIC'!D$5:D$27)/MAX(1,COUNTIF('93_TARGET_MEMBERSHIP'!BP$5:BP$27,-1)))))</f>
        <v/>
      </c>
      <c r="D71" s="34">
        <f>IF($B71="ABSOLUTE SEMANTIC",'19_FEATURE_CONFIDENCE'!$D$6,SQRT((SUMPRODUCT(--('93_TARGET_MEMBERSHIP'!BP$5:BP$27=1),'92_FEATURE_CONF_NUMERIC'!E$5:E$27)/MAX(1,COUNTIF('93_TARGET_MEMBERSHIP'!BP$5:BP$27,1)))*(SUMPRODUCT(--('93_TARGET_MEMBERSHIP'!BP$5:BP$27=-1),'92_FEATURE_CONF_NUMERIC'!E$5:E$27)/MAX(1,COUNTIF('93_TARGET_MEMBERSHIP'!BP$5:BP$27,-1)))))</f>
        <v/>
      </c>
      <c r="E71" s="34">
        <f>IF($B71="ABSOLUTE SEMANTIC",'19_FEATURE_CONFIDENCE'!$D$7,SQRT((SUMPRODUCT(--('93_TARGET_MEMBERSHIP'!BP$5:BP$27=1),'92_FEATURE_CONF_NUMERIC'!F$5:F$27)/MAX(1,COUNTIF('93_TARGET_MEMBERSHIP'!BP$5:BP$27,1)))*(SUMPRODUCT(--('93_TARGET_MEMBERSHIP'!BP$5:BP$27=-1),'92_FEATURE_CONF_NUMERIC'!F$5:F$27)/MAX(1,COUNTIF('93_TARGET_MEMBERSHIP'!BP$5:BP$27,-1)))))</f>
        <v/>
      </c>
      <c r="F71" s="34">
        <f>IF($B71="ABSOLUTE SEMANTIC",'19_FEATURE_CONFIDENCE'!$D$8,SQRT((SUMPRODUCT(--('93_TARGET_MEMBERSHIP'!BP$5:BP$27=1),'92_FEATURE_CONF_NUMERIC'!G$5:G$27)/MAX(1,COUNTIF('93_TARGET_MEMBERSHIP'!BP$5:BP$27,1)))*(SUMPRODUCT(--('93_TARGET_MEMBERSHIP'!BP$5:BP$27=-1),'92_FEATURE_CONF_NUMERIC'!G$5:G$27)/MAX(1,COUNTIF('93_TARGET_MEMBERSHIP'!BP$5:BP$27,-1)))))</f>
        <v/>
      </c>
      <c r="G71" s="34">
        <f>IF($B71="ABSOLUTE SEMANTIC",'19_FEATURE_CONFIDENCE'!$D$9,SQRT((SUMPRODUCT(--('93_TARGET_MEMBERSHIP'!BP$5:BP$27=1),'92_FEATURE_CONF_NUMERIC'!H$5:H$27)/MAX(1,COUNTIF('93_TARGET_MEMBERSHIP'!BP$5:BP$27,1)))*(SUMPRODUCT(--('93_TARGET_MEMBERSHIP'!BP$5:BP$27=-1),'92_FEATURE_CONF_NUMERIC'!H$5:H$27)/MAX(1,COUNTIF('93_TARGET_MEMBERSHIP'!BP$5:BP$27,-1)))))</f>
        <v/>
      </c>
      <c r="H71" s="34">
        <f>IF($B71="ABSOLUTE SEMANTIC",'19_FEATURE_CONFIDENCE'!$D$10,SQRT((SUMPRODUCT(--('93_TARGET_MEMBERSHIP'!BP$5:BP$27=1),'92_FEATURE_CONF_NUMERIC'!I$5:I$27)/MAX(1,COUNTIF('93_TARGET_MEMBERSHIP'!BP$5:BP$27,1)))*(SUMPRODUCT(--('93_TARGET_MEMBERSHIP'!BP$5:BP$27=-1),'92_FEATURE_CONF_NUMERIC'!I$5:I$27)/MAX(1,COUNTIF('93_TARGET_MEMBERSHIP'!BP$5:BP$27,-1)))))</f>
        <v/>
      </c>
      <c r="I71" s="34">
        <f>IF($B71="ABSOLUTE SEMANTIC",'19_FEATURE_CONFIDENCE'!$D$11,SQRT((SUMPRODUCT(--('93_TARGET_MEMBERSHIP'!BP$5:BP$27=1),'92_FEATURE_CONF_NUMERIC'!J$5:J$27)/MAX(1,COUNTIF('93_TARGET_MEMBERSHIP'!BP$5:BP$27,1)))*(SUMPRODUCT(--('93_TARGET_MEMBERSHIP'!BP$5:BP$27=-1),'92_FEATURE_CONF_NUMERIC'!J$5:J$27)/MAX(1,COUNTIF('93_TARGET_MEMBERSHIP'!BP$5:BP$27,-1)))))</f>
        <v/>
      </c>
      <c r="J71" s="34">
        <f>IF($B71="ABSOLUTE SEMANTIC",'19_FEATURE_CONFIDENCE'!$D$12,SQRT((SUMPRODUCT(--('93_TARGET_MEMBERSHIP'!BP$5:BP$27=1),'92_FEATURE_CONF_NUMERIC'!K$5:K$27)/MAX(1,COUNTIF('93_TARGET_MEMBERSHIP'!BP$5:BP$27,1)))*(SUMPRODUCT(--('93_TARGET_MEMBERSHIP'!BP$5:BP$27=-1),'92_FEATURE_CONF_NUMERIC'!K$5:K$27)/MAX(1,COUNTIF('93_TARGET_MEMBERSHIP'!BP$5:BP$27,-1)))))</f>
        <v/>
      </c>
      <c r="K71" s="34">
        <f>IF($B71="ABSOLUTE SEMANTIC",'19_FEATURE_CONFIDENCE'!$D$13,SQRT((SUMPRODUCT(--('93_TARGET_MEMBERSHIP'!BP$5:BP$27=1),'92_FEATURE_CONF_NUMERIC'!L$5:L$27)/MAX(1,COUNTIF('93_TARGET_MEMBERSHIP'!BP$5:BP$27,1)))*(SUMPRODUCT(--('93_TARGET_MEMBERSHIP'!BP$5:BP$27=-1),'92_FEATURE_CONF_NUMERIC'!L$5:L$27)/MAX(1,COUNTIF('93_TARGET_MEMBERSHIP'!BP$5:BP$27,-1)))))</f>
        <v/>
      </c>
      <c r="L71" s="34">
        <f>IF($B71="ABSOLUTE SEMANTIC",'19_FEATURE_CONFIDENCE'!$D$14,SQRT((SUMPRODUCT(--('93_TARGET_MEMBERSHIP'!BP$5:BP$27=1),'92_FEATURE_CONF_NUMERIC'!M$5:M$27)/MAX(1,COUNTIF('93_TARGET_MEMBERSHIP'!BP$5:BP$27,1)))*(SUMPRODUCT(--('93_TARGET_MEMBERSHIP'!BP$5:BP$27=-1),'92_FEATURE_CONF_NUMERIC'!M$5:M$27)/MAX(1,COUNTIF('93_TARGET_MEMBERSHIP'!BP$5:BP$27,-1)))))</f>
        <v/>
      </c>
      <c r="M71" s="34">
        <f>IF($B71="ABSOLUTE SEMANTIC",'19_FEATURE_CONFIDENCE'!$D$15,SQRT((SUMPRODUCT(--('93_TARGET_MEMBERSHIP'!BP$5:BP$27=1),'92_FEATURE_CONF_NUMERIC'!N$5:N$27)/MAX(1,COUNTIF('93_TARGET_MEMBERSHIP'!BP$5:BP$27,1)))*(SUMPRODUCT(--('93_TARGET_MEMBERSHIP'!BP$5:BP$27=-1),'92_FEATURE_CONF_NUMERIC'!N$5:N$27)/MAX(1,COUNTIF('93_TARGET_MEMBERSHIP'!BP$5:BP$27,-1)))))</f>
        <v/>
      </c>
      <c r="N71" s="34">
        <f>IF($B71="ABSOLUTE SEMANTIC",'19_FEATURE_CONFIDENCE'!$D$16,SQRT((SUMPRODUCT(--('93_TARGET_MEMBERSHIP'!BP$5:BP$27=1),'92_FEATURE_CONF_NUMERIC'!O$5:O$27)/MAX(1,COUNTIF('93_TARGET_MEMBERSHIP'!BP$5:BP$27,1)))*(SUMPRODUCT(--('93_TARGET_MEMBERSHIP'!BP$5:BP$27=-1),'92_FEATURE_CONF_NUMERIC'!O$5:O$27)/MAX(1,COUNTIF('93_TARGET_MEMBERSHIP'!BP$5:BP$27,-1)))))</f>
        <v/>
      </c>
      <c r="O71" s="34">
        <f>IF($B71="ABSOLUTE SEMANTIC",'19_FEATURE_CONFIDENCE'!$D$17,SQRT((SUMPRODUCT(--('93_TARGET_MEMBERSHIP'!BP$5:BP$27=1),'92_FEATURE_CONF_NUMERIC'!P$5:P$27)/MAX(1,COUNTIF('93_TARGET_MEMBERSHIP'!BP$5:BP$27,1)))*(SUMPRODUCT(--('93_TARGET_MEMBERSHIP'!BP$5:BP$27=-1),'92_FEATURE_CONF_NUMERIC'!P$5:P$27)/MAX(1,COUNTIF('93_TARGET_MEMBERSHIP'!BP$5:BP$27,-1)))))</f>
        <v/>
      </c>
      <c r="P71" s="34">
        <f>IF($B71="ABSOLUTE SEMANTIC",'19_FEATURE_CONFIDENCE'!$D$18,SQRT((SUMPRODUCT(--('93_TARGET_MEMBERSHIP'!BP$5:BP$27=1),'92_FEATURE_CONF_NUMERIC'!Q$5:Q$27)/MAX(1,COUNTIF('93_TARGET_MEMBERSHIP'!BP$5:BP$27,1)))*(SUMPRODUCT(--('93_TARGET_MEMBERSHIP'!BP$5:BP$27=-1),'92_FEATURE_CONF_NUMERIC'!Q$5:Q$27)/MAX(1,COUNTIF('93_TARGET_MEMBERSHIP'!BP$5:BP$27,-1)))))</f>
        <v/>
      </c>
      <c r="Q71" s="34">
        <f>IF($B71="ABSOLUTE SEMANTIC",'19_FEATURE_CONFIDENCE'!$D$19,SQRT((SUMPRODUCT(--('93_TARGET_MEMBERSHIP'!BP$5:BP$27=1),'92_FEATURE_CONF_NUMERIC'!R$5:R$27)/MAX(1,COUNTIF('93_TARGET_MEMBERSHIP'!BP$5:BP$27,1)))*(SUMPRODUCT(--('93_TARGET_MEMBERSHIP'!BP$5:BP$27=-1),'92_FEATURE_CONF_NUMERIC'!R$5:R$27)/MAX(1,COUNTIF('93_TARGET_MEMBERSHIP'!BP$5:BP$27,-1)))))</f>
        <v/>
      </c>
      <c r="R71" s="34">
        <f>IF($B71="ABSOLUTE SEMANTIC",'19_FEATURE_CONFIDENCE'!$D$20,SQRT((SUMPRODUCT(--('93_TARGET_MEMBERSHIP'!BP$5:BP$27=1),'92_FEATURE_CONF_NUMERIC'!S$5:S$27)/MAX(1,COUNTIF('93_TARGET_MEMBERSHIP'!BP$5:BP$27,1)))*(SUMPRODUCT(--('93_TARGET_MEMBERSHIP'!BP$5:BP$27=-1),'92_FEATURE_CONF_NUMERIC'!S$5:S$27)/MAX(1,COUNTIF('93_TARGET_MEMBERSHIP'!BP$5:BP$27,-1)))))</f>
        <v/>
      </c>
      <c r="S71" s="34">
        <f>IF($B71="ABSOLUTE SEMANTIC",'19_FEATURE_CONFIDENCE'!$D$21,SQRT((SUMPRODUCT(--('93_TARGET_MEMBERSHIP'!BP$5:BP$27=1),'92_FEATURE_CONF_NUMERIC'!T$5:T$27)/MAX(1,COUNTIF('93_TARGET_MEMBERSHIP'!BP$5:BP$27,1)))*(SUMPRODUCT(--('93_TARGET_MEMBERSHIP'!BP$5:BP$27=-1),'92_FEATURE_CONF_NUMERIC'!T$5:T$27)/MAX(1,COUNTIF('93_TARGET_MEMBERSHIP'!BP$5:BP$27,-1)))))</f>
        <v/>
      </c>
      <c r="T71" s="34">
        <f>IF($B71="ABSOLUTE SEMANTIC",'19_FEATURE_CONFIDENCE'!$D$22,SQRT((SUMPRODUCT(--('93_TARGET_MEMBERSHIP'!BP$5:BP$27=1),'92_FEATURE_CONF_NUMERIC'!U$5:U$27)/MAX(1,COUNTIF('93_TARGET_MEMBERSHIP'!BP$5:BP$27,1)))*(SUMPRODUCT(--('93_TARGET_MEMBERSHIP'!BP$5:BP$27=-1),'92_FEATURE_CONF_NUMERIC'!U$5:U$27)/MAX(1,COUNTIF('93_TARGET_MEMBERSHIP'!BP$5:BP$27,-1)))))</f>
        <v/>
      </c>
      <c r="U71" s="34">
        <f>IF($B71="ABSOLUTE SEMANTIC",'19_FEATURE_CONFIDENCE'!$D$23,SQRT((SUMPRODUCT(--('93_TARGET_MEMBERSHIP'!BP$5:BP$27=1),'92_FEATURE_CONF_NUMERIC'!V$5:V$27)/MAX(1,COUNTIF('93_TARGET_MEMBERSHIP'!BP$5:BP$27,1)))*(SUMPRODUCT(--('93_TARGET_MEMBERSHIP'!BP$5:BP$27=-1),'92_FEATURE_CONF_NUMERIC'!V$5:V$27)/MAX(1,COUNTIF('93_TARGET_MEMBERSHIP'!BP$5:BP$27,-1)))))</f>
        <v/>
      </c>
      <c r="V71" s="34">
        <f>IF($B71="ABSOLUTE SEMANTIC",'19_FEATURE_CONFIDENCE'!$D$24,SQRT((SUMPRODUCT(--('93_TARGET_MEMBERSHIP'!BP$5:BP$27=1),'92_FEATURE_CONF_NUMERIC'!W$5:W$27)/MAX(1,COUNTIF('93_TARGET_MEMBERSHIP'!BP$5:BP$27,1)))*(SUMPRODUCT(--('93_TARGET_MEMBERSHIP'!BP$5:BP$27=-1),'92_FEATURE_CONF_NUMERIC'!W$5:W$27)/MAX(1,COUNTIF('93_TARGET_MEMBERSHIP'!BP$5:BP$27,-1)))))</f>
        <v/>
      </c>
      <c r="W71" s="34">
        <f>IF($B71="ABSOLUTE SEMANTIC",'19_FEATURE_CONFIDENCE'!$D$25,SQRT((SUMPRODUCT(--('93_TARGET_MEMBERSHIP'!BP$5:BP$27=1),'92_FEATURE_CONF_NUMERIC'!X$5:X$27)/MAX(1,COUNTIF('93_TARGET_MEMBERSHIP'!BP$5:BP$27,1)))*(SUMPRODUCT(--('93_TARGET_MEMBERSHIP'!BP$5:BP$27=-1),'92_FEATURE_CONF_NUMERIC'!X$5:X$27)/MAX(1,COUNTIF('93_TARGET_MEMBERSHIP'!BP$5:BP$27,-1)))))</f>
        <v/>
      </c>
      <c r="X71" s="34">
        <f>IF($B71="ABSOLUTE SEMANTIC",'19_FEATURE_CONFIDENCE'!$D$26,SQRT((SUMPRODUCT(--('93_TARGET_MEMBERSHIP'!BP$5:BP$27=1),'92_FEATURE_CONF_NUMERIC'!Y$5:Y$27)/MAX(1,COUNTIF('93_TARGET_MEMBERSHIP'!BP$5:BP$27,1)))*(SUMPRODUCT(--('93_TARGET_MEMBERSHIP'!BP$5:BP$27=-1),'92_FEATURE_CONF_NUMERIC'!Y$5:Y$27)/MAX(1,COUNTIF('93_TARGET_MEMBERSHIP'!BP$5:BP$27,-1)))))</f>
        <v/>
      </c>
      <c r="Y71" s="34">
        <f>IF($B71="ABSOLUTE SEMANTIC",'19_FEATURE_CONFIDENCE'!$D$27,SQRT((SUMPRODUCT(--('93_TARGET_MEMBERSHIP'!BP$5:BP$27=1),'92_FEATURE_CONF_NUMERIC'!Z$5:Z$27)/MAX(1,COUNTIF('93_TARGET_MEMBERSHIP'!BP$5:BP$27,1)))*(SUMPRODUCT(--('93_TARGET_MEMBERSHIP'!BP$5:BP$27=-1),'92_FEATURE_CONF_NUMERIC'!Z$5:Z$27)/MAX(1,COUNTIF('93_TARGET_MEMBERSHIP'!BP$5:BP$27,-1)))))</f>
        <v/>
      </c>
      <c r="Z71" s="34">
        <f>IF($B71="ABSOLUTE SEMANTIC",'19_FEATURE_CONFIDENCE'!$D$28,SQRT((SUMPRODUCT(--('93_TARGET_MEMBERSHIP'!BP$5:BP$27=1),'92_FEATURE_CONF_NUMERIC'!AA$5:AA$27)/MAX(1,COUNTIF('93_TARGET_MEMBERSHIP'!BP$5:BP$27,1)))*(SUMPRODUCT(--('93_TARGET_MEMBERSHIP'!BP$5:BP$27=-1),'92_FEATURE_CONF_NUMERIC'!AA$5:AA$27)/MAX(1,COUNTIF('93_TARGET_MEMBERSHIP'!BP$5:BP$27,-1)))))</f>
        <v/>
      </c>
      <c r="AA71" s="34">
        <f>IF($B71="ABSOLUTE SEMANTIC",'19_FEATURE_CONFIDENCE'!$D$29,SQRT((SUMPRODUCT(--('93_TARGET_MEMBERSHIP'!BP$5:BP$27=1),'92_FEATURE_CONF_NUMERIC'!AB$5:AB$27)/MAX(1,COUNTIF('93_TARGET_MEMBERSHIP'!BP$5:BP$27,1)))*(SUMPRODUCT(--('93_TARGET_MEMBERSHIP'!BP$5:BP$27=-1),'92_FEATURE_CONF_NUMERIC'!AB$5:AB$27)/MAX(1,COUNTIF('93_TARGET_MEMBERSHIP'!BP$5:BP$27,-1)))))</f>
        <v/>
      </c>
      <c r="AB71" s="34">
        <f>IF($B71="ABSOLUTE SEMANTIC",'19_FEATURE_CONFIDENCE'!$D$30,SQRT((SUMPRODUCT(--('93_TARGET_MEMBERSHIP'!BP$5:BP$27=1),'92_FEATURE_CONF_NUMERIC'!AC$5:AC$27)/MAX(1,COUNTIF('93_TARGET_MEMBERSHIP'!BP$5:BP$27,1)))*(SUMPRODUCT(--('93_TARGET_MEMBERSHIP'!BP$5:BP$27=-1),'92_FEATURE_CONF_NUMERIC'!AC$5:AC$27)/MAX(1,COUNTIF('93_TARGET_MEMBERSHIP'!BP$5:BP$27,-1)))))</f>
        <v/>
      </c>
      <c r="AC71" s="34">
        <f>IF($B71="ABSOLUTE SEMANTIC",'19_FEATURE_CONFIDENCE'!$D$31,SQRT((SUMPRODUCT(--('93_TARGET_MEMBERSHIP'!BP$5:BP$27=1),'92_FEATURE_CONF_NUMERIC'!AD$5:AD$27)/MAX(1,COUNTIF('93_TARGET_MEMBERSHIP'!BP$5:BP$27,1)))*(SUMPRODUCT(--('93_TARGET_MEMBERSHIP'!BP$5:BP$27=-1),'92_FEATURE_CONF_NUMERIC'!AD$5:AD$27)/MAX(1,COUNTIF('93_TARGET_MEMBERSHIP'!BP$5:BP$27,-1)))))</f>
        <v/>
      </c>
      <c r="AD71" s="34">
        <f>IF($B71="ABSOLUTE SEMANTIC",'19_FEATURE_CONFIDENCE'!$D$32,SQRT((SUMPRODUCT(--('93_TARGET_MEMBERSHIP'!BP$5:BP$27=1),'92_FEATURE_CONF_NUMERIC'!AE$5:AE$27)/MAX(1,COUNTIF('93_TARGET_MEMBERSHIP'!BP$5:BP$27,1)))*(SUMPRODUCT(--('93_TARGET_MEMBERSHIP'!BP$5:BP$27=-1),'92_FEATURE_CONF_NUMERIC'!AE$5:AE$27)/MAX(1,COUNTIF('93_TARGET_MEMBERSHIP'!BP$5:BP$27,-1)))))</f>
        <v/>
      </c>
      <c r="AE71" s="34">
        <f>IF($B71="ABSOLUTE SEMANTIC",'19_FEATURE_CONFIDENCE'!$D$33,SQRT((SUMPRODUCT(--('93_TARGET_MEMBERSHIP'!BP$5:BP$27=1),'92_FEATURE_CONF_NUMERIC'!AF$5:AF$27)/MAX(1,COUNTIF('93_TARGET_MEMBERSHIP'!BP$5:BP$27,1)))*(SUMPRODUCT(--('93_TARGET_MEMBERSHIP'!BP$5:BP$27=-1),'92_FEATURE_CONF_NUMERIC'!AF$5:AF$27)/MAX(1,COUNTIF('93_TARGET_MEMBERSHIP'!BP$5:BP$27,-1)))))</f>
        <v/>
      </c>
      <c r="AF71" s="34">
        <f>IF($B71="ABSOLUTE SEMANTIC",'19_FEATURE_CONFIDENCE'!$D$34,SQRT((SUMPRODUCT(--('93_TARGET_MEMBERSHIP'!BP$5:BP$27=1),'92_FEATURE_CONF_NUMERIC'!AG$5:AG$27)/MAX(1,COUNTIF('93_TARGET_MEMBERSHIP'!BP$5:BP$27,1)))*(SUMPRODUCT(--('93_TARGET_MEMBERSHIP'!BP$5:BP$27=-1),'92_FEATURE_CONF_NUMERIC'!AG$5:AG$27)/MAX(1,COUNTIF('93_TARGET_MEMBERSHIP'!BP$5:BP$27,-1)))))</f>
        <v/>
      </c>
      <c r="AG71" s="34">
        <f>IF($B71="ABSOLUTE SEMANTIC",'19_FEATURE_CONFIDENCE'!$D$35,SQRT((SUMPRODUCT(--('93_TARGET_MEMBERSHIP'!BP$5:BP$27=1),'92_FEATURE_CONF_NUMERIC'!AH$5:AH$27)/MAX(1,COUNTIF('93_TARGET_MEMBERSHIP'!BP$5:BP$27,1)))*(SUMPRODUCT(--('93_TARGET_MEMBERSHIP'!BP$5:BP$27=-1),'92_FEATURE_CONF_NUMERIC'!AH$5:AH$27)/MAX(1,COUNTIF('93_TARGET_MEMBERSHIP'!BP$5:BP$27,-1)))))</f>
        <v/>
      </c>
      <c r="AH71" s="34">
        <f>IF($B71="ABSOLUTE SEMANTIC",'19_FEATURE_CONFIDENCE'!$D$36,SQRT((SUMPRODUCT(--('93_TARGET_MEMBERSHIP'!BP$5:BP$27=1),'92_FEATURE_CONF_NUMERIC'!AI$5:AI$27)/MAX(1,COUNTIF('93_TARGET_MEMBERSHIP'!BP$5:BP$27,1)))*(SUMPRODUCT(--('93_TARGET_MEMBERSHIP'!BP$5:BP$27=-1),'92_FEATURE_CONF_NUMERIC'!AI$5:AI$27)/MAX(1,COUNTIF('93_TARGET_MEMBERSHIP'!BP$5:BP$27,-1)))))</f>
        <v/>
      </c>
      <c r="AI71" s="34">
        <f>IF($B71="ABSOLUTE SEMANTIC",'19_FEATURE_CONFIDENCE'!$D$37,SQRT((SUMPRODUCT(--('93_TARGET_MEMBERSHIP'!BP$5:BP$27=1),'92_FEATURE_CONF_NUMERIC'!AJ$5:AJ$27)/MAX(1,COUNTIF('93_TARGET_MEMBERSHIP'!BP$5:BP$27,1)))*(SUMPRODUCT(--('93_TARGET_MEMBERSHIP'!BP$5:BP$27=-1),'92_FEATURE_CONF_NUMERIC'!AJ$5:AJ$27)/MAX(1,COUNTIF('93_TARGET_MEMBERSHIP'!BP$5:BP$27,-1)))))</f>
        <v/>
      </c>
      <c r="AJ71" s="34">
        <f>IF($B71="ABSOLUTE SEMANTIC",'19_FEATURE_CONFIDENCE'!$D$38,SQRT((SUMPRODUCT(--('93_TARGET_MEMBERSHIP'!BP$5:BP$27=1),'92_FEATURE_CONF_NUMERIC'!AK$5:AK$27)/MAX(1,COUNTIF('93_TARGET_MEMBERSHIP'!BP$5:BP$27,1)))*(SUMPRODUCT(--('93_TARGET_MEMBERSHIP'!BP$5:BP$27=-1),'92_FEATURE_CONF_NUMERIC'!AK$5:AK$27)/MAX(1,COUNTIF('93_TARGET_MEMBERSHIP'!BP$5:BP$27,-1)))))</f>
        <v/>
      </c>
      <c r="AK71" s="34">
        <f>IF($B71="ABSOLUTE SEMANTIC",'19_FEATURE_CONFIDENCE'!$D$39,SQRT((SUMPRODUCT(--('93_TARGET_MEMBERSHIP'!BP$5:BP$27=1),'92_FEATURE_CONF_NUMERIC'!AL$5:AL$27)/MAX(1,COUNTIF('93_TARGET_MEMBERSHIP'!BP$5:BP$27,1)))*(SUMPRODUCT(--('93_TARGET_MEMBERSHIP'!BP$5:BP$27=-1),'92_FEATURE_CONF_NUMERIC'!AL$5:AL$27)/MAX(1,COUNTIF('93_TARGET_MEMBERSHIP'!BP$5:BP$27,-1)))))</f>
        <v/>
      </c>
      <c r="AL71" s="34">
        <f>IF($B71="ABSOLUTE SEMANTIC",'19_FEATURE_CONFIDENCE'!$D$40,SQRT((SUMPRODUCT(--('93_TARGET_MEMBERSHIP'!BP$5:BP$27=1),'92_FEATURE_CONF_NUMERIC'!AM$5:AM$27)/MAX(1,COUNTIF('93_TARGET_MEMBERSHIP'!BP$5:BP$27,1)))*(SUMPRODUCT(--('93_TARGET_MEMBERSHIP'!BP$5:BP$27=-1),'92_FEATURE_CONF_NUMERIC'!AM$5:AM$27)/MAX(1,COUNTIF('93_TARGET_MEMBERSHIP'!BP$5:BP$27,-1)))))</f>
        <v/>
      </c>
      <c r="AM71" s="34">
        <f>IF($B71="ABSOLUTE SEMANTIC",'19_FEATURE_CONFIDENCE'!$D$41,SQRT((SUMPRODUCT(--('93_TARGET_MEMBERSHIP'!BP$5:BP$27=1),'92_FEATURE_CONF_NUMERIC'!AN$5:AN$27)/MAX(1,COUNTIF('93_TARGET_MEMBERSHIP'!BP$5:BP$27,1)))*(SUMPRODUCT(--('93_TARGET_MEMBERSHIP'!BP$5:BP$27=-1),'92_FEATURE_CONF_NUMERIC'!AN$5:AN$27)/MAX(1,COUNTIF('93_TARGET_MEMBERSHIP'!BP$5:BP$27,-1)))))</f>
        <v/>
      </c>
      <c r="AN71" s="34">
        <f>IF($B71="ABSOLUTE SEMANTIC",'19_FEATURE_CONFIDENCE'!$D$42,SQRT((SUMPRODUCT(--('93_TARGET_MEMBERSHIP'!BP$5:BP$27=1),'92_FEATURE_CONF_NUMERIC'!AO$5:AO$27)/MAX(1,COUNTIF('93_TARGET_MEMBERSHIP'!BP$5:BP$27,1)))*(SUMPRODUCT(--('93_TARGET_MEMBERSHIP'!BP$5:BP$27=-1),'92_FEATURE_CONF_NUMERIC'!AO$5:AO$27)/MAX(1,COUNTIF('93_TARGET_MEMBERSHIP'!BP$5:BP$27,-1)))))</f>
        <v/>
      </c>
      <c r="AO71" s="34">
        <f>IF($B71="ABSOLUTE SEMANTIC",'19_FEATURE_CONFIDENCE'!$D$43,SQRT((SUMPRODUCT(--('93_TARGET_MEMBERSHIP'!BP$5:BP$27=1),'92_FEATURE_CONF_NUMERIC'!AP$5:AP$27)/MAX(1,COUNTIF('93_TARGET_MEMBERSHIP'!BP$5:BP$27,1)))*(SUMPRODUCT(--('93_TARGET_MEMBERSHIP'!BP$5:BP$27=-1),'92_FEATURE_CONF_NUMERIC'!AP$5:AP$27)/MAX(1,COUNTIF('93_TARGET_MEMBERSHIP'!BP$5:BP$27,-1)))))</f>
        <v/>
      </c>
      <c r="AP71" s="34">
        <f>IF($B71="ABSOLUTE SEMANTIC",'19_FEATURE_CONFIDENCE'!$D$44,SQRT((SUMPRODUCT(--('93_TARGET_MEMBERSHIP'!BP$5:BP$27=1),'92_FEATURE_CONF_NUMERIC'!AQ$5:AQ$27)/MAX(1,COUNTIF('93_TARGET_MEMBERSHIP'!BP$5:BP$27,1)))*(SUMPRODUCT(--('93_TARGET_MEMBERSHIP'!BP$5:BP$27=-1),'92_FEATURE_CONF_NUMERIC'!AQ$5:AQ$27)/MAX(1,COUNTIF('93_TARGET_MEMBERSHIP'!BP$5:BP$27,-1)))))</f>
        <v/>
      </c>
      <c r="AQ71" s="34">
        <f>IF($B71="ABSOLUTE SEMANTIC",'19_FEATURE_CONFIDENCE'!$D$45,SQRT((SUMPRODUCT(--('93_TARGET_MEMBERSHIP'!BP$5:BP$27=1),'92_FEATURE_CONF_NUMERIC'!AR$5:AR$27)/MAX(1,COUNTIF('93_TARGET_MEMBERSHIP'!BP$5:BP$27,1)))*(SUMPRODUCT(--('93_TARGET_MEMBERSHIP'!BP$5:BP$27=-1),'92_FEATURE_CONF_NUMERIC'!AR$5:AR$27)/MAX(1,COUNTIF('93_TARGET_MEMBERSHIP'!BP$5:BP$27,-1)))))</f>
        <v/>
      </c>
    </row>
    <row r="72" ht="36" customHeight="1">
      <c r="A72" s="34">
        <f>'06_ITEM_POLE_MODEL'!A72</f>
        <v/>
      </c>
      <c r="B72" s="34">
        <f>'06_ITEM_POLE_MODEL'!E72</f>
        <v/>
      </c>
      <c r="C72" s="34">
        <f>IF($B72="ABSOLUTE SEMANTIC",'19_FEATURE_CONFIDENCE'!$D$5,SQRT((SUMPRODUCT(--('93_TARGET_MEMBERSHIP'!BQ$5:BQ$27=1),'92_FEATURE_CONF_NUMERIC'!D$5:D$27)/MAX(1,COUNTIF('93_TARGET_MEMBERSHIP'!BQ$5:BQ$27,1)))*(SUMPRODUCT(--('93_TARGET_MEMBERSHIP'!BQ$5:BQ$27=-1),'92_FEATURE_CONF_NUMERIC'!D$5:D$27)/MAX(1,COUNTIF('93_TARGET_MEMBERSHIP'!BQ$5:BQ$27,-1)))))</f>
        <v/>
      </c>
      <c r="D72" s="34">
        <f>IF($B72="ABSOLUTE SEMANTIC",'19_FEATURE_CONFIDENCE'!$D$6,SQRT((SUMPRODUCT(--('93_TARGET_MEMBERSHIP'!BQ$5:BQ$27=1),'92_FEATURE_CONF_NUMERIC'!E$5:E$27)/MAX(1,COUNTIF('93_TARGET_MEMBERSHIP'!BQ$5:BQ$27,1)))*(SUMPRODUCT(--('93_TARGET_MEMBERSHIP'!BQ$5:BQ$27=-1),'92_FEATURE_CONF_NUMERIC'!E$5:E$27)/MAX(1,COUNTIF('93_TARGET_MEMBERSHIP'!BQ$5:BQ$27,-1)))))</f>
        <v/>
      </c>
      <c r="E72" s="34">
        <f>IF($B72="ABSOLUTE SEMANTIC",'19_FEATURE_CONFIDENCE'!$D$7,SQRT((SUMPRODUCT(--('93_TARGET_MEMBERSHIP'!BQ$5:BQ$27=1),'92_FEATURE_CONF_NUMERIC'!F$5:F$27)/MAX(1,COUNTIF('93_TARGET_MEMBERSHIP'!BQ$5:BQ$27,1)))*(SUMPRODUCT(--('93_TARGET_MEMBERSHIP'!BQ$5:BQ$27=-1),'92_FEATURE_CONF_NUMERIC'!F$5:F$27)/MAX(1,COUNTIF('93_TARGET_MEMBERSHIP'!BQ$5:BQ$27,-1)))))</f>
        <v/>
      </c>
      <c r="F72" s="34">
        <f>IF($B72="ABSOLUTE SEMANTIC",'19_FEATURE_CONFIDENCE'!$D$8,SQRT((SUMPRODUCT(--('93_TARGET_MEMBERSHIP'!BQ$5:BQ$27=1),'92_FEATURE_CONF_NUMERIC'!G$5:G$27)/MAX(1,COUNTIF('93_TARGET_MEMBERSHIP'!BQ$5:BQ$27,1)))*(SUMPRODUCT(--('93_TARGET_MEMBERSHIP'!BQ$5:BQ$27=-1),'92_FEATURE_CONF_NUMERIC'!G$5:G$27)/MAX(1,COUNTIF('93_TARGET_MEMBERSHIP'!BQ$5:BQ$27,-1)))))</f>
        <v/>
      </c>
      <c r="G72" s="34">
        <f>IF($B72="ABSOLUTE SEMANTIC",'19_FEATURE_CONFIDENCE'!$D$9,SQRT((SUMPRODUCT(--('93_TARGET_MEMBERSHIP'!BQ$5:BQ$27=1),'92_FEATURE_CONF_NUMERIC'!H$5:H$27)/MAX(1,COUNTIF('93_TARGET_MEMBERSHIP'!BQ$5:BQ$27,1)))*(SUMPRODUCT(--('93_TARGET_MEMBERSHIP'!BQ$5:BQ$27=-1),'92_FEATURE_CONF_NUMERIC'!H$5:H$27)/MAX(1,COUNTIF('93_TARGET_MEMBERSHIP'!BQ$5:BQ$27,-1)))))</f>
        <v/>
      </c>
      <c r="H72" s="34">
        <f>IF($B72="ABSOLUTE SEMANTIC",'19_FEATURE_CONFIDENCE'!$D$10,SQRT((SUMPRODUCT(--('93_TARGET_MEMBERSHIP'!BQ$5:BQ$27=1),'92_FEATURE_CONF_NUMERIC'!I$5:I$27)/MAX(1,COUNTIF('93_TARGET_MEMBERSHIP'!BQ$5:BQ$27,1)))*(SUMPRODUCT(--('93_TARGET_MEMBERSHIP'!BQ$5:BQ$27=-1),'92_FEATURE_CONF_NUMERIC'!I$5:I$27)/MAX(1,COUNTIF('93_TARGET_MEMBERSHIP'!BQ$5:BQ$27,-1)))))</f>
        <v/>
      </c>
      <c r="I72" s="34">
        <f>IF($B72="ABSOLUTE SEMANTIC",'19_FEATURE_CONFIDENCE'!$D$11,SQRT((SUMPRODUCT(--('93_TARGET_MEMBERSHIP'!BQ$5:BQ$27=1),'92_FEATURE_CONF_NUMERIC'!J$5:J$27)/MAX(1,COUNTIF('93_TARGET_MEMBERSHIP'!BQ$5:BQ$27,1)))*(SUMPRODUCT(--('93_TARGET_MEMBERSHIP'!BQ$5:BQ$27=-1),'92_FEATURE_CONF_NUMERIC'!J$5:J$27)/MAX(1,COUNTIF('93_TARGET_MEMBERSHIP'!BQ$5:BQ$27,-1)))))</f>
        <v/>
      </c>
      <c r="J72" s="34">
        <f>IF($B72="ABSOLUTE SEMANTIC",'19_FEATURE_CONFIDENCE'!$D$12,SQRT((SUMPRODUCT(--('93_TARGET_MEMBERSHIP'!BQ$5:BQ$27=1),'92_FEATURE_CONF_NUMERIC'!K$5:K$27)/MAX(1,COUNTIF('93_TARGET_MEMBERSHIP'!BQ$5:BQ$27,1)))*(SUMPRODUCT(--('93_TARGET_MEMBERSHIP'!BQ$5:BQ$27=-1),'92_FEATURE_CONF_NUMERIC'!K$5:K$27)/MAX(1,COUNTIF('93_TARGET_MEMBERSHIP'!BQ$5:BQ$27,-1)))))</f>
        <v/>
      </c>
      <c r="K72" s="34">
        <f>IF($B72="ABSOLUTE SEMANTIC",'19_FEATURE_CONFIDENCE'!$D$13,SQRT((SUMPRODUCT(--('93_TARGET_MEMBERSHIP'!BQ$5:BQ$27=1),'92_FEATURE_CONF_NUMERIC'!L$5:L$27)/MAX(1,COUNTIF('93_TARGET_MEMBERSHIP'!BQ$5:BQ$27,1)))*(SUMPRODUCT(--('93_TARGET_MEMBERSHIP'!BQ$5:BQ$27=-1),'92_FEATURE_CONF_NUMERIC'!L$5:L$27)/MAX(1,COUNTIF('93_TARGET_MEMBERSHIP'!BQ$5:BQ$27,-1)))))</f>
        <v/>
      </c>
      <c r="L72" s="34">
        <f>IF($B72="ABSOLUTE SEMANTIC",'19_FEATURE_CONFIDENCE'!$D$14,SQRT((SUMPRODUCT(--('93_TARGET_MEMBERSHIP'!BQ$5:BQ$27=1),'92_FEATURE_CONF_NUMERIC'!M$5:M$27)/MAX(1,COUNTIF('93_TARGET_MEMBERSHIP'!BQ$5:BQ$27,1)))*(SUMPRODUCT(--('93_TARGET_MEMBERSHIP'!BQ$5:BQ$27=-1),'92_FEATURE_CONF_NUMERIC'!M$5:M$27)/MAX(1,COUNTIF('93_TARGET_MEMBERSHIP'!BQ$5:BQ$27,-1)))))</f>
        <v/>
      </c>
      <c r="M72" s="34">
        <f>IF($B72="ABSOLUTE SEMANTIC",'19_FEATURE_CONFIDENCE'!$D$15,SQRT((SUMPRODUCT(--('93_TARGET_MEMBERSHIP'!BQ$5:BQ$27=1),'92_FEATURE_CONF_NUMERIC'!N$5:N$27)/MAX(1,COUNTIF('93_TARGET_MEMBERSHIP'!BQ$5:BQ$27,1)))*(SUMPRODUCT(--('93_TARGET_MEMBERSHIP'!BQ$5:BQ$27=-1),'92_FEATURE_CONF_NUMERIC'!N$5:N$27)/MAX(1,COUNTIF('93_TARGET_MEMBERSHIP'!BQ$5:BQ$27,-1)))))</f>
        <v/>
      </c>
      <c r="N72" s="34">
        <f>IF($B72="ABSOLUTE SEMANTIC",'19_FEATURE_CONFIDENCE'!$D$16,SQRT((SUMPRODUCT(--('93_TARGET_MEMBERSHIP'!BQ$5:BQ$27=1),'92_FEATURE_CONF_NUMERIC'!O$5:O$27)/MAX(1,COUNTIF('93_TARGET_MEMBERSHIP'!BQ$5:BQ$27,1)))*(SUMPRODUCT(--('93_TARGET_MEMBERSHIP'!BQ$5:BQ$27=-1),'92_FEATURE_CONF_NUMERIC'!O$5:O$27)/MAX(1,COUNTIF('93_TARGET_MEMBERSHIP'!BQ$5:BQ$27,-1)))))</f>
        <v/>
      </c>
      <c r="O72" s="34">
        <f>IF($B72="ABSOLUTE SEMANTIC",'19_FEATURE_CONFIDENCE'!$D$17,SQRT((SUMPRODUCT(--('93_TARGET_MEMBERSHIP'!BQ$5:BQ$27=1),'92_FEATURE_CONF_NUMERIC'!P$5:P$27)/MAX(1,COUNTIF('93_TARGET_MEMBERSHIP'!BQ$5:BQ$27,1)))*(SUMPRODUCT(--('93_TARGET_MEMBERSHIP'!BQ$5:BQ$27=-1),'92_FEATURE_CONF_NUMERIC'!P$5:P$27)/MAX(1,COUNTIF('93_TARGET_MEMBERSHIP'!BQ$5:BQ$27,-1)))))</f>
        <v/>
      </c>
      <c r="P72" s="34">
        <f>IF($B72="ABSOLUTE SEMANTIC",'19_FEATURE_CONFIDENCE'!$D$18,SQRT((SUMPRODUCT(--('93_TARGET_MEMBERSHIP'!BQ$5:BQ$27=1),'92_FEATURE_CONF_NUMERIC'!Q$5:Q$27)/MAX(1,COUNTIF('93_TARGET_MEMBERSHIP'!BQ$5:BQ$27,1)))*(SUMPRODUCT(--('93_TARGET_MEMBERSHIP'!BQ$5:BQ$27=-1),'92_FEATURE_CONF_NUMERIC'!Q$5:Q$27)/MAX(1,COUNTIF('93_TARGET_MEMBERSHIP'!BQ$5:BQ$27,-1)))))</f>
        <v/>
      </c>
      <c r="Q72" s="34">
        <f>IF($B72="ABSOLUTE SEMANTIC",'19_FEATURE_CONFIDENCE'!$D$19,SQRT((SUMPRODUCT(--('93_TARGET_MEMBERSHIP'!BQ$5:BQ$27=1),'92_FEATURE_CONF_NUMERIC'!R$5:R$27)/MAX(1,COUNTIF('93_TARGET_MEMBERSHIP'!BQ$5:BQ$27,1)))*(SUMPRODUCT(--('93_TARGET_MEMBERSHIP'!BQ$5:BQ$27=-1),'92_FEATURE_CONF_NUMERIC'!R$5:R$27)/MAX(1,COUNTIF('93_TARGET_MEMBERSHIP'!BQ$5:BQ$27,-1)))))</f>
        <v/>
      </c>
      <c r="R72" s="34">
        <f>IF($B72="ABSOLUTE SEMANTIC",'19_FEATURE_CONFIDENCE'!$D$20,SQRT((SUMPRODUCT(--('93_TARGET_MEMBERSHIP'!BQ$5:BQ$27=1),'92_FEATURE_CONF_NUMERIC'!S$5:S$27)/MAX(1,COUNTIF('93_TARGET_MEMBERSHIP'!BQ$5:BQ$27,1)))*(SUMPRODUCT(--('93_TARGET_MEMBERSHIP'!BQ$5:BQ$27=-1),'92_FEATURE_CONF_NUMERIC'!S$5:S$27)/MAX(1,COUNTIF('93_TARGET_MEMBERSHIP'!BQ$5:BQ$27,-1)))))</f>
        <v/>
      </c>
      <c r="S72" s="34">
        <f>IF($B72="ABSOLUTE SEMANTIC",'19_FEATURE_CONFIDENCE'!$D$21,SQRT((SUMPRODUCT(--('93_TARGET_MEMBERSHIP'!BQ$5:BQ$27=1),'92_FEATURE_CONF_NUMERIC'!T$5:T$27)/MAX(1,COUNTIF('93_TARGET_MEMBERSHIP'!BQ$5:BQ$27,1)))*(SUMPRODUCT(--('93_TARGET_MEMBERSHIP'!BQ$5:BQ$27=-1),'92_FEATURE_CONF_NUMERIC'!T$5:T$27)/MAX(1,COUNTIF('93_TARGET_MEMBERSHIP'!BQ$5:BQ$27,-1)))))</f>
        <v/>
      </c>
      <c r="T72" s="34">
        <f>IF($B72="ABSOLUTE SEMANTIC",'19_FEATURE_CONFIDENCE'!$D$22,SQRT((SUMPRODUCT(--('93_TARGET_MEMBERSHIP'!BQ$5:BQ$27=1),'92_FEATURE_CONF_NUMERIC'!U$5:U$27)/MAX(1,COUNTIF('93_TARGET_MEMBERSHIP'!BQ$5:BQ$27,1)))*(SUMPRODUCT(--('93_TARGET_MEMBERSHIP'!BQ$5:BQ$27=-1),'92_FEATURE_CONF_NUMERIC'!U$5:U$27)/MAX(1,COUNTIF('93_TARGET_MEMBERSHIP'!BQ$5:BQ$27,-1)))))</f>
        <v/>
      </c>
      <c r="U72" s="34">
        <f>IF($B72="ABSOLUTE SEMANTIC",'19_FEATURE_CONFIDENCE'!$D$23,SQRT((SUMPRODUCT(--('93_TARGET_MEMBERSHIP'!BQ$5:BQ$27=1),'92_FEATURE_CONF_NUMERIC'!V$5:V$27)/MAX(1,COUNTIF('93_TARGET_MEMBERSHIP'!BQ$5:BQ$27,1)))*(SUMPRODUCT(--('93_TARGET_MEMBERSHIP'!BQ$5:BQ$27=-1),'92_FEATURE_CONF_NUMERIC'!V$5:V$27)/MAX(1,COUNTIF('93_TARGET_MEMBERSHIP'!BQ$5:BQ$27,-1)))))</f>
        <v/>
      </c>
      <c r="V72" s="34">
        <f>IF($B72="ABSOLUTE SEMANTIC",'19_FEATURE_CONFIDENCE'!$D$24,SQRT((SUMPRODUCT(--('93_TARGET_MEMBERSHIP'!BQ$5:BQ$27=1),'92_FEATURE_CONF_NUMERIC'!W$5:W$27)/MAX(1,COUNTIF('93_TARGET_MEMBERSHIP'!BQ$5:BQ$27,1)))*(SUMPRODUCT(--('93_TARGET_MEMBERSHIP'!BQ$5:BQ$27=-1),'92_FEATURE_CONF_NUMERIC'!W$5:W$27)/MAX(1,COUNTIF('93_TARGET_MEMBERSHIP'!BQ$5:BQ$27,-1)))))</f>
        <v/>
      </c>
      <c r="W72" s="34">
        <f>IF($B72="ABSOLUTE SEMANTIC",'19_FEATURE_CONFIDENCE'!$D$25,SQRT((SUMPRODUCT(--('93_TARGET_MEMBERSHIP'!BQ$5:BQ$27=1),'92_FEATURE_CONF_NUMERIC'!X$5:X$27)/MAX(1,COUNTIF('93_TARGET_MEMBERSHIP'!BQ$5:BQ$27,1)))*(SUMPRODUCT(--('93_TARGET_MEMBERSHIP'!BQ$5:BQ$27=-1),'92_FEATURE_CONF_NUMERIC'!X$5:X$27)/MAX(1,COUNTIF('93_TARGET_MEMBERSHIP'!BQ$5:BQ$27,-1)))))</f>
        <v/>
      </c>
      <c r="X72" s="34">
        <f>IF($B72="ABSOLUTE SEMANTIC",'19_FEATURE_CONFIDENCE'!$D$26,SQRT((SUMPRODUCT(--('93_TARGET_MEMBERSHIP'!BQ$5:BQ$27=1),'92_FEATURE_CONF_NUMERIC'!Y$5:Y$27)/MAX(1,COUNTIF('93_TARGET_MEMBERSHIP'!BQ$5:BQ$27,1)))*(SUMPRODUCT(--('93_TARGET_MEMBERSHIP'!BQ$5:BQ$27=-1),'92_FEATURE_CONF_NUMERIC'!Y$5:Y$27)/MAX(1,COUNTIF('93_TARGET_MEMBERSHIP'!BQ$5:BQ$27,-1)))))</f>
        <v/>
      </c>
      <c r="Y72" s="34">
        <f>IF($B72="ABSOLUTE SEMANTIC",'19_FEATURE_CONFIDENCE'!$D$27,SQRT((SUMPRODUCT(--('93_TARGET_MEMBERSHIP'!BQ$5:BQ$27=1),'92_FEATURE_CONF_NUMERIC'!Z$5:Z$27)/MAX(1,COUNTIF('93_TARGET_MEMBERSHIP'!BQ$5:BQ$27,1)))*(SUMPRODUCT(--('93_TARGET_MEMBERSHIP'!BQ$5:BQ$27=-1),'92_FEATURE_CONF_NUMERIC'!Z$5:Z$27)/MAX(1,COUNTIF('93_TARGET_MEMBERSHIP'!BQ$5:BQ$27,-1)))))</f>
        <v/>
      </c>
      <c r="Z72" s="34">
        <f>IF($B72="ABSOLUTE SEMANTIC",'19_FEATURE_CONFIDENCE'!$D$28,SQRT((SUMPRODUCT(--('93_TARGET_MEMBERSHIP'!BQ$5:BQ$27=1),'92_FEATURE_CONF_NUMERIC'!AA$5:AA$27)/MAX(1,COUNTIF('93_TARGET_MEMBERSHIP'!BQ$5:BQ$27,1)))*(SUMPRODUCT(--('93_TARGET_MEMBERSHIP'!BQ$5:BQ$27=-1),'92_FEATURE_CONF_NUMERIC'!AA$5:AA$27)/MAX(1,COUNTIF('93_TARGET_MEMBERSHIP'!BQ$5:BQ$27,-1)))))</f>
        <v/>
      </c>
      <c r="AA72" s="34">
        <f>IF($B72="ABSOLUTE SEMANTIC",'19_FEATURE_CONFIDENCE'!$D$29,SQRT((SUMPRODUCT(--('93_TARGET_MEMBERSHIP'!BQ$5:BQ$27=1),'92_FEATURE_CONF_NUMERIC'!AB$5:AB$27)/MAX(1,COUNTIF('93_TARGET_MEMBERSHIP'!BQ$5:BQ$27,1)))*(SUMPRODUCT(--('93_TARGET_MEMBERSHIP'!BQ$5:BQ$27=-1),'92_FEATURE_CONF_NUMERIC'!AB$5:AB$27)/MAX(1,COUNTIF('93_TARGET_MEMBERSHIP'!BQ$5:BQ$27,-1)))))</f>
        <v/>
      </c>
      <c r="AB72" s="34">
        <f>IF($B72="ABSOLUTE SEMANTIC",'19_FEATURE_CONFIDENCE'!$D$30,SQRT((SUMPRODUCT(--('93_TARGET_MEMBERSHIP'!BQ$5:BQ$27=1),'92_FEATURE_CONF_NUMERIC'!AC$5:AC$27)/MAX(1,COUNTIF('93_TARGET_MEMBERSHIP'!BQ$5:BQ$27,1)))*(SUMPRODUCT(--('93_TARGET_MEMBERSHIP'!BQ$5:BQ$27=-1),'92_FEATURE_CONF_NUMERIC'!AC$5:AC$27)/MAX(1,COUNTIF('93_TARGET_MEMBERSHIP'!BQ$5:BQ$27,-1)))))</f>
        <v/>
      </c>
      <c r="AC72" s="34">
        <f>IF($B72="ABSOLUTE SEMANTIC",'19_FEATURE_CONFIDENCE'!$D$31,SQRT((SUMPRODUCT(--('93_TARGET_MEMBERSHIP'!BQ$5:BQ$27=1),'92_FEATURE_CONF_NUMERIC'!AD$5:AD$27)/MAX(1,COUNTIF('93_TARGET_MEMBERSHIP'!BQ$5:BQ$27,1)))*(SUMPRODUCT(--('93_TARGET_MEMBERSHIP'!BQ$5:BQ$27=-1),'92_FEATURE_CONF_NUMERIC'!AD$5:AD$27)/MAX(1,COUNTIF('93_TARGET_MEMBERSHIP'!BQ$5:BQ$27,-1)))))</f>
        <v/>
      </c>
      <c r="AD72" s="34">
        <f>IF($B72="ABSOLUTE SEMANTIC",'19_FEATURE_CONFIDENCE'!$D$32,SQRT((SUMPRODUCT(--('93_TARGET_MEMBERSHIP'!BQ$5:BQ$27=1),'92_FEATURE_CONF_NUMERIC'!AE$5:AE$27)/MAX(1,COUNTIF('93_TARGET_MEMBERSHIP'!BQ$5:BQ$27,1)))*(SUMPRODUCT(--('93_TARGET_MEMBERSHIP'!BQ$5:BQ$27=-1),'92_FEATURE_CONF_NUMERIC'!AE$5:AE$27)/MAX(1,COUNTIF('93_TARGET_MEMBERSHIP'!BQ$5:BQ$27,-1)))))</f>
        <v/>
      </c>
      <c r="AE72" s="34">
        <f>IF($B72="ABSOLUTE SEMANTIC",'19_FEATURE_CONFIDENCE'!$D$33,SQRT((SUMPRODUCT(--('93_TARGET_MEMBERSHIP'!BQ$5:BQ$27=1),'92_FEATURE_CONF_NUMERIC'!AF$5:AF$27)/MAX(1,COUNTIF('93_TARGET_MEMBERSHIP'!BQ$5:BQ$27,1)))*(SUMPRODUCT(--('93_TARGET_MEMBERSHIP'!BQ$5:BQ$27=-1),'92_FEATURE_CONF_NUMERIC'!AF$5:AF$27)/MAX(1,COUNTIF('93_TARGET_MEMBERSHIP'!BQ$5:BQ$27,-1)))))</f>
        <v/>
      </c>
      <c r="AF72" s="34">
        <f>IF($B72="ABSOLUTE SEMANTIC",'19_FEATURE_CONFIDENCE'!$D$34,SQRT((SUMPRODUCT(--('93_TARGET_MEMBERSHIP'!BQ$5:BQ$27=1),'92_FEATURE_CONF_NUMERIC'!AG$5:AG$27)/MAX(1,COUNTIF('93_TARGET_MEMBERSHIP'!BQ$5:BQ$27,1)))*(SUMPRODUCT(--('93_TARGET_MEMBERSHIP'!BQ$5:BQ$27=-1),'92_FEATURE_CONF_NUMERIC'!AG$5:AG$27)/MAX(1,COUNTIF('93_TARGET_MEMBERSHIP'!BQ$5:BQ$27,-1)))))</f>
        <v/>
      </c>
      <c r="AG72" s="34">
        <f>IF($B72="ABSOLUTE SEMANTIC",'19_FEATURE_CONFIDENCE'!$D$35,SQRT((SUMPRODUCT(--('93_TARGET_MEMBERSHIP'!BQ$5:BQ$27=1),'92_FEATURE_CONF_NUMERIC'!AH$5:AH$27)/MAX(1,COUNTIF('93_TARGET_MEMBERSHIP'!BQ$5:BQ$27,1)))*(SUMPRODUCT(--('93_TARGET_MEMBERSHIP'!BQ$5:BQ$27=-1),'92_FEATURE_CONF_NUMERIC'!AH$5:AH$27)/MAX(1,COUNTIF('93_TARGET_MEMBERSHIP'!BQ$5:BQ$27,-1)))))</f>
        <v/>
      </c>
      <c r="AH72" s="34">
        <f>IF($B72="ABSOLUTE SEMANTIC",'19_FEATURE_CONFIDENCE'!$D$36,SQRT((SUMPRODUCT(--('93_TARGET_MEMBERSHIP'!BQ$5:BQ$27=1),'92_FEATURE_CONF_NUMERIC'!AI$5:AI$27)/MAX(1,COUNTIF('93_TARGET_MEMBERSHIP'!BQ$5:BQ$27,1)))*(SUMPRODUCT(--('93_TARGET_MEMBERSHIP'!BQ$5:BQ$27=-1),'92_FEATURE_CONF_NUMERIC'!AI$5:AI$27)/MAX(1,COUNTIF('93_TARGET_MEMBERSHIP'!BQ$5:BQ$27,-1)))))</f>
        <v/>
      </c>
      <c r="AI72" s="34">
        <f>IF($B72="ABSOLUTE SEMANTIC",'19_FEATURE_CONFIDENCE'!$D$37,SQRT((SUMPRODUCT(--('93_TARGET_MEMBERSHIP'!BQ$5:BQ$27=1),'92_FEATURE_CONF_NUMERIC'!AJ$5:AJ$27)/MAX(1,COUNTIF('93_TARGET_MEMBERSHIP'!BQ$5:BQ$27,1)))*(SUMPRODUCT(--('93_TARGET_MEMBERSHIP'!BQ$5:BQ$27=-1),'92_FEATURE_CONF_NUMERIC'!AJ$5:AJ$27)/MAX(1,COUNTIF('93_TARGET_MEMBERSHIP'!BQ$5:BQ$27,-1)))))</f>
        <v/>
      </c>
      <c r="AJ72" s="34">
        <f>IF($B72="ABSOLUTE SEMANTIC",'19_FEATURE_CONFIDENCE'!$D$38,SQRT((SUMPRODUCT(--('93_TARGET_MEMBERSHIP'!BQ$5:BQ$27=1),'92_FEATURE_CONF_NUMERIC'!AK$5:AK$27)/MAX(1,COUNTIF('93_TARGET_MEMBERSHIP'!BQ$5:BQ$27,1)))*(SUMPRODUCT(--('93_TARGET_MEMBERSHIP'!BQ$5:BQ$27=-1),'92_FEATURE_CONF_NUMERIC'!AK$5:AK$27)/MAX(1,COUNTIF('93_TARGET_MEMBERSHIP'!BQ$5:BQ$27,-1)))))</f>
        <v/>
      </c>
      <c r="AK72" s="34">
        <f>IF($B72="ABSOLUTE SEMANTIC",'19_FEATURE_CONFIDENCE'!$D$39,SQRT((SUMPRODUCT(--('93_TARGET_MEMBERSHIP'!BQ$5:BQ$27=1),'92_FEATURE_CONF_NUMERIC'!AL$5:AL$27)/MAX(1,COUNTIF('93_TARGET_MEMBERSHIP'!BQ$5:BQ$27,1)))*(SUMPRODUCT(--('93_TARGET_MEMBERSHIP'!BQ$5:BQ$27=-1),'92_FEATURE_CONF_NUMERIC'!AL$5:AL$27)/MAX(1,COUNTIF('93_TARGET_MEMBERSHIP'!BQ$5:BQ$27,-1)))))</f>
        <v/>
      </c>
      <c r="AL72" s="34">
        <f>IF($B72="ABSOLUTE SEMANTIC",'19_FEATURE_CONFIDENCE'!$D$40,SQRT((SUMPRODUCT(--('93_TARGET_MEMBERSHIP'!BQ$5:BQ$27=1),'92_FEATURE_CONF_NUMERIC'!AM$5:AM$27)/MAX(1,COUNTIF('93_TARGET_MEMBERSHIP'!BQ$5:BQ$27,1)))*(SUMPRODUCT(--('93_TARGET_MEMBERSHIP'!BQ$5:BQ$27=-1),'92_FEATURE_CONF_NUMERIC'!AM$5:AM$27)/MAX(1,COUNTIF('93_TARGET_MEMBERSHIP'!BQ$5:BQ$27,-1)))))</f>
        <v/>
      </c>
      <c r="AM72" s="34">
        <f>IF($B72="ABSOLUTE SEMANTIC",'19_FEATURE_CONFIDENCE'!$D$41,SQRT((SUMPRODUCT(--('93_TARGET_MEMBERSHIP'!BQ$5:BQ$27=1),'92_FEATURE_CONF_NUMERIC'!AN$5:AN$27)/MAX(1,COUNTIF('93_TARGET_MEMBERSHIP'!BQ$5:BQ$27,1)))*(SUMPRODUCT(--('93_TARGET_MEMBERSHIP'!BQ$5:BQ$27=-1),'92_FEATURE_CONF_NUMERIC'!AN$5:AN$27)/MAX(1,COUNTIF('93_TARGET_MEMBERSHIP'!BQ$5:BQ$27,-1)))))</f>
        <v/>
      </c>
      <c r="AN72" s="34">
        <f>IF($B72="ABSOLUTE SEMANTIC",'19_FEATURE_CONFIDENCE'!$D$42,SQRT((SUMPRODUCT(--('93_TARGET_MEMBERSHIP'!BQ$5:BQ$27=1),'92_FEATURE_CONF_NUMERIC'!AO$5:AO$27)/MAX(1,COUNTIF('93_TARGET_MEMBERSHIP'!BQ$5:BQ$27,1)))*(SUMPRODUCT(--('93_TARGET_MEMBERSHIP'!BQ$5:BQ$27=-1),'92_FEATURE_CONF_NUMERIC'!AO$5:AO$27)/MAX(1,COUNTIF('93_TARGET_MEMBERSHIP'!BQ$5:BQ$27,-1)))))</f>
        <v/>
      </c>
      <c r="AO72" s="34">
        <f>IF($B72="ABSOLUTE SEMANTIC",'19_FEATURE_CONFIDENCE'!$D$43,SQRT((SUMPRODUCT(--('93_TARGET_MEMBERSHIP'!BQ$5:BQ$27=1),'92_FEATURE_CONF_NUMERIC'!AP$5:AP$27)/MAX(1,COUNTIF('93_TARGET_MEMBERSHIP'!BQ$5:BQ$27,1)))*(SUMPRODUCT(--('93_TARGET_MEMBERSHIP'!BQ$5:BQ$27=-1),'92_FEATURE_CONF_NUMERIC'!AP$5:AP$27)/MAX(1,COUNTIF('93_TARGET_MEMBERSHIP'!BQ$5:BQ$27,-1)))))</f>
        <v/>
      </c>
      <c r="AP72" s="34">
        <f>IF($B72="ABSOLUTE SEMANTIC",'19_FEATURE_CONFIDENCE'!$D$44,SQRT((SUMPRODUCT(--('93_TARGET_MEMBERSHIP'!BQ$5:BQ$27=1),'92_FEATURE_CONF_NUMERIC'!AQ$5:AQ$27)/MAX(1,COUNTIF('93_TARGET_MEMBERSHIP'!BQ$5:BQ$27,1)))*(SUMPRODUCT(--('93_TARGET_MEMBERSHIP'!BQ$5:BQ$27=-1),'92_FEATURE_CONF_NUMERIC'!AQ$5:AQ$27)/MAX(1,COUNTIF('93_TARGET_MEMBERSHIP'!BQ$5:BQ$27,-1)))))</f>
        <v/>
      </c>
      <c r="AQ72" s="34">
        <f>IF($B72="ABSOLUTE SEMANTIC",'19_FEATURE_CONFIDENCE'!$D$45,SQRT((SUMPRODUCT(--('93_TARGET_MEMBERSHIP'!BQ$5:BQ$27=1),'92_FEATURE_CONF_NUMERIC'!AR$5:AR$27)/MAX(1,COUNTIF('93_TARGET_MEMBERSHIP'!BQ$5:BQ$27,1)))*(SUMPRODUCT(--('93_TARGET_MEMBERSHIP'!BQ$5:BQ$27=-1),'92_FEATURE_CONF_NUMERIC'!AR$5:AR$27)/MAX(1,COUNTIF('93_TARGET_MEMBERSHIP'!BQ$5:BQ$27,-1)))))</f>
        <v/>
      </c>
    </row>
    <row r="73" ht="36" customHeight="1">
      <c r="A73" s="34">
        <f>'06_ITEM_POLE_MODEL'!A73</f>
        <v/>
      </c>
      <c r="B73" s="34">
        <f>'06_ITEM_POLE_MODEL'!E73</f>
        <v/>
      </c>
      <c r="C73" s="34">
        <f>IF($B73="ABSOLUTE SEMANTIC",'19_FEATURE_CONFIDENCE'!$D$5,SQRT((SUMPRODUCT(--('93_TARGET_MEMBERSHIP'!BR$5:BR$27=1),'92_FEATURE_CONF_NUMERIC'!D$5:D$27)/MAX(1,COUNTIF('93_TARGET_MEMBERSHIP'!BR$5:BR$27,1)))*(SUMPRODUCT(--('93_TARGET_MEMBERSHIP'!BR$5:BR$27=-1),'92_FEATURE_CONF_NUMERIC'!D$5:D$27)/MAX(1,COUNTIF('93_TARGET_MEMBERSHIP'!BR$5:BR$27,-1)))))</f>
        <v/>
      </c>
      <c r="D73" s="34">
        <f>IF($B73="ABSOLUTE SEMANTIC",'19_FEATURE_CONFIDENCE'!$D$6,SQRT((SUMPRODUCT(--('93_TARGET_MEMBERSHIP'!BR$5:BR$27=1),'92_FEATURE_CONF_NUMERIC'!E$5:E$27)/MAX(1,COUNTIF('93_TARGET_MEMBERSHIP'!BR$5:BR$27,1)))*(SUMPRODUCT(--('93_TARGET_MEMBERSHIP'!BR$5:BR$27=-1),'92_FEATURE_CONF_NUMERIC'!E$5:E$27)/MAX(1,COUNTIF('93_TARGET_MEMBERSHIP'!BR$5:BR$27,-1)))))</f>
        <v/>
      </c>
      <c r="E73" s="34">
        <f>IF($B73="ABSOLUTE SEMANTIC",'19_FEATURE_CONFIDENCE'!$D$7,SQRT((SUMPRODUCT(--('93_TARGET_MEMBERSHIP'!BR$5:BR$27=1),'92_FEATURE_CONF_NUMERIC'!F$5:F$27)/MAX(1,COUNTIF('93_TARGET_MEMBERSHIP'!BR$5:BR$27,1)))*(SUMPRODUCT(--('93_TARGET_MEMBERSHIP'!BR$5:BR$27=-1),'92_FEATURE_CONF_NUMERIC'!F$5:F$27)/MAX(1,COUNTIF('93_TARGET_MEMBERSHIP'!BR$5:BR$27,-1)))))</f>
        <v/>
      </c>
      <c r="F73" s="34">
        <f>IF($B73="ABSOLUTE SEMANTIC",'19_FEATURE_CONFIDENCE'!$D$8,SQRT((SUMPRODUCT(--('93_TARGET_MEMBERSHIP'!BR$5:BR$27=1),'92_FEATURE_CONF_NUMERIC'!G$5:G$27)/MAX(1,COUNTIF('93_TARGET_MEMBERSHIP'!BR$5:BR$27,1)))*(SUMPRODUCT(--('93_TARGET_MEMBERSHIP'!BR$5:BR$27=-1),'92_FEATURE_CONF_NUMERIC'!G$5:G$27)/MAX(1,COUNTIF('93_TARGET_MEMBERSHIP'!BR$5:BR$27,-1)))))</f>
        <v/>
      </c>
      <c r="G73" s="34">
        <f>IF($B73="ABSOLUTE SEMANTIC",'19_FEATURE_CONFIDENCE'!$D$9,SQRT((SUMPRODUCT(--('93_TARGET_MEMBERSHIP'!BR$5:BR$27=1),'92_FEATURE_CONF_NUMERIC'!H$5:H$27)/MAX(1,COUNTIF('93_TARGET_MEMBERSHIP'!BR$5:BR$27,1)))*(SUMPRODUCT(--('93_TARGET_MEMBERSHIP'!BR$5:BR$27=-1),'92_FEATURE_CONF_NUMERIC'!H$5:H$27)/MAX(1,COUNTIF('93_TARGET_MEMBERSHIP'!BR$5:BR$27,-1)))))</f>
        <v/>
      </c>
      <c r="H73" s="34">
        <f>IF($B73="ABSOLUTE SEMANTIC",'19_FEATURE_CONFIDENCE'!$D$10,SQRT((SUMPRODUCT(--('93_TARGET_MEMBERSHIP'!BR$5:BR$27=1),'92_FEATURE_CONF_NUMERIC'!I$5:I$27)/MAX(1,COUNTIF('93_TARGET_MEMBERSHIP'!BR$5:BR$27,1)))*(SUMPRODUCT(--('93_TARGET_MEMBERSHIP'!BR$5:BR$27=-1),'92_FEATURE_CONF_NUMERIC'!I$5:I$27)/MAX(1,COUNTIF('93_TARGET_MEMBERSHIP'!BR$5:BR$27,-1)))))</f>
        <v/>
      </c>
      <c r="I73" s="34">
        <f>IF($B73="ABSOLUTE SEMANTIC",'19_FEATURE_CONFIDENCE'!$D$11,SQRT((SUMPRODUCT(--('93_TARGET_MEMBERSHIP'!BR$5:BR$27=1),'92_FEATURE_CONF_NUMERIC'!J$5:J$27)/MAX(1,COUNTIF('93_TARGET_MEMBERSHIP'!BR$5:BR$27,1)))*(SUMPRODUCT(--('93_TARGET_MEMBERSHIP'!BR$5:BR$27=-1),'92_FEATURE_CONF_NUMERIC'!J$5:J$27)/MAX(1,COUNTIF('93_TARGET_MEMBERSHIP'!BR$5:BR$27,-1)))))</f>
        <v/>
      </c>
      <c r="J73" s="34">
        <f>IF($B73="ABSOLUTE SEMANTIC",'19_FEATURE_CONFIDENCE'!$D$12,SQRT((SUMPRODUCT(--('93_TARGET_MEMBERSHIP'!BR$5:BR$27=1),'92_FEATURE_CONF_NUMERIC'!K$5:K$27)/MAX(1,COUNTIF('93_TARGET_MEMBERSHIP'!BR$5:BR$27,1)))*(SUMPRODUCT(--('93_TARGET_MEMBERSHIP'!BR$5:BR$27=-1),'92_FEATURE_CONF_NUMERIC'!K$5:K$27)/MAX(1,COUNTIF('93_TARGET_MEMBERSHIP'!BR$5:BR$27,-1)))))</f>
        <v/>
      </c>
      <c r="K73" s="34">
        <f>IF($B73="ABSOLUTE SEMANTIC",'19_FEATURE_CONFIDENCE'!$D$13,SQRT((SUMPRODUCT(--('93_TARGET_MEMBERSHIP'!BR$5:BR$27=1),'92_FEATURE_CONF_NUMERIC'!L$5:L$27)/MAX(1,COUNTIF('93_TARGET_MEMBERSHIP'!BR$5:BR$27,1)))*(SUMPRODUCT(--('93_TARGET_MEMBERSHIP'!BR$5:BR$27=-1),'92_FEATURE_CONF_NUMERIC'!L$5:L$27)/MAX(1,COUNTIF('93_TARGET_MEMBERSHIP'!BR$5:BR$27,-1)))))</f>
        <v/>
      </c>
      <c r="L73" s="34">
        <f>IF($B73="ABSOLUTE SEMANTIC",'19_FEATURE_CONFIDENCE'!$D$14,SQRT((SUMPRODUCT(--('93_TARGET_MEMBERSHIP'!BR$5:BR$27=1),'92_FEATURE_CONF_NUMERIC'!M$5:M$27)/MAX(1,COUNTIF('93_TARGET_MEMBERSHIP'!BR$5:BR$27,1)))*(SUMPRODUCT(--('93_TARGET_MEMBERSHIP'!BR$5:BR$27=-1),'92_FEATURE_CONF_NUMERIC'!M$5:M$27)/MAX(1,COUNTIF('93_TARGET_MEMBERSHIP'!BR$5:BR$27,-1)))))</f>
        <v/>
      </c>
      <c r="M73" s="34">
        <f>IF($B73="ABSOLUTE SEMANTIC",'19_FEATURE_CONFIDENCE'!$D$15,SQRT((SUMPRODUCT(--('93_TARGET_MEMBERSHIP'!BR$5:BR$27=1),'92_FEATURE_CONF_NUMERIC'!N$5:N$27)/MAX(1,COUNTIF('93_TARGET_MEMBERSHIP'!BR$5:BR$27,1)))*(SUMPRODUCT(--('93_TARGET_MEMBERSHIP'!BR$5:BR$27=-1),'92_FEATURE_CONF_NUMERIC'!N$5:N$27)/MAX(1,COUNTIF('93_TARGET_MEMBERSHIP'!BR$5:BR$27,-1)))))</f>
        <v/>
      </c>
      <c r="N73" s="34">
        <f>IF($B73="ABSOLUTE SEMANTIC",'19_FEATURE_CONFIDENCE'!$D$16,SQRT((SUMPRODUCT(--('93_TARGET_MEMBERSHIP'!BR$5:BR$27=1),'92_FEATURE_CONF_NUMERIC'!O$5:O$27)/MAX(1,COUNTIF('93_TARGET_MEMBERSHIP'!BR$5:BR$27,1)))*(SUMPRODUCT(--('93_TARGET_MEMBERSHIP'!BR$5:BR$27=-1),'92_FEATURE_CONF_NUMERIC'!O$5:O$27)/MAX(1,COUNTIF('93_TARGET_MEMBERSHIP'!BR$5:BR$27,-1)))))</f>
        <v/>
      </c>
      <c r="O73" s="34">
        <f>IF($B73="ABSOLUTE SEMANTIC",'19_FEATURE_CONFIDENCE'!$D$17,SQRT((SUMPRODUCT(--('93_TARGET_MEMBERSHIP'!BR$5:BR$27=1),'92_FEATURE_CONF_NUMERIC'!P$5:P$27)/MAX(1,COUNTIF('93_TARGET_MEMBERSHIP'!BR$5:BR$27,1)))*(SUMPRODUCT(--('93_TARGET_MEMBERSHIP'!BR$5:BR$27=-1),'92_FEATURE_CONF_NUMERIC'!P$5:P$27)/MAX(1,COUNTIF('93_TARGET_MEMBERSHIP'!BR$5:BR$27,-1)))))</f>
        <v/>
      </c>
      <c r="P73" s="34">
        <f>IF($B73="ABSOLUTE SEMANTIC",'19_FEATURE_CONFIDENCE'!$D$18,SQRT((SUMPRODUCT(--('93_TARGET_MEMBERSHIP'!BR$5:BR$27=1),'92_FEATURE_CONF_NUMERIC'!Q$5:Q$27)/MAX(1,COUNTIF('93_TARGET_MEMBERSHIP'!BR$5:BR$27,1)))*(SUMPRODUCT(--('93_TARGET_MEMBERSHIP'!BR$5:BR$27=-1),'92_FEATURE_CONF_NUMERIC'!Q$5:Q$27)/MAX(1,COUNTIF('93_TARGET_MEMBERSHIP'!BR$5:BR$27,-1)))))</f>
        <v/>
      </c>
      <c r="Q73" s="34">
        <f>IF($B73="ABSOLUTE SEMANTIC",'19_FEATURE_CONFIDENCE'!$D$19,SQRT((SUMPRODUCT(--('93_TARGET_MEMBERSHIP'!BR$5:BR$27=1),'92_FEATURE_CONF_NUMERIC'!R$5:R$27)/MAX(1,COUNTIF('93_TARGET_MEMBERSHIP'!BR$5:BR$27,1)))*(SUMPRODUCT(--('93_TARGET_MEMBERSHIP'!BR$5:BR$27=-1),'92_FEATURE_CONF_NUMERIC'!R$5:R$27)/MAX(1,COUNTIF('93_TARGET_MEMBERSHIP'!BR$5:BR$27,-1)))))</f>
        <v/>
      </c>
      <c r="R73" s="34">
        <f>IF($B73="ABSOLUTE SEMANTIC",'19_FEATURE_CONFIDENCE'!$D$20,SQRT((SUMPRODUCT(--('93_TARGET_MEMBERSHIP'!BR$5:BR$27=1),'92_FEATURE_CONF_NUMERIC'!S$5:S$27)/MAX(1,COUNTIF('93_TARGET_MEMBERSHIP'!BR$5:BR$27,1)))*(SUMPRODUCT(--('93_TARGET_MEMBERSHIP'!BR$5:BR$27=-1),'92_FEATURE_CONF_NUMERIC'!S$5:S$27)/MAX(1,COUNTIF('93_TARGET_MEMBERSHIP'!BR$5:BR$27,-1)))))</f>
        <v/>
      </c>
      <c r="S73" s="34">
        <f>IF($B73="ABSOLUTE SEMANTIC",'19_FEATURE_CONFIDENCE'!$D$21,SQRT((SUMPRODUCT(--('93_TARGET_MEMBERSHIP'!BR$5:BR$27=1),'92_FEATURE_CONF_NUMERIC'!T$5:T$27)/MAX(1,COUNTIF('93_TARGET_MEMBERSHIP'!BR$5:BR$27,1)))*(SUMPRODUCT(--('93_TARGET_MEMBERSHIP'!BR$5:BR$27=-1),'92_FEATURE_CONF_NUMERIC'!T$5:T$27)/MAX(1,COUNTIF('93_TARGET_MEMBERSHIP'!BR$5:BR$27,-1)))))</f>
        <v/>
      </c>
      <c r="T73" s="34">
        <f>IF($B73="ABSOLUTE SEMANTIC",'19_FEATURE_CONFIDENCE'!$D$22,SQRT((SUMPRODUCT(--('93_TARGET_MEMBERSHIP'!BR$5:BR$27=1),'92_FEATURE_CONF_NUMERIC'!U$5:U$27)/MAX(1,COUNTIF('93_TARGET_MEMBERSHIP'!BR$5:BR$27,1)))*(SUMPRODUCT(--('93_TARGET_MEMBERSHIP'!BR$5:BR$27=-1),'92_FEATURE_CONF_NUMERIC'!U$5:U$27)/MAX(1,COUNTIF('93_TARGET_MEMBERSHIP'!BR$5:BR$27,-1)))))</f>
        <v/>
      </c>
      <c r="U73" s="34">
        <f>IF($B73="ABSOLUTE SEMANTIC",'19_FEATURE_CONFIDENCE'!$D$23,SQRT((SUMPRODUCT(--('93_TARGET_MEMBERSHIP'!BR$5:BR$27=1),'92_FEATURE_CONF_NUMERIC'!V$5:V$27)/MAX(1,COUNTIF('93_TARGET_MEMBERSHIP'!BR$5:BR$27,1)))*(SUMPRODUCT(--('93_TARGET_MEMBERSHIP'!BR$5:BR$27=-1),'92_FEATURE_CONF_NUMERIC'!V$5:V$27)/MAX(1,COUNTIF('93_TARGET_MEMBERSHIP'!BR$5:BR$27,-1)))))</f>
        <v/>
      </c>
      <c r="V73" s="34">
        <f>IF($B73="ABSOLUTE SEMANTIC",'19_FEATURE_CONFIDENCE'!$D$24,SQRT((SUMPRODUCT(--('93_TARGET_MEMBERSHIP'!BR$5:BR$27=1),'92_FEATURE_CONF_NUMERIC'!W$5:W$27)/MAX(1,COUNTIF('93_TARGET_MEMBERSHIP'!BR$5:BR$27,1)))*(SUMPRODUCT(--('93_TARGET_MEMBERSHIP'!BR$5:BR$27=-1),'92_FEATURE_CONF_NUMERIC'!W$5:W$27)/MAX(1,COUNTIF('93_TARGET_MEMBERSHIP'!BR$5:BR$27,-1)))))</f>
        <v/>
      </c>
      <c r="W73" s="34">
        <f>IF($B73="ABSOLUTE SEMANTIC",'19_FEATURE_CONFIDENCE'!$D$25,SQRT((SUMPRODUCT(--('93_TARGET_MEMBERSHIP'!BR$5:BR$27=1),'92_FEATURE_CONF_NUMERIC'!X$5:X$27)/MAX(1,COUNTIF('93_TARGET_MEMBERSHIP'!BR$5:BR$27,1)))*(SUMPRODUCT(--('93_TARGET_MEMBERSHIP'!BR$5:BR$27=-1),'92_FEATURE_CONF_NUMERIC'!X$5:X$27)/MAX(1,COUNTIF('93_TARGET_MEMBERSHIP'!BR$5:BR$27,-1)))))</f>
        <v/>
      </c>
      <c r="X73" s="34">
        <f>IF($B73="ABSOLUTE SEMANTIC",'19_FEATURE_CONFIDENCE'!$D$26,SQRT((SUMPRODUCT(--('93_TARGET_MEMBERSHIP'!BR$5:BR$27=1),'92_FEATURE_CONF_NUMERIC'!Y$5:Y$27)/MAX(1,COUNTIF('93_TARGET_MEMBERSHIP'!BR$5:BR$27,1)))*(SUMPRODUCT(--('93_TARGET_MEMBERSHIP'!BR$5:BR$27=-1),'92_FEATURE_CONF_NUMERIC'!Y$5:Y$27)/MAX(1,COUNTIF('93_TARGET_MEMBERSHIP'!BR$5:BR$27,-1)))))</f>
        <v/>
      </c>
      <c r="Y73" s="34">
        <f>IF($B73="ABSOLUTE SEMANTIC",'19_FEATURE_CONFIDENCE'!$D$27,SQRT((SUMPRODUCT(--('93_TARGET_MEMBERSHIP'!BR$5:BR$27=1),'92_FEATURE_CONF_NUMERIC'!Z$5:Z$27)/MAX(1,COUNTIF('93_TARGET_MEMBERSHIP'!BR$5:BR$27,1)))*(SUMPRODUCT(--('93_TARGET_MEMBERSHIP'!BR$5:BR$27=-1),'92_FEATURE_CONF_NUMERIC'!Z$5:Z$27)/MAX(1,COUNTIF('93_TARGET_MEMBERSHIP'!BR$5:BR$27,-1)))))</f>
        <v/>
      </c>
      <c r="Z73" s="34">
        <f>IF($B73="ABSOLUTE SEMANTIC",'19_FEATURE_CONFIDENCE'!$D$28,SQRT((SUMPRODUCT(--('93_TARGET_MEMBERSHIP'!BR$5:BR$27=1),'92_FEATURE_CONF_NUMERIC'!AA$5:AA$27)/MAX(1,COUNTIF('93_TARGET_MEMBERSHIP'!BR$5:BR$27,1)))*(SUMPRODUCT(--('93_TARGET_MEMBERSHIP'!BR$5:BR$27=-1),'92_FEATURE_CONF_NUMERIC'!AA$5:AA$27)/MAX(1,COUNTIF('93_TARGET_MEMBERSHIP'!BR$5:BR$27,-1)))))</f>
        <v/>
      </c>
      <c r="AA73" s="34">
        <f>IF($B73="ABSOLUTE SEMANTIC",'19_FEATURE_CONFIDENCE'!$D$29,SQRT((SUMPRODUCT(--('93_TARGET_MEMBERSHIP'!BR$5:BR$27=1),'92_FEATURE_CONF_NUMERIC'!AB$5:AB$27)/MAX(1,COUNTIF('93_TARGET_MEMBERSHIP'!BR$5:BR$27,1)))*(SUMPRODUCT(--('93_TARGET_MEMBERSHIP'!BR$5:BR$27=-1),'92_FEATURE_CONF_NUMERIC'!AB$5:AB$27)/MAX(1,COUNTIF('93_TARGET_MEMBERSHIP'!BR$5:BR$27,-1)))))</f>
        <v/>
      </c>
      <c r="AB73" s="34">
        <f>IF($B73="ABSOLUTE SEMANTIC",'19_FEATURE_CONFIDENCE'!$D$30,SQRT((SUMPRODUCT(--('93_TARGET_MEMBERSHIP'!BR$5:BR$27=1),'92_FEATURE_CONF_NUMERIC'!AC$5:AC$27)/MAX(1,COUNTIF('93_TARGET_MEMBERSHIP'!BR$5:BR$27,1)))*(SUMPRODUCT(--('93_TARGET_MEMBERSHIP'!BR$5:BR$27=-1),'92_FEATURE_CONF_NUMERIC'!AC$5:AC$27)/MAX(1,COUNTIF('93_TARGET_MEMBERSHIP'!BR$5:BR$27,-1)))))</f>
        <v/>
      </c>
      <c r="AC73" s="34">
        <f>IF($B73="ABSOLUTE SEMANTIC",'19_FEATURE_CONFIDENCE'!$D$31,SQRT((SUMPRODUCT(--('93_TARGET_MEMBERSHIP'!BR$5:BR$27=1),'92_FEATURE_CONF_NUMERIC'!AD$5:AD$27)/MAX(1,COUNTIF('93_TARGET_MEMBERSHIP'!BR$5:BR$27,1)))*(SUMPRODUCT(--('93_TARGET_MEMBERSHIP'!BR$5:BR$27=-1),'92_FEATURE_CONF_NUMERIC'!AD$5:AD$27)/MAX(1,COUNTIF('93_TARGET_MEMBERSHIP'!BR$5:BR$27,-1)))))</f>
        <v/>
      </c>
      <c r="AD73" s="34">
        <f>IF($B73="ABSOLUTE SEMANTIC",'19_FEATURE_CONFIDENCE'!$D$32,SQRT((SUMPRODUCT(--('93_TARGET_MEMBERSHIP'!BR$5:BR$27=1),'92_FEATURE_CONF_NUMERIC'!AE$5:AE$27)/MAX(1,COUNTIF('93_TARGET_MEMBERSHIP'!BR$5:BR$27,1)))*(SUMPRODUCT(--('93_TARGET_MEMBERSHIP'!BR$5:BR$27=-1),'92_FEATURE_CONF_NUMERIC'!AE$5:AE$27)/MAX(1,COUNTIF('93_TARGET_MEMBERSHIP'!BR$5:BR$27,-1)))))</f>
        <v/>
      </c>
      <c r="AE73" s="34">
        <f>IF($B73="ABSOLUTE SEMANTIC",'19_FEATURE_CONFIDENCE'!$D$33,SQRT((SUMPRODUCT(--('93_TARGET_MEMBERSHIP'!BR$5:BR$27=1),'92_FEATURE_CONF_NUMERIC'!AF$5:AF$27)/MAX(1,COUNTIF('93_TARGET_MEMBERSHIP'!BR$5:BR$27,1)))*(SUMPRODUCT(--('93_TARGET_MEMBERSHIP'!BR$5:BR$27=-1),'92_FEATURE_CONF_NUMERIC'!AF$5:AF$27)/MAX(1,COUNTIF('93_TARGET_MEMBERSHIP'!BR$5:BR$27,-1)))))</f>
        <v/>
      </c>
      <c r="AF73" s="34">
        <f>IF($B73="ABSOLUTE SEMANTIC",'19_FEATURE_CONFIDENCE'!$D$34,SQRT((SUMPRODUCT(--('93_TARGET_MEMBERSHIP'!BR$5:BR$27=1),'92_FEATURE_CONF_NUMERIC'!AG$5:AG$27)/MAX(1,COUNTIF('93_TARGET_MEMBERSHIP'!BR$5:BR$27,1)))*(SUMPRODUCT(--('93_TARGET_MEMBERSHIP'!BR$5:BR$27=-1),'92_FEATURE_CONF_NUMERIC'!AG$5:AG$27)/MAX(1,COUNTIF('93_TARGET_MEMBERSHIP'!BR$5:BR$27,-1)))))</f>
        <v/>
      </c>
      <c r="AG73" s="34">
        <f>IF($B73="ABSOLUTE SEMANTIC",'19_FEATURE_CONFIDENCE'!$D$35,SQRT((SUMPRODUCT(--('93_TARGET_MEMBERSHIP'!BR$5:BR$27=1),'92_FEATURE_CONF_NUMERIC'!AH$5:AH$27)/MAX(1,COUNTIF('93_TARGET_MEMBERSHIP'!BR$5:BR$27,1)))*(SUMPRODUCT(--('93_TARGET_MEMBERSHIP'!BR$5:BR$27=-1),'92_FEATURE_CONF_NUMERIC'!AH$5:AH$27)/MAX(1,COUNTIF('93_TARGET_MEMBERSHIP'!BR$5:BR$27,-1)))))</f>
        <v/>
      </c>
      <c r="AH73" s="34">
        <f>IF($B73="ABSOLUTE SEMANTIC",'19_FEATURE_CONFIDENCE'!$D$36,SQRT((SUMPRODUCT(--('93_TARGET_MEMBERSHIP'!BR$5:BR$27=1),'92_FEATURE_CONF_NUMERIC'!AI$5:AI$27)/MAX(1,COUNTIF('93_TARGET_MEMBERSHIP'!BR$5:BR$27,1)))*(SUMPRODUCT(--('93_TARGET_MEMBERSHIP'!BR$5:BR$27=-1),'92_FEATURE_CONF_NUMERIC'!AI$5:AI$27)/MAX(1,COUNTIF('93_TARGET_MEMBERSHIP'!BR$5:BR$27,-1)))))</f>
        <v/>
      </c>
      <c r="AI73" s="34">
        <f>IF($B73="ABSOLUTE SEMANTIC",'19_FEATURE_CONFIDENCE'!$D$37,SQRT((SUMPRODUCT(--('93_TARGET_MEMBERSHIP'!BR$5:BR$27=1),'92_FEATURE_CONF_NUMERIC'!AJ$5:AJ$27)/MAX(1,COUNTIF('93_TARGET_MEMBERSHIP'!BR$5:BR$27,1)))*(SUMPRODUCT(--('93_TARGET_MEMBERSHIP'!BR$5:BR$27=-1),'92_FEATURE_CONF_NUMERIC'!AJ$5:AJ$27)/MAX(1,COUNTIF('93_TARGET_MEMBERSHIP'!BR$5:BR$27,-1)))))</f>
        <v/>
      </c>
      <c r="AJ73" s="34">
        <f>IF($B73="ABSOLUTE SEMANTIC",'19_FEATURE_CONFIDENCE'!$D$38,SQRT((SUMPRODUCT(--('93_TARGET_MEMBERSHIP'!BR$5:BR$27=1),'92_FEATURE_CONF_NUMERIC'!AK$5:AK$27)/MAX(1,COUNTIF('93_TARGET_MEMBERSHIP'!BR$5:BR$27,1)))*(SUMPRODUCT(--('93_TARGET_MEMBERSHIP'!BR$5:BR$27=-1),'92_FEATURE_CONF_NUMERIC'!AK$5:AK$27)/MAX(1,COUNTIF('93_TARGET_MEMBERSHIP'!BR$5:BR$27,-1)))))</f>
        <v/>
      </c>
      <c r="AK73" s="34">
        <f>IF($B73="ABSOLUTE SEMANTIC",'19_FEATURE_CONFIDENCE'!$D$39,SQRT((SUMPRODUCT(--('93_TARGET_MEMBERSHIP'!BR$5:BR$27=1),'92_FEATURE_CONF_NUMERIC'!AL$5:AL$27)/MAX(1,COUNTIF('93_TARGET_MEMBERSHIP'!BR$5:BR$27,1)))*(SUMPRODUCT(--('93_TARGET_MEMBERSHIP'!BR$5:BR$27=-1),'92_FEATURE_CONF_NUMERIC'!AL$5:AL$27)/MAX(1,COUNTIF('93_TARGET_MEMBERSHIP'!BR$5:BR$27,-1)))))</f>
        <v/>
      </c>
      <c r="AL73" s="34">
        <f>IF($B73="ABSOLUTE SEMANTIC",'19_FEATURE_CONFIDENCE'!$D$40,SQRT((SUMPRODUCT(--('93_TARGET_MEMBERSHIP'!BR$5:BR$27=1),'92_FEATURE_CONF_NUMERIC'!AM$5:AM$27)/MAX(1,COUNTIF('93_TARGET_MEMBERSHIP'!BR$5:BR$27,1)))*(SUMPRODUCT(--('93_TARGET_MEMBERSHIP'!BR$5:BR$27=-1),'92_FEATURE_CONF_NUMERIC'!AM$5:AM$27)/MAX(1,COUNTIF('93_TARGET_MEMBERSHIP'!BR$5:BR$27,-1)))))</f>
        <v/>
      </c>
      <c r="AM73" s="34">
        <f>IF($B73="ABSOLUTE SEMANTIC",'19_FEATURE_CONFIDENCE'!$D$41,SQRT((SUMPRODUCT(--('93_TARGET_MEMBERSHIP'!BR$5:BR$27=1),'92_FEATURE_CONF_NUMERIC'!AN$5:AN$27)/MAX(1,COUNTIF('93_TARGET_MEMBERSHIP'!BR$5:BR$27,1)))*(SUMPRODUCT(--('93_TARGET_MEMBERSHIP'!BR$5:BR$27=-1),'92_FEATURE_CONF_NUMERIC'!AN$5:AN$27)/MAX(1,COUNTIF('93_TARGET_MEMBERSHIP'!BR$5:BR$27,-1)))))</f>
        <v/>
      </c>
      <c r="AN73" s="34">
        <f>IF($B73="ABSOLUTE SEMANTIC",'19_FEATURE_CONFIDENCE'!$D$42,SQRT((SUMPRODUCT(--('93_TARGET_MEMBERSHIP'!BR$5:BR$27=1),'92_FEATURE_CONF_NUMERIC'!AO$5:AO$27)/MAX(1,COUNTIF('93_TARGET_MEMBERSHIP'!BR$5:BR$27,1)))*(SUMPRODUCT(--('93_TARGET_MEMBERSHIP'!BR$5:BR$27=-1),'92_FEATURE_CONF_NUMERIC'!AO$5:AO$27)/MAX(1,COUNTIF('93_TARGET_MEMBERSHIP'!BR$5:BR$27,-1)))))</f>
        <v/>
      </c>
      <c r="AO73" s="34">
        <f>IF($B73="ABSOLUTE SEMANTIC",'19_FEATURE_CONFIDENCE'!$D$43,SQRT((SUMPRODUCT(--('93_TARGET_MEMBERSHIP'!BR$5:BR$27=1),'92_FEATURE_CONF_NUMERIC'!AP$5:AP$27)/MAX(1,COUNTIF('93_TARGET_MEMBERSHIP'!BR$5:BR$27,1)))*(SUMPRODUCT(--('93_TARGET_MEMBERSHIP'!BR$5:BR$27=-1),'92_FEATURE_CONF_NUMERIC'!AP$5:AP$27)/MAX(1,COUNTIF('93_TARGET_MEMBERSHIP'!BR$5:BR$27,-1)))))</f>
        <v/>
      </c>
      <c r="AP73" s="34">
        <f>IF($B73="ABSOLUTE SEMANTIC",'19_FEATURE_CONFIDENCE'!$D$44,SQRT((SUMPRODUCT(--('93_TARGET_MEMBERSHIP'!BR$5:BR$27=1),'92_FEATURE_CONF_NUMERIC'!AQ$5:AQ$27)/MAX(1,COUNTIF('93_TARGET_MEMBERSHIP'!BR$5:BR$27,1)))*(SUMPRODUCT(--('93_TARGET_MEMBERSHIP'!BR$5:BR$27=-1),'92_FEATURE_CONF_NUMERIC'!AQ$5:AQ$27)/MAX(1,COUNTIF('93_TARGET_MEMBERSHIP'!BR$5:BR$27,-1)))))</f>
        <v/>
      </c>
      <c r="AQ73" s="34">
        <f>IF($B73="ABSOLUTE SEMANTIC",'19_FEATURE_CONFIDENCE'!$D$45,SQRT((SUMPRODUCT(--('93_TARGET_MEMBERSHIP'!BR$5:BR$27=1),'92_FEATURE_CONF_NUMERIC'!AR$5:AR$27)/MAX(1,COUNTIF('93_TARGET_MEMBERSHIP'!BR$5:BR$27,1)))*(SUMPRODUCT(--('93_TARGET_MEMBERSHIP'!BR$5:BR$27=-1),'92_FEATURE_CONF_NUMERIC'!AR$5:AR$27)/MAX(1,COUNTIF('93_TARGET_MEMBERSHIP'!BR$5:BR$27,-1)))))</f>
        <v/>
      </c>
    </row>
    <row r="74" ht="36" customHeight="1">
      <c r="A74" s="34">
        <f>'06_ITEM_POLE_MODEL'!A74</f>
        <v/>
      </c>
      <c r="B74" s="34">
        <f>'06_ITEM_POLE_MODEL'!E74</f>
        <v/>
      </c>
      <c r="C74" s="34">
        <f>IF($B74="ABSOLUTE SEMANTIC",'19_FEATURE_CONFIDENCE'!$D$5,SQRT((SUMPRODUCT(--('93_TARGET_MEMBERSHIP'!BS$5:BS$27=1),'92_FEATURE_CONF_NUMERIC'!D$5:D$27)/MAX(1,COUNTIF('93_TARGET_MEMBERSHIP'!BS$5:BS$27,1)))*(SUMPRODUCT(--('93_TARGET_MEMBERSHIP'!BS$5:BS$27=-1),'92_FEATURE_CONF_NUMERIC'!D$5:D$27)/MAX(1,COUNTIF('93_TARGET_MEMBERSHIP'!BS$5:BS$27,-1)))))</f>
        <v/>
      </c>
      <c r="D74" s="34">
        <f>IF($B74="ABSOLUTE SEMANTIC",'19_FEATURE_CONFIDENCE'!$D$6,SQRT((SUMPRODUCT(--('93_TARGET_MEMBERSHIP'!BS$5:BS$27=1),'92_FEATURE_CONF_NUMERIC'!E$5:E$27)/MAX(1,COUNTIF('93_TARGET_MEMBERSHIP'!BS$5:BS$27,1)))*(SUMPRODUCT(--('93_TARGET_MEMBERSHIP'!BS$5:BS$27=-1),'92_FEATURE_CONF_NUMERIC'!E$5:E$27)/MAX(1,COUNTIF('93_TARGET_MEMBERSHIP'!BS$5:BS$27,-1)))))</f>
        <v/>
      </c>
      <c r="E74" s="34">
        <f>IF($B74="ABSOLUTE SEMANTIC",'19_FEATURE_CONFIDENCE'!$D$7,SQRT((SUMPRODUCT(--('93_TARGET_MEMBERSHIP'!BS$5:BS$27=1),'92_FEATURE_CONF_NUMERIC'!F$5:F$27)/MAX(1,COUNTIF('93_TARGET_MEMBERSHIP'!BS$5:BS$27,1)))*(SUMPRODUCT(--('93_TARGET_MEMBERSHIP'!BS$5:BS$27=-1),'92_FEATURE_CONF_NUMERIC'!F$5:F$27)/MAX(1,COUNTIF('93_TARGET_MEMBERSHIP'!BS$5:BS$27,-1)))))</f>
        <v/>
      </c>
      <c r="F74" s="34">
        <f>IF($B74="ABSOLUTE SEMANTIC",'19_FEATURE_CONFIDENCE'!$D$8,SQRT((SUMPRODUCT(--('93_TARGET_MEMBERSHIP'!BS$5:BS$27=1),'92_FEATURE_CONF_NUMERIC'!G$5:G$27)/MAX(1,COUNTIF('93_TARGET_MEMBERSHIP'!BS$5:BS$27,1)))*(SUMPRODUCT(--('93_TARGET_MEMBERSHIP'!BS$5:BS$27=-1),'92_FEATURE_CONF_NUMERIC'!G$5:G$27)/MAX(1,COUNTIF('93_TARGET_MEMBERSHIP'!BS$5:BS$27,-1)))))</f>
        <v/>
      </c>
      <c r="G74" s="34">
        <f>IF($B74="ABSOLUTE SEMANTIC",'19_FEATURE_CONFIDENCE'!$D$9,SQRT((SUMPRODUCT(--('93_TARGET_MEMBERSHIP'!BS$5:BS$27=1),'92_FEATURE_CONF_NUMERIC'!H$5:H$27)/MAX(1,COUNTIF('93_TARGET_MEMBERSHIP'!BS$5:BS$27,1)))*(SUMPRODUCT(--('93_TARGET_MEMBERSHIP'!BS$5:BS$27=-1),'92_FEATURE_CONF_NUMERIC'!H$5:H$27)/MAX(1,COUNTIF('93_TARGET_MEMBERSHIP'!BS$5:BS$27,-1)))))</f>
        <v/>
      </c>
      <c r="H74" s="34">
        <f>IF($B74="ABSOLUTE SEMANTIC",'19_FEATURE_CONFIDENCE'!$D$10,SQRT((SUMPRODUCT(--('93_TARGET_MEMBERSHIP'!BS$5:BS$27=1),'92_FEATURE_CONF_NUMERIC'!I$5:I$27)/MAX(1,COUNTIF('93_TARGET_MEMBERSHIP'!BS$5:BS$27,1)))*(SUMPRODUCT(--('93_TARGET_MEMBERSHIP'!BS$5:BS$27=-1),'92_FEATURE_CONF_NUMERIC'!I$5:I$27)/MAX(1,COUNTIF('93_TARGET_MEMBERSHIP'!BS$5:BS$27,-1)))))</f>
        <v/>
      </c>
      <c r="I74" s="34">
        <f>IF($B74="ABSOLUTE SEMANTIC",'19_FEATURE_CONFIDENCE'!$D$11,SQRT((SUMPRODUCT(--('93_TARGET_MEMBERSHIP'!BS$5:BS$27=1),'92_FEATURE_CONF_NUMERIC'!J$5:J$27)/MAX(1,COUNTIF('93_TARGET_MEMBERSHIP'!BS$5:BS$27,1)))*(SUMPRODUCT(--('93_TARGET_MEMBERSHIP'!BS$5:BS$27=-1),'92_FEATURE_CONF_NUMERIC'!J$5:J$27)/MAX(1,COUNTIF('93_TARGET_MEMBERSHIP'!BS$5:BS$27,-1)))))</f>
        <v/>
      </c>
      <c r="J74" s="34">
        <f>IF($B74="ABSOLUTE SEMANTIC",'19_FEATURE_CONFIDENCE'!$D$12,SQRT((SUMPRODUCT(--('93_TARGET_MEMBERSHIP'!BS$5:BS$27=1),'92_FEATURE_CONF_NUMERIC'!K$5:K$27)/MAX(1,COUNTIF('93_TARGET_MEMBERSHIP'!BS$5:BS$27,1)))*(SUMPRODUCT(--('93_TARGET_MEMBERSHIP'!BS$5:BS$27=-1),'92_FEATURE_CONF_NUMERIC'!K$5:K$27)/MAX(1,COUNTIF('93_TARGET_MEMBERSHIP'!BS$5:BS$27,-1)))))</f>
        <v/>
      </c>
      <c r="K74" s="34">
        <f>IF($B74="ABSOLUTE SEMANTIC",'19_FEATURE_CONFIDENCE'!$D$13,SQRT((SUMPRODUCT(--('93_TARGET_MEMBERSHIP'!BS$5:BS$27=1),'92_FEATURE_CONF_NUMERIC'!L$5:L$27)/MAX(1,COUNTIF('93_TARGET_MEMBERSHIP'!BS$5:BS$27,1)))*(SUMPRODUCT(--('93_TARGET_MEMBERSHIP'!BS$5:BS$27=-1),'92_FEATURE_CONF_NUMERIC'!L$5:L$27)/MAX(1,COUNTIF('93_TARGET_MEMBERSHIP'!BS$5:BS$27,-1)))))</f>
        <v/>
      </c>
      <c r="L74" s="34">
        <f>IF($B74="ABSOLUTE SEMANTIC",'19_FEATURE_CONFIDENCE'!$D$14,SQRT((SUMPRODUCT(--('93_TARGET_MEMBERSHIP'!BS$5:BS$27=1),'92_FEATURE_CONF_NUMERIC'!M$5:M$27)/MAX(1,COUNTIF('93_TARGET_MEMBERSHIP'!BS$5:BS$27,1)))*(SUMPRODUCT(--('93_TARGET_MEMBERSHIP'!BS$5:BS$27=-1),'92_FEATURE_CONF_NUMERIC'!M$5:M$27)/MAX(1,COUNTIF('93_TARGET_MEMBERSHIP'!BS$5:BS$27,-1)))))</f>
        <v/>
      </c>
      <c r="M74" s="34">
        <f>IF($B74="ABSOLUTE SEMANTIC",'19_FEATURE_CONFIDENCE'!$D$15,SQRT((SUMPRODUCT(--('93_TARGET_MEMBERSHIP'!BS$5:BS$27=1),'92_FEATURE_CONF_NUMERIC'!N$5:N$27)/MAX(1,COUNTIF('93_TARGET_MEMBERSHIP'!BS$5:BS$27,1)))*(SUMPRODUCT(--('93_TARGET_MEMBERSHIP'!BS$5:BS$27=-1),'92_FEATURE_CONF_NUMERIC'!N$5:N$27)/MAX(1,COUNTIF('93_TARGET_MEMBERSHIP'!BS$5:BS$27,-1)))))</f>
        <v/>
      </c>
      <c r="N74" s="34">
        <f>IF($B74="ABSOLUTE SEMANTIC",'19_FEATURE_CONFIDENCE'!$D$16,SQRT((SUMPRODUCT(--('93_TARGET_MEMBERSHIP'!BS$5:BS$27=1),'92_FEATURE_CONF_NUMERIC'!O$5:O$27)/MAX(1,COUNTIF('93_TARGET_MEMBERSHIP'!BS$5:BS$27,1)))*(SUMPRODUCT(--('93_TARGET_MEMBERSHIP'!BS$5:BS$27=-1),'92_FEATURE_CONF_NUMERIC'!O$5:O$27)/MAX(1,COUNTIF('93_TARGET_MEMBERSHIP'!BS$5:BS$27,-1)))))</f>
        <v/>
      </c>
      <c r="O74" s="34">
        <f>IF($B74="ABSOLUTE SEMANTIC",'19_FEATURE_CONFIDENCE'!$D$17,SQRT((SUMPRODUCT(--('93_TARGET_MEMBERSHIP'!BS$5:BS$27=1),'92_FEATURE_CONF_NUMERIC'!P$5:P$27)/MAX(1,COUNTIF('93_TARGET_MEMBERSHIP'!BS$5:BS$27,1)))*(SUMPRODUCT(--('93_TARGET_MEMBERSHIP'!BS$5:BS$27=-1),'92_FEATURE_CONF_NUMERIC'!P$5:P$27)/MAX(1,COUNTIF('93_TARGET_MEMBERSHIP'!BS$5:BS$27,-1)))))</f>
        <v/>
      </c>
      <c r="P74" s="34">
        <f>IF($B74="ABSOLUTE SEMANTIC",'19_FEATURE_CONFIDENCE'!$D$18,SQRT((SUMPRODUCT(--('93_TARGET_MEMBERSHIP'!BS$5:BS$27=1),'92_FEATURE_CONF_NUMERIC'!Q$5:Q$27)/MAX(1,COUNTIF('93_TARGET_MEMBERSHIP'!BS$5:BS$27,1)))*(SUMPRODUCT(--('93_TARGET_MEMBERSHIP'!BS$5:BS$27=-1),'92_FEATURE_CONF_NUMERIC'!Q$5:Q$27)/MAX(1,COUNTIF('93_TARGET_MEMBERSHIP'!BS$5:BS$27,-1)))))</f>
        <v/>
      </c>
      <c r="Q74" s="34">
        <f>IF($B74="ABSOLUTE SEMANTIC",'19_FEATURE_CONFIDENCE'!$D$19,SQRT((SUMPRODUCT(--('93_TARGET_MEMBERSHIP'!BS$5:BS$27=1),'92_FEATURE_CONF_NUMERIC'!R$5:R$27)/MAX(1,COUNTIF('93_TARGET_MEMBERSHIP'!BS$5:BS$27,1)))*(SUMPRODUCT(--('93_TARGET_MEMBERSHIP'!BS$5:BS$27=-1),'92_FEATURE_CONF_NUMERIC'!R$5:R$27)/MAX(1,COUNTIF('93_TARGET_MEMBERSHIP'!BS$5:BS$27,-1)))))</f>
        <v/>
      </c>
      <c r="R74" s="34">
        <f>IF($B74="ABSOLUTE SEMANTIC",'19_FEATURE_CONFIDENCE'!$D$20,SQRT((SUMPRODUCT(--('93_TARGET_MEMBERSHIP'!BS$5:BS$27=1),'92_FEATURE_CONF_NUMERIC'!S$5:S$27)/MAX(1,COUNTIF('93_TARGET_MEMBERSHIP'!BS$5:BS$27,1)))*(SUMPRODUCT(--('93_TARGET_MEMBERSHIP'!BS$5:BS$27=-1),'92_FEATURE_CONF_NUMERIC'!S$5:S$27)/MAX(1,COUNTIF('93_TARGET_MEMBERSHIP'!BS$5:BS$27,-1)))))</f>
        <v/>
      </c>
      <c r="S74" s="34">
        <f>IF($B74="ABSOLUTE SEMANTIC",'19_FEATURE_CONFIDENCE'!$D$21,SQRT((SUMPRODUCT(--('93_TARGET_MEMBERSHIP'!BS$5:BS$27=1),'92_FEATURE_CONF_NUMERIC'!T$5:T$27)/MAX(1,COUNTIF('93_TARGET_MEMBERSHIP'!BS$5:BS$27,1)))*(SUMPRODUCT(--('93_TARGET_MEMBERSHIP'!BS$5:BS$27=-1),'92_FEATURE_CONF_NUMERIC'!T$5:T$27)/MAX(1,COUNTIF('93_TARGET_MEMBERSHIP'!BS$5:BS$27,-1)))))</f>
        <v/>
      </c>
      <c r="T74" s="34">
        <f>IF($B74="ABSOLUTE SEMANTIC",'19_FEATURE_CONFIDENCE'!$D$22,SQRT((SUMPRODUCT(--('93_TARGET_MEMBERSHIP'!BS$5:BS$27=1),'92_FEATURE_CONF_NUMERIC'!U$5:U$27)/MAX(1,COUNTIF('93_TARGET_MEMBERSHIP'!BS$5:BS$27,1)))*(SUMPRODUCT(--('93_TARGET_MEMBERSHIP'!BS$5:BS$27=-1),'92_FEATURE_CONF_NUMERIC'!U$5:U$27)/MAX(1,COUNTIF('93_TARGET_MEMBERSHIP'!BS$5:BS$27,-1)))))</f>
        <v/>
      </c>
      <c r="U74" s="34">
        <f>IF($B74="ABSOLUTE SEMANTIC",'19_FEATURE_CONFIDENCE'!$D$23,SQRT((SUMPRODUCT(--('93_TARGET_MEMBERSHIP'!BS$5:BS$27=1),'92_FEATURE_CONF_NUMERIC'!V$5:V$27)/MAX(1,COUNTIF('93_TARGET_MEMBERSHIP'!BS$5:BS$27,1)))*(SUMPRODUCT(--('93_TARGET_MEMBERSHIP'!BS$5:BS$27=-1),'92_FEATURE_CONF_NUMERIC'!V$5:V$27)/MAX(1,COUNTIF('93_TARGET_MEMBERSHIP'!BS$5:BS$27,-1)))))</f>
        <v/>
      </c>
      <c r="V74" s="34">
        <f>IF($B74="ABSOLUTE SEMANTIC",'19_FEATURE_CONFIDENCE'!$D$24,SQRT((SUMPRODUCT(--('93_TARGET_MEMBERSHIP'!BS$5:BS$27=1),'92_FEATURE_CONF_NUMERIC'!W$5:W$27)/MAX(1,COUNTIF('93_TARGET_MEMBERSHIP'!BS$5:BS$27,1)))*(SUMPRODUCT(--('93_TARGET_MEMBERSHIP'!BS$5:BS$27=-1),'92_FEATURE_CONF_NUMERIC'!W$5:W$27)/MAX(1,COUNTIF('93_TARGET_MEMBERSHIP'!BS$5:BS$27,-1)))))</f>
        <v/>
      </c>
      <c r="W74" s="34">
        <f>IF($B74="ABSOLUTE SEMANTIC",'19_FEATURE_CONFIDENCE'!$D$25,SQRT((SUMPRODUCT(--('93_TARGET_MEMBERSHIP'!BS$5:BS$27=1),'92_FEATURE_CONF_NUMERIC'!X$5:X$27)/MAX(1,COUNTIF('93_TARGET_MEMBERSHIP'!BS$5:BS$27,1)))*(SUMPRODUCT(--('93_TARGET_MEMBERSHIP'!BS$5:BS$27=-1),'92_FEATURE_CONF_NUMERIC'!X$5:X$27)/MAX(1,COUNTIF('93_TARGET_MEMBERSHIP'!BS$5:BS$27,-1)))))</f>
        <v/>
      </c>
      <c r="X74" s="34">
        <f>IF($B74="ABSOLUTE SEMANTIC",'19_FEATURE_CONFIDENCE'!$D$26,SQRT((SUMPRODUCT(--('93_TARGET_MEMBERSHIP'!BS$5:BS$27=1),'92_FEATURE_CONF_NUMERIC'!Y$5:Y$27)/MAX(1,COUNTIF('93_TARGET_MEMBERSHIP'!BS$5:BS$27,1)))*(SUMPRODUCT(--('93_TARGET_MEMBERSHIP'!BS$5:BS$27=-1),'92_FEATURE_CONF_NUMERIC'!Y$5:Y$27)/MAX(1,COUNTIF('93_TARGET_MEMBERSHIP'!BS$5:BS$27,-1)))))</f>
        <v/>
      </c>
      <c r="Y74" s="34">
        <f>IF($B74="ABSOLUTE SEMANTIC",'19_FEATURE_CONFIDENCE'!$D$27,SQRT((SUMPRODUCT(--('93_TARGET_MEMBERSHIP'!BS$5:BS$27=1),'92_FEATURE_CONF_NUMERIC'!Z$5:Z$27)/MAX(1,COUNTIF('93_TARGET_MEMBERSHIP'!BS$5:BS$27,1)))*(SUMPRODUCT(--('93_TARGET_MEMBERSHIP'!BS$5:BS$27=-1),'92_FEATURE_CONF_NUMERIC'!Z$5:Z$27)/MAX(1,COUNTIF('93_TARGET_MEMBERSHIP'!BS$5:BS$27,-1)))))</f>
        <v/>
      </c>
      <c r="Z74" s="34">
        <f>IF($B74="ABSOLUTE SEMANTIC",'19_FEATURE_CONFIDENCE'!$D$28,SQRT((SUMPRODUCT(--('93_TARGET_MEMBERSHIP'!BS$5:BS$27=1),'92_FEATURE_CONF_NUMERIC'!AA$5:AA$27)/MAX(1,COUNTIF('93_TARGET_MEMBERSHIP'!BS$5:BS$27,1)))*(SUMPRODUCT(--('93_TARGET_MEMBERSHIP'!BS$5:BS$27=-1),'92_FEATURE_CONF_NUMERIC'!AA$5:AA$27)/MAX(1,COUNTIF('93_TARGET_MEMBERSHIP'!BS$5:BS$27,-1)))))</f>
        <v/>
      </c>
      <c r="AA74" s="34">
        <f>IF($B74="ABSOLUTE SEMANTIC",'19_FEATURE_CONFIDENCE'!$D$29,SQRT((SUMPRODUCT(--('93_TARGET_MEMBERSHIP'!BS$5:BS$27=1),'92_FEATURE_CONF_NUMERIC'!AB$5:AB$27)/MAX(1,COUNTIF('93_TARGET_MEMBERSHIP'!BS$5:BS$27,1)))*(SUMPRODUCT(--('93_TARGET_MEMBERSHIP'!BS$5:BS$27=-1),'92_FEATURE_CONF_NUMERIC'!AB$5:AB$27)/MAX(1,COUNTIF('93_TARGET_MEMBERSHIP'!BS$5:BS$27,-1)))))</f>
        <v/>
      </c>
      <c r="AB74" s="34">
        <f>IF($B74="ABSOLUTE SEMANTIC",'19_FEATURE_CONFIDENCE'!$D$30,SQRT((SUMPRODUCT(--('93_TARGET_MEMBERSHIP'!BS$5:BS$27=1),'92_FEATURE_CONF_NUMERIC'!AC$5:AC$27)/MAX(1,COUNTIF('93_TARGET_MEMBERSHIP'!BS$5:BS$27,1)))*(SUMPRODUCT(--('93_TARGET_MEMBERSHIP'!BS$5:BS$27=-1),'92_FEATURE_CONF_NUMERIC'!AC$5:AC$27)/MAX(1,COUNTIF('93_TARGET_MEMBERSHIP'!BS$5:BS$27,-1)))))</f>
        <v/>
      </c>
      <c r="AC74" s="34">
        <f>IF($B74="ABSOLUTE SEMANTIC",'19_FEATURE_CONFIDENCE'!$D$31,SQRT((SUMPRODUCT(--('93_TARGET_MEMBERSHIP'!BS$5:BS$27=1),'92_FEATURE_CONF_NUMERIC'!AD$5:AD$27)/MAX(1,COUNTIF('93_TARGET_MEMBERSHIP'!BS$5:BS$27,1)))*(SUMPRODUCT(--('93_TARGET_MEMBERSHIP'!BS$5:BS$27=-1),'92_FEATURE_CONF_NUMERIC'!AD$5:AD$27)/MAX(1,COUNTIF('93_TARGET_MEMBERSHIP'!BS$5:BS$27,-1)))))</f>
        <v/>
      </c>
      <c r="AD74" s="34">
        <f>IF($B74="ABSOLUTE SEMANTIC",'19_FEATURE_CONFIDENCE'!$D$32,SQRT((SUMPRODUCT(--('93_TARGET_MEMBERSHIP'!BS$5:BS$27=1),'92_FEATURE_CONF_NUMERIC'!AE$5:AE$27)/MAX(1,COUNTIF('93_TARGET_MEMBERSHIP'!BS$5:BS$27,1)))*(SUMPRODUCT(--('93_TARGET_MEMBERSHIP'!BS$5:BS$27=-1),'92_FEATURE_CONF_NUMERIC'!AE$5:AE$27)/MAX(1,COUNTIF('93_TARGET_MEMBERSHIP'!BS$5:BS$27,-1)))))</f>
        <v/>
      </c>
      <c r="AE74" s="34">
        <f>IF($B74="ABSOLUTE SEMANTIC",'19_FEATURE_CONFIDENCE'!$D$33,SQRT((SUMPRODUCT(--('93_TARGET_MEMBERSHIP'!BS$5:BS$27=1),'92_FEATURE_CONF_NUMERIC'!AF$5:AF$27)/MAX(1,COUNTIF('93_TARGET_MEMBERSHIP'!BS$5:BS$27,1)))*(SUMPRODUCT(--('93_TARGET_MEMBERSHIP'!BS$5:BS$27=-1),'92_FEATURE_CONF_NUMERIC'!AF$5:AF$27)/MAX(1,COUNTIF('93_TARGET_MEMBERSHIP'!BS$5:BS$27,-1)))))</f>
        <v/>
      </c>
      <c r="AF74" s="34">
        <f>IF($B74="ABSOLUTE SEMANTIC",'19_FEATURE_CONFIDENCE'!$D$34,SQRT((SUMPRODUCT(--('93_TARGET_MEMBERSHIP'!BS$5:BS$27=1),'92_FEATURE_CONF_NUMERIC'!AG$5:AG$27)/MAX(1,COUNTIF('93_TARGET_MEMBERSHIP'!BS$5:BS$27,1)))*(SUMPRODUCT(--('93_TARGET_MEMBERSHIP'!BS$5:BS$27=-1),'92_FEATURE_CONF_NUMERIC'!AG$5:AG$27)/MAX(1,COUNTIF('93_TARGET_MEMBERSHIP'!BS$5:BS$27,-1)))))</f>
        <v/>
      </c>
      <c r="AG74" s="34">
        <f>IF($B74="ABSOLUTE SEMANTIC",'19_FEATURE_CONFIDENCE'!$D$35,SQRT((SUMPRODUCT(--('93_TARGET_MEMBERSHIP'!BS$5:BS$27=1),'92_FEATURE_CONF_NUMERIC'!AH$5:AH$27)/MAX(1,COUNTIF('93_TARGET_MEMBERSHIP'!BS$5:BS$27,1)))*(SUMPRODUCT(--('93_TARGET_MEMBERSHIP'!BS$5:BS$27=-1),'92_FEATURE_CONF_NUMERIC'!AH$5:AH$27)/MAX(1,COUNTIF('93_TARGET_MEMBERSHIP'!BS$5:BS$27,-1)))))</f>
        <v/>
      </c>
      <c r="AH74" s="34">
        <f>IF($B74="ABSOLUTE SEMANTIC",'19_FEATURE_CONFIDENCE'!$D$36,SQRT((SUMPRODUCT(--('93_TARGET_MEMBERSHIP'!BS$5:BS$27=1),'92_FEATURE_CONF_NUMERIC'!AI$5:AI$27)/MAX(1,COUNTIF('93_TARGET_MEMBERSHIP'!BS$5:BS$27,1)))*(SUMPRODUCT(--('93_TARGET_MEMBERSHIP'!BS$5:BS$27=-1),'92_FEATURE_CONF_NUMERIC'!AI$5:AI$27)/MAX(1,COUNTIF('93_TARGET_MEMBERSHIP'!BS$5:BS$27,-1)))))</f>
        <v/>
      </c>
      <c r="AI74" s="34">
        <f>IF($B74="ABSOLUTE SEMANTIC",'19_FEATURE_CONFIDENCE'!$D$37,SQRT((SUMPRODUCT(--('93_TARGET_MEMBERSHIP'!BS$5:BS$27=1),'92_FEATURE_CONF_NUMERIC'!AJ$5:AJ$27)/MAX(1,COUNTIF('93_TARGET_MEMBERSHIP'!BS$5:BS$27,1)))*(SUMPRODUCT(--('93_TARGET_MEMBERSHIP'!BS$5:BS$27=-1),'92_FEATURE_CONF_NUMERIC'!AJ$5:AJ$27)/MAX(1,COUNTIF('93_TARGET_MEMBERSHIP'!BS$5:BS$27,-1)))))</f>
        <v/>
      </c>
      <c r="AJ74" s="34">
        <f>IF($B74="ABSOLUTE SEMANTIC",'19_FEATURE_CONFIDENCE'!$D$38,SQRT((SUMPRODUCT(--('93_TARGET_MEMBERSHIP'!BS$5:BS$27=1),'92_FEATURE_CONF_NUMERIC'!AK$5:AK$27)/MAX(1,COUNTIF('93_TARGET_MEMBERSHIP'!BS$5:BS$27,1)))*(SUMPRODUCT(--('93_TARGET_MEMBERSHIP'!BS$5:BS$27=-1),'92_FEATURE_CONF_NUMERIC'!AK$5:AK$27)/MAX(1,COUNTIF('93_TARGET_MEMBERSHIP'!BS$5:BS$27,-1)))))</f>
        <v/>
      </c>
      <c r="AK74" s="34">
        <f>IF($B74="ABSOLUTE SEMANTIC",'19_FEATURE_CONFIDENCE'!$D$39,SQRT((SUMPRODUCT(--('93_TARGET_MEMBERSHIP'!BS$5:BS$27=1),'92_FEATURE_CONF_NUMERIC'!AL$5:AL$27)/MAX(1,COUNTIF('93_TARGET_MEMBERSHIP'!BS$5:BS$27,1)))*(SUMPRODUCT(--('93_TARGET_MEMBERSHIP'!BS$5:BS$27=-1),'92_FEATURE_CONF_NUMERIC'!AL$5:AL$27)/MAX(1,COUNTIF('93_TARGET_MEMBERSHIP'!BS$5:BS$27,-1)))))</f>
        <v/>
      </c>
      <c r="AL74" s="34">
        <f>IF($B74="ABSOLUTE SEMANTIC",'19_FEATURE_CONFIDENCE'!$D$40,SQRT((SUMPRODUCT(--('93_TARGET_MEMBERSHIP'!BS$5:BS$27=1),'92_FEATURE_CONF_NUMERIC'!AM$5:AM$27)/MAX(1,COUNTIF('93_TARGET_MEMBERSHIP'!BS$5:BS$27,1)))*(SUMPRODUCT(--('93_TARGET_MEMBERSHIP'!BS$5:BS$27=-1),'92_FEATURE_CONF_NUMERIC'!AM$5:AM$27)/MAX(1,COUNTIF('93_TARGET_MEMBERSHIP'!BS$5:BS$27,-1)))))</f>
        <v/>
      </c>
      <c r="AM74" s="34">
        <f>IF($B74="ABSOLUTE SEMANTIC",'19_FEATURE_CONFIDENCE'!$D$41,SQRT((SUMPRODUCT(--('93_TARGET_MEMBERSHIP'!BS$5:BS$27=1),'92_FEATURE_CONF_NUMERIC'!AN$5:AN$27)/MAX(1,COUNTIF('93_TARGET_MEMBERSHIP'!BS$5:BS$27,1)))*(SUMPRODUCT(--('93_TARGET_MEMBERSHIP'!BS$5:BS$27=-1),'92_FEATURE_CONF_NUMERIC'!AN$5:AN$27)/MAX(1,COUNTIF('93_TARGET_MEMBERSHIP'!BS$5:BS$27,-1)))))</f>
        <v/>
      </c>
      <c r="AN74" s="34">
        <f>IF($B74="ABSOLUTE SEMANTIC",'19_FEATURE_CONFIDENCE'!$D$42,SQRT((SUMPRODUCT(--('93_TARGET_MEMBERSHIP'!BS$5:BS$27=1),'92_FEATURE_CONF_NUMERIC'!AO$5:AO$27)/MAX(1,COUNTIF('93_TARGET_MEMBERSHIP'!BS$5:BS$27,1)))*(SUMPRODUCT(--('93_TARGET_MEMBERSHIP'!BS$5:BS$27=-1),'92_FEATURE_CONF_NUMERIC'!AO$5:AO$27)/MAX(1,COUNTIF('93_TARGET_MEMBERSHIP'!BS$5:BS$27,-1)))))</f>
        <v/>
      </c>
      <c r="AO74" s="34">
        <f>IF($B74="ABSOLUTE SEMANTIC",'19_FEATURE_CONFIDENCE'!$D$43,SQRT((SUMPRODUCT(--('93_TARGET_MEMBERSHIP'!BS$5:BS$27=1),'92_FEATURE_CONF_NUMERIC'!AP$5:AP$27)/MAX(1,COUNTIF('93_TARGET_MEMBERSHIP'!BS$5:BS$27,1)))*(SUMPRODUCT(--('93_TARGET_MEMBERSHIP'!BS$5:BS$27=-1),'92_FEATURE_CONF_NUMERIC'!AP$5:AP$27)/MAX(1,COUNTIF('93_TARGET_MEMBERSHIP'!BS$5:BS$27,-1)))))</f>
        <v/>
      </c>
      <c r="AP74" s="34">
        <f>IF($B74="ABSOLUTE SEMANTIC",'19_FEATURE_CONFIDENCE'!$D$44,SQRT((SUMPRODUCT(--('93_TARGET_MEMBERSHIP'!BS$5:BS$27=1),'92_FEATURE_CONF_NUMERIC'!AQ$5:AQ$27)/MAX(1,COUNTIF('93_TARGET_MEMBERSHIP'!BS$5:BS$27,1)))*(SUMPRODUCT(--('93_TARGET_MEMBERSHIP'!BS$5:BS$27=-1),'92_FEATURE_CONF_NUMERIC'!AQ$5:AQ$27)/MAX(1,COUNTIF('93_TARGET_MEMBERSHIP'!BS$5:BS$27,-1)))))</f>
        <v/>
      </c>
      <c r="AQ74" s="34">
        <f>IF($B74="ABSOLUTE SEMANTIC",'19_FEATURE_CONFIDENCE'!$D$45,SQRT((SUMPRODUCT(--('93_TARGET_MEMBERSHIP'!BS$5:BS$27=1),'92_FEATURE_CONF_NUMERIC'!AR$5:AR$27)/MAX(1,COUNTIF('93_TARGET_MEMBERSHIP'!BS$5:BS$27,1)))*(SUMPRODUCT(--('93_TARGET_MEMBERSHIP'!BS$5:BS$27=-1),'92_FEATURE_CONF_NUMERIC'!AR$5:AR$27)/MAX(1,COUNTIF('93_TARGET_MEMBERSHIP'!BS$5:BS$27,-1)))))</f>
        <v/>
      </c>
    </row>
    <row r="75" ht="36" customHeight="1">
      <c r="A75" s="34">
        <f>'06_ITEM_POLE_MODEL'!A75</f>
        <v/>
      </c>
      <c r="B75" s="34">
        <f>'06_ITEM_POLE_MODEL'!E75</f>
        <v/>
      </c>
      <c r="C75" s="34">
        <f>IF($B75="ABSOLUTE SEMANTIC",'19_FEATURE_CONFIDENCE'!$D$5,SQRT((SUMPRODUCT(--('93_TARGET_MEMBERSHIP'!BT$5:BT$27=1),'92_FEATURE_CONF_NUMERIC'!D$5:D$27)/MAX(1,COUNTIF('93_TARGET_MEMBERSHIP'!BT$5:BT$27,1)))*(SUMPRODUCT(--('93_TARGET_MEMBERSHIP'!BT$5:BT$27=-1),'92_FEATURE_CONF_NUMERIC'!D$5:D$27)/MAX(1,COUNTIF('93_TARGET_MEMBERSHIP'!BT$5:BT$27,-1)))))</f>
        <v/>
      </c>
      <c r="D75" s="34">
        <f>IF($B75="ABSOLUTE SEMANTIC",'19_FEATURE_CONFIDENCE'!$D$6,SQRT((SUMPRODUCT(--('93_TARGET_MEMBERSHIP'!BT$5:BT$27=1),'92_FEATURE_CONF_NUMERIC'!E$5:E$27)/MAX(1,COUNTIF('93_TARGET_MEMBERSHIP'!BT$5:BT$27,1)))*(SUMPRODUCT(--('93_TARGET_MEMBERSHIP'!BT$5:BT$27=-1),'92_FEATURE_CONF_NUMERIC'!E$5:E$27)/MAX(1,COUNTIF('93_TARGET_MEMBERSHIP'!BT$5:BT$27,-1)))))</f>
        <v/>
      </c>
      <c r="E75" s="34">
        <f>IF($B75="ABSOLUTE SEMANTIC",'19_FEATURE_CONFIDENCE'!$D$7,SQRT((SUMPRODUCT(--('93_TARGET_MEMBERSHIP'!BT$5:BT$27=1),'92_FEATURE_CONF_NUMERIC'!F$5:F$27)/MAX(1,COUNTIF('93_TARGET_MEMBERSHIP'!BT$5:BT$27,1)))*(SUMPRODUCT(--('93_TARGET_MEMBERSHIP'!BT$5:BT$27=-1),'92_FEATURE_CONF_NUMERIC'!F$5:F$27)/MAX(1,COUNTIF('93_TARGET_MEMBERSHIP'!BT$5:BT$27,-1)))))</f>
        <v/>
      </c>
      <c r="F75" s="34">
        <f>IF($B75="ABSOLUTE SEMANTIC",'19_FEATURE_CONFIDENCE'!$D$8,SQRT((SUMPRODUCT(--('93_TARGET_MEMBERSHIP'!BT$5:BT$27=1),'92_FEATURE_CONF_NUMERIC'!G$5:G$27)/MAX(1,COUNTIF('93_TARGET_MEMBERSHIP'!BT$5:BT$27,1)))*(SUMPRODUCT(--('93_TARGET_MEMBERSHIP'!BT$5:BT$27=-1),'92_FEATURE_CONF_NUMERIC'!G$5:G$27)/MAX(1,COUNTIF('93_TARGET_MEMBERSHIP'!BT$5:BT$27,-1)))))</f>
        <v/>
      </c>
      <c r="G75" s="34">
        <f>IF($B75="ABSOLUTE SEMANTIC",'19_FEATURE_CONFIDENCE'!$D$9,SQRT((SUMPRODUCT(--('93_TARGET_MEMBERSHIP'!BT$5:BT$27=1),'92_FEATURE_CONF_NUMERIC'!H$5:H$27)/MAX(1,COUNTIF('93_TARGET_MEMBERSHIP'!BT$5:BT$27,1)))*(SUMPRODUCT(--('93_TARGET_MEMBERSHIP'!BT$5:BT$27=-1),'92_FEATURE_CONF_NUMERIC'!H$5:H$27)/MAX(1,COUNTIF('93_TARGET_MEMBERSHIP'!BT$5:BT$27,-1)))))</f>
        <v/>
      </c>
      <c r="H75" s="34">
        <f>IF($B75="ABSOLUTE SEMANTIC",'19_FEATURE_CONFIDENCE'!$D$10,SQRT((SUMPRODUCT(--('93_TARGET_MEMBERSHIP'!BT$5:BT$27=1),'92_FEATURE_CONF_NUMERIC'!I$5:I$27)/MAX(1,COUNTIF('93_TARGET_MEMBERSHIP'!BT$5:BT$27,1)))*(SUMPRODUCT(--('93_TARGET_MEMBERSHIP'!BT$5:BT$27=-1),'92_FEATURE_CONF_NUMERIC'!I$5:I$27)/MAX(1,COUNTIF('93_TARGET_MEMBERSHIP'!BT$5:BT$27,-1)))))</f>
        <v/>
      </c>
      <c r="I75" s="34">
        <f>IF($B75="ABSOLUTE SEMANTIC",'19_FEATURE_CONFIDENCE'!$D$11,SQRT((SUMPRODUCT(--('93_TARGET_MEMBERSHIP'!BT$5:BT$27=1),'92_FEATURE_CONF_NUMERIC'!J$5:J$27)/MAX(1,COUNTIF('93_TARGET_MEMBERSHIP'!BT$5:BT$27,1)))*(SUMPRODUCT(--('93_TARGET_MEMBERSHIP'!BT$5:BT$27=-1),'92_FEATURE_CONF_NUMERIC'!J$5:J$27)/MAX(1,COUNTIF('93_TARGET_MEMBERSHIP'!BT$5:BT$27,-1)))))</f>
        <v/>
      </c>
      <c r="J75" s="34">
        <f>IF($B75="ABSOLUTE SEMANTIC",'19_FEATURE_CONFIDENCE'!$D$12,SQRT((SUMPRODUCT(--('93_TARGET_MEMBERSHIP'!BT$5:BT$27=1),'92_FEATURE_CONF_NUMERIC'!K$5:K$27)/MAX(1,COUNTIF('93_TARGET_MEMBERSHIP'!BT$5:BT$27,1)))*(SUMPRODUCT(--('93_TARGET_MEMBERSHIP'!BT$5:BT$27=-1),'92_FEATURE_CONF_NUMERIC'!K$5:K$27)/MAX(1,COUNTIF('93_TARGET_MEMBERSHIP'!BT$5:BT$27,-1)))))</f>
        <v/>
      </c>
      <c r="K75" s="34">
        <f>IF($B75="ABSOLUTE SEMANTIC",'19_FEATURE_CONFIDENCE'!$D$13,SQRT((SUMPRODUCT(--('93_TARGET_MEMBERSHIP'!BT$5:BT$27=1),'92_FEATURE_CONF_NUMERIC'!L$5:L$27)/MAX(1,COUNTIF('93_TARGET_MEMBERSHIP'!BT$5:BT$27,1)))*(SUMPRODUCT(--('93_TARGET_MEMBERSHIP'!BT$5:BT$27=-1),'92_FEATURE_CONF_NUMERIC'!L$5:L$27)/MAX(1,COUNTIF('93_TARGET_MEMBERSHIP'!BT$5:BT$27,-1)))))</f>
        <v/>
      </c>
      <c r="L75" s="34">
        <f>IF($B75="ABSOLUTE SEMANTIC",'19_FEATURE_CONFIDENCE'!$D$14,SQRT((SUMPRODUCT(--('93_TARGET_MEMBERSHIP'!BT$5:BT$27=1),'92_FEATURE_CONF_NUMERIC'!M$5:M$27)/MAX(1,COUNTIF('93_TARGET_MEMBERSHIP'!BT$5:BT$27,1)))*(SUMPRODUCT(--('93_TARGET_MEMBERSHIP'!BT$5:BT$27=-1),'92_FEATURE_CONF_NUMERIC'!M$5:M$27)/MAX(1,COUNTIF('93_TARGET_MEMBERSHIP'!BT$5:BT$27,-1)))))</f>
        <v/>
      </c>
      <c r="M75" s="34">
        <f>IF($B75="ABSOLUTE SEMANTIC",'19_FEATURE_CONFIDENCE'!$D$15,SQRT((SUMPRODUCT(--('93_TARGET_MEMBERSHIP'!BT$5:BT$27=1),'92_FEATURE_CONF_NUMERIC'!N$5:N$27)/MAX(1,COUNTIF('93_TARGET_MEMBERSHIP'!BT$5:BT$27,1)))*(SUMPRODUCT(--('93_TARGET_MEMBERSHIP'!BT$5:BT$27=-1),'92_FEATURE_CONF_NUMERIC'!N$5:N$27)/MAX(1,COUNTIF('93_TARGET_MEMBERSHIP'!BT$5:BT$27,-1)))))</f>
        <v/>
      </c>
      <c r="N75" s="34">
        <f>IF($B75="ABSOLUTE SEMANTIC",'19_FEATURE_CONFIDENCE'!$D$16,SQRT((SUMPRODUCT(--('93_TARGET_MEMBERSHIP'!BT$5:BT$27=1),'92_FEATURE_CONF_NUMERIC'!O$5:O$27)/MAX(1,COUNTIF('93_TARGET_MEMBERSHIP'!BT$5:BT$27,1)))*(SUMPRODUCT(--('93_TARGET_MEMBERSHIP'!BT$5:BT$27=-1),'92_FEATURE_CONF_NUMERIC'!O$5:O$27)/MAX(1,COUNTIF('93_TARGET_MEMBERSHIP'!BT$5:BT$27,-1)))))</f>
        <v/>
      </c>
      <c r="O75" s="34">
        <f>IF($B75="ABSOLUTE SEMANTIC",'19_FEATURE_CONFIDENCE'!$D$17,SQRT((SUMPRODUCT(--('93_TARGET_MEMBERSHIP'!BT$5:BT$27=1),'92_FEATURE_CONF_NUMERIC'!P$5:P$27)/MAX(1,COUNTIF('93_TARGET_MEMBERSHIP'!BT$5:BT$27,1)))*(SUMPRODUCT(--('93_TARGET_MEMBERSHIP'!BT$5:BT$27=-1),'92_FEATURE_CONF_NUMERIC'!P$5:P$27)/MAX(1,COUNTIF('93_TARGET_MEMBERSHIP'!BT$5:BT$27,-1)))))</f>
        <v/>
      </c>
      <c r="P75" s="34">
        <f>IF($B75="ABSOLUTE SEMANTIC",'19_FEATURE_CONFIDENCE'!$D$18,SQRT((SUMPRODUCT(--('93_TARGET_MEMBERSHIP'!BT$5:BT$27=1),'92_FEATURE_CONF_NUMERIC'!Q$5:Q$27)/MAX(1,COUNTIF('93_TARGET_MEMBERSHIP'!BT$5:BT$27,1)))*(SUMPRODUCT(--('93_TARGET_MEMBERSHIP'!BT$5:BT$27=-1),'92_FEATURE_CONF_NUMERIC'!Q$5:Q$27)/MAX(1,COUNTIF('93_TARGET_MEMBERSHIP'!BT$5:BT$27,-1)))))</f>
        <v/>
      </c>
      <c r="Q75" s="34">
        <f>IF($B75="ABSOLUTE SEMANTIC",'19_FEATURE_CONFIDENCE'!$D$19,SQRT((SUMPRODUCT(--('93_TARGET_MEMBERSHIP'!BT$5:BT$27=1),'92_FEATURE_CONF_NUMERIC'!R$5:R$27)/MAX(1,COUNTIF('93_TARGET_MEMBERSHIP'!BT$5:BT$27,1)))*(SUMPRODUCT(--('93_TARGET_MEMBERSHIP'!BT$5:BT$27=-1),'92_FEATURE_CONF_NUMERIC'!R$5:R$27)/MAX(1,COUNTIF('93_TARGET_MEMBERSHIP'!BT$5:BT$27,-1)))))</f>
        <v/>
      </c>
      <c r="R75" s="34">
        <f>IF($B75="ABSOLUTE SEMANTIC",'19_FEATURE_CONFIDENCE'!$D$20,SQRT((SUMPRODUCT(--('93_TARGET_MEMBERSHIP'!BT$5:BT$27=1),'92_FEATURE_CONF_NUMERIC'!S$5:S$27)/MAX(1,COUNTIF('93_TARGET_MEMBERSHIP'!BT$5:BT$27,1)))*(SUMPRODUCT(--('93_TARGET_MEMBERSHIP'!BT$5:BT$27=-1),'92_FEATURE_CONF_NUMERIC'!S$5:S$27)/MAX(1,COUNTIF('93_TARGET_MEMBERSHIP'!BT$5:BT$27,-1)))))</f>
        <v/>
      </c>
      <c r="S75" s="34">
        <f>IF($B75="ABSOLUTE SEMANTIC",'19_FEATURE_CONFIDENCE'!$D$21,SQRT((SUMPRODUCT(--('93_TARGET_MEMBERSHIP'!BT$5:BT$27=1),'92_FEATURE_CONF_NUMERIC'!T$5:T$27)/MAX(1,COUNTIF('93_TARGET_MEMBERSHIP'!BT$5:BT$27,1)))*(SUMPRODUCT(--('93_TARGET_MEMBERSHIP'!BT$5:BT$27=-1),'92_FEATURE_CONF_NUMERIC'!T$5:T$27)/MAX(1,COUNTIF('93_TARGET_MEMBERSHIP'!BT$5:BT$27,-1)))))</f>
        <v/>
      </c>
      <c r="T75" s="34">
        <f>IF($B75="ABSOLUTE SEMANTIC",'19_FEATURE_CONFIDENCE'!$D$22,SQRT((SUMPRODUCT(--('93_TARGET_MEMBERSHIP'!BT$5:BT$27=1),'92_FEATURE_CONF_NUMERIC'!U$5:U$27)/MAX(1,COUNTIF('93_TARGET_MEMBERSHIP'!BT$5:BT$27,1)))*(SUMPRODUCT(--('93_TARGET_MEMBERSHIP'!BT$5:BT$27=-1),'92_FEATURE_CONF_NUMERIC'!U$5:U$27)/MAX(1,COUNTIF('93_TARGET_MEMBERSHIP'!BT$5:BT$27,-1)))))</f>
        <v/>
      </c>
      <c r="U75" s="34">
        <f>IF($B75="ABSOLUTE SEMANTIC",'19_FEATURE_CONFIDENCE'!$D$23,SQRT((SUMPRODUCT(--('93_TARGET_MEMBERSHIP'!BT$5:BT$27=1),'92_FEATURE_CONF_NUMERIC'!V$5:V$27)/MAX(1,COUNTIF('93_TARGET_MEMBERSHIP'!BT$5:BT$27,1)))*(SUMPRODUCT(--('93_TARGET_MEMBERSHIP'!BT$5:BT$27=-1),'92_FEATURE_CONF_NUMERIC'!V$5:V$27)/MAX(1,COUNTIF('93_TARGET_MEMBERSHIP'!BT$5:BT$27,-1)))))</f>
        <v/>
      </c>
      <c r="V75" s="34">
        <f>IF($B75="ABSOLUTE SEMANTIC",'19_FEATURE_CONFIDENCE'!$D$24,SQRT((SUMPRODUCT(--('93_TARGET_MEMBERSHIP'!BT$5:BT$27=1),'92_FEATURE_CONF_NUMERIC'!W$5:W$27)/MAX(1,COUNTIF('93_TARGET_MEMBERSHIP'!BT$5:BT$27,1)))*(SUMPRODUCT(--('93_TARGET_MEMBERSHIP'!BT$5:BT$27=-1),'92_FEATURE_CONF_NUMERIC'!W$5:W$27)/MAX(1,COUNTIF('93_TARGET_MEMBERSHIP'!BT$5:BT$27,-1)))))</f>
        <v/>
      </c>
      <c r="W75" s="34">
        <f>IF($B75="ABSOLUTE SEMANTIC",'19_FEATURE_CONFIDENCE'!$D$25,SQRT((SUMPRODUCT(--('93_TARGET_MEMBERSHIP'!BT$5:BT$27=1),'92_FEATURE_CONF_NUMERIC'!X$5:X$27)/MAX(1,COUNTIF('93_TARGET_MEMBERSHIP'!BT$5:BT$27,1)))*(SUMPRODUCT(--('93_TARGET_MEMBERSHIP'!BT$5:BT$27=-1),'92_FEATURE_CONF_NUMERIC'!X$5:X$27)/MAX(1,COUNTIF('93_TARGET_MEMBERSHIP'!BT$5:BT$27,-1)))))</f>
        <v/>
      </c>
      <c r="X75" s="34">
        <f>IF($B75="ABSOLUTE SEMANTIC",'19_FEATURE_CONFIDENCE'!$D$26,SQRT((SUMPRODUCT(--('93_TARGET_MEMBERSHIP'!BT$5:BT$27=1),'92_FEATURE_CONF_NUMERIC'!Y$5:Y$27)/MAX(1,COUNTIF('93_TARGET_MEMBERSHIP'!BT$5:BT$27,1)))*(SUMPRODUCT(--('93_TARGET_MEMBERSHIP'!BT$5:BT$27=-1),'92_FEATURE_CONF_NUMERIC'!Y$5:Y$27)/MAX(1,COUNTIF('93_TARGET_MEMBERSHIP'!BT$5:BT$27,-1)))))</f>
        <v/>
      </c>
      <c r="Y75" s="34">
        <f>IF($B75="ABSOLUTE SEMANTIC",'19_FEATURE_CONFIDENCE'!$D$27,SQRT((SUMPRODUCT(--('93_TARGET_MEMBERSHIP'!BT$5:BT$27=1),'92_FEATURE_CONF_NUMERIC'!Z$5:Z$27)/MAX(1,COUNTIF('93_TARGET_MEMBERSHIP'!BT$5:BT$27,1)))*(SUMPRODUCT(--('93_TARGET_MEMBERSHIP'!BT$5:BT$27=-1),'92_FEATURE_CONF_NUMERIC'!Z$5:Z$27)/MAX(1,COUNTIF('93_TARGET_MEMBERSHIP'!BT$5:BT$27,-1)))))</f>
        <v/>
      </c>
      <c r="Z75" s="34">
        <f>IF($B75="ABSOLUTE SEMANTIC",'19_FEATURE_CONFIDENCE'!$D$28,SQRT((SUMPRODUCT(--('93_TARGET_MEMBERSHIP'!BT$5:BT$27=1),'92_FEATURE_CONF_NUMERIC'!AA$5:AA$27)/MAX(1,COUNTIF('93_TARGET_MEMBERSHIP'!BT$5:BT$27,1)))*(SUMPRODUCT(--('93_TARGET_MEMBERSHIP'!BT$5:BT$27=-1),'92_FEATURE_CONF_NUMERIC'!AA$5:AA$27)/MAX(1,COUNTIF('93_TARGET_MEMBERSHIP'!BT$5:BT$27,-1)))))</f>
        <v/>
      </c>
      <c r="AA75" s="34">
        <f>IF($B75="ABSOLUTE SEMANTIC",'19_FEATURE_CONFIDENCE'!$D$29,SQRT((SUMPRODUCT(--('93_TARGET_MEMBERSHIP'!BT$5:BT$27=1),'92_FEATURE_CONF_NUMERIC'!AB$5:AB$27)/MAX(1,COUNTIF('93_TARGET_MEMBERSHIP'!BT$5:BT$27,1)))*(SUMPRODUCT(--('93_TARGET_MEMBERSHIP'!BT$5:BT$27=-1),'92_FEATURE_CONF_NUMERIC'!AB$5:AB$27)/MAX(1,COUNTIF('93_TARGET_MEMBERSHIP'!BT$5:BT$27,-1)))))</f>
        <v/>
      </c>
      <c r="AB75" s="34">
        <f>IF($B75="ABSOLUTE SEMANTIC",'19_FEATURE_CONFIDENCE'!$D$30,SQRT((SUMPRODUCT(--('93_TARGET_MEMBERSHIP'!BT$5:BT$27=1),'92_FEATURE_CONF_NUMERIC'!AC$5:AC$27)/MAX(1,COUNTIF('93_TARGET_MEMBERSHIP'!BT$5:BT$27,1)))*(SUMPRODUCT(--('93_TARGET_MEMBERSHIP'!BT$5:BT$27=-1),'92_FEATURE_CONF_NUMERIC'!AC$5:AC$27)/MAX(1,COUNTIF('93_TARGET_MEMBERSHIP'!BT$5:BT$27,-1)))))</f>
        <v/>
      </c>
      <c r="AC75" s="34">
        <f>IF($B75="ABSOLUTE SEMANTIC",'19_FEATURE_CONFIDENCE'!$D$31,SQRT((SUMPRODUCT(--('93_TARGET_MEMBERSHIP'!BT$5:BT$27=1),'92_FEATURE_CONF_NUMERIC'!AD$5:AD$27)/MAX(1,COUNTIF('93_TARGET_MEMBERSHIP'!BT$5:BT$27,1)))*(SUMPRODUCT(--('93_TARGET_MEMBERSHIP'!BT$5:BT$27=-1),'92_FEATURE_CONF_NUMERIC'!AD$5:AD$27)/MAX(1,COUNTIF('93_TARGET_MEMBERSHIP'!BT$5:BT$27,-1)))))</f>
        <v/>
      </c>
      <c r="AD75" s="34">
        <f>IF($B75="ABSOLUTE SEMANTIC",'19_FEATURE_CONFIDENCE'!$D$32,SQRT((SUMPRODUCT(--('93_TARGET_MEMBERSHIP'!BT$5:BT$27=1),'92_FEATURE_CONF_NUMERIC'!AE$5:AE$27)/MAX(1,COUNTIF('93_TARGET_MEMBERSHIP'!BT$5:BT$27,1)))*(SUMPRODUCT(--('93_TARGET_MEMBERSHIP'!BT$5:BT$27=-1),'92_FEATURE_CONF_NUMERIC'!AE$5:AE$27)/MAX(1,COUNTIF('93_TARGET_MEMBERSHIP'!BT$5:BT$27,-1)))))</f>
        <v/>
      </c>
      <c r="AE75" s="34">
        <f>IF($B75="ABSOLUTE SEMANTIC",'19_FEATURE_CONFIDENCE'!$D$33,SQRT((SUMPRODUCT(--('93_TARGET_MEMBERSHIP'!BT$5:BT$27=1),'92_FEATURE_CONF_NUMERIC'!AF$5:AF$27)/MAX(1,COUNTIF('93_TARGET_MEMBERSHIP'!BT$5:BT$27,1)))*(SUMPRODUCT(--('93_TARGET_MEMBERSHIP'!BT$5:BT$27=-1),'92_FEATURE_CONF_NUMERIC'!AF$5:AF$27)/MAX(1,COUNTIF('93_TARGET_MEMBERSHIP'!BT$5:BT$27,-1)))))</f>
        <v/>
      </c>
      <c r="AF75" s="34">
        <f>IF($B75="ABSOLUTE SEMANTIC",'19_FEATURE_CONFIDENCE'!$D$34,SQRT((SUMPRODUCT(--('93_TARGET_MEMBERSHIP'!BT$5:BT$27=1),'92_FEATURE_CONF_NUMERIC'!AG$5:AG$27)/MAX(1,COUNTIF('93_TARGET_MEMBERSHIP'!BT$5:BT$27,1)))*(SUMPRODUCT(--('93_TARGET_MEMBERSHIP'!BT$5:BT$27=-1),'92_FEATURE_CONF_NUMERIC'!AG$5:AG$27)/MAX(1,COUNTIF('93_TARGET_MEMBERSHIP'!BT$5:BT$27,-1)))))</f>
        <v/>
      </c>
      <c r="AG75" s="34">
        <f>IF($B75="ABSOLUTE SEMANTIC",'19_FEATURE_CONFIDENCE'!$D$35,SQRT((SUMPRODUCT(--('93_TARGET_MEMBERSHIP'!BT$5:BT$27=1),'92_FEATURE_CONF_NUMERIC'!AH$5:AH$27)/MAX(1,COUNTIF('93_TARGET_MEMBERSHIP'!BT$5:BT$27,1)))*(SUMPRODUCT(--('93_TARGET_MEMBERSHIP'!BT$5:BT$27=-1),'92_FEATURE_CONF_NUMERIC'!AH$5:AH$27)/MAX(1,COUNTIF('93_TARGET_MEMBERSHIP'!BT$5:BT$27,-1)))))</f>
        <v/>
      </c>
      <c r="AH75" s="34">
        <f>IF($B75="ABSOLUTE SEMANTIC",'19_FEATURE_CONFIDENCE'!$D$36,SQRT((SUMPRODUCT(--('93_TARGET_MEMBERSHIP'!BT$5:BT$27=1),'92_FEATURE_CONF_NUMERIC'!AI$5:AI$27)/MAX(1,COUNTIF('93_TARGET_MEMBERSHIP'!BT$5:BT$27,1)))*(SUMPRODUCT(--('93_TARGET_MEMBERSHIP'!BT$5:BT$27=-1),'92_FEATURE_CONF_NUMERIC'!AI$5:AI$27)/MAX(1,COUNTIF('93_TARGET_MEMBERSHIP'!BT$5:BT$27,-1)))))</f>
        <v/>
      </c>
      <c r="AI75" s="34">
        <f>IF($B75="ABSOLUTE SEMANTIC",'19_FEATURE_CONFIDENCE'!$D$37,SQRT((SUMPRODUCT(--('93_TARGET_MEMBERSHIP'!BT$5:BT$27=1),'92_FEATURE_CONF_NUMERIC'!AJ$5:AJ$27)/MAX(1,COUNTIF('93_TARGET_MEMBERSHIP'!BT$5:BT$27,1)))*(SUMPRODUCT(--('93_TARGET_MEMBERSHIP'!BT$5:BT$27=-1),'92_FEATURE_CONF_NUMERIC'!AJ$5:AJ$27)/MAX(1,COUNTIF('93_TARGET_MEMBERSHIP'!BT$5:BT$27,-1)))))</f>
        <v/>
      </c>
      <c r="AJ75" s="34">
        <f>IF($B75="ABSOLUTE SEMANTIC",'19_FEATURE_CONFIDENCE'!$D$38,SQRT((SUMPRODUCT(--('93_TARGET_MEMBERSHIP'!BT$5:BT$27=1),'92_FEATURE_CONF_NUMERIC'!AK$5:AK$27)/MAX(1,COUNTIF('93_TARGET_MEMBERSHIP'!BT$5:BT$27,1)))*(SUMPRODUCT(--('93_TARGET_MEMBERSHIP'!BT$5:BT$27=-1),'92_FEATURE_CONF_NUMERIC'!AK$5:AK$27)/MAX(1,COUNTIF('93_TARGET_MEMBERSHIP'!BT$5:BT$27,-1)))))</f>
        <v/>
      </c>
      <c r="AK75" s="34">
        <f>IF($B75="ABSOLUTE SEMANTIC",'19_FEATURE_CONFIDENCE'!$D$39,SQRT((SUMPRODUCT(--('93_TARGET_MEMBERSHIP'!BT$5:BT$27=1),'92_FEATURE_CONF_NUMERIC'!AL$5:AL$27)/MAX(1,COUNTIF('93_TARGET_MEMBERSHIP'!BT$5:BT$27,1)))*(SUMPRODUCT(--('93_TARGET_MEMBERSHIP'!BT$5:BT$27=-1),'92_FEATURE_CONF_NUMERIC'!AL$5:AL$27)/MAX(1,COUNTIF('93_TARGET_MEMBERSHIP'!BT$5:BT$27,-1)))))</f>
        <v/>
      </c>
      <c r="AL75" s="34">
        <f>IF($B75="ABSOLUTE SEMANTIC",'19_FEATURE_CONFIDENCE'!$D$40,SQRT((SUMPRODUCT(--('93_TARGET_MEMBERSHIP'!BT$5:BT$27=1),'92_FEATURE_CONF_NUMERIC'!AM$5:AM$27)/MAX(1,COUNTIF('93_TARGET_MEMBERSHIP'!BT$5:BT$27,1)))*(SUMPRODUCT(--('93_TARGET_MEMBERSHIP'!BT$5:BT$27=-1),'92_FEATURE_CONF_NUMERIC'!AM$5:AM$27)/MAX(1,COUNTIF('93_TARGET_MEMBERSHIP'!BT$5:BT$27,-1)))))</f>
        <v/>
      </c>
      <c r="AM75" s="34">
        <f>IF($B75="ABSOLUTE SEMANTIC",'19_FEATURE_CONFIDENCE'!$D$41,SQRT((SUMPRODUCT(--('93_TARGET_MEMBERSHIP'!BT$5:BT$27=1),'92_FEATURE_CONF_NUMERIC'!AN$5:AN$27)/MAX(1,COUNTIF('93_TARGET_MEMBERSHIP'!BT$5:BT$27,1)))*(SUMPRODUCT(--('93_TARGET_MEMBERSHIP'!BT$5:BT$27=-1),'92_FEATURE_CONF_NUMERIC'!AN$5:AN$27)/MAX(1,COUNTIF('93_TARGET_MEMBERSHIP'!BT$5:BT$27,-1)))))</f>
        <v/>
      </c>
      <c r="AN75" s="34">
        <f>IF($B75="ABSOLUTE SEMANTIC",'19_FEATURE_CONFIDENCE'!$D$42,SQRT((SUMPRODUCT(--('93_TARGET_MEMBERSHIP'!BT$5:BT$27=1),'92_FEATURE_CONF_NUMERIC'!AO$5:AO$27)/MAX(1,COUNTIF('93_TARGET_MEMBERSHIP'!BT$5:BT$27,1)))*(SUMPRODUCT(--('93_TARGET_MEMBERSHIP'!BT$5:BT$27=-1),'92_FEATURE_CONF_NUMERIC'!AO$5:AO$27)/MAX(1,COUNTIF('93_TARGET_MEMBERSHIP'!BT$5:BT$27,-1)))))</f>
        <v/>
      </c>
      <c r="AO75" s="34">
        <f>IF($B75="ABSOLUTE SEMANTIC",'19_FEATURE_CONFIDENCE'!$D$43,SQRT((SUMPRODUCT(--('93_TARGET_MEMBERSHIP'!BT$5:BT$27=1),'92_FEATURE_CONF_NUMERIC'!AP$5:AP$27)/MAX(1,COUNTIF('93_TARGET_MEMBERSHIP'!BT$5:BT$27,1)))*(SUMPRODUCT(--('93_TARGET_MEMBERSHIP'!BT$5:BT$27=-1),'92_FEATURE_CONF_NUMERIC'!AP$5:AP$27)/MAX(1,COUNTIF('93_TARGET_MEMBERSHIP'!BT$5:BT$27,-1)))))</f>
        <v/>
      </c>
      <c r="AP75" s="34">
        <f>IF($B75="ABSOLUTE SEMANTIC",'19_FEATURE_CONFIDENCE'!$D$44,SQRT((SUMPRODUCT(--('93_TARGET_MEMBERSHIP'!BT$5:BT$27=1),'92_FEATURE_CONF_NUMERIC'!AQ$5:AQ$27)/MAX(1,COUNTIF('93_TARGET_MEMBERSHIP'!BT$5:BT$27,1)))*(SUMPRODUCT(--('93_TARGET_MEMBERSHIP'!BT$5:BT$27=-1),'92_FEATURE_CONF_NUMERIC'!AQ$5:AQ$27)/MAX(1,COUNTIF('93_TARGET_MEMBERSHIP'!BT$5:BT$27,-1)))))</f>
        <v/>
      </c>
      <c r="AQ75" s="34">
        <f>IF($B75="ABSOLUTE SEMANTIC",'19_FEATURE_CONFIDENCE'!$D$45,SQRT((SUMPRODUCT(--('93_TARGET_MEMBERSHIP'!BT$5:BT$27=1),'92_FEATURE_CONF_NUMERIC'!AR$5:AR$27)/MAX(1,COUNTIF('93_TARGET_MEMBERSHIP'!BT$5:BT$27,1)))*(SUMPRODUCT(--('93_TARGET_MEMBERSHIP'!BT$5:BT$27=-1),'92_FEATURE_CONF_NUMERIC'!AR$5:AR$27)/MAX(1,COUNTIF('93_TARGET_MEMBERSHIP'!BT$5:BT$27,-1)))))</f>
        <v/>
      </c>
    </row>
    <row r="76" ht="36" customHeight="1">
      <c r="A76" s="34">
        <f>'06_ITEM_POLE_MODEL'!A76</f>
        <v/>
      </c>
      <c r="B76" s="34">
        <f>'06_ITEM_POLE_MODEL'!E76</f>
        <v/>
      </c>
      <c r="C76" s="34">
        <f>IF($B76="ABSOLUTE SEMANTIC",'19_FEATURE_CONFIDENCE'!$D$5,SQRT((SUMPRODUCT(--('93_TARGET_MEMBERSHIP'!BU$5:BU$27=1),'92_FEATURE_CONF_NUMERIC'!D$5:D$27)/MAX(1,COUNTIF('93_TARGET_MEMBERSHIP'!BU$5:BU$27,1)))*(SUMPRODUCT(--('93_TARGET_MEMBERSHIP'!BU$5:BU$27=-1),'92_FEATURE_CONF_NUMERIC'!D$5:D$27)/MAX(1,COUNTIF('93_TARGET_MEMBERSHIP'!BU$5:BU$27,-1)))))</f>
        <v/>
      </c>
      <c r="D76" s="34">
        <f>IF($B76="ABSOLUTE SEMANTIC",'19_FEATURE_CONFIDENCE'!$D$6,SQRT((SUMPRODUCT(--('93_TARGET_MEMBERSHIP'!BU$5:BU$27=1),'92_FEATURE_CONF_NUMERIC'!E$5:E$27)/MAX(1,COUNTIF('93_TARGET_MEMBERSHIP'!BU$5:BU$27,1)))*(SUMPRODUCT(--('93_TARGET_MEMBERSHIP'!BU$5:BU$27=-1),'92_FEATURE_CONF_NUMERIC'!E$5:E$27)/MAX(1,COUNTIF('93_TARGET_MEMBERSHIP'!BU$5:BU$27,-1)))))</f>
        <v/>
      </c>
      <c r="E76" s="34">
        <f>IF($B76="ABSOLUTE SEMANTIC",'19_FEATURE_CONFIDENCE'!$D$7,SQRT((SUMPRODUCT(--('93_TARGET_MEMBERSHIP'!BU$5:BU$27=1),'92_FEATURE_CONF_NUMERIC'!F$5:F$27)/MAX(1,COUNTIF('93_TARGET_MEMBERSHIP'!BU$5:BU$27,1)))*(SUMPRODUCT(--('93_TARGET_MEMBERSHIP'!BU$5:BU$27=-1),'92_FEATURE_CONF_NUMERIC'!F$5:F$27)/MAX(1,COUNTIF('93_TARGET_MEMBERSHIP'!BU$5:BU$27,-1)))))</f>
        <v/>
      </c>
      <c r="F76" s="34">
        <f>IF($B76="ABSOLUTE SEMANTIC",'19_FEATURE_CONFIDENCE'!$D$8,SQRT((SUMPRODUCT(--('93_TARGET_MEMBERSHIP'!BU$5:BU$27=1),'92_FEATURE_CONF_NUMERIC'!G$5:G$27)/MAX(1,COUNTIF('93_TARGET_MEMBERSHIP'!BU$5:BU$27,1)))*(SUMPRODUCT(--('93_TARGET_MEMBERSHIP'!BU$5:BU$27=-1),'92_FEATURE_CONF_NUMERIC'!G$5:G$27)/MAX(1,COUNTIF('93_TARGET_MEMBERSHIP'!BU$5:BU$27,-1)))))</f>
        <v/>
      </c>
      <c r="G76" s="34">
        <f>IF($B76="ABSOLUTE SEMANTIC",'19_FEATURE_CONFIDENCE'!$D$9,SQRT((SUMPRODUCT(--('93_TARGET_MEMBERSHIP'!BU$5:BU$27=1),'92_FEATURE_CONF_NUMERIC'!H$5:H$27)/MAX(1,COUNTIF('93_TARGET_MEMBERSHIP'!BU$5:BU$27,1)))*(SUMPRODUCT(--('93_TARGET_MEMBERSHIP'!BU$5:BU$27=-1),'92_FEATURE_CONF_NUMERIC'!H$5:H$27)/MAX(1,COUNTIF('93_TARGET_MEMBERSHIP'!BU$5:BU$27,-1)))))</f>
        <v/>
      </c>
      <c r="H76" s="34">
        <f>IF($B76="ABSOLUTE SEMANTIC",'19_FEATURE_CONFIDENCE'!$D$10,SQRT((SUMPRODUCT(--('93_TARGET_MEMBERSHIP'!BU$5:BU$27=1),'92_FEATURE_CONF_NUMERIC'!I$5:I$27)/MAX(1,COUNTIF('93_TARGET_MEMBERSHIP'!BU$5:BU$27,1)))*(SUMPRODUCT(--('93_TARGET_MEMBERSHIP'!BU$5:BU$27=-1),'92_FEATURE_CONF_NUMERIC'!I$5:I$27)/MAX(1,COUNTIF('93_TARGET_MEMBERSHIP'!BU$5:BU$27,-1)))))</f>
        <v/>
      </c>
      <c r="I76" s="34">
        <f>IF($B76="ABSOLUTE SEMANTIC",'19_FEATURE_CONFIDENCE'!$D$11,SQRT((SUMPRODUCT(--('93_TARGET_MEMBERSHIP'!BU$5:BU$27=1),'92_FEATURE_CONF_NUMERIC'!J$5:J$27)/MAX(1,COUNTIF('93_TARGET_MEMBERSHIP'!BU$5:BU$27,1)))*(SUMPRODUCT(--('93_TARGET_MEMBERSHIP'!BU$5:BU$27=-1),'92_FEATURE_CONF_NUMERIC'!J$5:J$27)/MAX(1,COUNTIF('93_TARGET_MEMBERSHIP'!BU$5:BU$27,-1)))))</f>
        <v/>
      </c>
      <c r="J76" s="34">
        <f>IF($B76="ABSOLUTE SEMANTIC",'19_FEATURE_CONFIDENCE'!$D$12,SQRT((SUMPRODUCT(--('93_TARGET_MEMBERSHIP'!BU$5:BU$27=1),'92_FEATURE_CONF_NUMERIC'!K$5:K$27)/MAX(1,COUNTIF('93_TARGET_MEMBERSHIP'!BU$5:BU$27,1)))*(SUMPRODUCT(--('93_TARGET_MEMBERSHIP'!BU$5:BU$27=-1),'92_FEATURE_CONF_NUMERIC'!K$5:K$27)/MAX(1,COUNTIF('93_TARGET_MEMBERSHIP'!BU$5:BU$27,-1)))))</f>
        <v/>
      </c>
      <c r="K76" s="34">
        <f>IF($B76="ABSOLUTE SEMANTIC",'19_FEATURE_CONFIDENCE'!$D$13,SQRT((SUMPRODUCT(--('93_TARGET_MEMBERSHIP'!BU$5:BU$27=1),'92_FEATURE_CONF_NUMERIC'!L$5:L$27)/MAX(1,COUNTIF('93_TARGET_MEMBERSHIP'!BU$5:BU$27,1)))*(SUMPRODUCT(--('93_TARGET_MEMBERSHIP'!BU$5:BU$27=-1),'92_FEATURE_CONF_NUMERIC'!L$5:L$27)/MAX(1,COUNTIF('93_TARGET_MEMBERSHIP'!BU$5:BU$27,-1)))))</f>
        <v/>
      </c>
      <c r="L76" s="34">
        <f>IF($B76="ABSOLUTE SEMANTIC",'19_FEATURE_CONFIDENCE'!$D$14,SQRT((SUMPRODUCT(--('93_TARGET_MEMBERSHIP'!BU$5:BU$27=1),'92_FEATURE_CONF_NUMERIC'!M$5:M$27)/MAX(1,COUNTIF('93_TARGET_MEMBERSHIP'!BU$5:BU$27,1)))*(SUMPRODUCT(--('93_TARGET_MEMBERSHIP'!BU$5:BU$27=-1),'92_FEATURE_CONF_NUMERIC'!M$5:M$27)/MAX(1,COUNTIF('93_TARGET_MEMBERSHIP'!BU$5:BU$27,-1)))))</f>
        <v/>
      </c>
      <c r="M76" s="34">
        <f>IF($B76="ABSOLUTE SEMANTIC",'19_FEATURE_CONFIDENCE'!$D$15,SQRT((SUMPRODUCT(--('93_TARGET_MEMBERSHIP'!BU$5:BU$27=1),'92_FEATURE_CONF_NUMERIC'!N$5:N$27)/MAX(1,COUNTIF('93_TARGET_MEMBERSHIP'!BU$5:BU$27,1)))*(SUMPRODUCT(--('93_TARGET_MEMBERSHIP'!BU$5:BU$27=-1),'92_FEATURE_CONF_NUMERIC'!N$5:N$27)/MAX(1,COUNTIF('93_TARGET_MEMBERSHIP'!BU$5:BU$27,-1)))))</f>
        <v/>
      </c>
      <c r="N76" s="34">
        <f>IF($B76="ABSOLUTE SEMANTIC",'19_FEATURE_CONFIDENCE'!$D$16,SQRT((SUMPRODUCT(--('93_TARGET_MEMBERSHIP'!BU$5:BU$27=1),'92_FEATURE_CONF_NUMERIC'!O$5:O$27)/MAX(1,COUNTIF('93_TARGET_MEMBERSHIP'!BU$5:BU$27,1)))*(SUMPRODUCT(--('93_TARGET_MEMBERSHIP'!BU$5:BU$27=-1),'92_FEATURE_CONF_NUMERIC'!O$5:O$27)/MAX(1,COUNTIF('93_TARGET_MEMBERSHIP'!BU$5:BU$27,-1)))))</f>
        <v/>
      </c>
      <c r="O76" s="34">
        <f>IF($B76="ABSOLUTE SEMANTIC",'19_FEATURE_CONFIDENCE'!$D$17,SQRT((SUMPRODUCT(--('93_TARGET_MEMBERSHIP'!BU$5:BU$27=1),'92_FEATURE_CONF_NUMERIC'!P$5:P$27)/MAX(1,COUNTIF('93_TARGET_MEMBERSHIP'!BU$5:BU$27,1)))*(SUMPRODUCT(--('93_TARGET_MEMBERSHIP'!BU$5:BU$27=-1),'92_FEATURE_CONF_NUMERIC'!P$5:P$27)/MAX(1,COUNTIF('93_TARGET_MEMBERSHIP'!BU$5:BU$27,-1)))))</f>
        <v/>
      </c>
      <c r="P76" s="34">
        <f>IF($B76="ABSOLUTE SEMANTIC",'19_FEATURE_CONFIDENCE'!$D$18,SQRT((SUMPRODUCT(--('93_TARGET_MEMBERSHIP'!BU$5:BU$27=1),'92_FEATURE_CONF_NUMERIC'!Q$5:Q$27)/MAX(1,COUNTIF('93_TARGET_MEMBERSHIP'!BU$5:BU$27,1)))*(SUMPRODUCT(--('93_TARGET_MEMBERSHIP'!BU$5:BU$27=-1),'92_FEATURE_CONF_NUMERIC'!Q$5:Q$27)/MAX(1,COUNTIF('93_TARGET_MEMBERSHIP'!BU$5:BU$27,-1)))))</f>
        <v/>
      </c>
      <c r="Q76" s="34">
        <f>IF($B76="ABSOLUTE SEMANTIC",'19_FEATURE_CONFIDENCE'!$D$19,SQRT((SUMPRODUCT(--('93_TARGET_MEMBERSHIP'!BU$5:BU$27=1),'92_FEATURE_CONF_NUMERIC'!R$5:R$27)/MAX(1,COUNTIF('93_TARGET_MEMBERSHIP'!BU$5:BU$27,1)))*(SUMPRODUCT(--('93_TARGET_MEMBERSHIP'!BU$5:BU$27=-1),'92_FEATURE_CONF_NUMERIC'!R$5:R$27)/MAX(1,COUNTIF('93_TARGET_MEMBERSHIP'!BU$5:BU$27,-1)))))</f>
        <v/>
      </c>
      <c r="R76" s="34">
        <f>IF($B76="ABSOLUTE SEMANTIC",'19_FEATURE_CONFIDENCE'!$D$20,SQRT((SUMPRODUCT(--('93_TARGET_MEMBERSHIP'!BU$5:BU$27=1),'92_FEATURE_CONF_NUMERIC'!S$5:S$27)/MAX(1,COUNTIF('93_TARGET_MEMBERSHIP'!BU$5:BU$27,1)))*(SUMPRODUCT(--('93_TARGET_MEMBERSHIP'!BU$5:BU$27=-1),'92_FEATURE_CONF_NUMERIC'!S$5:S$27)/MAX(1,COUNTIF('93_TARGET_MEMBERSHIP'!BU$5:BU$27,-1)))))</f>
        <v/>
      </c>
      <c r="S76" s="34">
        <f>IF($B76="ABSOLUTE SEMANTIC",'19_FEATURE_CONFIDENCE'!$D$21,SQRT((SUMPRODUCT(--('93_TARGET_MEMBERSHIP'!BU$5:BU$27=1),'92_FEATURE_CONF_NUMERIC'!T$5:T$27)/MAX(1,COUNTIF('93_TARGET_MEMBERSHIP'!BU$5:BU$27,1)))*(SUMPRODUCT(--('93_TARGET_MEMBERSHIP'!BU$5:BU$27=-1),'92_FEATURE_CONF_NUMERIC'!T$5:T$27)/MAX(1,COUNTIF('93_TARGET_MEMBERSHIP'!BU$5:BU$27,-1)))))</f>
        <v/>
      </c>
      <c r="T76" s="34">
        <f>IF($B76="ABSOLUTE SEMANTIC",'19_FEATURE_CONFIDENCE'!$D$22,SQRT((SUMPRODUCT(--('93_TARGET_MEMBERSHIP'!BU$5:BU$27=1),'92_FEATURE_CONF_NUMERIC'!U$5:U$27)/MAX(1,COUNTIF('93_TARGET_MEMBERSHIP'!BU$5:BU$27,1)))*(SUMPRODUCT(--('93_TARGET_MEMBERSHIP'!BU$5:BU$27=-1),'92_FEATURE_CONF_NUMERIC'!U$5:U$27)/MAX(1,COUNTIF('93_TARGET_MEMBERSHIP'!BU$5:BU$27,-1)))))</f>
        <v/>
      </c>
      <c r="U76" s="34">
        <f>IF($B76="ABSOLUTE SEMANTIC",'19_FEATURE_CONFIDENCE'!$D$23,SQRT((SUMPRODUCT(--('93_TARGET_MEMBERSHIP'!BU$5:BU$27=1),'92_FEATURE_CONF_NUMERIC'!V$5:V$27)/MAX(1,COUNTIF('93_TARGET_MEMBERSHIP'!BU$5:BU$27,1)))*(SUMPRODUCT(--('93_TARGET_MEMBERSHIP'!BU$5:BU$27=-1),'92_FEATURE_CONF_NUMERIC'!V$5:V$27)/MAX(1,COUNTIF('93_TARGET_MEMBERSHIP'!BU$5:BU$27,-1)))))</f>
        <v/>
      </c>
      <c r="V76" s="34">
        <f>IF($B76="ABSOLUTE SEMANTIC",'19_FEATURE_CONFIDENCE'!$D$24,SQRT((SUMPRODUCT(--('93_TARGET_MEMBERSHIP'!BU$5:BU$27=1),'92_FEATURE_CONF_NUMERIC'!W$5:W$27)/MAX(1,COUNTIF('93_TARGET_MEMBERSHIP'!BU$5:BU$27,1)))*(SUMPRODUCT(--('93_TARGET_MEMBERSHIP'!BU$5:BU$27=-1),'92_FEATURE_CONF_NUMERIC'!W$5:W$27)/MAX(1,COUNTIF('93_TARGET_MEMBERSHIP'!BU$5:BU$27,-1)))))</f>
        <v/>
      </c>
      <c r="W76" s="34">
        <f>IF($B76="ABSOLUTE SEMANTIC",'19_FEATURE_CONFIDENCE'!$D$25,SQRT((SUMPRODUCT(--('93_TARGET_MEMBERSHIP'!BU$5:BU$27=1),'92_FEATURE_CONF_NUMERIC'!X$5:X$27)/MAX(1,COUNTIF('93_TARGET_MEMBERSHIP'!BU$5:BU$27,1)))*(SUMPRODUCT(--('93_TARGET_MEMBERSHIP'!BU$5:BU$27=-1),'92_FEATURE_CONF_NUMERIC'!X$5:X$27)/MAX(1,COUNTIF('93_TARGET_MEMBERSHIP'!BU$5:BU$27,-1)))))</f>
        <v/>
      </c>
      <c r="X76" s="34">
        <f>IF($B76="ABSOLUTE SEMANTIC",'19_FEATURE_CONFIDENCE'!$D$26,SQRT((SUMPRODUCT(--('93_TARGET_MEMBERSHIP'!BU$5:BU$27=1),'92_FEATURE_CONF_NUMERIC'!Y$5:Y$27)/MAX(1,COUNTIF('93_TARGET_MEMBERSHIP'!BU$5:BU$27,1)))*(SUMPRODUCT(--('93_TARGET_MEMBERSHIP'!BU$5:BU$27=-1),'92_FEATURE_CONF_NUMERIC'!Y$5:Y$27)/MAX(1,COUNTIF('93_TARGET_MEMBERSHIP'!BU$5:BU$27,-1)))))</f>
        <v/>
      </c>
      <c r="Y76" s="34">
        <f>IF($B76="ABSOLUTE SEMANTIC",'19_FEATURE_CONFIDENCE'!$D$27,SQRT((SUMPRODUCT(--('93_TARGET_MEMBERSHIP'!BU$5:BU$27=1),'92_FEATURE_CONF_NUMERIC'!Z$5:Z$27)/MAX(1,COUNTIF('93_TARGET_MEMBERSHIP'!BU$5:BU$27,1)))*(SUMPRODUCT(--('93_TARGET_MEMBERSHIP'!BU$5:BU$27=-1),'92_FEATURE_CONF_NUMERIC'!Z$5:Z$27)/MAX(1,COUNTIF('93_TARGET_MEMBERSHIP'!BU$5:BU$27,-1)))))</f>
        <v/>
      </c>
      <c r="Z76" s="34">
        <f>IF($B76="ABSOLUTE SEMANTIC",'19_FEATURE_CONFIDENCE'!$D$28,SQRT((SUMPRODUCT(--('93_TARGET_MEMBERSHIP'!BU$5:BU$27=1),'92_FEATURE_CONF_NUMERIC'!AA$5:AA$27)/MAX(1,COUNTIF('93_TARGET_MEMBERSHIP'!BU$5:BU$27,1)))*(SUMPRODUCT(--('93_TARGET_MEMBERSHIP'!BU$5:BU$27=-1),'92_FEATURE_CONF_NUMERIC'!AA$5:AA$27)/MAX(1,COUNTIF('93_TARGET_MEMBERSHIP'!BU$5:BU$27,-1)))))</f>
        <v/>
      </c>
      <c r="AA76" s="34">
        <f>IF($B76="ABSOLUTE SEMANTIC",'19_FEATURE_CONFIDENCE'!$D$29,SQRT((SUMPRODUCT(--('93_TARGET_MEMBERSHIP'!BU$5:BU$27=1),'92_FEATURE_CONF_NUMERIC'!AB$5:AB$27)/MAX(1,COUNTIF('93_TARGET_MEMBERSHIP'!BU$5:BU$27,1)))*(SUMPRODUCT(--('93_TARGET_MEMBERSHIP'!BU$5:BU$27=-1),'92_FEATURE_CONF_NUMERIC'!AB$5:AB$27)/MAX(1,COUNTIF('93_TARGET_MEMBERSHIP'!BU$5:BU$27,-1)))))</f>
        <v/>
      </c>
      <c r="AB76" s="34">
        <f>IF($B76="ABSOLUTE SEMANTIC",'19_FEATURE_CONFIDENCE'!$D$30,SQRT((SUMPRODUCT(--('93_TARGET_MEMBERSHIP'!BU$5:BU$27=1),'92_FEATURE_CONF_NUMERIC'!AC$5:AC$27)/MAX(1,COUNTIF('93_TARGET_MEMBERSHIP'!BU$5:BU$27,1)))*(SUMPRODUCT(--('93_TARGET_MEMBERSHIP'!BU$5:BU$27=-1),'92_FEATURE_CONF_NUMERIC'!AC$5:AC$27)/MAX(1,COUNTIF('93_TARGET_MEMBERSHIP'!BU$5:BU$27,-1)))))</f>
        <v/>
      </c>
      <c r="AC76" s="34">
        <f>IF($B76="ABSOLUTE SEMANTIC",'19_FEATURE_CONFIDENCE'!$D$31,SQRT((SUMPRODUCT(--('93_TARGET_MEMBERSHIP'!BU$5:BU$27=1),'92_FEATURE_CONF_NUMERIC'!AD$5:AD$27)/MAX(1,COUNTIF('93_TARGET_MEMBERSHIP'!BU$5:BU$27,1)))*(SUMPRODUCT(--('93_TARGET_MEMBERSHIP'!BU$5:BU$27=-1),'92_FEATURE_CONF_NUMERIC'!AD$5:AD$27)/MAX(1,COUNTIF('93_TARGET_MEMBERSHIP'!BU$5:BU$27,-1)))))</f>
        <v/>
      </c>
      <c r="AD76" s="34">
        <f>IF($B76="ABSOLUTE SEMANTIC",'19_FEATURE_CONFIDENCE'!$D$32,SQRT((SUMPRODUCT(--('93_TARGET_MEMBERSHIP'!BU$5:BU$27=1),'92_FEATURE_CONF_NUMERIC'!AE$5:AE$27)/MAX(1,COUNTIF('93_TARGET_MEMBERSHIP'!BU$5:BU$27,1)))*(SUMPRODUCT(--('93_TARGET_MEMBERSHIP'!BU$5:BU$27=-1),'92_FEATURE_CONF_NUMERIC'!AE$5:AE$27)/MAX(1,COUNTIF('93_TARGET_MEMBERSHIP'!BU$5:BU$27,-1)))))</f>
        <v/>
      </c>
      <c r="AE76" s="34">
        <f>IF($B76="ABSOLUTE SEMANTIC",'19_FEATURE_CONFIDENCE'!$D$33,SQRT((SUMPRODUCT(--('93_TARGET_MEMBERSHIP'!BU$5:BU$27=1),'92_FEATURE_CONF_NUMERIC'!AF$5:AF$27)/MAX(1,COUNTIF('93_TARGET_MEMBERSHIP'!BU$5:BU$27,1)))*(SUMPRODUCT(--('93_TARGET_MEMBERSHIP'!BU$5:BU$27=-1),'92_FEATURE_CONF_NUMERIC'!AF$5:AF$27)/MAX(1,COUNTIF('93_TARGET_MEMBERSHIP'!BU$5:BU$27,-1)))))</f>
        <v/>
      </c>
      <c r="AF76" s="34">
        <f>IF($B76="ABSOLUTE SEMANTIC",'19_FEATURE_CONFIDENCE'!$D$34,SQRT((SUMPRODUCT(--('93_TARGET_MEMBERSHIP'!BU$5:BU$27=1),'92_FEATURE_CONF_NUMERIC'!AG$5:AG$27)/MAX(1,COUNTIF('93_TARGET_MEMBERSHIP'!BU$5:BU$27,1)))*(SUMPRODUCT(--('93_TARGET_MEMBERSHIP'!BU$5:BU$27=-1),'92_FEATURE_CONF_NUMERIC'!AG$5:AG$27)/MAX(1,COUNTIF('93_TARGET_MEMBERSHIP'!BU$5:BU$27,-1)))))</f>
        <v/>
      </c>
      <c r="AG76" s="34">
        <f>IF($B76="ABSOLUTE SEMANTIC",'19_FEATURE_CONFIDENCE'!$D$35,SQRT((SUMPRODUCT(--('93_TARGET_MEMBERSHIP'!BU$5:BU$27=1),'92_FEATURE_CONF_NUMERIC'!AH$5:AH$27)/MAX(1,COUNTIF('93_TARGET_MEMBERSHIP'!BU$5:BU$27,1)))*(SUMPRODUCT(--('93_TARGET_MEMBERSHIP'!BU$5:BU$27=-1),'92_FEATURE_CONF_NUMERIC'!AH$5:AH$27)/MAX(1,COUNTIF('93_TARGET_MEMBERSHIP'!BU$5:BU$27,-1)))))</f>
        <v/>
      </c>
      <c r="AH76" s="34">
        <f>IF($B76="ABSOLUTE SEMANTIC",'19_FEATURE_CONFIDENCE'!$D$36,SQRT((SUMPRODUCT(--('93_TARGET_MEMBERSHIP'!BU$5:BU$27=1),'92_FEATURE_CONF_NUMERIC'!AI$5:AI$27)/MAX(1,COUNTIF('93_TARGET_MEMBERSHIP'!BU$5:BU$27,1)))*(SUMPRODUCT(--('93_TARGET_MEMBERSHIP'!BU$5:BU$27=-1),'92_FEATURE_CONF_NUMERIC'!AI$5:AI$27)/MAX(1,COUNTIF('93_TARGET_MEMBERSHIP'!BU$5:BU$27,-1)))))</f>
        <v/>
      </c>
      <c r="AI76" s="34">
        <f>IF($B76="ABSOLUTE SEMANTIC",'19_FEATURE_CONFIDENCE'!$D$37,SQRT((SUMPRODUCT(--('93_TARGET_MEMBERSHIP'!BU$5:BU$27=1),'92_FEATURE_CONF_NUMERIC'!AJ$5:AJ$27)/MAX(1,COUNTIF('93_TARGET_MEMBERSHIP'!BU$5:BU$27,1)))*(SUMPRODUCT(--('93_TARGET_MEMBERSHIP'!BU$5:BU$27=-1),'92_FEATURE_CONF_NUMERIC'!AJ$5:AJ$27)/MAX(1,COUNTIF('93_TARGET_MEMBERSHIP'!BU$5:BU$27,-1)))))</f>
        <v/>
      </c>
      <c r="AJ76" s="34">
        <f>IF($B76="ABSOLUTE SEMANTIC",'19_FEATURE_CONFIDENCE'!$D$38,SQRT((SUMPRODUCT(--('93_TARGET_MEMBERSHIP'!BU$5:BU$27=1),'92_FEATURE_CONF_NUMERIC'!AK$5:AK$27)/MAX(1,COUNTIF('93_TARGET_MEMBERSHIP'!BU$5:BU$27,1)))*(SUMPRODUCT(--('93_TARGET_MEMBERSHIP'!BU$5:BU$27=-1),'92_FEATURE_CONF_NUMERIC'!AK$5:AK$27)/MAX(1,COUNTIF('93_TARGET_MEMBERSHIP'!BU$5:BU$27,-1)))))</f>
        <v/>
      </c>
      <c r="AK76" s="34">
        <f>IF($B76="ABSOLUTE SEMANTIC",'19_FEATURE_CONFIDENCE'!$D$39,SQRT((SUMPRODUCT(--('93_TARGET_MEMBERSHIP'!BU$5:BU$27=1),'92_FEATURE_CONF_NUMERIC'!AL$5:AL$27)/MAX(1,COUNTIF('93_TARGET_MEMBERSHIP'!BU$5:BU$27,1)))*(SUMPRODUCT(--('93_TARGET_MEMBERSHIP'!BU$5:BU$27=-1),'92_FEATURE_CONF_NUMERIC'!AL$5:AL$27)/MAX(1,COUNTIF('93_TARGET_MEMBERSHIP'!BU$5:BU$27,-1)))))</f>
        <v/>
      </c>
      <c r="AL76" s="34">
        <f>IF($B76="ABSOLUTE SEMANTIC",'19_FEATURE_CONFIDENCE'!$D$40,SQRT((SUMPRODUCT(--('93_TARGET_MEMBERSHIP'!BU$5:BU$27=1),'92_FEATURE_CONF_NUMERIC'!AM$5:AM$27)/MAX(1,COUNTIF('93_TARGET_MEMBERSHIP'!BU$5:BU$27,1)))*(SUMPRODUCT(--('93_TARGET_MEMBERSHIP'!BU$5:BU$27=-1),'92_FEATURE_CONF_NUMERIC'!AM$5:AM$27)/MAX(1,COUNTIF('93_TARGET_MEMBERSHIP'!BU$5:BU$27,-1)))))</f>
        <v/>
      </c>
      <c r="AM76" s="34">
        <f>IF($B76="ABSOLUTE SEMANTIC",'19_FEATURE_CONFIDENCE'!$D$41,SQRT((SUMPRODUCT(--('93_TARGET_MEMBERSHIP'!BU$5:BU$27=1),'92_FEATURE_CONF_NUMERIC'!AN$5:AN$27)/MAX(1,COUNTIF('93_TARGET_MEMBERSHIP'!BU$5:BU$27,1)))*(SUMPRODUCT(--('93_TARGET_MEMBERSHIP'!BU$5:BU$27=-1),'92_FEATURE_CONF_NUMERIC'!AN$5:AN$27)/MAX(1,COUNTIF('93_TARGET_MEMBERSHIP'!BU$5:BU$27,-1)))))</f>
        <v/>
      </c>
      <c r="AN76" s="34">
        <f>IF($B76="ABSOLUTE SEMANTIC",'19_FEATURE_CONFIDENCE'!$D$42,SQRT((SUMPRODUCT(--('93_TARGET_MEMBERSHIP'!BU$5:BU$27=1),'92_FEATURE_CONF_NUMERIC'!AO$5:AO$27)/MAX(1,COUNTIF('93_TARGET_MEMBERSHIP'!BU$5:BU$27,1)))*(SUMPRODUCT(--('93_TARGET_MEMBERSHIP'!BU$5:BU$27=-1),'92_FEATURE_CONF_NUMERIC'!AO$5:AO$27)/MAX(1,COUNTIF('93_TARGET_MEMBERSHIP'!BU$5:BU$27,-1)))))</f>
        <v/>
      </c>
      <c r="AO76" s="34">
        <f>IF($B76="ABSOLUTE SEMANTIC",'19_FEATURE_CONFIDENCE'!$D$43,SQRT((SUMPRODUCT(--('93_TARGET_MEMBERSHIP'!BU$5:BU$27=1),'92_FEATURE_CONF_NUMERIC'!AP$5:AP$27)/MAX(1,COUNTIF('93_TARGET_MEMBERSHIP'!BU$5:BU$27,1)))*(SUMPRODUCT(--('93_TARGET_MEMBERSHIP'!BU$5:BU$27=-1),'92_FEATURE_CONF_NUMERIC'!AP$5:AP$27)/MAX(1,COUNTIF('93_TARGET_MEMBERSHIP'!BU$5:BU$27,-1)))))</f>
        <v/>
      </c>
      <c r="AP76" s="34">
        <f>IF($B76="ABSOLUTE SEMANTIC",'19_FEATURE_CONFIDENCE'!$D$44,SQRT((SUMPRODUCT(--('93_TARGET_MEMBERSHIP'!BU$5:BU$27=1),'92_FEATURE_CONF_NUMERIC'!AQ$5:AQ$27)/MAX(1,COUNTIF('93_TARGET_MEMBERSHIP'!BU$5:BU$27,1)))*(SUMPRODUCT(--('93_TARGET_MEMBERSHIP'!BU$5:BU$27=-1),'92_FEATURE_CONF_NUMERIC'!AQ$5:AQ$27)/MAX(1,COUNTIF('93_TARGET_MEMBERSHIP'!BU$5:BU$27,-1)))))</f>
        <v/>
      </c>
      <c r="AQ76" s="34">
        <f>IF($B76="ABSOLUTE SEMANTIC",'19_FEATURE_CONFIDENCE'!$D$45,SQRT((SUMPRODUCT(--('93_TARGET_MEMBERSHIP'!BU$5:BU$27=1),'92_FEATURE_CONF_NUMERIC'!AR$5:AR$27)/MAX(1,COUNTIF('93_TARGET_MEMBERSHIP'!BU$5:BU$27,1)))*(SUMPRODUCT(--('93_TARGET_MEMBERSHIP'!BU$5:BU$27=-1),'92_FEATURE_CONF_NUMERIC'!AR$5:AR$27)/MAX(1,COUNTIF('93_TARGET_MEMBERSHIP'!BU$5:BU$27,-1)))))</f>
        <v/>
      </c>
    </row>
    <row r="77" ht="36" customHeight="1">
      <c r="A77" s="34">
        <f>'06_ITEM_POLE_MODEL'!A77</f>
        <v/>
      </c>
      <c r="B77" s="34">
        <f>'06_ITEM_POLE_MODEL'!E77</f>
        <v/>
      </c>
      <c r="C77" s="34">
        <f>IF($B77="ABSOLUTE SEMANTIC",'19_FEATURE_CONFIDENCE'!$D$5,SQRT((SUMPRODUCT(--('93_TARGET_MEMBERSHIP'!BV$5:BV$27=1),'92_FEATURE_CONF_NUMERIC'!D$5:D$27)/MAX(1,COUNTIF('93_TARGET_MEMBERSHIP'!BV$5:BV$27,1)))*(SUMPRODUCT(--('93_TARGET_MEMBERSHIP'!BV$5:BV$27=-1),'92_FEATURE_CONF_NUMERIC'!D$5:D$27)/MAX(1,COUNTIF('93_TARGET_MEMBERSHIP'!BV$5:BV$27,-1)))))</f>
        <v/>
      </c>
      <c r="D77" s="34">
        <f>IF($B77="ABSOLUTE SEMANTIC",'19_FEATURE_CONFIDENCE'!$D$6,SQRT((SUMPRODUCT(--('93_TARGET_MEMBERSHIP'!BV$5:BV$27=1),'92_FEATURE_CONF_NUMERIC'!E$5:E$27)/MAX(1,COUNTIF('93_TARGET_MEMBERSHIP'!BV$5:BV$27,1)))*(SUMPRODUCT(--('93_TARGET_MEMBERSHIP'!BV$5:BV$27=-1),'92_FEATURE_CONF_NUMERIC'!E$5:E$27)/MAX(1,COUNTIF('93_TARGET_MEMBERSHIP'!BV$5:BV$27,-1)))))</f>
        <v/>
      </c>
      <c r="E77" s="34">
        <f>IF($B77="ABSOLUTE SEMANTIC",'19_FEATURE_CONFIDENCE'!$D$7,SQRT((SUMPRODUCT(--('93_TARGET_MEMBERSHIP'!BV$5:BV$27=1),'92_FEATURE_CONF_NUMERIC'!F$5:F$27)/MAX(1,COUNTIF('93_TARGET_MEMBERSHIP'!BV$5:BV$27,1)))*(SUMPRODUCT(--('93_TARGET_MEMBERSHIP'!BV$5:BV$27=-1),'92_FEATURE_CONF_NUMERIC'!F$5:F$27)/MAX(1,COUNTIF('93_TARGET_MEMBERSHIP'!BV$5:BV$27,-1)))))</f>
        <v/>
      </c>
      <c r="F77" s="34">
        <f>IF($B77="ABSOLUTE SEMANTIC",'19_FEATURE_CONFIDENCE'!$D$8,SQRT((SUMPRODUCT(--('93_TARGET_MEMBERSHIP'!BV$5:BV$27=1),'92_FEATURE_CONF_NUMERIC'!G$5:G$27)/MAX(1,COUNTIF('93_TARGET_MEMBERSHIP'!BV$5:BV$27,1)))*(SUMPRODUCT(--('93_TARGET_MEMBERSHIP'!BV$5:BV$27=-1),'92_FEATURE_CONF_NUMERIC'!G$5:G$27)/MAX(1,COUNTIF('93_TARGET_MEMBERSHIP'!BV$5:BV$27,-1)))))</f>
        <v/>
      </c>
      <c r="G77" s="34">
        <f>IF($B77="ABSOLUTE SEMANTIC",'19_FEATURE_CONFIDENCE'!$D$9,SQRT((SUMPRODUCT(--('93_TARGET_MEMBERSHIP'!BV$5:BV$27=1),'92_FEATURE_CONF_NUMERIC'!H$5:H$27)/MAX(1,COUNTIF('93_TARGET_MEMBERSHIP'!BV$5:BV$27,1)))*(SUMPRODUCT(--('93_TARGET_MEMBERSHIP'!BV$5:BV$27=-1),'92_FEATURE_CONF_NUMERIC'!H$5:H$27)/MAX(1,COUNTIF('93_TARGET_MEMBERSHIP'!BV$5:BV$27,-1)))))</f>
        <v/>
      </c>
      <c r="H77" s="34">
        <f>IF($B77="ABSOLUTE SEMANTIC",'19_FEATURE_CONFIDENCE'!$D$10,SQRT((SUMPRODUCT(--('93_TARGET_MEMBERSHIP'!BV$5:BV$27=1),'92_FEATURE_CONF_NUMERIC'!I$5:I$27)/MAX(1,COUNTIF('93_TARGET_MEMBERSHIP'!BV$5:BV$27,1)))*(SUMPRODUCT(--('93_TARGET_MEMBERSHIP'!BV$5:BV$27=-1),'92_FEATURE_CONF_NUMERIC'!I$5:I$27)/MAX(1,COUNTIF('93_TARGET_MEMBERSHIP'!BV$5:BV$27,-1)))))</f>
        <v/>
      </c>
      <c r="I77" s="34">
        <f>IF($B77="ABSOLUTE SEMANTIC",'19_FEATURE_CONFIDENCE'!$D$11,SQRT((SUMPRODUCT(--('93_TARGET_MEMBERSHIP'!BV$5:BV$27=1),'92_FEATURE_CONF_NUMERIC'!J$5:J$27)/MAX(1,COUNTIF('93_TARGET_MEMBERSHIP'!BV$5:BV$27,1)))*(SUMPRODUCT(--('93_TARGET_MEMBERSHIP'!BV$5:BV$27=-1),'92_FEATURE_CONF_NUMERIC'!J$5:J$27)/MAX(1,COUNTIF('93_TARGET_MEMBERSHIP'!BV$5:BV$27,-1)))))</f>
        <v/>
      </c>
      <c r="J77" s="34">
        <f>IF($B77="ABSOLUTE SEMANTIC",'19_FEATURE_CONFIDENCE'!$D$12,SQRT((SUMPRODUCT(--('93_TARGET_MEMBERSHIP'!BV$5:BV$27=1),'92_FEATURE_CONF_NUMERIC'!K$5:K$27)/MAX(1,COUNTIF('93_TARGET_MEMBERSHIP'!BV$5:BV$27,1)))*(SUMPRODUCT(--('93_TARGET_MEMBERSHIP'!BV$5:BV$27=-1),'92_FEATURE_CONF_NUMERIC'!K$5:K$27)/MAX(1,COUNTIF('93_TARGET_MEMBERSHIP'!BV$5:BV$27,-1)))))</f>
        <v/>
      </c>
      <c r="K77" s="34">
        <f>IF($B77="ABSOLUTE SEMANTIC",'19_FEATURE_CONFIDENCE'!$D$13,SQRT((SUMPRODUCT(--('93_TARGET_MEMBERSHIP'!BV$5:BV$27=1),'92_FEATURE_CONF_NUMERIC'!L$5:L$27)/MAX(1,COUNTIF('93_TARGET_MEMBERSHIP'!BV$5:BV$27,1)))*(SUMPRODUCT(--('93_TARGET_MEMBERSHIP'!BV$5:BV$27=-1),'92_FEATURE_CONF_NUMERIC'!L$5:L$27)/MAX(1,COUNTIF('93_TARGET_MEMBERSHIP'!BV$5:BV$27,-1)))))</f>
        <v/>
      </c>
      <c r="L77" s="34">
        <f>IF($B77="ABSOLUTE SEMANTIC",'19_FEATURE_CONFIDENCE'!$D$14,SQRT((SUMPRODUCT(--('93_TARGET_MEMBERSHIP'!BV$5:BV$27=1),'92_FEATURE_CONF_NUMERIC'!M$5:M$27)/MAX(1,COUNTIF('93_TARGET_MEMBERSHIP'!BV$5:BV$27,1)))*(SUMPRODUCT(--('93_TARGET_MEMBERSHIP'!BV$5:BV$27=-1),'92_FEATURE_CONF_NUMERIC'!M$5:M$27)/MAX(1,COUNTIF('93_TARGET_MEMBERSHIP'!BV$5:BV$27,-1)))))</f>
        <v/>
      </c>
      <c r="M77" s="34">
        <f>IF($B77="ABSOLUTE SEMANTIC",'19_FEATURE_CONFIDENCE'!$D$15,SQRT((SUMPRODUCT(--('93_TARGET_MEMBERSHIP'!BV$5:BV$27=1),'92_FEATURE_CONF_NUMERIC'!N$5:N$27)/MAX(1,COUNTIF('93_TARGET_MEMBERSHIP'!BV$5:BV$27,1)))*(SUMPRODUCT(--('93_TARGET_MEMBERSHIP'!BV$5:BV$27=-1),'92_FEATURE_CONF_NUMERIC'!N$5:N$27)/MAX(1,COUNTIF('93_TARGET_MEMBERSHIP'!BV$5:BV$27,-1)))))</f>
        <v/>
      </c>
      <c r="N77" s="34">
        <f>IF($B77="ABSOLUTE SEMANTIC",'19_FEATURE_CONFIDENCE'!$D$16,SQRT((SUMPRODUCT(--('93_TARGET_MEMBERSHIP'!BV$5:BV$27=1),'92_FEATURE_CONF_NUMERIC'!O$5:O$27)/MAX(1,COUNTIF('93_TARGET_MEMBERSHIP'!BV$5:BV$27,1)))*(SUMPRODUCT(--('93_TARGET_MEMBERSHIP'!BV$5:BV$27=-1),'92_FEATURE_CONF_NUMERIC'!O$5:O$27)/MAX(1,COUNTIF('93_TARGET_MEMBERSHIP'!BV$5:BV$27,-1)))))</f>
        <v/>
      </c>
      <c r="O77" s="34">
        <f>IF($B77="ABSOLUTE SEMANTIC",'19_FEATURE_CONFIDENCE'!$D$17,SQRT((SUMPRODUCT(--('93_TARGET_MEMBERSHIP'!BV$5:BV$27=1),'92_FEATURE_CONF_NUMERIC'!P$5:P$27)/MAX(1,COUNTIF('93_TARGET_MEMBERSHIP'!BV$5:BV$27,1)))*(SUMPRODUCT(--('93_TARGET_MEMBERSHIP'!BV$5:BV$27=-1),'92_FEATURE_CONF_NUMERIC'!P$5:P$27)/MAX(1,COUNTIF('93_TARGET_MEMBERSHIP'!BV$5:BV$27,-1)))))</f>
        <v/>
      </c>
      <c r="P77" s="34">
        <f>IF($B77="ABSOLUTE SEMANTIC",'19_FEATURE_CONFIDENCE'!$D$18,SQRT((SUMPRODUCT(--('93_TARGET_MEMBERSHIP'!BV$5:BV$27=1),'92_FEATURE_CONF_NUMERIC'!Q$5:Q$27)/MAX(1,COUNTIF('93_TARGET_MEMBERSHIP'!BV$5:BV$27,1)))*(SUMPRODUCT(--('93_TARGET_MEMBERSHIP'!BV$5:BV$27=-1),'92_FEATURE_CONF_NUMERIC'!Q$5:Q$27)/MAX(1,COUNTIF('93_TARGET_MEMBERSHIP'!BV$5:BV$27,-1)))))</f>
        <v/>
      </c>
      <c r="Q77" s="34">
        <f>IF($B77="ABSOLUTE SEMANTIC",'19_FEATURE_CONFIDENCE'!$D$19,SQRT((SUMPRODUCT(--('93_TARGET_MEMBERSHIP'!BV$5:BV$27=1),'92_FEATURE_CONF_NUMERIC'!R$5:R$27)/MAX(1,COUNTIF('93_TARGET_MEMBERSHIP'!BV$5:BV$27,1)))*(SUMPRODUCT(--('93_TARGET_MEMBERSHIP'!BV$5:BV$27=-1),'92_FEATURE_CONF_NUMERIC'!R$5:R$27)/MAX(1,COUNTIF('93_TARGET_MEMBERSHIP'!BV$5:BV$27,-1)))))</f>
        <v/>
      </c>
      <c r="R77" s="34">
        <f>IF($B77="ABSOLUTE SEMANTIC",'19_FEATURE_CONFIDENCE'!$D$20,SQRT((SUMPRODUCT(--('93_TARGET_MEMBERSHIP'!BV$5:BV$27=1),'92_FEATURE_CONF_NUMERIC'!S$5:S$27)/MAX(1,COUNTIF('93_TARGET_MEMBERSHIP'!BV$5:BV$27,1)))*(SUMPRODUCT(--('93_TARGET_MEMBERSHIP'!BV$5:BV$27=-1),'92_FEATURE_CONF_NUMERIC'!S$5:S$27)/MAX(1,COUNTIF('93_TARGET_MEMBERSHIP'!BV$5:BV$27,-1)))))</f>
        <v/>
      </c>
      <c r="S77" s="34">
        <f>IF($B77="ABSOLUTE SEMANTIC",'19_FEATURE_CONFIDENCE'!$D$21,SQRT((SUMPRODUCT(--('93_TARGET_MEMBERSHIP'!BV$5:BV$27=1),'92_FEATURE_CONF_NUMERIC'!T$5:T$27)/MAX(1,COUNTIF('93_TARGET_MEMBERSHIP'!BV$5:BV$27,1)))*(SUMPRODUCT(--('93_TARGET_MEMBERSHIP'!BV$5:BV$27=-1),'92_FEATURE_CONF_NUMERIC'!T$5:T$27)/MAX(1,COUNTIF('93_TARGET_MEMBERSHIP'!BV$5:BV$27,-1)))))</f>
        <v/>
      </c>
      <c r="T77" s="34">
        <f>IF($B77="ABSOLUTE SEMANTIC",'19_FEATURE_CONFIDENCE'!$D$22,SQRT((SUMPRODUCT(--('93_TARGET_MEMBERSHIP'!BV$5:BV$27=1),'92_FEATURE_CONF_NUMERIC'!U$5:U$27)/MAX(1,COUNTIF('93_TARGET_MEMBERSHIP'!BV$5:BV$27,1)))*(SUMPRODUCT(--('93_TARGET_MEMBERSHIP'!BV$5:BV$27=-1),'92_FEATURE_CONF_NUMERIC'!U$5:U$27)/MAX(1,COUNTIF('93_TARGET_MEMBERSHIP'!BV$5:BV$27,-1)))))</f>
        <v/>
      </c>
      <c r="U77" s="34">
        <f>IF($B77="ABSOLUTE SEMANTIC",'19_FEATURE_CONFIDENCE'!$D$23,SQRT((SUMPRODUCT(--('93_TARGET_MEMBERSHIP'!BV$5:BV$27=1),'92_FEATURE_CONF_NUMERIC'!V$5:V$27)/MAX(1,COUNTIF('93_TARGET_MEMBERSHIP'!BV$5:BV$27,1)))*(SUMPRODUCT(--('93_TARGET_MEMBERSHIP'!BV$5:BV$27=-1),'92_FEATURE_CONF_NUMERIC'!V$5:V$27)/MAX(1,COUNTIF('93_TARGET_MEMBERSHIP'!BV$5:BV$27,-1)))))</f>
        <v/>
      </c>
      <c r="V77" s="34">
        <f>IF($B77="ABSOLUTE SEMANTIC",'19_FEATURE_CONFIDENCE'!$D$24,SQRT((SUMPRODUCT(--('93_TARGET_MEMBERSHIP'!BV$5:BV$27=1),'92_FEATURE_CONF_NUMERIC'!W$5:W$27)/MAX(1,COUNTIF('93_TARGET_MEMBERSHIP'!BV$5:BV$27,1)))*(SUMPRODUCT(--('93_TARGET_MEMBERSHIP'!BV$5:BV$27=-1),'92_FEATURE_CONF_NUMERIC'!W$5:W$27)/MAX(1,COUNTIF('93_TARGET_MEMBERSHIP'!BV$5:BV$27,-1)))))</f>
        <v/>
      </c>
      <c r="W77" s="34">
        <f>IF($B77="ABSOLUTE SEMANTIC",'19_FEATURE_CONFIDENCE'!$D$25,SQRT((SUMPRODUCT(--('93_TARGET_MEMBERSHIP'!BV$5:BV$27=1),'92_FEATURE_CONF_NUMERIC'!X$5:X$27)/MAX(1,COUNTIF('93_TARGET_MEMBERSHIP'!BV$5:BV$27,1)))*(SUMPRODUCT(--('93_TARGET_MEMBERSHIP'!BV$5:BV$27=-1),'92_FEATURE_CONF_NUMERIC'!X$5:X$27)/MAX(1,COUNTIF('93_TARGET_MEMBERSHIP'!BV$5:BV$27,-1)))))</f>
        <v/>
      </c>
      <c r="X77" s="34">
        <f>IF($B77="ABSOLUTE SEMANTIC",'19_FEATURE_CONFIDENCE'!$D$26,SQRT((SUMPRODUCT(--('93_TARGET_MEMBERSHIP'!BV$5:BV$27=1),'92_FEATURE_CONF_NUMERIC'!Y$5:Y$27)/MAX(1,COUNTIF('93_TARGET_MEMBERSHIP'!BV$5:BV$27,1)))*(SUMPRODUCT(--('93_TARGET_MEMBERSHIP'!BV$5:BV$27=-1),'92_FEATURE_CONF_NUMERIC'!Y$5:Y$27)/MAX(1,COUNTIF('93_TARGET_MEMBERSHIP'!BV$5:BV$27,-1)))))</f>
        <v/>
      </c>
      <c r="Y77" s="34">
        <f>IF($B77="ABSOLUTE SEMANTIC",'19_FEATURE_CONFIDENCE'!$D$27,SQRT((SUMPRODUCT(--('93_TARGET_MEMBERSHIP'!BV$5:BV$27=1),'92_FEATURE_CONF_NUMERIC'!Z$5:Z$27)/MAX(1,COUNTIF('93_TARGET_MEMBERSHIP'!BV$5:BV$27,1)))*(SUMPRODUCT(--('93_TARGET_MEMBERSHIP'!BV$5:BV$27=-1),'92_FEATURE_CONF_NUMERIC'!Z$5:Z$27)/MAX(1,COUNTIF('93_TARGET_MEMBERSHIP'!BV$5:BV$27,-1)))))</f>
        <v/>
      </c>
      <c r="Z77" s="34">
        <f>IF($B77="ABSOLUTE SEMANTIC",'19_FEATURE_CONFIDENCE'!$D$28,SQRT((SUMPRODUCT(--('93_TARGET_MEMBERSHIP'!BV$5:BV$27=1),'92_FEATURE_CONF_NUMERIC'!AA$5:AA$27)/MAX(1,COUNTIF('93_TARGET_MEMBERSHIP'!BV$5:BV$27,1)))*(SUMPRODUCT(--('93_TARGET_MEMBERSHIP'!BV$5:BV$27=-1),'92_FEATURE_CONF_NUMERIC'!AA$5:AA$27)/MAX(1,COUNTIF('93_TARGET_MEMBERSHIP'!BV$5:BV$27,-1)))))</f>
        <v/>
      </c>
      <c r="AA77" s="34">
        <f>IF($B77="ABSOLUTE SEMANTIC",'19_FEATURE_CONFIDENCE'!$D$29,SQRT((SUMPRODUCT(--('93_TARGET_MEMBERSHIP'!BV$5:BV$27=1),'92_FEATURE_CONF_NUMERIC'!AB$5:AB$27)/MAX(1,COUNTIF('93_TARGET_MEMBERSHIP'!BV$5:BV$27,1)))*(SUMPRODUCT(--('93_TARGET_MEMBERSHIP'!BV$5:BV$27=-1),'92_FEATURE_CONF_NUMERIC'!AB$5:AB$27)/MAX(1,COUNTIF('93_TARGET_MEMBERSHIP'!BV$5:BV$27,-1)))))</f>
        <v/>
      </c>
      <c r="AB77" s="34">
        <f>IF($B77="ABSOLUTE SEMANTIC",'19_FEATURE_CONFIDENCE'!$D$30,SQRT((SUMPRODUCT(--('93_TARGET_MEMBERSHIP'!BV$5:BV$27=1),'92_FEATURE_CONF_NUMERIC'!AC$5:AC$27)/MAX(1,COUNTIF('93_TARGET_MEMBERSHIP'!BV$5:BV$27,1)))*(SUMPRODUCT(--('93_TARGET_MEMBERSHIP'!BV$5:BV$27=-1),'92_FEATURE_CONF_NUMERIC'!AC$5:AC$27)/MAX(1,COUNTIF('93_TARGET_MEMBERSHIP'!BV$5:BV$27,-1)))))</f>
        <v/>
      </c>
      <c r="AC77" s="34">
        <f>IF($B77="ABSOLUTE SEMANTIC",'19_FEATURE_CONFIDENCE'!$D$31,SQRT((SUMPRODUCT(--('93_TARGET_MEMBERSHIP'!BV$5:BV$27=1),'92_FEATURE_CONF_NUMERIC'!AD$5:AD$27)/MAX(1,COUNTIF('93_TARGET_MEMBERSHIP'!BV$5:BV$27,1)))*(SUMPRODUCT(--('93_TARGET_MEMBERSHIP'!BV$5:BV$27=-1),'92_FEATURE_CONF_NUMERIC'!AD$5:AD$27)/MAX(1,COUNTIF('93_TARGET_MEMBERSHIP'!BV$5:BV$27,-1)))))</f>
        <v/>
      </c>
      <c r="AD77" s="34">
        <f>IF($B77="ABSOLUTE SEMANTIC",'19_FEATURE_CONFIDENCE'!$D$32,SQRT((SUMPRODUCT(--('93_TARGET_MEMBERSHIP'!BV$5:BV$27=1),'92_FEATURE_CONF_NUMERIC'!AE$5:AE$27)/MAX(1,COUNTIF('93_TARGET_MEMBERSHIP'!BV$5:BV$27,1)))*(SUMPRODUCT(--('93_TARGET_MEMBERSHIP'!BV$5:BV$27=-1),'92_FEATURE_CONF_NUMERIC'!AE$5:AE$27)/MAX(1,COUNTIF('93_TARGET_MEMBERSHIP'!BV$5:BV$27,-1)))))</f>
        <v/>
      </c>
      <c r="AE77" s="34">
        <f>IF($B77="ABSOLUTE SEMANTIC",'19_FEATURE_CONFIDENCE'!$D$33,SQRT((SUMPRODUCT(--('93_TARGET_MEMBERSHIP'!BV$5:BV$27=1),'92_FEATURE_CONF_NUMERIC'!AF$5:AF$27)/MAX(1,COUNTIF('93_TARGET_MEMBERSHIP'!BV$5:BV$27,1)))*(SUMPRODUCT(--('93_TARGET_MEMBERSHIP'!BV$5:BV$27=-1),'92_FEATURE_CONF_NUMERIC'!AF$5:AF$27)/MAX(1,COUNTIF('93_TARGET_MEMBERSHIP'!BV$5:BV$27,-1)))))</f>
        <v/>
      </c>
      <c r="AF77" s="34">
        <f>IF($B77="ABSOLUTE SEMANTIC",'19_FEATURE_CONFIDENCE'!$D$34,SQRT((SUMPRODUCT(--('93_TARGET_MEMBERSHIP'!BV$5:BV$27=1),'92_FEATURE_CONF_NUMERIC'!AG$5:AG$27)/MAX(1,COUNTIF('93_TARGET_MEMBERSHIP'!BV$5:BV$27,1)))*(SUMPRODUCT(--('93_TARGET_MEMBERSHIP'!BV$5:BV$27=-1),'92_FEATURE_CONF_NUMERIC'!AG$5:AG$27)/MAX(1,COUNTIF('93_TARGET_MEMBERSHIP'!BV$5:BV$27,-1)))))</f>
        <v/>
      </c>
      <c r="AG77" s="34">
        <f>IF($B77="ABSOLUTE SEMANTIC",'19_FEATURE_CONFIDENCE'!$D$35,SQRT((SUMPRODUCT(--('93_TARGET_MEMBERSHIP'!BV$5:BV$27=1),'92_FEATURE_CONF_NUMERIC'!AH$5:AH$27)/MAX(1,COUNTIF('93_TARGET_MEMBERSHIP'!BV$5:BV$27,1)))*(SUMPRODUCT(--('93_TARGET_MEMBERSHIP'!BV$5:BV$27=-1),'92_FEATURE_CONF_NUMERIC'!AH$5:AH$27)/MAX(1,COUNTIF('93_TARGET_MEMBERSHIP'!BV$5:BV$27,-1)))))</f>
        <v/>
      </c>
      <c r="AH77" s="34">
        <f>IF($B77="ABSOLUTE SEMANTIC",'19_FEATURE_CONFIDENCE'!$D$36,SQRT((SUMPRODUCT(--('93_TARGET_MEMBERSHIP'!BV$5:BV$27=1),'92_FEATURE_CONF_NUMERIC'!AI$5:AI$27)/MAX(1,COUNTIF('93_TARGET_MEMBERSHIP'!BV$5:BV$27,1)))*(SUMPRODUCT(--('93_TARGET_MEMBERSHIP'!BV$5:BV$27=-1),'92_FEATURE_CONF_NUMERIC'!AI$5:AI$27)/MAX(1,COUNTIF('93_TARGET_MEMBERSHIP'!BV$5:BV$27,-1)))))</f>
        <v/>
      </c>
      <c r="AI77" s="34">
        <f>IF($B77="ABSOLUTE SEMANTIC",'19_FEATURE_CONFIDENCE'!$D$37,SQRT((SUMPRODUCT(--('93_TARGET_MEMBERSHIP'!BV$5:BV$27=1),'92_FEATURE_CONF_NUMERIC'!AJ$5:AJ$27)/MAX(1,COUNTIF('93_TARGET_MEMBERSHIP'!BV$5:BV$27,1)))*(SUMPRODUCT(--('93_TARGET_MEMBERSHIP'!BV$5:BV$27=-1),'92_FEATURE_CONF_NUMERIC'!AJ$5:AJ$27)/MAX(1,COUNTIF('93_TARGET_MEMBERSHIP'!BV$5:BV$27,-1)))))</f>
        <v/>
      </c>
      <c r="AJ77" s="34">
        <f>IF($B77="ABSOLUTE SEMANTIC",'19_FEATURE_CONFIDENCE'!$D$38,SQRT((SUMPRODUCT(--('93_TARGET_MEMBERSHIP'!BV$5:BV$27=1),'92_FEATURE_CONF_NUMERIC'!AK$5:AK$27)/MAX(1,COUNTIF('93_TARGET_MEMBERSHIP'!BV$5:BV$27,1)))*(SUMPRODUCT(--('93_TARGET_MEMBERSHIP'!BV$5:BV$27=-1),'92_FEATURE_CONF_NUMERIC'!AK$5:AK$27)/MAX(1,COUNTIF('93_TARGET_MEMBERSHIP'!BV$5:BV$27,-1)))))</f>
        <v/>
      </c>
      <c r="AK77" s="34">
        <f>IF($B77="ABSOLUTE SEMANTIC",'19_FEATURE_CONFIDENCE'!$D$39,SQRT((SUMPRODUCT(--('93_TARGET_MEMBERSHIP'!BV$5:BV$27=1),'92_FEATURE_CONF_NUMERIC'!AL$5:AL$27)/MAX(1,COUNTIF('93_TARGET_MEMBERSHIP'!BV$5:BV$27,1)))*(SUMPRODUCT(--('93_TARGET_MEMBERSHIP'!BV$5:BV$27=-1),'92_FEATURE_CONF_NUMERIC'!AL$5:AL$27)/MAX(1,COUNTIF('93_TARGET_MEMBERSHIP'!BV$5:BV$27,-1)))))</f>
        <v/>
      </c>
      <c r="AL77" s="34">
        <f>IF($B77="ABSOLUTE SEMANTIC",'19_FEATURE_CONFIDENCE'!$D$40,SQRT((SUMPRODUCT(--('93_TARGET_MEMBERSHIP'!BV$5:BV$27=1),'92_FEATURE_CONF_NUMERIC'!AM$5:AM$27)/MAX(1,COUNTIF('93_TARGET_MEMBERSHIP'!BV$5:BV$27,1)))*(SUMPRODUCT(--('93_TARGET_MEMBERSHIP'!BV$5:BV$27=-1),'92_FEATURE_CONF_NUMERIC'!AM$5:AM$27)/MAX(1,COUNTIF('93_TARGET_MEMBERSHIP'!BV$5:BV$27,-1)))))</f>
        <v/>
      </c>
      <c r="AM77" s="34">
        <f>IF($B77="ABSOLUTE SEMANTIC",'19_FEATURE_CONFIDENCE'!$D$41,SQRT((SUMPRODUCT(--('93_TARGET_MEMBERSHIP'!BV$5:BV$27=1),'92_FEATURE_CONF_NUMERIC'!AN$5:AN$27)/MAX(1,COUNTIF('93_TARGET_MEMBERSHIP'!BV$5:BV$27,1)))*(SUMPRODUCT(--('93_TARGET_MEMBERSHIP'!BV$5:BV$27=-1),'92_FEATURE_CONF_NUMERIC'!AN$5:AN$27)/MAX(1,COUNTIF('93_TARGET_MEMBERSHIP'!BV$5:BV$27,-1)))))</f>
        <v/>
      </c>
      <c r="AN77" s="34">
        <f>IF($B77="ABSOLUTE SEMANTIC",'19_FEATURE_CONFIDENCE'!$D$42,SQRT((SUMPRODUCT(--('93_TARGET_MEMBERSHIP'!BV$5:BV$27=1),'92_FEATURE_CONF_NUMERIC'!AO$5:AO$27)/MAX(1,COUNTIF('93_TARGET_MEMBERSHIP'!BV$5:BV$27,1)))*(SUMPRODUCT(--('93_TARGET_MEMBERSHIP'!BV$5:BV$27=-1),'92_FEATURE_CONF_NUMERIC'!AO$5:AO$27)/MAX(1,COUNTIF('93_TARGET_MEMBERSHIP'!BV$5:BV$27,-1)))))</f>
        <v/>
      </c>
      <c r="AO77" s="34">
        <f>IF($B77="ABSOLUTE SEMANTIC",'19_FEATURE_CONFIDENCE'!$D$43,SQRT((SUMPRODUCT(--('93_TARGET_MEMBERSHIP'!BV$5:BV$27=1),'92_FEATURE_CONF_NUMERIC'!AP$5:AP$27)/MAX(1,COUNTIF('93_TARGET_MEMBERSHIP'!BV$5:BV$27,1)))*(SUMPRODUCT(--('93_TARGET_MEMBERSHIP'!BV$5:BV$27=-1),'92_FEATURE_CONF_NUMERIC'!AP$5:AP$27)/MAX(1,COUNTIF('93_TARGET_MEMBERSHIP'!BV$5:BV$27,-1)))))</f>
        <v/>
      </c>
      <c r="AP77" s="34">
        <f>IF($B77="ABSOLUTE SEMANTIC",'19_FEATURE_CONFIDENCE'!$D$44,SQRT((SUMPRODUCT(--('93_TARGET_MEMBERSHIP'!BV$5:BV$27=1),'92_FEATURE_CONF_NUMERIC'!AQ$5:AQ$27)/MAX(1,COUNTIF('93_TARGET_MEMBERSHIP'!BV$5:BV$27,1)))*(SUMPRODUCT(--('93_TARGET_MEMBERSHIP'!BV$5:BV$27=-1),'92_FEATURE_CONF_NUMERIC'!AQ$5:AQ$27)/MAX(1,COUNTIF('93_TARGET_MEMBERSHIP'!BV$5:BV$27,-1)))))</f>
        <v/>
      </c>
      <c r="AQ77" s="34">
        <f>IF($B77="ABSOLUTE SEMANTIC",'19_FEATURE_CONFIDENCE'!$D$45,SQRT((SUMPRODUCT(--('93_TARGET_MEMBERSHIP'!BV$5:BV$27=1),'92_FEATURE_CONF_NUMERIC'!AR$5:AR$27)/MAX(1,COUNTIF('93_TARGET_MEMBERSHIP'!BV$5:BV$27,1)))*(SUMPRODUCT(--('93_TARGET_MEMBERSHIP'!BV$5:BV$27=-1),'92_FEATURE_CONF_NUMERIC'!AR$5:AR$27)/MAX(1,COUNTIF('93_TARGET_MEMBERSHIP'!BV$5:BV$27,-1)))))</f>
        <v/>
      </c>
    </row>
    <row r="78" ht="36" customHeight="1">
      <c r="A78" s="34">
        <f>'06_ITEM_POLE_MODEL'!A78</f>
        <v/>
      </c>
      <c r="B78" s="34">
        <f>'06_ITEM_POLE_MODEL'!E78</f>
        <v/>
      </c>
      <c r="C78" s="34">
        <f>IF($B78="ABSOLUTE SEMANTIC",'19_FEATURE_CONFIDENCE'!$D$5,SQRT((SUMPRODUCT(--('93_TARGET_MEMBERSHIP'!BW$5:BW$27=1),'92_FEATURE_CONF_NUMERIC'!D$5:D$27)/MAX(1,COUNTIF('93_TARGET_MEMBERSHIP'!BW$5:BW$27,1)))*(SUMPRODUCT(--('93_TARGET_MEMBERSHIP'!BW$5:BW$27=-1),'92_FEATURE_CONF_NUMERIC'!D$5:D$27)/MAX(1,COUNTIF('93_TARGET_MEMBERSHIP'!BW$5:BW$27,-1)))))</f>
        <v/>
      </c>
      <c r="D78" s="34">
        <f>IF($B78="ABSOLUTE SEMANTIC",'19_FEATURE_CONFIDENCE'!$D$6,SQRT((SUMPRODUCT(--('93_TARGET_MEMBERSHIP'!BW$5:BW$27=1),'92_FEATURE_CONF_NUMERIC'!E$5:E$27)/MAX(1,COUNTIF('93_TARGET_MEMBERSHIP'!BW$5:BW$27,1)))*(SUMPRODUCT(--('93_TARGET_MEMBERSHIP'!BW$5:BW$27=-1),'92_FEATURE_CONF_NUMERIC'!E$5:E$27)/MAX(1,COUNTIF('93_TARGET_MEMBERSHIP'!BW$5:BW$27,-1)))))</f>
        <v/>
      </c>
      <c r="E78" s="34">
        <f>IF($B78="ABSOLUTE SEMANTIC",'19_FEATURE_CONFIDENCE'!$D$7,SQRT((SUMPRODUCT(--('93_TARGET_MEMBERSHIP'!BW$5:BW$27=1),'92_FEATURE_CONF_NUMERIC'!F$5:F$27)/MAX(1,COUNTIF('93_TARGET_MEMBERSHIP'!BW$5:BW$27,1)))*(SUMPRODUCT(--('93_TARGET_MEMBERSHIP'!BW$5:BW$27=-1),'92_FEATURE_CONF_NUMERIC'!F$5:F$27)/MAX(1,COUNTIF('93_TARGET_MEMBERSHIP'!BW$5:BW$27,-1)))))</f>
        <v/>
      </c>
      <c r="F78" s="34">
        <f>IF($B78="ABSOLUTE SEMANTIC",'19_FEATURE_CONFIDENCE'!$D$8,SQRT((SUMPRODUCT(--('93_TARGET_MEMBERSHIP'!BW$5:BW$27=1),'92_FEATURE_CONF_NUMERIC'!G$5:G$27)/MAX(1,COUNTIF('93_TARGET_MEMBERSHIP'!BW$5:BW$27,1)))*(SUMPRODUCT(--('93_TARGET_MEMBERSHIP'!BW$5:BW$27=-1),'92_FEATURE_CONF_NUMERIC'!G$5:G$27)/MAX(1,COUNTIF('93_TARGET_MEMBERSHIP'!BW$5:BW$27,-1)))))</f>
        <v/>
      </c>
      <c r="G78" s="34">
        <f>IF($B78="ABSOLUTE SEMANTIC",'19_FEATURE_CONFIDENCE'!$D$9,SQRT((SUMPRODUCT(--('93_TARGET_MEMBERSHIP'!BW$5:BW$27=1),'92_FEATURE_CONF_NUMERIC'!H$5:H$27)/MAX(1,COUNTIF('93_TARGET_MEMBERSHIP'!BW$5:BW$27,1)))*(SUMPRODUCT(--('93_TARGET_MEMBERSHIP'!BW$5:BW$27=-1),'92_FEATURE_CONF_NUMERIC'!H$5:H$27)/MAX(1,COUNTIF('93_TARGET_MEMBERSHIP'!BW$5:BW$27,-1)))))</f>
        <v/>
      </c>
      <c r="H78" s="34">
        <f>IF($B78="ABSOLUTE SEMANTIC",'19_FEATURE_CONFIDENCE'!$D$10,SQRT((SUMPRODUCT(--('93_TARGET_MEMBERSHIP'!BW$5:BW$27=1),'92_FEATURE_CONF_NUMERIC'!I$5:I$27)/MAX(1,COUNTIF('93_TARGET_MEMBERSHIP'!BW$5:BW$27,1)))*(SUMPRODUCT(--('93_TARGET_MEMBERSHIP'!BW$5:BW$27=-1),'92_FEATURE_CONF_NUMERIC'!I$5:I$27)/MAX(1,COUNTIF('93_TARGET_MEMBERSHIP'!BW$5:BW$27,-1)))))</f>
        <v/>
      </c>
      <c r="I78" s="34">
        <f>IF($B78="ABSOLUTE SEMANTIC",'19_FEATURE_CONFIDENCE'!$D$11,SQRT((SUMPRODUCT(--('93_TARGET_MEMBERSHIP'!BW$5:BW$27=1),'92_FEATURE_CONF_NUMERIC'!J$5:J$27)/MAX(1,COUNTIF('93_TARGET_MEMBERSHIP'!BW$5:BW$27,1)))*(SUMPRODUCT(--('93_TARGET_MEMBERSHIP'!BW$5:BW$27=-1),'92_FEATURE_CONF_NUMERIC'!J$5:J$27)/MAX(1,COUNTIF('93_TARGET_MEMBERSHIP'!BW$5:BW$27,-1)))))</f>
        <v/>
      </c>
      <c r="J78" s="34">
        <f>IF($B78="ABSOLUTE SEMANTIC",'19_FEATURE_CONFIDENCE'!$D$12,SQRT((SUMPRODUCT(--('93_TARGET_MEMBERSHIP'!BW$5:BW$27=1),'92_FEATURE_CONF_NUMERIC'!K$5:K$27)/MAX(1,COUNTIF('93_TARGET_MEMBERSHIP'!BW$5:BW$27,1)))*(SUMPRODUCT(--('93_TARGET_MEMBERSHIP'!BW$5:BW$27=-1),'92_FEATURE_CONF_NUMERIC'!K$5:K$27)/MAX(1,COUNTIF('93_TARGET_MEMBERSHIP'!BW$5:BW$27,-1)))))</f>
        <v/>
      </c>
      <c r="K78" s="34">
        <f>IF($B78="ABSOLUTE SEMANTIC",'19_FEATURE_CONFIDENCE'!$D$13,SQRT((SUMPRODUCT(--('93_TARGET_MEMBERSHIP'!BW$5:BW$27=1),'92_FEATURE_CONF_NUMERIC'!L$5:L$27)/MAX(1,COUNTIF('93_TARGET_MEMBERSHIP'!BW$5:BW$27,1)))*(SUMPRODUCT(--('93_TARGET_MEMBERSHIP'!BW$5:BW$27=-1),'92_FEATURE_CONF_NUMERIC'!L$5:L$27)/MAX(1,COUNTIF('93_TARGET_MEMBERSHIP'!BW$5:BW$27,-1)))))</f>
        <v/>
      </c>
      <c r="L78" s="34">
        <f>IF($B78="ABSOLUTE SEMANTIC",'19_FEATURE_CONFIDENCE'!$D$14,SQRT((SUMPRODUCT(--('93_TARGET_MEMBERSHIP'!BW$5:BW$27=1),'92_FEATURE_CONF_NUMERIC'!M$5:M$27)/MAX(1,COUNTIF('93_TARGET_MEMBERSHIP'!BW$5:BW$27,1)))*(SUMPRODUCT(--('93_TARGET_MEMBERSHIP'!BW$5:BW$27=-1),'92_FEATURE_CONF_NUMERIC'!M$5:M$27)/MAX(1,COUNTIF('93_TARGET_MEMBERSHIP'!BW$5:BW$27,-1)))))</f>
        <v/>
      </c>
      <c r="M78" s="34">
        <f>IF($B78="ABSOLUTE SEMANTIC",'19_FEATURE_CONFIDENCE'!$D$15,SQRT((SUMPRODUCT(--('93_TARGET_MEMBERSHIP'!BW$5:BW$27=1),'92_FEATURE_CONF_NUMERIC'!N$5:N$27)/MAX(1,COUNTIF('93_TARGET_MEMBERSHIP'!BW$5:BW$27,1)))*(SUMPRODUCT(--('93_TARGET_MEMBERSHIP'!BW$5:BW$27=-1),'92_FEATURE_CONF_NUMERIC'!N$5:N$27)/MAX(1,COUNTIF('93_TARGET_MEMBERSHIP'!BW$5:BW$27,-1)))))</f>
        <v/>
      </c>
      <c r="N78" s="34">
        <f>IF($B78="ABSOLUTE SEMANTIC",'19_FEATURE_CONFIDENCE'!$D$16,SQRT((SUMPRODUCT(--('93_TARGET_MEMBERSHIP'!BW$5:BW$27=1),'92_FEATURE_CONF_NUMERIC'!O$5:O$27)/MAX(1,COUNTIF('93_TARGET_MEMBERSHIP'!BW$5:BW$27,1)))*(SUMPRODUCT(--('93_TARGET_MEMBERSHIP'!BW$5:BW$27=-1),'92_FEATURE_CONF_NUMERIC'!O$5:O$27)/MAX(1,COUNTIF('93_TARGET_MEMBERSHIP'!BW$5:BW$27,-1)))))</f>
        <v/>
      </c>
      <c r="O78" s="34">
        <f>IF($B78="ABSOLUTE SEMANTIC",'19_FEATURE_CONFIDENCE'!$D$17,SQRT((SUMPRODUCT(--('93_TARGET_MEMBERSHIP'!BW$5:BW$27=1),'92_FEATURE_CONF_NUMERIC'!P$5:P$27)/MAX(1,COUNTIF('93_TARGET_MEMBERSHIP'!BW$5:BW$27,1)))*(SUMPRODUCT(--('93_TARGET_MEMBERSHIP'!BW$5:BW$27=-1),'92_FEATURE_CONF_NUMERIC'!P$5:P$27)/MAX(1,COUNTIF('93_TARGET_MEMBERSHIP'!BW$5:BW$27,-1)))))</f>
        <v/>
      </c>
      <c r="P78" s="34">
        <f>IF($B78="ABSOLUTE SEMANTIC",'19_FEATURE_CONFIDENCE'!$D$18,SQRT((SUMPRODUCT(--('93_TARGET_MEMBERSHIP'!BW$5:BW$27=1),'92_FEATURE_CONF_NUMERIC'!Q$5:Q$27)/MAX(1,COUNTIF('93_TARGET_MEMBERSHIP'!BW$5:BW$27,1)))*(SUMPRODUCT(--('93_TARGET_MEMBERSHIP'!BW$5:BW$27=-1),'92_FEATURE_CONF_NUMERIC'!Q$5:Q$27)/MAX(1,COUNTIF('93_TARGET_MEMBERSHIP'!BW$5:BW$27,-1)))))</f>
        <v/>
      </c>
      <c r="Q78" s="34">
        <f>IF($B78="ABSOLUTE SEMANTIC",'19_FEATURE_CONFIDENCE'!$D$19,SQRT((SUMPRODUCT(--('93_TARGET_MEMBERSHIP'!BW$5:BW$27=1),'92_FEATURE_CONF_NUMERIC'!R$5:R$27)/MAX(1,COUNTIF('93_TARGET_MEMBERSHIP'!BW$5:BW$27,1)))*(SUMPRODUCT(--('93_TARGET_MEMBERSHIP'!BW$5:BW$27=-1),'92_FEATURE_CONF_NUMERIC'!R$5:R$27)/MAX(1,COUNTIF('93_TARGET_MEMBERSHIP'!BW$5:BW$27,-1)))))</f>
        <v/>
      </c>
      <c r="R78" s="34">
        <f>IF($B78="ABSOLUTE SEMANTIC",'19_FEATURE_CONFIDENCE'!$D$20,SQRT((SUMPRODUCT(--('93_TARGET_MEMBERSHIP'!BW$5:BW$27=1),'92_FEATURE_CONF_NUMERIC'!S$5:S$27)/MAX(1,COUNTIF('93_TARGET_MEMBERSHIP'!BW$5:BW$27,1)))*(SUMPRODUCT(--('93_TARGET_MEMBERSHIP'!BW$5:BW$27=-1),'92_FEATURE_CONF_NUMERIC'!S$5:S$27)/MAX(1,COUNTIF('93_TARGET_MEMBERSHIP'!BW$5:BW$27,-1)))))</f>
        <v/>
      </c>
      <c r="S78" s="34">
        <f>IF($B78="ABSOLUTE SEMANTIC",'19_FEATURE_CONFIDENCE'!$D$21,SQRT((SUMPRODUCT(--('93_TARGET_MEMBERSHIP'!BW$5:BW$27=1),'92_FEATURE_CONF_NUMERIC'!T$5:T$27)/MAX(1,COUNTIF('93_TARGET_MEMBERSHIP'!BW$5:BW$27,1)))*(SUMPRODUCT(--('93_TARGET_MEMBERSHIP'!BW$5:BW$27=-1),'92_FEATURE_CONF_NUMERIC'!T$5:T$27)/MAX(1,COUNTIF('93_TARGET_MEMBERSHIP'!BW$5:BW$27,-1)))))</f>
        <v/>
      </c>
      <c r="T78" s="34">
        <f>IF($B78="ABSOLUTE SEMANTIC",'19_FEATURE_CONFIDENCE'!$D$22,SQRT((SUMPRODUCT(--('93_TARGET_MEMBERSHIP'!BW$5:BW$27=1),'92_FEATURE_CONF_NUMERIC'!U$5:U$27)/MAX(1,COUNTIF('93_TARGET_MEMBERSHIP'!BW$5:BW$27,1)))*(SUMPRODUCT(--('93_TARGET_MEMBERSHIP'!BW$5:BW$27=-1),'92_FEATURE_CONF_NUMERIC'!U$5:U$27)/MAX(1,COUNTIF('93_TARGET_MEMBERSHIP'!BW$5:BW$27,-1)))))</f>
        <v/>
      </c>
      <c r="U78" s="34">
        <f>IF($B78="ABSOLUTE SEMANTIC",'19_FEATURE_CONFIDENCE'!$D$23,SQRT((SUMPRODUCT(--('93_TARGET_MEMBERSHIP'!BW$5:BW$27=1),'92_FEATURE_CONF_NUMERIC'!V$5:V$27)/MAX(1,COUNTIF('93_TARGET_MEMBERSHIP'!BW$5:BW$27,1)))*(SUMPRODUCT(--('93_TARGET_MEMBERSHIP'!BW$5:BW$27=-1),'92_FEATURE_CONF_NUMERIC'!V$5:V$27)/MAX(1,COUNTIF('93_TARGET_MEMBERSHIP'!BW$5:BW$27,-1)))))</f>
        <v/>
      </c>
      <c r="V78" s="34">
        <f>IF($B78="ABSOLUTE SEMANTIC",'19_FEATURE_CONFIDENCE'!$D$24,SQRT((SUMPRODUCT(--('93_TARGET_MEMBERSHIP'!BW$5:BW$27=1),'92_FEATURE_CONF_NUMERIC'!W$5:W$27)/MAX(1,COUNTIF('93_TARGET_MEMBERSHIP'!BW$5:BW$27,1)))*(SUMPRODUCT(--('93_TARGET_MEMBERSHIP'!BW$5:BW$27=-1),'92_FEATURE_CONF_NUMERIC'!W$5:W$27)/MAX(1,COUNTIF('93_TARGET_MEMBERSHIP'!BW$5:BW$27,-1)))))</f>
        <v/>
      </c>
      <c r="W78" s="34">
        <f>IF($B78="ABSOLUTE SEMANTIC",'19_FEATURE_CONFIDENCE'!$D$25,SQRT((SUMPRODUCT(--('93_TARGET_MEMBERSHIP'!BW$5:BW$27=1),'92_FEATURE_CONF_NUMERIC'!X$5:X$27)/MAX(1,COUNTIF('93_TARGET_MEMBERSHIP'!BW$5:BW$27,1)))*(SUMPRODUCT(--('93_TARGET_MEMBERSHIP'!BW$5:BW$27=-1),'92_FEATURE_CONF_NUMERIC'!X$5:X$27)/MAX(1,COUNTIF('93_TARGET_MEMBERSHIP'!BW$5:BW$27,-1)))))</f>
        <v/>
      </c>
      <c r="X78" s="34">
        <f>IF($B78="ABSOLUTE SEMANTIC",'19_FEATURE_CONFIDENCE'!$D$26,SQRT((SUMPRODUCT(--('93_TARGET_MEMBERSHIP'!BW$5:BW$27=1),'92_FEATURE_CONF_NUMERIC'!Y$5:Y$27)/MAX(1,COUNTIF('93_TARGET_MEMBERSHIP'!BW$5:BW$27,1)))*(SUMPRODUCT(--('93_TARGET_MEMBERSHIP'!BW$5:BW$27=-1),'92_FEATURE_CONF_NUMERIC'!Y$5:Y$27)/MAX(1,COUNTIF('93_TARGET_MEMBERSHIP'!BW$5:BW$27,-1)))))</f>
        <v/>
      </c>
      <c r="Y78" s="34">
        <f>IF($B78="ABSOLUTE SEMANTIC",'19_FEATURE_CONFIDENCE'!$D$27,SQRT((SUMPRODUCT(--('93_TARGET_MEMBERSHIP'!BW$5:BW$27=1),'92_FEATURE_CONF_NUMERIC'!Z$5:Z$27)/MAX(1,COUNTIF('93_TARGET_MEMBERSHIP'!BW$5:BW$27,1)))*(SUMPRODUCT(--('93_TARGET_MEMBERSHIP'!BW$5:BW$27=-1),'92_FEATURE_CONF_NUMERIC'!Z$5:Z$27)/MAX(1,COUNTIF('93_TARGET_MEMBERSHIP'!BW$5:BW$27,-1)))))</f>
        <v/>
      </c>
      <c r="Z78" s="34">
        <f>IF($B78="ABSOLUTE SEMANTIC",'19_FEATURE_CONFIDENCE'!$D$28,SQRT((SUMPRODUCT(--('93_TARGET_MEMBERSHIP'!BW$5:BW$27=1),'92_FEATURE_CONF_NUMERIC'!AA$5:AA$27)/MAX(1,COUNTIF('93_TARGET_MEMBERSHIP'!BW$5:BW$27,1)))*(SUMPRODUCT(--('93_TARGET_MEMBERSHIP'!BW$5:BW$27=-1),'92_FEATURE_CONF_NUMERIC'!AA$5:AA$27)/MAX(1,COUNTIF('93_TARGET_MEMBERSHIP'!BW$5:BW$27,-1)))))</f>
        <v/>
      </c>
      <c r="AA78" s="34">
        <f>IF($B78="ABSOLUTE SEMANTIC",'19_FEATURE_CONFIDENCE'!$D$29,SQRT((SUMPRODUCT(--('93_TARGET_MEMBERSHIP'!BW$5:BW$27=1),'92_FEATURE_CONF_NUMERIC'!AB$5:AB$27)/MAX(1,COUNTIF('93_TARGET_MEMBERSHIP'!BW$5:BW$27,1)))*(SUMPRODUCT(--('93_TARGET_MEMBERSHIP'!BW$5:BW$27=-1),'92_FEATURE_CONF_NUMERIC'!AB$5:AB$27)/MAX(1,COUNTIF('93_TARGET_MEMBERSHIP'!BW$5:BW$27,-1)))))</f>
        <v/>
      </c>
      <c r="AB78" s="34">
        <f>IF($B78="ABSOLUTE SEMANTIC",'19_FEATURE_CONFIDENCE'!$D$30,SQRT((SUMPRODUCT(--('93_TARGET_MEMBERSHIP'!BW$5:BW$27=1),'92_FEATURE_CONF_NUMERIC'!AC$5:AC$27)/MAX(1,COUNTIF('93_TARGET_MEMBERSHIP'!BW$5:BW$27,1)))*(SUMPRODUCT(--('93_TARGET_MEMBERSHIP'!BW$5:BW$27=-1),'92_FEATURE_CONF_NUMERIC'!AC$5:AC$27)/MAX(1,COUNTIF('93_TARGET_MEMBERSHIP'!BW$5:BW$27,-1)))))</f>
        <v/>
      </c>
      <c r="AC78" s="34">
        <f>IF($B78="ABSOLUTE SEMANTIC",'19_FEATURE_CONFIDENCE'!$D$31,SQRT((SUMPRODUCT(--('93_TARGET_MEMBERSHIP'!BW$5:BW$27=1),'92_FEATURE_CONF_NUMERIC'!AD$5:AD$27)/MAX(1,COUNTIF('93_TARGET_MEMBERSHIP'!BW$5:BW$27,1)))*(SUMPRODUCT(--('93_TARGET_MEMBERSHIP'!BW$5:BW$27=-1),'92_FEATURE_CONF_NUMERIC'!AD$5:AD$27)/MAX(1,COUNTIF('93_TARGET_MEMBERSHIP'!BW$5:BW$27,-1)))))</f>
        <v/>
      </c>
      <c r="AD78" s="34">
        <f>IF($B78="ABSOLUTE SEMANTIC",'19_FEATURE_CONFIDENCE'!$D$32,SQRT((SUMPRODUCT(--('93_TARGET_MEMBERSHIP'!BW$5:BW$27=1),'92_FEATURE_CONF_NUMERIC'!AE$5:AE$27)/MAX(1,COUNTIF('93_TARGET_MEMBERSHIP'!BW$5:BW$27,1)))*(SUMPRODUCT(--('93_TARGET_MEMBERSHIP'!BW$5:BW$27=-1),'92_FEATURE_CONF_NUMERIC'!AE$5:AE$27)/MAX(1,COUNTIF('93_TARGET_MEMBERSHIP'!BW$5:BW$27,-1)))))</f>
        <v/>
      </c>
      <c r="AE78" s="34">
        <f>IF($B78="ABSOLUTE SEMANTIC",'19_FEATURE_CONFIDENCE'!$D$33,SQRT((SUMPRODUCT(--('93_TARGET_MEMBERSHIP'!BW$5:BW$27=1),'92_FEATURE_CONF_NUMERIC'!AF$5:AF$27)/MAX(1,COUNTIF('93_TARGET_MEMBERSHIP'!BW$5:BW$27,1)))*(SUMPRODUCT(--('93_TARGET_MEMBERSHIP'!BW$5:BW$27=-1),'92_FEATURE_CONF_NUMERIC'!AF$5:AF$27)/MAX(1,COUNTIF('93_TARGET_MEMBERSHIP'!BW$5:BW$27,-1)))))</f>
        <v/>
      </c>
      <c r="AF78" s="34">
        <f>IF($B78="ABSOLUTE SEMANTIC",'19_FEATURE_CONFIDENCE'!$D$34,SQRT((SUMPRODUCT(--('93_TARGET_MEMBERSHIP'!BW$5:BW$27=1),'92_FEATURE_CONF_NUMERIC'!AG$5:AG$27)/MAX(1,COUNTIF('93_TARGET_MEMBERSHIP'!BW$5:BW$27,1)))*(SUMPRODUCT(--('93_TARGET_MEMBERSHIP'!BW$5:BW$27=-1),'92_FEATURE_CONF_NUMERIC'!AG$5:AG$27)/MAX(1,COUNTIF('93_TARGET_MEMBERSHIP'!BW$5:BW$27,-1)))))</f>
        <v/>
      </c>
      <c r="AG78" s="34">
        <f>IF($B78="ABSOLUTE SEMANTIC",'19_FEATURE_CONFIDENCE'!$D$35,SQRT((SUMPRODUCT(--('93_TARGET_MEMBERSHIP'!BW$5:BW$27=1),'92_FEATURE_CONF_NUMERIC'!AH$5:AH$27)/MAX(1,COUNTIF('93_TARGET_MEMBERSHIP'!BW$5:BW$27,1)))*(SUMPRODUCT(--('93_TARGET_MEMBERSHIP'!BW$5:BW$27=-1),'92_FEATURE_CONF_NUMERIC'!AH$5:AH$27)/MAX(1,COUNTIF('93_TARGET_MEMBERSHIP'!BW$5:BW$27,-1)))))</f>
        <v/>
      </c>
      <c r="AH78" s="34">
        <f>IF($B78="ABSOLUTE SEMANTIC",'19_FEATURE_CONFIDENCE'!$D$36,SQRT((SUMPRODUCT(--('93_TARGET_MEMBERSHIP'!BW$5:BW$27=1),'92_FEATURE_CONF_NUMERIC'!AI$5:AI$27)/MAX(1,COUNTIF('93_TARGET_MEMBERSHIP'!BW$5:BW$27,1)))*(SUMPRODUCT(--('93_TARGET_MEMBERSHIP'!BW$5:BW$27=-1),'92_FEATURE_CONF_NUMERIC'!AI$5:AI$27)/MAX(1,COUNTIF('93_TARGET_MEMBERSHIP'!BW$5:BW$27,-1)))))</f>
        <v/>
      </c>
      <c r="AI78" s="34">
        <f>IF($B78="ABSOLUTE SEMANTIC",'19_FEATURE_CONFIDENCE'!$D$37,SQRT((SUMPRODUCT(--('93_TARGET_MEMBERSHIP'!BW$5:BW$27=1),'92_FEATURE_CONF_NUMERIC'!AJ$5:AJ$27)/MAX(1,COUNTIF('93_TARGET_MEMBERSHIP'!BW$5:BW$27,1)))*(SUMPRODUCT(--('93_TARGET_MEMBERSHIP'!BW$5:BW$27=-1),'92_FEATURE_CONF_NUMERIC'!AJ$5:AJ$27)/MAX(1,COUNTIF('93_TARGET_MEMBERSHIP'!BW$5:BW$27,-1)))))</f>
        <v/>
      </c>
      <c r="AJ78" s="34">
        <f>IF($B78="ABSOLUTE SEMANTIC",'19_FEATURE_CONFIDENCE'!$D$38,SQRT((SUMPRODUCT(--('93_TARGET_MEMBERSHIP'!BW$5:BW$27=1),'92_FEATURE_CONF_NUMERIC'!AK$5:AK$27)/MAX(1,COUNTIF('93_TARGET_MEMBERSHIP'!BW$5:BW$27,1)))*(SUMPRODUCT(--('93_TARGET_MEMBERSHIP'!BW$5:BW$27=-1),'92_FEATURE_CONF_NUMERIC'!AK$5:AK$27)/MAX(1,COUNTIF('93_TARGET_MEMBERSHIP'!BW$5:BW$27,-1)))))</f>
        <v/>
      </c>
      <c r="AK78" s="34">
        <f>IF($B78="ABSOLUTE SEMANTIC",'19_FEATURE_CONFIDENCE'!$D$39,SQRT((SUMPRODUCT(--('93_TARGET_MEMBERSHIP'!BW$5:BW$27=1),'92_FEATURE_CONF_NUMERIC'!AL$5:AL$27)/MAX(1,COUNTIF('93_TARGET_MEMBERSHIP'!BW$5:BW$27,1)))*(SUMPRODUCT(--('93_TARGET_MEMBERSHIP'!BW$5:BW$27=-1),'92_FEATURE_CONF_NUMERIC'!AL$5:AL$27)/MAX(1,COUNTIF('93_TARGET_MEMBERSHIP'!BW$5:BW$27,-1)))))</f>
        <v/>
      </c>
      <c r="AL78" s="34">
        <f>IF($B78="ABSOLUTE SEMANTIC",'19_FEATURE_CONFIDENCE'!$D$40,SQRT((SUMPRODUCT(--('93_TARGET_MEMBERSHIP'!BW$5:BW$27=1),'92_FEATURE_CONF_NUMERIC'!AM$5:AM$27)/MAX(1,COUNTIF('93_TARGET_MEMBERSHIP'!BW$5:BW$27,1)))*(SUMPRODUCT(--('93_TARGET_MEMBERSHIP'!BW$5:BW$27=-1),'92_FEATURE_CONF_NUMERIC'!AM$5:AM$27)/MAX(1,COUNTIF('93_TARGET_MEMBERSHIP'!BW$5:BW$27,-1)))))</f>
        <v/>
      </c>
      <c r="AM78" s="34">
        <f>IF($B78="ABSOLUTE SEMANTIC",'19_FEATURE_CONFIDENCE'!$D$41,SQRT((SUMPRODUCT(--('93_TARGET_MEMBERSHIP'!BW$5:BW$27=1),'92_FEATURE_CONF_NUMERIC'!AN$5:AN$27)/MAX(1,COUNTIF('93_TARGET_MEMBERSHIP'!BW$5:BW$27,1)))*(SUMPRODUCT(--('93_TARGET_MEMBERSHIP'!BW$5:BW$27=-1),'92_FEATURE_CONF_NUMERIC'!AN$5:AN$27)/MAX(1,COUNTIF('93_TARGET_MEMBERSHIP'!BW$5:BW$27,-1)))))</f>
        <v/>
      </c>
      <c r="AN78" s="34">
        <f>IF($B78="ABSOLUTE SEMANTIC",'19_FEATURE_CONFIDENCE'!$D$42,SQRT((SUMPRODUCT(--('93_TARGET_MEMBERSHIP'!BW$5:BW$27=1),'92_FEATURE_CONF_NUMERIC'!AO$5:AO$27)/MAX(1,COUNTIF('93_TARGET_MEMBERSHIP'!BW$5:BW$27,1)))*(SUMPRODUCT(--('93_TARGET_MEMBERSHIP'!BW$5:BW$27=-1),'92_FEATURE_CONF_NUMERIC'!AO$5:AO$27)/MAX(1,COUNTIF('93_TARGET_MEMBERSHIP'!BW$5:BW$27,-1)))))</f>
        <v/>
      </c>
      <c r="AO78" s="34">
        <f>IF($B78="ABSOLUTE SEMANTIC",'19_FEATURE_CONFIDENCE'!$D$43,SQRT((SUMPRODUCT(--('93_TARGET_MEMBERSHIP'!BW$5:BW$27=1),'92_FEATURE_CONF_NUMERIC'!AP$5:AP$27)/MAX(1,COUNTIF('93_TARGET_MEMBERSHIP'!BW$5:BW$27,1)))*(SUMPRODUCT(--('93_TARGET_MEMBERSHIP'!BW$5:BW$27=-1),'92_FEATURE_CONF_NUMERIC'!AP$5:AP$27)/MAX(1,COUNTIF('93_TARGET_MEMBERSHIP'!BW$5:BW$27,-1)))))</f>
        <v/>
      </c>
      <c r="AP78" s="34">
        <f>IF($B78="ABSOLUTE SEMANTIC",'19_FEATURE_CONFIDENCE'!$D$44,SQRT((SUMPRODUCT(--('93_TARGET_MEMBERSHIP'!BW$5:BW$27=1),'92_FEATURE_CONF_NUMERIC'!AQ$5:AQ$27)/MAX(1,COUNTIF('93_TARGET_MEMBERSHIP'!BW$5:BW$27,1)))*(SUMPRODUCT(--('93_TARGET_MEMBERSHIP'!BW$5:BW$27=-1),'92_FEATURE_CONF_NUMERIC'!AQ$5:AQ$27)/MAX(1,COUNTIF('93_TARGET_MEMBERSHIP'!BW$5:BW$27,-1)))))</f>
        <v/>
      </c>
      <c r="AQ78" s="34">
        <f>IF($B78="ABSOLUTE SEMANTIC",'19_FEATURE_CONFIDENCE'!$D$45,SQRT((SUMPRODUCT(--('93_TARGET_MEMBERSHIP'!BW$5:BW$27=1),'92_FEATURE_CONF_NUMERIC'!AR$5:AR$27)/MAX(1,COUNTIF('93_TARGET_MEMBERSHIP'!BW$5:BW$27,1)))*(SUMPRODUCT(--('93_TARGET_MEMBERSHIP'!BW$5:BW$27=-1),'92_FEATURE_CONF_NUMERIC'!AR$5:AR$27)/MAX(1,COUNTIF('93_TARGET_MEMBERSHIP'!BW$5:BW$27,-1)))))</f>
        <v/>
      </c>
    </row>
    <row r="79" ht="36" customHeight="1">
      <c r="A79" s="34">
        <f>'06_ITEM_POLE_MODEL'!A79</f>
        <v/>
      </c>
      <c r="B79" s="34">
        <f>'06_ITEM_POLE_MODEL'!E79</f>
        <v/>
      </c>
      <c r="C79" s="34">
        <f>IF($B79="ABSOLUTE SEMANTIC",'19_FEATURE_CONFIDENCE'!$D$5,SQRT((SUMPRODUCT(--('93_TARGET_MEMBERSHIP'!BX$5:BX$27=1),'92_FEATURE_CONF_NUMERIC'!D$5:D$27)/MAX(1,COUNTIF('93_TARGET_MEMBERSHIP'!BX$5:BX$27,1)))*(SUMPRODUCT(--('93_TARGET_MEMBERSHIP'!BX$5:BX$27=-1),'92_FEATURE_CONF_NUMERIC'!D$5:D$27)/MAX(1,COUNTIF('93_TARGET_MEMBERSHIP'!BX$5:BX$27,-1)))))</f>
        <v/>
      </c>
      <c r="D79" s="34">
        <f>IF($B79="ABSOLUTE SEMANTIC",'19_FEATURE_CONFIDENCE'!$D$6,SQRT((SUMPRODUCT(--('93_TARGET_MEMBERSHIP'!BX$5:BX$27=1),'92_FEATURE_CONF_NUMERIC'!E$5:E$27)/MAX(1,COUNTIF('93_TARGET_MEMBERSHIP'!BX$5:BX$27,1)))*(SUMPRODUCT(--('93_TARGET_MEMBERSHIP'!BX$5:BX$27=-1),'92_FEATURE_CONF_NUMERIC'!E$5:E$27)/MAX(1,COUNTIF('93_TARGET_MEMBERSHIP'!BX$5:BX$27,-1)))))</f>
        <v/>
      </c>
      <c r="E79" s="34">
        <f>IF($B79="ABSOLUTE SEMANTIC",'19_FEATURE_CONFIDENCE'!$D$7,SQRT((SUMPRODUCT(--('93_TARGET_MEMBERSHIP'!BX$5:BX$27=1),'92_FEATURE_CONF_NUMERIC'!F$5:F$27)/MAX(1,COUNTIF('93_TARGET_MEMBERSHIP'!BX$5:BX$27,1)))*(SUMPRODUCT(--('93_TARGET_MEMBERSHIP'!BX$5:BX$27=-1),'92_FEATURE_CONF_NUMERIC'!F$5:F$27)/MAX(1,COUNTIF('93_TARGET_MEMBERSHIP'!BX$5:BX$27,-1)))))</f>
        <v/>
      </c>
      <c r="F79" s="34">
        <f>IF($B79="ABSOLUTE SEMANTIC",'19_FEATURE_CONFIDENCE'!$D$8,SQRT((SUMPRODUCT(--('93_TARGET_MEMBERSHIP'!BX$5:BX$27=1),'92_FEATURE_CONF_NUMERIC'!G$5:G$27)/MAX(1,COUNTIF('93_TARGET_MEMBERSHIP'!BX$5:BX$27,1)))*(SUMPRODUCT(--('93_TARGET_MEMBERSHIP'!BX$5:BX$27=-1),'92_FEATURE_CONF_NUMERIC'!G$5:G$27)/MAX(1,COUNTIF('93_TARGET_MEMBERSHIP'!BX$5:BX$27,-1)))))</f>
        <v/>
      </c>
      <c r="G79" s="34">
        <f>IF($B79="ABSOLUTE SEMANTIC",'19_FEATURE_CONFIDENCE'!$D$9,SQRT((SUMPRODUCT(--('93_TARGET_MEMBERSHIP'!BX$5:BX$27=1),'92_FEATURE_CONF_NUMERIC'!H$5:H$27)/MAX(1,COUNTIF('93_TARGET_MEMBERSHIP'!BX$5:BX$27,1)))*(SUMPRODUCT(--('93_TARGET_MEMBERSHIP'!BX$5:BX$27=-1),'92_FEATURE_CONF_NUMERIC'!H$5:H$27)/MAX(1,COUNTIF('93_TARGET_MEMBERSHIP'!BX$5:BX$27,-1)))))</f>
        <v/>
      </c>
      <c r="H79" s="34">
        <f>IF($B79="ABSOLUTE SEMANTIC",'19_FEATURE_CONFIDENCE'!$D$10,SQRT((SUMPRODUCT(--('93_TARGET_MEMBERSHIP'!BX$5:BX$27=1),'92_FEATURE_CONF_NUMERIC'!I$5:I$27)/MAX(1,COUNTIF('93_TARGET_MEMBERSHIP'!BX$5:BX$27,1)))*(SUMPRODUCT(--('93_TARGET_MEMBERSHIP'!BX$5:BX$27=-1),'92_FEATURE_CONF_NUMERIC'!I$5:I$27)/MAX(1,COUNTIF('93_TARGET_MEMBERSHIP'!BX$5:BX$27,-1)))))</f>
        <v/>
      </c>
      <c r="I79" s="34">
        <f>IF($B79="ABSOLUTE SEMANTIC",'19_FEATURE_CONFIDENCE'!$D$11,SQRT((SUMPRODUCT(--('93_TARGET_MEMBERSHIP'!BX$5:BX$27=1),'92_FEATURE_CONF_NUMERIC'!J$5:J$27)/MAX(1,COUNTIF('93_TARGET_MEMBERSHIP'!BX$5:BX$27,1)))*(SUMPRODUCT(--('93_TARGET_MEMBERSHIP'!BX$5:BX$27=-1),'92_FEATURE_CONF_NUMERIC'!J$5:J$27)/MAX(1,COUNTIF('93_TARGET_MEMBERSHIP'!BX$5:BX$27,-1)))))</f>
        <v/>
      </c>
      <c r="J79" s="34">
        <f>IF($B79="ABSOLUTE SEMANTIC",'19_FEATURE_CONFIDENCE'!$D$12,SQRT((SUMPRODUCT(--('93_TARGET_MEMBERSHIP'!BX$5:BX$27=1),'92_FEATURE_CONF_NUMERIC'!K$5:K$27)/MAX(1,COUNTIF('93_TARGET_MEMBERSHIP'!BX$5:BX$27,1)))*(SUMPRODUCT(--('93_TARGET_MEMBERSHIP'!BX$5:BX$27=-1),'92_FEATURE_CONF_NUMERIC'!K$5:K$27)/MAX(1,COUNTIF('93_TARGET_MEMBERSHIP'!BX$5:BX$27,-1)))))</f>
        <v/>
      </c>
      <c r="K79" s="34">
        <f>IF($B79="ABSOLUTE SEMANTIC",'19_FEATURE_CONFIDENCE'!$D$13,SQRT((SUMPRODUCT(--('93_TARGET_MEMBERSHIP'!BX$5:BX$27=1),'92_FEATURE_CONF_NUMERIC'!L$5:L$27)/MAX(1,COUNTIF('93_TARGET_MEMBERSHIP'!BX$5:BX$27,1)))*(SUMPRODUCT(--('93_TARGET_MEMBERSHIP'!BX$5:BX$27=-1),'92_FEATURE_CONF_NUMERIC'!L$5:L$27)/MAX(1,COUNTIF('93_TARGET_MEMBERSHIP'!BX$5:BX$27,-1)))))</f>
        <v/>
      </c>
      <c r="L79" s="34">
        <f>IF($B79="ABSOLUTE SEMANTIC",'19_FEATURE_CONFIDENCE'!$D$14,SQRT((SUMPRODUCT(--('93_TARGET_MEMBERSHIP'!BX$5:BX$27=1),'92_FEATURE_CONF_NUMERIC'!M$5:M$27)/MAX(1,COUNTIF('93_TARGET_MEMBERSHIP'!BX$5:BX$27,1)))*(SUMPRODUCT(--('93_TARGET_MEMBERSHIP'!BX$5:BX$27=-1),'92_FEATURE_CONF_NUMERIC'!M$5:M$27)/MAX(1,COUNTIF('93_TARGET_MEMBERSHIP'!BX$5:BX$27,-1)))))</f>
        <v/>
      </c>
      <c r="M79" s="34">
        <f>IF($B79="ABSOLUTE SEMANTIC",'19_FEATURE_CONFIDENCE'!$D$15,SQRT((SUMPRODUCT(--('93_TARGET_MEMBERSHIP'!BX$5:BX$27=1),'92_FEATURE_CONF_NUMERIC'!N$5:N$27)/MAX(1,COUNTIF('93_TARGET_MEMBERSHIP'!BX$5:BX$27,1)))*(SUMPRODUCT(--('93_TARGET_MEMBERSHIP'!BX$5:BX$27=-1),'92_FEATURE_CONF_NUMERIC'!N$5:N$27)/MAX(1,COUNTIF('93_TARGET_MEMBERSHIP'!BX$5:BX$27,-1)))))</f>
        <v/>
      </c>
      <c r="N79" s="34">
        <f>IF($B79="ABSOLUTE SEMANTIC",'19_FEATURE_CONFIDENCE'!$D$16,SQRT((SUMPRODUCT(--('93_TARGET_MEMBERSHIP'!BX$5:BX$27=1),'92_FEATURE_CONF_NUMERIC'!O$5:O$27)/MAX(1,COUNTIF('93_TARGET_MEMBERSHIP'!BX$5:BX$27,1)))*(SUMPRODUCT(--('93_TARGET_MEMBERSHIP'!BX$5:BX$27=-1),'92_FEATURE_CONF_NUMERIC'!O$5:O$27)/MAX(1,COUNTIF('93_TARGET_MEMBERSHIP'!BX$5:BX$27,-1)))))</f>
        <v/>
      </c>
      <c r="O79" s="34">
        <f>IF($B79="ABSOLUTE SEMANTIC",'19_FEATURE_CONFIDENCE'!$D$17,SQRT((SUMPRODUCT(--('93_TARGET_MEMBERSHIP'!BX$5:BX$27=1),'92_FEATURE_CONF_NUMERIC'!P$5:P$27)/MAX(1,COUNTIF('93_TARGET_MEMBERSHIP'!BX$5:BX$27,1)))*(SUMPRODUCT(--('93_TARGET_MEMBERSHIP'!BX$5:BX$27=-1),'92_FEATURE_CONF_NUMERIC'!P$5:P$27)/MAX(1,COUNTIF('93_TARGET_MEMBERSHIP'!BX$5:BX$27,-1)))))</f>
        <v/>
      </c>
      <c r="P79" s="34">
        <f>IF($B79="ABSOLUTE SEMANTIC",'19_FEATURE_CONFIDENCE'!$D$18,SQRT((SUMPRODUCT(--('93_TARGET_MEMBERSHIP'!BX$5:BX$27=1),'92_FEATURE_CONF_NUMERIC'!Q$5:Q$27)/MAX(1,COUNTIF('93_TARGET_MEMBERSHIP'!BX$5:BX$27,1)))*(SUMPRODUCT(--('93_TARGET_MEMBERSHIP'!BX$5:BX$27=-1),'92_FEATURE_CONF_NUMERIC'!Q$5:Q$27)/MAX(1,COUNTIF('93_TARGET_MEMBERSHIP'!BX$5:BX$27,-1)))))</f>
        <v/>
      </c>
      <c r="Q79" s="34">
        <f>IF($B79="ABSOLUTE SEMANTIC",'19_FEATURE_CONFIDENCE'!$D$19,SQRT((SUMPRODUCT(--('93_TARGET_MEMBERSHIP'!BX$5:BX$27=1),'92_FEATURE_CONF_NUMERIC'!R$5:R$27)/MAX(1,COUNTIF('93_TARGET_MEMBERSHIP'!BX$5:BX$27,1)))*(SUMPRODUCT(--('93_TARGET_MEMBERSHIP'!BX$5:BX$27=-1),'92_FEATURE_CONF_NUMERIC'!R$5:R$27)/MAX(1,COUNTIF('93_TARGET_MEMBERSHIP'!BX$5:BX$27,-1)))))</f>
        <v/>
      </c>
      <c r="R79" s="34">
        <f>IF($B79="ABSOLUTE SEMANTIC",'19_FEATURE_CONFIDENCE'!$D$20,SQRT((SUMPRODUCT(--('93_TARGET_MEMBERSHIP'!BX$5:BX$27=1),'92_FEATURE_CONF_NUMERIC'!S$5:S$27)/MAX(1,COUNTIF('93_TARGET_MEMBERSHIP'!BX$5:BX$27,1)))*(SUMPRODUCT(--('93_TARGET_MEMBERSHIP'!BX$5:BX$27=-1),'92_FEATURE_CONF_NUMERIC'!S$5:S$27)/MAX(1,COUNTIF('93_TARGET_MEMBERSHIP'!BX$5:BX$27,-1)))))</f>
        <v/>
      </c>
      <c r="S79" s="34">
        <f>IF($B79="ABSOLUTE SEMANTIC",'19_FEATURE_CONFIDENCE'!$D$21,SQRT((SUMPRODUCT(--('93_TARGET_MEMBERSHIP'!BX$5:BX$27=1),'92_FEATURE_CONF_NUMERIC'!T$5:T$27)/MAX(1,COUNTIF('93_TARGET_MEMBERSHIP'!BX$5:BX$27,1)))*(SUMPRODUCT(--('93_TARGET_MEMBERSHIP'!BX$5:BX$27=-1),'92_FEATURE_CONF_NUMERIC'!T$5:T$27)/MAX(1,COUNTIF('93_TARGET_MEMBERSHIP'!BX$5:BX$27,-1)))))</f>
        <v/>
      </c>
      <c r="T79" s="34">
        <f>IF($B79="ABSOLUTE SEMANTIC",'19_FEATURE_CONFIDENCE'!$D$22,SQRT((SUMPRODUCT(--('93_TARGET_MEMBERSHIP'!BX$5:BX$27=1),'92_FEATURE_CONF_NUMERIC'!U$5:U$27)/MAX(1,COUNTIF('93_TARGET_MEMBERSHIP'!BX$5:BX$27,1)))*(SUMPRODUCT(--('93_TARGET_MEMBERSHIP'!BX$5:BX$27=-1),'92_FEATURE_CONF_NUMERIC'!U$5:U$27)/MAX(1,COUNTIF('93_TARGET_MEMBERSHIP'!BX$5:BX$27,-1)))))</f>
        <v/>
      </c>
      <c r="U79" s="34">
        <f>IF($B79="ABSOLUTE SEMANTIC",'19_FEATURE_CONFIDENCE'!$D$23,SQRT((SUMPRODUCT(--('93_TARGET_MEMBERSHIP'!BX$5:BX$27=1),'92_FEATURE_CONF_NUMERIC'!V$5:V$27)/MAX(1,COUNTIF('93_TARGET_MEMBERSHIP'!BX$5:BX$27,1)))*(SUMPRODUCT(--('93_TARGET_MEMBERSHIP'!BX$5:BX$27=-1),'92_FEATURE_CONF_NUMERIC'!V$5:V$27)/MAX(1,COUNTIF('93_TARGET_MEMBERSHIP'!BX$5:BX$27,-1)))))</f>
        <v/>
      </c>
      <c r="V79" s="34">
        <f>IF($B79="ABSOLUTE SEMANTIC",'19_FEATURE_CONFIDENCE'!$D$24,SQRT((SUMPRODUCT(--('93_TARGET_MEMBERSHIP'!BX$5:BX$27=1),'92_FEATURE_CONF_NUMERIC'!W$5:W$27)/MAX(1,COUNTIF('93_TARGET_MEMBERSHIP'!BX$5:BX$27,1)))*(SUMPRODUCT(--('93_TARGET_MEMBERSHIP'!BX$5:BX$27=-1),'92_FEATURE_CONF_NUMERIC'!W$5:W$27)/MAX(1,COUNTIF('93_TARGET_MEMBERSHIP'!BX$5:BX$27,-1)))))</f>
        <v/>
      </c>
      <c r="W79" s="34">
        <f>IF($B79="ABSOLUTE SEMANTIC",'19_FEATURE_CONFIDENCE'!$D$25,SQRT((SUMPRODUCT(--('93_TARGET_MEMBERSHIP'!BX$5:BX$27=1),'92_FEATURE_CONF_NUMERIC'!X$5:X$27)/MAX(1,COUNTIF('93_TARGET_MEMBERSHIP'!BX$5:BX$27,1)))*(SUMPRODUCT(--('93_TARGET_MEMBERSHIP'!BX$5:BX$27=-1),'92_FEATURE_CONF_NUMERIC'!X$5:X$27)/MAX(1,COUNTIF('93_TARGET_MEMBERSHIP'!BX$5:BX$27,-1)))))</f>
        <v/>
      </c>
      <c r="X79" s="34">
        <f>IF($B79="ABSOLUTE SEMANTIC",'19_FEATURE_CONFIDENCE'!$D$26,SQRT((SUMPRODUCT(--('93_TARGET_MEMBERSHIP'!BX$5:BX$27=1),'92_FEATURE_CONF_NUMERIC'!Y$5:Y$27)/MAX(1,COUNTIF('93_TARGET_MEMBERSHIP'!BX$5:BX$27,1)))*(SUMPRODUCT(--('93_TARGET_MEMBERSHIP'!BX$5:BX$27=-1),'92_FEATURE_CONF_NUMERIC'!Y$5:Y$27)/MAX(1,COUNTIF('93_TARGET_MEMBERSHIP'!BX$5:BX$27,-1)))))</f>
        <v/>
      </c>
      <c r="Y79" s="34">
        <f>IF($B79="ABSOLUTE SEMANTIC",'19_FEATURE_CONFIDENCE'!$D$27,SQRT((SUMPRODUCT(--('93_TARGET_MEMBERSHIP'!BX$5:BX$27=1),'92_FEATURE_CONF_NUMERIC'!Z$5:Z$27)/MAX(1,COUNTIF('93_TARGET_MEMBERSHIP'!BX$5:BX$27,1)))*(SUMPRODUCT(--('93_TARGET_MEMBERSHIP'!BX$5:BX$27=-1),'92_FEATURE_CONF_NUMERIC'!Z$5:Z$27)/MAX(1,COUNTIF('93_TARGET_MEMBERSHIP'!BX$5:BX$27,-1)))))</f>
        <v/>
      </c>
      <c r="Z79" s="34">
        <f>IF($B79="ABSOLUTE SEMANTIC",'19_FEATURE_CONFIDENCE'!$D$28,SQRT((SUMPRODUCT(--('93_TARGET_MEMBERSHIP'!BX$5:BX$27=1),'92_FEATURE_CONF_NUMERIC'!AA$5:AA$27)/MAX(1,COUNTIF('93_TARGET_MEMBERSHIP'!BX$5:BX$27,1)))*(SUMPRODUCT(--('93_TARGET_MEMBERSHIP'!BX$5:BX$27=-1),'92_FEATURE_CONF_NUMERIC'!AA$5:AA$27)/MAX(1,COUNTIF('93_TARGET_MEMBERSHIP'!BX$5:BX$27,-1)))))</f>
        <v/>
      </c>
      <c r="AA79" s="34">
        <f>IF($B79="ABSOLUTE SEMANTIC",'19_FEATURE_CONFIDENCE'!$D$29,SQRT((SUMPRODUCT(--('93_TARGET_MEMBERSHIP'!BX$5:BX$27=1),'92_FEATURE_CONF_NUMERIC'!AB$5:AB$27)/MAX(1,COUNTIF('93_TARGET_MEMBERSHIP'!BX$5:BX$27,1)))*(SUMPRODUCT(--('93_TARGET_MEMBERSHIP'!BX$5:BX$27=-1),'92_FEATURE_CONF_NUMERIC'!AB$5:AB$27)/MAX(1,COUNTIF('93_TARGET_MEMBERSHIP'!BX$5:BX$27,-1)))))</f>
        <v/>
      </c>
      <c r="AB79" s="34">
        <f>IF($B79="ABSOLUTE SEMANTIC",'19_FEATURE_CONFIDENCE'!$D$30,SQRT((SUMPRODUCT(--('93_TARGET_MEMBERSHIP'!BX$5:BX$27=1),'92_FEATURE_CONF_NUMERIC'!AC$5:AC$27)/MAX(1,COUNTIF('93_TARGET_MEMBERSHIP'!BX$5:BX$27,1)))*(SUMPRODUCT(--('93_TARGET_MEMBERSHIP'!BX$5:BX$27=-1),'92_FEATURE_CONF_NUMERIC'!AC$5:AC$27)/MAX(1,COUNTIF('93_TARGET_MEMBERSHIP'!BX$5:BX$27,-1)))))</f>
        <v/>
      </c>
      <c r="AC79" s="34">
        <f>IF($B79="ABSOLUTE SEMANTIC",'19_FEATURE_CONFIDENCE'!$D$31,SQRT((SUMPRODUCT(--('93_TARGET_MEMBERSHIP'!BX$5:BX$27=1),'92_FEATURE_CONF_NUMERIC'!AD$5:AD$27)/MAX(1,COUNTIF('93_TARGET_MEMBERSHIP'!BX$5:BX$27,1)))*(SUMPRODUCT(--('93_TARGET_MEMBERSHIP'!BX$5:BX$27=-1),'92_FEATURE_CONF_NUMERIC'!AD$5:AD$27)/MAX(1,COUNTIF('93_TARGET_MEMBERSHIP'!BX$5:BX$27,-1)))))</f>
        <v/>
      </c>
      <c r="AD79" s="34">
        <f>IF($B79="ABSOLUTE SEMANTIC",'19_FEATURE_CONFIDENCE'!$D$32,SQRT((SUMPRODUCT(--('93_TARGET_MEMBERSHIP'!BX$5:BX$27=1),'92_FEATURE_CONF_NUMERIC'!AE$5:AE$27)/MAX(1,COUNTIF('93_TARGET_MEMBERSHIP'!BX$5:BX$27,1)))*(SUMPRODUCT(--('93_TARGET_MEMBERSHIP'!BX$5:BX$27=-1),'92_FEATURE_CONF_NUMERIC'!AE$5:AE$27)/MAX(1,COUNTIF('93_TARGET_MEMBERSHIP'!BX$5:BX$27,-1)))))</f>
        <v/>
      </c>
      <c r="AE79" s="34">
        <f>IF($B79="ABSOLUTE SEMANTIC",'19_FEATURE_CONFIDENCE'!$D$33,SQRT((SUMPRODUCT(--('93_TARGET_MEMBERSHIP'!BX$5:BX$27=1),'92_FEATURE_CONF_NUMERIC'!AF$5:AF$27)/MAX(1,COUNTIF('93_TARGET_MEMBERSHIP'!BX$5:BX$27,1)))*(SUMPRODUCT(--('93_TARGET_MEMBERSHIP'!BX$5:BX$27=-1),'92_FEATURE_CONF_NUMERIC'!AF$5:AF$27)/MAX(1,COUNTIF('93_TARGET_MEMBERSHIP'!BX$5:BX$27,-1)))))</f>
        <v/>
      </c>
      <c r="AF79" s="34">
        <f>IF($B79="ABSOLUTE SEMANTIC",'19_FEATURE_CONFIDENCE'!$D$34,SQRT((SUMPRODUCT(--('93_TARGET_MEMBERSHIP'!BX$5:BX$27=1),'92_FEATURE_CONF_NUMERIC'!AG$5:AG$27)/MAX(1,COUNTIF('93_TARGET_MEMBERSHIP'!BX$5:BX$27,1)))*(SUMPRODUCT(--('93_TARGET_MEMBERSHIP'!BX$5:BX$27=-1),'92_FEATURE_CONF_NUMERIC'!AG$5:AG$27)/MAX(1,COUNTIF('93_TARGET_MEMBERSHIP'!BX$5:BX$27,-1)))))</f>
        <v/>
      </c>
      <c r="AG79" s="34">
        <f>IF($B79="ABSOLUTE SEMANTIC",'19_FEATURE_CONFIDENCE'!$D$35,SQRT((SUMPRODUCT(--('93_TARGET_MEMBERSHIP'!BX$5:BX$27=1),'92_FEATURE_CONF_NUMERIC'!AH$5:AH$27)/MAX(1,COUNTIF('93_TARGET_MEMBERSHIP'!BX$5:BX$27,1)))*(SUMPRODUCT(--('93_TARGET_MEMBERSHIP'!BX$5:BX$27=-1),'92_FEATURE_CONF_NUMERIC'!AH$5:AH$27)/MAX(1,COUNTIF('93_TARGET_MEMBERSHIP'!BX$5:BX$27,-1)))))</f>
        <v/>
      </c>
      <c r="AH79" s="34">
        <f>IF($B79="ABSOLUTE SEMANTIC",'19_FEATURE_CONFIDENCE'!$D$36,SQRT((SUMPRODUCT(--('93_TARGET_MEMBERSHIP'!BX$5:BX$27=1),'92_FEATURE_CONF_NUMERIC'!AI$5:AI$27)/MAX(1,COUNTIF('93_TARGET_MEMBERSHIP'!BX$5:BX$27,1)))*(SUMPRODUCT(--('93_TARGET_MEMBERSHIP'!BX$5:BX$27=-1),'92_FEATURE_CONF_NUMERIC'!AI$5:AI$27)/MAX(1,COUNTIF('93_TARGET_MEMBERSHIP'!BX$5:BX$27,-1)))))</f>
        <v/>
      </c>
      <c r="AI79" s="34">
        <f>IF($B79="ABSOLUTE SEMANTIC",'19_FEATURE_CONFIDENCE'!$D$37,SQRT((SUMPRODUCT(--('93_TARGET_MEMBERSHIP'!BX$5:BX$27=1),'92_FEATURE_CONF_NUMERIC'!AJ$5:AJ$27)/MAX(1,COUNTIF('93_TARGET_MEMBERSHIP'!BX$5:BX$27,1)))*(SUMPRODUCT(--('93_TARGET_MEMBERSHIP'!BX$5:BX$27=-1),'92_FEATURE_CONF_NUMERIC'!AJ$5:AJ$27)/MAX(1,COUNTIF('93_TARGET_MEMBERSHIP'!BX$5:BX$27,-1)))))</f>
        <v/>
      </c>
      <c r="AJ79" s="34">
        <f>IF($B79="ABSOLUTE SEMANTIC",'19_FEATURE_CONFIDENCE'!$D$38,SQRT((SUMPRODUCT(--('93_TARGET_MEMBERSHIP'!BX$5:BX$27=1),'92_FEATURE_CONF_NUMERIC'!AK$5:AK$27)/MAX(1,COUNTIF('93_TARGET_MEMBERSHIP'!BX$5:BX$27,1)))*(SUMPRODUCT(--('93_TARGET_MEMBERSHIP'!BX$5:BX$27=-1),'92_FEATURE_CONF_NUMERIC'!AK$5:AK$27)/MAX(1,COUNTIF('93_TARGET_MEMBERSHIP'!BX$5:BX$27,-1)))))</f>
        <v/>
      </c>
      <c r="AK79" s="34">
        <f>IF($B79="ABSOLUTE SEMANTIC",'19_FEATURE_CONFIDENCE'!$D$39,SQRT((SUMPRODUCT(--('93_TARGET_MEMBERSHIP'!BX$5:BX$27=1),'92_FEATURE_CONF_NUMERIC'!AL$5:AL$27)/MAX(1,COUNTIF('93_TARGET_MEMBERSHIP'!BX$5:BX$27,1)))*(SUMPRODUCT(--('93_TARGET_MEMBERSHIP'!BX$5:BX$27=-1),'92_FEATURE_CONF_NUMERIC'!AL$5:AL$27)/MAX(1,COUNTIF('93_TARGET_MEMBERSHIP'!BX$5:BX$27,-1)))))</f>
        <v/>
      </c>
      <c r="AL79" s="34">
        <f>IF($B79="ABSOLUTE SEMANTIC",'19_FEATURE_CONFIDENCE'!$D$40,SQRT((SUMPRODUCT(--('93_TARGET_MEMBERSHIP'!BX$5:BX$27=1),'92_FEATURE_CONF_NUMERIC'!AM$5:AM$27)/MAX(1,COUNTIF('93_TARGET_MEMBERSHIP'!BX$5:BX$27,1)))*(SUMPRODUCT(--('93_TARGET_MEMBERSHIP'!BX$5:BX$27=-1),'92_FEATURE_CONF_NUMERIC'!AM$5:AM$27)/MAX(1,COUNTIF('93_TARGET_MEMBERSHIP'!BX$5:BX$27,-1)))))</f>
        <v/>
      </c>
      <c r="AM79" s="34">
        <f>IF($B79="ABSOLUTE SEMANTIC",'19_FEATURE_CONFIDENCE'!$D$41,SQRT((SUMPRODUCT(--('93_TARGET_MEMBERSHIP'!BX$5:BX$27=1),'92_FEATURE_CONF_NUMERIC'!AN$5:AN$27)/MAX(1,COUNTIF('93_TARGET_MEMBERSHIP'!BX$5:BX$27,1)))*(SUMPRODUCT(--('93_TARGET_MEMBERSHIP'!BX$5:BX$27=-1),'92_FEATURE_CONF_NUMERIC'!AN$5:AN$27)/MAX(1,COUNTIF('93_TARGET_MEMBERSHIP'!BX$5:BX$27,-1)))))</f>
        <v/>
      </c>
      <c r="AN79" s="34">
        <f>IF($B79="ABSOLUTE SEMANTIC",'19_FEATURE_CONFIDENCE'!$D$42,SQRT((SUMPRODUCT(--('93_TARGET_MEMBERSHIP'!BX$5:BX$27=1),'92_FEATURE_CONF_NUMERIC'!AO$5:AO$27)/MAX(1,COUNTIF('93_TARGET_MEMBERSHIP'!BX$5:BX$27,1)))*(SUMPRODUCT(--('93_TARGET_MEMBERSHIP'!BX$5:BX$27=-1),'92_FEATURE_CONF_NUMERIC'!AO$5:AO$27)/MAX(1,COUNTIF('93_TARGET_MEMBERSHIP'!BX$5:BX$27,-1)))))</f>
        <v/>
      </c>
      <c r="AO79" s="34">
        <f>IF($B79="ABSOLUTE SEMANTIC",'19_FEATURE_CONFIDENCE'!$D$43,SQRT((SUMPRODUCT(--('93_TARGET_MEMBERSHIP'!BX$5:BX$27=1),'92_FEATURE_CONF_NUMERIC'!AP$5:AP$27)/MAX(1,COUNTIF('93_TARGET_MEMBERSHIP'!BX$5:BX$27,1)))*(SUMPRODUCT(--('93_TARGET_MEMBERSHIP'!BX$5:BX$27=-1),'92_FEATURE_CONF_NUMERIC'!AP$5:AP$27)/MAX(1,COUNTIF('93_TARGET_MEMBERSHIP'!BX$5:BX$27,-1)))))</f>
        <v/>
      </c>
      <c r="AP79" s="34">
        <f>IF($B79="ABSOLUTE SEMANTIC",'19_FEATURE_CONFIDENCE'!$D$44,SQRT((SUMPRODUCT(--('93_TARGET_MEMBERSHIP'!BX$5:BX$27=1),'92_FEATURE_CONF_NUMERIC'!AQ$5:AQ$27)/MAX(1,COUNTIF('93_TARGET_MEMBERSHIP'!BX$5:BX$27,1)))*(SUMPRODUCT(--('93_TARGET_MEMBERSHIP'!BX$5:BX$27=-1),'92_FEATURE_CONF_NUMERIC'!AQ$5:AQ$27)/MAX(1,COUNTIF('93_TARGET_MEMBERSHIP'!BX$5:BX$27,-1)))))</f>
        <v/>
      </c>
      <c r="AQ79" s="34">
        <f>IF($B79="ABSOLUTE SEMANTIC",'19_FEATURE_CONFIDENCE'!$D$45,SQRT((SUMPRODUCT(--('93_TARGET_MEMBERSHIP'!BX$5:BX$27=1),'92_FEATURE_CONF_NUMERIC'!AR$5:AR$27)/MAX(1,COUNTIF('93_TARGET_MEMBERSHIP'!BX$5:BX$27,1)))*(SUMPRODUCT(--('93_TARGET_MEMBERSHIP'!BX$5:BX$27=-1),'92_FEATURE_CONF_NUMERIC'!AR$5:AR$27)/MAX(1,COUNTIF('93_TARGET_MEMBERSHIP'!BX$5:BX$27,-1)))))</f>
        <v/>
      </c>
    </row>
    <row r="80" ht="36" customHeight="1">
      <c r="A80" s="34">
        <f>'06_ITEM_POLE_MODEL'!A80</f>
        <v/>
      </c>
      <c r="B80" s="34">
        <f>'06_ITEM_POLE_MODEL'!E80</f>
        <v/>
      </c>
      <c r="C80" s="34">
        <f>IF($B80="ABSOLUTE SEMANTIC",'19_FEATURE_CONFIDENCE'!$D$5,SQRT((SUMPRODUCT(--('93_TARGET_MEMBERSHIP'!BY$5:BY$27=1),'92_FEATURE_CONF_NUMERIC'!D$5:D$27)/MAX(1,COUNTIF('93_TARGET_MEMBERSHIP'!BY$5:BY$27,1)))*(SUMPRODUCT(--('93_TARGET_MEMBERSHIP'!BY$5:BY$27=-1),'92_FEATURE_CONF_NUMERIC'!D$5:D$27)/MAX(1,COUNTIF('93_TARGET_MEMBERSHIP'!BY$5:BY$27,-1)))))</f>
        <v/>
      </c>
      <c r="D80" s="34">
        <f>IF($B80="ABSOLUTE SEMANTIC",'19_FEATURE_CONFIDENCE'!$D$6,SQRT((SUMPRODUCT(--('93_TARGET_MEMBERSHIP'!BY$5:BY$27=1),'92_FEATURE_CONF_NUMERIC'!E$5:E$27)/MAX(1,COUNTIF('93_TARGET_MEMBERSHIP'!BY$5:BY$27,1)))*(SUMPRODUCT(--('93_TARGET_MEMBERSHIP'!BY$5:BY$27=-1),'92_FEATURE_CONF_NUMERIC'!E$5:E$27)/MAX(1,COUNTIF('93_TARGET_MEMBERSHIP'!BY$5:BY$27,-1)))))</f>
        <v/>
      </c>
      <c r="E80" s="34">
        <f>IF($B80="ABSOLUTE SEMANTIC",'19_FEATURE_CONFIDENCE'!$D$7,SQRT((SUMPRODUCT(--('93_TARGET_MEMBERSHIP'!BY$5:BY$27=1),'92_FEATURE_CONF_NUMERIC'!F$5:F$27)/MAX(1,COUNTIF('93_TARGET_MEMBERSHIP'!BY$5:BY$27,1)))*(SUMPRODUCT(--('93_TARGET_MEMBERSHIP'!BY$5:BY$27=-1),'92_FEATURE_CONF_NUMERIC'!F$5:F$27)/MAX(1,COUNTIF('93_TARGET_MEMBERSHIP'!BY$5:BY$27,-1)))))</f>
        <v/>
      </c>
      <c r="F80" s="34">
        <f>IF($B80="ABSOLUTE SEMANTIC",'19_FEATURE_CONFIDENCE'!$D$8,SQRT((SUMPRODUCT(--('93_TARGET_MEMBERSHIP'!BY$5:BY$27=1),'92_FEATURE_CONF_NUMERIC'!G$5:G$27)/MAX(1,COUNTIF('93_TARGET_MEMBERSHIP'!BY$5:BY$27,1)))*(SUMPRODUCT(--('93_TARGET_MEMBERSHIP'!BY$5:BY$27=-1),'92_FEATURE_CONF_NUMERIC'!G$5:G$27)/MAX(1,COUNTIF('93_TARGET_MEMBERSHIP'!BY$5:BY$27,-1)))))</f>
        <v/>
      </c>
      <c r="G80" s="34">
        <f>IF($B80="ABSOLUTE SEMANTIC",'19_FEATURE_CONFIDENCE'!$D$9,SQRT((SUMPRODUCT(--('93_TARGET_MEMBERSHIP'!BY$5:BY$27=1),'92_FEATURE_CONF_NUMERIC'!H$5:H$27)/MAX(1,COUNTIF('93_TARGET_MEMBERSHIP'!BY$5:BY$27,1)))*(SUMPRODUCT(--('93_TARGET_MEMBERSHIP'!BY$5:BY$27=-1),'92_FEATURE_CONF_NUMERIC'!H$5:H$27)/MAX(1,COUNTIF('93_TARGET_MEMBERSHIP'!BY$5:BY$27,-1)))))</f>
        <v/>
      </c>
      <c r="H80" s="34">
        <f>IF($B80="ABSOLUTE SEMANTIC",'19_FEATURE_CONFIDENCE'!$D$10,SQRT((SUMPRODUCT(--('93_TARGET_MEMBERSHIP'!BY$5:BY$27=1),'92_FEATURE_CONF_NUMERIC'!I$5:I$27)/MAX(1,COUNTIF('93_TARGET_MEMBERSHIP'!BY$5:BY$27,1)))*(SUMPRODUCT(--('93_TARGET_MEMBERSHIP'!BY$5:BY$27=-1),'92_FEATURE_CONF_NUMERIC'!I$5:I$27)/MAX(1,COUNTIF('93_TARGET_MEMBERSHIP'!BY$5:BY$27,-1)))))</f>
        <v/>
      </c>
      <c r="I80" s="34">
        <f>IF($B80="ABSOLUTE SEMANTIC",'19_FEATURE_CONFIDENCE'!$D$11,SQRT((SUMPRODUCT(--('93_TARGET_MEMBERSHIP'!BY$5:BY$27=1),'92_FEATURE_CONF_NUMERIC'!J$5:J$27)/MAX(1,COUNTIF('93_TARGET_MEMBERSHIP'!BY$5:BY$27,1)))*(SUMPRODUCT(--('93_TARGET_MEMBERSHIP'!BY$5:BY$27=-1),'92_FEATURE_CONF_NUMERIC'!J$5:J$27)/MAX(1,COUNTIF('93_TARGET_MEMBERSHIP'!BY$5:BY$27,-1)))))</f>
        <v/>
      </c>
      <c r="J80" s="34">
        <f>IF($B80="ABSOLUTE SEMANTIC",'19_FEATURE_CONFIDENCE'!$D$12,SQRT((SUMPRODUCT(--('93_TARGET_MEMBERSHIP'!BY$5:BY$27=1),'92_FEATURE_CONF_NUMERIC'!K$5:K$27)/MAX(1,COUNTIF('93_TARGET_MEMBERSHIP'!BY$5:BY$27,1)))*(SUMPRODUCT(--('93_TARGET_MEMBERSHIP'!BY$5:BY$27=-1),'92_FEATURE_CONF_NUMERIC'!K$5:K$27)/MAX(1,COUNTIF('93_TARGET_MEMBERSHIP'!BY$5:BY$27,-1)))))</f>
        <v/>
      </c>
      <c r="K80" s="34">
        <f>IF($B80="ABSOLUTE SEMANTIC",'19_FEATURE_CONFIDENCE'!$D$13,SQRT((SUMPRODUCT(--('93_TARGET_MEMBERSHIP'!BY$5:BY$27=1),'92_FEATURE_CONF_NUMERIC'!L$5:L$27)/MAX(1,COUNTIF('93_TARGET_MEMBERSHIP'!BY$5:BY$27,1)))*(SUMPRODUCT(--('93_TARGET_MEMBERSHIP'!BY$5:BY$27=-1),'92_FEATURE_CONF_NUMERIC'!L$5:L$27)/MAX(1,COUNTIF('93_TARGET_MEMBERSHIP'!BY$5:BY$27,-1)))))</f>
        <v/>
      </c>
      <c r="L80" s="34">
        <f>IF($B80="ABSOLUTE SEMANTIC",'19_FEATURE_CONFIDENCE'!$D$14,SQRT((SUMPRODUCT(--('93_TARGET_MEMBERSHIP'!BY$5:BY$27=1),'92_FEATURE_CONF_NUMERIC'!M$5:M$27)/MAX(1,COUNTIF('93_TARGET_MEMBERSHIP'!BY$5:BY$27,1)))*(SUMPRODUCT(--('93_TARGET_MEMBERSHIP'!BY$5:BY$27=-1),'92_FEATURE_CONF_NUMERIC'!M$5:M$27)/MAX(1,COUNTIF('93_TARGET_MEMBERSHIP'!BY$5:BY$27,-1)))))</f>
        <v/>
      </c>
      <c r="M80" s="34">
        <f>IF($B80="ABSOLUTE SEMANTIC",'19_FEATURE_CONFIDENCE'!$D$15,SQRT((SUMPRODUCT(--('93_TARGET_MEMBERSHIP'!BY$5:BY$27=1),'92_FEATURE_CONF_NUMERIC'!N$5:N$27)/MAX(1,COUNTIF('93_TARGET_MEMBERSHIP'!BY$5:BY$27,1)))*(SUMPRODUCT(--('93_TARGET_MEMBERSHIP'!BY$5:BY$27=-1),'92_FEATURE_CONF_NUMERIC'!N$5:N$27)/MAX(1,COUNTIF('93_TARGET_MEMBERSHIP'!BY$5:BY$27,-1)))))</f>
        <v/>
      </c>
      <c r="N80" s="34">
        <f>IF($B80="ABSOLUTE SEMANTIC",'19_FEATURE_CONFIDENCE'!$D$16,SQRT((SUMPRODUCT(--('93_TARGET_MEMBERSHIP'!BY$5:BY$27=1),'92_FEATURE_CONF_NUMERIC'!O$5:O$27)/MAX(1,COUNTIF('93_TARGET_MEMBERSHIP'!BY$5:BY$27,1)))*(SUMPRODUCT(--('93_TARGET_MEMBERSHIP'!BY$5:BY$27=-1),'92_FEATURE_CONF_NUMERIC'!O$5:O$27)/MAX(1,COUNTIF('93_TARGET_MEMBERSHIP'!BY$5:BY$27,-1)))))</f>
        <v/>
      </c>
      <c r="O80" s="34">
        <f>IF($B80="ABSOLUTE SEMANTIC",'19_FEATURE_CONFIDENCE'!$D$17,SQRT((SUMPRODUCT(--('93_TARGET_MEMBERSHIP'!BY$5:BY$27=1),'92_FEATURE_CONF_NUMERIC'!P$5:P$27)/MAX(1,COUNTIF('93_TARGET_MEMBERSHIP'!BY$5:BY$27,1)))*(SUMPRODUCT(--('93_TARGET_MEMBERSHIP'!BY$5:BY$27=-1),'92_FEATURE_CONF_NUMERIC'!P$5:P$27)/MAX(1,COUNTIF('93_TARGET_MEMBERSHIP'!BY$5:BY$27,-1)))))</f>
        <v/>
      </c>
      <c r="P80" s="34">
        <f>IF($B80="ABSOLUTE SEMANTIC",'19_FEATURE_CONFIDENCE'!$D$18,SQRT((SUMPRODUCT(--('93_TARGET_MEMBERSHIP'!BY$5:BY$27=1),'92_FEATURE_CONF_NUMERIC'!Q$5:Q$27)/MAX(1,COUNTIF('93_TARGET_MEMBERSHIP'!BY$5:BY$27,1)))*(SUMPRODUCT(--('93_TARGET_MEMBERSHIP'!BY$5:BY$27=-1),'92_FEATURE_CONF_NUMERIC'!Q$5:Q$27)/MAX(1,COUNTIF('93_TARGET_MEMBERSHIP'!BY$5:BY$27,-1)))))</f>
        <v/>
      </c>
      <c r="Q80" s="34">
        <f>IF($B80="ABSOLUTE SEMANTIC",'19_FEATURE_CONFIDENCE'!$D$19,SQRT((SUMPRODUCT(--('93_TARGET_MEMBERSHIP'!BY$5:BY$27=1),'92_FEATURE_CONF_NUMERIC'!R$5:R$27)/MAX(1,COUNTIF('93_TARGET_MEMBERSHIP'!BY$5:BY$27,1)))*(SUMPRODUCT(--('93_TARGET_MEMBERSHIP'!BY$5:BY$27=-1),'92_FEATURE_CONF_NUMERIC'!R$5:R$27)/MAX(1,COUNTIF('93_TARGET_MEMBERSHIP'!BY$5:BY$27,-1)))))</f>
        <v/>
      </c>
      <c r="R80" s="34">
        <f>IF($B80="ABSOLUTE SEMANTIC",'19_FEATURE_CONFIDENCE'!$D$20,SQRT((SUMPRODUCT(--('93_TARGET_MEMBERSHIP'!BY$5:BY$27=1),'92_FEATURE_CONF_NUMERIC'!S$5:S$27)/MAX(1,COUNTIF('93_TARGET_MEMBERSHIP'!BY$5:BY$27,1)))*(SUMPRODUCT(--('93_TARGET_MEMBERSHIP'!BY$5:BY$27=-1),'92_FEATURE_CONF_NUMERIC'!S$5:S$27)/MAX(1,COUNTIF('93_TARGET_MEMBERSHIP'!BY$5:BY$27,-1)))))</f>
        <v/>
      </c>
      <c r="S80" s="34">
        <f>IF($B80="ABSOLUTE SEMANTIC",'19_FEATURE_CONFIDENCE'!$D$21,SQRT((SUMPRODUCT(--('93_TARGET_MEMBERSHIP'!BY$5:BY$27=1),'92_FEATURE_CONF_NUMERIC'!T$5:T$27)/MAX(1,COUNTIF('93_TARGET_MEMBERSHIP'!BY$5:BY$27,1)))*(SUMPRODUCT(--('93_TARGET_MEMBERSHIP'!BY$5:BY$27=-1),'92_FEATURE_CONF_NUMERIC'!T$5:T$27)/MAX(1,COUNTIF('93_TARGET_MEMBERSHIP'!BY$5:BY$27,-1)))))</f>
        <v/>
      </c>
      <c r="T80" s="34">
        <f>IF($B80="ABSOLUTE SEMANTIC",'19_FEATURE_CONFIDENCE'!$D$22,SQRT((SUMPRODUCT(--('93_TARGET_MEMBERSHIP'!BY$5:BY$27=1),'92_FEATURE_CONF_NUMERIC'!U$5:U$27)/MAX(1,COUNTIF('93_TARGET_MEMBERSHIP'!BY$5:BY$27,1)))*(SUMPRODUCT(--('93_TARGET_MEMBERSHIP'!BY$5:BY$27=-1),'92_FEATURE_CONF_NUMERIC'!U$5:U$27)/MAX(1,COUNTIF('93_TARGET_MEMBERSHIP'!BY$5:BY$27,-1)))))</f>
        <v/>
      </c>
      <c r="U80" s="34">
        <f>IF($B80="ABSOLUTE SEMANTIC",'19_FEATURE_CONFIDENCE'!$D$23,SQRT((SUMPRODUCT(--('93_TARGET_MEMBERSHIP'!BY$5:BY$27=1),'92_FEATURE_CONF_NUMERIC'!V$5:V$27)/MAX(1,COUNTIF('93_TARGET_MEMBERSHIP'!BY$5:BY$27,1)))*(SUMPRODUCT(--('93_TARGET_MEMBERSHIP'!BY$5:BY$27=-1),'92_FEATURE_CONF_NUMERIC'!V$5:V$27)/MAX(1,COUNTIF('93_TARGET_MEMBERSHIP'!BY$5:BY$27,-1)))))</f>
        <v/>
      </c>
      <c r="V80" s="34">
        <f>IF($B80="ABSOLUTE SEMANTIC",'19_FEATURE_CONFIDENCE'!$D$24,SQRT((SUMPRODUCT(--('93_TARGET_MEMBERSHIP'!BY$5:BY$27=1),'92_FEATURE_CONF_NUMERIC'!W$5:W$27)/MAX(1,COUNTIF('93_TARGET_MEMBERSHIP'!BY$5:BY$27,1)))*(SUMPRODUCT(--('93_TARGET_MEMBERSHIP'!BY$5:BY$27=-1),'92_FEATURE_CONF_NUMERIC'!W$5:W$27)/MAX(1,COUNTIF('93_TARGET_MEMBERSHIP'!BY$5:BY$27,-1)))))</f>
        <v/>
      </c>
      <c r="W80" s="34">
        <f>IF($B80="ABSOLUTE SEMANTIC",'19_FEATURE_CONFIDENCE'!$D$25,SQRT((SUMPRODUCT(--('93_TARGET_MEMBERSHIP'!BY$5:BY$27=1),'92_FEATURE_CONF_NUMERIC'!X$5:X$27)/MAX(1,COUNTIF('93_TARGET_MEMBERSHIP'!BY$5:BY$27,1)))*(SUMPRODUCT(--('93_TARGET_MEMBERSHIP'!BY$5:BY$27=-1),'92_FEATURE_CONF_NUMERIC'!X$5:X$27)/MAX(1,COUNTIF('93_TARGET_MEMBERSHIP'!BY$5:BY$27,-1)))))</f>
        <v/>
      </c>
      <c r="X80" s="34">
        <f>IF($B80="ABSOLUTE SEMANTIC",'19_FEATURE_CONFIDENCE'!$D$26,SQRT((SUMPRODUCT(--('93_TARGET_MEMBERSHIP'!BY$5:BY$27=1),'92_FEATURE_CONF_NUMERIC'!Y$5:Y$27)/MAX(1,COUNTIF('93_TARGET_MEMBERSHIP'!BY$5:BY$27,1)))*(SUMPRODUCT(--('93_TARGET_MEMBERSHIP'!BY$5:BY$27=-1),'92_FEATURE_CONF_NUMERIC'!Y$5:Y$27)/MAX(1,COUNTIF('93_TARGET_MEMBERSHIP'!BY$5:BY$27,-1)))))</f>
        <v/>
      </c>
      <c r="Y80" s="34">
        <f>IF($B80="ABSOLUTE SEMANTIC",'19_FEATURE_CONFIDENCE'!$D$27,SQRT((SUMPRODUCT(--('93_TARGET_MEMBERSHIP'!BY$5:BY$27=1),'92_FEATURE_CONF_NUMERIC'!Z$5:Z$27)/MAX(1,COUNTIF('93_TARGET_MEMBERSHIP'!BY$5:BY$27,1)))*(SUMPRODUCT(--('93_TARGET_MEMBERSHIP'!BY$5:BY$27=-1),'92_FEATURE_CONF_NUMERIC'!Z$5:Z$27)/MAX(1,COUNTIF('93_TARGET_MEMBERSHIP'!BY$5:BY$27,-1)))))</f>
        <v/>
      </c>
      <c r="Z80" s="34">
        <f>IF($B80="ABSOLUTE SEMANTIC",'19_FEATURE_CONFIDENCE'!$D$28,SQRT((SUMPRODUCT(--('93_TARGET_MEMBERSHIP'!BY$5:BY$27=1),'92_FEATURE_CONF_NUMERIC'!AA$5:AA$27)/MAX(1,COUNTIF('93_TARGET_MEMBERSHIP'!BY$5:BY$27,1)))*(SUMPRODUCT(--('93_TARGET_MEMBERSHIP'!BY$5:BY$27=-1),'92_FEATURE_CONF_NUMERIC'!AA$5:AA$27)/MAX(1,COUNTIF('93_TARGET_MEMBERSHIP'!BY$5:BY$27,-1)))))</f>
        <v/>
      </c>
      <c r="AA80" s="34">
        <f>IF($B80="ABSOLUTE SEMANTIC",'19_FEATURE_CONFIDENCE'!$D$29,SQRT((SUMPRODUCT(--('93_TARGET_MEMBERSHIP'!BY$5:BY$27=1),'92_FEATURE_CONF_NUMERIC'!AB$5:AB$27)/MAX(1,COUNTIF('93_TARGET_MEMBERSHIP'!BY$5:BY$27,1)))*(SUMPRODUCT(--('93_TARGET_MEMBERSHIP'!BY$5:BY$27=-1),'92_FEATURE_CONF_NUMERIC'!AB$5:AB$27)/MAX(1,COUNTIF('93_TARGET_MEMBERSHIP'!BY$5:BY$27,-1)))))</f>
        <v/>
      </c>
      <c r="AB80" s="34">
        <f>IF($B80="ABSOLUTE SEMANTIC",'19_FEATURE_CONFIDENCE'!$D$30,SQRT((SUMPRODUCT(--('93_TARGET_MEMBERSHIP'!BY$5:BY$27=1),'92_FEATURE_CONF_NUMERIC'!AC$5:AC$27)/MAX(1,COUNTIF('93_TARGET_MEMBERSHIP'!BY$5:BY$27,1)))*(SUMPRODUCT(--('93_TARGET_MEMBERSHIP'!BY$5:BY$27=-1),'92_FEATURE_CONF_NUMERIC'!AC$5:AC$27)/MAX(1,COUNTIF('93_TARGET_MEMBERSHIP'!BY$5:BY$27,-1)))))</f>
        <v/>
      </c>
      <c r="AC80" s="34">
        <f>IF($B80="ABSOLUTE SEMANTIC",'19_FEATURE_CONFIDENCE'!$D$31,SQRT((SUMPRODUCT(--('93_TARGET_MEMBERSHIP'!BY$5:BY$27=1),'92_FEATURE_CONF_NUMERIC'!AD$5:AD$27)/MAX(1,COUNTIF('93_TARGET_MEMBERSHIP'!BY$5:BY$27,1)))*(SUMPRODUCT(--('93_TARGET_MEMBERSHIP'!BY$5:BY$27=-1),'92_FEATURE_CONF_NUMERIC'!AD$5:AD$27)/MAX(1,COUNTIF('93_TARGET_MEMBERSHIP'!BY$5:BY$27,-1)))))</f>
        <v/>
      </c>
      <c r="AD80" s="34">
        <f>IF($B80="ABSOLUTE SEMANTIC",'19_FEATURE_CONFIDENCE'!$D$32,SQRT((SUMPRODUCT(--('93_TARGET_MEMBERSHIP'!BY$5:BY$27=1),'92_FEATURE_CONF_NUMERIC'!AE$5:AE$27)/MAX(1,COUNTIF('93_TARGET_MEMBERSHIP'!BY$5:BY$27,1)))*(SUMPRODUCT(--('93_TARGET_MEMBERSHIP'!BY$5:BY$27=-1),'92_FEATURE_CONF_NUMERIC'!AE$5:AE$27)/MAX(1,COUNTIF('93_TARGET_MEMBERSHIP'!BY$5:BY$27,-1)))))</f>
        <v/>
      </c>
      <c r="AE80" s="34">
        <f>IF($B80="ABSOLUTE SEMANTIC",'19_FEATURE_CONFIDENCE'!$D$33,SQRT((SUMPRODUCT(--('93_TARGET_MEMBERSHIP'!BY$5:BY$27=1),'92_FEATURE_CONF_NUMERIC'!AF$5:AF$27)/MAX(1,COUNTIF('93_TARGET_MEMBERSHIP'!BY$5:BY$27,1)))*(SUMPRODUCT(--('93_TARGET_MEMBERSHIP'!BY$5:BY$27=-1),'92_FEATURE_CONF_NUMERIC'!AF$5:AF$27)/MAX(1,COUNTIF('93_TARGET_MEMBERSHIP'!BY$5:BY$27,-1)))))</f>
        <v/>
      </c>
      <c r="AF80" s="34">
        <f>IF($B80="ABSOLUTE SEMANTIC",'19_FEATURE_CONFIDENCE'!$D$34,SQRT((SUMPRODUCT(--('93_TARGET_MEMBERSHIP'!BY$5:BY$27=1),'92_FEATURE_CONF_NUMERIC'!AG$5:AG$27)/MAX(1,COUNTIF('93_TARGET_MEMBERSHIP'!BY$5:BY$27,1)))*(SUMPRODUCT(--('93_TARGET_MEMBERSHIP'!BY$5:BY$27=-1),'92_FEATURE_CONF_NUMERIC'!AG$5:AG$27)/MAX(1,COUNTIF('93_TARGET_MEMBERSHIP'!BY$5:BY$27,-1)))))</f>
        <v/>
      </c>
      <c r="AG80" s="34">
        <f>IF($B80="ABSOLUTE SEMANTIC",'19_FEATURE_CONFIDENCE'!$D$35,SQRT((SUMPRODUCT(--('93_TARGET_MEMBERSHIP'!BY$5:BY$27=1),'92_FEATURE_CONF_NUMERIC'!AH$5:AH$27)/MAX(1,COUNTIF('93_TARGET_MEMBERSHIP'!BY$5:BY$27,1)))*(SUMPRODUCT(--('93_TARGET_MEMBERSHIP'!BY$5:BY$27=-1),'92_FEATURE_CONF_NUMERIC'!AH$5:AH$27)/MAX(1,COUNTIF('93_TARGET_MEMBERSHIP'!BY$5:BY$27,-1)))))</f>
        <v/>
      </c>
      <c r="AH80" s="34">
        <f>IF($B80="ABSOLUTE SEMANTIC",'19_FEATURE_CONFIDENCE'!$D$36,SQRT((SUMPRODUCT(--('93_TARGET_MEMBERSHIP'!BY$5:BY$27=1),'92_FEATURE_CONF_NUMERIC'!AI$5:AI$27)/MAX(1,COUNTIF('93_TARGET_MEMBERSHIP'!BY$5:BY$27,1)))*(SUMPRODUCT(--('93_TARGET_MEMBERSHIP'!BY$5:BY$27=-1),'92_FEATURE_CONF_NUMERIC'!AI$5:AI$27)/MAX(1,COUNTIF('93_TARGET_MEMBERSHIP'!BY$5:BY$27,-1)))))</f>
        <v/>
      </c>
      <c r="AI80" s="34">
        <f>IF($B80="ABSOLUTE SEMANTIC",'19_FEATURE_CONFIDENCE'!$D$37,SQRT((SUMPRODUCT(--('93_TARGET_MEMBERSHIP'!BY$5:BY$27=1),'92_FEATURE_CONF_NUMERIC'!AJ$5:AJ$27)/MAX(1,COUNTIF('93_TARGET_MEMBERSHIP'!BY$5:BY$27,1)))*(SUMPRODUCT(--('93_TARGET_MEMBERSHIP'!BY$5:BY$27=-1),'92_FEATURE_CONF_NUMERIC'!AJ$5:AJ$27)/MAX(1,COUNTIF('93_TARGET_MEMBERSHIP'!BY$5:BY$27,-1)))))</f>
        <v/>
      </c>
      <c r="AJ80" s="34">
        <f>IF($B80="ABSOLUTE SEMANTIC",'19_FEATURE_CONFIDENCE'!$D$38,SQRT((SUMPRODUCT(--('93_TARGET_MEMBERSHIP'!BY$5:BY$27=1),'92_FEATURE_CONF_NUMERIC'!AK$5:AK$27)/MAX(1,COUNTIF('93_TARGET_MEMBERSHIP'!BY$5:BY$27,1)))*(SUMPRODUCT(--('93_TARGET_MEMBERSHIP'!BY$5:BY$27=-1),'92_FEATURE_CONF_NUMERIC'!AK$5:AK$27)/MAX(1,COUNTIF('93_TARGET_MEMBERSHIP'!BY$5:BY$27,-1)))))</f>
        <v/>
      </c>
      <c r="AK80" s="34">
        <f>IF($B80="ABSOLUTE SEMANTIC",'19_FEATURE_CONFIDENCE'!$D$39,SQRT((SUMPRODUCT(--('93_TARGET_MEMBERSHIP'!BY$5:BY$27=1),'92_FEATURE_CONF_NUMERIC'!AL$5:AL$27)/MAX(1,COUNTIF('93_TARGET_MEMBERSHIP'!BY$5:BY$27,1)))*(SUMPRODUCT(--('93_TARGET_MEMBERSHIP'!BY$5:BY$27=-1),'92_FEATURE_CONF_NUMERIC'!AL$5:AL$27)/MAX(1,COUNTIF('93_TARGET_MEMBERSHIP'!BY$5:BY$27,-1)))))</f>
        <v/>
      </c>
      <c r="AL80" s="34">
        <f>IF($B80="ABSOLUTE SEMANTIC",'19_FEATURE_CONFIDENCE'!$D$40,SQRT((SUMPRODUCT(--('93_TARGET_MEMBERSHIP'!BY$5:BY$27=1),'92_FEATURE_CONF_NUMERIC'!AM$5:AM$27)/MAX(1,COUNTIF('93_TARGET_MEMBERSHIP'!BY$5:BY$27,1)))*(SUMPRODUCT(--('93_TARGET_MEMBERSHIP'!BY$5:BY$27=-1),'92_FEATURE_CONF_NUMERIC'!AM$5:AM$27)/MAX(1,COUNTIF('93_TARGET_MEMBERSHIP'!BY$5:BY$27,-1)))))</f>
        <v/>
      </c>
      <c r="AM80" s="34">
        <f>IF($B80="ABSOLUTE SEMANTIC",'19_FEATURE_CONFIDENCE'!$D$41,SQRT((SUMPRODUCT(--('93_TARGET_MEMBERSHIP'!BY$5:BY$27=1),'92_FEATURE_CONF_NUMERIC'!AN$5:AN$27)/MAX(1,COUNTIF('93_TARGET_MEMBERSHIP'!BY$5:BY$27,1)))*(SUMPRODUCT(--('93_TARGET_MEMBERSHIP'!BY$5:BY$27=-1),'92_FEATURE_CONF_NUMERIC'!AN$5:AN$27)/MAX(1,COUNTIF('93_TARGET_MEMBERSHIP'!BY$5:BY$27,-1)))))</f>
        <v/>
      </c>
      <c r="AN80" s="34">
        <f>IF($B80="ABSOLUTE SEMANTIC",'19_FEATURE_CONFIDENCE'!$D$42,SQRT((SUMPRODUCT(--('93_TARGET_MEMBERSHIP'!BY$5:BY$27=1),'92_FEATURE_CONF_NUMERIC'!AO$5:AO$27)/MAX(1,COUNTIF('93_TARGET_MEMBERSHIP'!BY$5:BY$27,1)))*(SUMPRODUCT(--('93_TARGET_MEMBERSHIP'!BY$5:BY$27=-1),'92_FEATURE_CONF_NUMERIC'!AO$5:AO$27)/MAX(1,COUNTIF('93_TARGET_MEMBERSHIP'!BY$5:BY$27,-1)))))</f>
        <v/>
      </c>
      <c r="AO80" s="34">
        <f>IF($B80="ABSOLUTE SEMANTIC",'19_FEATURE_CONFIDENCE'!$D$43,SQRT((SUMPRODUCT(--('93_TARGET_MEMBERSHIP'!BY$5:BY$27=1),'92_FEATURE_CONF_NUMERIC'!AP$5:AP$27)/MAX(1,COUNTIF('93_TARGET_MEMBERSHIP'!BY$5:BY$27,1)))*(SUMPRODUCT(--('93_TARGET_MEMBERSHIP'!BY$5:BY$27=-1),'92_FEATURE_CONF_NUMERIC'!AP$5:AP$27)/MAX(1,COUNTIF('93_TARGET_MEMBERSHIP'!BY$5:BY$27,-1)))))</f>
        <v/>
      </c>
      <c r="AP80" s="34">
        <f>IF($B80="ABSOLUTE SEMANTIC",'19_FEATURE_CONFIDENCE'!$D$44,SQRT((SUMPRODUCT(--('93_TARGET_MEMBERSHIP'!BY$5:BY$27=1),'92_FEATURE_CONF_NUMERIC'!AQ$5:AQ$27)/MAX(1,COUNTIF('93_TARGET_MEMBERSHIP'!BY$5:BY$27,1)))*(SUMPRODUCT(--('93_TARGET_MEMBERSHIP'!BY$5:BY$27=-1),'92_FEATURE_CONF_NUMERIC'!AQ$5:AQ$27)/MAX(1,COUNTIF('93_TARGET_MEMBERSHIP'!BY$5:BY$27,-1)))))</f>
        <v/>
      </c>
      <c r="AQ80" s="34">
        <f>IF($B80="ABSOLUTE SEMANTIC",'19_FEATURE_CONFIDENCE'!$D$45,SQRT((SUMPRODUCT(--('93_TARGET_MEMBERSHIP'!BY$5:BY$27=1),'92_FEATURE_CONF_NUMERIC'!AR$5:AR$27)/MAX(1,COUNTIF('93_TARGET_MEMBERSHIP'!BY$5:BY$27,1)))*(SUMPRODUCT(--('93_TARGET_MEMBERSHIP'!BY$5:BY$27=-1),'92_FEATURE_CONF_NUMERIC'!AR$5:AR$27)/MAX(1,COUNTIF('93_TARGET_MEMBERSHIP'!BY$5:BY$27,-1)))))</f>
        <v/>
      </c>
    </row>
    <row r="81" ht="36" customHeight="1">
      <c r="A81" s="34">
        <f>'06_ITEM_POLE_MODEL'!A81</f>
        <v/>
      </c>
      <c r="B81" s="34">
        <f>'06_ITEM_POLE_MODEL'!E81</f>
        <v/>
      </c>
      <c r="C81" s="34">
        <f>IF($B81="ABSOLUTE SEMANTIC",'19_FEATURE_CONFIDENCE'!$D$5,SQRT((SUMPRODUCT(--('93_TARGET_MEMBERSHIP'!BZ$5:BZ$27=1),'92_FEATURE_CONF_NUMERIC'!D$5:D$27)/MAX(1,COUNTIF('93_TARGET_MEMBERSHIP'!BZ$5:BZ$27,1)))*(SUMPRODUCT(--('93_TARGET_MEMBERSHIP'!BZ$5:BZ$27=-1),'92_FEATURE_CONF_NUMERIC'!D$5:D$27)/MAX(1,COUNTIF('93_TARGET_MEMBERSHIP'!BZ$5:BZ$27,-1)))))</f>
        <v/>
      </c>
      <c r="D81" s="34">
        <f>IF($B81="ABSOLUTE SEMANTIC",'19_FEATURE_CONFIDENCE'!$D$6,SQRT((SUMPRODUCT(--('93_TARGET_MEMBERSHIP'!BZ$5:BZ$27=1),'92_FEATURE_CONF_NUMERIC'!E$5:E$27)/MAX(1,COUNTIF('93_TARGET_MEMBERSHIP'!BZ$5:BZ$27,1)))*(SUMPRODUCT(--('93_TARGET_MEMBERSHIP'!BZ$5:BZ$27=-1),'92_FEATURE_CONF_NUMERIC'!E$5:E$27)/MAX(1,COUNTIF('93_TARGET_MEMBERSHIP'!BZ$5:BZ$27,-1)))))</f>
        <v/>
      </c>
      <c r="E81" s="34">
        <f>IF($B81="ABSOLUTE SEMANTIC",'19_FEATURE_CONFIDENCE'!$D$7,SQRT((SUMPRODUCT(--('93_TARGET_MEMBERSHIP'!BZ$5:BZ$27=1),'92_FEATURE_CONF_NUMERIC'!F$5:F$27)/MAX(1,COUNTIF('93_TARGET_MEMBERSHIP'!BZ$5:BZ$27,1)))*(SUMPRODUCT(--('93_TARGET_MEMBERSHIP'!BZ$5:BZ$27=-1),'92_FEATURE_CONF_NUMERIC'!F$5:F$27)/MAX(1,COUNTIF('93_TARGET_MEMBERSHIP'!BZ$5:BZ$27,-1)))))</f>
        <v/>
      </c>
      <c r="F81" s="34">
        <f>IF($B81="ABSOLUTE SEMANTIC",'19_FEATURE_CONFIDENCE'!$D$8,SQRT((SUMPRODUCT(--('93_TARGET_MEMBERSHIP'!BZ$5:BZ$27=1),'92_FEATURE_CONF_NUMERIC'!G$5:G$27)/MAX(1,COUNTIF('93_TARGET_MEMBERSHIP'!BZ$5:BZ$27,1)))*(SUMPRODUCT(--('93_TARGET_MEMBERSHIP'!BZ$5:BZ$27=-1),'92_FEATURE_CONF_NUMERIC'!G$5:G$27)/MAX(1,COUNTIF('93_TARGET_MEMBERSHIP'!BZ$5:BZ$27,-1)))))</f>
        <v/>
      </c>
      <c r="G81" s="34">
        <f>IF($B81="ABSOLUTE SEMANTIC",'19_FEATURE_CONFIDENCE'!$D$9,SQRT((SUMPRODUCT(--('93_TARGET_MEMBERSHIP'!BZ$5:BZ$27=1),'92_FEATURE_CONF_NUMERIC'!H$5:H$27)/MAX(1,COUNTIF('93_TARGET_MEMBERSHIP'!BZ$5:BZ$27,1)))*(SUMPRODUCT(--('93_TARGET_MEMBERSHIP'!BZ$5:BZ$27=-1),'92_FEATURE_CONF_NUMERIC'!H$5:H$27)/MAX(1,COUNTIF('93_TARGET_MEMBERSHIP'!BZ$5:BZ$27,-1)))))</f>
        <v/>
      </c>
      <c r="H81" s="34">
        <f>IF($B81="ABSOLUTE SEMANTIC",'19_FEATURE_CONFIDENCE'!$D$10,SQRT((SUMPRODUCT(--('93_TARGET_MEMBERSHIP'!BZ$5:BZ$27=1),'92_FEATURE_CONF_NUMERIC'!I$5:I$27)/MAX(1,COUNTIF('93_TARGET_MEMBERSHIP'!BZ$5:BZ$27,1)))*(SUMPRODUCT(--('93_TARGET_MEMBERSHIP'!BZ$5:BZ$27=-1),'92_FEATURE_CONF_NUMERIC'!I$5:I$27)/MAX(1,COUNTIF('93_TARGET_MEMBERSHIP'!BZ$5:BZ$27,-1)))))</f>
        <v/>
      </c>
      <c r="I81" s="34">
        <f>IF($B81="ABSOLUTE SEMANTIC",'19_FEATURE_CONFIDENCE'!$D$11,SQRT((SUMPRODUCT(--('93_TARGET_MEMBERSHIP'!BZ$5:BZ$27=1),'92_FEATURE_CONF_NUMERIC'!J$5:J$27)/MAX(1,COUNTIF('93_TARGET_MEMBERSHIP'!BZ$5:BZ$27,1)))*(SUMPRODUCT(--('93_TARGET_MEMBERSHIP'!BZ$5:BZ$27=-1),'92_FEATURE_CONF_NUMERIC'!J$5:J$27)/MAX(1,COUNTIF('93_TARGET_MEMBERSHIP'!BZ$5:BZ$27,-1)))))</f>
        <v/>
      </c>
      <c r="J81" s="34">
        <f>IF($B81="ABSOLUTE SEMANTIC",'19_FEATURE_CONFIDENCE'!$D$12,SQRT((SUMPRODUCT(--('93_TARGET_MEMBERSHIP'!BZ$5:BZ$27=1),'92_FEATURE_CONF_NUMERIC'!K$5:K$27)/MAX(1,COUNTIF('93_TARGET_MEMBERSHIP'!BZ$5:BZ$27,1)))*(SUMPRODUCT(--('93_TARGET_MEMBERSHIP'!BZ$5:BZ$27=-1),'92_FEATURE_CONF_NUMERIC'!K$5:K$27)/MAX(1,COUNTIF('93_TARGET_MEMBERSHIP'!BZ$5:BZ$27,-1)))))</f>
        <v/>
      </c>
      <c r="K81" s="34">
        <f>IF($B81="ABSOLUTE SEMANTIC",'19_FEATURE_CONFIDENCE'!$D$13,SQRT((SUMPRODUCT(--('93_TARGET_MEMBERSHIP'!BZ$5:BZ$27=1),'92_FEATURE_CONF_NUMERIC'!L$5:L$27)/MAX(1,COUNTIF('93_TARGET_MEMBERSHIP'!BZ$5:BZ$27,1)))*(SUMPRODUCT(--('93_TARGET_MEMBERSHIP'!BZ$5:BZ$27=-1),'92_FEATURE_CONF_NUMERIC'!L$5:L$27)/MAX(1,COUNTIF('93_TARGET_MEMBERSHIP'!BZ$5:BZ$27,-1)))))</f>
        <v/>
      </c>
      <c r="L81" s="34">
        <f>IF($B81="ABSOLUTE SEMANTIC",'19_FEATURE_CONFIDENCE'!$D$14,SQRT((SUMPRODUCT(--('93_TARGET_MEMBERSHIP'!BZ$5:BZ$27=1),'92_FEATURE_CONF_NUMERIC'!M$5:M$27)/MAX(1,COUNTIF('93_TARGET_MEMBERSHIP'!BZ$5:BZ$27,1)))*(SUMPRODUCT(--('93_TARGET_MEMBERSHIP'!BZ$5:BZ$27=-1),'92_FEATURE_CONF_NUMERIC'!M$5:M$27)/MAX(1,COUNTIF('93_TARGET_MEMBERSHIP'!BZ$5:BZ$27,-1)))))</f>
        <v/>
      </c>
      <c r="M81" s="34">
        <f>IF($B81="ABSOLUTE SEMANTIC",'19_FEATURE_CONFIDENCE'!$D$15,SQRT((SUMPRODUCT(--('93_TARGET_MEMBERSHIP'!BZ$5:BZ$27=1),'92_FEATURE_CONF_NUMERIC'!N$5:N$27)/MAX(1,COUNTIF('93_TARGET_MEMBERSHIP'!BZ$5:BZ$27,1)))*(SUMPRODUCT(--('93_TARGET_MEMBERSHIP'!BZ$5:BZ$27=-1),'92_FEATURE_CONF_NUMERIC'!N$5:N$27)/MAX(1,COUNTIF('93_TARGET_MEMBERSHIP'!BZ$5:BZ$27,-1)))))</f>
        <v/>
      </c>
      <c r="N81" s="34">
        <f>IF($B81="ABSOLUTE SEMANTIC",'19_FEATURE_CONFIDENCE'!$D$16,SQRT((SUMPRODUCT(--('93_TARGET_MEMBERSHIP'!BZ$5:BZ$27=1),'92_FEATURE_CONF_NUMERIC'!O$5:O$27)/MAX(1,COUNTIF('93_TARGET_MEMBERSHIP'!BZ$5:BZ$27,1)))*(SUMPRODUCT(--('93_TARGET_MEMBERSHIP'!BZ$5:BZ$27=-1),'92_FEATURE_CONF_NUMERIC'!O$5:O$27)/MAX(1,COUNTIF('93_TARGET_MEMBERSHIP'!BZ$5:BZ$27,-1)))))</f>
        <v/>
      </c>
      <c r="O81" s="34">
        <f>IF($B81="ABSOLUTE SEMANTIC",'19_FEATURE_CONFIDENCE'!$D$17,SQRT((SUMPRODUCT(--('93_TARGET_MEMBERSHIP'!BZ$5:BZ$27=1),'92_FEATURE_CONF_NUMERIC'!P$5:P$27)/MAX(1,COUNTIF('93_TARGET_MEMBERSHIP'!BZ$5:BZ$27,1)))*(SUMPRODUCT(--('93_TARGET_MEMBERSHIP'!BZ$5:BZ$27=-1),'92_FEATURE_CONF_NUMERIC'!P$5:P$27)/MAX(1,COUNTIF('93_TARGET_MEMBERSHIP'!BZ$5:BZ$27,-1)))))</f>
        <v/>
      </c>
      <c r="P81" s="34">
        <f>IF($B81="ABSOLUTE SEMANTIC",'19_FEATURE_CONFIDENCE'!$D$18,SQRT((SUMPRODUCT(--('93_TARGET_MEMBERSHIP'!BZ$5:BZ$27=1),'92_FEATURE_CONF_NUMERIC'!Q$5:Q$27)/MAX(1,COUNTIF('93_TARGET_MEMBERSHIP'!BZ$5:BZ$27,1)))*(SUMPRODUCT(--('93_TARGET_MEMBERSHIP'!BZ$5:BZ$27=-1),'92_FEATURE_CONF_NUMERIC'!Q$5:Q$27)/MAX(1,COUNTIF('93_TARGET_MEMBERSHIP'!BZ$5:BZ$27,-1)))))</f>
        <v/>
      </c>
      <c r="Q81" s="34">
        <f>IF($B81="ABSOLUTE SEMANTIC",'19_FEATURE_CONFIDENCE'!$D$19,SQRT((SUMPRODUCT(--('93_TARGET_MEMBERSHIP'!BZ$5:BZ$27=1),'92_FEATURE_CONF_NUMERIC'!R$5:R$27)/MAX(1,COUNTIF('93_TARGET_MEMBERSHIP'!BZ$5:BZ$27,1)))*(SUMPRODUCT(--('93_TARGET_MEMBERSHIP'!BZ$5:BZ$27=-1),'92_FEATURE_CONF_NUMERIC'!R$5:R$27)/MAX(1,COUNTIF('93_TARGET_MEMBERSHIP'!BZ$5:BZ$27,-1)))))</f>
        <v/>
      </c>
      <c r="R81" s="34">
        <f>IF($B81="ABSOLUTE SEMANTIC",'19_FEATURE_CONFIDENCE'!$D$20,SQRT((SUMPRODUCT(--('93_TARGET_MEMBERSHIP'!BZ$5:BZ$27=1),'92_FEATURE_CONF_NUMERIC'!S$5:S$27)/MAX(1,COUNTIF('93_TARGET_MEMBERSHIP'!BZ$5:BZ$27,1)))*(SUMPRODUCT(--('93_TARGET_MEMBERSHIP'!BZ$5:BZ$27=-1),'92_FEATURE_CONF_NUMERIC'!S$5:S$27)/MAX(1,COUNTIF('93_TARGET_MEMBERSHIP'!BZ$5:BZ$27,-1)))))</f>
        <v/>
      </c>
      <c r="S81" s="34">
        <f>IF($B81="ABSOLUTE SEMANTIC",'19_FEATURE_CONFIDENCE'!$D$21,SQRT((SUMPRODUCT(--('93_TARGET_MEMBERSHIP'!BZ$5:BZ$27=1),'92_FEATURE_CONF_NUMERIC'!T$5:T$27)/MAX(1,COUNTIF('93_TARGET_MEMBERSHIP'!BZ$5:BZ$27,1)))*(SUMPRODUCT(--('93_TARGET_MEMBERSHIP'!BZ$5:BZ$27=-1),'92_FEATURE_CONF_NUMERIC'!T$5:T$27)/MAX(1,COUNTIF('93_TARGET_MEMBERSHIP'!BZ$5:BZ$27,-1)))))</f>
        <v/>
      </c>
      <c r="T81" s="34">
        <f>IF($B81="ABSOLUTE SEMANTIC",'19_FEATURE_CONFIDENCE'!$D$22,SQRT((SUMPRODUCT(--('93_TARGET_MEMBERSHIP'!BZ$5:BZ$27=1),'92_FEATURE_CONF_NUMERIC'!U$5:U$27)/MAX(1,COUNTIF('93_TARGET_MEMBERSHIP'!BZ$5:BZ$27,1)))*(SUMPRODUCT(--('93_TARGET_MEMBERSHIP'!BZ$5:BZ$27=-1),'92_FEATURE_CONF_NUMERIC'!U$5:U$27)/MAX(1,COUNTIF('93_TARGET_MEMBERSHIP'!BZ$5:BZ$27,-1)))))</f>
        <v/>
      </c>
      <c r="U81" s="34">
        <f>IF($B81="ABSOLUTE SEMANTIC",'19_FEATURE_CONFIDENCE'!$D$23,SQRT((SUMPRODUCT(--('93_TARGET_MEMBERSHIP'!BZ$5:BZ$27=1),'92_FEATURE_CONF_NUMERIC'!V$5:V$27)/MAX(1,COUNTIF('93_TARGET_MEMBERSHIP'!BZ$5:BZ$27,1)))*(SUMPRODUCT(--('93_TARGET_MEMBERSHIP'!BZ$5:BZ$27=-1),'92_FEATURE_CONF_NUMERIC'!V$5:V$27)/MAX(1,COUNTIF('93_TARGET_MEMBERSHIP'!BZ$5:BZ$27,-1)))))</f>
        <v/>
      </c>
      <c r="V81" s="34">
        <f>IF($B81="ABSOLUTE SEMANTIC",'19_FEATURE_CONFIDENCE'!$D$24,SQRT((SUMPRODUCT(--('93_TARGET_MEMBERSHIP'!BZ$5:BZ$27=1),'92_FEATURE_CONF_NUMERIC'!W$5:W$27)/MAX(1,COUNTIF('93_TARGET_MEMBERSHIP'!BZ$5:BZ$27,1)))*(SUMPRODUCT(--('93_TARGET_MEMBERSHIP'!BZ$5:BZ$27=-1),'92_FEATURE_CONF_NUMERIC'!W$5:W$27)/MAX(1,COUNTIF('93_TARGET_MEMBERSHIP'!BZ$5:BZ$27,-1)))))</f>
        <v/>
      </c>
      <c r="W81" s="34">
        <f>IF($B81="ABSOLUTE SEMANTIC",'19_FEATURE_CONFIDENCE'!$D$25,SQRT((SUMPRODUCT(--('93_TARGET_MEMBERSHIP'!BZ$5:BZ$27=1),'92_FEATURE_CONF_NUMERIC'!X$5:X$27)/MAX(1,COUNTIF('93_TARGET_MEMBERSHIP'!BZ$5:BZ$27,1)))*(SUMPRODUCT(--('93_TARGET_MEMBERSHIP'!BZ$5:BZ$27=-1),'92_FEATURE_CONF_NUMERIC'!X$5:X$27)/MAX(1,COUNTIF('93_TARGET_MEMBERSHIP'!BZ$5:BZ$27,-1)))))</f>
        <v/>
      </c>
      <c r="X81" s="34">
        <f>IF($B81="ABSOLUTE SEMANTIC",'19_FEATURE_CONFIDENCE'!$D$26,SQRT((SUMPRODUCT(--('93_TARGET_MEMBERSHIP'!BZ$5:BZ$27=1),'92_FEATURE_CONF_NUMERIC'!Y$5:Y$27)/MAX(1,COUNTIF('93_TARGET_MEMBERSHIP'!BZ$5:BZ$27,1)))*(SUMPRODUCT(--('93_TARGET_MEMBERSHIP'!BZ$5:BZ$27=-1),'92_FEATURE_CONF_NUMERIC'!Y$5:Y$27)/MAX(1,COUNTIF('93_TARGET_MEMBERSHIP'!BZ$5:BZ$27,-1)))))</f>
        <v/>
      </c>
      <c r="Y81" s="34">
        <f>IF($B81="ABSOLUTE SEMANTIC",'19_FEATURE_CONFIDENCE'!$D$27,SQRT((SUMPRODUCT(--('93_TARGET_MEMBERSHIP'!BZ$5:BZ$27=1),'92_FEATURE_CONF_NUMERIC'!Z$5:Z$27)/MAX(1,COUNTIF('93_TARGET_MEMBERSHIP'!BZ$5:BZ$27,1)))*(SUMPRODUCT(--('93_TARGET_MEMBERSHIP'!BZ$5:BZ$27=-1),'92_FEATURE_CONF_NUMERIC'!Z$5:Z$27)/MAX(1,COUNTIF('93_TARGET_MEMBERSHIP'!BZ$5:BZ$27,-1)))))</f>
        <v/>
      </c>
      <c r="Z81" s="34">
        <f>IF($B81="ABSOLUTE SEMANTIC",'19_FEATURE_CONFIDENCE'!$D$28,SQRT((SUMPRODUCT(--('93_TARGET_MEMBERSHIP'!BZ$5:BZ$27=1),'92_FEATURE_CONF_NUMERIC'!AA$5:AA$27)/MAX(1,COUNTIF('93_TARGET_MEMBERSHIP'!BZ$5:BZ$27,1)))*(SUMPRODUCT(--('93_TARGET_MEMBERSHIP'!BZ$5:BZ$27=-1),'92_FEATURE_CONF_NUMERIC'!AA$5:AA$27)/MAX(1,COUNTIF('93_TARGET_MEMBERSHIP'!BZ$5:BZ$27,-1)))))</f>
        <v/>
      </c>
      <c r="AA81" s="34">
        <f>IF($B81="ABSOLUTE SEMANTIC",'19_FEATURE_CONFIDENCE'!$D$29,SQRT((SUMPRODUCT(--('93_TARGET_MEMBERSHIP'!BZ$5:BZ$27=1),'92_FEATURE_CONF_NUMERIC'!AB$5:AB$27)/MAX(1,COUNTIF('93_TARGET_MEMBERSHIP'!BZ$5:BZ$27,1)))*(SUMPRODUCT(--('93_TARGET_MEMBERSHIP'!BZ$5:BZ$27=-1),'92_FEATURE_CONF_NUMERIC'!AB$5:AB$27)/MAX(1,COUNTIF('93_TARGET_MEMBERSHIP'!BZ$5:BZ$27,-1)))))</f>
        <v/>
      </c>
      <c r="AB81" s="34">
        <f>IF($B81="ABSOLUTE SEMANTIC",'19_FEATURE_CONFIDENCE'!$D$30,SQRT((SUMPRODUCT(--('93_TARGET_MEMBERSHIP'!BZ$5:BZ$27=1),'92_FEATURE_CONF_NUMERIC'!AC$5:AC$27)/MAX(1,COUNTIF('93_TARGET_MEMBERSHIP'!BZ$5:BZ$27,1)))*(SUMPRODUCT(--('93_TARGET_MEMBERSHIP'!BZ$5:BZ$27=-1),'92_FEATURE_CONF_NUMERIC'!AC$5:AC$27)/MAX(1,COUNTIF('93_TARGET_MEMBERSHIP'!BZ$5:BZ$27,-1)))))</f>
        <v/>
      </c>
      <c r="AC81" s="34">
        <f>IF($B81="ABSOLUTE SEMANTIC",'19_FEATURE_CONFIDENCE'!$D$31,SQRT((SUMPRODUCT(--('93_TARGET_MEMBERSHIP'!BZ$5:BZ$27=1),'92_FEATURE_CONF_NUMERIC'!AD$5:AD$27)/MAX(1,COUNTIF('93_TARGET_MEMBERSHIP'!BZ$5:BZ$27,1)))*(SUMPRODUCT(--('93_TARGET_MEMBERSHIP'!BZ$5:BZ$27=-1),'92_FEATURE_CONF_NUMERIC'!AD$5:AD$27)/MAX(1,COUNTIF('93_TARGET_MEMBERSHIP'!BZ$5:BZ$27,-1)))))</f>
        <v/>
      </c>
      <c r="AD81" s="34">
        <f>IF($B81="ABSOLUTE SEMANTIC",'19_FEATURE_CONFIDENCE'!$D$32,SQRT((SUMPRODUCT(--('93_TARGET_MEMBERSHIP'!BZ$5:BZ$27=1),'92_FEATURE_CONF_NUMERIC'!AE$5:AE$27)/MAX(1,COUNTIF('93_TARGET_MEMBERSHIP'!BZ$5:BZ$27,1)))*(SUMPRODUCT(--('93_TARGET_MEMBERSHIP'!BZ$5:BZ$27=-1),'92_FEATURE_CONF_NUMERIC'!AE$5:AE$27)/MAX(1,COUNTIF('93_TARGET_MEMBERSHIP'!BZ$5:BZ$27,-1)))))</f>
        <v/>
      </c>
      <c r="AE81" s="34">
        <f>IF($B81="ABSOLUTE SEMANTIC",'19_FEATURE_CONFIDENCE'!$D$33,SQRT((SUMPRODUCT(--('93_TARGET_MEMBERSHIP'!BZ$5:BZ$27=1),'92_FEATURE_CONF_NUMERIC'!AF$5:AF$27)/MAX(1,COUNTIF('93_TARGET_MEMBERSHIP'!BZ$5:BZ$27,1)))*(SUMPRODUCT(--('93_TARGET_MEMBERSHIP'!BZ$5:BZ$27=-1),'92_FEATURE_CONF_NUMERIC'!AF$5:AF$27)/MAX(1,COUNTIF('93_TARGET_MEMBERSHIP'!BZ$5:BZ$27,-1)))))</f>
        <v/>
      </c>
      <c r="AF81" s="34">
        <f>IF($B81="ABSOLUTE SEMANTIC",'19_FEATURE_CONFIDENCE'!$D$34,SQRT((SUMPRODUCT(--('93_TARGET_MEMBERSHIP'!BZ$5:BZ$27=1),'92_FEATURE_CONF_NUMERIC'!AG$5:AG$27)/MAX(1,COUNTIF('93_TARGET_MEMBERSHIP'!BZ$5:BZ$27,1)))*(SUMPRODUCT(--('93_TARGET_MEMBERSHIP'!BZ$5:BZ$27=-1),'92_FEATURE_CONF_NUMERIC'!AG$5:AG$27)/MAX(1,COUNTIF('93_TARGET_MEMBERSHIP'!BZ$5:BZ$27,-1)))))</f>
        <v/>
      </c>
      <c r="AG81" s="34">
        <f>IF($B81="ABSOLUTE SEMANTIC",'19_FEATURE_CONFIDENCE'!$D$35,SQRT((SUMPRODUCT(--('93_TARGET_MEMBERSHIP'!BZ$5:BZ$27=1),'92_FEATURE_CONF_NUMERIC'!AH$5:AH$27)/MAX(1,COUNTIF('93_TARGET_MEMBERSHIP'!BZ$5:BZ$27,1)))*(SUMPRODUCT(--('93_TARGET_MEMBERSHIP'!BZ$5:BZ$27=-1),'92_FEATURE_CONF_NUMERIC'!AH$5:AH$27)/MAX(1,COUNTIF('93_TARGET_MEMBERSHIP'!BZ$5:BZ$27,-1)))))</f>
        <v/>
      </c>
      <c r="AH81" s="34">
        <f>IF($B81="ABSOLUTE SEMANTIC",'19_FEATURE_CONFIDENCE'!$D$36,SQRT((SUMPRODUCT(--('93_TARGET_MEMBERSHIP'!BZ$5:BZ$27=1),'92_FEATURE_CONF_NUMERIC'!AI$5:AI$27)/MAX(1,COUNTIF('93_TARGET_MEMBERSHIP'!BZ$5:BZ$27,1)))*(SUMPRODUCT(--('93_TARGET_MEMBERSHIP'!BZ$5:BZ$27=-1),'92_FEATURE_CONF_NUMERIC'!AI$5:AI$27)/MAX(1,COUNTIF('93_TARGET_MEMBERSHIP'!BZ$5:BZ$27,-1)))))</f>
        <v/>
      </c>
      <c r="AI81" s="34">
        <f>IF($B81="ABSOLUTE SEMANTIC",'19_FEATURE_CONFIDENCE'!$D$37,SQRT((SUMPRODUCT(--('93_TARGET_MEMBERSHIP'!BZ$5:BZ$27=1),'92_FEATURE_CONF_NUMERIC'!AJ$5:AJ$27)/MAX(1,COUNTIF('93_TARGET_MEMBERSHIP'!BZ$5:BZ$27,1)))*(SUMPRODUCT(--('93_TARGET_MEMBERSHIP'!BZ$5:BZ$27=-1),'92_FEATURE_CONF_NUMERIC'!AJ$5:AJ$27)/MAX(1,COUNTIF('93_TARGET_MEMBERSHIP'!BZ$5:BZ$27,-1)))))</f>
        <v/>
      </c>
      <c r="AJ81" s="34">
        <f>IF($B81="ABSOLUTE SEMANTIC",'19_FEATURE_CONFIDENCE'!$D$38,SQRT((SUMPRODUCT(--('93_TARGET_MEMBERSHIP'!BZ$5:BZ$27=1),'92_FEATURE_CONF_NUMERIC'!AK$5:AK$27)/MAX(1,COUNTIF('93_TARGET_MEMBERSHIP'!BZ$5:BZ$27,1)))*(SUMPRODUCT(--('93_TARGET_MEMBERSHIP'!BZ$5:BZ$27=-1),'92_FEATURE_CONF_NUMERIC'!AK$5:AK$27)/MAX(1,COUNTIF('93_TARGET_MEMBERSHIP'!BZ$5:BZ$27,-1)))))</f>
        <v/>
      </c>
      <c r="AK81" s="34">
        <f>IF($B81="ABSOLUTE SEMANTIC",'19_FEATURE_CONFIDENCE'!$D$39,SQRT((SUMPRODUCT(--('93_TARGET_MEMBERSHIP'!BZ$5:BZ$27=1),'92_FEATURE_CONF_NUMERIC'!AL$5:AL$27)/MAX(1,COUNTIF('93_TARGET_MEMBERSHIP'!BZ$5:BZ$27,1)))*(SUMPRODUCT(--('93_TARGET_MEMBERSHIP'!BZ$5:BZ$27=-1),'92_FEATURE_CONF_NUMERIC'!AL$5:AL$27)/MAX(1,COUNTIF('93_TARGET_MEMBERSHIP'!BZ$5:BZ$27,-1)))))</f>
        <v/>
      </c>
      <c r="AL81" s="34">
        <f>IF($B81="ABSOLUTE SEMANTIC",'19_FEATURE_CONFIDENCE'!$D$40,SQRT((SUMPRODUCT(--('93_TARGET_MEMBERSHIP'!BZ$5:BZ$27=1),'92_FEATURE_CONF_NUMERIC'!AM$5:AM$27)/MAX(1,COUNTIF('93_TARGET_MEMBERSHIP'!BZ$5:BZ$27,1)))*(SUMPRODUCT(--('93_TARGET_MEMBERSHIP'!BZ$5:BZ$27=-1),'92_FEATURE_CONF_NUMERIC'!AM$5:AM$27)/MAX(1,COUNTIF('93_TARGET_MEMBERSHIP'!BZ$5:BZ$27,-1)))))</f>
        <v/>
      </c>
      <c r="AM81" s="34">
        <f>IF($B81="ABSOLUTE SEMANTIC",'19_FEATURE_CONFIDENCE'!$D$41,SQRT((SUMPRODUCT(--('93_TARGET_MEMBERSHIP'!BZ$5:BZ$27=1),'92_FEATURE_CONF_NUMERIC'!AN$5:AN$27)/MAX(1,COUNTIF('93_TARGET_MEMBERSHIP'!BZ$5:BZ$27,1)))*(SUMPRODUCT(--('93_TARGET_MEMBERSHIP'!BZ$5:BZ$27=-1),'92_FEATURE_CONF_NUMERIC'!AN$5:AN$27)/MAX(1,COUNTIF('93_TARGET_MEMBERSHIP'!BZ$5:BZ$27,-1)))))</f>
        <v/>
      </c>
      <c r="AN81" s="34">
        <f>IF($B81="ABSOLUTE SEMANTIC",'19_FEATURE_CONFIDENCE'!$D$42,SQRT((SUMPRODUCT(--('93_TARGET_MEMBERSHIP'!BZ$5:BZ$27=1),'92_FEATURE_CONF_NUMERIC'!AO$5:AO$27)/MAX(1,COUNTIF('93_TARGET_MEMBERSHIP'!BZ$5:BZ$27,1)))*(SUMPRODUCT(--('93_TARGET_MEMBERSHIP'!BZ$5:BZ$27=-1),'92_FEATURE_CONF_NUMERIC'!AO$5:AO$27)/MAX(1,COUNTIF('93_TARGET_MEMBERSHIP'!BZ$5:BZ$27,-1)))))</f>
        <v/>
      </c>
      <c r="AO81" s="34">
        <f>IF($B81="ABSOLUTE SEMANTIC",'19_FEATURE_CONFIDENCE'!$D$43,SQRT((SUMPRODUCT(--('93_TARGET_MEMBERSHIP'!BZ$5:BZ$27=1),'92_FEATURE_CONF_NUMERIC'!AP$5:AP$27)/MAX(1,COUNTIF('93_TARGET_MEMBERSHIP'!BZ$5:BZ$27,1)))*(SUMPRODUCT(--('93_TARGET_MEMBERSHIP'!BZ$5:BZ$27=-1),'92_FEATURE_CONF_NUMERIC'!AP$5:AP$27)/MAX(1,COUNTIF('93_TARGET_MEMBERSHIP'!BZ$5:BZ$27,-1)))))</f>
        <v/>
      </c>
      <c r="AP81" s="34">
        <f>IF($B81="ABSOLUTE SEMANTIC",'19_FEATURE_CONFIDENCE'!$D$44,SQRT((SUMPRODUCT(--('93_TARGET_MEMBERSHIP'!BZ$5:BZ$27=1),'92_FEATURE_CONF_NUMERIC'!AQ$5:AQ$27)/MAX(1,COUNTIF('93_TARGET_MEMBERSHIP'!BZ$5:BZ$27,1)))*(SUMPRODUCT(--('93_TARGET_MEMBERSHIP'!BZ$5:BZ$27=-1),'92_FEATURE_CONF_NUMERIC'!AQ$5:AQ$27)/MAX(1,COUNTIF('93_TARGET_MEMBERSHIP'!BZ$5:BZ$27,-1)))))</f>
        <v/>
      </c>
      <c r="AQ81" s="34">
        <f>IF($B81="ABSOLUTE SEMANTIC",'19_FEATURE_CONFIDENCE'!$D$45,SQRT((SUMPRODUCT(--('93_TARGET_MEMBERSHIP'!BZ$5:BZ$27=1),'92_FEATURE_CONF_NUMERIC'!AR$5:AR$27)/MAX(1,COUNTIF('93_TARGET_MEMBERSHIP'!BZ$5:BZ$27,1)))*(SUMPRODUCT(--('93_TARGET_MEMBERSHIP'!BZ$5:BZ$27=-1),'92_FEATURE_CONF_NUMERIC'!AR$5:AR$27)/MAX(1,COUNTIF('93_TARGET_MEMBERSHIP'!BZ$5:BZ$27,-1)))))</f>
        <v/>
      </c>
    </row>
    <row r="82" ht="36" customHeight="1">
      <c r="A82" s="34">
        <f>'06_ITEM_POLE_MODEL'!A82</f>
        <v/>
      </c>
      <c r="B82" s="34">
        <f>'06_ITEM_POLE_MODEL'!E82</f>
        <v/>
      </c>
      <c r="C82" s="34">
        <f>IF($B82="ABSOLUTE SEMANTIC",'19_FEATURE_CONFIDENCE'!$D$5,SQRT((SUMPRODUCT(--('93_TARGET_MEMBERSHIP'!CA$5:CA$27=1),'92_FEATURE_CONF_NUMERIC'!D$5:D$27)/MAX(1,COUNTIF('93_TARGET_MEMBERSHIP'!CA$5:CA$27,1)))*(SUMPRODUCT(--('93_TARGET_MEMBERSHIP'!CA$5:CA$27=-1),'92_FEATURE_CONF_NUMERIC'!D$5:D$27)/MAX(1,COUNTIF('93_TARGET_MEMBERSHIP'!CA$5:CA$27,-1)))))</f>
        <v/>
      </c>
      <c r="D82" s="34">
        <f>IF($B82="ABSOLUTE SEMANTIC",'19_FEATURE_CONFIDENCE'!$D$6,SQRT((SUMPRODUCT(--('93_TARGET_MEMBERSHIP'!CA$5:CA$27=1),'92_FEATURE_CONF_NUMERIC'!E$5:E$27)/MAX(1,COUNTIF('93_TARGET_MEMBERSHIP'!CA$5:CA$27,1)))*(SUMPRODUCT(--('93_TARGET_MEMBERSHIP'!CA$5:CA$27=-1),'92_FEATURE_CONF_NUMERIC'!E$5:E$27)/MAX(1,COUNTIF('93_TARGET_MEMBERSHIP'!CA$5:CA$27,-1)))))</f>
        <v/>
      </c>
      <c r="E82" s="34">
        <f>IF($B82="ABSOLUTE SEMANTIC",'19_FEATURE_CONFIDENCE'!$D$7,SQRT((SUMPRODUCT(--('93_TARGET_MEMBERSHIP'!CA$5:CA$27=1),'92_FEATURE_CONF_NUMERIC'!F$5:F$27)/MAX(1,COUNTIF('93_TARGET_MEMBERSHIP'!CA$5:CA$27,1)))*(SUMPRODUCT(--('93_TARGET_MEMBERSHIP'!CA$5:CA$27=-1),'92_FEATURE_CONF_NUMERIC'!F$5:F$27)/MAX(1,COUNTIF('93_TARGET_MEMBERSHIP'!CA$5:CA$27,-1)))))</f>
        <v/>
      </c>
      <c r="F82" s="34">
        <f>IF($B82="ABSOLUTE SEMANTIC",'19_FEATURE_CONFIDENCE'!$D$8,SQRT((SUMPRODUCT(--('93_TARGET_MEMBERSHIP'!CA$5:CA$27=1),'92_FEATURE_CONF_NUMERIC'!G$5:G$27)/MAX(1,COUNTIF('93_TARGET_MEMBERSHIP'!CA$5:CA$27,1)))*(SUMPRODUCT(--('93_TARGET_MEMBERSHIP'!CA$5:CA$27=-1),'92_FEATURE_CONF_NUMERIC'!G$5:G$27)/MAX(1,COUNTIF('93_TARGET_MEMBERSHIP'!CA$5:CA$27,-1)))))</f>
        <v/>
      </c>
      <c r="G82" s="34">
        <f>IF($B82="ABSOLUTE SEMANTIC",'19_FEATURE_CONFIDENCE'!$D$9,SQRT((SUMPRODUCT(--('93_TARGET_MEMBERSHIP'!CA$5:CA$27=1),'92_FEATURE_CONF_NUMERIC'!H$5:H$27)/MAX(1,COUNTIF('93_TARGET_MEMBERSHIP'!CA$5:CA$27,1)))*(SUMPRODUCT(--('93_TARGET_MEMBERSHIP'!CA$5:CA$27=-1),'92_FEATURE_CONF_NUMERIC'!H$5:H$27)/MAX(1,COUNTIF('93_TARGET_MEMBERSHIP'!CA$5:CA$27,-1)))))</f>
        <v/>
      </c>
      <c r="H82" s="34">
        <f>IF($B82="ABSOLUTE SEMANTIC",'19_FEATURE_CONFIDENCE'!$D$10,SQRT((SUMPRODUCT(--('93_TARGET_MEMBERSHIP'!CA$5:CA$27=1),'92_FEATURE_CONF_NUMERIC'!I$5:I$27)/MAX(1,COUNTIF('93_TARGET_MEMBERSHIP'!CA$5:CA$27,1)))*(SUMPRODUCT(--('93_TARGET_MEMBERSHIP'!CA$5:CA$27=-1),'92_FEATURE_CONF_NUMERIC'!I$5:I$27)/MAX(1,COUNTIF('93_TARGET_MEMBERSHIP'!CA$5:CA$27,-1)))))</f>
        <v/>
      </c>
      <c r="I82" s="34">
        <f>IF($B82="ABSOLUTE SEMANTIC",'19_FEATURE_CONFIDENCE'!$D$11,SQRT((SUMPRODUCT(--('93_TARGET_MEMBERSHIP'!CA$5:CA$27=1),'92_FEATURE_CONF_NUMERIC'!J$5:J$27)/MAX(1,COUNTIF('93_TARGET_MEMBERSHIP'!CA$5:CA$27,1)))*(SUMPRODUCT(--('93_TARGET_MEMBERSHIP'!CA$5:CA$27=-1),'92_FEATURE_CONF_NUMERIC'!J$5:J$27)/MAX(1,COUNTIF('93_TARGET_MEMBERSHIP'!CA$5:CA$27,-1)))))</f>
        <v/>
      </c>
      <c r="J82" s="34">
        <f>IF($B82="ABSOLUTE SEMANTIC",'19_FEATURE_CONFIDENCE'!$D$12,SQRT((SUMPRODUCT(--('93_TARGET_MEMBERSHIP'!CA$5:CA$27=1),'92_FEATURE_CONF_NUMERIC'!K$5:K$27)/MAX(1,COUNTIF('93_TARGET_MEMBERSHIP'!CA$5:CA$27,1)))*(SUMPRODUCT(--('93_TARGET_MEMBERSHIP'!CA$5:CA$27=-1),'92_FEATURE_CONF_NUMERIC'!K$5:K$27)/MAX(1,COUNTIF('93_TARGET_MEMBERSHIP'!CA$5:CA$27,-1)))))</f>
        <v/>
      </c>
      <c r="K82" s="34">
        <f>IF($B82="ABSOLUTE SEMANTIC",'19_FEATURE_CONFIDENCE'!$D$13,SQRT((SUMPRODUCT(--('93_TARGET_MEMBERSHIP'!CA$5:CA$27=1),'92_FEATURE_CONF_NUMERIC'!L$5:L$27)/MAX(1,COUNTIF('93_TARGET_MEMBERSHIP'!CA$5:CA$27,1)))*(SUMPRODUCT(--('93_TARGET_MEMBERSHIP'!CA$5:CA$27=-1),'92_FEATURE_CONF_NUMERIC'!L$5:L$27)/MAX(1,COUNTIF('93_TARGET_MEMBERSHIP'!CA$5:CA$27,-1)))))</f>
        <v/>
      </c>
      <c r="L82" s="34">
        <f>IF($B82="ABSOLUTE SEMANTIC",'19_FEATURE_CONFIDENCE'!$D$14,SQRT((SUMPRODUCT(--('93_TARGET_MEMBERSHIP'!CA$5:CA$27=1),'92_FEATURE_CONF_NUMERIC'!M$5:M$27)/MAX(1,COUNTIF('93_TARGET_MEMBERSHIP'!CA$5:CA$27,1)))*(SUMPRODUCT(--('93_TARGET_MEMBERSHIP'!CA$5:CA$27=-1),'92_FEATURE_CONF_NUMERIC'!M$5:M$27)/MAX(1,COUNTIF('93_TARGET_MEMBERSHIP'!CA$5:CA$27,-1)))))</f>
        <v/>
      </c>
      <c r="M82" s="34">
        <f>IF($B82="ABSOLUTE SEMANTIC",'19_FEATURE_CONFIDENCE'!$D$15,SQRT((SUMPRODUCT(--('93_TARGET_MEMBERSHIP'!CA$5:CA$27=1),'92_FEATURE_CONF_NUMERIC'!N$5:N$27)/MAX(1,COUNTIF('93_TARGET_MEMBERSHIP'!CA$5:CA$27,1)))*(SUMPRODUCT(--('93_TARGET_MEMBERSHIP'!CA$5:CA$27=-1),'92_FEATURE_CONF_NUMERIC'!N$5:N$27)/MAX(1,COUNTIF('93_TARGET_MEMBERSHIP'!CA$5:CA$27,-1)))))</f>
        <v/>
      </c>
      <c r="N82" s="34">
        <f>IF($B82="ABSOLUTE SEMANTIC",'19_FEATURE_CONFIDENCE'!$D$16,SQRT((SUMPRODUCT(--('93_TARGET_MEMBERSHIP'!CA$5:CA$27=1),'92_FEATURE_CONF_NUMERIC'!O$5:O$27)/MAX(1,COUNTIF('93_TARGET_MEMBERSHIP'!CA$5:CA$27,1)))*(SUMPRODUCT(--('93_TARGET_MEMBERSHIP'!CA$5:CA$27=-1),'92_FEATURE_CONF_NUMERIC'!O$5:O$27)/MAX(1,COUNTIF('93_TARGET_MEMBERSHIP'!CA$5:CA$27,-1)))))</f>
        <v/>
      </c>
      <c r="O82" s="34">
        <f>IF($B82="ABSOLUTE SEMANTIC",'19_FEATURE_CONFIDENCE'!$D$17,SQRT((SUMPRODUCT(--('93_TARGET_MEMBERSHIP'!CA$5:CA$27=1),'92_FEATURE_CONF_NUMERIC'!P$5:P$27)/MAX(1,COUNTIF('93_TARGET_MEMBERSHIP'!CA$5:CA$27,1)))*(SUMPRODUCT(--('93_TARGET_MEMBERSHIP'!CA$5:CA$27=-1),'92_FEATURE_CONF_NUMERIC'!P$5:P$27)/MAX(1,COUNTIF('93_TARGET_MEMBERSHIP'!CA$5:CA$27,-1)))))</f>
        <v/>
      </c>
      <c r="P82" s="34">
        <f>IF($B82="ABSOLUTE SEMANTIC",'19_FEATURE_CONFIDENCE'!$D$18,SQRT((SUMPRODUCT(--('93_TARGET_MEMBERSHIP'!CA$5:CA$27=1),'92_FEATURE_CONF_NUMERIC'!Q$5:Q$27)/MAX(1,COUNTIF('93_TARGET_MEMBERSHIP'!CA$5:CA$27,1)))*(SUMPRODUCT(--('93_TARGET_MEMBERSHIP'!CA$5:CA$27=-1),'92_FEATURE_CONF_NUMERIC'!Q$5:Q$27)/MAX(1,COUNTIF('93_TARGET_MEMBERSHIP'!CA$5:CA$27,-1)))))</f>
        <v/>
      </c>
      <c r="Q82" s="34">
        <f>IF($B82="ABSOLUTE SEMANTIC",'19_FEATURE_CONFIDENCE'!$D$19,SQRT((SUMPRODUCT(--('93_TARGET_MEMBERSHIP'!CA$5:CA$27=1),'92_FEATURE_CONF_NUMERIC'!R$5:R$27)/MAX(1,COUNTIF('93_TARGET_MEMBERSHIP'!CA$5:CA$27,1)))*(SUMPRODUCT(--('93_TARGET_MEMBERSHIP'!CA$5:CA$27=-1),'92_FEATURE_CONF_NUMERIC'!R$5:R$27)/MAX(1,COUNTIF('93_TARGET_MEMBERSHIP'!CA$5:CA$27,-1)))))</f>
        <v/>
      </c>
      <c r="R82" s="34">
        <f>IF($B82="ABSOLUTE SEMANTIC",'19_FEATURE_CONFIDENCE'!$D$20,SQRT((SUMPRODUCT(--('93_TARGET_MEMBERSHIP'!CA$5:CA$27=1),'92_FEATURE_CONF_NUMERIC'!S$5:S$27)/MAX(1,COUNTIF('93_TARGET_MEMBERSHIP'!CA$5:CA$27,1)))*(SUMPRODUCT(--('93_TARGET_MEMBERSHIP'!CA$5:CA$27=-1),'92_FEATURE_CONF_NUMERIC'!S$5:S$27)/MAX(1,COUNTIF('93_TARGET_MEMBERSHIP'!CA$5:CA$27,-1)))))</f>
        <v/>
      </c>
      <c r="S82" s="34">
        <f>IF($B82="ABSOLUTE SEMANTIC",'19_FEATURE_CONFIDENCE'!$D$21,SQRT((SUMPRODUCT(--('93_TARGET_MEMBERSHIP'!CA$5:CA$27=1),'92_FEATURE_CONF_NUMERIC'!T$5:T$27)/MAX(1,COUNTIF('93_TARGET_MEMBERSHIP'!CA$5:CA$27,1)))*(SUMPRODUCT(--('93_TARGET_MEMBERSHIP'!CA$5:CA$27=-1),'92_FEATURE_CONF_NUMERIC'!T$5:T$27)/MAX(1,COUNTIF('93_TARGET_MEMBERSHIP'!CA$5:CA$27,-1)))))</f>
        <v/>
      </c>
      <c r="T82" s="34">
        <f>IF($B82="ABSOLUTE SEMANTIC",'19_FEATURE_CONFIDENCE'!$D$22,SQRT((SUMPRODUCT(--('93_TARGET_MEMBERSHIP'!CA$5:CA$27=1),'92_FEATURE_CONF_NUMERIC'!U$5:U$27)/MAX(1,COUNTIF('93_TARGET_MEMBERSHIP'!CA$5:CA$27,1)))*(SUMPRODUCT(--('93_TARGET_MEMBERSHIP'!CA$5:CA$27=-1),'92_FEATURE_CONF_NUMERIC'!U$5:U$27)/MAX(1,COUNTIF('93_TARGET_MEMBERSHIP'!CA$5:CA$27,-1)))))</f>
        <v/>
      </c>
      <c r="U82" s="34">
        <f>IF($B82="ABSOLUTE SEMANTIC",'19_FEATURE_CONFIDENCE'!$D$23,SQRT((SUMPRODUCT(--('93_TARGET_MEMBERSHIP'!CA$5:CA$27=1),'92_FEATURE_CONF_NUMERIC'!V$5:V$27)/MAX(1,COUNTIF('93_TARGET_MEMBERSHIP'!CA$5:CA$27,1)))*(SUMPRODUCT(--('93_TARGET_MEMBERSHIP'!CA$5:CA$27=-1),'92_FEATURE_CONF_NUMERIC'!V$5:V$27)/MAX(1,COUNTIF('93_TARGET_MEMBERSHIP'!CA$5:CA$27,-1)))))</f>
        <v/>
      </c>
      <c r="V82" s="34">
        <f>IF($B82="ABSOLUTE SEMANTIC",'19_FEATURE_CONFIDENCE'!$D$24,SQRT((SUMPRODUCT(--('93_TARGET_MEMBERSHIP'!CA$5:CA$27=1),'92_FEATURE_CONF_NUMERIC'!W$5:W$27)/MAX(1,COUNTIF('93_TARGET_MEMBERSHIP'!CA$5:CA$27,1)))*(SUMPRODUCT(--('93_TARGET_MEMBERSHIP'!CA$5:CA$27=-1),'92_FEATURE_CONF_NUMERIC'!W$5:W$27)/MAX(1,COUNTIF('93_TARGET_MEMBERSHIP'!CA$5:CA$27,-1)))))</f>
        <v/>
      </c>
      <c r="W82" s="34">
        <f>IF($B82="ABSOLUTE SEMANTIC",'19_FEATURE_CONFIDENCE'!$D$25,SQRT((SUMPRODUCT(--('93_TARGET_MEMBERSHIP'!CA$5:CA$27=1),'92_FEATURE_CONF_NUMERIC'!X$5:X$27)/MAX(1,COUNTIF('93_TARGET_MEMBERSHIP'!CA$5:CA$27,1)))*(SUMPRODUCT(--('93_TARGET_MEMBERSHIP'!CA$5:CA$27=-1),'92_FEATURE_CONF_NUMERIC'!X$5:X$27)/MAX(1,COUNTIF('93_TARGET_MEMBERSHIP'!CA$5:CA$27,-1)))))</f>
        <v/>
      </c>
      <c r="X82" s="34">
        <f>IF($B82="ABSOLUTE SEMANTIC",'19_FEATURE_CONFIDENCE'!$D$26,SQRT((SUMPRODUCT(--('93_TARGET_MEMBERSHIP'!CA$5:CA$27=1),'92_FEATURE_CONF_NUMERIC'!Y$5:Y$27)/MAX(1,COUNTIF('93_TARGET_MEMBERSHIP'!CA$5:CA$27,1)))*(SUMPRODUCT(--('93_TARGET_MEMBERSHIP'!CA$5:CA$27=-1),'92_FEATURE_CONF_NUMERIC'!Y$5:Y$27)/MAX(1,COUNTIF('93_TARGET_MEMBERSHIP'!CA$5:CA$27,-1)))))</f>
        <v/>
      </c>
      <c r="Y82" s="34">
        <f>IF($B82="ABSOLUTE SEMANTIC",'19_FEATURE_CONFIDENCE'!$D$27,SQRT((SUMPRODUCT(--('93_TARGET_MEMBERSHIP'!CA$5:CA$27=1),'92_FEATURE_CONF_NUMERIC'!Z$5:Z$27)/MAX(1,COUNTIF('93_TARGET_MEMBERSHIP'!CA$5:CA$27,1)))*(SUMPRODUCT(--('93_TARGET_MEMBERSHIP'!CA$5:CA$27=-1),'92_FEATURE_CONF_NUMERIC'!Z$5:Z$27)/MAX(1,COUNTIF('93_TARGET_MEMBERSHIP'!CA$5:CA$27,-1)))))</f>
        <v/>
      </c>
      <c r="Z82" s="34">
        <f>IF($B82="ABSOLUTE SEMANTIC",'19_FEATURE_CONFIDENCE'!$D$28,SQRT((SUMPRODUCT(--('93_TARGET_MEMBERSHIP'!CA$5:CA$27=1),'92_FEATURE_CONF_NUMERIC'!AA$5:AA$27)/MAX(1,COUNTIF('93_TARGET_MEMBERSHIP'!CA$5:CA$27,1)))*(SUMPRODUCT(--('93_TARGET_MEMBERSHIP'!CA$5:CA$27=-1),'92_FEATURE_CONF_NUMERIC'!AA$5:AA$27)/MAX(1,COUNTIF('93_TARGET_MEMBERSHIP'!CA$5:CA$27,-1)))))</f>
        <v/>
      </c>
      <c r="AA82" s="34">
        <f>IF($B82="ABSOLUTE SEMANTIC",'19_FEATURE_CONFIDENCE'!$D$29,SQRT((SUMPRODUCT(--('93_TARGET_MEMBERSHIP'!CA$5:CA$27=1),'92_FEATURE_CONF_NUMERIC'!AB$5:AB$27)/MAX(1,COUNTIF('93_TARGET_MEMBERSHIP'!CA$5:CA$27,1)))*(SUMPRODUCT(--('93_TARGET_MEMBERSHIP'!CA$5:CA$27=-1),'92_FEATURE_CONF_NUMERIC'!AB$5:AB$27)/MAX(1,COUNTIF('93_TARGET_MEMBERSHIP'!CA$5:CA$27,-1)))))</f>
        <v/>
      </c>
      <c r="AB82" s="34">
        <f>IF($B82="ABSOLUTE SEMANTIC",'19_FEATURE_CONFIDENCE'!$D$30,SQRT((SUMPRODUCT(--('93_TARGET_MEMBERSHIP'!CA$5:CA$27=1),'92_FEATURE_CONF_NUMERIC'!AC$5:AC$27)/MAX(1,COUNTIF('93_TARGET_MEMBERSHIP'!CA$5:CA$27,1)))*(SUMPRODUCT(--('93_TARGET_MEMBERSHIP'!CA$5:CA$27=-1),'92_FEATURE_CONF_NUMERIC'!AC$5:AC$27)/MAX(1,COUNTIF('93_TARGET_MEMBERSHIP'!CA$5:CA$27,-1)))))</f>
        <v/>
      </c>
      <c r="AC82" s="34">
        <f>IF($B82="ABSOLUTE SEMANTIC",'19_FEATURE_CONFIDENCE'!$D$31,SQRT((SUMPRODUCT(--('93_TARGET_MEMBERSHIP'!CA$5:CA$27=1),'92_FEATURE_CONF_NUMERIC'!AD$5:AD$27)/MAX(1,COUNTIF('93_TARGET_MEMBERSHIP'!CA$5:CA$27,1)))*(SUMPRODUCT(--('93_TARGET_MEMBERSHIP'!CA$5:CA$27=-1),'92_FEATURE_CONF_NUMERIC'!AD$5:AD$27)/MAX(1,COUNTIF('93_TARGET_MEMBERSHIP'!CA$5:CA$27,-1)))))</f>
        <v/>
      </c>
      <c r="AD82" s="34">
        <f>IF($B82="ABSOLUTE SEMANTIC",'19_FEATURE_CONFIDENCE'!$D$32,SQRT((SUMPRODUCT(--('93_TARGET_MEMBERSHIP'!CA$5:CA$27=1),'92_FEATURE_CONF_NUMERIC'!AE$5:AE$27)/MAX(1,COUNTIF('93_TARGET_MEMBERSHIP'!CA$5:CA$27,1)))*(SUMPRODUCT(--('93_TARGET_MEMBERSHIP'!CA$5:CA$27=-1),'92_FEATURE_CONF_NUMERIC'!AE$5:AE$27)/MAX(1,COUNTIF('93_TARGET_MEMBERSHIP'!CA$5:CA$27,-1)))))</f>
        <v/>
      </c>
      <c r="AE82" s="34">
        <f>IF($B82="ABSOLUTE SEMANTIC",'19_FEATURE_CONFIDENCE'!$D$33,SQRT((SUMPRODUCT(--('93_TARGET_MEMBERSHIP'!CA$5:CA$27=1),'92_FEATURE_CONF_NUMERIC'!AF$5:AF$27)/MAX(1,COUNTIF('93_TARGET_MEMBERSHIP'!CA$5:CA$27,1)))*(SUMPRODUCT(--('93_TARGET_MEMBERSHIP'!CA$5:CA$27=-1),'92_FEATURE_CONF_NUMERIC'!AF$5:AF$27)/MAX(1,COUNTIF('93_TARGET_MEMBERSHIP'!CA$5:CA$27,-1)))))</f>
        <v/>
      </c>
      <c r="AF82" s="34">
        <f>IF($B82="ABSOLUTE SEMANTIC",'19_FEATURE_CONFIDENCE'!$D$34,SQRT((SUMPRODUCT(--('93_TARGET_MEMBERSHIP'!CA$5:CA$27=1),'92_FEATURE_CONF_NUMERIC'!AG$5:AG$27)/MAX(1,COUNTIF('93_TARGET_MEMBERSHIP'!CA$5:CA$27,1)))*(SUMPRODUCT(--('93_TARGET_MEMBERSHIP'!CA$5:CA$27=-1),'92_FEATURE_CONF_NUMERIC'!AG$5:AG$27)/MAX(1,COUNTIF('93_TARGET_MEMBERSHIP'!CA$5:CA$27,-1)))))</f>
        <v/>
      </c>
      <c r="AG82" s="34">
        <f>IF($B82="ABSOLUTE SEMANTIC",'19_FEATURE_CONFIDENCE'!$D$35,SQRT((SUMPRODUCT(--('93_TARGET_MEMBERSHIP'!CA$5:CA$27=1),'92_FEATURE_CONF_NUMERIC'!AH$5:AH$27)/MAX(1,COUNTIF('93_TARGET_MEMBERSHIP'!CA$5:CA$27,1)))*(SUMPRODUCT(--('93_TARGET_MEMBERSHIP'!CA$5:CA$27=-1),'92_FEATURE_CONF_NUMERIC'!AH$5:AH$27)/MAX(1,COUNTIF('93_TARGET_MEMBERSHIP'!CA$5:CA$27,-1)))))</f>
        <v/>
      </c>
      <c r="AH82" s="34">
        <f>IF($B82="ABSOLUTE SEMANTIC",'19_FEATURE_CONFIDENCE'!$D$36,SQRT((SUMPRODUCT(--('93_TARGET_MEMBERSHIP'!CA$5:CA$27=1),'92_FEATURE_CONF_NUMERIC'!AI$5:AI$27)/MAX(1,COUNTIF('93_TARGET_MEMBERSHIP'!CA$5:CA$27,1)))*(SUMPRODUCT(--('93_TARGET_MEMBERSHIP'!CA$5:CA$27=-1),'92_FEATURE_CONF_NUMERIC'!AI$5:AI$27)/MAX(1,COUNTIF('93_TARGET_MEMBERSHIP'!CA$5:CA$27,-1)))))</f>
        <v/>
      </c>
      <c r="AI82" s="34">
        <f>IF($B82="ABSOLUTE SEMANTIC",'19_FEATURE_CONFIDENCE'!$D$37,SQRT((SUMPRODUCT(--('93_TARGET_MEMBERSHIP'!CA$5:CA$27=1),'92_FEATURE_CONF_NUMERIC'!AJ$5:AJ$27)/MAX(1,COUNTIF('93_TARGET_MEMBERSHIP'!CA$5:CA$27,1)))*(SUMPRODUCT(--('93_TARGET_MEMBERSHIP'!CA$5:CA$27=-1),'92_FEATURE_CONF_NUMERIC'!AJ$5:AJ$27)/MAX(1,COUNTIF('93_TARGET_MEMBERSHIP'!CA$5:CA$27,-1)))))</f>
        <v/>
      </c>
      <c r="AJ82" s="34">
        <f>IF($B82="ABSOLUTE SEMANTIC",'19_FEATURE_CONFIDENCE'!$D$38,SQRT((SUMPRODUCT(--('93_TARGET_MEMBERSHIP'!CA$5:CA$27=1),'92_FEATURE_CONF_NUMERIC'!AK$5:AK$27)/MAX(1,COUNTIF('93_TARGET_MEMBERSHIP'!CA$5:CA$27,1)))*(SUMPRODUCT(--('93_TARGET_MEMBERSHIP'!CA$5:CA$27=-1),'92_FEATURE_CONF_NUMERIC'!AK$5:AK$27)/MAX(1,COUNTIF('93_TARGET_MEMBERSHIP'!CA$5:CA$27,-1)))))</f>
        <v/>
      </c>
      <c r="AK82" s="34">
        <f>IF($B82="ABSOLUTE SEMANTIC",'19_FEATURE_CONFIDENCE'!$D$39,SQRT((SUMPRODUCT(--('93_TARGET_MEMBERSHIP'!CA$5:CA$27=1),'92_FEATURE_CONF_NUMERIC'!AL$5:AL$27)/MAX(1,COUNTIF('93_TARGET_MEMBERSHIP'!CA$5:CA$27,1)))*(SUMPRODUCT(--('93_TARGET_MEMBERSHIP'!CA$5:CA$27=-1),'92_FEATURE_CONF_NUMERIC'!AL$5:AL$27)/MAX(1,COUNTIF('93_TARGET_MEMBERSHIP'!CA$5:CA$27,-1)))))</f>
        <v/>
      </c>
      <c r="AL82" s="34">
        <f>IF($B82="ABSOLUTE SEMANTIC",'19_FEATURE_CONFIDENCE'!$D$40,SQRT((SUMPRODUCT(--('93_TARGET_MEMBERSHIP'!CA$5:CA$27=1),'92_FEATURE_CONF_NUMERIC'!AM$5:AM$27)/MAX(1,COUNTIF('93_TARGET_MEMBERSHIP'!CA$5:CA$27,1)))*(SUMPRODUCT(--('93_TARGET_MEMBERSHIP'!CA$5:CA$27=-1),'92_FEATURE_CONF_NUMERIC'!AM$5:AM$27)/MAX(1,COUNTIF('93_TARGET_MEMBERSHIP'!CA$5:CA$27,-1)))))</f>
        <v/>
      </c>
      <c r="AM82" s="34">
        <f>IF($B82="ABSOLUTE SEMANTIC",'19_FEATURE_CONFIDENCE'!$D$41,SQRT((SUMPRODUCT(--('93_TARGET_MEMBERSHIP'!CA$5:CA$27=1),'92_FEATURE_CONF_NUMERIC'!AN$5:AN$27)/MAX(1,COUNTIF('93_TARGET_MEMBERSHIP'!CA$5:CA$27,1)))*(SUMPRODUCT(--('93_TARGET_MEMBERSHIP'!CA$5:CA$27=-1),'92_FEATURE_CONF_NUMERIC'!AN$5:AN$27)/MAX(1,COUNTIF('93_TARGET_MEMBERSHIP'!CA$5:CA$27,-1)))))</f>
        <v/>
      </c>
      <c r="AN82" s="34">
        <f>IF($B82="ABSOLUTE SEMANTIC",'19_FEATURE_CONFIDENCE'!$D$42,SQRT((SUMPRODUCT(--('93_TARGET_MEMBERSHIP'!CA$5:CA$27=1),'92_FEATURE_CONF_NUMERIC'!AO$5:AO$27)/MAX(1,COUNTIF('93_TARGET_MEMBERSHIP'!CA$5:CA$27,1)))*(SUMPRODUCT(--('93_TARGET_MEMBERSHIP'!CA$5:CA$27=-1),'92_FEATURE_CONF_NUMERIC'!AO$5:AO$27)/MAX(1,COUNTIF('93_TARGET_MEMBERSHIP'!CA$5:CA$27,-1)))))</f>
        <v/>
      </c>
      <c r="AO82" s="34">
        <f>IF($B82="ABSOLUTE SEMANTIC",'19_FEATURE_CONFIDENCE'!$D$43,SQRT((SUMPRODUCT(--('93_TARGET_MEMBERSHIP'!CA$5:CA$27=1),'92_FEATURE_CONF_NUMERIC'!AP$5:AP$27)/MAX(1,COUNTIF('93_TARGET_MEMBERSHIP'!CA$5:CA$27,1)))*(SUMPRODUCT(--('93_TARGET_MEMBERSHIP'!CA$5:CA$27=-1),'92_FEATURE_CONF_NUMERIC'!AP$5:AP$27)/MAX(1,COUNTIF('93_TARGET_MEMBERSHIP'!CA$5:CA$27,-1)))))</f>
        <v/>
      </c>
      <c r="AP82" s="34">
        <f>IF($B82="ABSOLUTE SEMANTIC",'19_FEATURE_CONFIDENCE'!$D$44,SQRT((SUMPRODUCT(--('93_TARGET_MEMBERSHIP'!CA$5:CA$27=1),'92_FEATURE_CONF_NUMERIC'!AQ$5:AQ$27)/MAX(1,COUNTIF('93_TARGET_MEMBERSHIP'!CA$5:CA$27,1)))*(SUMPRODUCT(--('93_TARGET_MEMBERSHIP'!CA$5:CA$27=-1),'92_FEATURE_CONF_NUMERIC'!AQ$5:AQ$27)/MAX(1,COUNTIF('93_TARGET_MEMBERSHIP'!CA$5:CA$27,-1)))))</f>
        <v/>
      </c>
      <c r="AQ82" s="34">
        <f>IF($B82="ABSOLUTE SEMANTIC",'19_FEATURE_CONFIDENCE'!$D$45,SQRT((SUMPRODUCT(--('93_TARGET_MEMBERSHIP'!CA$5:CA$27=1),'92_FEATURE_CONF_NUMERIC'!AR$5:AR$27)/MAX(1,COUNTIF('93_TARGET_MEMBERSHIP'!CA$5:CA$27,1)))*(SUMPRODUCT(--('93_TARGET_MEMBERSHIP'!CA$5:CA$27=-1),'92_FEATURE_CONF_NUMERIC'!AR$5:AR$27)/MAX(1,COUNTIF('93_TARGET_MEMBERSHIP'!CA$5:CA$27,-1)))))</f>
        <v/>
      </c>
    </row>
    <row r="83" ht="36" customHeight="1">
      <c r="A83" s="34">
        <f>'06_ITEM_POLE_MODEL'!A83</f>
        <v/>
      </c>
      <c r="B83" s="34">
        <f>'06_ITEM_POLE_MODEL'!E83</f>
        <v/>
      </c>
      <c r="C83" s="34">
        <f>IF($B83="ABSOLUTE SEMANTIC",'19_FEATURE_CONFIDENCE'!$D$5,SQRT((SUMPRODUCT(--('93_TARGET_MEMBERSHIP'!CB$5:CB$27=1),'92_FEATURE_CONF_NUMERIC'!D$5:D$27)/MAX(1,COUNTIF('93_TARGET_MEMBERSHIP'!CB$5:CB$27,1)))*(SUMPRODUCT(--('93_TARGET_MEMBERSHIP'!CB$5:CB$27=-1),'92_FEATURE_CONF_NUMERIC'!D$5:D$27)/MAX(1,COUNTIF('93_TARGET_MEMBERSHIP'!CB$5:CB$27,-1)))))</f>
        <v/>
      </c>
      <c r="D83" s="34">
        <f>IF($B83="ABSOLUTE SEMANTIC",'19_FEATURE_CONFIDENCE'!$D$6,SQRT((SUMPRODUCT(--('93_TARGET_MEMBERSHIP'!CB$5:CB$27=1),'92_FEATURE_CONF_NUMERIC'!E$5:E$27)/MAX(1,COUNTIF('93_TARGET_MEMBERSHIP'!CB$5:CB$27,1)))*(SUMPRODUCT(--('93_TARGET_MEMBERSHIP'!CB$5:CB$27=-1),'92_FEATURE_CONF_NUMERIC'!E$5:E$27)/MAX(1,COUNTIF('93_TARGET_MEMBERSHIP'!CB$5:CB$27,-1)))))</f>
        <v/>
      </c>
      <c r="E83" s="34">
        <f>IF($B83="ABSOLUTE SEMANTIC",'19_FEATURE_CONFIDENCE'!$D$7,SQRT((SUMPRODUCT(--('93_TARGET_MEMBERSHIP'!CB$5:CB$27=1),'92_FEATURE_CONF_NUMERIC'!F$5:F$27)/MAX(1,COUNTIF('93_TARGET_MEMBERSHIP'!CB$5:CB$27,1)))*(SUMPRODUCT(--('93_TARGET_MEMBERSHIP'!CB$5:CB$27=-1),'92_FEATURE_CONF_NUMERIC'!F$5:F$27)/MAX(1,COUNTIF('93_TARGET_MEMBERSHIP'!CB$5:CB$27,-1)))))</f>
        <v/>
      </c>
      <c r="F83" s="34">
        <f>IF($B83="ABSOLUTE SEMANTIC",'19_FEATURE_CONFIDENCE'!$D$8,SQRT((SUMPRODUCT(--('93_TARGET_MEMBERSHIP'!CB$5:CB$27=1),'92_FEATURE_CONF_NUMERIC'!G$5:G$27)/MAX(1,COUNTIF('93_TARGET_MEMBERSHIP'!CB$5:CB$27,1)))*(SUMPRODUCT(--('93_TARGET_MEMBERSHIP'!CB$5:CB$27=-1),'92_FEATURE_CONF_NUMERIC'!G$5:G$27)/MAX(1,COUNTIF('93_TARGET_MEMBERSHIP'!CB$5:CB$27,-1)))))</f>
        <v/>
      </c>
      <c r="G83" s="34">
        <f>IF($B83="ABSOLUTE SEMANTIC",'19_FEATURE_CONFIDENCE'!$D$9,SQRT((SUMPRODUCT(--('93_TARGET_MEMBERSHIP'!CB$5:CB$27=1),'92_FEATURE_CONF_NUMERIC'!H$5:H$27)/MAX(1,COUNTIF('93_TARGET_MEMBERSHIP'!CB$5:CB$27,1)))*(SUMPRODUCT(--('93_TARGET_MEMBERSHIP'!CB$5:CB$27=-1),'92_FEATURE_CONF_NUMERIC'!H$5:H$27)/MAX(1,COUNTIF('93_TARGET_MEMBERSHIP'!CB$5:CB$27,-1)))))</f>
        <v/>
      </c>
      <c r="H83" s="34">
        <f>IF($B83="ABSOLUTE SEMANTIC",'19_FEATURE_CONFIDENCE'!$D$10,SQRT((SUMPRODUCT(--('93_TARGET_MEMBERSHIP'!CB$5:CB$27=1),'92_FEATURE_CONF_NUMERIC'!I$5:I$27)/MAX(1,COUNTIF('93_TARGET_MEMBERSHIP'!CB$5:CB$27,1)))*(SUMPRODUCT(--('93_TARGET_MEMBERSHIP'!CB$5:CB$27=-1),'92_FEATURE_CONF_NUMERIC'!I$5:I$27)/MAX(1,COUNTIF('93_TARGET_MEMBERSHIP'!CB$5:CB$27,-1)))))</f>
        <v/>
      </c>
      <c r="I83" s="34">
        <f>IF($B83="ABSOLUTE SEMANTIC",'19_FEATURE_CONFIDENCE'!$D$11,SQRT((SUMPRODUCT(--('93_TARGET_MEMBERSHIP'!CB$5:CB$27=1),'92_FEATURE_CONF_NUMERIC'!J$5:J$27)/MAX(1,COUNTIF('93_TARGET_MEMBERSHIP'!CB$5:CB$27,1)))*(SUMPRODUCT(--('93_TARGET_MEMBERSHIP'!CB$5:CB$27=-1),'92_FEATURE_CONF_NUMERIC'!J$5:J$27)/MAX(1,COUNTIF('93_TARGET_MEMBERSHIP'!CB$5:CB$27,-1)))))</f>
        <v/>
      </c>
      <c r="J83" s="34">
        <f>IF($B83="ABSOLUTE SEMANTIC",'19_FEATURE_CONFIDENCE'!$D$12,SQRT((SUMPRODUCT(--('93_TARGET_MEMBERSHIP'!CB$5:CB$27=1),'92_FEATURE_CONF_NUMERIC'!K$5:K$27)/MAX(1,COUNTIF('93_TARGET_MEMBERSHIP'!CB$5:CB$27,1)))*(SUMPRODUCT(--('93_TARGET_MEMBERSHIP'!CB$5:CB$27=-1),'92_FEATURE_CONF_NUMERIC'!K$5:K$27)/MAX(1,COUNTIF('93_TARGET_MEMBERSHIP'!CB$5:CB$27,-1)))))</f>
        <v/>
      </c>
      <c r="K83" s="34">
        <f>IF($B83="ABSOLUTE SEMANTIC",'19_FEATURE_CONFIDENCE'!$D$13,SQRT((SUMPRODUCT(--('93_TARGET_MEMBERSHIP'!CB$5:CB$27=1),'92_FEATURE_CONF_NUMERIC'!L$5:L$27)/MAX(1,COUNTIF('93_TARGET_MEMBERSHIP'!CB$5:CB$27,1)))*(SUMPRODUCT(--('93_TARGET_MEMBERSHIP'!CB$5:CB$27=-1),'92_FEATURE_CONF_NUMERIC'!L$5:L$27)/MAX(1,COUNTIF('93_TARGET_MEMBERSHIP'!CB$5:CB$27,-1)))))</f>
        <v/>
      </c>
      <c r="L83" s="34">
        <f>IF($B83="ABSOLUTE SEMANTIC",'19_FEATURE_CONFIDENCE'!$D$14,SQRT((SUMPRODUCT(--('93_TARGET_MEMBERSHIP'!CB$5:CB$27=1),'92_FEATURE_CONF_NUMERIC'!M$5:M$27)/MAX(1,COUNTIF('93_TARGET_MEMBERSHIP'!CB$5:CB$27,1)))*(SUMPRODUCT(--('93_TARGET_MEMBERSHIP'!CB$5:CB$27=-1),'92_FEATURE_CONF_NUMERIC'!M$5:M$27)/MAX(1,COUNTIF('93_TARGET_MEMBERSHIP'!CB$5:CB$27,-1)))))</f>
        <v/>
      </c>
      <c r="M83" s="34">
        <f>IF($B83="ABSOLUTE SEMANTIC",'19_FEATURE_CONFIDENCE'!$D$15,SQRT((SUMPRODUCT(--('93_TARGET_MEMBERSHIP'!CB$5:CB$27=1),'92_FEATURE_CONF_NUMERIC'!N$5:N$27)/MAX(1,COUNTIF('93_TARGET_MEMBERSHIP'!CB$5:CB$27,1)))*(SUMPRODUCT(--('93_TARGET_MEMBERSHIP'!CB$5:CB$27=-1),'92_FEATURE_CONF_NUMERIC'!N$5:N$27)/MAX(1,COUNTIF('93_TARGET_MEMBERSHIP'!CB$5:CB$27,-1)))))</f>
        <v/>
      </c>
      <c r="N83" s="34">
        <f>IF($B83="ABSOLUTE SEMANTIC",'19_FEATURE_CONFIDENCE'!$D$16,SQRT((SUMPRODUCT(--('93_TARGET_MEMBERSHIP'!CB$5:CB$27=1),'92_FEATURE_CONF_NUMERIC'!O$5:O$27)/MAX(1,COUNTIF('93_TARGET_MEMBERSHIP'!CB$5:CB$27,1)))*(SUMPRODUCT(--('93_TARGET_MEMBERSHIP'!CB$5:CB$27=-1),'92_FEATURE_CONF_NUMERIC'!O$5:O$27)/MAX(1,COUNTIF('93_TARGET_MEMBERSHIP'!CB$5:CB$27,-1)))))</f>
        <v/>
      </c>
      <c r="O83" s="34">
        <f>IF($B83="ABSOLUTE SEMANTIC",'19_FEATURE_CONFIDENCE'!$D$17,SQRT((SUMPRODUCT(--('93_TARGET_MEMBERSHIP'!CB$5:CB$27=1),'92_FEATURE_CONF_NUMERIC'!P$5:P$27)/MAX(1,COUNTIF('93_TARGET_MEMBERSHIP'!CB$5:CB$27,1)))*(SUMPRODUCT(--('93_TARGET_MEMBERSHIP'!CB$5:CB$27=-1),'92_FEATURE_CONF_NUMERIC'!P$5:P$27)/MAX(1,COUNTIF('93_TARGET_MEMBERSHIP'!CB$5:CB$27,-1)))))</f>
        <v/>
      </c>
      <c r="P83" s="34">
        <f>IF($B83="ABSOLUTE SEMANTIC",'19_FEATURE_CONFIDENCE'!$D$18,SQRT((SUMPRODUCT(--('93_TARGET_MEMBERSHIP'!CB$5:CB$27=1),'92_FEATURE_CONF_NUMERIC'!Q$5:Q$27)/MAX(1,COUNTIF('93_TARGET_MEMBERSHIP'!CB$5:CB$27,1)))*(SUMPRODUCT(--('93_TARGET_MEMBERSHIP'!CB$5:CB$27=-1),'92_FEATURE_CONF_NUMERIC'!Q$5:Q$27)/MAX(1,COUNTIF('93_TARGET_MEMBERSHIP'!CB$5:CB$27,-1)))))</f>
        <v/>
      </c>
      <c r="Q83" s="34">
        <f>IF($B83="ABSOLUTE SEMANTIC",'19_FEATURE_CONFIDENCE'!$D$19,SQRT((SUMPRODUCT(--('93_TARGET_MEMBERSHIP'!CB$5:CB$27=1),'92_FEATURE_CONF_NUMERIC'!R$5:R$27)/MAX(1,COUNTIF('93_TARGET_MEMBERSHIP'!CB$5:CB$27,1)))*(SUMPRODUCT(--('93_TARGET_MEMBERSHIP'!CB$5:CB$27=-1),'92_FEATURE_CONF_NUMERIC'!R$5:R$27)/MAX(1,COUNTIF('93_TARGET_MEMBERSHIP'!CB$5:CB$27,-1)))))</f>
        <v/>
      </c>
      <c r="R83" s="34">
        <f>IF($B83="ABSOLUTE SEMANTIC",'19_FEATURE_CONFIDENCE'!$D$20,SQRT((SUMPRODUCT(--('93_TARGET_MEMBERSHIP'!CB$5:CB$27=1),'92_FEATURE_CONF_NUMERIC'!S$5:S$27)/MAX(1,COUNTIF('93_TARGET_MEMBERSHIP'!CB$5:CB$27,1)))*(SUMPRODUCT(--('93_TARGET_MEMBERSHIP'!CB$5:CB$27=-1),'92_FEATURE_CONF_NUMERIC'!S$5:S$27)/MAX(1,COUNTIF('93_TARGET_MEMBERSHIP'!CB$5:CB$27,-1)))))</f>
        <v/>
      </c>
      <c r="S83" s="34">
        <f>IF($B83="ABSOLUTE SEMANTIC",'19_FEATURE_CONFIDENCE'!$D$21,SQRT((SUMPRODUCT(--('93_TARGET_MEMBERSHIP'!CB$5:CB$27=1),'92_FEATURE_CONF_NUMERIC'!T$5:T$27)/MAX(1,COUNTIF('93_TARGET_MEMBERSHIP'!CB$5:CB$27,1)))*(SUMPRODUCT(--('93_TARGET_MEMBERSHIP'!CB$5:CB$27=-1),'92_FEATURE_CONF_NUMERIC'!T$5:T$27)/MAX(1,COUNTIF('93_TARGET_MEMBERSHIP'!CB$5:CB$27,-1)))))</f>
        <v/>
      </c>
      <c r="T83" s="34">
        <f>IF($B83="ABSOLUTE SEMANTIC",'19_FEATURE_CONFIDENCE'!$D$22,SQRT((SUMPRODUCT(--('93_TARGET_MEMBERSHIP'!CB$5:CB$27=1),'92_FEATURE_CONF_NUMERIC'!U$5:U$27)/MAX(1,COUNTIF('93_TARGET_MEMBERSHIP'!CB$5:CB$27,1)))*(SUMPRODUCT(--('93_TARGET_MEMBERSHIP'!CB$5:CB$27=-1),'92_FEATURE_CONF_NUMERIC'!U$5:U$27)/MAX(1,COUNTIF('93_TARGET_MEMBERSHIP'!CB$5:CB$27,-1)))))</f>
        <v/>
      </c>
      <c r="U83" s="34">
        <f>IF($B83="ABSOLUTE SEMANTIC",'19_FEATURE_CONFIDENCE'!$D$23,SQRT((SUMPRODUCT(--('93_TARGET_MEMBERSHIP'!CB$5:CB$27=1),'92_FEATURE_CONF_NUMERIC'!V$5:V$27)/MAX(1,COUNTIF('93_TARGET_MEMBERSHIP'!CB$5:CB$27,1)))*(SUMPRODUCT(--('93_TARGET_MEMBERSHIP'!CB$5:CB$27=-1),'92_FEATURE_CONF_NUMERIC'!V$5:V$27)/MAX(1,COUNTIF('93_TARGET_MEMBERSHIP'!CB$5:CB$27,-1)))))</f>
        <v/>
      </c>
      <c r="V83" s="34">
        <f>IF($B83="ABSOLUTE SEMANTIC",'19_FEATURE_CONFIDENCE'!$D$24,SQRT((SUMPRODUCT(--('93_TARGET_MEMBERSHIP'!CB$5:CB$27=1),'92_FEATURE_CONF_NUMERIC'!W$5:W$27)/MAX(1,COUNTIF('93_TARGET_MEMBERSHIP'!CB$5:CB$27,1)))*(SUMPRODUCT(--('93_TARGET_MEMBERSHIP'!CB$5:CB$27=-1),'92_FEATURE_CONF_NUMERIC'!W$5:W$27)/MAX(1,COUNTIF('93_TARGET_MEMBERSHIP'!CB$5:CB$27,-1)))))</f>
        <v/>
      </c>
      <c r="W83" s="34">
        <f>IF($B83="ABSOLUTE SEMANTIC",'19_FEATURE_CONFIDENCE'!$D$25,SQRT((SUMPRODUCT(--('93_TARGET_MEMBERSHIP'!CB$5:CB$27=1),'92_FEATURE_CONF_NUMERIC'!X$5:X$27)/MAX(1,COUNTIF('93_TARGET_MEMBERSHIP'!CB$5:CB$27,1)))*(SUMPRODUCT(--('93_TARGET_MEMBERSHIP'!CB$5:CB$27=-1),'92_FEATURE_CONF_NUMERIC'!X$5:X$27)/MAX(1,COUNTIF('93_TARGET_MEMBERSHIP'!CB$5:CB$27,-1)))))</f>
        <v/>
      </c>
      <c r="X83" s="34">
        <f>IF($B83="ABSOLUTE SEMANTIC",'19_FEATURE_CONFIDENCE'!$D$26,SQRT((SUMPRODUCT(--('93_TARGET_MEMBERSHIP'!CB$5:CB$27=1),'92_FEATURE_CONF_NUMERIC'!Y$5:Y$27)/MAX(1,COUNTIF('93_TARGET_MEMBERSHIP'!CB$5:CB$27,1)))*(SUMPRODUCT(--('93_TARGET_MEMBERSHIP'!CB$5:CB$27=-1),'92_FEATURE_CONF_NUMERIC'!Y$5:Y$27)/MAX(1,COUNTIF('93_TARGET_MEMBERSHIP'!CB$5:CB$27,-1)))))</f>
        <v/>
      </c>
      <c r="Y83" s="34">
        <f>IF($B83="ABSOLUTE SEMANTIC",'19_FEATURE_CONFIDENCE'!$D$27,SQRT((SUMPRODUCT(--('93_TARGET_MEMBERSHIP'!CB$5:CB$27=1),'92_FEATURE_CONF_NUMERIC'!Z$5:Z$27)/MAX(1,COUNTIF('93_TARGET_MEMBERSHIP'!CB$5:CB$27,1)))*(SUMPRODUCT(--('93_TARGET_MEMBERSHIP'!CB$5:CB$27=-1),'92_FEATURE_CONF_NUMERIC'!Z$5:Z$27)/MAX(1,COUNTIF('93_TARGET_MEMBERSHIP'!CB$5:CB$27,-1)))))</f>
        <v/>
      </c>
      <c r="Z83" s="34">
        <f>IF($B83="ABSOLUTE SEMANTIC",'19_FEATURE_CONFIDENCE'!$D$28,SQRT((SUMPRODUCT(--('93_TARGET_MEMBERSHIP'!CB$5:CB$27=1),'92_FEATURE_CONF_NUMERIC'!AA$5:AA$27)/MAX(1,COUNTIF('93_TARGET_MEMBERSHIP'!CB$5:CB$27,1)))*(SUMPRODUCT(--('93_TARGET_MEMBERSHIP'!CB$5:CB$27=-1),'92_FEATURE_CONF_NUMERIC'!AA$5:AA$27)/MAX(1,COUNTIF('93_TARGET_MEMBERSHIP'!CB$5:CB$27,-1)))))</f>
        <v/>
      </c>
      <c r="AA83" s="34">
        <f>IF($B83="ABSOLUTE SEMANTIC",'19_FEATURE_CONFIDENCE'!$D$29,SQRT((SUMPRODUCT(--('93_TARGET_MEMBERSHIP'!CB$5:CB$27=1),'92_FEATURE_CONF_NUMERIC'!AB$5:AB$27)/MAX(1,COUNTIF('93_TARGET_MEMBERSHIP'!CB$5:CB$27,1)))*(SUMPRODUCT(--('93_TARGET_MEMBERSHIP'!CB$5:CB$27=-1),'92_FEATURE_CONF_NUMERIC'!AB$5:AB$27)/MAX(1,COUNTIF('93_TARGET_MEMBERSHIP'!CB$5:CB$27,-1)))))</f>
        <v/>
      </c>
      <c r="AB83" s="34">
        <f>IF($B83="ABSOLUTE SEMANTIC",'19_FEATURE_CONFIDENCE'!$D$30,SQRT((SUMPRODUCT(--('93_TARGET_MEMBERSHIP'!CB$5:CB$27=1),'92_FEATURE_CONF_NUMERIC'!AC$5:AC$27)/MAX(1,COUNTIF('93_TARGET_MEMBERSHIP'!CB$5:CB$27,1)))*(SUMPRODUCT(--('93_TARGET_MEMBERSHIP'!CB$5:CB$27=-1),'92_FEATURE_CONF_NUMERIC'!AC$5:AC$27)/MAX(1,COUNTIF('93_TARGET_MEMBERSHIP'!CB$5:CB$27,-1)))))</f>
        <v/>
      </c>
      <c r="AC83" s="34">
        <f>IF($B83="ABSOLUTE SEMANTIC",'19_FEATURE_CONFIDENCE'!$D$31,SQRT((SUMPRODUCT(--('93_TARGET_MEMBERSHIP'!CB$5:CB$27=1),'92_FEATURE_CONF_NUMERIC'!AD$5:AD$27)/MAX(1,COUNTIF('93_TARGET_MEMBERSHIP'!CB$5:CB$27,1)))*(SUMPRODUCT(--('93_TARGET_MEMBERSHIP'!CB$5:CB$27=-1),'92_FEATURE_CONF_NUMERIC'!AD$5:AD$27)/MAX(1,COUNTIF('93_TARGET_MEMBERSHIP'!CB$5:CB$27,-1)))))</f>
        <v/>
      </c>
      <c r="AD83" s="34">
        <f>IF($B83="ABSOLUTE SEMANTIC",'19_FEATURE_CONFIDENCE'!$D$32,SQRT((SUMPRODUCT(--('93_TARGET_MEMBERSHIP'!CB$5:CB$27=1),'92_FEATURE_CONF_NUMERIC'!AE$5:AE$27)/MAX(1,COUNTIF('93_TARGET_MEMBERSHIP'!CB$5:CB$27,1)))*(SUMPRODUCT(--('93_TARGET_MEMBERSHIP'!CB$5:CB$27=-1),'92_FEATURE_CONF_NUMERIC'!AE$5:AE$27)/MAX(1,COUNTIF('93_TARGET_MEMBERSHIP'!CB$5:CB$27,-1)))))</f>
        <v/>
      </c>
      <c r="AE83" s="34">
        <f>IF($B83="ABSOLUTE SEMANTIC",'19_FEATURE_CONFIDENCE'!$D$33,SQRT((SUMPRODUCT(--('93_TARGET_MEMBERSHIP'!CB$5:CB$27=1),'92_FEATURE_CONF_NUMERIC'!AF$5:AF$27)/MAX(1,COUNTIF('93_TARGET_MEMBERSHIP'!CB$5:CB$27,1)))*(SUMPRODUCT(--('93_TARGET_MEMBERSHIP'!CB$5:CB$27=-1),'92_FEATURE_CONF_NUMERIC'!AF$5:AF$27)/MAX(1,COUNTIF('93_TARGET_MEMBERSHIP'!CB$5:CB$27,-1)))))</f>
        <v/>
      </c>
      <c r="AF83" s="34">
        <f>IF($B83="ABSOLUTE SEMANTIC",'19_FEATURE_CONFIDENCE'!$D$34,SQRT((SUMPRODUCT(--('93_TARGET_MEMBERSHIP'!CB$5:CB$27=1),'92_FEATURE_CONF_NUMERIC'!AG$5:AG$27)/MAX(1,COUNTIF('93_TARGET_MEMBERSHIP'!CB$5:CB$27,1)))*(SUMPRODUCT(--('93_TARGET_MEMBERSHIP'!CB$5:CB$27=-1),'92_FEATURE_CONF_NUMERIC'!AG$5:AG$27)/MAX(1,COUNTIF('93_TARGET_MEMBERSHIP'!CB$5:CB$27,-1)))))</f>
        <v/>
      </c>
      <c r="AG83" s="34">
        <f>IF($B83="ABSOLUTE SEMANTIC",'19_FEATURE_CONFIDENCE'!$D$35,SQRT((SUMPRODUCT(--('93_TARGET_MEMBERSHIP'!CB$5:CB$27=1),'92_FEATURE_CONF_NUMERIC'!AH$5:AH$27)/MAX(1,COUNTIF('93_TARGET_MEMBERSHIP'!CB$5:CB$27,1)))*(SUMPRODUCT(--('93_TARGET_MEMBERSHIP'!CB$5:CB$27=-1),'92_FEATURE_CONF_NUMERIC'!AH$5:AH$27)/MAX(1,COUNTIF('93_TARGET_MEMBERSHIP'!CB$5:CB$27,-1)))))</f>
        <v/>
      </c>
      <c r="AH83" s="34">
        <f>IF($B83="ABSOLUTE SEMANTIC",'19_FEATURE_CONFIDENCE'!$D$36,SQRT((SUMPRODUCT(--('93_TARGET_MEMBERSHIP'!CB$5:CB$27=1),'92_FEATURE_CONF_NUMERIC'!AI$5:AI$27)/MAX(1,COUNTIF('93_TARGET_MEMBERSHIP'!CB$5:CB$27,1)))*(SUMPRODUCT(--('93_TARGET_MEMBERSHIP'!CB$5:CB$27=-1),'92_FEATURE_CONF_NUMERIC'!AI$5:AI$27)/MAX(1,COUNTIF('93_TARGET_MEMBERSHIP'!CB$5:CB$27,-1)))))</f>
        <v/>
      </c>
      <c r="AI83" s="34">
        <f>IF($B83="ABSOLUTE SEMANTIC",'19_FEATURE_CONFIDENCE'!$D$37,SQRT((SUMPRODUCT(--('93_TARGET_MEMBERSHIP'!CB$5:CB$27=1),'92_FEATURE_CONF_NUMERIC'!AJ$5:AJ$27)/MAX(1,COUNTIF('93_TARGET_MEMBERSHIP'!CB$5:CB$27,1)))*(SUMPRODUCT(--('93_TARGET_MEMBERSHIP'!CB$5:CB$27=-1),'92_FEATURE_CONF_NUMERIC'!AJ$5:AJ$27)/MAX(1,COUNTIF('93_TARGET_MEMBERSHIP'!CB$5:CB$27,-1)))))</f>
        <v/>
      </c>
      <c r="AJ83" s="34">
        <f>IF($B83="ABSOLUTE SEMANTIC",'19_FEATURE_CONFIDENCE'!$D$38,SQRT((SUMPRODUCT(--('93_TARGET_MEMBERSHIP'!CB$5:CB$27=1),'92_FEATURE_CONF_NUMERIC'!AK$5:AK$27)/MAX(1,COUNTIF('93_TARGET_MEMBERSHIP'!CB$5:CB$27,1)))*(SUMPRODUCT(--('93_TARGET_MEMBERSHIP'!CB$5:CB$27=-1),'92_FEATURE_CONF_NUMERIC'!AK$5:AK$27)/MAX(1,COUNTIF('93_TARGET_MEMBERSHIP'!CB$5:CB$27,-1)))))</f>
        <v/>
      </c>
      <c r="AK83" s="34">
        <f>IF($B83="ABSOLUTE SEMANTIC",'19_FEATURE_CONFIDENCE'!$D$39,SQRT((SUMPRODUCT(--('93_TARGET_MEMBERSHIP'!CB$5:CB$27=1),'92_FEATURE_CONF_NUMERIC'!AL$5:AL$27)/MAX(1,COUNTIF('93_TARGET_MEMBERSHIP'!CB$5:CB$27,1)))*(SUMPRODUCT(--('93_TARGET_MEMBERSHIP'!CB$5:CB$27=-1),'92_FEATURE_CONF_NUMERIC'!AL$5:AL$27)/MAX(1,COUNTIF('93_TARGET_MEMBERSHIP'!CB$5:CB$27,-1)))))</f>
        <v/>
      </c>
      <c r="AL83" s="34">
        <f>IF($B83="ABSOLUTE SEMANTIC",'19_FEATURE_CONFIDENCE'!$D$40,SQRT((SUMPRODUCT(--('93_TARGET_MEMBERSHIP'!CB$5:CB$27=1),'92_FEATURE_CONF_NUMERIC'!AM$5:AM$27)/MAX(1,COUNTIF('93_TARGET_MEMBERSHIP'!CB$5:CB$27,1)))*(SUMPRODUCT(--('93_TARGET_MEMBERSHIP'!CB$5:CB$27=-1),'92_FEATURE_CONF_NUMERIC'!AM$5:AM$27)/MAX(1,COUNTIF('93_TARGET_MEMBERSHIP'!CB$5:CB$27,-1)))))</f>
        <v/>
      </c>
      <c r="AM83" s="34">
        <f>IF($B83="ABSOLUTE SEMANTIC",'19_FEATURE_CONFIDENCE'!$D$41,SQRT((SUMPRODUCT(--('93_TARGET_MEMBERSHIP'!CB$5:CB$27=1),'92_FEATURE_CONF_NUMERIC'!AN$5:AN$27)/MAX(1,COUNTIF('93_TARGET_MEMBERSHIP'!CB$5:CB$27,1)))*(SUMPRODUCT(--('93_TARGET_MEMBERSHIP'!CB$5:CB$27=-1),'92_FEATURE_CONF_NUMERIC'!AN$5:AN$27)/MAX(1,COUNTIF('93_TARGET_MEMBERSHIP'!CB$5:CB$27,-1)))))</f>
        <v/>
      </c>
      <c r="AN83" s="34">
        <f>IF($B83="ABSOLUTE SEMANTIC",'19_FEATURE_CONFIDENCE'!$D$42,SQRT((SUMPRODUCT(--('93_TARGET_MEMBERSHIP'!CB$5:CB$27=1),'92_FEATURE_CONF_NUMERIC'!AO$5:AO$27)/MAX(1,COUNTIF('93_TARGET_MEMBERSHIP'!CB$5:CB$27,1)))*(SUMPRODUCT(--('93_TARGET_MEMBERSHIP'!CB$5:CB$27=-1),'92_FEATURE_CONF_NUMERIC'!AO$5:AO$27)/MAX(1,COUNTIF('93_TARGET_MEMBERSHIP'!CB$5:CB$27,-1)))))</f>
        <v/>
      </c>
      <c r="AO83" s="34">
        <f>IF($B83="ABSOLUTE SEMANTIC",'19_FEATURE_CONFIDENCE'!$D$43,SQRT((SUMPRODUCT(--('93_TARGET_MEMBERSHIP'!CB$5:CB$27=1),'92_FEATURE_CONF_NUMERIC'!AP$5:AP$27)/MAX(1,COUNTIF('93_TARGET_MEMBERSHIP'!CB$5:CB$27,1)))*(SUMPRODUCT(--('93_TARGET_MEMBERSHIP'!CB$5:CB$27=-1),'92_FEATURE_CONF_NUMERIC'!AP$5:AP$27)/MAX(1,COUNTIF('93_TARGET_MEMBERSHIP'!CB$5:CB$27,-1)))))</f>
        <v/>
      </c>
      <c r="AP83" s="34">
        <f>IF($B83="ABSOLUTE SEMANTIC",'19_FEATURE_CONFIDENCE'!$D$44,SQRT((SUMPRODUCT(--('93_TARGET_MEMBERSHIP'!CB$5:CB$27=1),'92_FEATURE_CONF_NUMERIC'!AQ$5:AQ$27)/MAX(1,COUNTIF('93_TARGET_MEMBERSHIP'!CB$5:CB$27,1)))*(SUMPRODUCT(--('93_TARGET_MEMBERSHIP'!CB$5:CB$27=-1),'92_FEATURE_CONF_NUMERIC'!AQ$5:AQ$27)/MAX(1,COUNTIF('93_TARGET_MEMBERSHIP'!CB$5:CB$27,-1)))))</f>
        <v/>
      </c>
      <c r="AQ83" s="34">
        <f>IF($B83="ABSOLUTE SEMANTIC",'19_FEATURE_CONFIDENCE'!$D$45,SQRT((SUMPRODUCT(--('93_TARGET_MEMBERSHIP'!CB$5:CB$27=1),'92_FEATURE_CONF_NUMERIC'!AR$5:AR$27)/MAX(1,COUNTIF('93_TARGET_MEMBERSHIP'!CB$5:CB$27,1)))*(SUMPRODUCT(--('93_TARGET_MEMBERSHIP'!CB$5:CB$27=-1),'92_FEATURE_CONF_NUMERIC'!AR$5:AR$27)/MAX(1,COUNTIF('93_TARGET_MEMBERSHIP'!CB$5:CB$27,-1)))))</f>
        <v/>
      </c>
    </row>
    <row r="84" ht="36" customHeight="1">
      <c r="A84" s="34">
        <f>'06_ITEM_POLE_MODEL'!A84</f>
        <v/>
      </c>
      <c r="B84" s="34">
        <f>'06_ITEM_POLE_MODEL'!E84</f>
        <v/>
      </c>
      <c r="C84" s="34">
        <f>IF($B84="ABSOLUTE SEMANTIC",'19_FEATURE_CONFIDENCE'!$D$5,SQRT((SUMPRODUCT(--('93_TARGET_MEMBERSHIP'!CC$5:CC$27=1),'92_FEATURE_CONF_NUMERIC'!D$5:D$27)/MAX(1,COUNTIF('93_TARGET_MEMBERSHIP'!CC$5:CC$27,1)))*(SUMPRODUCT(--('93_TARGET_MEMBERSHIP'!CC$5:CC$27=-1),'92_FEATURE_CONF_NUMERIC'!D$5:D$27)/MAX(1,COUNTIF('93_TARGET_MEMBERSHIP'!CC$5:CC$27,-1)))))</f>
        <v/>
      </c>
      <c r="D84" s="34">
        <f>IF($B84="ABSOLUTE SEMANTIC",'19_FEATURE_CONFIDENCE'!$D$6,SQRT((SUMPRODUCT(--('93_TARGET_MEMBERSHIP'!CC$5:CC$27=1),'92_FEATURE_CONF_NUMERIC'!E$5:E$27)/MAX(1,COUNTIF('93_TARGET_MEMBERSHIP'!CC$5:CC$27,1)))*(SUMPRODUCT(--('93_TARGET_MEMBERSHIP'!CC$5:CC$27=-1),'92_FEATURE_CONF_NUMERIC'!E$5:E$27)/MAX(1,COUNTIF('93_TARGET_MEMBERSHIP'!CC$5:CC$27,-1)))))</f>
        <v/>
      </c>
      <c r="E84" s="34">
        <f>IF($B84="ABSOLUTE SEMANTIC",'19_FEATURE_CONFIDENCE'!$D$7,SQRT((SUMPRODUCT(--('93_TARGET_MEMBERSHIP'!CC$5:CC$27=1),'92_FEATURE_CONF_NUMERIC'!F$5:F$27)/MAX(1,COUNTIF('93_TARGET_MEMBERSHIP'!CC$5:CC$27,1)))*(SUMPRODUCT(--('93_TARGET_MEMBERSHIP'!CC$5:CC$27=-1),'92_FEATURE_CONF_NUMERIC'!F$5:F$27)/MAX(1,COUNTIF('93_TARGET_MEMBERSHIP'!CC$5:CC$27,-1)))))</f>
        <v/>
      </c>
      <c r="F84" s="34">
        <f>IF($B84="ABSOLUTE SEMANTIC",'19_FEATURE_CONFIDENCE'!$D$8,SQRT((SUMPRODUCT(--('93_TARGET_MEMBERSHIP'!CC$5:CC$27=1),'92_FEATURE_CONF_NUMERIC'!G$5:G$27)/MAX(1,COUNTIF('93_TARGET_MEMBERSHIP'!CC$5:CC$27,1)))*(SUMPRODUCT(--('93_TARGET_MEMBERSHIP'!CC$5:CC$27=-1),'92_FEATURE_CONF_NUMERIC'!G$5:G$27)/MAX(1,COUNTIF('93_TARGET_MEMBERSHIP'!CC$5:CC$27,-1)))))</f>
        <v/>
      </c>
      <c r="G84" s="34">
        <f>IF($B84="ABSOLUTE SEMANTIC",'19_FEATURE_CONFIDENCE'!$D$9,SQRT((SUMPRODUCT(--('93_TARGET_MEMBERSHIP'!CC$5:CC$27=1),'92_FEATURE_CONF_NUMERIC'!H$5:H$27)/MAX(1,COUNTIF('93_TARGET_MEMBERSHIP'!CC$5:CC$27,1)))*(SUMPRODUCT(--('93_TARGET_MEMBERSHIP'!CC$5:CC$27=-1),'92_FEATURE_CONF_NUMERIC'!H$5:H$27)/MAX(1,COUNTIF('93_TARGET_MEMBERSHIP'!CC$5:CC$27,-1)))))</f>
        <v/>
      </c>
      <c r="H84" s="34">
        <f>IF($B84="ABSOLUTE SEMANTIC",'19_FEATURE_CONFIDENCE'!$D$10,SQRT((SUMPRODUCT(--('93_TARGET_MEMBERSHIP'!CC$5:CC$27=1),'92_FEATURE_CONF_NUMERIC'!I$5:I$27)/MAX(1,COUNTIF('93_TARGET_MEMBERSHIP'!CC$5:CC$27,1)))*(SUMPRODUCT(--('93_TARGET_MEMBERSHIP'!CC$5:CC$27=-1),'92_FEATURE_CONF_NUMERIC'!I$5:I$27)/MAX(1,COUNTIF('93_TARGET_MEMBERSHIP'!CC$5:CC$27,-1)))))</f>
        <v/>
      </c>
      <c r="I84" s="34">
        <f>IF($B84="ABSOLUTE SEMANTIC",'19_FEATURE_CONFIDENCE'!$D$11,SQRT((SUMPRODUCT(--('93_TARGET_MEMBERSHIP'!CC$5:CC$27=1),'92_FEATURE_CONF_NUMERIC'!J$5:J$27)/MAX(1,COUNTIF('93_TARGET_MEMBERSHIP'!CC$5:CC$27,1)))*(SUMPRODUCT(--('93_TARGET_MEMBERSHIP'!CC$5:CC$27=-1),'92_FEATURE_CONF_NUMERIC'!J$5:J$27)/MAX(1,COUNTIF('93_TARGET_MEMBERSHIP'!CC$5:CC$27,-1)))))</f>
        <v/>
      </c>
      <c r="J84" s="34">
        <f>IF($B84="ABSOLUTE SEMANTIC",'19_FEATURE_CONFIDENCE'!$D$12,SQRT((SUMPRODUCT(--('93_TARGET_MEMBERSHIP'!CC$5:CC$27=1),'92_FEATURE_CONF_NUMERIC'!K$5:K$27)/MAX(1,COUNTIF('93_TARGET_MEMBERSHIP'!CC$5:CC$27,1)))*(SUMPRODUCT(--('93_TARGET_MEMBERSHIP'!CC$5:CC$27=-1),'92_FEATURE_CONF_NUMERIC'!K$5:K$27)/MAX(1,COUNTIF('93_TARGET_MEMBERSHIP'!CC$5:CC$27,-1)))))</f>
        <v/>
      </c>
      <c r="K84" s="34">
        <f>IF($B84="ABSOLUTE SEMANTIC",'19_FEATURE_CONFIDENCE'!$D$13,SQRT((SUMPRODUCT(--('93_TARGET_MEMBERSHIP'!CC$5:CC$27=1),'92_FEATURE_CONF_NUMERIC'!L$5:L$27)/MAX(1,COUNTIF('93_TARGET_MEMBERSHIP'!CC$5:CC$27,1)))*(SUMPRODUCT(--('93_TARGET_MEMBERSHIP'!CC$5:CC$27=-1),'92_FEATURE_CONF_NUMERIC'!L$5:L$27)/MAX(1,COUNTIF('93_TARGET_MEMBERSHIP'!CC$5:CC$27,-1)))))</f>
        <v/>
      </c>
      <c r="L84" s="34">
        <f>IF($B84="ABSOLUTE SEMANTIC",'19_FEATURE_CONFIDENCE'!$D$14,SQRT((SUMPRODUCT(--('93_TARGET_MEMBERSHIP'!CC$5:CC$27=1),'92_FEATURE_CONF_NUMERIC'!M$5:M$27)/MAX(1,COUNTIF('93_TARGET_MEMBERSHIP'!CC$5:CC$27,1)))*(SUMPRODUCT(--('93_TARGET_MEMBERSHIP'!CC$5:CC$27=-1),'92_FEATURE_CONF_NUMERIC'!M$5:M$27)/MAX(1,COUNTIF('93_TARGET_MEMBERSHIP'!CC$5:CC$27,-1)))))</f>
        <v/>
      </c>
      <c r="M84" s="34">
        <f>IF($B84="ABSOLUTE SEMANTIC",'19_FEATURE_CONFIDENCE'!$D$15,SQRT((SUMPRODUCT(--('93_TARGET_MEMBERSHIP'!CC$5:CC$27=1),'92_FEATURE_CONF_NUMERIC'!N$5:N$27)/MAX(1,COUNTIF('93_TARGET_MEMBERSHIP'!CC$5:CC$27,1)))*(SUMPRODUCT(--('93_TARGET_MEMBERSHIP'!CC$5:CC$27=-1),'92_FEATURE_CONF_NUMERIC'!N$5:N$27)/MAX(1,COUNTIF('93_TARGET_MEMBERSHIP'!CC$5:CC$27,-1)))))</f>
        <v/>
      </c>
      <c r="N84" s="34">
        <f>IF($B84="ABSOLUTE SEMANTIC",'19_FEATURE_CONFIDENCE'!$D$16,SQRT((SUMPRODUCT(--('93_TARGET_MEMBERSHIP'!CC$5:CC$27=1),'92_FEATURE_CONF_NUMERIC'!O$5:O$27)/MAX(1,COUNTIF('93_TARGET_MEMBERSHIP'!CC$5:CC$27,1)))*(SUMPRODUCT(--('93_TARGET_MEMBERSHIP'!CC$5:CC$27=-1),'92_FEATURE_CONF_NUMERIC'!O$5:O$27)/MAX(1,COUNTIF('93_TARGET_MEMBERSHIP'!CC$5:CC$27,-1)))))</f>
        <v/>
      </c>
      <c r="O84" s="34">
        <f>IF($B84="ABSOLUTE SEMANTIC",'19_FEATURE_CONFIDENCE'!$D$17,SQRT((SUMPRODUCT(--('93_TARGET_MEMBERSHIP'!CC$5:CC$27=1),'92_FEATURE_CONF_NUMERIC'!P$5:P$27)/MAX(1,COUNTIF('93_TARGET_MEMBERSHIP'!CC$5:CC$27,1)))*(SUMPRODUCT(--('93_TARGET_MEMBERSHIP'!CC$5:CC$27=-1),'92_FEATURE_CONF_NUMERIC'!P$5:P$27)/MAX(1,COUNTIF('93_TARGET_MEMBERSHIP'!CC$5:CC$27,-1)))))</f>
        <v/>
      </c>
      <c r="P84" s="34">
        <f>IF($B84="ABSOLUTE SEMANTIC",'19_FEATURE_CONFIDENCE'!$D$18,SQRT((SUMPRODUCT(--('93_TARGET_MEMBERSHIP'!CC$5:CC$27=1),'92_FEATURE_CONF_NUMERIC'!Q$5:Q$27)/MAX(1,COUNTIF('93_TARGET_MEMBERSHIP'!CC$5:CC$27,1)))*(SUMPRODUCT(--('93_TARGET_MEMBERSHIP'!CC$5:CC$27=-1),'92_FEATURE_CONF_NUMERIC'!Q$5:Q$27)/MAX(1,COUNTIF('93_TARGET_MEMBERSHIP'!CC$5:CC$27,-1)))))</f>
        <v/>
      </c>
      <c r="Q84" s="34">
        <f>IF($B84="ABSOLUTE SEMANTIC",'19_FEATURE_CONFIDENCE'!$D$19,SQRT((SUMPRODUCT(--('93_TARGET_MEMBERSHIP'!CC$5:CC$27=1),'92_FEATURE_CONF_NUMERIC'!R$5:R$27)/MAX(1,COUNTIF('93_TARGET_MEMBERSHIP'!CC$5:CC$27,1)))*(SUMPRODUCT(--('93_TARGET_MEMBERSHIP'!CC$5:CC$27=-1),'92_FEATURE_CONF_NUMERIC'!R$5:R$27)/MAX(1,COUNTIF('93_TARGET_MEMBERSHIP'!CC$5:CC$27,-1)))))</f>
        <v/>
      </c>
      <c r="R84" s="34">
        <f>IF($B84="ABSOLUTE SEMANTIC",'19_FEATURE_CONFIDENCE'!$D$20,SQRT((SUMPRODUCT(--('93_TARGET_MEMBERSHIP'!CC$5:CC$27=1),'92_FEATURE_CONF_NUMERIC'!S$5:S$27)/MAX(1,COUNTIF('93_TARGET_MEMBERSHIP'!CC$5:CC$27,1)))*(SUMPRODUCT(--('93_TARGET_MEMBERSHIP'!CC$5:CC$27=-1),'92_FEATURE_CONF_NUMERIC'!S$5:S$27)/MAX(1,COUNTIF('93_TARGET_MEMBERSHIP'!CC$5:CC$27,-1)))))</f>
        <v/>
      </c>
      <c r="S84" s="34">
        <f>IF($B84="ABSOLUTE SEMANTIC",'19_FEATURE_CONFIDENCE'!$D$21,SQRT((SUMPRODUCT(--('93_TARGET_MEMBERSHIP'!CC$5:CC$27=1),'92_FEATURE_CONF_NUMERIC'!T$5:T$27)/MAX(1,COUNTIF('93_TARGET_MEMBERSHIP'!CC$5:CC$27,1)))*(SUMPRODUCT(--('93_TARGET_MEMBERSHIP'!CC$5:CC$27=-1),'92_FEATURE_CONF_NUMERIC'!T$5:T$27)/MAX(1,COUNTIF('93_TARGET_MEMBERSHIP'!CC$5:CC$27,-1)))))</f>
        <v/>
      </c>
      <c r="T84" s="34">
        <f>IF($B84="ABSOLUTE SEMANTIC",'19_FEATURE_CONFIDENCE'!$D$22,SQRT((SUMPRODUCT(--('93_TARGET_MEMBERSHIP'!CC$5:CC$27=1),'92_FEATURE_CONF_NUMERIC'!U$5:U$27)/MAX(1,COUNTIF('93_TARGET_MEMBERSHIP'!CC$5:CC$27,1)))*(SUMPRODUCT(--('93_TARGET_MEMBERSHIP'!CC$5:CC$27=-1),'92_FEATURE_CONF_NUMERIC'!U$5:U$27)/MAX(1,COUNTIF('93_TARGET_MEMBERSHIP'!CC$5:CC$27,-1)))))</f>
        <v/>
      </c>
      <c r="U84" s="34">
        <f>IF($B84="ABSOLUTE SEMANTIC",'19_FEATURE_CONFIDENCE'!$D$23,SQRT((SUMPRODUCT(--('93_TARGET_MEMBERSHIP'!CC$5:CC$27=1),'92_FEATURE_CONF_NUMERIC'!V$5:V$27)/MAX(1,COUNTIF('93_TARGET_MEMBERSHIP'!CC$5:CC$27,1)))*(SUMPRODUCT(--('93_TARGET_MEMBERSHIP'!CC$5:CC$27=-1),'92_FEATURE_CONF_NUMERIC'!V$5:V$27)/MAX(1,COUNTIF('93_TARGET_MEMBERSHIP'!CC$5:CC$27,-1)))))</f>
        <v/>
      </c>
      <c r="V84" s="34">
        <f>IF($B84="ABSOLUTE SEMANTIC",'19_FEATURE_CONFIDENCE'!$D$24,SQRT((SUMPRODUCT(--('93_TARGET_MEMBERSHIP'!CC$5:CC$27=1),'92_FEATURE_CONF_NUMERIC'!W$5:W$27)/MAX(1,COUNTIF('93_TARGET_MEMBERSHIP'!CC$5:CC$27,1)))*(SUMPRODUCT(--('93_TARGET_MEMBERSHIP'!CC$5:CC$27=-1),'92_FEATURE_CONF_NUMERIC'!W$5:W$27)/MAX(1,COUNTIF('93_TARGET_MEMBERSHIP'!CC$5:CC$27,-1)))))</f>
        <v/>
      </c>
      <c r="W84" s="34">
        <f>IF($B84="ABSOLUTE SEMANTIC",'19_FEATURE_CONFIDENCE'!$D$25,SQRT((SUMPRODUCT(--('93_TARGET_MEMBERSHIP'!CC$5:CC$27=1),'92_FEATURE_CONF_NUMERIC'!X$5:X$27)/MAX(1,COUNTIF('93_TARGET_MEMBERSHIP'!CC$5:CC$27,1)))*(SUMPRODUCT(--('93_TARGET_MEMBERSHIP'!CC$5:CC$27=-1),'92_FEATURE_CONF_NUMERIC'!X$5:X$27)/MAX(1,COUNTIF('93_TARGET_MEMBERSHIP'!CC$5:CC$27,-1)))))</f>
        <v/>
      </c>
      <c r="X84" s="34">
        <f>IF($B84="ABSOLUTE SEMANTIC",'19_FEATURE_CONFIDENCE'!$D$26,SQRT((SUMPRODUCT(--('93_TARGET_MEMBERSHIP'!CC$5:CC$27=1),'92_FEATURE_CONF_NUMERIC'!Y$5:Y$27)/MAX(1,COUNTIF('93_TARGET_MEMBERSHIP'!CC$5:CC$27,1)))*(SUMPRODUCT(--('93_TARGET_MEMBERSHIP'!CC$5:CC$27=-1),'92_FEATURE_CONF_NUMERIC'!Y$5:Y$27)/MAX(1,COUNTIF('93_TARGET_MEMBERSHIP'!CC$5:CC$27,-1)))))</f>
        <v/>
      </c>
      <c r="Y84" s="34">
        <f>IF($B84="ABSOLUTE SEMANTIC",'19_FEATURE_CONFIDENCE'!$D$27,SQRT((SUMPRODUCT(--('93_TARGET_MEMBERSHIP'!CC$5:CC$27=1),'92_FEATURE_CONF_NUMERIC'!Z$5:Z$27)/MAX(1,COUNTIF('93_TARGET_MEMBERSHIP'!CC$5:CC$27,1)))*(SUMPRODUCT(--('93_TARGET_MEMBERSHIP'!CC$5:CC$27=-1),'92_FEATURE_CONF_NUMERIC'!Z$5:Z$27)/MAX(1,COUNTIF('93_TARGET_MEMBERSHIP'!CC$5:CC$27,-1)))))</f>
        <v/>
      </c>
      <c r="Z84" s="34">
        <f>IF($B84="ABSOLUTE SEMANTIC",'19_FEATURE_CONFIDENCE'!$D$28,SQRT((SUMPRODUCT(--('93_TARGET_MEMBERSHIP'!CC$5:CC$27=1),'92_FEATURE_CONF_NUMERIC'!AA$5:AA$27)/MAX(1,COUNTIF('93_TARGET_MEMBERSHIP'!CC$5:CC$27,1)))*(SUMPRODUCT(--('93_TARGET_MEMBERSHIP'!CC$5:CC$27=-1),'92_FEATURE_CONF_NUMERIC'!AA$5:AA$27)/MAX(1,COUNTIF('93_TARGET_MEMBERSHIP'!CC$5:CC$27,-1)))))</f>
        <v/>
      </c>
      <c r="AA84" s="34">
        <f>IF($B84="ABSOLUTE SEMANTIC",'19_FEATURE_CONFIDENCE'!$D$29,SQRT((SUMPRODUCT(--('93_TARGET_MEMBERSHIP'!CC$5:CC$27=1),'92_FEATURE_CONF_NUMERIC'!AB$5:AB$27)/MAX(1,COUNTIF('93_TARGET_MEMBERSHIP'!CC$5:CC$27,1)))*(SUMPRODUCT(--('93_TARGET_MEMBERSHIP'!CC$5:CC$27=-1),'92_FEATURE_CONF_NUMERIC'!AB$5:AB$27)/MAX(1,COUNTIF('93_TARGET_MEMBERSHIP'!CC$5:CC$27,-1)))))</f>
        <v/>
      </c>
      <c r="AB84" s="34">
        <f>IF($B84="ABSOLUTE SEMANTIC",'19_FEATURE_CONFIDENCE'!$D$30,SQRT((SUMPRODUCT(--('93_TARGET_MEMBERSHIP'!CC$5:CC$27=1),'92_FEATURE_CONF_NUMERIC'!AC$5:AC$27)/MAX(1,COUNTIF('93_TARGET_MEMBERSHIP'!CC$5:CC$27,1)))*(SUMPRODUCT(--('93_TARGET_MEMBERSHIP'!CC$5:CC$27=-1),'92_FEATURE_CONF_NUMERIC'!AC$5:AC$27)/MAX(1,COUNTIF('93_TARGET_MEMBERSHIP'!CC$5:CC$27,-1)))))</f>
        <v/>
      </c>
      <c r="AC84" s="34">
        <f>IF($B84="ABSOLUTE SEMANTIC",'19_FEATURE_CONFIDENCE'!$D$31,SQRT((SUMPRODUCT(--('93_TARGET_MEMBERSHIP'!CC$5:CC$27=1),'92_FEATURE_CONF_NUMERIC'!AD$5:AD$27)/MAX(1,COUNTIF('93_TARGET_MEMBERSHIP'!CC$5:CC$27,1)))*(SUMPRODUCT(--('93_TARGET_MEMBERSHIP'!CC$5:CC$27=-1),'92_FEATURE_CONF_NUMERIC'!AD$5:AD$27)/MAX(1,COUNTIF('93_TARGET_MEMBERSHIP'!CC$5:CC$27,-1)))))</f>
        <v/>
      </c>
      <c r="AD84" s="34">
        <f>IF($B84="ABSOLUTE SEMANTIC",'19_FEATURE_CONFIDENCE'!$D$32,SQRT((SUMPRODUCT(--('93_TARGET_MEMBERSHIP'!CC$5:CC$27=1),'92_FEATURE_CONF_NUMERIC'!AE$5:AE$27)/MAX(1,COUNTIF('93_TARGET_MEMBERSHIP'!CC$5:CC$27,1)))*(SUMPRODUCT(--('93_TARGET_MEMBERSHIP'!CC$5:CC$27=-1),'92_FEATURE_CONF_NUMERIC'!AE$5:AE$27)/MAX(1,COUNTIF('93_TARGET_MEMBERSHIP'!CC$5:CC$27,-1)))))</f>
        <v/>
      </c>
      <c r="AE84" s="34">
        <f>IF($B84="ABSOLUTE SEMANTIC",'19_FEATURE_CONFIDENCE'!$D$33,SQRT((SUMPRODUCT(--('93_TARGET_MEMBERSHIP'!CC$5:CC$27=1),'92_FEATURE_CONF_NUMERIC'!AF$5:AF$27)/MAX(1,COUNTIF('93_TARGET_MEMBERSHIP'!CC$5:CC$27,1)))*(SUMPRODUCT(--('93_TARGET_MEMBERSHIP'!CC$5:CC$27=-1),'92_FEATURE_CONF_NUMERIC'!AF$5:AF$27)/MAX(1,COUNTIF('93_TARGET_MEMBERSHIP'!CC$5:CC$27,-1)))))</f>
        <v/>
      </c>
      <c r="AF84" s="34">
        <f>IF($B84="ABSOLUTE SEMANTIC",'19_FEATURE_CONFIDENCE'!$D$34,SQRT((SUMPRODUCT(--('93_TARGET_MEMBERSHIP'!CC$5:CC$27=1),'92_FEATURE_CONF_NUMERIC'!AG$5:AG$27)/MAX(1,COUNTIF('93_TARGET_MEMBERSHIP'!CC$5:CC$27,1)))*(SUMPRODUCT(--('93_TARGET_MEMBERSHIP'!CC$5:CC$27=-1),'92_FEATURE_CONF_NUMERIC'!AG$5:AG$27)/MAX(1,COUNTIF('93_TARGET_MEMBERSHIP'!CC$5:CC$27,-1)))))</f>
        <v/>
      </c>
      <c r="AG84" s="34">
        <f>IF($B84="ABSOLUTE SEMANTIC",'19_FEATURE_CONFIDENCE'!$D$35,SQRT((SUMPRODUCT(--('93_TARGET_MEMBERSHIP'!CC$5:CC$27=1),'92_FEATURE_CONF_NUMERIC'!AH$5:AH$27)/MAX(1,COUNTIF('93_TARGET_MEMBERSHIP'!CC$5:CC$27,1)))*(SUMPRODUCT(--('93_TARGET_MEMBERSHIP'!CC$5:CC$27=-1),'92_FEATURE_CONF_NUMERIC'!AH$5:AH$27)/MAX(1,COUNTIF('93_TARGET_MEMBERSHIP'!CC$5:CC$27,-1)))))</f>
        <v/>
      </c>
      <c r="AH84" s="34">
        <f>IF($B84="ABSOLUTE SEMANTIC",'19_FEATURE_CONFIDENCE'!$D$36,SQRT((SUMPRODUCT(--('93_TARGET_MEMBERSHIP'!CC$5:CC$27=1),'92_FEATURE_CONF_NUMERIC'!AI$5:AI$27)/MAX(1,COUNTIF('93_TARGET_MEMBERSHIP'!CC$5:CC$27,1)))*(SUMPRODUCT(--('93_TARGET_MEMBERSHIP'!CC$5:CC$27=-1),'92_FEATURE_CONF_NUMERIC'!AI$5:AI$27)/MAX(1,COUNTIF('93_TARGET_MEMBERSHIP'!CC$5:CC$27,-1)))))</f>
        <v/>
      </c>
      <c r="AI84" s="34">
        <f>IF($B84="ABSOLUTE SEMANTIC",'19_FEATURE_CONFIDENCE'!$D$37,SQRT((SUMPRODUCT(--('93_TARGET_MEMBERSHIP'!CC$5:CC$27=1),'92_FEATURE_CONF_NUMERIC'!AJ$5:AJ$27)/MAX(1,COUNTIF('93_TARGET_MEMBERSHIP'!CC$5:CC$27,1)))*(SUMPRODUCT(--('93_TARGET_MEMBERSHIP'!CC$5:CC$27=-1),'92_FEATURE_CONF_NUMERIC'!AJ$5:AJ$27)/MAX(1,COUNTIF('93_TARGET_MEMBERSHIP'!CC$5:CC$27,-1)))))</f>
        <v/>
      </c>
      <c r="AJ84" s="34">
        <f>IF($B84="ABSOLUTE SEMANTIC",'19_FEATURE_CONFIDENCE'!$D$38,SQRT((SUMPRODUCT(--('93_TARGET_MEMBERSHIP'!CC$5:CC$27=1),'92_FEATURE_CONF_NUMERIC'!AK$5:AK$27)/MAX(1,COUNTIF('93_TARGET_MEMBERSHIP'!CC$5:CC$27,1)))*(SUMPRODUCT(--('93_TARGET_MEMBERSHIP'!CC$5:CC$27=-1),'92_FEATURE_CONF_NUMERIC'!AK$5:AK$27)/MAX(1,COUNTIF('93_TARGET_MEMBERSHIP'!CC$5:CC$27,-1)))))</f>
        <v/>
      </c>
      <c r="AK84" s="34">
        <f>IF($B84="ABSOLUTE SEMANTIC",'19_FEATURE_CONFIDENCE'!$D$39,SQRT((SUMPRODUCT(--('93_TARGET_MEMBERSHIP'!CC$5:CC$27=1),'92_FEATURE_CONF_NUMERIC'!AL$5:AL$27)/MAX(1,COUNTIF('93_TARGET_MEMBERSHIP'!CC$5:CC$27,1)))*(SUMPRODUCT(--('93_TARGET_MEMBERSHIP'!CC$5:CC$27=-1),'92_FEATURE_CONF_NUMERIC'!AL$5:AL$27)/MAX(1,COUNTIF('93_TARGET_MEMBERSHIP'!CC$5:CC$27,-1)))))</f>
        <v/>
      </c>
      <c r="AL84" s="34">
        <f>IF($B84="ABSOLUTE SEMANTIC",'19_FEATURE_CONFIDENCE'!$D$40,SQRT((SUMPRODUCT(--('93_TARGET_MEMBERSHIP'!CC$5:CC$27=1),'92_FEATURE_CONF_NUMERIC'!AM$5:AM$27)/MAX(1,COUNTIF('93_TARGET_MEMBERSHIP'!CC$5:CC$27,1)))*(SUMPRODUCT(--('93_TARGET_MEMBERSHIP'!CC$5:CC$27=-1),'92_FEATURE_CONF_NUMERIC'!AM$5:AM$27)/MAX(1,COUNTIF('93_TARGET_MEMBERSHIP'!CC$5:CC$27,-1)))))</f>
        <v/>
      </c>
      <c r="AM84" s="34">
        <f>IF($B84="ABSOLUTE SEMANTIC",'19_FEATURE_CONFIDENCE'!$D$41,SQRT((SUMPRODUCT(--('93_TARGET_MEMBERSHIP'!CC$5:CC$27=1),'92_FEATURE_CONF_NUMERIC'!AN$5:AN$27)/MAX(1,COUNTIF('93_TARGET_MEMBERSHIP'!CC$5:CC$27,1)))*(SUMPRODUCT(--('93_TARGET_MEMBERSHIP'!CC$5:CC$27=-1),'92_FEATURE_CONF_NUMERIC'!AN$5:AN$27)/MAX(1,COUNTIF('93_TARGET_MEMBERSHIP'!CC$5:CC$27,-1)))))</f>
        <v/>
      </c>
      <c r="AN84" s="34">
        <f>IF($B84="ABSOLUTE SEMANTIC",'19_FEATURE_CONFIDENCE'!$D$42,SQRT((SUMPRODUCT(--('93_TARGET_MEMBERSHIP'!CC$5:CC$27=1),'92_FEATURE_CONF_NUMERIC'!AO$5:AO$27)/MAX(1,COUNTIF('93_TARGET_MEMBERSHIP'!CC$5:CC$27,1)))*(SUMPRODUCT(--('93_TARGET_MEMBERSHIP'!CC$5:CC$27=-1),'92_FEATURE_CONF_NUMERIC'!AO$5:AO$27)/MAX(1,COUNTIF('93_TARGET_MEMBERSHIP'!CC$5:CC$27,-1)))))</f>
        <v/>
      </c>
      <c r="AO84" s="34">
        <f>IF($B84="ABSOLUTE SEMANTIC",'19_FEATURE_CONFIDENCE'!$D$43,SQRT((SUMPRODUCT(--('93_TARGET_MEMBERSHIP'!CC$5:CC$27=1),'92_FEATURE_CONF_NUMERIC'!AP$5:AP$27)/MAX(1,COUNTIF('93_TARGET_MEMBERSHIP'!CC$5:CC$27,1)))*(SUMPRODUCT(--('93_TARGET_MEMBERSHIP'!CC$5:CC$27=-1),'92_FEATURE_CONF_NUMERIC'!AP$5:AP$27)/MAX(1,COUNTIF('93_TARGET_MEMBERSHIP'!CC$5:CC$27,-1)))))</f>
        <v/>
      </c>
      <c r="AP84" s="34">
        <f>IF($B84="ABSOLUTE SEMANTIC",'19_FEATURE_CONFIDENCE'!$D$44,SQRT((SUMPRODUCT(--('93_TARGET_MEMBERSHIP'!CC$5:CC$27=1),'92_FEATURE_CONF_NUMERIC'!AQ$5:AQ$27)/MAX(1,COUNTIF('93_TARGET_MEMBERSHIP'!CC$5:CC$27,1)))*(SUMPRODUCT(--('93_TARGET_MEMBERSHIP'!CC$5:CC$27=-1),'92_FEATURE_CONF_NUMERIC'!AQ$5:AQ$27)/MAX(1,COUNTIF('93_TARGET_MEMBERSHIP'!CC$5:CC$27,-1)))))</f>
        <v/>
      </c>
      <c r="AQ84" s="34">
        <f>IF($B84="ABSOLUTE SEMANTIC",'19_FEATURE_CONFIDENCE'!$D$45,SQRT((SUMPRODUCT(--('93_TARGET_MEMBERSHIP'!CC$5:CC$27=1),'92_FEATURE_CONF_NUMERIC'!AR$5:AR$27)/MAX(1,COUNTIF('93_TARGET_MEMBERSHIP'!CC$5:CC$27,1)))*(SUMPRODUCT(--('93_TARGET_MEMBERSHIP'!CC$5:CC$27=-1),'92_FEATURE_CONF_NUMERIC'!AR$5:AR$27)/MAX(1,COUNTIF('93_TARGET_MEMBERSHIP'!CC$5:CC$27,-1)))))</f>
        <v/>
      </c>
    </row>
  </sheetData>
  <mergeCells count="2">
    <mergeCell ref="A1:AQ1"/>
    <mergeCell ref="A2:AQ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6" customWidth="1" min="8" max="8"/>
    <col width="80" customWidth="1" min="9" max="9"/>
  </cols>
  <sheetData>
    <row r="1" ht="30" customHeight="1">
      <c r="A1" s="1" t="inlineStr">
        <is>
          <t>Within-Item Feature Dependency Audit</t>
        </is>
      </c>
    </row>
    <row r="2" ht="34" customHeight="1">
      <c r="A2" s="29" t="inlineStr">
        <is>
          <t>Only co-used feature pairs with |prototype correlation|&gt;.80 are eligible for a small penalty. In the final v4 items, only A01 uses such a pair: M01 and M03.</t>
        </is>
      </c>
    </row>
    <row r="3"/>
    <row r="4" ht="32" customHeight="1">
      <c r="A4" s="30" t="inlineStr">
        <is>
          <t>Slot</t>
        </is>
      </c>
      <c r="B4" s="30" t="inlineStr">
        <is>
          <t>Feature 1</t>
        </is>
      </c>
      <c r="C4" s="30" t="inlineStr">
        <is>
          <t>Feature 2</t>
        </is>
      </c>
      <c r="D4" s="30" t="inlineStr">
        <is>
          <t>Feature corr</t>
        </is>
      </c>
      <c r="E4" s="30" t="inlineStr">
        <is>
          <t>|coef1|</t>
        </is>
      </c>
      <c r="F4" s="30" t="inlineStr">
        <is>
          <t>|coef2|</t>
        </is>
      </c>
      <c r="G4" s="30" t="inlineStr">
        <is>
          <t>Dependency score</t>
        </is>
      </c>
      <c r="H4" s="30" t="inlineStr">
        <is>
          <t>Weight penalty</t>
        </is>
      </c>
      <c r="I4" s="30" t="inlineStr">
        <is>
          <t>Note</t>
        </is>
      </c>
    </row>
    <row r="5" ht="36" customHeight="1">
      <c r="A5" s="33" t="inlineStr">
        <is>
          <t>A01</t>
        </is>
      </c>
      <c r="B5" s="33" t="inlineStr">
        <is>
          <t>M01</t>
        </is>
      </c>
      <c r="C5" s="33" t="inlineStr">
        <is>
          <t>M03</t>
        </is>
      </c>
      <c r="D5" s="33">
        <f>CORREL('05_FEATURE_MODEL'!Z$5:Z$27,'05_FEATURE_MODEL'!AB$5:AB$27)</f>
        <v/>
      </c>
      <c r="E5" s="33">
        <f>ABS(INDEX('06_ITEM_POLE_MODEL'!$L$5:$AZ$84,MATCH(A5,'06_ITEM_POLE_MODEL'!$A$5:$A$84,0),MATCH(B5,'06_ITEM_POLE_MODEL'!$L$4:$AZ$4,0)))</f>
        <v/>
      </c>
      <c r="F5" s="33">
        <f>ABS(INDEX('06_ITEM_POLE_MODEL'!$L$5:$AZ$84,MATCH(A5,'06_ITEM_POLE_MODEL'!$A$5:$A$84,0),MATCH(C5,'06_ITEM_POLE_MODEL'!$L$4:$AZ$4,0)))</f>
        <v/>
      </c>
      <c r="G5" s="33">
        <f>MIN(1,4*E5*F5*MAX(0,(ABS(D5)-'18_WEIGHT_CONTROL'!$B$10)/(1-'18_WEIGHT_CONTROL'!$B$10)))</f>
        <v/>
      </c>
      <c r="H5" s="33">
        <f>'18_WEIGHT_CONTROL'!$B$11*G5</f>
        <v/>
      </c>
      <c r="I5" s="33" t="inlineStr">
        <is>
          <t>M01/M03 are known sparse narrative dependencies; penalty is modest and never changes the codebook itself.</t>
        </is>
      </c>
    </row>
  </sheetData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34" customWidth="1" min="4" max="4"/>
    <col width="22" customWidth="1" min="5" max="5"/>
    <col width="9" customWidth="1" min="6" max="6"/>
    <col width="26" customWidth="1" min="7" max="7"/>
    <col width="18" customWidth="1" min="8" max="8"/>
    <col width="17" customWidth="1" min="9" max="9"/>
    <col width="16" customWidth="1" min="10" max="10"/>
    <col width="16" customWidth="1" min="11" max="11"/>
    <col width="14" customWidth="1" min="12" max="12"/>
    <col width="14" customWidth="1" min="13" max="13"/>
    <col width="13" customWidth="1" min="14" max="14"/>
    <col width="24" customWidth="1" min="15" max="15"/>
  </cols>
  <sheetData>
    <row r="1" ht="30" customHeight="1">
      <c r="A1" s="1" t="inlineStr">
        <is>
          <t>80-Item Weight Model</t>
        </is>
      </c>
    </row>
    <row r="2" ht="34" customHeight="1">
      <c r="A2" s="29" t="inlineStr">
        <is>
          <t>Final weight = bounded linear shrinkage of semantic reliability around unit weight. Risk tier, Global/Local/Anchor layer and respondent-facing wording flags are shown for audit but excluded from the formula.</t>
        </is>
      </c>
    </row>
    <row r="3"/>
    <row r="4" ht="32" customHeight="1">
      <c r="A4" s="30" t="inlineStr">
        <is>
          <t>Slot</t>
        </is>
      </c>
      <c r="B4" s="30" t="inlineStr">
        <is>
          <t>Layer</t>
        </is>
      </c>
      <c r="C4" s="30" t="inlineStr">
        <is>
          <t>Contrast</t>
        </is>
      </c>
      <c r="D4" s="30" t="inlineStr">
        <is>
          <t>Target</t>
        </is>
      </c>
      <c r="E4" s="30" t="inlineStr">
        <is>
          <t>Mode</t>
        </is>
      </c>
      <c r="F4" s="30" t="inlineStr">
        <is>
          <t>Admin #</t>
        </is>
      </c>
      <c r="G4" s="30" t="inlineStr">
        <is>
          <t>Wording desirability risk (audit only)</t>
        </is>
      </c>
      <c r="H4" s="30" t="inlineStr">
        <is>
          <t>Semantic confidence Q</t>
        </is>
      </c>
      <c r="I4" s="30" t="inlineStr">
        <is>
          <t>Dependency penalty</t>
        </is>
      </c>
      <c r="J4" s="30" t="inlineStr">
        <is>
          <t>Dependency factor</t>
        </is>
      </c>
      <c r="K4" s="30" t="inlineStr">
        <is>
          <t>Raw reliability R</t>
        </is>
      </c>
      <c r="L4" s="30" t="inlineStr">
        <is>
          <t>Centered R</t>
        </is>
      </c>
      <c r="M4" s="30" t="inlineStr">
        <is>
          <t>Final weight</t>
        </is>
      </c>
      <c r="N4" s="30" t="inlineStr">
        <is>
          <t>Δ vs unit</t>
        </is>
      </c>
      <c r="O4" s="30" t="inlineStr">
        <is>
          <t>Weight-prior band</t>
        </is>
      </c>
    </row>
    <row r="5" ht="36" customHeight="1">
      <c r="A5" s="33">
        <f>'06_ITEM_POLE_MODEL'!A5</f>
        <v/>
      </c>
      <c r="B5" s="33">
        <f>'06_ITEM_POLE_MODEL'!B5</f>
        <v/>
      </c>
      <c r="C5" s="33">
        <f>'06_ITEM_POLE_MODEL'!C5</f>
        <v/>
      </c>
      <c r="D5" s="33">
        <f>'06_ITEM_POLE_MODEL'!D5</f>
        <v/>
      </c>
      <c r="E5" s="33">
        <f>'06_ITEM_POLE_MODEL'!E5</f>
        <v/>
      </c>
      <c r="F5" s="33">
        <f>'03_FINAL_ITEMS'!K5</f>
        <v/>
      </c>
      <c r="G5" s="33" t="inlineStr">
        <is>
          <t>LOW — EXPERT</t>
        </is>
      </c>
      <c r="H5" s="35">
        <f>SUMPRODUCT('20_ITEM_FEATURE_MASS'!C5:AQ5,'21_ITEM_FEATURE_CONF'!C5:AQ5)/SUM('20_ITEM_FEATURE_MASS'!C5:AQ5)</f>
        <v/>
      </c>
      <c r="I5" s="35">
        <f>SUMIF('22_DEPENDENCY_AUDIT'!$A$5:$A$20,A5,'22_DEPENDENCY_AUDIT'!$H$5:$H$20)</f>
        <v/>
      </c>
      <c r="J5" s="35">
        <f>1-I5</f>
        <v/>
      </c>
      <c r="K5" s="35">
        <f>H5*J5</f>
        <v/>
      </c>
      <c r="L5" s="35">
        <f>K5-'18_WEIGHT_CONTROL'!$B$12</f>
        <v/>
      </c>
      <c r="M5" s="35">
        <f>1+'18_WEIGHT_CONTROL'!$B$14*L5</f>
        <v/>
      </c>
      <c r="N5" s="35">
        <f>M5-1</f>
        <v/>
      </c>
      <c r="O5" s="33">
        <f>IF(M5&gt;1.04,"HIGHER-CONFIDENCE PRIOR",IF(M5&lt;0.96,"LOWER-CONFIDENCE PRIOR","NEAR-UNIT"))</f>
        <v/>
      </c>
    </row>
    <row r="6" ht="36" customHeight="1">
      <c r="A6" s="33">
        <f>'06_ITEM_POLE_MODEL'!A6</f>
        <v/>
      </c>
      <c r="B6" s="33">
        <f>'06_ITEM_POLE_MODEL'!B6</f>
        <v/>
      </c>
      <c r="C6" s="33">
        <f>'06_ITEM_POLE_MODEL'!C6</f>
        <v/>
      </c>
      <c r="D6" s="33">
        <f>'06_ITEM_POLE_MODEL'!D6</f>
        <v/>
      </c>
      <c r="E6" s="33">
        <f>'06_ITEM_POLE_MODEL'!E6</f>
        <v/>
      </c>
      <c r="F6" s="33">
        <f>'03_FINAL_ITEMS'!K6</f>
        <v/>
      </c>
      <c r="G6" s="33" t="inlineStr">
        <is>
          <t>LOW — EXPERT</t>
        </is>
      </c>
      <c r="H6" s="35">
        <f>SUMPRODUCT('20_ITEM_FEATURE_MASS'!C6:AQ6,'21_ITEM_FEATURE_CONF'!C6:AQ6)/SUM('20_ITEM_FEATURE_MASS'!C6:AQ6)</f>
        <v/>
      </c>
      <c r="I6" s="35">
        <f>SUMIF('22_DEPENDENCY_AUDIT'!$A$5:$A$20,A6,'22_DEPENDENCY_AUDIT'!$H$5:$H$20)</f>
        <v/>
      </c>
      <c r="J6" s="35">
        <f>1-I6</f>
        <v/>
      </c>
      <c r="K6" s="35">
        <f>H6*J6</f>
        <v/>
      </c>
      <c r="L6" s="35">
        <f>K6-'18_WEIGHT_CONTROL'!$B$12</f>
        <v/>
      </c>
      <c r="M6" s="35">
        <f>1+'18_WEIGHT_CONTROL'!$B$14*L6</f>
        <v/>
      </c>
      <c r="N6" s="35">
        <f>M6-1</f>
        <v/>
      </c>
      <c r="O6" s="33">
        <f>IF(M6&gt;1.04,"HIGHER-CONFIDENCE PRIOR",IF(M6&lt;0.96,"LOWER-CONFIDENCE PRIOR","NEAR-UNIT"))</f>
        <v/>
      </c>
    </row>
    <row r="7" ht="36" customHeight="1">
      <c r="A7" s="33">
        <f>'06_ITEM_POLE_MODEL'!A7</f>
        <v/>
      </c>
      <c r="B7" s="33">
        <f>'06_ITEM_POLE_MODEL'!B7</f>
        <v/>
      </c>
      <c r="C7" s="33">
        <f>'06_ITEM_POLE_MODEL'!C7</f>
        <v/>
      </c>
      <c r="D7" s="33">
        <f>'06_ITEM_POLE_MODEL'!D7</f>
        <v/>
      </c>
      <c r="E7" s="33">
        <f>'06_ITEM_POLE_MODEL'!E7</f>
        <v/>
      </c>
      <c r="F7" s="33">
        <f>'03_FINAL_ITEMS'!K7</f>
        <v/>
      </c>
      <c r="G7" s="33" t="inlineStr">
        <is>
          <t>LOW — EXPERT</t>
        </is>
      </c>
      <c r="H7" s="35">
        <f>SUMPRODUCT('20_ITEM_FEATURE_MASS'!C7:AQ7,'21_ITEM_FEATURE_CONF'!C7:AQ7)/SUM('20_ITEM_FEATURE_MASS'!C7:AQ7)</f>
        <v/>
      </c>
      <c r="I7" s="35">
        <f>SUMIF('22_DEPENDENCY_AUDIT'!$A$5:$A$20,A7,'22_DEPENDENCY_AUDIT'!$H$5:$H$20)</f>
        <v/>
      </c>
      <c r="J7" s="35">
        <f>1-I7</f>
        <v/>
      </c>
      <c r="K7" s="35">
        <f>H7*J7</f>
        <v/>
      </c>
      <c r="L7" s="35">
        <f>K7-'18_WEIGHT_CONTROL'!$B$12</f>
        <v/>
      </c>
      <c r="M7" s="35">
        <f>1+'18_WEIGHT_CONTROL'!$B$14*L7</f>
        <v/>
      </c>
      <c r="N7" s="35">
        <f>M7-1</f>
        <v/>
      </c>
      <c r="O7" s="33">
        <f>IF(M7&gt;1.04,"HIGHER-CONFIDENCE PRIOR",IF(M7&lt;0.96,"LOWER-CONFIDENCE PRIOR","NEAR-UNIT"))</f>
        <v/>
      </c>
    </row>
    <row r="8" ht="36" customHeight="1">
      <c r="A8" s="33">
        <f>'06_ITEM_POLE_MODEL'!A8</f>
        <v/>
      </c>
      <c r="B8" s="33">
        <f>'06_ITEM_POLE_MODEL'!B8</f>
        <v/>
      </c>
      <c r="C8" s="33">
        <f>'06_ITEM_POLE_MODEL'!C8</f>
        <v/>
      </c>
      <c r="D8" s="33">
        <f>'06_ITEM_POLE_MODEL'!D8</f>
        <v/>
      </c>
      <c r="E8" s="33">
        <f>'06_ITEM_POLE_MODEL'!E8</f>
        <v/>
      </c>
      <c r="F8" s="33">
        <f>'03_FINAL_ITEMS'!K8</f>
        <v/>
      </c>
      <c r="G8" s="33" t="inlineStr">
        <is>
          <t>LOW — EXPERT</t>
        </is>
      </c>
      <c r="H8" s="35">
        <f>SUMPRODUCT('20_ITEM_FEATURE_MASS'!C8:AQ8,'21_ITEM_FEATURE_CONF'!C8:AQ8)/SUM('20_ITEM_FEATURE_MASS'!C8:AQ8)</f>
        <v/>
      </c>
      <c r="I8" s="35">
        <f>SUMIF('22_DEPENDENCY_AUDIT'!$A$5:$A$20,A8,'22_DEPENDENCY_AUDIT'!$H$5:$H$20)</f>
        <v/>
      </c>
      <c r="J8" s="35">
        <f>1-I8</f>
        <v/>
      </c>
      <c r="K8" s="35">
        <f>H8*J8</f>
        <v/>
      </c>
      <c r="L8" s="35">
        <f>K8-'18_WEIGHT_CONTROL'!$B$12</f>
        <v/>
      </c>
      <c r="M8" s="35">
        <f>1+'18_WEIGHT_CONTROL'!$B$14*L8</f>
        <v/>
      </c>
      <c r="N8" s="35">
        <f>M8-1</f>
        <v/>
      </c>
      <c r="O8" s="33">
        <f>IF(M8&gt;1.04,"HIGHER-CONFIDENCE PRIOR",IF(M8&lt;0.96,"LOWER-CONFIDENCE PRIOR","NEAR-UNIT"))</f>
        <v/>
      </c>
    </row>
    <row r="9" ht="36" customHeight="1">
      <c r="A9" s="33">
        <f>'06_ITEM_POLE_MODEL'!A9</f>
        <v/>
      </c>
      <c r="B9" s="33">
        <f>'06_ITEM_POLE_MODEL'!B9</f>
        <v/>
      </c>
      <c r="C9" s="33">
        <f>'06_ITEM_POLE_MODEL'!C9</f>
        <v/>
      </c>
      <c r="D9" s="33">
        <f>'06_ITEM_POLE_MODEL'!D9</f>
        <v/>
      </c>
      <c r="E9" s="33">
        <f>'06_ITEM_POLE_MODEL'!E9</f>
        <v/>
      </c>
      <c r="F9" s="33">
        <f>'03_FINAL_ITEMS'!K9</f>
        <v/>
      </c>
      <c r="G9" s="33" t="inlineStr">
        <is>
          <t>LOW — EXPERT</t>
        </is>
      </c>
      <c r="H9" s="35">
        <f>SUMPRODUCT('20_ITEM_FEATURE_MASS'!C9:AQ9,'21_ITEM_FEATURE_CONF'!C9:AQ9)/SUM('20_ITEM_FEATURE_MASS'!C9:AQ9)</f>
        <v/>
      </c>
      <c r="I9" s="35">
        <f>SUMIF('22_DEPENDENCY_AUDIT'!$A$5:$A$20,A9,'22_DEPENDENCY_AUDIT'!$H$5:$H$20)</f>
        <v/>
      </c>
      <c r="J9" s="35">
        <f>1-I9</f>
        <v/>
      </c>
      <c r="K9" s="35">
        <f>H9*J9</f>
        <v/>
      </c>
      <c r="L9" s="35">
        <f>K9-'18_WEIGHT_CONTROL'!$B$12</f>
        <v/>
      </c>
      <c r="M9" s="35">
        <f>1+'18_WEIGHT_CONTROL'!$B$14*L9</f>
        <v/>
      </c>
      <c r="N9" s="35">
        <f>M9-1</f>
        <v/>
      </c>
      <c r="O9" s="33">
        <f>IF(M9&gt;1.04,"HIGHER-CONFIDENCE PRIOR",IF(M9&lt;0.96,"LOWER-CONFIDENCE PRIOR","NEAR-UNIT"))</f>
        <v/>
      </c>
    </row>
    <row r="10" ht="36" customHeight="1">
      <c r="A10" s="33">
        <f>'06_ITEM_POLE_MODEL'!A10</f>
        <v/>
      </c>
      <c r="B10" s="33">
        <f>'06_ITEM_POLE_MODEL'!B10</f>
        <v/>
      </c>
      <c r="C10" s="33">
        <f>'06_ITEM_POLE_MODEL'!C10</f>
        <v/>
      </c>
      <c r="D10" s="33">
        <f>'06_ITEM_POLE_MODEL'!D10</f>
        <v/>
      </c>
      <c r="E10" s="33">
        <f>'06_ITEM_POLE_MODEL'!E10</f>
        <v/>
      </c>
      <c r="F10" s="33">
        <f>'03_FINAL_ITEMS'!K10</f>
        <v/>
      </c>
      <c r="G10" s="33" t="inlineStr">
        <is>
          <t>LOW — EXPERT</t>
        </is>
      </c>
      <c r="H10" s="35">
        <f>SUMPRODUCT('20_ITEM_FEATURE_MASS'!C10:AQ10,'21_ITEM_FEATURE_CONF'!C10:AQ10)/SUM('20_ITEM_FEATURE_MASS'!C10:AQ10)</f>
        <v/>
      </c>
      <c r="I10" s="35">
        <f>SUMIF('22_DEPENDENCY_AUDIT'!$A$5:$A$20,A10,'22_DEPENDENCY_AUDIT'!$H$5:$H$20)</f>
        <v/>
      </c>
      <c r="J10" s="35">
        <f>1-I10</f>
        <v/>
      </c>
      <c r="K10" s="35">
        <f>H10*J10</f>
        <v/>
      </c>
      <c r="L10" s="35">
        <f>K10-'18_WEIGHT_CONTROL'!$B$12</f>
        <v/>
      </c>
      <c r="M10" s="35">
        <f>1+'18_WEIGHT_CONTROL'!$B$14*L10</f>
        <v/>
      </c>
      <c r="N10" s="35">
        <f>M10-1</f>
        <v/>
      </c>
      <c r="O10" s="33">
        <f>IF(M10&gt;1.04,"HIGHER-CONFIDENCE PRIOR",IF(M10&lt;0.96,"LOWER-CONFIDENCE PRIOR","NEAR-UNIT"))</f>
        <v/>
      </c>
    </row>
    <row r="11" ht="36" customHeight="1">
      <c r="A11" s="33">
        <f>'06_ITEM_POLE_MODEL'!A11</f>
        <v/>
      </c>
      <c r="B11" s="33">
        <f>'06_ITEM_POLE_MODEL'!B11</f>
        <v/>
      </c>
      <c r="C11" s="33">
        <f>'06_ITEM_POLE_MODEL'!C11</f>
        <v/>
      </c>
      <c r="D11" s="33">
        <f>'06_ITEM_POLE_MODEL'!D11</f>
        <v/>
      </c>
      <c r="E11" s="33">
        <f>'06_ITEM_POLE_MODEL'!E11</f>
        <v/>
      </c>
      <c r="F11" s="33">
        <f>'03_FINAL_ITEMS'!K11</f>
        <v/>
      </c>
      <c r="G11" s="33" t="inlineStr">
        <is>
          <t>LOW — EXPERT</t>
        </is>
      </c>
      <c r="H11" s="35">
        <f>SUMPRODUCT('20_ITEM_FEATURE_MASS'!C11:AQ11,'21_ITEM_FEATURE_CONF'!C11:AQ11)/SUM('20_ITEM_FEATURE_MASS'!C11:AQ11)</f>
        <v/>
      </c>
      <c r="I11" s="35">
        <f>SUMIF('22_DEPENDENCY_AUDIT'!$A$5:$A$20,A11,'22_DEPENDENCY_AUDIT'!$H$5:$H$20)</f>
        <v/>
      </c>
      <c r="J11" s="35">
        <f>1-I11</f>
        <v/>
      </c>
      <c r="K11" s="35">
        <f>H11*J11</f>
        <v/>
      </c>
      <c r="L11" s="35">
        <f>K11-'18_WEIGHT_CONTROL'!$B$12</f>
        <v/>
      </c>
      <c r="M11" s="35">
        <f>1+'18_WEIGHT_CONTROL'!$B$14*L11</f>
        <v/>
      </c>
      <c r="N11" s="35">
        <f>M11-1</f>
        <v/>
      </c>
      <c r="O11" s="33">
        <f>IF(M11&gt;1.04,"HIGHER-CONFIDENCE PRIOR",IF(M11&lt;0.96,"LOWER-CONFIDENCE PRIOR","NEAR-UNIT"))</f>
        <v/>
      </c>
    </row>
    <row r="12" ht="36" customHeight="1">
      <c r="A12" s="33">
        <f>'06_ITEM_POLE_MODEL'!A12</f>
        <v/>
      </c>
      <c r="B12" s="33">
        <f>'06_ITEM_POLE_MODEL'!B12</f>
        <v/>
      </c>
      <c r="C12" s="33">
        <f>'06_ITEM_POLE_MODEL'!C12</f>
        <v/>
      </c>
      <c r="D12" s="33">
        <f>'06_ITEM_POLE_MODEL'!D12</f>
        <v/>
      </c>
      <c r="E12" s="33">
        <f>'06_ITEM_POLE_MODEL'!E12</f>
        <v/>
      </c>
      <c r="F12" s="33">
        <f>'03_FINAL_ITEMS'!K12</f>
        <v/>
      </c>
      <c r="G12" s="33" t="inlineStr">
        <is>
          <t>LOW — EXPERT</t>
        </is>
      </c>
      <c r="H12" s="35">
        <f>SUMPRODUCT('20_ITEM_FEATURE_MASS'!C12:AQ12,'21_ITEM_FEATURE_CONF'!C12:AQ12)/SUM('20_ITEM_FEATURE_MASS'!C12:AQ12)</f>
        <v/>
      </c>
      <c r="I12" s="35">
        <f>SUMIF('22_DEPENDENCY_AUDIT'!$A$5:$A$20,A12,'22_DEPENDENCY_AUDIT'!$H$5:$H$20)</f>
        <v/>
      </c>
      <c r="J12" s="35">
        <f>1-I12</f>
        <v/>
      </c>
      <c r="K12" s="35">
        <f>H12*J12</f>
        <v/>
      </c>
      <c r="L12" s="35">
        <f>K12-'18_WEIGHT_CONTROL'!$B$12</f>
        <v/>
      </c>
      <c r="M12" s="35">
        <f>1+'18_WEIGHT_CONTROL'!$B$14*L12</f>
        <v/>
      </c>
      <c r="N12" s="35">
        <f>M12-1</f>
        <v/>
      </c>
      <c r="O12" s="33">
        <f>IF(M12&gt;1.04,"HIGHER-CONFIDENCE PRIOR",IF(M12&lt;0.96,"LOWER-CONFIDENCE PRIOR","NEAR-UNIT"))</f>
        <v/>
      </c>
    </row>
    <row r="13" ht="36" customHeight="1">
      <c r="A13" s="33">
        <f>'06_ITEM_POLE_MODEL'!A13</f>
        <v/>
      </c>
      <c r="B13" s="33">
        <f>'06_ITEM_POLE_MODEL'!B13</f>
        <v/>
      </c>
      <c r="C13" s="33">
        <f>'06_ITEM_POLE_MODEL'!C13</f>
        <v/>
      </c>
      <c r="D13" s="33">
        <f>'06_ITEM_POLE_MODEL'!D13</f>
        <v/>
      </c>
      <c r="E13" s="33">
        <f>'06_ITEM_POLE_MODEL'!E13</f>
        <v/>
      </c>
      <c r="F13" s="33">
        <f>'03_FINAL_ITEMS'!K13</f>
        <v/>
      </c>
      <c r="G13" s="33" t="inlineStr">
        <is>
          <t>MODERATE — EXPERT</t>
        </is>
      </c>
      <c r="H13" s="35">
        <f>SUMPRODUCT('20_ITEM_FEATURE_MASS'!C13:AQ13,'21_ITEM_FEATURE_CONF'!C13:AQ13)/SUM('20_ITEM_FEATURE_MASS'!C13:AQ13)</f>
        <v/>
      </c>
      <c r="I13" s="35">
        <f>SUMIF('22_DEPENDENCY_AUDIT'!$A$5:$A$20,A13,'22_DEPENDENCY_AUDIT'!$H$5:$H$20)</f>
        <v/>
      </c>
      <c r="J13" s="35">
        <f>1-I13</f>
        <v/>
      </c>
      <c r="K13" s="35">
        <f>H13*J13</f>
        <v/>
      </c>
      <c r="L13" s="35">
        <f>K13-'18_WEIGHT_CONTROL'!$B$12</f>
        <v/>
      </c>
      <c r="M13" s="35">
        <f>1+'18_WEIGHT_CONTROL'!$B$14*L13</f>
        <v/>
      </c>
      <c r="N13" s="35">
        <f>M13-1</f>
        <v/>
      </c>
      <c r="O13" s="33">
        <f>IF(M13&gt;1.04,"HIGHER-CONFIDENCE PRIOR",IF(M13&lt;0.96,"LOWER-CONFIDENCE PRIOR","NEAR-UNIT"))</f>
        <v/>
      </c>
    </row>
    <row r="14" ht="36" customHeight="1">
      <c r="A14" s="33">
        <f>'06_ITEM_POLE_MODEL'!A14</f>
        <v/>
      </c>
      <c r="B14" s="33">
        <f>'06_ITEM_POLE_MODEL'!B14</f>
        <v/>
      </c>
      <c r="C14" s="33">
        <f>'06_ITEM_POLE_MODEL'!C14</f>
        <v/>
      </c>
      <c r="D14" s="33">
        <f>'06_ITEM_POLE_MODEL'!D14</f>
        <v/>
      </c>
      <c r="E14" s="33">
        <f>'06_ITEM_POLE_MODEL'!E14</f>
        <v/>
      </c>
      <c r="F14" s="33">
        <f>'03_FINAL_ITEMS'!K14</f>
        <v/>
      </c>
      <c r="G14" s="33" t="inlineStr">
        <is>
          <t>MODERATE — EXPERT</t>
        </is>
      </c>
      <c r="H14" s="35">
        <f>SUMPRODUCT('20_ITEM_FEATURE_MASS'!C14:AQ14,'21_ITEM_FEATURE_CONF'!C14:AQ14)/SUM('20_ITEM_FEATURE_MASS'!C14:AQ14)</f>
        <v/>
      </c>
      <c r="I14" s="35">
        <f>SUMIF('22_DEPENDENCY_AUDIT'!$A$5:$A$20,A14,'22_DEPENDENCY_AUDIT'!$H$5:$H$20)</f>
        <v/>
      </c>
      <c r="J14" s="35">
        <f>1-I14</f>
        <v/>
      </c>
      <c r="K14" s="35">
        <f>H14*J14</f>
        <v/>
      </c>
      <c r="L14" s="35">
        <f>K14-'18_WEIGHT_CONTROL'!$B$12</f>
        <v/>
      </c>
      <c r="M14" s="35">
        <f>1+'18_WEIGHT_CONTROL'!$B$14*L14</f>
        <v/>
      </c>
      <c r="N14" s="35">
        <f>M14-1</f>
        <v/>
      </c>
      <c r="O14" s="33">
        <f>IF(M14&gt;1.04,"HIGHER-CONFIDENCE PRIOR",IF(M14&lt;0.96,"LOWER-CONFIDENCE PRIOR","NEAR-UNIT"))</f>
        <v/>
      </c>
    </row>
    <row r="15" ht="36" customHeight="1">
      <c r="A15" s="33">
        <f>'06_ITEM_POLE_MODEL'!A15</f>
        <v/>
      </c>
      <c r="B15" s="33">
        <f>'06_ITEM_POLE_MODEL'!B15</f>
        <v/>
      </c>
      <c r="C15" s="33">
        <f>'06_ITEM_POLE_MODEL'!C15</f>
        <v/>
      </c>
      <c r="D15" s="33">
        <f>'06_ITEM_POLE_MODEL'!D15</f>
        <v/>
      </c>
      <c r="E15" s="33">
        <f>'06_ITEM_POLE_MODEL'!E15</f>
        <v/>
      </c>
      <c r="F15" s="33">
        <f>'03_FINAL_ITEMS'!K15</f>
        <v/>
      </c>
      <c r="G15" s="33" t="inlineStr">
        <is>
          <t>LOW — EXPERT</t>
        </is>
      </c>
      <c r="H15" s="35">
        <f>SUMPRODUCT('20_ITEM_FEATURE_MASS'!C15:AQ15,'21_ITEM_FEATURE_CONF'!C15:AQ15)/SUM('20_ITEM_FEATURE_MASS'!C15:AQ15)</f>
        <v/>
      </c>
      <c r="I15" s="35">
        <f>SUMIF('22_DEPENDENCY_AUDIT'!$A$5:$A$20,A15,'22_DEPENDENCY_AUDIT'!$H$5:$H$20)</f>
        <v/>
      </c>
      <c r="J15" s="35">
        <f>1-I15</f>
        <v/>
      </c>
      <c r="K15" s="35">
        <f>H15*J15</f>
        <v/>
      </c>
      <c r="L15" s="35">
        <f>K15-'18_WEIGHT_CONTROL'!$B$12</f>
        <v/>
      </c>
      <c r="M15" s="35">
        <f>1+'18_WEIGHT_CONTROL'!$B$14*L15</f>
        <v/>
      </c>
      <c r="N15" s="35">
        <f>M15-1</f>
        <v/>
      </c>
      <c r="O15" s="33">
        <f>IF(M15&gt;1.04,"HIGHER-CONFIDENCE PRIOR",IF(M15&lt;0.96,"LOWER-CONFIDENCE PRIOR","NEAR-UNIT"))</f>
        <v/>
      </c>
    </row>
    <row r="16" ht="36" customHeight="1">
      <c r="A16" s="33">
        <f>'06_ITEM_POLE_MODEL'!A16</f>
        <v/>
      </c>
      <c r="B16" s="33">
        <f>'06_ITEM_POLE_MODEL'!B16</f>
        <v/>
      </c>
      <c r="C16" s="33">
        <f>'06_ITEM_POLE_MODEL'!C16</f>
        <v/>
      </c>
      <c r="D16" s="33">
        <f>'06_ITEM_POLE_MODEL'!D16</f>
        <v/>
      </c>
      <c r="E16" s="33">
        <f>'06_ITEM_POLE_MODEL'!E16</f>
        <v/>
      </c>
      <c r="F16" s="33">
        <f>'03_FINAL_ITEMS'!K16</f>
        <v/>
      </c>
      <c r="G16" s="33" t="inlineStr">
        <is>
          <t>MODERATE — EXPERT</t>
        </is>
      </c>
      <c r="H16" s="35">
        <f>SUMPRODUCT('20_ITEM_FEATURE_MASS'!C16:AQ16,'21_ITEM_FEATURE_CONF'!C16:AQ16)/SUM('20_ITEM_FEATURE_MASS'!C16:AQ16)</f>
        <v/>
      </c>
      <c r="I16" s="35">
        <f>SUMIF('22_DEPENDENCY_AUDIT'!$A$5:$A$20,A16,'22_DEPENDENCY_AUDIT'!$H$5:$H$20)</f>
        <v/>
      </c>
      <c r="J16" s="35">
        <f>1-I16</f>
        <v/>
      </c>
      <c r="K16" s="35">
        <f>H16*J16</f>
        <v/>
      </c>
      <c r="L16" s="35">
        <f>K16-'18_WEIGHT_CONTROL'!$B$12</f>
        <v/>
      </c>
      <c r="M16" s="35">
        <f>1+'18_WEIGHT_CONTROL'!$B$14*L16</f>
        <v/>
      </c>
      <c r="N16" s="35">
        <f>M16-1</f>
        <v/>
      </c>
      <c r="O16" s="33">
        <f>IF(M16&gt;1.04,"HIGHER-CONFIDENCE PRIOR",IF(M16&lt;0.96,"LOWER-CONFIDENCE PRIOR","NEAR-UNIT"))</f>
        <v/>
      </c>
    </row>
    <row r="17" ht="36" customHeight="1">
      <c r="A17" s="33">
        <f>'06_ITEM_POLE_MODEL'!A17</f>
        <v/>
      </c>
      <c r="B17" s="33">
        <f>'06_ITEM_POLE_MODEL'!B17</f>
        <v/>
      </c>
      <c r="C17" s="33">
        <f>'06_ITEM_POLE_MODEL'!C17</f>
        <v/>
      </c>
      <c r="D17" s="33">
        <f>'06_ITEM_POLE_MODEL'!D17</f>
        <v/>
      </c>
      <c r="E17" s="33">
        <f>'06_ITEM_POLE_MODEL'!E17</f>
        <v/>
      </c>
      <c r="F17" s="33">
        <f>'03_FINAL_ITEMS'!K17</f>
        <v/>
      </c>
      <c r="G17" s="33" t="inlineStr">
        <is>
          <t>LOW — EXPERT</t>
        </is>
      </c>
      <c r="H17" s="35">
        <f>SUMPRODUCT('20_ITEM_FEATURE_MASS'!C17:AQ17,'21_ITEM_FEATURE_CONF'!C17:AQ17)/SUM('20_ITEM_FEATURE_MASS'!C17:AQ17)</f>
        <v/>
      </c>
      <c r="I17" s="35">
        <f>SUMIF('22_DEPENDENCY_AUDIT'!$A$5:$A$20,A17,'22_DEPENDENCY_AUDIT'!$H$5:$H$20)</f>
        <v/>
      </c>
      <c r="J17" s="35">
        <f>1-I17</f>
        <v/>
      </c>
      <c r="K17" s="35">
        <f>H17*J17</f>
        <v/>
      </c>
      <c r="L17" s="35">
        <f>K17-'18_WEIGHT_CONTROL'!$B$12</f>
        <v/>
      </c>
      <c r="M17" s="35">
        <f>1+'18_WEIGHT_CONTROL'!$B$14*L17</f>
        <v/>
      </c>
      <c r="N17" s="35">
        <f>M17-1</f>
        <v/>
      </c>
      <c r="O17" s="33">
        <f>IF(M17&gt;1.04,"HIGHER-CONFIDENCE PRIOR",IF(M17&lt;0.96,"LOWER-CONFIDENCE PRIOR","NEAR-UNIT"))</f>
        <v/>
      </c>
    </row>
    <row r="18" ht="36" customHeight="1">
      <c r="A18" s="33">
        <f>'06_ITEM_POLE_MODEL'!A18</f>
        <v/>
      </c>
      <c r="B18" s="33">
        <f>'06_ITEM_POLE_MODEL'!B18</f>
        <v/>
      </c>
      <c r="C18" s="33">
        <f>'06_ITEM_POLE_MODEL'!C18</f>
        <v/>
      </c>
      <c r="D18" s="33">
        <f>'06_ITEM_POLE_MODEL'!D18</f>
        <v/>
      </c>
      <c r="E18" s="33">
        <f>'06_ITEM_POLE_MODEL'!E18</f>
        <v/>
      </c>
      <c r="F18" s="33">
        <f>'03_FINAL_ITEMS'!K18</f>
        <v/>
      </c>
      <c r="G18" s="33" t="inlineStr">
        <is>
          <t>LOW — EXPERT</t>
        </is>
      </c>
      <c r="H18" s="35">
        <f>SUMPRODUCT('20_ITEM_FEATURE_MASS'!C18:AQ18,'21_ITEM_FEATURE_CONF'!C18:AQ18)/SUM('20_ITEM_FEATURE_MASS'!C18:AQ18)</f>
        <v/>
      </c>
      <c r="I18" s="35">
        <f>SUMIF('22_DEPENDENCY_AUDIT'!$A$5:$A$20,A18,'22_DEPENDENCY_AUDIT'!$H$5:$H$20)</f>
        <v/>
      </c>
      <c r="J18" s="35">
        <f>1-I18</f>
        <v/>
      </c>
      <c r="K18" s="35">
        <f>H18*J18</f>
        <v/>
      </c>
      <c r="L18" s="35">
        <f>K18-'18_WEIGHT_CONTROL'!$B$12</f>
        <v/>
      </c>
      <c r="M18" s="35">
        <f>1+'18_WEIGHT_CONTROL'!$B$14*L18</f>
        <v/>
      </c>
      <c r="N18" s="35">
        <f>M18-1</f>
        <v/>
      </c>
      <c r="O18" s="33">
        <f>IF(M18&gt;1.04,"HIGHER-CONFIDENCE PRIOR",IF(M18&lt;0.96,"LOWER-CONFIDENCE PRIOR","NEAR-UNIT"))</f>
        <v/>
      </c>
    </row>
    <row r="19" ht="36" customHeight="1">
      <c r="A19" s="33">
        <f>'06_ITEM_POLE_MODEL'!A19</f>
        <v/>
      </c>
      <c r="B19" s="33">
        <f>'06_ITEM_POLE_MODEL'!B19</f>
        <v/>
      </c>
      <c r="C19" s="33">
        <f>'06_ITEM_POLE_MODEL'!C19</f>
        <v/>
      </c>
      <c r="D19" s="33">
        <f>'06_ITEM_POLE_MODEL'!D19</f>
        <v/>
      </c>
      <c r="E19" s="33">
        <f>'06_ITEM_POLE_MODEL'!E19</f>
        <v/>
      </c>
      <c r="F19" s="33">
        <f>'03_FINAL_ITEMS'!K19</f>
        <v/>
      </c>
      <c r="G19" s="33" t="inlineStr">
        <is>
          <t>LOW — EXPERT</t>
        </is>
      </c>
      <c r="H19" s="35">
        <f>SUMPRODUCT('20_ITEM_FEATURE_MASS'!C19:AQ19,'21_ITEM_FEATURE_CONF'!C19:AQ19)/SUM('20_ITEM_FEATURE_MASS'!C19:AQ19)</f>
        <v/>
      </c>
      <c r="I19" s="35">
        <f>SUMIF('22_DEPENDENCY_AUDIT'!$A$5:$A$20,A19,'22_DEPENDENCY_AUDIT'!$H$5:$H$20)</f>
        <v/>
      </c>
      <c r="J19" s="35">
        <f>1-I19</f>
        <v/>
      </c>
      <c r="K19" s="35">
        <f>H19*J19</f>
        <v/>
      </c>
      <c r="L19" s="35">
        <f>K19-'18_WEIGHT_CONTROL'!$B$12</f>
        <v/>
      </c>
      <c r="M19" s="35">
        <f>1+'18_WEIGHT_CONTROL'!$B$14*L19</f>
        <v/>
      </c>
      <c r="N19" s="35">
        <f>M19-1</f>
        <v/>
      </c>
      <c r="O19" s="33">
        <f>IF(M19&gt;1.04,"HIGHER-CONFIDENCE PRIOR",IF(M19&lt;0.96,"LOWER-CONFIDENCE PRIOR","NEAR-UNIT"))</f>
        <v/>
      </c>
    </row>
    <row r="20" ht="36" customHeight="1">
      <c r="A20" s="33">
        <f>'06_ITEM_POLE_MODEL'!A20</f>
        <v/>
      </c>
      <c r="B20" s="33">
        <f>'06_ITEM_POLE_MODEL'!B20</f>
        <v/>
      </c>
      <c r="C20" s="33">
        <f>'06_ITEM_POLE_MODEL'!C20</f>
        <v/>
      </c>
      <c r="D20" s="33">
        <f>'06_ITEM_POLE_MODEL'!D20</f>
        <v/>
      </c>
      <c r="E20" s="33">
        <f>'06_ITEM_POLE_MODEL'!E20</f>
        <v/>
      </c>
      <c r="F20" s="33">
        <f>'03_FINAL_ITEMS'!K20</f>
        <v/>
      </c>
      <c r="G20" s="33" t="inlineStr">
        <is>
          <t>LOW — EXPERT</t>
        </is>
      </c>
      <c r="H20" s="35">
        <f>SUMPRODUCT('20_ITEM_FEATURE_MASS'!C20:AQ20,'21_ITEM_FEATURE_CONF'!C20:AQ20)/SUM('20_ITEM_FEATURE_MASS'!C20:AQ20)</f>
        <v/>
      </c>
      <c r="I20" s="35">
        <f>SUMIF('22_DEPENDENCY_AUDIT'!$A$5:$A$20,A20,'22_DEPENDENCY_AUDIT'!$H$5:$H$20)</f>
        <v/>
      </c>
      <c r="J20" s="35">
        <f>1-I20</f>
        <v/>
      </c>
      <c r="K20" s="35">
        <f>H20*J20</f>
        <v/>
      </c>
      <c r="L20" s="35">
        <f>K20-'18_WEIGHT_CONTROL'!$B$12</f>
        <v/>
      </c>
      <c r="M20" s="35">
        <f>1+'18_WEIGHT_CONTROL'!$B$14*L20</f>
        <v/>
      </c>
      <c r="N20" s="35">
        <f>M20-1</f>
        <v/>
      </c>
      <c r="O20" s="33">
        <f>IF(M20&gt;1.04,"HIGHER-CONFIDENCE PRIOR",IF(M20&lt;0.96,"LOWER-CONFIDENCE PRIOR","NEAR-UNIT"))</f>
        <v/>
      </c>
    </row>
    <row r="21" ht="36" customHeight="1">
      <c r="A21" s="33">
        <f>'06_ITEM_POLE_MODEL'!A21</f>
        <v/>
      </c>
      <c r="B21" s="33">
        <f>'06_ITEM_POLE_MODEL'!B21</f>
        <v/>
      </c>
      <c r="C21" s="33">
        <f>'06_ITEM_POLE_MODEL'!C21</f>
        <v/>
      </c>
      <c r="D21" s="33">
        <f>'06_ITEM_POLE_MODEL'!D21</f>
        <v/>
      </c>
      <c r="E21" s="33">
        <f>'06_ITEM_POLE_MODEL'!E21</f>
        <v/>
      </c>
      <c r="F21" s="33">
        <f>'03_FINAL_ITEMS'!K21</f>
        <v/>
      </c>
      <c r="G21" s="33" t="inlineStr">
        <is>
          <t>LOW — EXPERT</t>
        </is>
      </c>
      <c r="H21" s="35">
        <f>SUMPRODUCT('20_ITEM_FEATURE_MASS'!C21:AQ21,'21_ITEM_FEATURE_CONF'!C21:AQ21)/SUM('20_ITEM_FEATURE_MASS'!C21:AQ21)</f>
        <v/>
      </c>
      <c r="I21" s="35">
        <f>SUMIF('22_DEPENDENCY_AUDIT'!$A$5:$A$20,A21,'22_DEPENDENCY_AUDIT'!$H$5:$H$20)</f>
        <v/>
      </c>
      <c r="J21" s="35">
        <f>1-I21</f>
        <v/>
      </c>
      <c r="K21" s="35">
        <f>H21*J21</f>
        <v/>
      </c>
      <c r="L21" s="35">
        <f>K21-'18_WEIGHT_CONTROL'!$B$12</f>
        <v/>
      </c>
      <c r="M21" s="35">
        <f>1+'18_WEIGHT_CONTROL'!$B$14*L21</f>
        <v/>
      </c>
      <c r="N21" s="35">
        <f>M21-1</f>
        <v/>
      </c>
      <c r="O21" s="33">
        <f>IF(M21&gt;1.04,"HIGHER-CONFIDENCE PRIOR",IF(M21&lt;0.96,"LOWER-CONFIDENCE PRIOR","NEAR-UNIT"))</f>
        <v/>
      </c>
    </row>
    <row r="22" ht="36" customHeight="1">
      <c r="A22" s="33">
        <f>'06_ITEM_POLE_MODEL'!A22</f>
        <v/>
      </c>
      <c r="B22" s="33">
        <f>'06_ITEM_POLE_MODEL'!B22</f>
        <v/>
      </c>
      <c r="C22" s="33">
        <f>'06_ITEM_POLE_MODEL'!C22</f>
        <v/>
      </c>
      <c r="D22" s="33">
        <f>'06_ITEM_POLE_MODEL'!D22</f>
        <v/>
      </c>
      <c r="E22" s="33">
        <f>'06_ITEM_POLE_MODEL'!E22</f>
        <v/>
      </c>
      <c r="F22" s="33">
        <f>'03_FINAL_ITEMS'!K22</f>
        <v/>
      </c>
      <c r="G22" s="33" t="inlineStr">
        <is>
          <t>LOW — EXPERT</t>
        </is>
      </c>
      <c r="H22" s="35">
        <f>SUMPRODUCT('20_ITEM_FEATURE_MASS'!C22:AQ22,'21_ITEM_FEATURE_CONF'!C22:AQ22)/SUM('20_ITEM_FEATURE_MASS'!C22:AQ22)</f>
        <v/>
      </c>
      <c r="I22" s="35">
        <f>SUMIF('22_DEPENDENCY_AUDIT'!$A$5:$A$20,A22,'22_DEPENDENCY_AUDIT'!$H$5:$H$20)</f>
        <v/>
      </c>
      <c r="J22" s="35">
        <f>1-I22</f>
        <v/>
      </c>
      <c r="K22" s="35">
        <f>H22*J22</f>
        <v/>
      </c>
      <c r="L22" s="35">
        <f>K22-'18_WEIGHT_CONTROL'!$B$12</f>
        <v/>
      </c>
      <c r="M22" s="35">
        <f>1+'18_WEIGHT_CONTROL'!$B$14*L22</f>
        <v/>
      </c>
      <c r="N22" s="35">
        <f>M22-1</f>
        <v/>
      </c>
      <c r="O22" s="33">
        <f>IF(M22&gt;1.04,"HIGHER-CONFIDENCE PRIOR",IF(M22&lt;0.96,"LOWER-CONFIDENCE PRIOR","NEAR-UNIT"))</f>
        <v/>
      </c>
    </row>
    <row r="23" ht="36" customHeight="1">
      <c r="A23" s="33">
        <f>'06_ITEM_POLE_MODEL'!A23</f>
        <v/>
      </c>
      <c r="B23" s="33">
        <f>'06_ITEM_POLE_MODEL'!B23</f>
        <v/>
      </c>
      <c r="C23" s="33">
        <f>'06_ITEM_POLE_MODEL'!C23</f>
        <v/>
      </c>
      <c r="D23" s="33">
        <f>'06_ITEM_POLE_MODEL'!D23</f>
        <v/>
      </c>
      <c r="E23" s="33">
        <f>'06_ITEM_POLE_MODEL'!E23</f>
        <v/>
      </c>
      <c r="F23" s="33">
        <f>'03_FINAL_ITEMS'!K23</f>
        <v/>
      </c>
      <c r="G23" s="33" t="inlineStr">
        <is>
          <t>LOW — EXPERT</t>
        </is>
      </c>
      <c r="H23" s="35">
        <f>SUMPRODUCT('20_ITEM_FEATURE_MASS'!C23:AQ23,'21_ITEM_FEATURE_CONF'!C23:AQ23)/SUM('20_ITEM_FEATURE_MASS'!C23:AQ23)</f>
        <v/>
      </c>
      <c r="I23" s="35">
        <f>SUMIF('22_DEPENDENCY_AUDIT'!$A$5:$A$20,A23,'22_DEPENDENCY_AUDIT'!$H$5:$H$20)</f>
        <v/>
      </c>
      <c r="J23" s="35">
        <f>1-I23</f>
        <v/>
      </c>
      <c r="K23" s="35">
        <f>H23*J23</f>
        <v/>
      </c>
      <c r="L23" s="35">
        <f>K23-'18_WEIGHT_CONTROL'!$B$12</f>
        <v/>
      </c>
      <c r="M23" s="35">
        <f>1+'18_WEIGHT_CONTROL'!$B$14*L23</f>
        <v/>
      </c>
      <c r="N23" s="35">
        <f>M23-1</f>
        <v/>
      </c>
      <c r="O23" s="33">
        <f>IF(M23&gt;1.04,"HIGHER-CONFIDENCE PRIOR",IF(M23&lt;0.96,"LOWER-CONFIDENCE PRIOR","NEAR-UNIT"))</f>
        <v/>
      </c>
    </row>
    <row r="24" ht="36" customHeight="1">
      <c r="A24" s="33">
        <f>'06_ITEM_POLE_MODEL'!A24</f>
        <v/>
      </c>
      <c r="B24" s="33">
        <f>'06_ITEM_POLE_MODEL'!B24</f>
        <v/>
      </c>
      <c r="C24" s="33">
        <f>'06_ITEM_POLE_MODEL'!C24</f>
        <v/>
      </c>
      <c r="D24" s="33">
        <f>'06_ITEM_POLE_MODEL'!D24</f>
        <v/>
      </c>
      <c r="E24" s="33">
        <f>'06_ITEM_POLE_MODEL'!E24</f>
        <v/>
      </c>
      <c r="F24" s="33">
        <f>'03_FINAL_ITEMS'!K24</f>
        <v/>
      </c>
      <c r="G24" s="33" t="inlineStr">
        <is>
          <t>LOW — EXPERT</t>
        </is>
      </c>
      <c r="H24" s="35">
        <f>SUMPRODUCT('20_ITEM_FEATURE_MASS'!C24:AQ24,'21_ITEM_FEATURE_CONF'!C24:AQ24)/SUM('20_ITEM_FEATURE_MASS'!C24:AQ24)</f>
        <v/>
      </c>
      <c r="I24" s="35">
        <f>SUMIF('22_DEPENDENCY_AUDIT'!$A$5:$A$20,A24,'22_DEPENDENCY_AUDIT'!$H$5:$H$20)</f>
        <v/>
      </c>
      <c r="J24" s="35">
        <f>1-I24</f>
        <v/>
      </c>
      <c r="K24" s="35">
        <f>H24*J24</f>
        <v/>
      </c>
      <c r="L24" s="35">
        <f>K24-'18_WEIGHT_CONTROL'!$B$12</f>
        <v/>
      </c>
      <c r="M24" s="35">
        <f>1+'18_WEIGHT_CONTROL'!$B$14*L24</f>
        <v/>
      </c>
      <c r="N24" s="35">
        <f>M24-1</f>
        <v/>
      </c>
      <c r="O24" s="33">
        <f>IF(M24&gt;1.04,"HIGHER-CONFIDENCE PRIOR",IF(M24&lt;0.96,"LOWER-CONFIDENCE PRIOR","NEAR-UNIT"))</f>
        <v/>
      </c>
    </row>
    <row r="25" ht="36" customHeight="1">
      <c r="A25" s="33">
        <f>'06_ITEM_POLE_MODEL'!A25</f>
        <v/>
      </c>
      <c r="B25" s="33">
        <f>'06_ITEM_POLE_MODEL'!B25</f>
        <v/>
      </c>
      <c r="C25" s="33">
        <f>'06_ITEM_POLE_MODEL'!C25</f>
        <v/>
      </c>
      <c r="D25" s="33">
        <f>'06_ITEM_POLE_MODEL'!D25</f>
        <v/>
      </c>
      <c r="E25" s="33">
        <f>'06_ITEM_POLE_MODEL'!E25</f>
        <v/>
      </c>
      <c r="F25" s="33">
        <f>'03_FINAL_ITEMS'!K25</f>
        <v/>
      </c>
      <c r="G25" s="33" t="inlineStr">
        <is>
          <t>LOW — EXPERT</t>
        </is>
      </c>
      <c r="H25" s="35">
        <f>SUMPRODUCT('20_ITEM_FEATURE_MASS'!C25:AQ25,'21_ITEM_FEATURE_CONF'!C25:AQ25)/SUM('20_ITEM_FEATURE_MASS'!C25:AQ25)</f>
        <v/>
      </c>
      <c r="I25" s="35">
        <f>SUMIF('22_DEPENDENCY_AUDIT'!$A$5:$A$20,A25,'22_DEPENDENCY_AUDIT'!$H$5:$H$20)</f>
        <v/>
      </c>
      <c r="J25" s="35">
        <f>1-I25</f>
        <v/>
      </c>
      <c r="K25" s="35">
        <f>H25*J25</f>
        <v/>
      </c>
      <c r="L25" s="35">
        <f>K25-'18_WEIGHT_CONTROL'!$B$12</f>
        <v/>
      </c>
      <c r="M25" s="35">
        <f>1+'18_WEIGHT_CONTROL'!$B$14*L25</f>
        <v/>
      </c>
      <c r="N25" s="35">
        <f>M25-1</f>
        <v/>
      </c>
      <c r="O25" s="33">
        <f>IF(M25&gt;1.04,"HIGHER-CONFIDENCE PRIOR",IF(M25&lt;0.96,"LOWER-CONFIDENCE PRIOR","NEAR-UNIT"))</f>
        <v/>
      </c>
    </row>
    <row r="26" ht="36" customHeight="1">
      <c r="A26" s="33">
        <f>'06_ITEM_POLE_MODEL'!A26</f>
        <v/>
      </c>
      <c r="B26" s="33">
        <f>'06_ITEM_POLE_MODEL'!B26</f>
        <v/>
      </c>
      <c r="C26" s="33">
        <f>'06_ITEM_POLE_MODEL'!C26</f>
        <v/>
      </c>
      <c r="D26" s="33">
        <f>'06_ITEM_POLE_MODEL'!D26</f>
        <v/>
      </c>
      <c r="E26" s="33">
        <f>'06_ITEM_POLE_MODEL'!E26</f>
        <v/>
      </c>
      <c r="F26" s="33">
        <f>'03_FINAL_ITEMS'!K26</f>
        <v/>
      </c>
      <c r="G26" s="33" t="inlineStr">
        <is>
          <t>LOW — EXPERT</t>
        </is>
      </c>
      <c r="H26" s="35">
        <f>SUMPRODUCT('20_ITEM_FEATURE_MASS'!C26:AQ26,'21_ITEM_FEATURE_CONF'!C26:AQ26)/SUM('20_ITEM_FEATURE_MASS'!C26:AQ26)</f>
        <v/>
      </c>
      <c r="I26" s="35">
        <f>SUMIF('22_DEPENDENCY_AUDIT'!$A$5:$A$20,A26,'22_DEPENDENCY_AUDIT'!$H$5:$H$20)</f>
        <v/>
      </c>
      <c r="J26" s="35">
        <f>1-I26</f>
        <v/>
      </c>
      <c r="K26" s="35">
        <f>H26*J26</f>
        <v/>
      </c>
      <c r="L26" s="35">
        <f>K26-'18_WEIGHT_CONTROL'!$B$12</f>
        <v/>
      </c>
      <c r="M26" s="35">
        <f>1+'18_WEIGHT_CONTROL'!$B$14*L26</f>
        <v/>
      </c>
      <c r="N26" s="35">
        <f>M26-1</f>
        <v/>
      </c>
      <c r="O26" s="33">
        <f>IF(M26&gt;1.04,"HIGHER-CONFIDENCE PRIOR",IF(M26&lt;0.96,"LOWER-CONFIDENCE PRIOR","NEAR-UNIT"))</f>
        <v/>
      </c>
    </row>
    <row r="27" ht="36" customHeight="1">
      <c r="A27" s="33">
        <f>'06_ITEM_POLE_MODEL'!A27</f>
        <v/>
      </c>
      <c r="B27" s="33">
        <f>'06_ITEM_POLE_MODEL'!B27</f>
        <v/>
      </c>
      <c r="C27" s="33">
        <f>'06_ITEM_POLE_MODEL'!C27</f>
        <v/>
      </c>
      <c r="D27" s="33">
        <f>'06_ITEM_POLE_MODEL'!D27</f>
        <v/>
      </c>
      <c r="E27" s="33">
        <f>'06_ITEM_POLE_MODEL'!E27</f>
        <v/>
      </c>
      <c r="F27" s="33">
        <f>'03_FINAL_ITEMS'!K27</f>
        <v/>
      </c>
      <c r="G27" s="33" t="inlineStr">
        <is>
          <t>LOW — EXPERT</t>
        </is>
      </c>
      <c r="H27" s="35">
        <f>SUMPRODUCT('20_ITEM_FEATURE_MASS'!C27:AQ27,'21_ITEM_FEATURE_CONF'!C27:AQ27)/SUM('20_ITEM_FEATURE_MASS'!C27:AQ27)</f>
        <v/>
      </c>
      <c r="I27" s="35">
        <f>SUMIF('22_DEPENDENCY_AUDIT'!$A$5:$A$20,A27,'22_DEPENDENCY_AUDIT'!$H$5:$H$20)</f>
        <v/>
      </c>
      <c r="J27" s="35">
        <f>1-I27</f>
        <v/>
      </c>
      <c r="K27" s="35">
        <f>H27*J27</f>
        <v/>
      </c>
      <c r="L27" s="35">
        <f>K27-'18_WEIGHT_CONTROL'!$B$12</f>
        <v/>
      </c>
      <c r="M27" s="35">
        <f>1+'18_WEIGHT_CONTROL'!$B$14*L27</f>
        <v/>
      </c>
      <c r="N27" s="35">
        <f>M27-1</f>
        <v/>
      </c>
      <c r="O27" s="33">
        <f>IF(M27&gt;1.04,"HIGHER-CONFIDENCE PRIOR",IF(M27&lt;0.96,"LOWER-CONFIDENCE PRIOR","NEAR-UNIT"))</f>
        <v/>
      </c>
    </row>
    <row r="28" ht="36" customHeight="1">
      <c r="A28" s="33">
        <f>'06_ITEM_POLE_MODEL'!A28</f>
        <v/>
      </c>
      <c r="B28" s="33">
        <f>'06_ITEM_POLE_MODEL'!B28</f>
        <v/>
      </c>
      <c r="C28" s="33">
        <f>'06_ITEM_POLE_MODEL'!C28</f>
        <v/>
      </c>
      <c r="D28" s="33">
        <f>'06_ITEM_POLE_MODEL'!D28</f>
        <v/>
      </c>
      <c r="E28" s="33">
        <f>'06_ITEM_POLE_MODEL'!E28</f>
        <v/>
      </c>
      <c r="F28" s="33">
        <f>'03_FINAL_ITEMS'!K28</f>
        <v/>
      </c>
      <c r="G28" s="33" t="inlineStr">
        <is>
          <t>LOW — EXPERT</t>
        </is>
      </c>
      <c r="H28" s="35">
        <f>SUMPRODUCT('20_ITEM_FEATURE_MASS'!C28:AQ28,'21_ITEM_FEATURE_CONF'!C28:AQ28)/SUM('20_ITEM_FEATURE_MASS'!C28:AQ28)</f>
        <v/>
      </c>
      <c r="I28" s="35">
        <f>SUMIF('22_DEPENDENCY_AUDIT'!$A$5:$A$20,A28,'22_DEPENDENCY_AUDIT'!$H$5:$H$20)</f>
        <v/>
      </c>
      <c r="J28" s="35">
        <f>1-I28</f>
        <v/>
      </c>
      <c r="K28" s="35">
        <f>H28*J28</f>
        <v/>
      </c>
      <c r="L28" s="35">
        <f>K28-'18_WEIGHT_CONTROL'!$B$12</f>
        <v/>
      </c>
      <c r="M28" s="35">
        <f>1+'18_WEIGHT_CONTROL'!$B$14*L28</f>
        <v/>
      </c>
      <c r="N28" s="35">
        <f>M28-1</f>
        <v/>
      </c>
      <c r="O28" s="33">
        <f>IF(M28&gt;1.04,"HIGHER-CONFIDENCE PRIOR",IF(M28&lt;0.96,"LOWER-CONFIDENCE PRIOR","NEAR-UNIT"))</f>
        <v/>
      </c>
    </row>
    <row r="29" ht="36" customHeight="1">
      <c r="A29" s="33">
        <f>'06_ITEM_POLE_MODEL'!A29</f>
        <v/>
      </c>
      <c r="B29" s="33">
        <f>'06_ITEM_POLE_MODEL'!B29</f>
        <v/>
      </c>
      <c r="C29" s="33">
        <f>'06_ITEM_POLE_MODEL'!C29</f>
        <v/>
      </c>
      <c r="D29" s="33">
        <f>'06_ITEM_POLE_MODEL'!D29</f>
        <v/>
      </c>
      <c r="E29" s="33">
        <f>'06_ITEM_POLE_MODEL'!E29</f>
        <v/>
      </c>
      <c r="F29" s="33">
        <f>'03_FINAL_ITEMS'!K29</f>
        <v/>
      </c>
      <c r="G29" s="33" t="inlineStr">
        <is>
          <t>LOW — EXPERT</t>
        </is>
      </c>
      <c r="H29" s="35">
        <f>SUMPRODUCT('20_ITEM_FEATURE_MASS'!C29:AQ29,'21_ITEM_FEATURE_CONF'!C29:AQ29)/SUM('20_ITEM_FEATURE_MASS'!C29:AQ29)</f>
        <v/>
      </c>
      <c r="I29" s="35">
        <f>SUMIF('22_DEPENDENCY_AUDIT'!$A$5:$A$20,A29,'22_DEPENDENCY_AUDIT'!$H$5:$H$20)</f>
        <v/>
      </c>
      <c r="J29" s="35">
        <f>1-I29</f>
        <v/>
      </c>
      <c r="K29" s="35">
        <f>H29*J29</f>
        <v/>
      </c>
      <c r="L29" s="35">
        <f>K29-'18_WEIGHT_CONTROL'!$B$12</f>
        <v/>
      </c>
      <c r="M29" s="35">
        <f>1+'18_WEIGHT_CONTROL'!$B$14*L29</f>
        <v/>
      </c>
      <c r="N29" s="35">
        <f>M29-1</f>
        <v/>
      </c>
      <c r="O29" s="33">
        <f>IF(M29&gt;1.04,"HIGHER-CONFIDENCE PRIOR",IF(M29&lt;0.96,"LOWER-CONFIDENCE PRIOR","NEAR-UNIT"))</f>
        <v/>
      </c>
    </row>
    <row r="30" ht="36" customHeight="1">
      <c r="A30" s="33">
        <f>'06_ITEM_POLE_MODEL'!A30</f>
        <v/>
      </c>
      <c r="B30" s="33">
        <f>'06_ITEM_POLE_MODEL'!B30</f>
        <v/>
      </c>
      <c r="C30" s="33">
        <f>'06_ITEM_POLE_MODEL'!C30</f>
        <v/>
      </c>
      <c r="D30" s="33">
        <f>'06_ITEM_POLE_MODEL'!D30</f>
        <v/>
      </c>
      <c r="E30" s="33">
        <f>'06_ITEM_POLE_MODEL'!E30</f>
        <v/>
      </c>
      <c r="F30" s="33">
        <f>'03_FINAL_ITEMS'!K30</f>
        <v/>
      </c>
      <c r="G30" s="33" t="inlineStr">
        <is>
          <t>LOW — EXPERT</t>
        </is>
      </c>
      <c r="H30" s="35">
        <f>SUMPRODUCT('20_ITEM_FEATURE_MASS'!C30:AQ30,'21_ITEM_FEATURE_CONF'!C30:AQ30)/SUM('20_ITEM_FEATURE_MASS'!C30:AQ30)</f>
        <v/>
      </c>
      <c r="I30" s="35">
        <f>SUMIF('22_DEPENDENCY_AUDIT'!$A$5:$A$20,A30,'22_DEPENDENCY_AUDIT'!$H$5:$H$20)</f>
        <v/>
      </c>
      <c r="J30" s="35">
        <f>1-I30</f>
        <v/>
      </c>
      <c r="K30" s="35">
        <f>H30*J30</f>
        <v/>
      </c>
      <c r="L30" s="35">
        <f>K30-'18_WEIGHT_CONTROL'!$B$12</f>
        <v/>
      </c>
      <c r="M30" s="35">
        <f>1+'18_WEIGHT_CONTROL'!$B$14*L30</f>
        <v/>
      </c>
      <c r="N30" s="35">
        <f>M30-1</f>
        <v/>
      </c>
      <c r="O30" s="33">
        <f>IF(M30&gt;1.04,"HIGHER-CONFIDENCE PRIOR",IF(M30&lt;0.96,"LOWER-CONFIDENCE PRIOR","NEAR-UNIT"))</f>
        <v/>
      </c>
    </row>
    <row r="31" ht="36" customHeight="1">
      <c r="A31" s="33">
        <f>'06_ITEM_POLE_MODEL'!A31</f>
        <v/>
      </c>
      <c r="B31" s="33">
        <f>'06_ITEM_POLE_MODEL'!B31</f>
        <v/>
      </c>
      <c r="C31" s="33">
        <f>'06_ITEM_POLE_MODEL'!C31</f>
        <v/>
      </c>
      <c r="D31" s="33">
        <f>'06_ITEM_POLE_MODEL'!D31</f>
        <v/>
      </c>
      <c r="E31" s="33">
        <f>'06_ITEM_POLE_MODEL'!E31</f>
        <v/>
      </c>
      <c r="F31" s="33">
        <f>'03_FINAL_ITEMS'!K31</f>
        <v/>
      </c>
      <c r="G31" s="33" t="inlineStr">
        <is>
          <t>LOW — EXPERT</t>
        </is>
      </c>
      <c r="H31" s="35">
        <f>SUMPRODUCT('20_ITEM_FEATURE_MASS'!C31:AQ31,'21_ITEM_FEATURE_CONF'!C31:AQ31)/SUM('20_ITEM_FEATURE_MASS'!C31:AQ31)</f>
        <v/>
      </c>
      <c r="I31" s="35">
        <f>SUMIF('22_DEPENDENCY_AUDIT'!$A$5:$A$20,A31,'22_DEPENDENCY_AUDIT'!$H$5:$H$20)</f>
        <v/>
      </c>
      <c r="J31" s="35">
        <f>1-I31</f>
        <v/>
      </c>
      <c r="K31" s="35">
        <f>H31*J31</f>
        <v/>
      </c>
      <c r="L31" s="35">
        <f>K31-'18_WEIGHT_CONTROL'!$B$12</f>
        <v/>
      </c>
      <c r="M31" s="35">
        <f>1+'18_WEIGHT_CONTROL'!$B$14*L31</f>
        <v/>
      </c>
      <c r="N31" s="35">
        <f>M31-1</f>
        <v/>
      </c>
      <c r="O31" s="33">
        <f>IF(M31&gt;1.04,"HIGHER-CONFIDENCE PRIOR",IF(M31&lt;0.96,"LOWER-CONFIDENCE PRIOR","NEAR-UNIT"))</f>
        <v/>
      </c>
    </row>
    <row r="32" ht="36" customHeight="1">
      <c r="A32" s="33">
        <f>'06_ITEM_POLE_MODEL'!A32</f>
        <v/>
      </c>
      <c r="B32" s="33">
        <f>'06_ITEM_POLE_MODEL'!B32</f>
        <v/>
      </c>
      <c r="C32" s="33">
        <f>'06_ITEM_POLE_MODEL'!C32</f>
        <v/>
      </c>
      <c r="D32" s="33">
        <f>'06_ITEM_POLE_MODEL'!D32</f>
        <v/>
      </c>
      <c r="E32" s="33">
        <f>'06_ITEM_POLE_MODEL'!E32</f>
        <v/>
      </c>
      <c r="F32" s="33">
        <f>'03_FINAL_ITEMS'!K32</f>
        <v/>
      </c>
      <c r="G32" s="33" t="inlineStr">
        <is>
          <t>MODERATE — EXPERT</t>
        </is>
      </c>
      <c r="H32" s="35">
        <f>SUMPRODUCT('20_ITEM_FEATURE_MASS'!C32:AQ32,'21_ITEM_FEATURE_CONF'!C32:AQ32)/SUM('20_ITEM_FEATURE_MASS'!C32:AQ32)</f>
        <v/>
      </c>
      <c r="I32" s="35">
        <f>SUMIF('22_DEPENDENCY_AUDIT'!$A$5:$A$20,A32,'22_DEPENDENCY_AUDIT'!$H$5:$H$20)</f>
        <v/>
      </c>
      <c r="J32" s="35">
        <f>1-I32</f>
        <v/>
      </c>
      <c r="K32" s="35">
        <f>H32*J32</f>
        <v/>
      </c>
      <c r="L32" s="35">
        <f>K32-'18_WEIGHT_CONTROL'!$B$12</f>
        <v/>
      </c>
      <c r="M32" s="35">
        <f>1+'18_WEIGHT_CONTROL'!$B$14*L32</f>
        <v/>
      </c>
      <c r="N32" s="35">
        <f>M32-1</f>
        <v/>
      </c>
      <c r="O32" s="33">
        <f>IF(M32&gt;1.04,"HIGHER-CONFIDENCE PRIOR",IF(M32&lt;0.96,"LOWER-CONFIDENCE PRIOR","NEAR-UNIT"))</f>
        <v/>
      </c>
    </row>
    <row r="33" ht="36" customHeight="1">
      <c r="A33" s="33">
        <f>'06_ITEM_POLE_MODEL'!A33</f>
        <v/>
      </c>
      <c r="B33" s="33">
        <f>'06_ITEM_POLE_MODEL'!B33</f>
        <v/>
      </c>
      <c r="C33" s="33">
        <f>'06_ITEM_POLE_MODEL'!C33</f>
        <v/>
      </c>
      <c r="D33" s="33">
        <f>'06_ITEM_POLE_MODEL'!D33</f>
        <v/>
      </c>
      <c r="E33" s="33">
        <f>'06_ITEM_POLE_MODEL'!E33</f>
        <v/>
      </c>
      <c r="F33" s="33">
        <f>'03_FINAL_ITEMS'!K33</f>
        <v/>
      </c>
      <c r="G33" s="33" t="inlineStr">
        <is>
          <t>MODERATE — EXPERT</t>
        </is>
      </c>
      <c r="H33" s="35">
        <f>SUMPRODUCT('20_ITEM_FEATURE_MASS'!C33:AQ33,'21_ITEM_FEATURE_CONF'!C33:AQ33)/SUM('20_ITEM_FEATURE_MASS'!C33:AQ33)</f>
        <v/>
      </c>
      <c r="I33" s="35">
        <f>SUMIF('22_DEPENDENCY_AUDIT'!$A$5:$A$20,A33,'22_DEPENDENCY_AUDIT'!$H$5:$H$20)</f>
        <v/>
      </c>
      <c r="J33" s="35">
        <f>1-I33</f>
        <v/>
      </c>
      <c r="K33" s="35">
        <f>H33*J33</f>
        <v/>
      </c>
      <c r="L33" s="35">
        <f>K33-'18_WEIGHT_CONTROL'!$B$12</f>
        <v/>
      </c>
      <c r="M33" s="35">
        <f>1+'18_WEIGHT_CONTROL'!$B$14*L33</f>
        <v/>
      </c>
      <c r="N33" s="35">
        <f>M33-1</f>
        <v/>
      </c>
      <c r="O33" s="33">
        <f>IF(M33&gt;1.04,"HIGHER-CONFIDENCE PRIOR",IF(M33&lt;0.96,"LOWER-CONFIDENCE PRIOR","NEAR-UNIT"))</f>
        <v/>
      </c>
    </row>
    <row r="34" ht="36" customHeight="1">
      <c r="A34" s="33">
        <f>'06_ITEM_POLE_MODEL'!A34</f>
        <v/>
      </c>
      <c r="B34" s="33">
        <f>'06_ITEM_POLE_MODEL'!B34</f>
        <v/>
      </c>
      <c r="C34" s="33">
        <f>'06_ITEM_POLE_MODEL'!C34</f>
        <v/>
      </c>
      <c r="D34" s="33">
        <f>'06_ITEM_POLE_MODEL'!D34</f>
        <v/>
      </c>
      <c r="E34" s="33">
        <f>'06_ITEM_POLE_MODEL'!E34</f>
        <v/>
      </c>
      <c r="F34" s="33">
        <f>'03_FINAL_ITEMS'!K34</f>
        <v/>
      </c>
      <c r="G34" s="33" t="inlineStr">
        <is>
          <t>LOW — EXPERT</t>
        </is>
      </c>
      <c r="H34" s="35">
        <f>SUMPRODUCT('20_ITEM_FEATURE_MASS'!C34:AQ34,'21_ITEM_FEATURE_CONF'!C34:AQ34)/SUM('20_ITEM_FEATURE_MASS'!C34:AQ34)</f>
        <v/>
      </c>
      <c r="I34" s="35">
        <f>SUMIF('22_DEPENDENCY_AUDIT'!$A$5:$A$20,A34,'22_DEPENDENCY_AUDIT'!$H$5:$H$20)</f>
        <v/>
      </c>
      <c r="J34" s="35">
        <f>1-I34</f>
        <v/>
      </c>
      <c r="K34" s="35">
        <f>H34*J34</f>
        <v/>
      </c>
      <c r="L34" s="35">
        <f>K34-'18_WEIGHT_CONTROL'!$B$12</f>
        <v/>
      </c>
      <c r="M34" s="35">
        <f>1+'18_WEIGHT_CONTROL'!$B$14*L34</f>
        <v/>
      </c>
      <c r="N34" s="35">
        <f>M34-1</f>
        <v/>
      </c>
      <c r="O34" s="33">
        <f>IF(M34&gt;1.04,"HIGHER-CONFIDENCE PRIOR",IF(M34&lt;0.96,"LOWER-CONFIDENCE PRIOR","NEAR-UNIT"))</f>
        <v/>
      </c>
    </row>
    <row r="35" ht="36" customHeight="1">
      <c r="A35" s="33">
        <f>'06_ITEM_POLE_MODEL'!A35</f>
        <v/>
      </c>
      <c r="B35" s="33">
        <f>'06_ITEM_POLE_MODEL'!B35</f>
        <v/>
      </c>
      <c r="C35" s="33">
        <f>'06_ITEM_POLE_MODEL'!C35</f>
        <v/>
      </c>
      <c r="D35" s="33">
        <f>'06_ITEM_POLE_MODEL'!D35</f>
        <v/>
      </c>
      <c r="E35" s="33">
        <f>'06_ITEM_POLE_MODEL'!E35</f>
        <v/>
      </c>
      <c r="F35" s="33">
        <f>'03_FINAL_ITEMS'!K35</f>
        <v/>
      </c>
      <c r="G35" s="33" t="inlineStr">
        <is>
          <t>LOW — EXPERT</t>
        </is>
      </c>
      <c r="H35" s="35">
        <f>SUMPRODUCT('20_ITEM_FEATURE_MASS'!C35:AQ35,'21_ITEM_FEATURE_CONF'!C35:AQ35)/SUM('20_ITEM_FEATURE_MASS'!C35:AQ35)</f>
        <v/>
      </c>
      <c r="I35" s="35">
        <f>SUMIF('22_DEPENDENCY_AUDIT'!$A$5:$A$20,A35,'22_DEPENDENCY_AUDIT'!$H$5:$H$20)</f>
        <v/>
      </c>
      <c r="J35" s="35">
        <f>1-I35</f>
        <v/>
      </c>
      <c r="K35" s="35">
        <f>H35*J35</f>
        <v/>
      </c>
      <c r="L35" s="35">
        <f>K35-'18_WEIGHT_CONTROL'!$B$12</f>
        <v/>
      </c>
      <c r="M35" s="35">
        <f>1+'18_WEIGHT_CONTROL'!$B$14*L35</f>
        <v/>
      </c>
      <c r="N35" s="35">
        <f>M35-1</f>
        <v/>
      </c>
      <c r="O35" s="33">
        <f>IF(M35&gt;1.04,"HIGHER-CONFIDENCE PRIOR",IF(M35&lt;0.96,"LOWER-CONFIDENCE PRIOR","NEAR-UNIT"))</f>
        <v/>
      </c>
    </row>
    <row r="36" ht="36" customHeight="1">
      <c r="A36" s="33">
        <f>'06_ITEM_POLE_MODEL'!A36</f>
        <v/>
      </c>
      <c r="B36" s="33">
        <f>'06_ITEM_POLE_MODEL'!B36</f>
        <v/>
      </c>
      <c r="C36" s="33">
        <f>'06_ITEM_POLE_MODEL'!C36</f>
        <v/>
      </c>
      <c r="D36" s="33">
        <f>'06_ITEM_POLE_MODEL'!D36</f>
        <v/>
      </c>
      <c r="E36" s="33">
        <f>'06_ITEM_POLE_MODEL'!E36</f>
        <v/>
      </c>
      <c r="F36" s="33">
        <f>'03_FINAL_ITEMS'!K36</f>
        <v/>
      </c>
      <c r="G36" s="33" t="inlineStr">
        <is>
          <t>LOW — EXPERT</t>
        </is>
      </c>
      <c r="H36" s="35">
        <f>SUMPRODUCT('20_ITEM_FEATURE_MASS'!C36:AQ36,'21_ITEM_FEATURE_CONF'!C36:AQ36)/SUM('20_ITEM_FEATURE_MASS'!C36:AQ36)</f>
        <v/>
      </c>
      <c r="I36" s="35">
        <f>SUMIF('22_DEPENDENCY_AUDIT'!$A$5:$A$20,A36,'22_DEPENDENCY_AUDIT'!$H$5:$H$20)</f>
        <v/>
      </c>
      <c r="J36" s="35">
        <f>1-I36</f>
        <v/>
      </c>
      <c r="K36" s="35">
        <f>H36*J36</f>
        <v/>
      </c>
      <c r="L36" s="35">
        <f>K36-'18_WEIGHT_CONTROL'!$B$12</f>
        <v/>
      </c>
      <c r="M36" s="35">
        <f>1+'18_WEIGHT_CONTROL'!$B$14*L36</f>
        <v/>
      </c>
      <c r="N36" s="35">
        <f>M36-1</f>
        <v/>
      </c>
      <c r="O36" s="33">
        <f>IF(M36&gt;1.04,"HIGHER-CONFIDENCE PRIOR",IF(M36&lt;0.96,"LOWER-CONFIDENCE PRIOR","NEAR-UNIT"))</f>
        <v/>
      </c>
    </row>
    <row r="37" ht="36" customHeight="1">
      <c r="A37" s="33">
        <f>'06_ITEM_POLE_MODEL'!A37</f>
        <v/>
      </c>
      <c r="B37" s="33">
        <f>'06_ITEM_POLE_MODEL'!B37</f>
        <v/>
      </c>
      <c r="C37" s="33">
        <f>'06_ITEM_POLE_MODEL'!C37</f>
        <v/>
      </c>
      <c r="D37" s="33">
        <f>'06_ITEM_POLE_MODEL'!D37</f>
        <v/>
      </c>
      <c r="E37" s="33">
        <f>'06_ITEM_POLE_MODEL'!E37</f>
        <v/>
      </c>
      <c r="F37" s="33">
        <f>'03_FINAL_ITEMS'!K37</f>
        <v/>
      </c>
      <c r="G37" s="33" t="inlineStr">
        <is>
          <t>LOW — EXPERT</t>
        </is>
      </c>
      <c r="H37" s="35">
        <f>SUMPRODUCT('20_ITEM_FEATURE_MASS'!C37:AQ37,'21_ITEM_FEATURE_CONF'!C37:AQ37)/SUM('20_ITEM_FEATURE_MASS'!C37:AQ37)</f>
        <v/>
      </c>
      <c r="I37" s="35">
        <f>SUMIF('22_DEPENDENCY_AUDIT'!$A$5:$A$20,A37,'22_DEPENDENCY_AUDIT'!$H$5:$H$20)</f>
        <v/>
      </c>
      <c r="J37" s="35">
        <f>1-I37</f>
        <v/>
      </c>
      <c r="K37" s="35">
        <f>H37*J37</f>
        <v/>
      </c>
      <c r="L37" s="35">
        <f>K37-'18_WEIGHT_CONTROL'!$B$12</f>
        <v/>
      </c>
      <c r="M37" s="35">
        <f>1+'18_WEIGHT_CONTROL'!$B$14*L37</f>
        <v/>
      </c>
      <c r="N37" s="35">
        <f>M37-1</f>
        <v/>
      </c>
      <c r="O37" s="33">
        <f>IF(M37&gt;1.04,"HIGHER-CONFIDENCE PRIOR",IF(M37&lt;0.96,"LOWER-CONFIDENCE PRIOR","NEAR-UNIT"))</f>
        <v/>
      </c>
    </row>
    <row r="38" ht="36" customHeight="1">
      <c r="A38" s="33">
        <f>'06_ITEM_POLE_MODEL'!A38</f>
        <v/>
      </c>
      <c r="B38" s="33">
        <f>'06_ITEM_POLE_MODEL'!B38</f>
        <v/>
      </c>
      <c r="C38" s="33">
        <f>'06_ITEM_POLE_MODEL'!C38</f>
        <v/>
      </c>
      <c r="D38" s="33">
        <f>'06_ITEM_POLE_MODEL'!D38</f>
        <v/>
      </c>
      <c r="E38" s="33">
        <f>'06_ITEM_POLE_MODEL'!E38</f>
        <v/>
      </c>
      <c r="F38" s="33">
        <f>'03_FINAL_ITEMS'!K38</f>
        <v/>
      </c>
      <c r="G38" s="33" t="inlineStr">
        <is>
          <t>LOW — EXPERT</t>
        </is>
      </c>
      <c r="H38" s="35">
        <f>SUMPRODUCT('20_ITEM_FEATURE_MASS'!C38:AQ38,'21_ITEM_FEATURE_CONF'!C38:AQ38)/SUM('20_ITEM_FEATURE_MASS'!C38:AQ38)</f>
        <v/>
      </c>
      <c r="I38" s="35">
        <f>SUMIF('22_DEPENDENCY_AUDIT'!$A$5:$A$20,A38,'22_DEPENDENCY_AUDIT'!$H$5:$H$20)</f>
        <v/>
      </c>
      <c r="J38" s="35">
        <f>1-I38</f>
        <v/>
      </c>
      <c r="K38" s="35">
        <f>H38*J38</f>
        <v/>
      </c>
      <c r="L38" s="35">
        <f>K38-'18_WEIGHT_CONTROL'!$B$12</f>
        <v/>
      </c>
      <c r="M38" s="35">
        <f>1+'18_WEIGHT_CONTROL'!$B$14*L38</f>
        <v/>
      </c>
      <c r="N38" s="35">
        <f>M38-1</f>
        <v/>
      </c>
      <c r="O38" s="33">
        <f>IF(M38&gt;1.04,"HIGHER-CONFIDENCE PRIOR",IF(M38&lt;0.96,"LOWER-CONFIDENCE PRIOR","NEAR-UNIT"))</f>
        <v/>
      </c>
    </row>
    <row r="39" ht="36" customHeight="1">
      <c r="A39" s="33">
        <f>'06_ITEM_POLE_MODEL'!A39</f>
        <v/>
      </c>
      <c r="B39" s="33">
        <f>'06_ITEM_POLE_MODEL'!B39</f>
        <v/>
      </c>
      <c r="C39" s="33">
        <f>'06_ITEM_POLE_MODEL'!C39</f>
        <v/>
      </c>
      <c r="D39" s="33">
        <f>'06_ITEM_POLE_MODEL'!D39</f>
        <v/>
      </c>
      <c r="E39" s="33">
        <f>'06_ITEM_POLE_MODEL'!E39</f>
        <v/>
      </c>
      <c r="F39" s="33">
        <f>'03_FINAL_ITEMS'!K39</f>
        <v/>
      </c>
      <c r="G39" s="33" t="inlineStr">
        <is>
          <t>LOW — EXPERT</t>
        </is>
      </c>
      <c r="H39" s="35">
        <f>SUMPRODUCT('20_ITEM_FEATURE_MASS'!C39:AQ39,'21_ITEM_FEATURE_CONF'!C39:AQ39)/SUM('20_ITEM_FEATURE_MASS'!C39:AQ39)</f>
        <v/>
      </c>
      <c r="I39" s="35">
        <f>SUMIF('22_DEPENDENCY_AUDIT'!$A$5:$A$20,A39,'22_DEPENDENCY_AUDIT'!$H$5:$H$20)</f>
        <v/>
      </c>
      <c r="J39" s="35">
        <f>1-I39</f>
        <v/>
      </c>
      <c r="K39" s="35">
        <f>H39*J39</f>
        <v/>
      </c>
      <c r="L39" s="35">
        <f>K39-'18_WEIGHT_CONTROL'!$B$12</f>
        <v/>
      </c>
      <c r="M39" s="35">
        <f>1+'18_WEIGHT_CONTROL'!$B$14*L39</f>
        <v/>
      </c>
      <c r="N39" s="35">
        <f>M39-1</f>
        <v/>
      </c>
      <c r="O39" s="33">
        <f>IF(M39&gt;1.04,"HIGHER-CONFIDENCE PRIOR",IF(M39&lt;0.96,"LOWER-CONFIDENCE PRIOR","NEAR-UNIT"))</f>
        <v/>
      </c>
    </row>
    <row r="40" ht="36" customHeight="1">
      <c r="A40" s="33">
        <f>'06_ITEM_POLE_MODEL'!A40</f>
        <v/>
      </c>
      <c r="B40" s="33">
        <f>'06_ITEM_POLE_MODEL'!B40</f>
        <v/>
      </c>
      <c r="C40" s="33">
        <f>'06_ITEM_POLE_MODEL'!C40</f>
        <v/>
      </c>
      <c r="D40" s="33">
        <f>'06_ITEM_POLE_MODEL'!D40</f>
        <v/>
      </c>
      <c r="E40" s="33">
        <f>'06_ITEM_POLE_MODEL'!E40</f>
        <v/>
      </c>
      <c r="F40" s="33">
        <f>'03_FINAL_ITEMS'!K40</f>
        <v/>
      </c>
      <c r="G40" s="33" t="inlineStr">
        <is>
          <t>LOW — EXPERT</t>
        </is>
      </c>
      <c r="H40" s="35">
        <f>SUMPRODUCT('20_ITEM_FEATURE_MASS'!C40:AQ40,'21_ITEM_FEATURE_CONF'!C40:AQ40)/SUM('20_ITEM_FEATURE_MASS'!C40:AQ40)</f>
        <v/>
      </c>
      <c r="I40" s="35">
        <f>SUMIF('22_DEPENDENCY_AUDIT'!$A$5:$A$20,A40,'22_DEPENDENCY_AUDIT'!$H$5:$H$20)</f>
        <v/>
      </c>
      <c r="J40" s="35">
        <f>1-I40</f>
        <v/>
      </c>
      <c r="K40" s="35">
        <f>H40*J40</f>
        <v/>
      </c>
      <c r="L40" s="35">
        <f>K40-'18_WEIGHT_CONTROL'!$B$12</f>
        <v/>
      </c>
      <c r="M40" s="35">
        <f>1+'18_WEIGHT_CONTROL'!$B$14*L40</f>
        <v/>
      </c>
      <c r="N40" s="35">
        <f>M40-1</f>
        <v/>
      </c>
      <c r="O40" s="33">
        <f>IF(M40&gt;1.04,"HIGHER-CONFIDENCE PRIOR",IF(M40&lt;0.96,"LOWER-CONFIDENCE PRIOR","NEAR-UNIT"))</f>
        <v/>
      </c>
    </row>
    <row r="41" ht="36" customHeight="1">
      <c r="A41" s="33">
        <f>'06_ITEM_POLE_MODEL'!A41</f>
        <v/>
      </c>
      <c r="B41" s="33">
        <f>'06_ITEM_POLE_MODEL'!B41</f>
        <v/>
      </c>
      <c r="C41" s="33">
        <f>'06_ITEM_POLE_MODEL'!C41</f>
        <v/>
      </c>
      <c r="D41" s="33">
        <f>'06_ITEM_POLE_MODEL'!D41</f>
        <v/>
      </c>
      <c r="E41" s="33">
        <f>'06_ITEM_POLE_MODEL'!E41</f>
        <v/>
      </c>
      <c r="F41" s="33">
        <f>'03_FINAL_ITEMS'!K41</f>
        <v/>
      </c>
      <c r="G41" s="33" t="inlineStr">
        <is>
          <t>LOW — EXPERT</t>
        </is>
      </c>
      <c r="H41" s="35">
        <f>SUMPRODUCT('20_ITEM_FEATURE_MASS'!C41:AQ41,'21_ITEM_FEATURE_CONF'!C41:AQ41)/SUM('20_ITEM_FEATURE_MASS'!C41:AQ41)</f>
        <v/>
      </c>
      <c r="I41" s="35">
        <f>SUMIF('22_DEPENDENCY_AUDIT'!$A$5:$A$20,A41,'22_DEPENDENCY_AUDIT'!$H$5:$H$20)</f>
        <v/>
      </c>
      <c r="J41" s="35">
        <f>1-I41</f>
        <v/>
      </c>
      <c r="K41" s="35">
        <f>H41*J41</f>
        <v/>
      </c>
      <c r="L41" s="35">
        <f>K41-'18_WEIGHT_CONTROL'!$B$12</f>
        <v/>
      </c>
      <c r="M41" s="35">
        <f>1+'18_WEIGHT_CONTROL'!$B$14*L41</f>
        <v/>
      </c>
      <c r="N41" s="35">
        <f>M41-1</f>
        <v/>
      </c>
      <c r="O41" s="33">
        <f>IF(M41&gt;1.04,"HIGHER-CONFIDENCE PRIOR",IF(M41&lt;0.96,"LOWER-CONFIDENCE PRIOR","NEAR-UNIT"))</f>
        <v/>
      </c>
    </row>
    <row r="42" ht="36" customHeight="1">
      <c r="A42" s="33">
        <f>'06_ITEM_POLE_MODEL'!A42</f>
        <v/>
      </c>
      <c r="B42" s="33">
        <f>'06_ITEM_POLE_MODEL'!B42</f>
        <v/>
      </c>
      <c r="C42" s="33">
        <f>'06_ITEM_POLE_MODEL'!C42</f>
        <v/>
      </c>
      <c r="D42" s="33">
        <f>'06_ITEM_POLE_MODEL'!D42</f>
        <v/>
      </c>
      <c r="E42" s="33">
        <f>'06_ITEM_POLE_MODEL'!E42</f>
        <v/>
      </c>
      <c r="F42" s="33">
        <f>'03_FINAL_ITEMS'!K42</f>
        <v/>
      </c>
      <c r="G42" s="33" t="inlineStr">
        <is>
          <t>LOW — EXPERT</t>
        </is>
      </c>
      <c r="H42" s="35">
        <f>SUMPRODUCT('20_ITEM_FEATURE_MASS'!C42:AQ42,'21_ITEM_FEATURE_CONF'!C42:AQ42)/SUM('20_ITEM_FEATURE_MASS'!C42:AQ42)</f>
        <v/>
      </c>
      <c r="I42" s="35">
        <f>SUMIF('22_DEPENDENCY_AUDIT'!$A$5:$A$20,A42,'22_DEPENDENCY_AUDIT'!$H$5:$H$20)</f>
        <v/>
      </c>
      <c r="J42" s="35">
        <f>1-I42</f>
        <v/>
      </c>
      <c r="K42" s="35">
        <f>H42*J42</f>
        <v/>
      </c>
      <c r="L42" s="35">
        <f>K42-'18_WEIGHT_CONTROL'!$B$12</f>
        <v/>
      </c>
      <c r="M42" s="35">
        <f>1+'18_WEIGHT_CONTROL'!$B$14*L42</f>
        <v/>
      </c>
      <c r="N42" s="35">
        <f>M42-1</f>
        <v/>
      </c>
      <c r="O42" s="33">
        <f>IF(M42&gt;1.04,"HIGHER-CONFIDENCE PRIOR",IF(M42&lt;0.96,"LOWER-CONFIDENCE PRIOR","NEAR-UNIT"))</f>
        <v/>
      </c>
    </row>
    <row r="43" ht="36" customHeight="1">
      <c r="A43" s="33">
        <f>'06_ITEM_POLE_MODEL'!A43</f>
        <v/>
      </c>
      <c r="B43" s="33">
        <f>'06_ITEM_POLE_MODEL'!B43</f>
        <v/>
      </c>
      <c r="C43" s="33">
        <f>'06_ITEM_POLE_MODEL'!C43</f>
        <v/>
      </c>
      <c r="D43" s="33">
        <f>'06_ITEM_POLE_MODEL'!D43</f>
        <v/>
      </c>
      <c r="E43" s="33">
        <f>'06_ITEM_POLE_MODEL'!E43</f>
        <v/>
      </c>
      <c r="F43" s="33">
        <f>'03_FINAL_ITEMS'!K43</f>
        <v/>
      </c>
      <c r="G43" s="33" t="inlineStr">
        <is>
          <t>LOW — EXPERT</t>
        </is>
      </c>
      <c r="H43" s="35">
        <f>SUMPRODUCT('20_ITEM_FEATURE_MASS'!C43:AQ43,'21_ITEM_FEATURE_CONF'!C43:AQ43)/SUM('20_ITEM_FEATURE_MASS'!C43:AQ43)</f>
        <v/>
      </c>
      <c r="I43" s="35">
        <f>SUMIF('22_DEPENDENCY_AUDIT'!$A$5:$A$20,A43,'22_DEPENDENCY_AUDIT'!$H$5:$H$20)</f>
        <v/>
      </c>
      <c r="J43" s="35">
        <f>1-I43</f>
        <v/>
      </c>
      <c r="K43" s="35">
        <f>H43*J43</f>
        <v/>
      </c>
      <c r="L43" s="35">
        <f>K43-'18_WEIGHT_CONTROL'!$B$12</f>
        <v/>
      </c>
      <c r="M43" s="35">
        <f>1+'18_WEIGHT_CONTROL'!$B$14*L43</f>
        <v/>
      </c>
      <c r="N43" s="35">
        <f>M43-1</f>
        <v/>
      </c>
      <c r="O43" s="33">
        <f>IF(M43&gt;1.04,"HIGHER-CONFIDENCE PRIOR",IF(M43&lt;0.96,"LOWER-CONFIDENCE PRIOR","NEAR-UNIT"))</f>
        <v/>
      </c>
    </row>
    <row r="44" ht="36" customHeight="1">
      <c r="A44" s="33">
        <f>'06_ITEM_POLE_MODEL'!A44</f>
        <v/>
      </c>
      <c r="B44" s="33">
        <f>'06_ITEM_POLE_MODEL'!B44</f>
        <v/>
      </c>
      <c r="C44" s="33">
        <f>'06_ITEM_POLE_MODEL'!C44</f>
        <v/>
      </c>
      <c r="D44" s="33">
        <f>'06_ITEM_POLE_MODEL'!D44</f>
        <v/>
      </c>
      <c r="E44" s="33">
        <f>'06_ITEM_POLE_MODEL'!E44</f>
        <v/>
      </c>
      <c r="F44" s="33">
        <f>'03_FINAL_ITEMS'!K44</f>
        <v/>
      </c>
      <c r="G44" s="33" t="inlineStr">
        <is>
          <t>LOW — EXPERT</t>
        </is>
      </c>
      <c r="H44" s="35">
        <f>SUMPRODUCT('20_ITEM_FEATURE_MASS'!C44:AQ44,'21_ITEM_FEATURE_CONF'!C44:AQ44)/SUM('20_ITEM_FEATURE_MASS'!C44:AQ44)</f>
        <v/>
      </c>
      <c r="I44" s="35">
        <f>SUMIF('22_DEPENDENCY_AUDIT'!$A$5:$A$20,A44,'22_DEPENDENCY_AUDIT'!$H$5:$H$20)</f>
        <v/>
      </c>
      <c r="J44" s="35">
        <f>1-I44</f>
        <v/>
      </c>
      <c r="K44" s="35">
        <f>H44*J44</f>
        <v/>
      </c>
      <c r="L44" s="35">
        <f>K44-'18_WEIGHT_CONTROL'!$B$12</f>
        <v/>
      </c>
      <c r="M44" s="35">
        <f>1+'18_WEIGHT_CONTROL'!$B$14*L44</f>
        <v/>
      </c>
      <c r="N44" s="35">
        <f>M44-1</f>
        <v/>
      </c>
      <c r="O44" s="33">
        <f>IF(M44&gt;1.04,"HIGHER-CONFIDENCE PRIOR",IF(M44&lt;0.96,"LOWER-CONFIDENCE PRIOR","NEAR-UNIT"))</f>
        <v/>
      </c>
    </row>
    <row r="45" ht="36" customHeight="1">
      <c r="A45" s="33">
        <f>'06_ITEM_POLE_MODEL'!A45</f>
        <v/>
      </c>
      <c r="B45" s="33">
        <f>'06_ITEM_POLE_MODEL'!B45</f>
        <v/>
      </c>
      <c r="C45" s="33">
        <f>'06_ITEM_POLE_MODEL'!C45</f>
        <v/>
      </c>
      <c r="D45" s="33">
        <f>'06_ITEM_POLE_MODEL'!D45</f>
        <v/>
      </c>
      <c r="E45" s="33">
        <f>'06_ITEM_POLE_MODEL'!E45</f>
        <v/>
      </c>
      <c r="F45" s="33">
        <f>'03_FINAL_ITEMS'!K45</f>
        <v/>
      </c>
      <c r="G45" s="33" t="inlineStr">
        <is>
          <t>LOW — EXPERT</t>
        </is>
      </c>
      <c r="H45" s="35">
        <f>SUMPRODUCT('20_ITEM_FEATURE_MASS'!C45:AQ45,'21_ITEM_FEATURE_CONF'!C45:AQ45)/SUM('20_ITEM_FEATURE_MASS'!C45:AQ45)</f>
        <v/>
      </c>
      <c r="I45" s="35">
        <f>SUMIF('22_DEPENDENCY_AUDIT'!$A$5:$A$20,A45,'22_DEPENDENCY_AUDIT'!$H$5:$H$20)</f>
        <v/>
      </c>
      <c r="J45" s="35">
        <f>1-I45</f>
        <v/>
      </c>
      <c r="K45" s="35">
        <f>H45*J45</f>
        <v/>
      </c>
      <c r="L45" s="35">
        <f>K45-'18_WEIGHT_CONTROL'!$B$12</f>
        <v/>
      </c>
      <c r="M45" s="35">
        <f>1+'18_WEIGHT_CONTROL'!$B$14*L45</f>
        <v/>
      </c>
      <c r="N45" s="35">
        <f>M45-1</f>
        <v/>
      </c>
      <c r="O45" s="33">
        <f>IF(M45&gt;1.04,"HIGHER-CONFIDENCE PRIOR",IF(M45&lt;0.96,"LOWER-CONFIDENCE PRIOR","NEAR-UNIT"))</f>
        <v/>
      </c>
    </row>
    <row r="46" ht="36" customHeight="1">
      <c r="A46" s="33">
        <f>'06_ITEM_POLE_MODEL'!A46</f>
        <v/>
      </c>
      <c r="B46" s="33">
        <f>'06_ITEM_POLE_MODEL'!B46</f>
        <v/>
      </c>
      <c r="C46" s="33">
        <f>'06_ITEM_POLE_MODEL'!C46</f>
        <v/>
      </c>
      <c r="D46" s="33">
        <f>'06_ITEM_POLE_MODEL'!D46</f>
        <v/>
      </c>
      <c r="E46" s="33">
        <f>'06_ITEM_POLE_MODEL'!E46</f>
        <v/>
      </c>
      <c r="F46" s="33">
        <f>'03_FINAL_ITEMS'!K46</f>
        <v/>
      </c>
      <c r="G46" s="33" t="inlineStr">
        <is>
          <t>LOW — EXPERT</t>
        </is>
      </c>
      <c r="H46" s="35">
        <f>SUMPRODUCT('20_ITEM_FEATURE_MASS'!C46:AQ46,'21_ITEM_FEATURE_CONF'!C46:AQ46)/SUM('20_ITEM_FEATURE_MASS'!C46:AQ46)</f>
        <v/>
      </c>
      <c r="I46" s="35">
        <f>SUMIF('22_DEPENDENCY_AUDIT'!$A$5:$A$20,A46,'22_DEPENDENCY_AUDIT'!$H$5:$H$20)</f>
        <v/>
      </c>
      <c r="J46" s="35">
        <f>1-I46</f>
        <v/>
      </c>
      <c r="K46" s="35">
        <f>H46*J46</f>
        <v/>
      </c>
      <c r="L46" s="35">
        <f>K46-'18_WEIGHT_CONTROL'!$B$12</f>
        <v/>
      </c>
      <c r="M46" s="35">
        <f>1+'18_WEIGHT_CONTROL'!$B$14*L46</f>
        <v/>
      </c>
      <c r="N46" s="35">
        <f>M46-1</f>
        <v/>
      </c>
      <c r="O46" s="33">
        <f>IF(M46&gt;1.04,"HIGHER-CONFIDENCE PRIOR",IF(M46&lt;0.96,"LOWER-CONFIDENCE PRIOR","NEAR-UNIT"))</f>
        <v/>
      </c>
    </row>
    <row r="47" ht="36" customHeight="1">
      <c r="A47" s="33">
        <f>'06_ITEM_POLE_MODEL'!A47</f>
        <v/>
      </c>
      <c r="B47" s="33">
        <f>'06_ITEM_POLE_MODEL'!B47</f>
        <v/>
      </c>
      <c r="C47" s="33">
        <f>'06_ITEM_POLE_MODEL'!C47</f>
        <v/>
      </c>
      <c r="D47" s="33">
        <f>'06_ITEM_POLE_MODEL'!D47</f>
        <v/>
      </c>
      <c r="E47" s="33">
        <f>'06_ITEM_POLE_MODEL'!E47</f>
        <v/>
      </c>
      <c r="F47" s="33">
        <f>'03_FINAL_ITEMS'!K47</f>
        <v/>
      </c>
      <c r="G47" s="33" t="inlineStr">
        <is>
          <t>LOW — EXPERT</t>
        </is>
      </c>
      <c r="H47" s="35">
        <f>SUMPRODUCT('20_ITEM_FEATURE_MASS'!C47:AQ47,'21_ITEM_FEATURE_CONF'!C47:AQ47)/SUM('20_ITEM_FEATURE_MASS'!C47:AQ47)</f>
        <v/>
      </c>
      <c r="I47" s="35">
        <f>SUMIF('22_DEPENDENCY_AUDIT'!$A$5:$A$20,A47,'22_DEPENDENCY_AUDIT'!$H$5:$H$20)</f>
        <v/>
      </c>
      <c r="J47" s="35">
        <f>1-I47</f>
        <v/>
      </c>
      <c r="K47" s="35">
        <f>H47*J47</f>
        <v/>
      </c>
      <c r="L47" s="35">
        <f>K47-'18_WEIGHT_CONTROL'!$B$12</f>
        <v/>
      </c>
      <c r="M47" s="35">
        <f>1+'18_WEIGHT_CONTROL'!$B$14*L47</f>
        <v/>
      </c>
      <c r="N47" s="35">
        <f>M47-1</f>
        <v/>
      </c>
      <c r="O47" s="33">
        <f>IF(M47&gt;1.04,"HIGHER-CONFIDENCE PRIOR",IF(M47&lt;0.96,"LOWER-CONFIDENCE PRIOR","NEAR-UNIT"))</f>
        <v/>
      </c>
    </row>
    <row r="48" ht="36" customHeight="1">
      <c r="A48" s="33">
        <f>'06_ITEM_POLE_MODEL'!A48</f>
        <v/>
      </c>
      <c r="B48" s="33">
        <f>'06_ITEM_POLE_MODEL'!B48</f>
        <v/>
      </c>
      <c r="C48" s="33">
        <f>'06_ITEM_POLE_MODEL'!C48</f>
        <v/>
      </c>
      <c r="D48" s="33">
        <f>'06_ITEM_POLE_MODEL'!D48</f>
        <v/>
      </c>
      <c r="E48" s="33">
        <f>'06_ITEM_POLE_MODEL'!E48</f>
        <v/>
      </c>
      <c r="F48" s="33">
        <f>'03_FINAL_ITEMS'!K48</f>
        <v/>
      </c>
      <c r="G48" s="33" t="inlineStr">
        <is>
          <t>LOW — EXPERT</t>
        </is>
      </c>
      <c r="H48" s="35">
        <f>SUMPRODUCT('20_ITEM_FEATURE_MASS'!C48:AQ48,'21_ITEM_FEATURE_CONF'!C48:AQ48)/SUM('20_ITEM_FEATURE_MASS'!C48:AQ48)</f>
        <v/>
      </c>
      <c r="I48" s="35">
        <f>SUMIF('22_DEPENDENCY_AUDIT'!$A$5:$A$20,A48,'22_DEPENDENCY_AUDIT'!$H$5:$H$20)</f>
        <v/>
      </c>
      <c r="J48" s="35">
        <f>1-I48</f>
        <v/>
      </c>
      <c r="K48" s="35">
        <f>H48*J48</f>
        <v/>
      </c>
      <c r="L48" s="35">
        <f>K48-'18_WEIGHT_CONTROL'!$B$12</f>
        <v/>
      </c>
      <c r="M48" s="35">
        <f>1+'18_WEIGHT_CONTROL'!$B$14*L48</f>
        <v/>
      </c>
      <c r="N48" s="35">
        <f>M48-1</f>
        <v/>
      </c>
      <c r="O48" s="33">
        <f>IF(M48&gt;1.04,"HIGHER-CONFIDENCE PRIOR",IF(M48&lt;0.96,"LOWER-CONFIDENCE PRIOR","NEAR-UNIT"))</f>
        <v/>
      </c>
    </row>
    <row r="49" ht="36" customHeight="1">
      <c r="A49" s="33">
        <f>'06_ITEM_POLE_MODEL'!A49</f>
        <v/>
      </c>
      <c r="B49" s="33">
        <f>'06_ITEM_POLE_MODEL'!B49</f>
        <v/>
      </c>
      <c r="C49" s="33">
        <f>'06_ITEM_POLE_MODEL'!C49</f>
        <v/>
      </c>
      <c r="D49" s="33">
        <f>'06_ITEM_POLE_MODEL'!D49</f>
        <v/>
      </c>
      <c r="E49" s="33">
        <f>'06_ITEM_POLE_MODEL'!E49</f>
        <v/>
      </c>
      <c r="F49" s="33">
        <f>'03_FINAL_ITEMS'!K49</f>
        <v/>
      </c>
      <c r="G49" s="33" t="inlineStr">
        <is>
          <t>LOW — EXPERT</t>
        </is>
      </c>
      <c r="H49" s="35">
        <f>SUMPRODUCT('20_ITEM_FEATURE_MASS'!C49:AQ49,'21_ITEM_FEATURE_CONF'!C49:AQ49)/SUM('20_ITEM_FEATURE_MASS'!C49:AQ49)</f>
        <v/>
      </c>
      <c r="I49" s="35">
        <f>SUMIF('22_DEPENDENCY_AUDIT'!$A$5:$A$20,A49,'22_DEPENDENCY_AUDIT'!$H$5:$H$20)</f>
        <v/>
      </c>
      <c r="J49" s="35">
        <f>1-I49</f>
        <v/>
      </c>
      <c r="K49" s="35">
        <f>H49*J49</f>
        <v/>
      </c>
      <c r="L49" s="35">
        <f>K49-'18_WEIGHT_CONTROL'!$B$12</f>
        <v/>
      </c>
      <c r="M49" s="35">
        <f>1+'18_WEIGHT_CONTROL'!$B$14*L49</f>
        <v/>
      </c>
      <c r="N49" s="35">
        <f>M49-1</f>
        <v/>
      </c>
      <c r="O49" s="33">
        <f>IF(M49&gt;1.04,"HIGHER-CONFIDENCE PRIOR",IF(M49&lt;0.96,"LOWER-CONFIDENCE PRIOR","NEAR-UNIT"))</f>
        <v/>
      </c>
    </row>
    <row r="50" ht="36" customHeight="1">
      <c r="A50" s="33">
        <f>'06_ITEM_POLE_MODEL'!A50</f>
        <v/>
      </c>
      <c r="B50" s="33">
        <f>'06_ITEM_POLE_MODEL'!B50</f>
        <v/>
      </c>
      <c r="C50" s="33">
        <f>'06_ITEM_POLE_MODEL'!C50</f>
        <v/>
      </c>
      <c r="D50" s="33">
        <f>'06_ITEM_POLE_MODEL'!D50</f>
        <v/>
      </c>
      <c r="E50" s="33">
        <f>'06_ITEM_POLE_MODEL'!E50</f>
        <v/>
      </c>
      <c r="F50" s="33">
        <f>'03_FINAL_ITEMS'!K50</f>
        <v/>
      </c>
      <c r="G50" s="33" t="inlineStr">
        <is>
          <t>LOW — EXPERT</t>
        </is>
      </c>
      <c r="H50" s="35">
        <f>SUMPRODUCT('20_ITEM_FEATURE_MASS'!C50:AQ50,'21_ITEM_FEATURE_CONF'!C50:AQ50)/SUM('20_ITEM_FEATURE_MASS'!C50:AQ50)</f>
        <v/>
      </c>
      <c r="I50" s="35">
        <f>SUMIF('22_DEPENDENCY_AUDIT'!$A$5:$A$20,A50,'22_DEPENDENCY_AUDIT'!$H$5:$H$20)</f>
        <v/>
      </c>
      <c r="J50" s="35">
        <f>1-I50</f>
        <v/>
      </c>
      <c r="K50" s="35">
        <f>H50*J50</f>
        <v/>
      </c>
      <c r="L50" s="35">
        <f>K50-'18_WEIGHT_CONTROL'!$B$12</f>
        <v/>
      </c>
      <c r="M50" s="35">
        <f>1+'18_WEIGHT_CONTROL'!$B$14*L50</f>
        <v/>
      </c>
      <c r="N50" s="35">
        <f>M50-1</f>
        <v/>
      </c>
      <c r="O50" s="33">
        <f>IF(M50&gt;1.04,"HIGHER-CONFIDENCE PRIOR",IF(M50&lt;0.96,"LOWER-CONFIDENCE PRIOR","NEAR-UNIT"))</f>
        <v/>
      </c>
    </row>
    <row r="51" ht="36" customHeight="1">
      <c r="A51" s="33">
        <f>'06_ITEM_POLE_MODEL'!A51</f>
        <v/>
      </c>
      <c r="B51" s="33">
        <f>'06_ITEM_POLE_MODEL'!B51</f>
        <v/>
      </c>
      <c r="C51" s="33">
        <f>'06_ITEM_POLE_MODEL'!C51</f>
        <v/>
      </c>
      <c r="D51" s="33">
        <f>'06_ITEM_POLE_MODEL'!D51</f>
        <v/>
      </c>
      <c r="E51" s="33">
        <f>'06_ITEM_POLE_MODEL'!E51</f>
        <v/>
      </c>
      <c r="F51" s="33">
        <f>'03_FINAL_ITEMS'!K51</f>
        <v/>
      </c>
      <c r="G51" s="33" t="inlineStr">
        <is>
          <t>LOW — EXPERT</t>
        </is>
      </c>
      <c r="H51" s="35">
        <f>SUMPRODUCT('20_ITEM_FEATURE_MASS'!C51:AQ51,'21_ITEM_FEATURE_CONF'!C51:AQ51)/SUM('20_ITEM_FEATURE_MASS'!C51:AQ51)</f>
        <v/>
      </c>
      <c r="I51" s="35">
        <f>SUMIF('22_DEPENDENCY_AUDIT'!$A$5:$A$20,A51,'22_DEPENDENCY_AUDIT'!$H$5:$H$20)</f>
        <v/>
      </c>
      <c r="J51" s="35">
        <f>1-I51</f>
        <v/>
      </c>
      <c r="K51" s="35">
        <f>H51*J51</f>
        <v/>
      </c>
      <c r="L51" s="35">
        <f>K51-'18_WEIGHT_CONTROL'!$B$12</f>
        <v/>
      </c>
      <c r="M51" s="35">
        <f>1+'18_WEIGHT_CONTROL'!$B$14*L51</f>
        <v/>
      </c>
      <c r="N51" s="35">
        <f>M51-1</f>
        <v/>
      </c>
      <c r="O51" s="33">
        <f>IF(M51&gt;1.04,"HIGHER-CONFIDENCE PRIOR",IF(M51&lt;0.96,"LOWER-CONFIDENCE PRIOR","NEAR-UNIT"))</f>
        <v/>
      </c>
    </row>
    <row r="52" ht="36" customHeight="1">
      <c r="A52" s="33">
        <f>'06_ITEM_POLE_MODEL'!A52</f>
        <v/>
      </c>
      <c r="B52" s="33">
        <f>'06_ITEM_POLE_MODEL'!B52</f>
        <v/>
      </c>
      <c r="C52" s="33">
        <f>'06_ITEM_POLE_MODEL'!C52</f>
        <v/>
      </c>
      <c r="D52" s="33">
        <f>'06_ITEM_POLE_MODEL'!D52</f>
        <v/>
      </c>
      <c r="E52" s="33">
        <f>'06_ITEM_POLE_MODEL'!E52</f>
        <v/>
      </c>
      <c r="F52" s="33">
        <f>'03_FINAL_ITEMS'!K52</f>
        <v/>
      </c>
      <c r="G52" s="33" t="inlineStr">
        <is>
          <t>LOW — EXPERT</t>
        </is>
      </c>
      <c r="H52" s="35">
        <f>SUMPRODUCT('20_ITEM_FEATURE_MASS'!C52:AQ52,'21_ITEM_FEATURE_CONF'!C52:AQ52)/SUM('20_ITEM_FEATURE_MASS'!C52:AQ52)</f>
        <v/>
      </c>
      <c r="I52" s="35">
        <f>SUMIF('22_DEPENDENCY_AUDIT'!$A$5:$A$20,A52,'22_DEPENDENCY_AUDIT'!$H$5:$H$20)</f>
        <v/>
      </c>
      <c r="J52" s="35">
        <f>1-I52</f>
        <v/>
      </c>
      <c r="K52" s="35">
        <f>H52*J52</f>
        <v/>
      </c>
      <c r="L52" s="35">
        <f>K52-'18_WEIGHT_CONTROL'!$B$12</f>
        <v/>
      </c>
      <c r="M52" s="35">
        <f>1+'18_WEIGHT_CONTROL'!$B$14*L52</f>
        <v/>
      </c>
      <c r="N52" s="35">
        <f>M52-1</f>
        <v/>
      </c>
      <c r="O52" s="33">
        <f>IF(M52&gt;1.04,"HIGHER-CONFIDENCE PRIOR",IF(M52&lt;0.96,"LOWER-CONFIDENCE PRIOR","NEAR-UNIT"))</f>
        <v/>
      </c>
    </row>
    <row r="53" ht="36" customHeight="1">
      <c r="A53" s="33">
        <f>'06_ITEM_POLE_MODEL'!A53</f>
        <v/>
      </c>
      <c r="B53" s="33">
        <f>'06_ITEM_POLE_MODEL'!B53</f>
        <v/>
      </c>
      <c r="C53" s="33">
        <f>'06_ITEM_POLE_MODEL'!C53</f>
        <v/>
      </c>
      <c r="D53" s="33">
        <f>'06_ITEM_POLE_MODEL'!D53</f>
        <v/>
      </c>
      <c r="E53" s="33">
        <f>'06_ITEM_POLE_MODEL'!E53</f>
        <v/>
      </c>
      <c r="F53" s="33">
        <f>'03_FINAL_ITEMS'!K53</f>
        <v/>
      </c>
      <c r="G53" s="33" t="inlineStr">
        <is>
          <t>LOW — EXPERT</t>
        </is>
      </c>
      <c r="H53" s="35">
        <f>SUMPRODUCT('20_ITEM_FEATURE_MASS'!C53:AQ53,'21_ITEM_FEATURE_CONF'!C53:AQ53)/SUM('20_ITEM_FEATURE_MASS'!C53:AQ53)</f>
        <v/>
      </c>
      <c r="I53" s="35">
        <f>SUMIF('22_DEPENDENCY_AUDIT'!$A$5:$A$20,A53,'22_DEPENDENCY_AUDIT'!$H$5:$H$20)</f>
        <v/>
      </c>
      <c r="J53" s="35">
        <f>1-I53</f>
        <v/>
      </c>
      <c r="K53" s="35">
        <f>H53*J53</f>
        <v/>
      </c>
      <c r="L53" s="35">
        <f>K53-'18_WEIGHT_CONTROL'!$B$12</f>
        <v/>
      </c>
      <c r="M53" s="35">
        <f>1+'18_WEIGHT_CONTROL'!$B$14*L53</f>
        <v/>
      </c>
      <c r="N53" s="35">
        <f>M53-1</f>
        <v/>
      </c>
      <c r="O53" s="33">
        <f>IF(M53&gt;1.04,"HIGHER-CONFIDENCE PRIOR",IF(M53&lt;0.96,"LOWER-CONFIDENCE PRIOR","NEAR-UNIT"))</f>
        <v/>
      </c>
    </row>
    <row r="54" ht="36" customHeight="1">
      <c r="A54" s="33">
        <f>'06_ITEM_POLE_MODEL'!A54</f>
        <v/>
      </c>
      <c r="B54" s="33">
        <f>'06_ITEM_POLE_MODEL'!B54</f>
        <v/>
      </c>
      <c r="C54" s="33">
        <f>'06_ITEM_POLE_MODEL'!C54</f>
        <v/>
      </c>
      <c r="D54" s="33">
        <f>'06_ITEM_POLE_MODEL'!D54</f>
        <v/>
      </c>
      <c r="E54" s="33">
        <f>'06_ITEM_POLE_MODEL'!E54</f>
        <v/>
      </c>
      <c r="F54" s="33">
        <f>'03_FINAL_ITEMS'!K54</f>
        <v/>
      </c>
      <c r="G54" s="33" t="inlineStr">
        <is>
          <t>LOW — EXPERT</t>
        </is>
      </c>
      <c r="H54" s="35">
        <f>SUMPRODUCT('20_ITEM_FEATURE_MASS'!C54:AQ54,'21_ITEM_FEATURE_CONF'!C54:AQ54)/SUM('20_ITEM_FEATURE_MASS'!C54:AQ54)</f>
        <v/>
      </c>
      <c r="I54" s="35">
        <f>SUMIF('22_DEPENDENCY_AUDIT'!$A$5:$A$20,A54,'22_DEPENDENCY_AUDIT'!$H$5:$H$20)</f>
        <v/>
      </c>
      <c r="J54" s="35">
        <f>1-I54</f>
        <v/>
      </c>
      <c r="K54" s="35">
        <f>H54*J54</f>
        <v/>
      </c>
      <c r="L54" s="35">
        <f>K54-'18_WEIGHT_CONTROL'!$B$12</f>
        <v/>
      </c>
      <c r="M54" s="35">
        <f>1+'18_WEIGHT_CONTROL'!$B$14*L54</f>
        <v/>
      </c>
      <c r="N54" s="35">
        <f>M54-1</f>
        <v/>
      </c>
      <c r="O54" s="33">
        <f>IF(M54&gt;1.04,"HIGHER-CONFIDENCE PRIOR",IF(M54&lt;0.96,"LOWER-CONFIDENCE PRIOR","NEAR-UNIT"))</f>
        <v/>
      </c>
    </row>
    <row r="55" ht="36" customHeight="1">
      <c r="A55" s="33">
        <f>'06_ITEM_POLE_MODEL'!A55</f>
        <v/>
      </c>
      <c r="B55" s="33">
        <f>'06_ITEM_POLE_MODEL'!B55</f>
        <v/>
      </c>
      <c r="C55" s="33">
        <f>'06_ITEM_POLE_MODEL'!C55</f>
        <v/>
      </c>
      <c r="D55" s="33">
        <f>'06_ITEM_POLE_MODEL'!D55</f>
        <v/>
      </c>
      <c r="E55" s="33">
        <f>'06_ITEM_POLE_MODEL'!E55</f>
        <v/>
      </c>
      <c r="F55" s="33">
        <f>'03_FINAL_ITEMS'!K55</f>
        <v/>
      </c>
      <c r="G55" s="33" t="inlineStr">
        <is>
          <t>MODERATE — EXPERT</t>
        </is>
      </c>
      <c r="H55" s="35">
        <f>SUMPRODUCT('20_ITEM_FEATURE_MASS'!C55:AQ55,'21_ITEM_FEATURE_CONF'!C55:AQ55)/SUM('20_ITEM_FEATURE_MASS'!C55:AQ55)</f>
        <v/>
      </c>
      <c r="I55" s="35">
        <f>SUMIF('22_DEPENDENCY_AUDIT'!$A$5:$A$20,A55,'22_DEPENDENCY_AUDIT'!$H$5:$H$20)</f>
        <v/>
      </c>
      <c r="J55" s="35">
        <f>1-I55</f>
        <v/>
      </c>
      <c r="K55" s="35">
        <f>H55*J55</f>
        <v/>
      </c>
      <c r="L55" s="35">
        <f>K55-'18_WEIGHT_CONTROL'!$B$12</f>
        <v/>
      </c>
      <c r="M55" s="35">
        <f>1+'18_WEIGHT_CONTROL'!$B$14*L55</f>
        <v/>
      </c>
      <c r="N55" s="35">
        <f>M55-1</f>
        <v/>
      </c>
      <c r="O55" s="33">
        <f>IF(M55&gt;1.04,"HIGHER-CONFIDENCE PRIOR",IF(M55&lt;0.96,"LOWER-CONFIDENCE PRIOR","NEAR-UNIT"))</f>
        <v/>
      </c>
    </row>
    <row r="56" ht="36" customHeight="1">
      <c r="A56" s="33">
        <f>'06_ITEM_POLE_MODEL'!A56</f>
        <v/>
      </c>
      <c r="B56" s="33">
        <f>'06_ITEM_POLE_MODEL'!B56</f>
        <v/>
      </c>
      <c r="C56" s="33">
        <f>'06_ITEM_POLE_MODEL'!C56</f>
        <v/>
      </c>
      <c r="D56" s="33">
        <f>'06_ITEM_POLE_MODEL'!D56</f>
        <v/>
      </c>
      <c r="E56" s="33">
        <f>'06_ITEM_POLE_MODEL'!E56</f>
        <v/>
      </c>
      <c r="F56" s="33">
        <f>'03_FINAL_ITEMS'!K56</f>
        <v/>
      </c>
      <c r="G56" s="33" t="inlineStr">
        <is>
          <t>MODERATE — EXPERT</t>
        </is>
      </c>
      <c r="H56" s="35">
        <f>SUMPRODUCT('20_ITEM_FEATURE_MASS'!C56:AQ56,'21_ITEM_FEATURE_CONF'!C56:AQ56)/SUM('20_ITEM_FEATURE_MASS'!C56:AQ56)</f>
        <v/>
      </c>
      <c r="I56" s="35">
        <f>SUMIF('22_DEPENDENCY_AUDIT'!$A$5:$A$20,A56,'22_DEPENDENCY_AUDIT'!$H$5:$H$20)</f>
        <v/>
      </c>
      <c r="J56" s="35">
        <f>1-I56</f>
        <v/>
      </c>
      <c r="K56" s="35">
        <f>H56*J56</f>
        <v/>
      </c>
      <c r="L56" s="35">
        <f>K56-'18_WEIGHT_CONTROL'!$B$12</f>
        <v/>
      </c>
      <c r="M56" s="35">
        <f>1+'18_WEIGHT_CONTROL'!$B$14*L56</f>
        <v/>
      </c>
      <c r="N56" s="35">
        <f>M56-1</f>
        <v/>
      </c>
      <c r="O56" s="33">
        <f>IF(M56&gt;1.04,"HIGHER-CONFIDENCE PRIOR",IF(M56&lt;0.96,"LOWER-CONFIDENCE PRIOR","NEAR-UNIT"))</f>
        <v/>
      </c>
    </row>
    <row r="57" ht="36" customHeight="1">
      <c r="A57" s="33">
        <f>'06_ITEM_POLE_MODEL'!A57</f>
        <v/>
      </c>
      <c r="B57" s="33">
        <f>'06_ITEM_POLE_MODEL'!B57</f>
        <v/>
      </c>
      <c r="C57" s="33">
        <f>'06_ITEM_POLE_MODEL'!C57</f>
        <v/>
      </c>
      <c r="D57" s="33">
        <f>'06_ITEM_POLE_MODEL'!D57</f>
        <v/>
      </c>
      <c r="E57" s="33">
        <f>'06_ITEM_POLE_MODEL'!E57</f>
        <v/>
      </c>
      <c r="F57" s="33">
        <f>'03_FINAL_ITEMS'!K57</f>
        <v/>
      </c>
      <c r="G57" s="33" t="inlineStr">
        <is>
          <t>LOW — EXPERT</t>
        </is>
      </c>
      <c r="H57" s="35">
        <f>SUMPRODUCT('20_ITEM_FEATURE_MASS'!C57:AQ57,'21_ITEM_FEATURE_CONF'!C57:AQ57)/SUM('20_ITEM_FEATURE_MASS'!C57:AQ57)</f>
        <v/>
      </c>
      <c r="I57" s="35">
        <f>SUMIF('22_DEPENDENCY_AUDIT'!$A$5:$A$20,A57,'22_DEPENDENCY_AUDIT'!$H$5:$H$20)</f>
        <v/>
      </c>
      <c r="J57" s="35">
        <f>1-I57</f>
        <v/>
      </c>
      <c r="K57" s="35">
        <f>H57*J57</f>
        <v/>
      </c>
      <c r="L57" s="35">
        <f>K57-'18_WEIGHT_CONTROL'!$B$12</f>
        <v/>
      </c>
      <c r="M57" s="35">
        <f>1+'18_WEIGHT_CONTROL'!$B$14*L57</f>
        <v/>
      </c>
      <c r="N57" s="35">
        <f>M57-1</f>
        <v/>
      </c>
      <c r="O57" s="33">
        <f>IF(M57&gt;1.04,"HIGHER-CONFIDENCE PRIOR",IF(M57&lt;0.96,"LOWER-CONFIDENCE PRIOR","NEAR-UNIT"))</f>
        <v/>
      </c>
    </row>
    <row r="58" ht="36" customHeight="1">
      <c r="A58" s="33">
        <f>'06_ITEM_POLE_MODEL'!A58</f>
        <v/>
      </c>
      <c r="B58" s="33">
        <f>'06_ITEM_POLE_MODEL'!B58</f>
        <v/>
      </c>
      <c r="C58" s="33">
        <f>'06_ITEM_POLE_MODEL'!C58</f>
        <v/>
      </c>
      <c r="D58" s="33">
        <f>'06_ITEM_POLE_MODEL'!D58</f>
        <v/>
      </c>
      <c r="E58" s="33">
        <f>'06_ITEM_POLE_MODEL'!E58</f>
        <v/>
      </c>
      <c r="F58" s="33">
        <f>'03_FINAL_ITEMS'!K58</f>
        <v/>
      </c>
      <c r="G58" s="33" t="inlineStr">
        <is>
          <t>MODERATE — EXPERT</t>
        </is>
      </c>
      <c r="H58" s="35">
        <f>SUMPRODUCT('20_ITEM_FEATURE_MASS'!C58:AQ58,'21_ITEM_FEATURE_CONF'!C58:AQ58)/SUM('20_ITEM_FEATURE_MASS'!C58:AQ58)</f>
        <v/>
      </c>
      <c r="I58" s="35">
        <f>SUMIF('22_DEPENDENCY_AUDIT'!$A$5:$A$20,A58,'22_DEPENDENCY_AUDIT'!$H$5:$H$20)</f>
        <v/>
      </c>
      <c r="J58" s="35">
        <f>1-I58</f>
        <v/>
      </c>
      <c r="K58" s="35">
        <f>H58*J58</f>
        <v/>
      </c>
      <c r="L58" s="35">
        <f>K58-'18_WEIGHT_CONTROL'!$B$12</f>
        <v/>
      </c>
      <c r="M58" s="35">
        <f>1+'18_WEIGHT_CONTROL'!$B$14*L58</f>
        <v/>
      </c>
      <c r="N58" s="35">
        <f>M58-1</f>
        <v/>
      </c>
      <c r="O58" s="33">
        <f>IF(M58&gt;1.04,"HIGHER-CONFIDENCE PRIOR",IF(M58&lt;0.96,"LOWER-CONFIDENCE PRIOR","NEAR-UNIT"))</f>
        <v/>
      </c>
    </row>
    <row r="59" ht="36" customHeight="1">
      <c r="A59" s="33">
        <f>'06_ITEM_POLE_MODEL'!A59</f>
        <v/>
      </c>
      <c r="B59" s="33">
        <f>'06_ITEM_POLE_MODEL'!B59</f>
        <v/>
      </c>
      <c r="C59" s="33">
        <f>'06_ITEM_POLE_MODEL'!C59</f>
        <v/>
      </c>
      <c r="D59" s="33">
        <f>'06_ITEM_POLE_MODEL'!D59</f>
        <v/>
      </c>
      <c r="E59" s="33">
        <f>'06_ITEM_POLE_MODEL'!E59</f>
        <v/>
      </c>
      <c r="F59" s="33">
        <f>'03_FINAL_ITEMS'!K59</f>
        <v/>
      </c>
      <c r="G59" s="33" t="inlineStr">
        <is>
          <t>LOW — EXPERT</t>
        </is>
      </c>
      <c r="H59" s="35">
        <f>SUMPRODUCT('20_ITEM_FEATURE_MASS'!C59:AQ59,'21_ITEM_FEATURE_CONF'!C59:AQ59)/SUM('20_ITEM_FEATURE_MASS'!C59:AQ59)</f>
        <v/>
      </c>
      <c r="I59" s="35">
        <f>SUMIF('22_DEPENDENCY_AUDIT'!$A$5:$A$20,A59,'22_DEPENDENCY_AUDIT'!$H$5:$H$20)</f>
        <v/>
      </c>
      <c r="J59" s="35">
        <f>1-I59</f>
        <v/>
      </c>
      <c r="K59" s="35">
        <f>H59*J59</f>
        <v/>
      </c>
      <c r="L59" s="35">
        <f>K59-'18_WEIGHT_CONTROL'!$B$12</f>
        <v/>
      </c>
      <c r="M59" s="35">
        <f>1+'18_WEIGHT_CONTROL'!$B$14*L59</f>
        <v/>
      </c>
      <c r="N59" s="35">
        <f>M59-1</f>
        <v/>
      </c>
      <c r="O59" s="33">
        <f>IF(M59&gt;1.04,"HIGHER-CONFIDENCE PRIOR",IF(M59&lt;0.96,"LOWER-CONFIDENCE PRIOR","NEAR-UNIT"))</f>
        <v/>
      </c>
    </row>
    <row r="60" ht="36" customHeight="1">
      <c r="A60" s="33">
        <f>'06_ITEM_POLE_MODEL'!A60</f>
        <v/>
      </c>
      <c r="B60" s="33">
        <f>'06_ITEM_POLE_MODEL'!B60</f>
        <v/>
      </c>
      <c r="C60" s="33">
        <f>'06_ITEM_POLE_MODEL'!C60</f>
        <v/>
      </c>
      <c r="D60" s="33">
        <f>'06_ITEM_POLE_MODEL'!D60</f>
        <v/>
      </c>
      <c r="E60" s="33">
        <f>'06_ITEM_POLE_MODEL'!E60</f>
        <v/>
      </c>
      <c r="F60" s="33">
        <f>'03_FINAL_ITEMS'!K60</f>
        <v/>
      </c>
      <c r="G60" s="33" t="inlineStr">
        <is>
          <t>LOW — EXPERT</t>
        </is>
      </c>
      <c r="H60" s="35">
        <f>SUMPRODUCT('20_ITEM_FEATURE_MASS'!C60:AQ60,'21_ITEM_FEATURE_CONF'!C60:AQ60)/SUM('20_ITEM_FEATURE_MASS'!C60:AQ60)</f>
        <v/>
      </c>
      <c r="I60" s="35">
        <f>SUMIF('22_DEPENDENCY_AUDIT'!$A$5:$A$20,A60,'22_DEPENDENCY_AUDIT'!$H$5:$H$20)</f>
        <v/>
      </c>
      <c r="J60" s="35">
        <f>1-I60</f>
        <v/>
      </c>
      <c r="K60" s="35">
        <f>H60*J60</f>
        <v/>
      </c>
      <c r="L60" s="35">
        <f>K60-'18_WEIGHT_CONTROL'!$B$12</f>
        <v/>
      </c>
      <c r="M60" s="35">
        <f>1+'18_WEIGHT_CONTROL'!$B$14*L60</f>
        <v/>
      </c>
      <c r="N60" s="35">
        <f>M60-1</f>
        <v/>
      </c>
      <c r="O60" s="33">
        <f>IF(M60&gt;1.04,"HIGHER-CONFIDENCE PRIOR",IF(M60&lt;0.96,"LOWER-CONFIDENCE PRIOR","NEAR-UNIT"))</f>
        <v/>
      </c>
    </row>
    <row r="61" ht="36" customHeight="1">
      <c r="A61" s="33">
        <f>'06_ITEM_POLE_MODEL'!A61</f>
        <v/>
      </c>
      <c r="B61" s="33">
        <f>'06_ITEM_POLE_MODEL'!B61</f>
        <v/>
      </c>
      <c r="C61" s="33">
        <f>'06_ITEM_POLE_MODEL'!C61</f>
        <v/>
      </c>
      <c r="D61" s="33">
        <f>'06_ITEM_POLE_MODEL'!D61</f>
        <v/>
      </c>
      <c r="E61" s="33">
        <f>'06_ITEM_POLE_MODEL'!E61</f>
        <v/>
      </c>
      <c r="F61" s="33">
        <f>'03_FINAL_ITEMS'!K61</f>
        <v/>
      </c>
      <c r="G61" s="33" t="inlineStr">
        <is>
          <t>LOW — EXPERT</t>
        </is>
      </c>
      <c r="H61" s="35">
        <f>SUMPRODUCT('20_ITEM_FEATURE_MASS'!C61:AQ61,'21_ITEM_FEATURE_CONF'!C61:AQ61)/SUM('20_ITEM_FEATURE_MASS'!C61:AQ61)</f>
        <v/>
      </c>
      <c r="I61" s="35">
        <f>SUMIF('22_DEPENDENCY_AUDIT'!$A$5:$A$20,A61,'22_DEPENDENCY_AUDIT'!$H$5:$H$20)</f>
        <v/>
      </c>
      <c r="J61" s="35">
        <f>1-I61</f>
        <v/>
      </c>
      <c r="K61" s="35">
        <f>H61*J61</f>
        <v/>
      </c>
      <c r="L61" s="35">
        <f>K61-'18_WEIGHT_CONTROL'!$B$12</f>
        <v/>
      </c>
      <c r="M61" s="35">
        <f>1+'18_WEIGHT_CONTROL'!$B$14*L61</f>
        <v/>
      </c>
      <c r="N61" s="35">
        <f>M61-1</f>
        <v/>
      </c>
      <c r="O61" s="33">
        <f>IF(M61&gt;1.04,"HIGHER-CONFIDENCE PRIOR",IF(M61&lt;0.96,"LOWER-CONFIDENCE PRIOR","NEAR-UNIT"))</f>
        <v/>
      </c>
    </row>
    <row r="62" ht="36" customHeight="1">
      <c r="A62" s="33">
        <f>'06_ITEM_POLE_MODEL'!A62</f>
        <v/>
      </c>
      <c r="B62" s="33">
        <f>'06_ITEM_POLE_MODEL'!B62</f>
        <v/>
      </c>
      <c r="C62" s="33">
        <f>'06_ITEM_POLE_MODEL'!C62</f>
        <v/>
      </c>
      <c r="D62" s="33">
        <f>'06_ITEM_POLE_MODEL'!D62</f>
        <v/>
      </c>
      <c r="E62" s="33">
        <f>'06_ITEM_POLE_MODEL'!E62</f>
        <v/>
      </c>
      <c r="F62" s="33">
        <f>'03_FINAL_ITEMS'!K62</f>
        <v/>
      </c>
      <c r="G62" s="33" t="inlineStr">
        <is>
          <t>LOW — EXPERT</t>
        </is>
      </c>
      <c r="H62" s="35">
        <f>SUMPRODUCT('20_ITEM_FEATURE_MASS'!C62:AQ62,'21_ITEM_FEATURE_CONF'!C62:AQ62)/SUM('20_ITEM_FEATURE_MASS'!C62:AQ62)</f>
        <v/>
      </c>
      <c r="I62" s="35">
        <f>SUMIF('22_DEPENDENCY_AUDIT'!$A$5:$A$20,A62,'22_DEPENDENCY_AUDIT'!$H$5:$H$20)</f>
        <v/>
      </c>
      <c r="J62" s="35">
        <f>1-I62</f>
        <v/>
      </c>
      <c r="K62" s="35">
        <f>H62*J62</f>
        <v/>
      </c>
      <c r="L62" s="35">
        <f>K62-'18_WEIGHT_CONTROL'!$B$12</f>
        <v/>
      </c>
      <c r="M62" s="35">
        <f>1+'18_WEIGHT_CONTROL'!$B$14*L62</f>
        <v/>
      </c>
      <c r="N62" s="35">
        <f>M62-1</f>
        <v/>
      </c>
      <c r="O62" s="33">
        <f>IF(M62&gt;1.04,"HIGHER-CONFIDENCE PRIOR",IF(M62&lt;0.96,"LOWER-CONFIDENCE PRIOR","NEAR-UNIT"))</f>
        <v/>
      </c>
    </row>
    <row r="63" ht="36" customHeight="1">
      <c r="A63" s="33">
        <f>'06_ITEM_POLE_MODEL'!A63</f>
        <v/>
      </c>
      <c r="B63" s="33">
        <f>'06_ITEM_POLE_MODEL'!B63</f>
        <v/>
      </c>
      <c r="C63" s="33">
        <f>'06_ITEM_POLE_MODEL'!C63</f>
        <v/>
      </c>
      <c r="D63" s="33">
        <f>'06_ITEM_POLE_MODEL'!D63</f>
        <v/>
      </c>
      <c r="E63" s="33">
        <f>'06_ITEM_POLE_MODEL'!E63</f>
        <v/>
      </c>
      <c r="F63" s="33">
        <f>'03_FINAL_ITEMS'!K63</f>
        <v/>
      </c>
      <c r="G63" s="33" t="inlineStr">
        <is>
          <t>LOW — EXPERT</t>
        </is>
      </c>
      <c r="H63" s="35">
        <f>SUMPRODUCT('20_ITEM_FEATURE_MASS'!C63:AQ63,'21_ITEM_FEATURE_CONF'!C63:AQ63)/SUM('20_ITEM_FEATURE_MASS'!C63:AQ63)</f>
        <v/>
      </c>
      <c r="I63" s="35">
        <f>SUMIF('22_DEPENDENCY_AUDIT'!$A$5:$A$20,A63,'22_DEPENDENCY_AUDIT'!$H$5:$H$20)</f>
        <v/>
      </c>
      <c r="J63" s="35">
        <f>1-I63</f>
        <v/>
      </c>
      <c r="K63" s="35">
        <f>H63*J63</f>
        <v/>
      </c>
      <c r="L63" s="35">
        <f>K63-'18_WEIGHT_CONTROL'!$B$12</f>
        <v/>
      </c>
      <c r="M63" s="35">
        <f>1+'18_WEIGHT_CONTROL'!$B$14*L63</f>
        <v/>
      </c>
      <c r="N63" s="35">
        <f>M63-1</f>
        <v/>
      </c>
      <c r="O63" s="33">
        <f>IF(M63&gt;1.04,"HIGHER-CONFIDENCE PRIOR",IF(M63&lt;0.96,"LOWER-CONFIDENCE PRIOR","NEAR-UNIT"))</f>
        <v/>
      </c>
    </row>
    <row r="64" ht="36" customHeight="1">
      <c r="A64" s="33">
        <f>'06_ITEM_POLE_MODEL'!A64</f>
        <v/>
      </c>
      <c r="B64" s="33">
        <f>'06_ITEM_POLE_MODEL'!B64</f>
        <v/>
      </c>
      <c r="C64" s="33">
        <f>'06_ITEM_POLE_MODEL'!C64</f>
        <v/>
      </c>
      <c r="D64" s="33">
        <f>'06_ITEM_POLE_MODEL'!D64</f>
        <v/>
      </c>
      <c r="E64" s="33">
        <f>'06_ITEM_POLE_MODEL'!E64</f>
        <v/>
      </c>
      <c r="F64" s="33">
        <f>'03_FINAL_ITEMS'!K64</f>
        <v/>
      </c>
      <c r="G64" s="33" t="inlineStr">
        <is>
          <t>LOW — EXPERT</t>
        </is>
      </c>
      <c r="H64" s="35">
        <f>SUMPRODUCT('20_ITEM_FEATURE_MASS'!C64:AQ64,'21_ITEM_FEATURE_CONF'!C64:AQ64)/SUM('20_ITEM_FEATURE_MASS'!C64:AQ64)</f>
        <v/>
      </c>
      <c r="I64" s="35">
        <f>SUMIF('22_DEPENDENCY_AUDIT'!$A$5:$A$20,A64,'22_DEPENDENCY_AUDIT'!$H$5:$H$20)</f>
        <v/>
      </c>
      <c r="J64" s="35">
        <f>1-I64</f>
        <v/>
      </c>
      <c r="K64" s="35">
        <f>H64*J64</f>
        <v/>
      </c>
      <c r="L64" s="35">
        <f>K64-'18_WEIGHT_CONTROL'!$B$12</f>
        <v/>
      </c>
      <c r="M64" s="35">
        <f>1+'18_WEIGHT_CONTROL'!$B$14*L64</f>
        <v/>
      </c>
      <c r="N64" s="35">
        <f>M64-1</f>
        <v/>
      </c>
      <c r="O64" s="33">
        <f>IF(M64&gt;1.04,"HIGHER-CONFIDENCE PRIOR",IF(M64&lt;0.96,"LOWER-CONFIDENCE PRIOR","NEAR-UNIT"))</f>
        <v/>
      </c>
    </row>
    <row r="65" ht="36" customHeight="1">
      <c r="A65" s="33">
        <f>'06_ITEM_POLE_MODEL'!A65</f>
        <v/>
      </c>
      <c r="B65" s="33">
        <f>'06_ITEM_POLE_MODEL'!B65</f>
        <v/>
      </c>
      <c r="C65" s="33">
        <f>'06_ITEM_POLE_MODEL'!C65</f>
        <v/>
      </c>
      <c r="D65" s="33">
        <f>'06_ITEM_POLE_MODEL'!D65</f>
        <v/>
      </c>
      <c r="E65" s="33">
        <f>'06_ITEM_POLE_MODEL'!E65</f>
        <v/>
      </c>
      <c r="F65" s="33">
        <f>'03_FINAL_ITEMS'!K65</f>
        <v/>
      </c>
      <c r="G65" s="33" t="inlineStr">
        <is>
          <t>LOW — EXPERT</t>
        </is>
      </c>
      <c r="H65" s="35">
        <f>SUMPRODUCT('20_ITEM_FEATURE_MASS'!C65:AQ65,'21_ITEM_FEATURE_CONF'!C65:AQ65)/SUM('20_ITEM_FEATURE_MASS'!C65:AQ65)</f>
        <v/>
      </c>
      <c r="I65" s="35">
        <f>SUMIF('22_DEPENDENCY_AUDIT'!$A$5:$A$20,A65,'22_DEPENDENCY_AUDIT'!$H$5:$H$20)</f>
        <v/>
      </c>
      <c r="J65" s="35">
        <f>1-I65</f>
        <v/>
      </c>
      <c r="K65" s="35">
        <f>H65*J65</f>
        <v/>
      </c>
      <c r="L65" s="35">
        <f>K65-'18_WEIGHT_CONTROL'!$B$12</f>
        <v/>
      </c>
      <c r="M65" s="35">
        <f>1+'18_WEIGHT_CONTROL'!$B$14*L65</f>
        <v/>
      </c>
      <c r="N65" s="35">
        <f>M65-1</f>
        <v/>
      </c>
      <c r="O65" s="33">
        <f>IF(M65&gt;1.04,"HIGHER-CONFIDENCE PRIOR",IF(M65&lt;0.96,"LOWER-CONFIDENCE PRIOR","NEAR-UNIT"))</f>
        <v/>
      </c>
    </row>
    <row r="66" ht="36" customHeight="1">
      <c r="A66" s="33">
        <f>'06_ITEM_POLE_MODEL'!A66</f>
        <v/>
      </c>
      <c r="B66" s="33">
        <f>'06_ITEM_POLE_MODEL'!B66</f>
        <v/>
      </c>
      <c r="C66" s="33">
        <f>'06_ITEM_POLE_MODEL'!C66</f>
        <v/>
      </c>
      <c r="D66" s="33">
        <f>'06_ITEM_POLE_MODEL'!D66</f>
        <v/>
      </c>
      <c r="E66" s="33">
        <f>'06_ITEM_POLE_MODEL'!E66</f>
        <v/>
      </c>
      <c r="F66" s="33">
        <f>'03_FINAL_ITEMS'!K66</f>
        <v/>
      </c>
      <c r="G66" s="33" t="inlineStr">
        <is>
          <t>LOW — EXPERT</t>
        </is>
      </c>
      <c r="H66" s="35">
        <f>SUMPRODUCT('20_ITEM_FEATURE_MASS'!C66:AQ66,'21_ITEM_FEATURE_CONF'!C66:AQ66)/SUM('20_ITEM_FEATURE_MASS'!C66:AQ66)</f>
        <v/>
      </c>
      <c r="I66" s="35">
        <f>SUMIF('22_DEPENDENCY_AUDIT'!$A$5:$A$20,A66,'22_DEPENDENCY_AUDIT'!$H$5:$H$20)</f>
        <v/>
      </c>
      <c r="J66" s="35">
        <f>1-I66</f>
        <v/>
      </c>
      <c r="K66" s="35">
        <f>H66*J66</f>
        <v/>
      </c>
      <c r="L66" s="35">
        <f>K66-'18_WEIGHT_CONTROL'!$B$12</f>
        <v/>
      </c>
      <c r="M66" s="35">
        <f>1+'18_WEIGHT_CONTROL'!$B$14*L66</f>
        <v/>
      </c>
      <c r="N66" s="35">
        <f>M66-1</f>
        <v/>
      </c>
      <c r="O66" s="33">
        <f>IF(M66&gt;1.04,"HIGHER-CONFIDENCE PRIOR",IF(M66&lt;0.96,"LOWER-CONFIDENCE PRIOR","NEAR-UNIT"))</f>
        <v/>
      </c>
    </row>
    <row r="67" ht="36" customHeight="1">
      <c r="A67" s="33">
        <f>'06_ITEM_POLE_MODEL'!A67</f>
        <v/>
      </c>
      <c r="B67" s="33">
        <f>'06_ITEM_POLE_MODEL'!B67</f>
        <v/>
      </c>
      <c r="C67" s="33">
        <f>'06_ITEM_POLE_MODEL'!C67</f>
        <v/>
      </c>
      <c r="D67" s="33">
        <f>'06_ITEM_POLE_MODEL'!D67</f>
        <v/>
      </c>
      <c r="E67" s="33">
        <f>'06_ITEM_POLE_MODEL'!E67</f>
        <v/>
      </c>
      <c r="F67" s="33">
        <f>'03_FINAL_ITEMS'!K67</f>
        <v/>
      </c>
      <c r="G67" s="33" t="inlineStr">
        <is>
          <t>LOW — EXPERT</t>
        </is>
      </c>
      <c r="H67" s="35">
        <f>SUMPRODUCT('20_ITEM_FEATURE_MASS'!C67:AQ67,'21_ITEM_FEATURE_CONF'!C67:AQ67)/SUM('20_ITEM_FEATURE_MASS'!C67:AQ67)</f>
        <v/>
      </c>
      <c r="I67" s="35">
        <f>SUMIF('22_DEPENDENCY_AUDIT'!$A$5:$A$20,A67,'22_DEPENDENCY_AUDIT'!$H$5:$H$20)</f>
        <v/>
      </c>
      <c r="J67" s="35">
        <f>1-I67</f>
        <v/>
      </c>
      <c r="K67" s="35">
        <f>H67*J67</f>
        <v/>
      </c>
      <c r="L67" s="35">
        <f>K67-'18_WEIGHT_CONTROL'!$B$12</f>
        <v/>
      </c>
      <c r="M67" s="35">
        <f>1+'18_WEIGHT_CONTROL'!$B$14*L67</f>
        <v/>
      </c>
      <c r="N67" s="35">
        <f>M67-1</f>
        <v/>
      </c>
      <c r="O67" s="33">
        <f>IF(M67&gt;1.04,"HIGHER-CONFIDENCE PRIOR",IF(M67&lt;0.96,"LOWER-CONFIDENCE PRIOR","NEAR-UNIT"))</f>
        <v/>
      </c>
    </row>
    <row r="68" ht="36" customHeight="1">
      <c r="A68" s="33">
        <f>'06_ITEM_POLE_MODEL'!A68</f>
        <v/>
      </c>
      <c r="B68" s="33">
        <f>'06_ITEM_POLE_MODEL'!B68</f>
        <v/>
      </c>
      <c r="C68" s="33">
        <f>'06_ITEM_POLE_MODEL'!C68</f>
        <v/>
      </c>
      <c r="D68" s="33">
        <f>'06_ITEM_POLE_MODEL'!D68</f>
        <v/>
      </c>
      <c r="E68" s="33">
        <f>'06_ITEM_POLE_MODEL'!E68</f>
        <v/>
      </c>
      <c r="F68" s="33">
        <f>'03_FINAL_ITEMS'!K68</f>
        <v/>
      </c>
      <c r="G68" s="33" t="inlineStr">
        <is>
          <t>LOW — EXPERT</t>
        </is>
      </c>
      <c r="H68" s="35">
        <f>SUMPRODUCT('20_ITEM_FEATURE_MASS'!C68:AQ68,'21_ITEM_FEATURE_CONF'!C68:AQ68)/SUM('20_ITEM_FEATURE_MASS'!C68:AQ68)</f>
        <v/>
      </c>
      <c r="I68" s="35">
        <f>SUMIF('22_DEPENDENCY_AUDIT'!$A$5:$A$20,A68,'22_DEPENDENCY_AUDIT'!$H$5:$H$20)</f>
        <v/>
      </c>
      <c r="J68" s="35">
        <f>1-I68</f>
        <v/>
      </c>
      <c r="K68" s="35">
        <f>H68*J68</f>
        <v/>
      </c>
      <c r="L68" s="35">
        <f>K68-'18_WEIGHT_CONTROL'!$B$12</f>
        <v/>
      </c>
      <c r="M68" s="35">
        <f>1+'18_WEIGHT_CONTROL'!$B$14*L68</f>
        <v/>
      </c>
      <c r="N68" s="35">
        <f>M68-1</f>
        <v/>
      </c>
      <c r="O68" s="33">
        <f>IF(M68&gt;1.04,"HIGHER-CONFIDENCE PRIOR",IF(M68&lt;0.96,"LOWER-CONFIDENCE PRIOR","NEAR-UNIT"))</f>
        <v/>
      </c>
    </row>
    <row r="69" ht="36" customHeight="1">
      <c r="A69" s="33">
        <f>'06_ITEM_POLE_MODEL'!A69</f>
        <v/>
      </c>
      <c r="B69" s="33">
        <f>'06_ITEM_POLE_MODEL'!B69</f>
        <v/>
      </c>
      <c r="C69" s="33">
        <f>'06_ITEM_POLE_MODEL'!C69</f>
        <v/>
      </c>
      <c r="D69" s="33">
        <f>'06_ITEM_POLE_MODEL'!D69</f>
        <v/>
      </c>
      <c r="E69" s="33">
        <f>'06_ITEM_POLE_MODEL'!E69</f>
        <v/>
      </c>
      <c r="F69" s="33">
        <f>'03_FINAL_ITEMS'!K69</f>
        <v/>
      </c>
      <c r="G69" s="33" t="inlineStr">
        <is>
          <t>LOW — EXPERT</t>
        </is>
      </c>
      <c r="H69" s="35">
        <f>SUMPRODUCT('20_ITEM_FEATURE_MASS'!C69:AQ69,'21_ITEM_FEATURE_CONF'!C69:AQ69)/SUM('20_ITEM_FEATURE_MASS'!C69:AQ69)</f>
        <v/>
      </c>
      <c r="I69" s="35">
        <f>SUMIF('22_DEPENDENCY_AUDIT'!$A$5:$A$20,A69,'22_DEPENDENCY_AUDIT'!$H$5:$H$20)</f>
        <v/>
      </c>
      <c r="J69" s="35">
        <f>1-I69</f>
        <v/>
      </c>
      <c r="K69" s="35">
        <f>H69*J69</f>
        <v/>
      </c>
      <c r="L69" s="35">
        <f>K69-'18_WEIGHT_CONTROL'!$B$12</f>
        <v/>
      </c>
      <c r="M69" s="35">
        <f>1+'18_WEIGHT_CONTROL'!$B$14*L69</f>
        <v/>
      </c>
      <c r="N69" s="35">
        <f>M69-1</f>
        <v/>
      </c>
      <c r="O69" s="33">
        <f>IF(M69&gt;1.04,"HIGHER-CONFIDENCE PRIOR",IF(M69&lt;0.96,"LOWER-CONFIDENCE PRIOR","NEAR-UNIT"))</f>
        <v/>
      </c>
    </row>
    <row r="70" ht="36" customHeight="1">
      <c r="A70" s="33">
        <f>'06_ITEM_POLE_MODEL'!A70</f>
        <v/>
      </c>
      <c r="B70" s="33">
        <f>'06_ITEM_POLE_MODEL'!B70</f>
        <v/>
      </c>
      <c r="C70" s="33">
        <f>'06_ITEM_POLE_MODEL'!C70</f>
        <v/>
      </c>
      <c r="D70" s="33">
        <f>'06_ITEM_POLE_MODEL'!D70</f>
        <v/>
      </c>
      <c r="E70" s="33">
        <f>'06_ITEM_POLE_MODEL'!E70</f>
        <v/>
      </c>
      <c r="F70" s="33">
        <f>'03_FINAL_ITEMS'!K70</f>
        <v/>
      </c>
      <c r="G70" s="33" t="inlineStr">
        <is>
          <t>LOW — EXPERT</t>
        </is>
      </c>
      <c r="H70" s="35">
        <f>SUMPRODUCT('20_ITEM_FEATURE_MASS'!C70:AQ70,'21_ITEM_FEATURE_CONF'!C70:AQ70)/SUM('20_ITEM_FEATURE_MASS'!C70:AQ70)</f>
        <v/>
      </c>
      <c r="I70" s="35">
        <f>SUMIF('22_DEPENDENCY_AUDIT'!$A$5:$A$20,A70,'22_DEPENDENCY_AUDIT'!$H$5:$H$20)</f>
        <v/>
      </c>
      <c r="J70" s="35">
        <f>1-I70</f>
        <v/>
      </c>
      <c r="K70" s="35">
        <f>H70*J70</f>
        <v/>
      </c>
      <c r="L70" s="35">
        <f>K70-'18_WEIGHT_CONTROL'!$B$12</f>
        <v/>
      </c>
      <c r="M70" s="35">
        <f>1+'18_WEIGHT_CONTROL'!$B$14*L70</f>
        <v/>
      </c>
      <c r="N70" s="35">
        <f>M70-1</f>
        <v/>
      </c>
      <c r="O70" s="33">
        <f>IF(M70&gt;1.04,"HIGHER-CONFIDENCE PRIOR",IF(M70&lt;0.96,"LOWER-CONFIDENCE PRIOR","NEAR-UNIT"))</f>
        <v/>
      </c>
    </row>
    <row r="71" ht="36" customHeight="1">
      <c r="A71" s="33">
        <f>'06_ITEM_POLE_MODEL'!A71</f>
        <v/>
      </c>
      <c r="B71" s="33">
        <f>'06_ITEM_POLE_MODEL'!B71</f>
        <v/>
      </c>
      <c r="C71" s="33">
        <f>'06_ITEM_POLE_MODEL'!C71</f>
        <v/>
      </c>
      <c r="D71" s="33">
        <f>'06_ITEM_POLE_MODEL'!D71</f>
        <v/>
      </c>
      <c r="E71" s="33">
        <f>'06_ITEM_POLE_MODEL'!E71</f>
        <v/>
      </c>
      <c r="F71" s="33">
        <f>'03_FINAL_ITEMS'!K71</f>
        <v/>
      </c>
      <c r="G71" s="33" t="inlineStr">
        <is>
          <t>LOW — EXPERT</t>
        </is>
      </c>
      <c r="H71" s="35">
        <f>SUMPRODUCT('20_ITEM_FEATURE_MASS'!C71:AQ71,'21_ITEM_FEATURE_CONF'!C71:AQ71)/SUM('20_ITEM_FEATURE_MASS'!C71:AQ71)</f>
        <v/>
      </c>
      <c r="I71" s="35">
        <f>SUMIF('22_DEPENDENCY_AUDIT'!$A$5:$A$20,A71,'22_DEPENDENCY_AUDIT'!$H$5:$H$20)</f>
        <v/>
      </c>
      <c r="J71" s="35">
        <f>1-I71</f>
        <v/>
      </c>
      <c r="K71" s="35">
        <f>H71*J71</f>
        <v/>
      </c>
      <c r="L71" s="35">
        <f>K71-'18_WEIGHT_CONTROL'!$B$12</f>
        <v/>
      </c>
      <c r="M71" s="35">
        <f>1+'18_WEIGHT_CONTROL'!$B$14*L71</f>
        <v/>
      </c>
      <c r="N71" s="35">
        <f>M71-1</f>
        <v/>
      </c>
      <c r="O71" s="33">
        <f>IF(M71&gt;1.04,"HIGHER-CONFIDENCE PRIOR",IF(M71&lt;0.96,"LOWER-CONFIDENCE PRIOR","NEAR-UNIT"))</f>
        <v/>
      </c>
    </row>
    <row r="72" ht="36" customHeight="1">
      <c r="A72" s="33">
        <f>'06_ITEM_POLE_MODEL'!A72</f>
        <v/>
      </c>
      <c r="B72" s="33">
        <f>'06_ITEM_POLE_MODEL'!B72</f>
        <v/>
      </c>
      <c r="C72" s="33">
        <f>'06_ITEM_POLE_MODEL'!C72</f>
        <v/>
      </c>
      <c r="D72" s="33">
        <f>'06_ITEM_POLE_MODEL'!D72</f>
        <v/>
      </c>
      <c r="E72" s="33">
        <f>'06_ITEM_POLE_MODEL'!E72</f>
        <v/>
      </c>
      <c r="F72" s="33">
        <f>'03_FINAL_ITEMS'!K72</f>
        <v/>
      </c>
      <c r="G72" s="33" t="inlineStr">
        <is>
          <t>LOW — EXPERT</t>
        </is>
      </c>
      <c r="H72" s="35">
        <f>SUMPRODUCT('20_ITEM_FEATURE_MASS'!C72:AQ72,'21_ITEM_FEATURE_CONF'!C72:AQ72)/SUM('20_ITEM_FEATURE_MASS'!C72:AQ72)</f>
        <v/>
      </c>
      <c r="I72" s="35">
        <f>SUMIF('22_DEPENDENCY_AUDIT'!$A$5:$A$20,A72,'22_DEPENDENCY_AUDIT'!$H$5:$H$20)</f>
        <v/>
      </c>
      <c r="J72" s="35">
        <f>1-I72</f>
        <v/>
      </c>
      <c r="K72" s="35">
        <f>H72*J72</f>
        <v/>
      </c>
      <c r="L72" s="35">
        <f>K72-'18_WEIGHT_CONTROL'!$B$12</f>
        <v/>
      </c>
      <c r="M72" s="35">
        <f>1+'18_WEIGHT_CONTROL'!$B$14*L72</f>
        <v/>
      </c>
      <c r="N72" s="35">
        <f>M72-1</f>
        <v/>
      </c>
      <c r="O72" s="33">
        <f>IF(M72&gt;1.04,"HIGHER-CONFIDENCE PRIOR",IF(M72&lt;0.96,"LOWER-CONFIDENCE PRIOR","NEAR-UNIT"))</f>
        <v/>
      </c>
    </row>
    <row r="73" ht="36" customHeight="1">
      <c r="A73" s="33">
        <f>'06_ITEM_POLE_MODEL'!A73</f>
        <v/>
      </c>
      <c r="B73" s="33">
        <f>'06_ITEM_POLE_MODEL'!B73</f>
        <v/>
      </c>
      <c r="C73" s="33">
        <f>'06_ITEM_POLE_MODEL'!C73</f>
        <v/>
      </c>
      <c r="D73" s="33">
        <f>'06_ITEM_POLE_MODEL'!D73</f>
        <v/>
      </c>
      <c r="E73" s="33">
        <f>'06_ITEM_POLE_MODEL'!E73</f>
        <v/>
      </c>
      <c r="F73" s="33">
        <f>'03_FINAL_ITEMS'!K73</f>
        <v/>
      </c>
      <c r="G73" s="33" t="inlineStr">
        <is>
          <t>LOW — EXPERT</t>
        </is>
      </c>
      <c r="H73" s="35">
        <f>SUMPRODUCT('20_ITEM_FEATURE_MASS'!C73:AQ73,'21_ITEM_FEATURE_CONF'!C73:AQ73)/SUM('20_ITEM_FEATURE_MASS'!C73:AQ73)</f>
        <v/>
      </c>
      <c r="I73" s="35">
        <f>SUMIF('22_DEPENDENCY_AUDIT'!$A$5:$A$20,A73,'22_DEPENDENCY_AUDIT'!$H$5:$H$20)</f>
        <v/>
      </c>
      <c r="J73" s="35">
        <f>1-I73</f>
        <v/>
      </c>
      <c r="K73" s="35">
        <f>H73*J73</f>
        <v/>
      </c>
      <c r="L73" s="35">
        <f>K73-'18_WEIGHT_CONTROL'!$B$12</f>
        <v/>
      </c>
      <c r="M73" s="35">
        <f>1+'18_WEIGHT_CONTROL'!$B$14*L73</f>
        <v/>
      </c>
      <c r="N73" s="35">
        <f>M73-1</f>
        <v/>
      </c>
      <c r="O73" s="33">
        <f>IF(M73&gt;1.04,"HIGHER-CONFIDENCE PRIOR",IF(M73&lt;0.96,"LOWER-CONFIDENCE PRIOR","NEAR-UNIT"))</f>
        <v/>
      </c>
    </row>
    <row r="74" ht="36" customHeight="1">
      <c r="A74" s="33">
        <f>'06_ITEM_POLE_MODEL'!A74</f>
        <v/>
      </c>
      <c r="B74" s="33">
        <f>'06_ITEM_POLE_MODEL'!B74</f>
        <v/>
      </c>
      <c r="C74" s="33">
        <f>'06_ITEM_POLE_MODEL'!C74</f>
        <v/>
      </c>
      <c r="D74" s="33">
        <f>'06_ITEM_POLE_MODEL'!D74</f>
        <v/>
      </c>
      <c r="E74" s="33">
        <f>'06_ITEM_POLE_MODEL'!E74</f>
        <v/>
      </c>
      <c r="F74" s="33">
        <f>'03_FINAL_ITEMS'!K74</f>
        <v/>
      </c>
      <c r="G74" s="33" t="inlineStr">
        <is>
          <t>LOW — EXPERT</t>
        </is>
      </c>
      <c r="H74" s="35">
        <f>SUMPRODUCT('20_ITEM_FEATURE_MASS'!C74:AQ74,'21_ITEM_FEATURE_CONF'!C74:AQ74)/SUM('20_ITEM_FEATURE_MASS'!C74:AQ74)</f>
        <v/>
      </c>
      <c r="I74" s="35">
        <f>SUMIF('22_DEPENDENCY_AUDIT'!$A$5:$A$20,A74,'22_DEPENDENCY_AUDIT'!$H$5:$H$20)</f>
        <v/>
      </c>
      <c r="J74" s="35">
        <f>1-I74</f>
        <v/>
      </c>
      <c r="K74" s="35">
        <f>H74*J74</f>
        <v/>
      </c>
      <c r="L74" s="35">
        <f>K74-'18_WEIGHT_CONTROL'!$B$12</f>
        <v/>
      </c>
      <c r="M74" s="35">
        <f>1+'18_WEIGHT_CONTROL'!$B$14*L74</f>
        <v/>
      </c>
      <c r="N74" s="35">
        <f>M74-1</f>
        <v/>
      </c>
      <c r="O74" s="33">
        <f>IF(M74&gt;1.04,"HIGHER-CONFIDENCE PRIOR",IF(M74&lt;0.96,"LOWER-CONFIDENCE PRIOR","NEAR-UNIT"))</f>
        <v/>
      </c>
    </row>
    <row r="75" ht="36" customHeight="1">
      <c r="A75" s="33">
        <f>'06_ITEM_POLE_MODEL'!A75</f>
        <v/>
      </c>
      <c r="B75" s="33">
        <f>'06_ITEM_POLE_MODEL'!B75</f>
        <v/>
      </c>
      <c r="C75" s="33">
        <f>'06_ITEM_POLE_MODEL'!C75</f>
        <v/>
      </c>
      <c r="D75" s="33">
        <f>'06_ITEM_POLE_MODEL'!D75</f>
        <v/>
      </c>
      <c r="E75" s="33">
        <f>'06_ITEM_POLE_MODEL'!E75</f>
        <v/>
      </c>
      <c r="F75" s="33">
        <f>'03_FINAL_ITEMS'!K75</f>
        <v/>
      </c>
      <c r="G75" s="33" t="inlineStr">
        <is>
          <t>LOW — EXPERT</t>
        </is>
      </c>
      <c r="H75" s="35">
        <f>SUMPRODUCT('20_ITEM_FEATURE_MASS'!C75:AQ75,'21_ITEM_FEATURE_CONF'!C75:AQ75)/SUM('20_ITEM_FEATURE_MASS'!C75:AQ75)</f>
        <v/>
      </c>
      <c r="I75" s="35">
        <f>SUMIF('22_DEPENDENCY_AUDIT'!$A$5:$A$20,A75,'22_DEPENDENCY_AUDIT'!$H$5:$H$20)</f>
        <v/>
      </c>
      <c r="J75" s="35">
        <f>1-I75</f>
        <v/>
      </c>
      <c r="K75" s="35">
        <f>H75*J75</f>
        <v/>
      </c>
      <c r="L75" s="35">
        <f>K75-'18_WEIGHT_CONTROL'!$B$12</f>
        <v/>
      </c>
      <c r="M75" s="35">
        <f>1+'18_WEIGHT_CONTROL'!$B$14*L75</f>
        <v/>
      </c>
      <c r="N75" s="35">
        <f>M75-1</f>
        <v/>
      </c>
      <c r="O75" s="33">
        <f>IF(M75&gt;1.04,"HIGHER-CONFIDENCE PRIOR",IF(M75&lt;0.96,"LOWER-CONFIDENCE PRIOR","NEAR-UNIT"))</f>
        <v/>
      </c>
    </row>
    <row r="76" ht="36" customHeight="1">
      <c r="A76" s="33">
        <f>'06_ITEM_POLE_MODEL'!A76</f>
        <v/>
      </c>
      <c r="B76" s="33">
        <f>'06_ITEM_POLE_MODEL'!B76</f>
        <v/>
      </c>
      <c r="C76" s="33">
        <f>'06_ITEM_POLE_MODEL'!C76</f>
        <v/>
      </c>
      <c r="D76" s="33">
        <f>'06_ITEM_POLE_MODEL'!D76</f>
        <v/>
      </c>
      <c r="E76" s="33">
        <f>'06_ITEM_POLE_MODEL'!E76</f>
        <v/>
      </c>
      <c r="F76" s="33">
        <f>'03_FINAL_ITEMS'!K76</f>
        <v/>
      </c>
      <c r="G76" s="33" t="inlineStr">
        <is>
          <t>MODERATE — EXPERT</t>
        </is>
      </c>
      <c r="H76" s="35">
        <f>SUMPRODUCT('20_ITEM_FEATURE_MASS'!C76:AQ76,'21_ITEM_FEATURE_CONF'!C76:AQ76)/SUM('20_ITEM_FEATURE_MASS'!C76:AQ76)</f>
        <v/>
      </c>
      <c r="I76" s="35">
        <f>SUMIF('22_DEPENDENCY_AUDIT'!$A$5:$A$20,A76,'22_DEPENDENCY_AUDIT'!$H$5:$H$20)</f>
        <v/>
      </c>
      <c r="J76" s="35">
        <f>1-I76</f>
        <v/>
      </c>
      <c r="K76" s="35">
        <f>H76*J76</f>
        <v/>
      </c>
      <c r="L76" s="35">
        <f>K76-'18_WEIGHT_CONTROL'!$B$12</f>
        <v/>
      </c>
      <c r="M76" s="35">
        <f>1+'18_WEIGHT_CONTROL'!$B$14*L76</f>
        <v/>
      </c>
      <c r="N76" s="35">
        <f>M76-1</f>
        <v/>
      </c>
      <c r="O76" s="33">
        <f>IF(M76&gt;1.04,"HIGHER-CONFIDENCE PRIOR",IF(M76&lt;0.96,"LOWER-CONFIDENCE PRIOR","NEAR-UNIT"))</f>
        <v/>
      </c>
    </row>
    <row r="77" ht="36" customHeight="1">
      <c r="A77" s="33">
        <f>'06_ITEM_POLE_MODEL'!A77</f>
        <v/>
      </c>
      <c r="B77" s="33">
        <f>'06_ITEM_POLE_MODEL'!B77</f>
        <v/>
      </c>
      <c r="C77" s="33">
        <f>'06_ITEM_POLE_MODEL'!C77</f>
        <v/>
      </c>
      <c r="D77" s="33">
        <f>'06_ITEM_POLE_MODEL'!D77</f>
        <v/>
      </c>
      <c r="E77" s="33">
        <f>'06_ITEM_POLE_MODEL'!E77</f>
        <v/>
      </c>
      <c r="F77" s="33">
        <f>'03_FINAL_ITEMS'!K77</f>
        <v/>
      </c>
      <c r="G77" s="33" t="inlineStr">
        <is>
          <t>LOW — EXPERT</t>
        </is>
      </c>
      <c r="H77" s="35">
        <f>SUMPRODUCT('20_ITEM_FEATURE_MASS'!C77:AQ77,'21_ITEM_FEATURE_CONF'!C77:AQ77)/SUM('20_ITEM_FEATURE_MASS'!C77:AQ77)</f>
        <v/>
      </c>
      <c r="I77" s="35">
        <f>SUMIF('22_DEPENDENCY_AUDIT'!$A$5:$A$20,A77,'22_DEPENDENCY_AUDIT'!$H$5:$H$20)</f>
        <v/>
      </c>
      <c r="J77" s="35">
        <f>1-I77</f>
        <v/>
      </c>
      <c r="K77" s="35">
        <f>H77*J77</f>
        <v/>
      </c>
      <c r="L77" s="35">
        <f>K77-'18_WEIGHT_CONTROL'!$B$12</f>
        <v/>
      </c>
      <c r="M77" s="35">
        <f>1+'18_WEIGHT_CONTROL'!$B$14*L77</f>
        <v/>
      </c>
      <c r="N77" s="35">
        <f>M77-1</f>
        <v/>
      </c>
      <c r="O77" s="33">
        <f>IF(M77&gt;1.04,"HIGHER-CONFIDENCE PRIOR",IF(M77&lt;0.96,"LOWER-CONFIDENCE PRIOR","NEAR-UNIT"))</f>
        <v/>
      </c>
    </row>
    <row r="78" ht="36" customHeight="1">
      <c r="A78" s="33">
        <f>'06_ITEM_POLE_MODEL'!A78</f>
        <v/>
      </c>
      <c r="B78" s="33">
        <f>'06_ITEM_POLE_MODEL'!B78</f>
        <v/>
      </c>
      <c r="C78" s="33">
        <f>'06_ITEM_POLE_MODEL'!C78</f>
        <v/>
      </c>
      <c r="D78" s="33">
        <f>'06_ITEM_POLE_MODEL'!D78</f>
        <v/>
      </c>
      <c r="E78" s="33">
        <f>'06_ITEM_POLE_MODEL'!E78</f>
        <v/>
      </c>
      <c r="F78" s="33">
        <f>'03_FINAL_ITEMS'!K78</f>
        <v/>
      </c>
      <c r="G78" s="33" t="inlineStr">
        <is>
          <t>LOW — EXPERT</t>
        </is>
      </c>
      <c r="H78" s="35">
        <f>SUMPRODUCT('20_ITEM_FEATURE_MASS'!C78:AQ78,'21_ITEM_FEATURE_CONF'!C78:AQ78)/SUM('20_ITEM_FEATURE_MASS'!C78:AQ78)</f>
        <v/>
      </c>
      <c r="I78" s="35">
        <f>SUMIF('22_DEPENDENCY_AUDIT'!$A$5:$A$20,A78,'22_DEPENDENCY_AUDIT'!$H$5:$H$20)</f>
        <v/>
      </c>
      <c r="J78" s="35">
        <f>1-I78</f>
        <v/>
      </c>
      <c r="K78" s="35">
        <f>H78*J78</f>
        <v/>
      </c>
      <c r="L78" s="35">
        <f>K78-'18_WEIGHT_CONTROL'!$B$12</f>
        <v/>
      </c>
      <c r="M78" s="35">
        <f>1+'18_WEIGHT_CONTROL'!$B$14*L78</f>
        <v/>
      </c>
      <c r="N78" s="35">
        <f>M78-1</f>
        <v/>
      </c>
      <c r="O78" s="33">
        <f>IF(M78&gt;1.04,"HIGHER-CONFIDENCE PRIOR",IF(M78&lt;0.96,"LOWER-CONFIDENCE PRIOR","NEAR-UNIT"))</f>
        <v/>
      </c>
    </row>
    <row r="79" ht="36" customHeight="1">
      <c r="A79" s="33">
        <f>'06_ITEM_POLE_MODEL'!A79</f>
        <v/>
      </c>
      <c r="B79" s="33">
        <f>'06_ITEM_POLE_MODEL'!B79</f>
        <v/>
      </c>
      <c r="C79" s="33">
        <f>'06_ITEM_POLE_MODEL'!C79</f>
        <v/>
      </c>
      <c r="D79" s="33">
        <f>'06_ITEM_POLE_MODEL'!D79</f>
        <v/>
      </c>
      <c r="E79" s="33">
        <f>'06_ITEM_POLE_MODEL'!E79</f>
        <v/>
      </c>
      <c r="F79" s="33">
        <f>'03_FINAL_ITEMS'!K79</f>
        <v/>
      </c>
      <c r="G79" s="33" t="inlineStr">
        <is>
          <t>LOW — EXPERT</t>
        </is>
      </c>
      <c r="H79" s="35">
        <f>SUMPRODUCT('20_ITEM_FEATURE_MASS'!C79:AQ79,'21_ITEM_FEATURE_CONF'!C79:AQ79)/SUM('20_ITEM_FEATURE_MASS'!C79:AQ79)</f>
        <v/>
      </c>
      <c r="I79" s="35">
        <f>SUMIF('22_DEPENDENCY_AUDIT'!$A$5:$A$20,A79,'22_DEPENDENCY_AUDIT'!$H$5:$H$20)</f>
        <v/>
      </c>
      <c r="J79" s="35">
        <f>1-I79</f>
        <v/>
      </c>
      <c r="K79" s="35">
        <f>H79*J79</f>
        <v/>
      </c>
      <c r="L79" s="35">
        <f>K79-'18_WEIGHT_CONTROL'!$B$12</f>
        <v/>
      </c>
      <c r="M79" s="35">
        <f>1+'18_WEIGHT_CONTROL'!$B$14*L79</f>
        <v/>
      </c>
      <c r="N79" s="35">
        <f>M79-1</f>
        <v/>
      </c>
      <c r="O79" s="33">
        <f>IF(M79&gt;1.04,"HIGHER-CONFIDENCE PRIOR",IF(M79&lt;0.96,"LOWER-CONFIDENCE PRIOR","NEAR-UNIT"))</f>
        <v/>
      </c>
    </row>
    <row r="80" ht="36" customHeight="1">
      <c r="A80" s="33">
        <f>'06_ITEM_POLE_MODEL'!A80</f>
        <v/>
      </c>
      <c r="B80" s="33">
        <f>'06_ITEM_POLE_MODEL'!B80</f>
        <v/>
      </c>
      <c r="C80" s="33">
        <f>'06_ITEM_POLE_MODEL'!C80</f>
        <v/>
      </c>
      <c r="D80" s="33">
        <f>'06_ITEM_POLE_MODEL'!D80</f>
        <v/>
      </c>
      <c r="E80" s="33">
        <f>'06_ITEM_POLE_MODEL'!E80</f>
        <v/>
      </c>
      <c r="F80" s="33">
        <f>'03_FINAL_ITEMS'!K80</f>
        <v/>
      </c>
      <c r="G80" s="33" t="inlineStr">
        <is>
          <t>LOW — EXPERT</t>
        </is>
      </c>
      <c r="H80" s="35">
        <f>SUMPRODUCT('20_ITEM_FEATURE_MASS'!C80:AQ80,'21_ITEM_FEATURE_CONF'!C80:AQ80)/SUM('20_ITEM_FEATURE_MASS'!C80:AQ80)</f>
        <v/>
      </c>
      <c r="I80" s="35">
        <f>SUMIF('22_DEPENDENCY_AUDIT'!$A$5:$A$20,A80,'22_DEPENDENCY_AUDIT'!$H$5:$H$20)</f>
        <v/>
      </c>
      <c r="J80" s="35">
        <f>1-I80</f>
        <v/>
      </c>
      <c r="K80" s="35">
        <f>H80*J80</f>
        <v/>
      </c>
      <c r="L80" s="35">
        <f>K80-'18_WEIGHT_CONTROL'!$B$12</f>
        <v/>
      </c>
      <c r="M80" s="35">
        <f>1+'18_WEIGHT_CONTROL'!$B$14*L80</f>
        <v/>
      </c>
      <c r="N80" s="35">
        <f>M80-1</f>
        <v/>
      </c>
      <c r="O80" s="33">
        <f>IF(M80&gt;1.04,"HIGHER-CONFIDENCE PRIOR",IF(M80&lt;0.96,"LOWER-CONFIDENCE PRIOR","NEAR-UNIT"))</f>
        <v/>
      </c>
    </row>
    <row r="81" ht="36" customHeight="1">
      <c r="A81" s="33">
        <f>'06_ITEM_POLE_MODEL'!A81</f>
        <v/>
      </c>
      <c r="B81" s="33">
        <f>'06_ITEM_POLE_MODEL'!B81</f>
        <v/>
      </c>
      <c r="C81" s="33">
        <f>'06_ITEM_POLE_MODEL'!C81</f>
        <v/>
      </c>
      <c r="D81" s="33">
        <f>'06_ITEM_POLE_MODEL'!D81</f>
        <v/>
      </c>
      <c r="E81" s="33">
        <f>'06_ITEM_POLE_MODEL'!E81</f>
        <v/>
      </c>
      <c r="F81" s="33">
        <f>'03_FINAL_ITEMS'!K81</f>
        <v/>
      </c>
      <c r="G81" s="33" t="inlineStr">
        <is>
          <t>LOW — EXPERT</t>
        </is>
      </c>
      <c r="H81" s="35">
        <f>SUMPRODUCT('20_ITEM_FEATURE_MASS'!C81:AQ81,'21_ITEM_FEATURE_CONF'!C81:AQ81)/SUM('20_ITEM_FEATURE_MASS'!C81:AQ81)</f>
        <v/>
      </c>
      <c r="I81" s="35">
        <f>SUMIF('22_DEPENDENCY_AUDIT'!$A$5:$A$20,A81,'22_DEPENDENCY_AUDIT'!$H$5:$H$20)</f>
        <v/>
      </c>
      <c r="J81" s="35">
        <f>1-I81</f>
        <v/>
      </c>
      <c r="K81" s="35">
        <f>H81*J81</f>
        <v/>
      </c>
      <c r="L81" s="35">
        <f>K81-'18_WEIGHT_CONTROL'!$B$12</f>
        <v/>
      </c>
      <c r="M81" s="35">
        <f>1+'18_WEIGHT_CONTROL'!$B$14*L81</f>
        <v/>
      </c>
      <c r="N81" s="35">
        <f>M81-1</f>
        <v/>
      </c>
      <c r="O81" s="33">
        <f>IF(M81&gt;1.04,"HIGHER-CONFIDENCE PRIOR",IF(M81&lt;0.96,"LOWER-CONFIDENCE PRIOR","NEAR-UNIT"))</f>
        <v/>
      </c>
    </row>
    <row r="82" ht="36" customHeight="1">
      <c r="A82" s="33">
        <f>'06_ITEM_POLE_MODEL'!A82</f>
        <v/>
      </c>
      <c r="B82" s="33">
        <f>'06_ITEM_POLE_MODEL'!B82</f>
        <v/>
      </c>
      <c r="C82" s="33">
        <f>'06_ITEM_POLE_MODEL'!C82</f>
        <v/>
      </c>
      <c r="D82" s="33">
        <f>'06_ITEM_POLE_MODEL'!D82</f>
        <v/>
      </c>
      <c r="E82" s="33">
        <f>'06_ITEM_POLE_MODEL'!E82</f>
        <v/>
      </c>
      <c r="F82" s="33">
        <f>'03_FINAL_ITEMS'!K82</f>
        <v/>
      </c>
      <c r="G82" s="33" t="inlineStr">
        <is>
          <t>LOW — EXPERT</t>
        </is>
      </c>
      <c r="H82" s="35">
        <f>SUMPRODUCT('20_ITEM_FEATURE_MASS'!C82:AQ82,'21_ITEM_FEATURE_CONF'!C82:AQ82)/SUM('20_ITEM_FEATURE_MASS'!C82:AQ82)</f>
        <v/>
      </c>
      <c r="I82" s="35">
        <f>SUMIF('22_DEPENDENCY_AUDIT'!$A$5:$A$20,A82,'22_DEPENDENCY_AUDIT'!$H$5:$H$20)</f>
        <v/>
      </c>
      <c r="J82" s="35">
        <f>1-I82</f>
        <v/>
      </c>
      <c r="K82" s="35">
        <f>H82*J82</f>
        <v/>
      </c>
      <c r="L82" s="35">
        <f>K82-'18_WEIGHT_CONTROL'!$B$12</f>
        <v/>
      </c>
      <c r="M82" s="35">
        <f>1+'18_WEIGHT_CONTROL'!$B$14*L82</f>
        <v/>
      </c>
      <c r="N82" s="35">
        <f>M82-1</f>
        <v/>
      </c>
      <c r="O82" s="33">
        <f>IF(M82&gt;1.04,"HIGHER-CONFIDENCE PRIOR",IF(M82&lt;0.96,"LOWER-CONFIDENCE PRIOR","NEAR-UNIT"))</f>
        <v/>
      </c>
    </row>
    <row r="83" ht="36" customHeight="1">
      <c r="A83" s="33">
        <f>'06_ITEM_POLE_MODEL'!A83</f>
        <v/>
      </c>
      <c r="B83" s="33">
        <f>'06_ITEM_POLE_MODEL'!B83</f>
        <v/>
      </c>
      <c r="C83" s="33">
        <f>'06_ITEM_POLE_MODEL'!C83</f>
        <v/>
      </c>
      <c r="D83" s="33">
        <f>'06_ITEM_POLE_MODEL'!D83</f>
        <v/>
      </c>
      <c r="E83" s="33">
        <f>'06_ITEM_POLE_MODEL'!E83</f>
        <v/>
      </c>
      <c r="F83" s="33">
        <f>'03_FINAL_ITEMS'!K83</f>
        <v/>
      </c>
      <c r="G83" s="33" t="inlineStr">
        <is>
          <t>MODERATE — EXPERT</t>
        </is>
      </c>
      <c r="H83" s="35">
        <f>SUMPRODUCT('20_ITEM_FEATURE_MASS'!C83:AQ83,'21_ITEM_FEATURE_CONF'!C83:AQ83)/SUM('20_ITEM_FEATURE_MASS'!C83:AQ83)</f>
        <v/>
      </c>
      <c r="I83" s="35">
        <f>SUMIF('22_DEPENDENCY_AUDIT'!$A$5:$A$20,A83,'22_DEPENDENCY_AUDIT'!$H$5:$H$20)</f>
        <v/>
      </c>
      <c r="J83" s="35">
        <f>1-I83</f>
        <v/>
      </c>
      <c r="K83" s="35">
        <f>H83*J83</f>
        <v/>
      </c>
      <c r="L83" s="35">
        <f>K83-'18_WEIGHT_CONTROL'!$B$12</f>
        <v/>
      </c>
      <c r="M83" s="35">
        <f>1+'18_WEIGHT_CONTROL'!$B$14*L83</f>
        <v/>
      </c>
      <c r="N83" s="35">
        <f>M83-1</f>
        <v/>
      </c>
      <c r="O83" s="33">
        <f>IF(M83&gt;1.04,"HIGHER-CONFIDENCE PRIOR",IF(M83&lt;0.96,"LOWER-CONFIDENCE PRIOR","NEAR-UNIT"))</f>
        <v/>
      </c>
    </row>
    <row r="84" ht="36" customHeight="1">
      <c r="A84" s="33">
        <f>'06_ITEM_POLE_MODEL'!A84</f>
        <v/>
      </c>
      <c r="B84" s="33">
        <f>'06_ITEM_POLE_MODEL'!B84</f>
        <v/>
      </c>
      <c r="C84" s="33">
        <f>'06_ITEM_POLE_MODEL'!C84</f>
        <v/>
      </c>
      <c r="D84" s="33">
        <f>'06_ITEM_POLE_MODEL'!D84</f>
        <v/>
      </c>
      <c r="E84" s="33">
        <f>'06_ITEM_POLE_MODEL'!E84</f>
        <v/>
      </c>
      <c r="F84" s="33">
        <f>'03_FINAL_ITEMS'!K84</f>
        <v/>
      </c>
      <c r="G84" s="33" t="inlineStr">
        <is>
          <t>MODERATE — EXPERT</t>
        </is>
      </c>
      <c r="H84" s="35">
        <f>SUMPRODUCT('20_ITEM_FEATURE_MASS'!C84:AQ84,'21_ITEM_FEATURE_CONF'!C84:AQ84)/SUM('20_ITEM_FEATURE_MASS'!C84:AQ84)</f>
        <v/>
      </c>
      <c r="I84" s="35">
        <f>SUMIF('22_DEPENDENCY_AUDIT'!$A$5:$A$20,A84,'22_DEPENDENCY_AUDIT'!$H$5:$H$20)</f>
        <v/>
      </c>
      <c r="J84" s="35">
        <f>1-I84</f>
        <v/>
      </c>
      <c r="K84" s="35">
        <f>H84*J84</f>
        <v/>
      </c>
      <c r="L84" s="35">
        <f>K84-'18_WEIGHT_CONTROL'!$B$12</f>
        <v/>
      </c>
      <c r="M84" s="35">
        <f>1+'18_WEIGHT_CONTROL'!$B$14*L84</f>
        <v/>
      </c>
      <c r="N84" s="35">
        <f>M84-1</f>
        <v/>
      </c>
      <c r="O84" s="33">
        <f>IF(M84&gt;1.04,"HIGHER-CONFIDENCE PRIOR",IF(M84&lt;0.96,"LOWER-CONFIDENCE PRIOR","NEAR-UNIT"))</f>
        <v/>
      </c>
    </row>
  </sheetData>
  <mergeCells count="2">
    <mergeCell ref="A1:O1"/>
    <mergeCell ref="A2:O2"/>
  </mergeCells>
  <pageMargins left="0.75" right="0.75" top="1" bottom="1" header="0.5" footer="0.5"/>
  <pageSetup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42" customWidth="1" min="4" max="4"/>
    <col width="38" customWidth="1" min="5" max="5"/>
    <col width="18" customWidth="1" min="6" max="6"/>
    <col width="16" customWidth="1" min="7" max="7"/>
    <col width="16" customWidth="1" min="8" max="8"/>
    <col width="15" customWidth="1" min="9" max="9"/>
    <col width="12" customWidth="1" min="10" max="10"/>
    <col width="24" customWidth="1" min="11" max="11"/>
    <col width="38" customWidth="1" min="12" max="12"/>
    <col width="52" customWidth="1" min="13" max="13"/>
    <col width="20" customWidth="1" min="14" max="14"/>
    <col width="18" customWidth="1" min="15" max="15"/>
    <col width="14" customWidth="1" min="16" max="16"/>
  </cols>
  <sheetData>
    <row r="1" ht="30" customHeight="1">
      <c r="A1" s="1" t="inlineStr">
        <is>
          <t>v4 Final 80 Item Weights — SOURCE OF TRUTH</t>
        </is>
      </c>
    </row>
    <row r="2" ht="34" customHeight="1">
      <c r="A2" s="29" t="inlineStr">
        <is>
          <t>Use FINAL WEIGHT (formula) in production. Verified weight snapshot is an independently calculated QA mirror; Formula−snapshot should be zero after recalculation.</t>
        </is>
      </c>
    </row>
    <row r="3"/>
    <row r="4" ht="32" customHeight="1">
      <c r="A4" s="30" t="inlineStr">
        <is>
          <t>Slot</t>
        </is>
      </c>
      <c r="B4" s="30" t="inlineStr">
        <is>
          <t>Admin #</t>
        </is>
      </c>
      <c r="C4" s="30" t="inlineStr">
        <is>
          <t>Layer</t>
        </is>
      </c>
      <c r="D4" s="30" t="inlineStr">
        <is>
          <t>Contrast</t>
        </is>
      </c>
      <c r="E4" s="30" t="inlineStr">
        <is>
          <t>Target</t>
        </is>
      </c>
      <c r="F4" s="30" t="inlineStr">
        <is>
          <t>Semantic confidence</t>
        </is>
      </c>
      <c r="G4" s="30" t="inlineStr">
        <is>
          <t>Dependency factor</t>
        </is>
      </c>
      <c r="H4" s="30" t="inlineStr">
        <is>
          <t>Raw reliability</t>
        </is>
      </c>
      <c r="I4" s="30" t="inlineStr">
        <is>
          <t>FINAL WEIGHT</t>
        </is>
      </c>
      <c r="J4" s="30" t="inlineStr">
        <is>
          <t>Δ vs 1</t>
        </is>
      </c>
      <c r="K4" s="30" t="inlineStr">
        <is>
          <t>Wording risk (audit only)</t>
        </is>
      </c>
      <c r="L4" s="30" t="inlineStr">
        <is>
          <t>Formula excludes</t>
        </is>
      </c>
      <c r="M4" s="30" t="inlineStr">
        <is>
          <t>Implementation note</t>
        </is>
      </c>
      <c r="N4" s="30" t="inlineStr">
        <is>
          <t>Verified weight snapshot</t>
        </is>
      </c>
      <c r="O4" s="30" t="inlineStr">
        <is>
          <t>Formula − snapshot</t>
        </is>
      </c>
      <c r="P4" s="30" t="inlineStr">
        <is>
          <t>Snapshot check</t>
        </is>
      </c>
    </row>
    <row r="5" ht="36" customHeight="1">
      <c r="A5" s="33">
        <f>'23_ITEM_WEIGHT_MODEL'!A5</f>
        <v/>
      </c>
      <c r="B5" s="33">
        <f>'23_ITEM_WEIGHT_MODEL'!F5</f>
        <v/>
      </c>
      <c r="C5" s="33">
        <f>'23_ITEM_WEIGHT_MODEL'!B5</f>
        <v/>
      </c>
      <c r="D5" s="33">
        <f>'23_ITEM_WEIGHT_MODEL'!C5</f>
        <v/>
      </c>
      <c r="E5" s="33">
        <f>'23_ITEM_WEIGHT_MODEL'!D5</f>
        <v/>
      </c>
      <c r="F5" s="35">
        <f>'23_ITEM_WEIGHT_MODEL'!H5</f>
        <v/>
      </c>
      <c r="G5" s="35">
        <f>'23_ITEM_WEIGHT_MODEL'!J5</f>
        <v/>
      </c>
      <c r="H5" s="35">
        <f>'23_ITEM_WEIGHT_MODEL'!K5</f>
        <v/>
      </c>
      <c r="I5" s="36">
        <f>'23_ITEM_WEIGHT_MODEL'!M5</f>
        <v/>
      </c>
      <c r="J5" s="35">
        <f>'23_ITEM_WEIGHT_MODEL'!N5</f>
        <v/>
      </c>
      <c r="K5" s="33">
        <f>'23_ITEM_WEIGHT_MODEL'!G5</f>
        <v/>
      </c>
      <c r="L5" s="33" t="inlineStr">
        <is>
          <t>Confusion risk; layer; slot count; wording flag</t>
        </is>
      </c>
      <c r="M5" s="33" t="inlineStr">
        <is>
          <t>x=raw×key; then use this item weight in weighted cosine.</t>
        </is>
      </c>
      <c r="N5" s="41" t="n">
        <v>1.033272940765198</v>
      </c>
      <c r="O5" s="42">
        <f>I5-N5</f>
        <v/>
      </c>
      <c r="P5" s="43">
        <f>IF(ABS(O5)&lt;0.000001,"PASS","CHECK")</f>
        <v/>
      </c>
    </row>
    <row r="6" ht="36" customHeight="1">
      <c r="A6" s="33">
        <f>'23_ITEM_WEIGHT_MODEL'!A6</f>
        <v/>
      </c>
      <c r="B6" s="33">
        <f>'23_ITEM_WEIGHT_MODEL'!F6</f>
        <v/>
      </c>
      <c r="C6" s="33">
        <f>'23_ITEM_WEIGHT_MODEL'!B6</f>
        <v/>
      </c>
      <c r="D6" s="33">
        <f>'23_ITEM_WEIGHT_MODEL'!C6</f>
        <v/>
      </c>
      <c r="E6" s="33">
        <f>'23_ITEM_WEIGHT_MODEL'!D6</f>
        <v/>
      </c>
      <c r="F6" s="35">
        <f>'23_ITEM_WEIGHT_MODEL'!H6</f>
        <v/>
      </c>
      <c r="G6" s="35">
        <f>'23_ITEM_WEIGHT_MODEL'!J6</f>
        <v/>
      </c>
      <c r="H6" s="35">
        <f>'23_ITEM_WEIGHT_MODEL'!K6</f>
        <v/>
      </c>
      <c r="I6" s="36">
        <f>'23_ITEM_WEIGHT_MODEL'!M6</f>
        <v/>
      </c>
      <c r="J6" s="35">
        <f>'23_ITEM_WEIGHT_MODEL'!N6</f>
        <v/>
      </c>
      <c r="K6" s="33">
        <f>'23_ITEM_WEIGHT_MODEL'!G6</f>
        <v/>
      </c>
      <c r="L6" s="33" t="inlineStr">
        <is>
          <t>Confusion risk; layer; slot count; wording flag</t>
        </is>
      </c>
      <c r="M6" s="33" t="inlineStr">
        <is>
          <t>x=raw×key; then use this item weight in weighted cosine.</t>
        </is>
      </c>
      <c r="N6" s="41" t="n">
        <v>1.012734586878069</v>
      </c>
      <c r="O6" s="42">
        <f>I6-N6</f>
        <v/>
      </c>
      <c r="P6" s="43">
        <f>IF(ABS(O6)&lt;0.000001,"PASS","CHECK")</f>
        <v/>
      </c>
    </row>
    <row r="7" ht="36" customHeight="1">
      <c r="A7" s="33">
        <f>'23_ITEM_WEIGHT_MODEL'!A7</f>
        <v/>
      </c>
      <c r="B7" s="33">
        <f>'23_ITEM_WEIGHT_MODEL'!F7</f>
        <v/>
      </c>
      <c r="C7" s="33">
        <f>'23_ITEM_WEIGHT_MODEL'!B7</f>
        <v/>
      </c>
      <c r="D7" s="33">
        <f>'23_ITEM_WEIGHT_MODEL'!C7</f>
        <v/>
      </c>
      <c r="E7" s="33">
        <f>'23_ITEM_WEIGHT_MODEL'!D7</f>
        <v/>
      </c>
      <c r="F7" s="35">
        <f>'23_ITEM_WEIGHT_MODEL'!H7</f>
        <v/>
      </c>
      <c r="G7" s="35">
        <f>'23_ITEM_WEIGHT_MODEL'!J7</f>
        <v/>
      </c>
      <c r="H7" s="35">
        <f>'23_ITEM_WEIGHT_MODEL'!K7</f>
        <v/>
      </c>
      <c r="I7" s="36">
        <f>'23_ITEM_WEIGHT_MODEL'!M7</f>
        <v/>
      </c>
      <c r="J7" s="35">
        <f>'23_ITEM_WEIGHT_MODEL'!N7</f>
        <v/>
      </c>
      <c r="K7" s="33">
        <f>'23_ITEM_WEIGHT_MODEL'!G7</f>
        <v/>
      </c>
      <c r="L7" s="33" t="inlineStr">
        <is>
          <t>Confusion risk; layer; slot count; wording flag</t>
        </is>
      </c>
      <c r="M7" s="33" t="inlineStr">
        <is>
          <t>x=raw×key; then use this item weight in weighted cosine.</t>
        </is>
      </c>
      <c r="N7" s="41" t="n">
        <v>0.9869247012200399</v>
      </c>
      <c r="O7" s="42">
        <f>I7-N7</f>
        <v/>
      </c>
      <c r="P7" s="43">
        <f>IF(ABS(O7)&lt;0.000001,"PASS","CHECK")</f>
        <v/>
      </c>
    </row>
    <row r="8" ht="36" customHeight="1">
      <c r="A8" s="33">
        <f>'23_ITEM_WEIGHT_MODEL'!A8</f>
        <v/>
      </c>
      <c r="B8" s="33">
        <f>'23_ITEM_WEIGHT_MODEL'!F8</f>
        <v/>
      </c>
      <c r="C8" s="33">
        <f>'23_ITEM_WEIGHT_MODEL'!B8</f>
        <v/>
      </c>
      <c r="D8" s="33">
        <f>'23_ITEM_WEIGHT_MODEL'!C8</f>
        <v/>
      </c>
      <c r="E8" s="33">
        <f>'23_ITEM_WEIGHT_MODEL'!D8</f>
        <v/>
      </c>
      <c r="F8" s="35">
        <f>'23_ITEM_WEIGHT_MODEL'!H8</f>
        <v/>
      </c>
      <c r="G8" s="35">
        <f>'23_ITEM_WEIGHT_MODEL'!J8</f>
        <v/>
      </c>
      <c r="H8" s="35">
        <f>'23_ITEM_WEIGHT_MODEL'!K8</f>
        <v/>
      </c>
      <c r="I8" s="37">
        <f>'23_ITEM_WEIGHT_MODEL'!M8</f>
        <v/>
      </c>
      <c r="J8" s="35">
        <f>'23_ITEM_WEIGHT_MODEL'!N8</f>
        <v/>
      </c>
      <c r="K8" s="33">
        <f>'23_ITEM_WEIGHT_MODEL'!G8</f>
        <v/>
      </c>
      <c r="L8" s="33" t="inlineStr">
        <is>
          <t>Confusion risk; layer; slot count; wording flag</t>
        </is>
      </c>
      <c r="M8" s="33" t="inlineStr">
        <is>
          <t>x=raw×key; then use this item weight in weighted cosine.</t>
        </is>
      </c>
      <c r="N8" s="41" t="n">
        <v>1.054146930856642</v>
      </c>
      <c r="O8" s="42">
        <f>I8-N8</f>
        <v/>
      </c>
      <c r="P8" s="43">
        <f>IF(ABS(O8)&lt;0.000001,"PASS","CHECK")</f>
        <v/>
      </c>
    </row>
    <row r="9" ht="36" customHeight="1">
      <c r="A9" s="33">
        <f>'23_ITEM_WEIGHT_MODEL'!A9</f>
        <v/>
      </c>
      <c r="B9" s="33">
        <f>'23_ITEM_WEIGHT_MODEL'!F9</f>
        <v/>
      </c>
      <c r="C9" s="33">
        <f>'23_ITEM_WEIGHT_MODEL'!B9</f>
        <v/>
      </c>
      <c r="D9" s="33">
        <f>'23_ITEM_WEIGHT_MODEL'!C9</f>
        <v/>
      </c>
      <c r="E9" s="33">
        <f>'23_ITEM_WEIGHT_MODEL'!D9</f>
        <v/>
      </c>
      <c r="F9" s="35">
        <f>'23_ITEM_WEIGHT_MODEL'!H9</f>
        <v/>
      </c>
      <c r="G9" s="35">
        <f>'23_ITEM_WEIGHT_MODEL'!J9</f>
        <v/>
      </c>
      <c r="H9" s="35">
        <f>'23_ITEM_WEIGHT_MODEL'!K9</f>
        <v/>
      </c>
      <c r="I9" s="36">
        <f>'23_ITEM_WEIGHT_MODEL'!M9</f>
        <v/>
      </c>
      <c r="J9" s="35">
        <f>'23_ITEM_WEIGHT_MODEL'!N9</f>
        <v/>
      </c>
      <c r="K9" s="33">
        <f>'23_ITEM_WEIGHT_MODEL'!G9</f>
        <v/>
      </c>
      <c r="L9" s="33" t="inlineStr">
        <is>
          <t>Confusion risk; layer; slot count; wording flag</t>
        </is>
      </c>
      <c r="M9" s="33" t="inlineStr">
        <is>
          <t>x=raw×key; then use this item weight in weighted cosine.</t>
        </is>
      </c>
      <c r="N9" s="41" t="n">
        <v>1.00170795040101</v>
      </c>
      <c r="O9" s="42">
        <f>I9-N9</f>
        <v/>
      </c>
      <c r="P9" s="43">
        <f>IF(ABS(O9)&lt;0.000001,"PASS","CHECK")</f>
        <v/>
      </c>
    </row>
    <row r="10" ht="36" customHeight="1">
      <c r="A10" s="33">
        <f>'23_ITEM_WEIGHT_MODEL'!A10</f>
        <v/>
      </c>
      <c r="B10" s="33">
        <f>'23_ITEM_WEIGHT_MODEL'!F10</f>
        <v/>
      </c>
      <c r="C10" s="33">
        <f>'23_ITEM_WEIGHT_MODEL'!B10</f>
        <v/>
      </c>
      <c r="D10" s="33">
        <f>'23_ITEM_WEIGHT_MODEL'!C10</f>
        <v/>
      </c>
      <c r="E10" s="33">
        <f>'23_ITEM_WEIGHT_MODEL'!D10</f>
        <v/>
      </c>
      <c r="F10" s="35">
        <f>'23_ITEM_WEIGHT_MODEL'!H10</f>
        <v/>
      </c>
      <c r="G10" s="35">
        <f>'23_ITEM_WEIGHT_MODEL'!J10</f>
        <v/>
      </c>
      <c r="H10" s="35">
        <f>'23_ITEM_WEIGHT_MODEL'!K10</f>
        <v/>
      </c>
      <c r="I10" s="36">
        <f>'23_ITEM_WEIGHT_MODEL'!M10</f>
        <v/>
      </c>
      <c r="J10" s="35">
        <f>'23_ITEM_WEIGHT_MODEL'!N10</f>
        <v/>
      </c>
      <c r="K10" s="33">
        <f>'23_ITEM_WEIGHT_MODEL'!G10</f>
        <v/>
      </c>
      <c r="L10" s="33" t="inlineStr">
        <is>
          <t>Confusion risk; layer; slot count; wording flag</t>
        </is>
      </c>
      <c r="M10" s="33" t="inlineStr">
        <is>
          <t>x=raw×key; then use this item weight in weighted cosine.</t>
        </is>
      </c>
      <c r="N10" s="41" t="n">
        <v>1.003336773157246</v>
      </c>
      <c r="O10" s="42">
        <f>I10-N10</f>
        <v/>
      </c>
      <c r="P10" s="43">
        <f>IF(ABS(O10)&lt;0.000001,"PASS","CHECK")</f>
        <v/>
      </c>
    </row>
    <row r="11" ht="36" customHeight="1">
      <c r="A11" s="33">
        <f>'23_ITEM_WEIGHT_MODEL'!A11</f>
        <v/>
      </c>
      <c r="B11" s="33">
        <f>'23_ITEM_WEIGHT_MODEL'!F11</f>
        <v/>
      </c>
      <c r="C11" s="33">
        <f>'23_ITEM_WEIGHT_MODEL'!B11</f>
        <v/>
      </c>
      <c r="D11" s="33">
        <f>'23_ITEM_WEIGHT_MODEL'!C11</f>
        <v/>
      </c>
      <c r="E11" s="33">
        <f>'23_ITEM_WEIGHT_MODEL'!D11</f>
        <v/>
      </c>
      <c r="F11" s="35">
        <f>'23_ITEM_WEIGHT_MODEL'!H11</f>
        <v/>
      </c>
      <c r="G11" s="35">
        <f>'23_ITEM_WEIGHT_MODEL'!J11</f>
        <v/>
      </c>
      <c r="H11" s="35">
        <f>'23_ITEM_WEIGHT_MODEL'!K11</f>
        <v/>
      </c>
      <c r="I11" s="36">
        <f>'23_ITEM_WEIGHT_MODEL'!M11</f>
        <v/>
      </c>
      <c r="J11" s="35">
        <f>'23_ITEM_WEIGHT_MODEL'!N11</f>
        <v/>
      </c>
      <c r="K11" s="33">
        <f>'23_ITEM_WEIGHT_MODEL'!G11</f>
        <v/>
      </c>
      <c r="L11" s="33" t="inlineStr">
        <is>
          <t>Confusion risk; layer; slot count; wording flag</t>
        </is>
      </c>
      <c r="M11" s="33" t="inlineStr">
        <is>
          <t>x=raw×key; then use this item weight in weighted cosine.</t>
        </is>
      </c>
      <c r="N11" s="41" t="n">
        <v>0.9940096196899624</v>
      </c>
      <c r="O11" s="42">
        <f>I11-N11</f>
        <v/>
      </c>
      <c r="P11" s="43">
        <f>IF(ABS(O11)&lt;0.000001,"PASS","CHECK")</f>
        <v/>
      </c>
    </row>
    <row r="12" ht="36" customHeight="1">
      <c r="A12" s="33">
        <f>'23_ITEM_WEIGHT_MODEL'!A12</f>
        <v/>
      </c>
      <c r="B12" s="33">
        <f>'23_ITEM_WEIGHT_MODEL'!F12</f>
        <v/>
      </c>
      <c r="C12" s="33">
        <f>'23_ITEM_WEIGHT_MODEL'!B12</f>
        <v/>
      </c>
      <c r="D12" s="33">
        <f>'23_ITEM_WEIGHT_MODEL'!C12</f>
        <v/>
      </c>
      <c r="E12" s="33">
        <f>'23_ITEM_WEIGHT_MODEL'!D12</f>
        <v/>
      </c>
      <c r="F12" s="35">
        <f>'23_ITEM_WEIGHT_MODEL'!H12</f>
        <v/>
      </c>
      <c r="G12" s="35">
        <f>'23_ITEM_WEIGHT_MODEL'!J12</f>
        <v/>
      </c>
      <c r="H12" s="35">
        <f>'23_ITEM_WEIGHT_MODEL'!K12</f>
        <v/>
      </c>
      <c r="I12" s="36">
        <f>'23_ITEM_WEIGHT_MODEL'!M12</f>
        <v/>
      </c>
      <c r="J12" s="35">
        <f>'23_ITEM_WEIGHT_MODEL'!N12</f>
        <v/>
      </c>
      <c r="K12" s="33">
        <f>'23_ITEM_WEIGHT_MODEL'!G12</f>
        <v/>
      </c>
      <c r="L12" s="33" t="inlineStr">
        <is>
          <t>Confusion risk; layer; slot count; wording flag</t>
        </is>
      </c>
      <c r="M12" s="33" t="inlineStr">
        <is>
          <t>x=raw×key; then use this item weight in weighted cosine.</t>
        </is>
      </c>
      <c r="N12" s="41" t="n">
        <v>1.024185704437055</v>
      </c>
      <c r="O12" s="42">
        <f>I12-N12</f>
        <v/>
      </c>
      <c r="P12" s="43">
        <f>IF(ABS(O12)&lt;0.000001,"PASS","CHECK")</f>
        <v/>
      </c>
    </row>
    <row r="13" ht="36" customHeight="1">
      <c r="A13" s="33">
        <f>'23_ITEM_WEIGHT_MODEL'!A13</f>
        <v/>
      </c>
      <c r="B13" s="33">
        <f>'23_ITEM_WEIGHT_MODEL'!F13</f>
        <v/>
      </c>
      <c r="C13" s="33">
        <f>'23_ITEM_WEIGHT_MODEL'!B13</f>
        <v/>
      </c>
      <c r="D13" s="33">
        <f>'23_ITEM_WEIGHT_MODEL'!C13</f>
        <v/>
      </c>
      <c r="E13" s="33">
        <f>'23_ITEM_WEIGHT_MODEL'!D13</f>
        <v/>
      </c>
      <c r="F13" s="35">
        <f>'23_ITEM_WEIGHT_MODEL'!H13</f>
        <v/>
      </c>
      <c r="G13" s="35">
        <f>'23_ITEM_WEIGHT_MODEL'!J13</f>
        <v/>
      </c>
      <c r="H13" s="35">
        <f>'23_ITEM_WEIGHT_MODEL'!K13</f>
        <v/>
      </c>
      <c r="I13" s="36">
        <f>'23_ITEM_WEIGHT_MODEL'!M13</f>
        <v/>
      </c>
      <c r="J13" s="35">
        <f>'23_ITEM_WEIGHT_MODEL'!N13</f>
        <v/>
      </c>
      <c r="K13" s="33">
        <f>'23_ITEM_WEIGHT_MODEL'!G13</f>
        <v/>
      </c>
      <c r="L13" s="33" t="inlineStr">
        <is>
          <t>Confusion risk; layer; slot count; wording flag</t>
        </is>
      </c>
      <c r="M13" s="33" t="inlineStr">
        <is>
          <t>x=raw×key; then use this item weight in weighted cosine.</t>
        </is>
      </c>
      <c r="N13" s="41" t="n">
        <v>1.006021862791767</v>
      </c>
      <c r="O13" s="42">
        <f>I13-N13</f>
        <v/>
      </c>
      <c r="P13" s="43">
        <f>IF(ABS(O13)&lt;0.000001,"PASS","CHECK")</f>
        <v/>
      </c>
    </row>
    <row r="14" ht="36" customHeight="1">
      <c r="A14" s="33">
        <f>'23_ITEM_WEIGHT_MODEL'!A14</f>
        <v/>
      </c>
      <c r="B14" s="33">
        <f>'23_ITEM_WEIGHT_MODEL'!F14</f>
        <v/>
      </c>
      <c r="C14" s="33">
        <f>'23_ITEM_WEIGHT_MODEL'!B14</f>
        <v/>
      </c>
      <c r="D14" s="33">
        <f>'23_ITEM_WEIGHT_MODEL'!C14</f>
        <v/>
      </c>
      <c r="E14" s="33">
        <f>'23_ITEM_WEIGHT_MODEL'!D14</f>
        <v/>
      </c>
      <c r="F14" s="35">
        <f>'23_ITEM_WEIGHT_MODEL'!H14</f>
        <v/>
      </c>
      <c r="G14" s="35">
        <f>'23_ITEM_WEIGHT_MODEL'!J14</f>
        <v/>
      </c>
      <c r="H14" s="35">
        <f>'23_ITEM_WEIGHT_MODEL'!K14</f>
        <v/>
      </c>
      <c r="I14" s="36">
        <f>'23_ITEM_WEIGHT_MODEL'!M14</f>
        <v/>
      </c>
      <c r="J14" s="35">
        <f>'23_ITEM_WEIGHT_MODEL'!N14</f>
        <v/>
      </c>
      <c r="K14" s="33">
        <f>'23_ITEM_WEIGHT_MODEL'!G14</f>
        <v/>
      </c>
      <c r="L14" s="33" t="inlineStr">
        <is>
          <t>Confusion risk; layer; slot count; wording flag</t>
        </is>
      </c>
      <c r="M14" s="33" t="inlineStr">
        <is>
          <t>x=raw×key; then use this item weight in weighted cosine.</t>
        </is>
      </c>
      <c r="N14" s="41" t="n">
        <v>0.979170966446557</v>
      </c>
      <c r="O14" s="42">
        <f>I14-N14</f>
        <v/>
      </c>
      <c r="P14" s="43">
        <f>IF(ABS(O14)&lt;0.000001,"PASS","CHECK")</f>
        <v/>
      </c>
    </row>
    <row r="15" ht="36" customHeight="1">
      <c r="A15" s="33">
        <f>'23_ITEM_WEIGHT_MODEL'!A15</f>
        <v/>
      </c>
      <c r="B15" s="33">
        <f>'23_ITEM_WEIGHT_MODEL'!F15</f>
        <v/>
      </c>
      <c r="C15" s="33">
        <f>'23_ITEM_WEIGHT_MODEL'!B15</f>
        <v/>
      </c>
      <c r="D15" s="33">
        <f>'23_ITEM_WEIGHT_MODEL'!C15</f>
        <v/>
      </c>
      <c r="E15" s="33">
        <f>'23_ITEM_WEIGHT_MODEL'!D15</f>
        <v/>
      </c>
      <c r="F15" s="35">
        <f>'23_ITEM_WEIGHT_MODEL'!H15</f>
        <v/>
      </c>
      <c r="G15" s="35">
        <f>'23_ITEM_WEIGHT_MODEL'!J15</f>
        <v/>
      </c>
      <c r="H15" s="35">
        <f>'23_ITEM_WEIGHT_MODEL'!K15</f>
        <v/>
      </c>
      <c r="I15" s="36">
        <f>'23_ITEM_WEIGHT_MODEL'!M15</f>
        <v/>
      </c>
      <c r="J15" s="35">
        <f>'23_ITEM_WEIGHT_MODEL'!N15</f>
        <v/>
      </c>
      <c r="K15" s="33">
        <f>'23_ITEM_WEIGHT_MODEL'!G15</f>
        <v/>
      </c>
      <c r="L15" s="33" t="inlineStr">
        <is>
          <t>Confusion risk; layer; slot count; wording flag</t>
        </is>
      </c>
      <c r="M15" s="33" t="inlineStr">
        <is>
          <t>x=raw×key; then use this item weight in weighted cosine.</t>
        </is>
      </c>
      <c r="N15" s="41" t="n">
        <v>1.011392042060808</v>
      </c>
      <c r="O15" s="42">
        <f>I15-N15</f>
        <v/>
      </c>
      <c r="P15" s="43">
        <f>IF(ABS(O15)&lt;0.000001,"PASS","CHECK")</f>
        <v/>
      </c>
    </row>
    <row r="16" ht="36" customHeight="1">
      <c r="A16" s="33">
        <f>'23_ITEM_WEIGHT_MODEL'!A16</f>
        <v/>
      </c>
      <c r="B16" s="33">
        <f>'23_ITEM_WEIGHT_MODEL'!F16</f>
        <v/>
      </c>
      <c r="C16" s="33">
        <f>'23_ITEM_WEIGHT_MODEL'!B16</f>
        <v/>
      </c>
      <c r="D16" s="33">
        <f>'23_ITEM_WEIGHT_MODEL'!C16</f>
        <v/>
      </c>
      <c r="E16" s="33">
        <f>'23_ITEM_WEIGHT_MODEL'!D16</f>
        <v/>
      </c>
      <c r="F16" s="35">
        <f>'23_ITEM_WEIGHT_MODEL'!H16</f>
        <v/>
      </c>
      <c r="G16" s="35">
        <f>'23_ITEM_WEIGHT_MODEL'!J16</f>
        <v/>
      </c>
      <c r="H16" s="35">
        <f>'23_ITEM_WEIGHT_MODEL'!K16</f>
        <v/>
      </c>
      <c r="I16" s="36">
        <f>'23_ITEM_WEIGHT_MODEL'!M16</f>
        <v/>
      </c>
      <c r="J16" s="35">
        <f>'23_ITEM_WEIGHT_MODEL'!N16</f>
        <v/>
      </c>
      <c r="K16" s="33">
        <f>'23_ITEM_WEIGHT_MODEL'!G16</f>
        <v/>
      </c>
      <c r="L16" s="33" t="inlineStr">
        <is>
          <t>Confusion risk; layer; slot count; wording flag</t>
        </is>
      </c>
      <c r="M16" s="33" t="inlineStr">
        <is>
          <t>x=raw×key; then use this item weight in weighted cosine.</t>
        </is>
      </c>
      <c r="N16" s="41" t="n">
        <v>1.025050976288589</v>
      </c>
      <c r="O16" s="42">
        <f>I16-N16</f>
        <v/>
      </c>
      <c r="P16" s="43">
        <f>IF(ABS(O16)&lt;0.000001,"PASS","CHECK")</f>
        <v/>
      </c>
    </row>
    <row r="17" ht="36" customHeight="1">
      <c r="A17" s="33">
        <f>'23_ITEM_WEIGHT_MODEL'!A17</f>
        <v/>
      </c>
      <c r="B17" s="33">
        <f>'23_ITEM_WEIGHT_MODEL'!F17</f>
        <v/>
      </c>
      <c r="C17" s="33">
        <f>'23_ITEM_WEIGHT_MODEL'!B17</f>
        <v/>
      </c>
      <c r="D17" s="33">
        <f>'23_ITEM_WEIGHT_MODEL'!C17</f>
        <v/>
      </c>
      <c r="E17" s="33">
        <f>'23_ITEM_WEIGHT_MODEL'!D17</f>
        <v/>
      </c>
      <c r="F17" s="35">
        <f>'23_ITEM_WEIGHT_MODEL'!H17</f>
        <v/>
      </c>
      <c r="G17" s="35">
        <f>'23_ITEM_WEIGHT_MODEL'!J17</f>
        <v/>
      </c>
      <c r="H17" s="35">
        <f>'23_ITEM_WEIGHT_MODEL'!K17</f>
        <v/>
      </c>
      <c r="I17" s="36">
        <f>'23_ITEM_WEIGHT_MODEL'!M17</f>
        <v/>
      </c>
      <c r="J17" s="35">
        <f>'23_ITEM_WEIGHT_MODEL'!N17</f>
        <v/>
      </c>
      <c r="K17" s="33">
        <f>'23_ITEM_WEIGHT_MODEL'!G17</f>
        <v/>
      </c>
      <c r="L17" s="33" t="inlineStr">
        <is>
          <t>Confusion risk; layer; slot count; wording flag</t>
        </is>
      </c>
      <c r="M17" s="33" t="inlineStr">
        <is>
          <t>x=raw×key; then use this item weight in weighted cosine.</t>
        </is>
      </c>
      <c r="N17" s="41" t="n">
        <v>1.027118995634431</v>
      </c>
      <c r="O17" s="42">
        <f>I17-N17</f>
        <v/>
      </c>
      <c r="P17" s="43">
        <f>IF(ABS(O17)&lt;0.000001,"PASS","CHECK")</f>
        <v/>
      </c>
    </row>
    <row r="18" ht="36" customHeight="1">
      <c r="A18" s="33">
        <f>'23_ITEM_WEIGHT_MODEL'!A18</f>
        <v/>
      </c>
      <c r="B18" s="33">
        <f>'23_ITEM_WEIGHT_MODEL'!F18</f>
        <v/>
      </c>
      <c r="C18" s="33">
        <f>'23_ITEM_WEIGHT_MODEL'!B18</f>
        <v/>
      </c>
      <c r="D18" s="33">
        <f>'23_ITEM_WEIGHT_MODEL'!C18</f>
        <v/>
      </c>
      <c r="E18" s="33">
        <f>'23_ITEM_WEIGHT_MODEL'!D18</f>
        <v/>
      </c>
      <c r="F18" s="35">
        <f>'23_ITEM_WEIGHT_MODEL'!H18</f>
        <v/>
      </c>
      <c r="G18" s="35">
        <f>'23_ITEM_WEIGHT_MODEL'!J18</f>
        <v/>
      </c>
      <c r="H18" s="35">
        <f>'23_ITEM_WEIGHT_MODEL'!K18</f>
        <v/>
      </c>
      <c r="I18" s="36">
        <f>'23_ITEM_WEIGHT_MODEL'!M18</f>
        <v/>
      </c>
      <c r="J18" s="35">
        <f>'23_ITEM_WEIGHT_MODEL'!N18</f>
        <v/>
      </c>
      <c r="K18" s="33">
        <f>'23_ITEM_WEIGHT_MODEL'!G18</f>
        <v/>
      </c>
      <c r="L18" s="33" t="inlineStr">
        <is>
          <t>Confusion risk; layer; slot count; wording flag</t>
        </is>
      </c>
      <c r="M18" s="33" t="inlineStr">
        <is>
          <t>x=raw×key; then use this item weight in weighted cosine.</t>
        </is>
      </c>
      <c r="N18" s="41" t="n">
        <v>0.9892400525760106</v>
      </c>
      <c r="O18" s="42">
        <f>I18-N18</f>
        <v/>
      </c>
      <c r="P18" s="43">
        <f>IF(ABS(O18)&lt;0.000001,"PASS","CHECK")</f>
        <v/>
      </c>
    </row>
    <row r="19" ht="36" customHeight="1">
      <c r="A19" s="33">
        <f>'23_ITEM_WEIGHT_MODEL'!A19</f>
        <v/>
      </c>
      <c r="B19" s="33">
        <f>'23_ITEM_WEIGHT_MODEL'!F19</f>
        <v/>
      </c>
      <c r="C19" s="33">
        <f>'23_ITEM_WEIGHT_MODEL'!B19</f>
        <v/>
      </c>
      <c r="D19" s="33">
        <f>'23_ITEM_WEIGHT_MODEL'!C19</f>
        <v/>
      </c>
      <c r="E19" s="33">
        <f>'23_ITEM_WEIGHT_MODEL'!D19</f>
        <v/>
      </c>
      <c r="F19" s="35">
        <f>'23_ITEM_WEIGHT_MODEL'!H19</f>
        <v/>
      </c>
      <c r="G19" s="35">
        <f>'23_ITEM_WEIGHT_MODEL'!J19</f>
        <v/>
      </c>
      <c r="H19" s="35">
        <f>'23_ITEM_WEIGHT_MODEL'!K19</f>
        <v/>
      </c>
      <c r="I19" s="36">
        <f>'23_ITEM_WEIGHT_MODEL'!M19</f>
        <v/>
      </c>
      <c r="J19" s="35">
        <f>'23_ITEM_WEIGHT_MODEL'!N19</f>
        <v/>
      </c>
      <c r="K19" s="33">
        <f>'23_ITEM_WEIGHT_MODEL'!G19</f>
        <v/>
      </c>
      <c r="L19" s="33" t="inlineStr">
        <is>
          <t>Confusion risk; layer; slot count; wording flag</t>
        </is>
      </c>
      <c r="M19" s="33" t="inlineStr">
        <is>
          <t>x=raw×key; then use this item weight in weighted cosine.</t>
        </is>
      </c>
      <c r="N19" s="41" t="n">
        <v>1.015611468629341</v>
      </c>
      <c r="O19" s="42">
        <f>I19-N19</f>
        <v/>
      </c>
      <c r="P19" s="43">
        <f>IF(ABS(O19)&lt;0.000001,"PASS","CHECK")</f>
        <v/>
      </c>
    </row>
    <row r="20" ht="36" customHeight="1">
      <c r="A20" s="33">
        <f>'23_ITEM_WEIGHT_MODEL'!A20</f>
        <v/>
      </c>
      <c r="B20" s="33">
        <f>'23_ITEM_WEIGHT_MODEL'!F20</f>
        <v/>
      </c>
      <c r="C20" s="33">
        <f>'23_ITEM_WEIGHT_MODEL'!B20</f>
        <v/>
      </c>
      <c r="D20" s="33">
        <f>'23_ITEM_WEIGHT_MODEL'!C20</f>
        <v/>
      </c>
      <c r="E20" s="33">
        <f>'23_ITEM_WEIGHT_MODEL'!D20</f>
        <v/>
      </c>
      <c r="F20" s="35">
        <f>'23_ITEM_WEIGHT_MODEL'!H20</f>
        <v/>
      </c>
      <c r="G20" s="35">
        <f>'23_ITEM_WEIGHT_MODEL'!J20</f>
        <v/>
      </c>
      <c r="H20" s="35">
        <f>'23_ITEM_WEIGHT_MODEL'!K20</f>
        <v/>
      </c>
      <c r="I20" s="36">
        <f>'23_ITEM_WEIGHT_MODEL'!M20</f>
        <v/>
      </c>
      <c r="J20" s="35">
        <f>'23_ITEM_WEIGHT_MODEL'!N20</f>
        <v/>
      </c>
      <c r="K20" s="33">
        <f>'23_ITEM_WEIGHT_MODEL'!G20</f>
        <v/>
      </c>
      <c r="L20" s="33" t="inlineStr">
        <is>
          <t>Confusion risk; layer; slot count; wording flag</t>
        </is>
      </c>
      <c r="M20" s="33" t="inlineStr">
        <is>
          <t>x=raw×key; then use this item weight in weighted cosine.</t>
        </is>
      </c>
      <c r="N20" s="41" t="n">
        <v>1.035727077109807</v>
      </c>
      <c r="O20" s="42">
        <f>I20-N20</f>
        <v/>
      </c>
      <c r="P20" s="43">
        <f>IF(ABS(O20)&lt;0.000001,"PASS","CHECK")</f>
        <v/>
      </c>
    </row>
    <row r="21" ht="36" customHeight="1">
      <c r="A21" s="33">
        <f>'23_ITEM_WEIGHT_MODEL'!A21</f>
        <v/>
      </c>
      <c r="B21" s="33">
        <f>'23_ITEM_WEIGHT_MODEL'!F21</f>
        <v/>
      </c>
      <c r="C21" s="33">
        <f>'23_ITEM_WEIGHT_MODEL'!B21</f>
        <v/>
      </c>
      <c r="D21" s="33">
        <f>'23_ITEM_WEIGHT_MODEL'!C21</f>
        <v/>
      </c>
      <c r="E21" s="33">
        <f>'23_ITEM_WEIGHT_MODEL'!D21</f>
        <v/>
      </c>
      <c r="F21" s="35">
        <f>'23_ITEM_WEIGHT_MODEL'!H21</f>
        <v/>
      </c>
      <c r="G21" s="35">
        <f>'23_ITEM_WEIGHT_MODEL'!J21</f>
        <v/>
      </c>
      <c r="H21" s="35">
        <f>'23_ITEM_WEIGHT_MODEL'!K21</f>
        <v/>
      </c>
      <c r="I21" s="36">
        <f>'23_ITEM_WEIGHT_MODEL'!M21</f>
        <v/>
      </c>
      <c r="J21" s="35">
        <f>'23_ITEM_WEIGHT_MODEL'!N21</f>
        <v/>
      </c>
      <c r="K21" s="33">
        <f>'23_ITEM_WEIGHT_MODEL'!G21</f>
        <v/>
      </c>
      <c r="L21" s="33" t="inlineStr">
        <is>
          <t>Confusion risk; layer; slot count; wording flag</t>
        </is>
      </c>
      <c r="M21" s="33" t="inlineStr">
        <is>
          <t>x=raw×key; then use this item weight in weighted cosine.</t>
        </is>
      </c>
      <c r="N21" s="41" t="n">
        <v>1.013392697082608</v>
      </c>
      <c r="O21" s="42">
        <f>I21-N21</f>
        <v/>
      </c>
      <c r="P21" s="43">
        <f>IF(ABS(O21)&lt;0.000001,"PASS","CHECK")</f>
        <v/>
      </c>
    </row>
    <row r="22" ht="36" customHeight="1">
      <c r="A22" s="33">
        <f>'23_ITEM_WEIGHT_MODEL'!A22</f>
        <v/>
      </c>
      <c r="B22" s="33">
        <f>'23_ITEM_WEIGHT_MODEL'!F22</f>
        <v/>
      </c>
      <c r="C22" s="33">
        <f>'23_ITEM_WEIGHT_MODEL'!B22</f>
        <v/>
      </c>
      <c r="D22" s="33">
        <f>'23_ITEM_WEIGHT_MODEL'!C22</f>
        <v/>
      </c>
      <c r="E22" s="33">
        <f>'23_ITEM_WEIGHT_MODEL'!D22</f>
        <v/>
      </c>
      <c r="F22" s="35">
        <f>'23_ITEM_WEIGHT_MODEL'!H22</f>
        <v/>
      </c>
      <c r="G22" s="35">
        <f>'23_ITEM_WEIGHT_MODEL'!J22</f>
        <v/>
      </c>
      <c r="H22" s="35">
        <f>'23_ITEM_WEIGHT_MODEL'!K22</f>
        <v/>
      </c>
      <c r="I22" s="36">
        <f>'23_ITEM_WEIGHT_MODEL'!M22</f>
        <v/>
      </c>
      <c r="J22" s="35">
        <f>'23_ITEM_WEIGHT_MODEL'!N22</f>
        <v/>
      </c>
      <c r="K22" s="33">
        <f>'23_ITEM_WEIGHT_MODEL'!G22</f>
        <v/>
      </c>
      <c r="L22" s="33" t="inlineStr">
        <is>
          <t>Confusion risk; layer; slot count; wording flag</t>
        </is>
      </c>
      <c r="M22" s="33" t="inlineStr">
        <is>
          <t>x=raw×key; then use this item weight in weighted cosine.</t>
        </is>
      </c>
      <c r="N22" s="41" t="n">
        <v>1.027570271203258</v>
      </c>
      <c r="O22" s="42">
        <f>I22-N22</f>
        <v/>
      </c>
      <c r="P22" s="43">
        <f>IF(ABS(O22)&lt;0.000001,"PASS","CHECK")</f>
        <v/>
      </c>
    </row>
    <row r="23" ht="36" customHeight="1">
      <c r="A23" s="33">
        <f>'23_ITEM_WEIGHT_MODEL'!A23</f>
        <v/>
      </c>
      <c r="B23" s="33">
        <f>'23_ITEM_WEIGHT_MODEL'!F23</f>
        <v/>
      </c>
      <c r="C23" s="33">
        <f>'23_ITEM_WEIGHT_MODEL'!B23</f>
        <v/>
      </c>
      <c r="D23" s="33">
        <f>'23_ITEM_WEIGHT_MODEL'!C23</f>
        <v/>
      </c>
      <c r="E23" s="33">
        <f>'23_ITEM_WEIGHT_MODEL'!D23</f>
        <v/>
      </c>
      <c r="F23" s="35">
        <f>'23_ITEM_WEIGHT_MODEL'!H23</f>
        <v/>
      </c>
      <c r="G23" s="35">
        <f>'23_ITEM_WEIGHT_MODEL'!J23</f>
        <v/>
      </c>
      <c r="H23" s="35">
        <f>'23_ITEM_WEIGHT_MODEL'!K23</f>
        <v/>
      </c>
      <c r="I23" s="36">
        <f>'23_ITEM_WEIGHT_MODEL'!M23</f>
        <v/>
      </c>
      <c r="J23" s="35">
        <f>'23_ITEM_WEIGHT_MODEL'!N23</f>
        <v/>
      </c>
      <c r="K23" s="33">
        <f>'23_ITEM_WEIGHT_MODEL'!G23</f>
        <v/>
      </c>
      <c r="L23" s="33" t="inlineStr">
        <is>
          <t>Confusion risk; layer; slot count; wording flag</t>
        </is>
      </c>
      <c r="M23" s="33" t="inlineStr">
        <is>
          <t>x=raw×key; then use this item weight in weighted cosine.</t>
        </is>
      </c>
      <c r="N23" s="41" t="n">
        <v>1.035672924041548</v>
      </c>
      <c r="O23" s="42">
        <f>I23-N23</f>
        <v/>
      </c>
      <c r="P23" s="43">
        <f>IF(ABS(O23)&lt;0.000001,"PASS","CHECK")</f>
        <v/>
      </c>
    </row>
    <row r="24" ht="36" customHeight="1">
      <c r="A24" s="33">
        <f>'23_ITEM_WEIGHT_MODEL'!A24</f>
        <v/>
      </c>
      <c r="B24" s="33">
        <f>'23_ITEM_WEIGHT_MODEL'!F24</f>
        <v/>
      </c>
      <c r="C24" s="33">
        <f>'23_ITEM_WEIGHT_MODEL'!B24</f>
        <v/>
      </c>
      <c r="D24" s="33">
        <f>'23_ITEM_WEIGHT_MODEL'!C24</f>
        <v/>
      </c>
      <c r="E24" s="33">
        <f>'23_ITEM_WEIGHT_MODEL'!D24</f>
        <v/>
      </c>
      <c r="F24" s="35">
        <f>'23_ITEM_WEIGHT_MODEL'!H24</f>
        <v/>
      </c>
      <c r="G24" s="35">
        <f>'23_ITEM_WEIGHT_MODEL'!J24</f>
        <v/>
      </c>
      <c r="H24" s="35">
        <f>'23_ITEM_WEIGHT_MODEL'!K24</f>
        <v/>
      </c>
      <c r="I24" s="37">
        <f>'23_ITEM_WEIGHT_MODEL'!M24</f>
        <v/>
      </c>
      <c r="J24" s="35">
        <f>'23_ITEM_WEIGHT_MODEL'!N24</f>
        <v/>
      </c>
      <c r="K24" s="33">
        <f>'23_ITEM_WEIGHT_MODEL'!G24</f>
        <v/>
      </c>
      <c r="L24" s="33" t="inlineStr">
        <is>
          <t>Confusion risk; layer; slot count; wording flag</t>
        </is>
      </c>
      <c r="M24" s="33" t="inlineStr">
        <is>
          <t>x=raw×key; then use this item weight in weighted cosine.</t>
        </is>
      </c>
      <c r="N24" s="41" t="n">
        <v>1.1</v>
      </c>
      <c r="O24" s="42">
        <f>I24-N24</f>
        <v/>
      </c>
      <c r="P24" s="43">
        <f>IF(ABS(O24)&lt;0.000001,"PASS","CHECK")</f>
        <v/>
      </c>
    </row>
    <row r="25" ht="36" customHeight="1">
      <c r="A25" s="33">
        <f>'23_ITEM_WEIGHT_MODEL'!A25</f>
        <v/>
      </c>
      <c r="B25" s="33">
        <f>'23_ITEM_WEIGHT_MODEL'!F25</f>
        <v/>
      </c>
      <c r="C25" s="33">
        <f>'23_ITEM_WEIGHT_MODEL'!B25</f>
        <v/>
      </c>
      <c r="D25" s="33">
        <f>'23_ITEM_WEIGHT_MODEL'!C25</f>
        <v/>
      </c>
      <c r="E25" s="33">
        <f>'23_ITEM_WEIGHT_MODEL'!D25</f>
        <v/>
      </c>
      <c r="F25" s="35">
        <f>'23_ITEM_WEIGHT_MODEL'!H25</f>
        <v/>
      </c>
      <c r="G25" s="35">
        <f>'23_ITEM_WEIGHT_MODEL'!J25</f>
        <v/>
      </c>
      <c r="H25" s="35">
        <f>'23_ITEM_WEIGHT_MODEL'!K25</f>
        <v/>
      </c>
      <c r="I25" s="36">
        <f>'23_ITEM_WEIGHT_MODEL'!M25</f>
        <v/>
      </c>
      <c r="J25" s="35">
        <f>'23_ITEM_WEIGHT_MODEL'!N25</f>
        <v/>
      </c>
      <c r="K25" s="33">
        <f>'23_ITEM_WEIGHT_MODEL'!G25</f>
        <v/>
      </c>
      <c r="L25" s="33" t="inlineStr">
        <is>
          <t>Confusion risk; layer; slot count; wording flag</t>
        </is>
      </c>
      <c r="M25" s="33" t="inlineStr">
        <is>
          <t>x=raw×key; then use this item weight in weighted cosine.</t>
        </is>
      </c>
      <c r="N25" s="41" t="n">
        <v>1.010772405991304</v>
      </c>
      <c r="O25" s="42">
        <f>I25-N25</f>
        <v/>
      </c>
      <c r="P25" s="43">
        <f>IF(ABS(O25)&lt;0.000001,"PASS","CHECK")</f>
        <v/>
      </c>
    </row>
    <row r="26" ht="36" customHeight="1">
      <c r="A26" s="33">
        <f>'23_ITEM_WEIGHT_MODEL'!A26</f>
        <v/>
      </c>
      <c r="B26" s="33">
        <f>'23_ITEM_WEIGHT_MODEL'!F26</f>
        <v/>
      </c>
      <c r="C26" s="33">
        <f>'23_ITEM_WEIGHT_MODEL'!B26</f>
        <v/>
      </c>
      <c r="D26" s="33">
        <f>'23_ITEM_WEIGHT_MODEL'!C26</f>
        <v/>
      </c>
      <c r="E26" s="33">
        <f>'23_ITEM_WEIGHT_MODEL'!D26</f>
        <v/>
      </c>
      <c r="F26" s="35">
        <f>'23_ITEM_WEIGHT_MODEL'!H26</f>
        <v/>
      </c>
      <c r="G26" s="35">
        <f>'23_ITEM_WEIGHT_MODEL'!J26</f>
        <v/>
      </c>
      <c r="H26" s="35">
        <f>'23_ITEM_WEIGHT_MODEL'!K26</f>
        <v/>
      </c>
      <c r="I26" s="36">
        <f>'23_ITEM_WEIGHT_MODEL'!M26</f>
        <v/>
      </c>
      <c r="J26" s="35">
        <f>'23_ITEM_WEIGHT_MODEL'!N26</f>
        <v/>
      </c>
      <c r="K26" s="33">
        <f>'23_ITEM_WEIGHT_MODEL'!G26</f>
        <v/>
      </c>
      <c r="L26" s="33" t="inlineStr">
        <is>
          <t>Confusion risk; layer; slot count; wording flag</t>
        </is>
      </c>
      <c r="M26" s="33" t="inlineStr">
        <is>
          <t>x=raw×key; then use this item weight in weighted cosine.</t>
        </is>
      </c>
      <c r="N26" s="41" t="n">
        <v>1.026033856026495</v>
      </c>
      <c r="O26" s="42">
        <f>I26-N26</f>
        <v/>
      </c>
      <c r="P26" s="43">
        <f>IF(ABS(O26)&lt;0.000001,"PASS","CHECK")</f>
        <v/>
      </c>
    </row>
    <row r="27" ht="36" customHeight="1">
      <c r="A27" s="33">
        <f>'23_ITEM_WEIGHT_MODEL'!A27</f>
        <v/>
      </c>
      <c r="B27" s="33">
        <f>'23_ITEM_WEIGHT_MODEL'!F27</f>
        <v/>
      </c>
      <c r="C27" s="33">
        <f>'23_ITEM_WEIGHT_MODEL'!B27</f>
        <v/>
      </c>
      <c r="D27" s="33">
        <f>'23_ITEM_WEIGHT_MODEL'!C27</f>
        <v/>
      </c>
      <c r="E27" s="33">
        <f>'23_ITEM_WEIGHT_MODEL'!D27</f>
        <v/>
      </c>
      <c r="F27" s="35">
        <f>'23_ITEM_WEIGHT_MODEL'!H27</f>
        <v/>
      </c>
      <c r="G27" s="35">
        <f>'23_ITEM_WEIGHT_MODEL'!J27</f>
        <v/>
      </c>
      <c r="H27" s="35">
        <f>'23_ITEM_WEIGHT_MODEL'!K27</f>
        <v/>
      </c>
      <c r="I27" s="36">
        <f>'23_ITEM_WEIGHT_MODEL'!M27</f>
        <v/>
      </c>
      <c r="J27" s="35">
        <f>'23_ITEM_WEIGHT_MODEL'!N27</f>
        <v/>
      </c>
      <c r="K27" s="33">
        <f>'23_ITEM_WEIGHT_MODEL'!G27</f>
        <v/>
      </c>
      <c r="L27" s="33" t="inlineStr">
        <is>
          <t>Confusion risk; layer; slot count; wording flag</t>
        </is>
      </c>
      <c r="M27" s="33" t="inlineStr">
        <is>
          <t>x=raw×key; then use this item weight in weighted cosine.</t>
        </is>
      </c>
      <c r="N27" s="41" t="n">
        <v>1.006728465327167</v>
      </c>
      <c r="O27" s="42">
        <f>I27-N27</f>
        <v/>
      </c>
      <c r="P27" s="43">
        <f>IF(ABS(O27)&lt;0.000001,"PASS","CHECK")</f>
        <v/>
      </c>
    </row>
    <row r="28" ht="36" customHeight="1">
      <c r="A28" s="33">
        <f>'23_ITEM_WEIGHT_MODEL'!A28</f>
        <v/>
      </c>
      <c r="B28" s="33">
        <f>'23_ITEM_WEIGHT_MODEL'!F28</f>
        <v/>
      </c>
      <c r="C28" s="33">
        <f>'23_ITEM_WEIGHT_MODEL'!B28</f>
        <v/>
      </c>
      <c r="D28" s="33">
        <f>'23_ITEM_WEIGHT_MODEL'!C28</f>
        <v/>
      </c>
      <c r="E28" s="33">
        <f>'23_ITEM_WEIGHT_MODEL'!D28</f>
        <v/>
      </c>
      <c r="F28" s="35">
        <f>'23_ITEM_WEIGHT_MODEL'!H28</f>
        <v/>
      </c>
      <c r="G28" s="35">
        <f>'23_ITEM_WEIGHT_MODEL'!J28</f>
        <v/>
      </c>
      <c r="H28" s="35">
        <f>'23_ITEM_WEIGHT_MODEL'!K28</f>
        <v/>
      </c>
      <c r="I28" s="36">
        <f>'23_ITEM_WEIGHT_MODEL'!M28</f>
        <v/>
      </c>
      <c r="J28" s="35">
        <f>'23_ITEM_WEIGHT_MODEL'!N28</f>
        <v/>
      </c>
      <c r="K28" s="33">
        <f>'23_ITEM_WEIGHT_MODEL'!G28</f>
        <v/>
      </c>
      <c r="L28" s="33" t="inlineStr">
        <is>
          <t>Confusion risk; layer; slot count; wording flag</t>
        </is>
      </c>
      <c r="M28" s="33" t="inlineStr">
        <is>
          <t>x=raw×key; then use this item weight in weighted cosine.</t>
        </is>
      </c>
      <c r="N28" s="41" t="n">
        <v>1.016496156775729</v>
      </c>
      <c r="O28" s="42">
        <f>I28-N28</f>
        <v/>
      </c>
      <c r="P28" s="43">
        <f>IF(ABS(O28)&lt;0.000001,"PASS","CHECK")</f>
        <v/>
      </c>
    </row>
    <row r="29" ht="36" customHeight="1">
      <c r="A29" s="33">
        <f>'23_ITEM_WEIGHT_MODEL'!A29</f>
        <v/>
      </c>
      <c r="B29" s="33">
        <f>'23_ITEM_WEIGHT_MODEL'!F29</f>
        <v/>
      </c>
      <c r="C29" s="33">
        <f>'23_ITEM_WEIGHT_MODEL'!B29</f>
        <v/>
      </c>
      <c r="D29" s="33">
        <f>'23_ITEM_WEIGHT_MODEL'!C29</f>
        <v/>
      </c>
      <c r="E29" s="33">
        <f>'23_ITEM_WEIGHT_MODEL'!D29</f>
        <v/>
      </c>
      <c r="F29" s="35">
        <f>'23_ITEM_WEIGHT_MODEL'!H29</f>
        <v/>
      </c>
      <c r="G29" s="35">
        <f>'23_ITEM_WEIGHT_MODEL'!J29</f>
        <v/>
      </c>
      <c r="H29" s="35">
        <f>'23_ITEM_WEIGHT_MODEL'!K29</f>
        <v/>
      </c>
      <c r="I29" s="36">
        <f>'23_ITEM_WEIGHT_MODEL'!M29</f>
        <v/>
      </c>
      <c r="J29" s="35">
        <f>'23_ITEM_WEIGHT_MODEL'!N29</f>
        <v/>
      </c>
      <c r="K29" s="33">
        <f>'23_ITEM_WEIGHT_MODEL'!G29</f>
        <v/>
      </c>
      <c r="L29" s="33" t="inlineStr">
        <is>
          <t>Confusion risk; layer; slot count; wording flag</t>
        </is>
      </c>
      <c r="M29" s="33" t="inlineStr">
        <is>
          <t>x=raw×key; then use this item weight in weighted cosine.</t>
        </is>
      </c>
      <c r="N29" s="41" t="n">
        <v>1.020462680994232</v>
      </c>
      <c r="O29" s="42">
        <f>I29-N29</f>
        <v/>
      </c>
      <c r="P29" s="43">
        <f>IF(ABS(O29)&lt;0.000001,"PASS","CHECK")</f>
        <v/>
      </c>
    </row>
    <row r="30" ht="36" customHeight="1">
      <c r="A30" s="33">
        <f>'23_ITEM_WEIGHT_MODEL'!A30</f>
        <v/>
      </c>
      <c r="B30" s="33">
        <f>'23_ITEM_WEIGHT_MODEL'!F30</f>
        <v/>
      </c>
      <c r="C30" s="33">
        <f>'23_ITEM_WEIGHT_MODEL'!B30</f>
        <v/>
      </c>
      <c r="D30" s="33">
        <f>'23_ITEM_WEIGHT_MODEL'!C30</f>
        <v/>
      </c>
      <c r="E30" s="33">
        <f>'23_ITEM_WEIGHT_MODEL'!D30</f>
        <v/>
      </c>
      <c r="F30" s="35">
        <f>'23_ITEM_WEIGHT_MODEL'!H30</f>
        <v/>
      </c>
      <c r="G30" s="35">
        <f>'23_ITEM_WEIGHT_MODEL'!J30</f>
        <v/>
      </c>
      <c r="H30" s="35">
        <f>'23_ITEM_WEIGHT_MODEL'!K30</f>
        <v/>
      </c>
      <c r="I30" s="36">
        <f>'23_ITEM_WEIGHT_MODEL'!M30</f>
        <v/>
      </c>
      <c r="J30" s="35">
        <f>'23_ITEM_WEIGHT_MODEL'!N30</f>
        <v/>
      </c>
      <c r="K30" s="33">
        <f>'23_ITEM_WEIGHT_MODEL'!G30</f>
        <v/>
      </c>
      <c r="L30" s="33" t="inlineStr">
        <is>
          <t>Confusion risk; layer; slot count; wording flag</t>
        </is>
      </c>
      <c r="M30" s="33" t="inlineStr">
        <is>
          <t>x=raw×key; then use this item weight in weighted cosine.</t>
        </is>
      </c>
      <c r="N30" s="41" t="n">
        <v>0.9850939582874121</v>
      </c>
      <c r="O30" s="42">
        <f>I30-N30</f>
        <v/>
      </c>
      <c r="P30" s="43">
        <f>IF(ABS(O30)&lt;0.000001,"PASS","CHECK")</f>
        <v/>
      </c>
    </row>
    <row r="31" ht="36" customHeight="1">
      <c r="A31" s="33">
        <f>'23_ITEM_WEIGHT_MODEL'!A31</f>
        <v/>
      </c>
      <c r="B31" s="33">
        <f>'23_ITEM_WEIGHT_MODEL'!F31</f>
        <v/>
      </c>
      <c r="C31" s="33">
        <f>'23_ITEM_WEIGHT_MODEL'!B31</f>
        <v/>
      </c>
      <c r="D31" s="33">
        <f>'23_ITEM_WEIGHT_MODEL'!C31</f>
        <v/>
      </c>
      <c r="E31" s="33">
        <f>'23_ITEM_WEIGHT_MODEL'!D31</f>
        <v/>
      </c>
      <c r="F31" s="35">
        <f>'23_ITEM_WEIGHT_MODEL'!H31</f>
        <v/>
      </c>
      <c r="G31" s="35">
        <f>'23_ITEM_WEIGHT_MODEL'!J31</f>
        <v/>
      </c>
      <c r="H31" s="35">
        <f>'23_ITEM_WEIGHT_MODEL'!K31</f>
        <v/>
      </c>
      <c r="I31" s="36">
        <f>'23_ITEM_WEIGHT_MODEL'!M31</f>
        <v/>
      </c>
      <c r="J31" s="35">
        <f>'23_ITEM_WEIGHT_MODEL'!N31</f>
        <v/>
      </c>
      <c r="K31" s="33">
        <f>'23_ITEM_WEIGHT_MODEL'!G31</f>
        <v/>
      </c>
      <c r="L31" s="33" t="inlineStr">
        <is>
          <t>Confusion risk; layer; slot count; wording flag</t>
        </is>
      </c>
      <c r="M31" s="33" t="inlineStr">
        <is>
          <t>x=raw×key; then use this item weight in weighted cosine.</t>
        </is>
      </c>
      <c r="N31" s="41" t="n">
        <v>1.009733604345369</v>
      </c>
      <c r="O31" s="42">
        <f>I31-N31</f>
        <v/>
      </c>
      <c r="P31" s="43">
        <f>IF(ABS(O31)&lt;0.000001,"PASS","CHECK")</f>
        <v/>
      </c>
    </row>
    <row r="32" ht="36" customHeight="1">
      <c r="A32" s="33">
        <f>'23_ITEM_WEIGHT_MODEL'!A32</f>
        <v/>
      </c>
      <c r="B32" s="33">
        <f>'23_ITEM_WEIGHT_MODEL'!F32</f>
        <v/>
      </c>
      <c r="C32" s="33">
        <f>'23_ITEM_WEIGHT_MODEL'!B32</f>
        <v/>
      </c>
      <c r="D32" s="33">
        <f>'23_ITEM_WEIGHT_MODEL'!C32</f>
        <v/>
      </c>
      <c r="E32" s="33">
        <f>'23_ITEM_WEIGHT_MODEL'!D32</f>
        <v/>
      </c>
      <c r="F32" s="35">
        <f>'23_ITEM_WEIGHT_MODEL'!H32</f>
        <v/>
      </c>
      <c r="G32" s="35">
        <f>'23_ITEM_WEIGHT_MODEL'!J32</f>
        <v/>
      </c>
      <c r="H32" s="35">
        <f>'23_ITEM_WEIGHT_MODEL'!K32</f>
        <v/>
      </c>
      <c r="I32" s="36">
        <f>'23_ITEM_WEIGHT_MODEL'!M32</f>
        <v/>
      </c>
      <c r="J32" s="35">
        <f>'23_ITEM_WEIGHT_MODEL'!N32</f>
        <v/>
      </c>
      <c r="K32" s="33">
        <f>'23_ITEM_WEIGHT_MODEL'!G32</f>
        <v/>
      </c>
      <c r="L32" s="33" t="inlineStr">
        <is>
          <t>Confusion risk; layer; slot count; wording flag</t>
        </is>
      </c>
      <c r="M32" s="33" t="inlineStr">
        <is>
          <t>x=raw×key; then use this item weight in weighted cosine.</t>
        </is>
      </c>
      <c r="N32" s="41" t="n">
        <v>1.007996193405385</v>
      </c>
      <c r="O32" s="42">
        <f>I32-N32</f>
        <v/>
      </c>
      <c r="P32" s="43">
        <f>IF(ABS(O32)&lt;0.000001,"PASS","CHECK")</f>
        <v/>
      </c>
    </row>
    <row r="33" ht="36" customHeight="1">
      <c r="A33" s="33">
        <f>'23_ITEM_WEIGHT_MODEL'!A33</f>
        <v/>
      </c>
      <c r="B33" s="33">
        <f>'23_ITEM_WEIGHT_MODEL'!F33</f>
        <v/>
      </c>
      <c r="C33" s="33">
        <f>'23_ITEM_WEIGHT_MODEL'!B33</f>
        <v/>
      </c>
      <c r="D33" s="33">
        <f>'23_ITEM_WEIGHT_MODEL'!C33</f>
        <v/>
      </c>
      <c r="E33" s="33">
        <f>'23_ITEM_WEIGHT_MODEL'!D33</f>
        <v/>
      </c>
      <c r="F33" s="35">
        <f>'23_ITEM_WEIGHT_MODEL'!H33</f>
        <v/>
      </c>
      <c r="G33" s="35">
        <f>'23_ITEM_WEIGHT_MODEL'!J33</f>
        <v/>
      </c>
      <c r="H33" s="35">
        <f>'23_ITEM_WEIGHT_MODEL'!K33</f>
        <v/>
      </c>
      <c r="I33" s="36">
        <f>'23_ITEM_WEIGHT_MODEL'!M33</f>
        <v/>
      </c>
      <c r="J33" s="35">
        <f>'23_ITEM_WEIGHT_MODEL'!N33</f>
        <v/>
      </c>
      <c r="K33" s="33">
        <f>'23_ITEM_WEIGHT_MODEL'!G33</f>
        <v/>
      </c>
      <c r="L33" s="33" t="inlineStr">
        <is>
          <t>Confusion risk; layer; slot count; wording flag</t>
        </is>
      </c>
      <c r="M33" s="33" t="inlineStr">
        <is>
          <t>x=raw×key; then use this item weight in weighted cosine.</t>
        </is>
      </c>
      <c r="N33" s="41" t="n">
        <v>1.008354478285301</v>
      </c>
      <c r="O33" s="42">
        <f>I33-N33</f>
        <v/>
      </c>
      <c r="P33" s="43">
        <f>IF(ABS(O33)&lt;0.000001,"PASS","CHECK")</f>
        <v/>
      </c>
    </row>
    <row r="34" ht="36" customHeight="1">
      <c r="A34" s="33">
        <f>'23_ITEM_WEIGHT_MODEL'!A34</f>
        <v/>
      </c>
      <c r="B34" s="33">
        <f>'23_ITEM_WEIGHT_MODEL'!F34</f>
        <v/>
      </c>
      <c r="C34" s="33">
        <f>'23_ITEM_WEIGHT_MODEL'!B34</f>
        <v/>
      </c>
      <c r="D34" s="33">
        <f>'23_ITEM_WEIGHT_MODEL'!C34</f>
        <v/>
      </c>
      <c r="E34" s="33">
        <f>'23_ITEM_WEIGHT_MODEL'!D34</f>
        <v/>
      </c>
      <c r="F34" s="35">
        <f>'23_ITEM_WEIGHT_MODEL'!H34</f>
        <v/>
      </c>
      <c r="G34" s="35">
        <f>'23_ITEM_WEIGHT_MODEL'!J34</f>
        <v/>
      </c>
      <c r="H34" s="35">
        <f>'23_ITEM_WEIGHT_MODEL'!K34</f>
        <v/>
      </c>
      <c r="I34" s="38">
        <f>'23_ITEM_WEIGHT_MODEL'!M34</f>
        <v/>
      </c>
      <c r="J34" s="35">
        <f>'23_ITEM_WEIGHT_MODEL'!N34</f>
        <v/>
      </c>
      <c r="K34" s="33">
        <f>'23_ITEM_WEIGHT_MODEL'!G34</f>
        <v/>
      </c>
      <c r="L34" s="33" t="inlineStr">
        <is>
          <t>Confusion risk; layer; slot count; wording flag</t>
        </is>
      </c>
      <c r="M34" s="33" t="inlineStr">
        <is>
          <t>x=raw×key; then use this item weight in weighted cosine.</t>
        </is>
      </c>
      <c r="N34" s="41" t="n">
        <v>0.95600432243958</v>
      </c>
      <c r="O34" s="42">
        <f>I34-N34</f>
        <v/>
      </c>
      <c r="P34" s="43">
        <f>IF(ABS(O34)&lt;0.000001,"PASS","CHECK")</f>
        <v/>
      </c>
    </row>
    <row r="35" ht="36" customHeight="1">
      <c r="A35" s="33">
        <f>'23_ITEM_WEIGHT_MODEL'!A35</f>
        <v/>
      </c>
      <c r="B35" s="33">
        <f>'23_ITEM_WEIGHT_MODEL'!F35</f>
        <v/>
      </c>
      <c r="C35" s="33">
        <f>'23_ITEM_WEIGHT_MODEL'!B35</f>
        <v/>
      </c>
      <c r="D35" s="33">
        <f>'23_ITEM_WEIGHT_MODEL'!C35</f>
        <v/>
      </c>
      <c r="E35" s="33">
        <f>'23_ITEM_WEIGHT_MODEL'!D35</f>
        <v/>
      </c>
      <c r="F35" s="35">
        <f>'23_ITEM_WEIGHT_MODEL'!H35</f>
        <v/>
      </c>
      <c r="G35" s="35">
        <f>'23_ITEM_WEIGHT_MODEL'!J35</f>
        <v/>
      </c>
      <c r="H35" s="35">
        <f>'23_ITEM_WEIGHT_MODEL'!K35</f>
        <v/>
      </c>
      <c r="I35" s="37">
        <f>'23_ITEM_WEIGHT_MODEL'!M35</f>
        <v/>
      </c>
      <c r="J35" s="35">
        <f>'23_ITEM_WEIGHT_MODEL'!N35</f>
        <v/>
      </c>
      <c r="K35" s="33">
        <f>'23_ITEM_WEIGHT_MODEL'!G35</f>
        <v/>
      </c>
      <c r="L35" s="33" t="inlineStr">
        <is>
          <t>Confusion risk; layer; slot count; wording flag</t>
        </is>
      </c>
      <c r="M35" s="33" t="inlineStr">
        <is>
          <t>x=raw×key; then use this item weight in weighted cosine.</t>
        </is>
      </c>
      <c r="N35" s="41" t="n">
        <v>1.068575559351634</v>
      </c>
      <c r="O35" s="42">
        <f>I35-N35</f>
        <v/>
      </c>
      <c r="P35" s="43">
        <f>IF(ABS(O35)&lt;0.000001,"PASS","CHECK")</f>
        <v/>
      </c>
    </row>
    <row r="36" ht="36" customHeight="1">
      <c r="A36" s="33">
        <f>'23_ITEM_WEIGHT_MODEL'!A36</f>
        <v/>
      </c>
      <c r="B36" s="33">
        <f>'23_ITEM_WEIGHT_MODEL'!F36</f>
        <v/>
      </c>
      <c r="C36" s="33">
        <f>'23_ITEM_WEIGHT_MODEL'!B36</f>
        <v/>
      </c>
      <c r="D36" s="33">
        <f>'23_ITEM_WEIGHT_MODEL'!C36</f>
        <v/>
      </c>
      <c r="E36" s="33">
        <f>'23_ITEM_WEIGHT_MODEL'!D36</f>
        <v/>
      </c>
      <c r="F36" s="35">
        <f>'23_ITEM_WEIGHT_MODEL'!H36</f>
        <v/>
      </c>
      <c r="G36" s="35">
        <f>'23_ITEM_WEIGHT_MODEL'!J36</f>
        <v/>
      </c>
      <c r="H36" s="35">
        <f>'23_ITEM_WEIGHT_MODEL'!K36</f>
        <v/>
      </c>
      <c r="I36" s="37">
        <f>'23_ITEM_WEIGHT_MODEL'!M36</f>
        <v/>
      </c>
      <c r="J36" s="35">
        <f>'23_ITEM_WEIGHT_MODEL'!N36</f>
        <v/>
      </c>
      <c r="K36" s="33">
        <f>'23_ITEM_WEIGHT_MODEL'!G36</f>
        <v/>
      </c>
      <c r="L36" s="33" t="inlineStr">
        <is>
          <t>Confusion risk; layer; slot count; wording flag</t>
        </is>
      </c>
      <c r="M36" s="33" t="inlineStr">
        <is>
          <t>x=raw×key; then use this item weight in weighted cosine.</t>
        </is>
      </c>
      <c r="N36" s="41" t="n">
        <v>1.087459524872663</v>
      </c>
      <c r="O36" s="42">
        <f>I36-N36</f>
        <v/>
      </c>
      <c r="P36" s="43">
        <f>IF(ABS(O36)&lt;0.000001,"PASS","CHECK")</f>
        <v/>
      </c>
    </row>
    <row r="37" ht="36" customHeight="1">
      <c r="A37" s="33">
        <f>'23_ITEM_WEIGHT_MODEL'!A37</f>
        <v/>
      </c>
      <c r="B37" s="33">
        <f>'23_ITEM_WEIGHT_MODEL'!F37</f>
        <v/>
      </c>
      <c r="C37" s="33">
        <f>'23_ITEM_WEIGHT_MODEL'!B37</f>
        <v/>
      </c>
      <c r="D37" s="33">
        <f>'23_ITEM_WEIGHT_MODEL'!C37</f>
        <v/>
      </c>
      <c r="E37" s="33">
        <f>'23_ITEM_WEIGHT_MODEL'!D37</f>
        <v/>
      </c>
      <c r="F37" s="35">
        <f>'23_ITEM_WEIGHT_MODEL'!H37</f>
        <v/>
      </c>
      <c r="G37" s="35">
        <f>'23_ITEM_WEIGHT_MODEL'!J37</f>
        <v/>
      </c>
      <c r="H37" s="35">
        <f>'23_ITEM_WEIGHT_MODEL'!K37</f>
        <v/>
      </c>
      <c r="I37" s="37">
        <f>'23_ITEM_WEIGHT_MODEL'!M37</f>
        <v/>
      </c>
      <c r="J37" s="35">
        <f>'23_ITEM_WEIGHT_MODEL'!N37</f>
        <v/>
      </c>
      <c r="K37" s="33">
        <f>'23_ITEM_WEIGHT_MODEL'!G37</f>
        <v/>
      </c>
      <c r="L37" s="33" t="inlineStr">
        <is>
          <t>Confusion risk; layer; slot count; wording flag</t>
        </is>
      </c>
      <c r="M37" s="33" t="inlineStr">
        <is>
          <t>x=raw×key; then use this item weight in weighted cosine.</t>
        </is>
      </c>
      <c r="N37" s="41" t="n">
        <v>1.045744300742119</v>
      </c>
      <c r="O37" s="42">
        <f>I37-N37</f>
        <v/>
      </c>
      <c r="P37" s="43">
        <f>IF(ABS(O37)&lt;0.000001,"PASS","CHECK")</f>
        <v/>
      </c>
    </row>
    <row r="38" ht="36" customHeight="1">
      <c r="A38" s="33">
        <f>'23_ITEM_WEIGHT_MODEL'!A38</f>
        <v/>
      </c>
      <c r="B38" s="33">
        <f>'23_ITEM_WEIGHT_MODEL'!F38</f>
        <v/>
      </c>
      <c r="C38" s="33">
        <f>'23_ITEM_WEIGHT_MODEL'!B38</f>
        <v/>
      </c>
      <c r="D38" s="33">
        <f>'23_ITEM_WEIGHT_MODEL'!C38</f>
        <v/>
      </c>
      <c r="E38" s="33">
        <f>'23_ITEM_WEIGHT_MODEL'!D38</f>
        <v/>
      </c>
      <c r="F38" s="35">
        <f>'23_ITEM_WEIGHT_MODEL'!H38</f>
        <v/>
      </c>
      <c r="G38" s="35">
        <f>'23_ITEM_WEIGHT_MODEL'!J38</f>
        <v/>
      </c>
      <c r="H38" s="35">
        <f>'23_ITEM_WEIGHT_MODEL'!K38</f>
        <v/>
      </c>
      <c r="I38" s="37">
        <f>'23_ITEM_WEIGHT_MODEL'!M38</f>
        <v/>
      </c>
      <c r="J38" s="35">
        <f>'23_ITEM_WEIGHT_MODEL'!N38</f>
        <v/>
      </c>
      <c r="K38" s="33">
        <f>'23_ITEM_WEIGHT_MODEL'!G38</f>
        <v/>
      </c>
      <c r="L38" s="33" t="inlineStr">
        <is>
          <t>Confusion risk; layer; slot count; wording flag</t>
        </is>
      </c>
      <c r="M38" s="33" t="inlineStr">
        <is>
          <t>x=raw×key; then use this item weight in weighted cosine.</t>
        </is>
      </c>
      <c r="N38" s="41" t="n">
        <v>1.055961831394273</v>
      </c>
      <c r="O38" s="42">
        <f>I38-N38</f>
        <v/>
      </c>
      <c r="P38" s="43">
        <f>IF(ABS(O38)&lt;0.000001,"PASS","CHECK")</f>
        <v/>
      </c>
    </row>
    <row r="39" ht="36" customHeight="1">
      <c r="A39" s="33">
        <f>'23_ITEM_WEIGHT_MODEL'!A39</f>
        <v/>
      </c>
      <c r="B39" s="33">
        <f>'23_ITEM_WEIGHT_MODEL'!F39</f>
        <v/>
      </c>
      <c r="C39" s="33">
        <f>'23_ITEM_WEIGHT_MODEL'!B39</f>
        <v/>
      </c>
      <c r="D39" s="33">
        <f>'23_ITEM_WEIGHT_MODEL'!C39</f>
        <v/>
      </c>
      <c r="E39" s="33">
        <f>'23_ITEM_WEIGHT_MODEL'!D39</f>
        <v/>
      </c>
      <c r="F39" s="35">
        <f>'23_ITEM_WEIGHT_MODEL'!H39</f>
        <v/>
      </c>
      <c r="G39" s="35">
        <f>'23_ITEM_WEIGHT_MODEL'!J39</f>
        <v/>
      </c>
      <c r="H39" s="35">
        <f>'23_ITEM_WEIGHT_MODEL'!K39</f>
        <v/>
      </c>
      <c r="I39" s="36">
        <f>'23_ITEM_WEIGHT_MODEL'!M39</f>
        <v/>
      </c>
      <c r="J39" s="35">
        <f>'23_ITEM_WEIGHT_MODEL'!N39</f>
        <v/>
      </c>
      <c r="K39" s="33">
        <f>'23_ITEM_WEIGHT_MODEL'!G39</f>
        <v/>
      </c>
      <c r="L39" s="33" t="inlineStr">
        <is>
          <t>Confusion risk; layer; slot count; wording flag</t>
        </is>
      </c>
      <c r="M39" s="33" t="inlineStr">
        <is>
          <t>x=raw×key; then use this item weight in weighted cosine.</t>
        </is>
      </c>
      <c r="N39" s="41" t="n">
        <v>1.037335148770545</v>
      </c>
      <c r="O39" s="42">
        <f>I39-N39</f>
        <v/>
      </c>
      <c r="P39" s="43">
        <f>IF(ABS(O39)&lt;0.000001,"PASS","CHECK")</f>
        <v/>
      </c>
    </row>
    <row r="40" ht="36" customHeight="1">
      <c r="A40" s="33">
        <f>'23_ITEM_WEIGHT_MODEL'!A40</f>
        <v/>
      </c>
      <c r="B40" s="33">
        <f>'23_ITEM_WEIGHT_MODEL'!F40</f>
        <v/>
      </c>
      <c r="C40" s="33">
        <f>'23_ITEM_WEIGHT_MODEL'!B40</f>
        <v/>
      </c>
      <c r="D40" s="33">
        <f>'23_ITEM_WEIGHT_MODEL'!C40</f>
        <v/>
      </c>
      <c r="E40" s="33">
        <f>'23_ITEM_WEIGHT_MODEL'!D40</f>
        <v/>
      </c>
      <c r="F40" s="35">
        <f>'23_ITEM_WEIGHT_MODEL'!H40</f>
        <v/>
      </c>
      <c r="G40" s="35">
        <f>'23_ITEM_WEIGHT_MODEL'!J40</f>
        <v/>
      </c>
      <c r="H40" s="35">
        <f>'23_ITEM_WEIGHT_MODEL'!K40</f>
        <v/>
      </c>
      <c r="I40" s="36">
        <f>'23_ITEM_WEIGHT_MODEL'!M40</f>
        <v/>
      </c>
      <c r="J40" s="35">
        <f>'23_ITEM_WEIGHT_MODEL'!N40</f>
        <v/>
      </c>
      <c r="K40" s="33">
        <f>'23_ITEM_WEIGHT_MODEL'!G40</f>
        <v/>
      </c>
      <c r="L40" s="33" t="inlineStr">
        <is>
          <t>Confusion risk; layer; slot count; wording flag</t>
        </is>
      </c>
      <c r="M40" s="33" t="inlineStr">
        <is>
          <t>x=raw×key; then use this item weight in weighted cosine.</t>
        </is>
      </c>
      <c r="N40" s="41" t="n">
        <v>1.031126254562635</v>
      </c>
      <c r="O40" s="42">
        <f>I40-N40</f>
        <v/>
      </c>
      <c r="P40" s="43">
        <f>IF(ABS(O40)&lt;0.000001,"PASS","CHECK")</f>
        <v/>
      </c>
    </row>
    <row r="41" ht="36" customHeight="1">
      <c r="A41" s="33">
        <f>'23_ITEM_WEIGHT_MODEL'!A41</f>
        <v/>
      </c>
      <c r="B41" s="33">
        <f>'23_ITEM_WEIGHT_MODEL'!F41</f>
        <v/>
      </c>
      <c r="C41" s="33">
        <f>'23_ITEM_WEIGHT_MODEL'!B41</f>
        <v/>
      </c>
      <c r="D41" s="33">
        <f>'23_ITEM_WEIGHT_MODEL'!C41</f>
        <v/>
      </c>
      <c r="E41" s="33">
        <f>'23_ITEM_WEIGHT_MODEL'!D41</f>
        <v/>
      </c>
      <c r="F41" s="35">
        <f>'23_ITEM_WEIGHT_MODEL'!H41</f>
        <v/>
      </c>
      <c r="G41" s="35">
        <f>'23_ITEM_WEIGHT_MODEL'!J41</f>
        <v/>
      </c>
      <c r="H41" s="35">
        <f>'23_ITEM_WEIGHT_MODEL'!K41</f>
        <v/>
      </c>
      <c r="I41" s="37">
        <f>'23_ITEM_WEIGHT_MODEL'!M41</f>
        <v/>
      </c>
      <c r="J41" s="35">
        <f>'23_ITEM_WEIGHT_MODEL'!N41</f>
        <v/>
      </c>
      <c r="K41" s="33">
        <f>'23_ITEM_WEIGHT_MODEL'!G41</f>
        <v/>
      </c>
      <c r="L41" s="33" t="inlineStr">
        <is>
          <t>Confusion risk; layer; slot count; wording flag</t>
        </is>
      </c>
      <c r="M41" s="33" t="inlineStr">
        <is>
          <t>x=raw×key; then use this item weight in weighted cosine.</t>
        </is>
      </c>
      <c r="N41" s="41" t="n">
        <v>1.055961831394273</v>
      </c>
      <c r="O41" s="42">
        <f>I41-N41</f>
        <v/>
      </c>
      <c r="P41" s="43">
        <f>IF(ABS(O41)&lt;0.000001,"PASS","CHECK")</f>
        <v/>
      </c>
    </row>
    <row r="42" ht="36" customHeight="1">
      <c r="A42" s="33">
        <f>'23_ITEM_WEIGHT_MODEL'!A42</f>
        <v/>
      </c>
      <c r="B42" s="33">
        <f>'23_ITEM_WEIGHT_MODEL'!F42</f>
        <v/>
      </c>
      <c r="C42" s="33">
        <f>'23_ITEM_WEIGHT_MODEL'!B42</f>
        <v/>
      </c>
      <c r="D42" s="33">
        <f>'23_ITEM_WEIGHT_MODEL'!C42</f>
        <v/>
      </c>
      <c r="E42" s="33">
        <f>'23_ITEM_WEIGHT_MODEL'!D42</f>
        <v/>
      </c>
      <c r="F42" s="35">
        <f>'23_ITEM_WEIGHT_MODEL'!H42</f>
        <v/>
      </c>
      <c r="G42" s="35">
        <f>'23_ITEM_WEIGHT_MODEL'!J42</f>
        <v/>
      </c>
      <c r="H42" s="35">
        <f>'23_ITEM_WEIGHT_MODEL'!K42</f>
        <v/>
      </c>
      <c r="I42" s="36">
        <f>'23_ITEM_WEIGHT_MODEL'!M42</f>
        <v/>
      </c>
      <c r="J42" s="35">
        <f>'23_ITEM_WEIGHT_MODEL'!N42</f>
        <v/>
      </c>
      <c r="K42" s="33">
        <f>'23_ITEM_WEIGHT_MODEL'!G42</f>
        <v/>
      </c>
      <c r="L42" s="33" t="inlineStr">
        <is>
          <t>Confusion risk; layer; slot count; wording flag</t>
        </is>
      </c>
      <c r="M42" s="33" t="inlineStr">
        <is>
          <t>x=raw×key; then use this item weight in weighted cosine.</t>
        </is>
      </c>
      <c r="N42" s="41" t="n">
        <v>0.9798559630935852</v>
      </c>
      <c r="O42" s="42">
        <f>I42-N42</f>
        <v/>
      </c>
      <c r="P42" s="43">
        <f>IF(ABS(O42)&lt;0.000001,"PASS","CHECK")</f>
        <v/>
      </c>
    </row>
    <row r="43" ht="36" customHeight="1">
      <c r="A43" s="33">
        <f>'23_ITEM_WEIGHT_MODEL'!A43</f>
        <v/>
      </c>
      <c r="B43" s="33">
        <f>'23_ITEM_WEIGHT_MODEL'!F43</f>
        <v/>
      </c>
      <c r="C43" s="33">
        <f>'23_ITEM_WEIGHT_MODEL'!B43</f>
        <v/>
      </c>
      <c r="D43" s="33">
        <f>'23_ITEM_WEIGHT_MODEL'!C43</f>
        <v/>
      </c>
      <c r="E43" s="33">
        <f>'23_ITEM_WEIGHT_MODEL'!D43</f>
        <v/>
      </c>
      <c r="F43" s="35">
        <f>'23_ITEM_WEIGHT_MODEL'!H43</f>
        <v/>
      </c>
      <c r="G43" s="35">
        <f>'23_ITEM_WEIGHT_MODEL'!J43</f>
        <v/>
      </c>
      <c r="H43" s="35">
        <f>'23_ITEM_WEIGHT_MODEL'!K43</f>
        <v/>
      </c>
      <c r="I43" s="36">
        <f>'23_ITEM_WEIGHT_MODEL'!M43</f>
        <v/>
      </c>
      <c r="J43" s="35">
        <f>'23_ITEM_WEIGHT_MODEL'!N43</f>
        <v/>
      </c>
      <c r="K43" s="33">
        <f>'23_ITEM_WEIGHT_MODEL'!G43</f>
        <v/>
      </c>
      <c r="L43" s="33" t="inlineStr">
        <is>
          <t>Confusion risk; layer; slot count; wording flag</t>
        </is>
      </c>
      <c r="M43" s="33" t="inlineStr">
        <is>
          <t>x=raw×key; then use this item weight in weighted cosine.</t>
        </is>
      </c>
      <c r="N43" s="41" t="n">
        <v>1.003022607100562</v>
      </c>
      <c r="O43" s="42">
        <f>I43-N43</f>
        <v/>
      </c>
      <c r="P43" s="43">
        <f>IF(ABS(O43)&lt;0.000001,"PASS","CHECK")</f>
        <v/>
      </c>
    </row>
    <row r="44" ht="36" customHeight="1">
      <c r="A44" s="33">
        <f>'23_ITEM_WEIGHT_MODEL'!A44</f>
        <v/>
      </c>
      <c r="B44" s="33">
        <f>'23_ITEM_WEIGHT_MODEL'!F44</f>
        <v/>
      </c>
      <c r="C44" s="33">
        <f>'23_ITEM_WEIGHT_MODEL'!B44</f>
        <v/>
      </c>
      <c r="D44" s="33">
        <f>'23_ITEM_WEIGHT_MODEL'!C44</f>
        <v/>
      </c>
      <c r="E44" s="33">
        <f>'23_ITEM_WEIGHT_MODEL'!D44</f>
        <v/>
      </c>
      <c r="F44" s="35">
        <f>'23_ITEM_WEIGHT_MODEL'!H44</f>
        <v/>
      </c>
      <c r="G44" s="35">
        <f>'23_ITEM_WEIGHT_MODEL'!J44</f>
        <v/>
      </c>
      <c r="H44" s="35">
        <f>'23_ITEM_WEIGHT_MODEL'!K44</f>
        <v/>
      </c>
      <c r="I44" s="36">
        <f>'23_ITEM_WEIGHT_MODEL'!M44</f>
        <v/>
      </c>
      <c r="J44" s="35">
        <f>'23_ITEM_WEIGHT_MODEL'!N44</f>
        <v/>
      </c>
      <c r="K44" s="33">
        <f>'23_ITEM_WEIGHT_MODEL'!G44</f>
        <v/>
      </c>
      <c r="L44" s="33" t="inlineStr">
        <is>
          <t>Confusion risk; layer; slot count; wording flag</t>
        </is>
      </c>
      <c r="M44" s="33" t="inlineStr">
        <is>
          <t>x=raw×key; then use this item weight in weighted cosine.</t>
        </is>
      </c>
      <c r="N44" s="41" t="n">
        <v>1.001842286017751</v>
      </c>
      <c r="O44" s="42">
        <f>I44-N44</f>
        <v/>
      </c>
      <c r="P44" s="43">
        <f>IF(ABS(O44)&lt;0.000001,"PASS","CHECK")</f>
        <v/>
      </c>
    </row>
    <row r="45" ht="36" customHeight="1">
      <c r="A45" s="33">
        <f>'23_ITEM_WEIGHT_MODEL'!A45</f>
        <v/>
      </c>
      <c r="B45" s="33">
        <f>'23_ITEM_WEIGHT_MODEL'!F45</f>
        <v/>
      </c>
      <c r="C45" s="33">
        <f>'23_ITEM_WEIGHT_MODEL'!B45</f>
        <v/>
      </c>
      <c r="D45" s="33">
        <f>'23_ITEM_WEIGHT_MODEL'!C45</f>
        <v/>
      </c>
      <c r="E45" s="33">
        <f>'23_ITEM_WEIGHT_MODEL'!D45</f>
        <v/>
      </c>
      <c r="F45" s="35">
        <f>'23_ITEM_WEIGHT_MODEL'!H45</f>
        <v/>
      </c>
      <c r="G45" s="35">
        <f>'23_ITEM_WEIGHT_MODEL'!J45</f>
        <v/>
      </c>
      <c r="H45" s="35">
        <f>'23_ITEM_WEIGHT_MODEL'!K45</f>
        <v/>
      </c>
      <c r="I45" s="36">
        <f>'23_ITEM_WEIGHT_MODEL'!M45</f>
        <v/>
      </c>
      <c r="J45" s="35">
        <f>'23_ITEM_WEIGHT_MODEL'!N45</f>
        <v/>
      </c>
      <c r="K45" s="33">
        <f>'23_ITEM_WEIGHT_MODEL'!G45</f>
        <v/>
      </c>
      <c r="L45" s="33" t="inlineStr">
        <is>
          <t>Confusion risk; layer; slot count; wording flag</t>
        </is>
      </c>
      <c r="M45" s="33" t="inlineStr">
        <is>
          <t>x=raw×key; then use this item weight in weighted cosine.</t>
        </is>
      </c>
      <c r="N45" s="41" t="n">
        <v>1.016071706717559</v>
      </c>
      <c r="O45" s="42">
        <f>I45-N45</f>
        <v/>
      </c>
      <c r="P45" s="43">
        <f>IF(ABS(O45)&lt;0.000001,"PASS","CHECK")</f>
        <v/>
      </c>
    </row>
    <row r="46" ht="36" customHeight="1">
      <c r="A46" s="33">
        <f>'23_ITEM_WEIGHT_MODEL'!A46</f>
        <v/>
      </c>
      <c r="B46" s="33">
        <f>'23_ITEM_WEIGHT_MODEL'!F46</f>
        <v/>
      </c>
      <c r="C46" s="33">
        <f>'23_ITEM_WEIGHT_MODEL'!B46</f>
        <v/>
      </c>
      <c r="D46" s="33">
        <f>'23_ITEM_WEIGHT_MODEL'!C46</f>
        <v/>
      </c>
      <c r="E46" s="33">
        <f>'23_ITEM_WEIGHT_MODEL'!D46</f>
        <v/>
      </c>
      <c r="F46" s="35">
        <f>'23_ITEM_WEIGHT_MODEL'!H46</f>
        <v/>
      </c>
      <c r="G46" s="35">
        <f>'23_ITEM_WEIGHT_MODEL'!J46</f>
        <v/>
      </c>
      <c r="H46" s="35">
        <f>'23_ITEM_WEIGHT_MODEL'!K46</f>
        <v/>
      </c>
      <c r="I46" s="38">
        <f>'23_ITEM_WEIGHT_MODEL'!M46</f>
        <v/>
      </c>
      <c r="J46" s="35">
        <f>'23_ITEM_WEIGHT_MODEL'!N46</f>
        <v/>
      </c>
      <c r="K46" s="33">
        <f>'23_ITEM_WEIGHT_MODEL'!G46</f>
        <v/>
      </c>
      <c r="L46" s="33" t="inlineStr">
        <is>
          <t>Confusion risk; layer; slot count; wording flag</t>
        </is>
      </c>
      <c r="M46" s="33" t="inlineStr">
        <is>
          <t>x=raw×key; then use this item weight in weighted cosine.</t>
        </is>
      </c>
      <c r="N46" s="41" t="n">
        <v>0.9388946219287427</v>
      </c>
      <c r="O46" s="42">
        <f>I46-N46</f>
        <v/>
      </c>
      <c r="P46" s="43">
        <f>IF(ABS(O46)&lt;0.000001,"PASS","CHECK")</f>
        <v/>
      </c>
    </row>
    <row r="47" ht="36" customHeight="1">
      <c r="A47" s="33">
        <f>'23_ITEM_WEIGHT_MODEL'!A47</f>
        <v/>
      </c>
      <c r="B47" s="33">
        <f>'23_ITEM_WEIGHT_MODEL'!F47</f>
        <v/>
      </c>
      <c r="C47" s="33">
        <f>'23_ITEM_WEIGHT_MODEL'!B47</f>
        <v/>
      </c>
      <c r="D47" s="33">
        <f>'23_ITEM_WEIGHT_MODEL'!C47</f>
        <v/>
      </c>
      <c r="E47" s="33">
        <f>'23_ITEM_WEIGHT_MODEL'!D47</f>
        <v/>
      </c>
      <c r="F47" s="35">
        <f>'23_ITEM_WEIGHT_MODEL'!H47</f>
        <v/>
      </c>
      <c r="G47" s="35">
        <f>'23_ITEM_WEIGHT_MODEL'!J47</f>
        <v/>
      </c>
      <c r="H47" s="35">
        <f>'23_ITEM_WEIGHT_MODEL'!K47</f>
        <v/>
      </c>
      <c r="I47" s="36">
        <f>'23_ITEM_WEIGHT_MODEL'!M47</f>
        <v/>
      </c>
      <c r="J47" s="35">
        <f>'23_ITEM_WEIGHT_MODEL'!N47</f>
        <v/>
      </c>
      <c r="K47" s="33">
        <f>'23_ITEM_WEIGHT_MODEL'!G47</f>
        <v/>
      </c>
      <c r="L47" s="33" t="inlineStr">
        <is>
          <t>Confusion risk; layer; slot count; wording flag</t>
        </is>
      </c>
      <c r="M47" s="33" t="inlineStr">
        <is>
          <t>x=raw×key; then use this item weight in weighted cosine.</t>
        </is>
      </c>
      <c r="N47" s="41" t="n">
        <v>0.9731140229504174</v>
      </c>
      <c r="O47" s="42">
        <f>I47-N47</f>
        <v/>
      </c>
      <c r="P47" s="43">
        <f>IF(ABS(O47)&lt;0.000001,"PASS","CHECK")</f>
        <v/>
      </c>
    </row>
    <row r="48" ht="36" customHeight="1">
      <c r="A48" s="33">
        <f>'23_ITEM_WEIGHT_MODEL'!A48</f>
        <v/>
      </c>
      <c r="B48" s="33">
        <f>'23_ITEM_WEIGHT_MODEL'!F48</f>
        <v/>
      </c>
      <c r="C48" s="33">
        <f>'23_ITEM_WEIGHT_MODEL'!B48</f>
        <v/>
      </c>
      <c r="D48" s="33">
        <f>'23_ITEM_WEIGHT_MODEL'!C48</f>
        <v/>
      </c>
      <c r="E48" s="33">
        <f>'23_ITEM_WEIGHT_MODEL'!D48</f>
        <v/>
      </c>
      <c r="F48" s="35">
        <f>'23_ITEM_WEIGHT_MODEL'!H48</f>
        <v/>
      </c>
      <c r="G48" s="35">
        <f>'23_ITEM_WEIGHT_MODEL'!J48</f>
        <v/>
      </c>
      <c r="H48" s="35">
        <f>'23_ITEM_WEIGHT_MODEL'!K48</f>
        <v/>
      </c>
      <c r="I48" s="38">
        <f>'23_ITEM_WEIGHT_MODEL'!M48</f>
        <v/>
      </c>
      <c r="J48" s="35">
        <f>'23_ITEM_WEIGHT_MODEL'!N48</f>
        <v/>
      </c>
      <c r="K48" s="33">
        <f>'23_ITEM_WEIGHT_MODEL'!G48</f>
        <v/>
      </c>
      <c r="L48" s="33" t="inlineStr">
        <is>
          <t>Confusion risk; layer; slot count; wording flag</t>
        </is>
      </c>
      <c r="M48" s="33" t="inlineStr">
        <is>
          <t>x=raw×key; then use this item weight in weighted cosine.</t>
        </is>
      </c>
      <c r="N48" s="41" t="n">
        <v>0.9594262625417475</v>
      </c>
      <c r="O48" s="42">
        <f>I48-N48</f>
        <v/>
      </c>
      <c r="P48" s="43">
        <f>IF(ABS(O48)&lt;0.000001,"PASS","CHECK")</f>
        <v/>
      </c>
    </row>
    <row r="49" ht="36" customHeight="1">
      <c r="A49" s="33">
        <f>'23_ITEM_WEIGHT_MODEL'!A49</f>
        <v/>
      </c>
      <c r="B49" s="33">
        <f>'23_ITEM_WEIGHT_MODEL'!F49</f>
        <v/>
      </c>
      <c r="C49" s="33">
        <f>'23_ITEM_WEIGHT_MODEL'!B49</f>
        <v/>
      </c>
      <c r="D49" s="33">
        <f>'23_ITEM_WEIGHT_MODEL'!C49</f>
        <v/>
      </c>
      <c r="E49" s="33">
        <f>'23_ITEM_WEIGHT_MODEL'!D49</f>
        <v/>
      </c>
      <c r="F49" s="35">
        <f>'23_ITEM_WEIGHT_MODEL'!H49</f>
        <v/>
      </c>
      <c r="G49" s="35">
        <f>'23_ITEM_WEIGHT_MODEL'!J49</f>
        <v/>
      </c>
      <c r="H49" s="35">
        <f>'23_ITEM_WEIGHT_MODEL'!K49</f>
        <v/>
      </c>
      <c r="I49" s="36">
        <f>'23_ITEM_WEIGHT_MODEL'!M49</f>
        <v/>
      </c>
      <c r="J49" s="35">
        <f>'23_ITEM_WEIGHT_MODEL'!N49</f>
        <v/>
      </c>
      <c r="K49" s="33">
        <f>'23_ITEM_WEIGHT_MODEL'!G49</f>
        <v/>
      </c>
      <c r="L49" s="33" t="inlineStr">
        <is>
          <t>Confusion risk; layer; slot count; wording flag</t>
        </is>
      </c>
      <c r="M49" s="33" t="inlineStr">
        <is>
          <t>x=raw×key; then use this item weight in weighted cosine.</t>
        </is>
      </c>
      <c r="N49" s="41" t="n">
        <v>0.9834862385552909</v>
      </c>
      <c r="O49" s="42">
        <f>I49-N49</f>
        <v/>
      </c>
      <c r="P49" s="43">
        <f>IF(ABS(O49)&lt;0.000001,"PASS","CHECK")</f>
        <v/>
      </c>
    </row>
    <row r="50" ht="36" customHeight="1">
      <c r="A50" s="33">
        <f>'23_ITEM_WEIGHT_MODEL'!A50</f>
        <v/>
      </c>
      <c r="B50" s="33">
        <f>'23_ITEM_WEIGHT_MODEL'!F50</f>
        <v/>
      </c>
      <c r="C50" s="33">
        <f>'23_ITEM_WEIGHT_MODEL'!B50</f>
        <v/>
      </c>
      <c r="D50" s="33">
        <f>'23_ITEM_WEIGHT_MODEL'!C50</f>
        <v/>
      </c>
      <c r="E50" s="33">
        <f>'23_ITEM_WEIGHT_MODEL'!D50</f>
        <v/>
      </c>
      <c r="F50" s="35">
        <f>'23_ITEM_WEIGHT_MODEL'!H50</f>
        <v/>
      </c>
      <c r="G50" s="35">
        <f>'23_ITEM_WEIGHT_MODEL'!J50</f>
        <v/>
      </c>
      <c r="H50" s="35">
        <f>'23_ITEM_WEIGHT_MODEL'!K50</f>
        <v/>
      </c>
      <c r="I50" s="36">
        <f>'23_ITEM_WEIGHT_MODEL'!M50</f>
        <v/>
      </c>
      <c r="J50" s="35">
        <f>'23_ITEM_WEIGHT_MODEL'!N50</f>
        <v/>
      </c>
      <c r="K50" s="33">
        <f>'23_ITEM_WEIGHT_MODEL'!G50</f>
        <v/>
      </c>
      <c r="L50" s="33" t="inlineStr">
        <is>
          <t>Confusion risk; layer; slot count; wording flag</t>
        </is>
      </c>
      <c r="M50" s="33" t="inlineStr">
        <is>
          <t>x=raw×key; then use this item weight in weighted cosine.</t>
        </is>
      </c>
      <c r="N50" s="41" t="n">
        <v>1.005461096701223</v>
      </c>
      <c r="O50" s="42">
        <f>I50-N50</f>
        <v/>
      </c>
      <c r="P50" s="43">
        <f>IF(ABS(O50)&lt;0.000001,"PASS","CHECK")</f>
        <v/>
      </c>
    </row>
    <row r="51" ht="36" customHeight="1">
      <c r="A51" s="33">
        <f>'23_ITEM_WEIGHT_MODEL'!A51</f>
        <v/>
      </c>
      <c r="B51" s="33">
        <f>'23_ITEM_WEIGHT_MODEL'!F51</f>
        <v/>
      </c>
      <c r="C51" s="33">
        <f>'23_ITEM_WEIGHT_MODEL'!B51</f>
        <v/>
      </c>
      <c r="D51" s="33">
        <f>'23_ITEM_WEIGHT_MODEL'!C51</f>
        <v/>
      </c>
      <c r="E51" s="33">
        <f>'23_ITEM_WEIGHT_MODEL'!D51</f>
        <v/>
      </c>
      <c r="F51" s="35">
        <f>'23_ITEM_WEIGHT_MODEL'!H51</f>
        <v/>
      </c>
      <c r="G51" s="35">
        <f>'23_ITEM_WEIGHT_MODEL'!J51</f>
        <v/>
      </c>
      <c r="H51" s="35">
        <f>'23_ITEM_WEIGHT_MODEL'!K51</f>
        <v/>
      </c>
      <c r="I51" s="38">
        <f>'23_ITEM_WEIGHT_MODEL'!M51</f>
        <v/>
      </c>
      <c r="J51" s="35">
        <f>'23_ITEM_WEIGHT_MODEL'!N51</f>
        <v/>
      </c>
      <c r="K51" s="33">
        <f>'23_ITEM_WEIGHT_MODEL'!G51</f>
        <v/>
      </c>
      <c r="L51" s="33" t="inlineStr">
        <is>
          <t>Confusion risk; layer; slot count; wording flag</t>
        </is>
      </c>
      <c r="M51" s="33" t="inlineStr">
        <is>
          <t>x=raw×key; then use this item weight in weighted cosine.</t>
        </is>
      </c>
      <c r="N51" s="41" t="n">
        <v>0.9503010889359675</v>
      </c>
      <c r="O51" s="42">
        <f>I51-N51</f>
        <v/>
      </c>
      <c r="P51" s="43">
        <f>IF(ABS(O51)&lt;0.000001,"PASS","CHECK")</f>
        <v/>
      </c>
    </row>
    <row r="52" ht="36" customHeight="1">
      <c r="A52" s="33">
        <f>'23_ITEM_WEIGHT_MODEL'!A52</f>
        <v/>
      </c>
      <c r="B52" s="33">
        <f>'23_ITEM_WEIGHT_MODEL'!F52</f>
        <v/>
      </c>
      <c r="C52" s="33">
        <f>'23_ITEM_WEIGHT_MODEL'!B52</f>
        <v/>
      </c>
      <c r="D52" s="33">
        <f>'23_ITEM_WEIGHT_MODEL'!C52</f>
        <v/>
      </c>
      <c r="E52" s="33">
        <f>'23_ITEM_WEIGHT_MODEL'!D52</f>
        <v/>
      </c>
      <c r="F52" s="35">
        <f>'23_ITEM_WEIGHT_MODEL'!H52</f>
        <v/>
      </c>
      <c r="G52" s="35">
        <f>'23_ITEM_WEIGHT_MODEL'!J52</f>
        <v/>
      </c>
      <c r="H52" s="35">
        <f>'23_ITEM_WEIGHT_MODEL'!K52</f>
        <v/>
      </c>
      <c r="I52" s="36">
        <f>'23_ITEM_WEIGHT_MODEL'!M52</f>
        <v/>
      </c>
      <c r="J52" s="35">
        <f>'23_ITEM_WEIGHT_MODEL'!N52</f>
        <v/>
      </c>
      <c r="K52" s="33">
        <f>'23_ITEM_WEIGHT_MODEL'!G52</f>
        <v/>
      </c>
      <c r="L52" s="33" t="inlineStr">
        <is>
          <t>Confusion risk; layer; slot count; wording flag</t>
        </is>
      </c>
      <c r="M52" s="33" t="inlineStr">
        <is>
          <t>x=raw×key; then use this item weight in weighted cosine.</t>
        </is>
      </c>
      <c r="N52" s="41" t="n">
        <v>0.9731140229504174</v>
      </c>
      <c r="O52" s="42">
        <f>I52-N52</f>
        <v/>
      </c>
      <c r="P52" s="43">
        <f>IF(ABS(O52)&lt;0.000001,"PASS","CHECK")</f>
        <v/>
      </c>
    </row>
    <row r="53" ht="36" customHeight="1">
      <c r="A53" s="33">
        <f>'23_ITEM_WEIGHT_MODEL'!A53</f>
        <v/>
      </c>
      <c r="B53" s="33">
        <f>'23_ITEM_WEIGHT_MODEL'!F53</f>
        <v/>
      </c>
      <c r="C53" s="33">
        <f>'23_ITEM_WEIGHT_MODEL'!B53</f>
        <v/>
      </c>
      <c r="D53" s="33">
        <f>'23_ITEM_WEIGHT_MODEL'!C53</f>
        <v/>
      </c>
      <c r="E53" s="33">
        <f>'23_ITEM_WEIGHT_MODEL'!D53</f>
        <v/>
      </c>
      <c r="F53" s="35">
        <f>'23_ITEM_WEIGHT_MODEL'!H53</f>
        <v/>
      </c>
      <c r="G53" s="35">
        <f>'23_ITEM_WEIGHT_MODEL'!J53</f>
        <v/>
      </c>
      <c r="H53" s="35">
        <f>'23_ITEM_WEIGHT_MODEL'!K53</f>
        <v/>
      </c>
      <c r="I53" s="36">
        <f>'23_ITEM_WEIGHT_MODEL'!M53</f>
        <v/>
      </c>
      <c r="J53" s="35">
        <f>'23_ITEM_WEIGHT_MODEL'!N53</f>
        <v/>
      </c>
      <c r="K53" s="33">
        <f>'23_ITEM_WEIGHT_MODEL'!G53</f>
        <v/>
      </c>
      <c r="L53" s="33" t="inlineStr">
        <is>
          <t>Confusion risk; layer; slot count; wording flag</t>
        </is>
      </c>
      <c r="M53" s="33" t="inlineStr">
        <is>
          <t>x=raw×key; then use this item weight in weighted cosine.</t>
        </is>
      </c>
      <c r="N53" s="41" t="n">
        <v>1.002434442385068</v>
      </c>
      <c r="O53" s="42">
        <f>I53-N53</f>
        <v/>
      </c>
      <c r="P53" s="43">
        <f>IF(ABS(O53)&lt;0.000001,"PASS","CHECK")</f>
        <v/>
      </c>
    </row>
    <row r="54" ht="36" customHeight="1">
      <c r="A54" s="33">
        <f>'23_ITEM_WEIGHT_MODEL'!A54</f>
        <v/>
      </c>
      <c r="B54" s="33">
        <f>'23_ITEM_WEIGHT_MODEL'!F54</f>
        <v/>
      </c>
      <c r="C54" s="33">
        <f>'23_ITEM_WEIGHT_MODEL'!B54</f>
        <v/>
      </c>
      <c r="D54" s="33">
        <f>'23_ITEM_WEIGHT_MODEL'!C54</f>
        <v/>
      </c>
      <c r="E54" s="33">
        <f>'23_ITEM_WEIGHT_MODEL'!D54</f>
        <v/>
      </c>
      <c r="F54" s="35">
        <f>'23_ITEM_WEIGHT_MODEL'!H54</f>
        <v/>
      </c>
      <c r="G54" s="35">
        <f>'23_ITEM_WEIGHT_MODEL'!J54</f>
        <v/>
      </c>
      <c r="H54" s="35">
        <f>'23_ITEM_WEIGHT_MODEL'!K54</f>
        <v/>
      </c>
      <c r="I54" s="38">
        <f>'23_ITEM_WEIGHT_MODEL'!M54</f>
        <v/>
      </c>
      <c r="J54" s="35">
        <f>'23_ITEM_WEIGHT_MODEL'!N54</f>
        <v/>
      </c>
      <c r="K54" s="33">
        <f>'23_ITEM_WEIGHT_MODEL'!G54</f>
        <v/>
      </c>
      <c r="L54" s="33" t="inlineStr">
        <is>
          <t>Confusion risk; layer; slot count; wording flag</t>
        </is>
      </c>
      <c r="M54" s="33" t="inlineStr">
        <is>
          <t>x=raw×key; then use this item weight in weighted cosine.</t>
        </is>
      </c>
      <c r="N54" s="41" t="n">
        <v>0.9426967775978177</v>
      </c>
      <c r="O54" s="42">
        <f>I54-N54</f>
        <v/>
      </c>
      <c r="P54" s="43">
        <f>IF(ABS(O54)&lt;0.000001,"PASS","CHECK")</f>
        <v/>
      </c>
    </row>
    <row r="55" ht="36" customHeight="1">
      <c r="A55" s="33">
        <f>'23_ITEM_WEIGHT_MODEL'!A55</f>
        <v/>
      </c>
      <c r="B55" s="33">
        <f>'23_ITEM_WEIGHT_MODEL'!F55</f>
        <v/>
      </c>
      <c r="C55" s="33">
        <f>'23_ITEM_WEIGHT_MODEL'!B55</f>
        <v/>
      </c>
      <c r="D55" s="33">
        <f>'23_ITEM_WEIGHT_MODEL'!C55</f>
        <v/>
      </c>
      <c r="E55" s="33">
        <f>'23_ITEM_WEIGHT_MODEL'!D55</f>
        <v/>
      </c>
      <c r="F55" s="35">
        <f>'23_ITEM_WEIGHT_MODEL'!H55</f>
        <v/>
      </c>
      <c r="G55" s="35">
        <f>'23_ITEM_WEIGHT_MODEL'!J55</f>
        <v/>
      </c>
      <c r="H55" s="35">
        <f>'23_ITEM_WEIGHT_MODEL'!K55</f>
        <v/>
      </c>
      <c r="I55" s="38">
        <f>'23_ITEM_WEIGHT_MODEL'!M55</f>
        <v/>
      </c>
      <c r="J55" s="35">
        <f>'23_ITEM_WEIGHT_MODEL'!N55</f>
        <v/>
      </c>
      <c r="K55" s="33">
        <f>'23_ITEM_WEIGHT_MODEL'!G55</f>
        <v/>
      </c>
      <c r="L55" s="33" t="inlineStr">
        <is>
          <t>Confusion risk; layer; slot count; wording flag</t>
        </is>
      </c>
      <c r="M55" s="33" t="inlineStr">
        <is>
          <t>x=raw×key; then use this item weight in weighted cosine.</t>
        </is>
      </c>
      <c r="N55" s="41" t="n">
        <v>0.9474494721841614</v>
      </c>
      <c r="O55" s="42">
        <f>I55-N55</f>
        <v/>
      </c>
      <c r="P55" s="43">
        <f>IF(ABS(O55)&lt;0.000001,"PASS","CHECK")</f>
        <v/>
      </c>
    </row>
    <row r="56" ht="36" customHeight="1">
      <c r="A56" s="33">
        <f>'23_ITEM_WEIGHT_MODEL'!A56</f>
        <v/>
      </c>
      <c r="B56" s="33">
        <f>'23_ITEM_WEIGHT_MODEL'!F56</f>
        <v/>
      </c>
      <c r="C56" s="33">
        <f>'23_ITEM_WEIGHT_MODEL'!B56</f>
        <v/>
      </c>
      <c r="D56" s="33">
        <f>'23_ITEM_WEIGHT_MODEL'!C56</f>
        <v/>
      </c>
      <c r="E56" s="33">
        <f>'23_ITEM_WEIGHT_MODEL'!D56</f>
        <v/>
      </c>
      <c r="F56" s="35">
        <f>'23_ITEM_WEIGHT_MODEL'!H56</f>
        <v/>
      </c>
      <c r="G56" s="35">
        <f>'23_ITEM_WEIGHT_MODEL'!J56</f>
        <v/>
      </c>
      <c r="H56" s="35">
        <f>'23_ITEM_WEIGHT_MODEL'!K56</f>
        <v/>
      </c>
      <c r="I56" s="38">
        <f>'23_ITEM_WEIGHT_MODEL'!M56</f>
        <v/>
      </c>
      <c r="J56" s="35">
        <f>'23_ITEM_WEIGHT_MODEL'!N56</f>
        <v/>
      </c>
      <c r="K56" s="33">
        <f>'23_ITEM_WEIGHT_MODEL'!G56</f>
        <v/>
      </c>
      <c r="L56" s="33" t="inlineStr">
        <is>
          <t>Confusion risk; layer; slot count; wording flag</t>
        </is>
      </c>
      <c r="M56" s="33" t="inlineStr">
        <is>
          <t>x=raw×key; then use this item weight in weighted cosine.</t>
        </is>
      </c>
      <c r="N56" s="41" t="n">
        <v>0.9594262625417475</v>
      </c>
      <c r="O56" s="42">
        <f>I56-N56</f>
        <v/>
      </c>
      <c r="P56" s="43">
        <f>IF(ABS(O56)&lt;0.000001,"PASS","CHECK")</f>
        <v/>
      </c>
    </row>
    <row r="57" ht="36" customHeight="1">
      <c r="A57" s="33">
        <f>'23_ITEM_WEIGHT_MODEL'!A57</f>
        <v/>
      </c>
      <c r="B57" s="33">
        <f>'23_ITEM_WEIGHT_MODEL'!F57</f>
        <v/>
      </c>
      <c r="C57" s="33">
        <f>'23_ITEM_WEIGHT_MODEL'!B57</f>
        <v/>
      </c>
      <c r="D57" s="33">
        <f>'23_ITEM_WEIGHT_MODEL'!C57</f>
        <v/>
      </c>
      <c r="E57" s="33">
        <f>'23_ITEM_WEIGHT_MODEL'!D57</f>
        <v/>
      </c>
      <c r="F57" s="35">
        <f>'23_ITEM_WEIGHT_MODEL'!H57</f>
        <v/>
      </c>
      <c r="G57" s="35">
        <f>'23_ITEM_WEIGHT_MODEL'!J57</f>
        <v/>
      </c>
      <c r="H57" s="35">
        <f>'23_ITEM_WEIGHT_MODEL'!K57</f>
        <v/>
      </c>
      <c r="I57" s="38">
        <f>'23_ITEM_WEIGHT_MODEL'!M57</f>
        <v/>
      </c>
      <c r="J57" s="35">
        <f>'23_ITEM_WEIGHT_MODEL'!N57</f>
        <v/>
      </c>
      <c r="K57" s="33">
        <f>'23_ITEM_WEIGHT_MODEL'!G57</f>
        <v/>
      </c>
      <c r="L57" s="33" t="inlineStr">
        <is>
          <t>Confusion risk; layer; slot count; wording flag</t>
        </is>
      </c>
      <c r="M57" s="33" t="inlineStr">
        <is>
          <t>x=raw×key; then use this item weight in weighted cosine.</t>
        </is>
      </c>
      <c r="N57" s="41" t="n">
        <v>0.9520559300140021</v>
      </c>
      <c r="O57" s="42">
        <f>I57-N57</f>
        <v/>
      </c>
      <c r="P57" s="43">
        <f>IF(ABS(O57)&lt;0.000001,"PASS","CHECK")</f>
        <v/>
      </c>
    </row>
    <row r="58" ht="36" customHeight="1">
      <c r="A58" s="33">
        <f>'23_ITEM_WEIGHT_MODEL'!A58</f>
        <v/>
      </c>
      <c r="B58" s="33">
        <f>'23_ITEM_WEIGHT_MODEL'!F58</f>
        <v/>
      </c>
      <c r="C58" s="33">
        <f>'23_ITEM_WEIGHT_MODEL'!B58</f>
        <v/>
      </c>
      <c r="D58" s="33">
        <f>'23_ITEM_WEIGHT_MODEL'!C58</f>
        <v/>
      </c>
      <c r="E58" s="33">
        <f>'23_ITEM_WEIGHT_MODEL'!D58</f>
        <v/>
      </c>
      <c r="F58" s="35">
        <f>'23_ITEM_WEIGHT_MODEL'!H58</f>
        <v/>
      </c>
      <c r="G58" s="35">
        <f>'23_ITEM_WEIGHT_MODEL'!J58</f>
        <v/>
      </c>
      <c r="H58" s="35">
        <f>'23_ITEM_WEIGHT_MODEL'!K58</f>
        <v/>
      </c>
      <c r="I58" s="38">
        <f>'23_ITEM_WEIGHT_MODEL'!M58</f>
        <v/>
      </c>
      <c r="J58" s="35">
        <f>'23_ITEM_WEIGHT_MODEL'!N58</f>
        <v/>
      </c>
      <c r="K58" s="33">
        <f>'23_ITEM_WEIGHT_MODEL'!G58</f>
        <v/>
      </c>
      <c r="L58" s="33" t="inlineStr">
        <is>
          <t>Confusion risk; layer; slot count; wording flag</t>
        </is>
      </c>
      <c r="M58" s="33" t="inlineStr">
        <is>
          <t>x=raw×key; then use this item weight in weighted cosine.</t>
        </is>
      </c>
      <c r="N58" s="41" t="n">
        <v>0.9474494721841614</v>
      </c>
      <c r="O58" s="42">
        <f>I58-N58</f>
        <v/>
      </c>
      <c r="P58" s="43">
        <f>IF(ABS(O58)&lt;0.000001,"PASS","CHECK")</f>
        <v/>
      </c>
    </row>
    <row r="59" ht="36" customHeight="1">
      <c r="A59" s="33">
        <f>'23_ITEM_WEIGHT_MODEL'!A59</f>
        <v/>
      </c>
      <c r="B59" s="33">
        <f>'23_ITEM_WEIGHT_MODEL'!F59</f>
        <v/>
      </c>
      <c r="C59" s="33">
        <f>'23_ITEM_WEIGHT_MODEL'!B59</f>
        <v/>
      </c>
      <c r="D59" s="33">
        <f>'23_ITEM_WEIGHT_MODEL'!C59</f>
        <v/>
      </c>
      <c r="E59" s="33">
        <f>'23_ITEM_WEIGHT_MODEL'!D59</f>
        <v/>
      </c>
      <c r="F59" s="35">
        <f>'23_ITEM_WEIGHT_MODEL'!H59</f>
        <v/>
      </c>
      <c r="G59" s="35">
        <f>'23_ITEM_WEIGHT_MODEL'!J59</f>
        <v/>
      </c>
      <c r="H59" s="35">
        <f>'23_ITEM_WEIGHT_MODEL'!K59</f>
        <v/>
      </c>
      <c r="I59" s="38">
        <f>'23_ITEM_WEIGHT_MODEL'!M59</f>
        <v/>
      </c>
      <c r="J59" s="35">
        <f>'23_ITEM_WEIGHT_MODEL'!N59</f>
        <v/>
      </c>
      <c r="K59" s="33">
        <f>'23_ITEM_WEIGHT_MODEL'!G59</f>
        <v/>
      </c>
      <c r="L59" s="33" t="inlineStr">
        <is>
          <t>Confusion risk; layer; slot count; wording flag</t>
        </is>
      </c>
      <c r="M59" s="33" t="inlineStr">
        <is>
          <t>x=raw×key; then use this item weight in weighted cosine.</t>
        </is>
      </c>
      <c r="N59" s="41" t="n">
        <v>0.9415268835457946</v>
      </c>
      <c r="O59" s="42">
        <f>I59-N59</f>
        <v/>
      </c>
      <c r="P59" s="43">
        <f>IF(ABS(O59)&lt;0.000001,"PASS","CHECK")</f>
        <v/>
      </c>
    </row>
    <row r="60" ht="36" customHeight="1">
      <c r="A60" s="33">
        <f>'23_ITEM_WEIGHT_MODEL'!A60</f>
        <v/>
      </c>
      <c r="B60" s="33">
        <f>'23_ITEM_WEIGHT_MODEL'!F60</f>
        <v/>
      </c>
      <c r="C60" s="33">
        <f>'23_ITEM_WEIGHT_MODEL'!B60</f>
        <v/>
      </c>
      <c r="D60" s="33">
        <f>'23_ITEM_WEIGHT_MODEL'!C60</f>
        <v/>
      </c>
      <c r="E60" s="33">
        <f>'23_ITEM_WEIGHT_MODEL'!D60</f>
        <v/>
      </c>
      <c r="F60" s="35">
        <f>'23_ITEM_WEIGHT_MODEL'!H60</f>
        <v/>
      </c>
      <c r="G60" s="35">
        <f>'23_ITEM_WEIGHT_MODEL'!J60</f>
        <v/>
      </c>
      <c r="H60" s="35">
        <f>'23_ITEM_WEIGHT_MODEL'!K60</f>
        <v/>
      </c>
      <c r="I60" s="38">
        <f>'23_ITEM_WEIGHT_MODEL'!M60</f>
        <v/>
      </c>
      <c r="J60" s="35">
        <f>'23_ITEM_WEIGHT_MODEL'!N60</f>
        <v/>
      </c>
      <c r="K60" s="33">
        <f>'23_ITEM_WEIGHT_MODEL'!G60</f>
        <v/>
      </c>
      <c r="L60" s="33" t="inlineStr">
        <is>
          <t>Confusion risk; layer; slot count; wording flag</t>
        </is>
      </c>
      <c r="M60" s="33" t="inlineStr">
        <is>
          <t>x=raw×key; then use this item weight in weighted cosine.</t>
        </is>
      </c>
      <c r="N60" s="41" t="n">
        <v>0.9520559300140021</v>
      </c>
      <c r="O60" s="42">
        <f>I60-N60</f>
        <v/>
      </c>
      <c r="P60" s="43">
        <f>IF(ABS(O60)&lt;0.000001,"PASS","CHECK")</f>
        <v/>
      </c>
    </row>
    <row r="61" ht="36" customHeight="1">
      <c r="A61" s="33">
        <f>'23_ITEM_WEIGHT_MODEL'!A61</f>
        <v/>
      </c>
      <c r="B61" s="33">
        <f>'23_ITEM_WEIGHT_MODEL'!F61</f>
        <v/>
      </c>
      <c r="C61" s="33">
        <f>'23_ITEM_WEIGHT_MODEL'!B61</f>
        <v/>
      </c>
      <c r="D61" s="33">
        <f>'23_ITEM_WEIGHT_MODEL'!C61</f>
        <v/>
      </c>
      <c r="E61" s="33">
        <f>'23_ITEM_WEIGHT_MODEL'!D61</f>
        <v/>
      </c>
      <c r="F61" s="35">
        <f>'23_ITEM_WEIGHT_MODEL'!H61</f>
        <v/>
      </c>
      <c r="G61" s="35">
        <f>'23_ITEM_WEIGHT_MODEL'!J61</f>
        <v/>
      </c>
      <c r="H61" s="35">
        <f>'23_ITEM_WEIGHT_MODEL'!K61</f>
        <v/>
      </c>
      <c r="I61" s="38">
        <f>'23_ITEM_WEIGHT_MODEL'!M61</f>
        <v/>
      </c>
      <c r="J61" s="35">
        <f>'23_ITEM_WEIGHT_MODEL'!N61</f>
        <v/>
      </c>
      <c r="K61" s="33">
        <f>'23_ITEM_WEIGHT_MODEL'!G61</f>
        <v/>
      </c>
      <c r="L61" s="33" t="inlineStr">
        <is>
          <t>Confusion risk; layer; slot count; wording flag</t>
        </is>
      </c>
      <c r="M61" s="33" t="inlineStr">
        <is>
          <t>x=raw×key; then use this item weight in weighted cosine.</t>
        </is>
      </c>
      <c r="N61" s="41" t="n">
        <v>0.9541032446050426</v>
      </c>
      <c r="O61" s="42">
        <f>I61-N61</f>
        <v/>
      </c>
      <c r="P61" s="43">
        <f>IF(ABS(O61)&lt;0.000001,"PASS","CHECK")</f>
        <v/>
      </c>
    </row>
    <row r="62" ht="36" customHeight="1">
      <c r="A62" s="33">
        <f>'23_ITEM_WEIGHT_MODEL'!A62</f>
        <v/>
      </c>
      <c r="B62" s="33">
        <f>'23_ITEM_WEIGHT_MODEL'!F62</f>
        <v/>
      </c>
      <c r="C62" s="33">
        <f>'23_ITEM_WEIGHT_MODEL'!B62</f>
        <v/>
      </c>
      <c r="D62" s="33">
        <f>'23_ITEM_WEIGHT_MODEL'!C62</f>
        <v/>
      </c>
      <c r="E62" s="33">
        <f>'23_ITEM_WEIGHT_MODEL'!D62</f>
        <v/>
      </c>
      <c r="F62" s="35">
        <f>'23_ITEM_WEIGHT_MODEL'!H62</f>
        <v/>
      </c>
      <c r="G62" s="35">
        <f>'23_ITEM_WEIGHT_MODEL'!J62</f>
        <v/>
      </c>
      <c r="H62" s="35">
        <f>'23_ITEM_WEIGHT_MODEL'!K62</f>
        <v/>
      </c>
      <c r="I62" s="36">
        <f>'23_ITEM_WEIGHT_MODEL'!M62</f>
        <v/>
      </c>
      <c r="J62" s="35">
        <f>'23_ITEM_WEIGHT_MODEL'!N62</f>
        <v/>
      </c>
      <c r="K62" s="33">
        <f>'23_ITEM_WEIGHT_MODEL'!G62</f>
        <v/>
      </c>
      <c r="L62" s="33" t="inlineStr">
        <is>
          <t>Confusion risk; layer; slot count; wording flag</t>
        </is>
      </c>
      <c r="M62" s="33" t="inlineStr">
        <is>
          <t>x=raw×key; then use this item weight in weighted cosine.</t>
        </is>
      </c>
      <c r="N62" s="41" t="n">
        <v>0.9731140229504174</v>
      </c>
      <c r="O62" s="42">
        <f>I62-N62</f>
        <v/>
      </c>
      <c r="P62" s="43">
        <f>IF(ABS(O62)&lt;0.000001,"PASS","CHECK")</f>
        <v/>
      </c>
    </row>
    <row r="63" ht="36" customHeight="1">
      <c r="A63" s="33">
        <f>'23_ITEM_WEIGHT_MODEL'!A63</f>
        <v/>
      </c>
      <c r="B63" s="33">
        <f>'23_ITEM_WEIGHT_MODEL'!F63</f>
        <v/>
      </c>
      <c r="C63" s="33">
        <f>'23_ITEM_WEIGHT_MODEL'!B63</f>
        <v/>
      </c>
      <c r="D63" s="33">
        <f>'23_ITEM_WEIGHT_MODEL'!C63</f>
        <v/>
      </c>
      <c r="E63" s="33">
        <f>'23_ITEM_WEIGHT_MODEL'!D63</f>
        <v/>
      </c>
      <c r="F63" s="35">
        <f>'23_ITEM_WEIGHT_MODEL'!H63</f>
        <v/>
      </c>
      <c r="G63" s="35">
        <f>'23_ITEM_WEIGHT_MODEL'!J63</f>
        <v/>
      </c>
      <c r="H63" s="35">
        <f>'23_ITEM_WEIGHT_MODEL'!K63</f>
        <v/>
      </c>
      <c r="I63" s="36">
        <f>'23_ITEM_WEIGHT_MODEL'!M63</f>
        <v/>
      </c>
      <c r="J63" s="35">
        <f>'23_ITEM_WEIGHT_MODEL'!N63</f>
        <v/>
      </c>
      <c r="K63" s="33">
        <f>'23_ITEM_WEIGHT_MODEL'!G63</f>
        <v/>
      </c>
      <c r="L63" s="33" t="inlineStr">
        <is>
          <t>Confusion risk; layer; slot count; wording flag</t>
        </is>
      </c>
      <c r="M63" s="33" t="inlineStr">
        <is>
          <t>x=raw×key; then use this item weight in weighted cosine.</t>
        </is>
      </c>
      <c r="N63" s="41" t="n">
        <v>0.9798559630935852</v>
      </c>
      <c r="O63" s="42">
        <f>I63-N63</f>
        <v/>
      </c>
      <c r="P63" s="43">
        <f>IF(ABS(O63)&lt;0.000001,"PASS","CHECK")</f>
        <v/>
      </c>
    </row>
    <row r="64" ht="36" customHeight="1">
      <c r="A64" s="33">
        <f>'23_ITEM_WEIGHT_MODEL'!A64</f>
        <v/>
      </c>
      <c r="B64" s="33">
        <f>'23_ITEM_WEIGHT_MODEL'!F64</f>
        <v/>
      </c>
      <c r="C64" s="33">
        <f>'23_ITEM_WEIGHT_MODEL'!B64</f>
        <v/>
      </c>
      <c r="D64" s="33">
        <f>'23_ITEM_WEIGHT_MODEL'!C64</f>
        <v/>
      </c>
      <c r="E64" s="33">
        <f>'23_ITEM_WEIGHT_MODEL'!D64</f>
        <v/>
      </c>
      <c r="F64" s="35">
        <f>'23_ITEM_WEIGHT_MODEL'!H64</f>
        <v/>
      </c>
      <c r="G64" s="35">
        <f>'23_ITEM_WEIGHT_MODEL'!J64</f>
        <v/>
      </c>
      <c r="H64" s="35">
        <f>'23_ITEM_WEIGHT_MODEL'!K64</f>
        <v/>
      </c>
      <c r="I64" s="36">
        <f>'23_ITEM_WEIGHT_MODEL'!M64</f>
        <v/>
      </c>
      <c r="J64" s="35">
        <f>'23_ITEM_WEIGHT_MODEL'!N64</f>
        <v/>
      </c>
      <c r="K64" s="33">
        <f>'23_ITEM_WEIGHT_MODEL'!G64</f>
        <v/>
      </c>
      <c r="L64" s="33" t="inlineStr">
        <is>
          <t>Confusion risk; layer; slot count; wording flag</t>
        </is>
      </c>
      <c r="M64" s="33" t="inlineStr">
        <is>
          <t>x=raw×key; then use this item weight in weighted cosine.</t>
        </is>
      </c>
      <c r="N64" s="41" t="n">
        <v>0.9970853656816807</v>
      </c>
      <c r="O64" s="42">
        <f>I64-N64</f>
        <v/>
      </c>
      <c r="P64" s="43">
        <f>IF(ABS(O64)&lt;0.000001,"PASS","CHECK")</f>
        <v/>
      </c>
    </row>
    <row r="65" ht="36" customHeight="1">
      <c r="A65" s="33">
        <f>'23_ITEM_WEIGHT_MODEL'!A65</f>
        <v/>
      </c>
      <c r="B65" s="33">
        <f>'23_ITEM_WEIGHT_MODEL'!F65</f>
        <v/>
      </c>
      <c r="C65" s="33">
        <f>'23_ITEM_WEIGHT_MODEL'!B65</f>
        <v/>
      </c>
      <c r="D65" s="33">
        <f>'23_ITEM_WEIGHT_MODEL'!C65</f>
        <v/>
      </c>
      <c r="E65" s="33">
        <f>'23_ITEM_WEIGHT_MODEL'!D65</f>
        <v/>
      </c>
      <c r="F65" s="35">
        <f>'23_ITEM_WEIGHT_MODEL'!H65</f>
        <v/>
      </c>
      <c r="G65" s="35">
        <f>'23_ITEM_WEIGHT_MODEL'!J65</f>
        <v/>
      </c>
      <c r="H65" s="35">
        <f>'23_ITEM_WEIGHT_MODEL'!K65</f>
        <v/>
      </c>
      <c r="I65" s="36">
        <f>'23_ITEM_WEIGHT_MODEL'!M65</f>
        <v/>
      </c>
      <c r="J65" s="35">
        <f>'23_ITEM_WEIGHT_MODEL'!N65</f>
        <v/>
      </c>
      <c r="K65" s="33">
        <f>'23_ITEM_WEIGHT_MODEL'!G65</f>
        <v/>
      </c>
      <c r="L65" s="33" t="inlineStr">
        <is>
          <t>Confusion risk; layer; slot count; wording flag</t>
        </is>
      </c>
      <c r="M65" s="33" t="inlineStr">
        <is>
          <t>x=raw×key; then use this item weight in weighted cosine.</t>
        </is>
      </c>
      <c r="N65" s="41" t="n">
        <v>0.9731140229504174</v>
      </c>
      <c r="O65" s="42">
        <f>I65-N65</f>
        <v/>
      </c>
      <c r="P65" s="43">
        <f>IF(ABS(O65)&lt;0.000001,"PASS","CHECK")</f>
        <v/>
      </c>
    </row>
    <row r="66" ht="36" customHeight="1">
      <c r="A66" s="33">
        <f>'23_ITEM_WEIGHT_MODEL'!A66</f>
        <v/>
      </c>
      <c r="B66" s="33">
        <f>'23_ITEM_WEIGHT_MODEL'!F66</f>
        <v/>
      </c>
      <c r="C66" s="33">
        <f>'23_ITEM_WEIGHT_MODEL'!B66</f>
        <v/>
      </c>
      <c r="D66" s="33">
        <f>'23_ITEM_WEIGHT_MODEL'!C66</f>
        <v/>
      </c>
      <c r="E66" s="33">
        <f>'23_ITEM_WEIGHT_MODEL'!D66</f>
        <v/>
      </c>
      <c r="F66" s="35">
        <f>'23_ITEM_WEIGHT_MODEL'!H66</f>
        <v/>
      </c>
      <c r="G66" s="35">
        <f>'23_ITEM_WEIGHT_MODEL'!J66</f>
        <v/>
      </c>
      <c r="H66" s="35">
        <f>'23_ITEM_WEIGHT_MODEL'!K66</f>
        <v/>
      </c>
      <c r="I66" s="36">
        <f>'23_ITEM_WEIGHT_MODEL'!M66</f>
        <v/>
      </c>
      <c r="J66" s="35">
        <f>'23_ITEM_WEIGHT_MODEL'!N66</f>
        <v/>
      </c>
      <c r="K66" s="33">
        <f>'23_ITEM_WEIGHT_MODEL'!G66</f>
        <v/>
      </c>
      <c r="L66" s="33" t="inlineStr">
        <is>
          <t>Confusion risk; layer; slot count; wording flag</t>
        </is>
      </c>
      <c r="M66" s="33" t="inlineStr">
        <is>
          <t>x=raw×key; then use this item weight in weighted cosine.</t>
        </is>
      </c>
      <c r="N66" s="41" t="n">
        <v>0.9731140229504174</v>
      </c>
      <c r="O66" s="42">
        <f>I66-N66</f>
        <v/>
      </c>
      <c r="P66" s="43">
        <f>IF(ABS(O66)&lt;0.000001,"PASS","CHECK")</f>
        <v/>
      </c>
    </row>
    <row r="67" ht="36" customHeight="1">
      <c r="A67" s="33">
        <f>'23_ITEM_WEIGHT_MODEL'!A67</f>
        <v/>
      </c>
      <c r="B67" s="33">
        <f>'23_ITEM_WEIGHT_MODEL'!F67</f>
        <v/>
      </c>
      <c r="C67" s="33">
        <f>'23_ITEM_WEIGHT_MODEL'!B67</f>
        <v/>
      </c>
      <c r="D67" s="33">
        <f>'23_ITEM_WEIGHT_MODEL'!C67</f>
        <v/>
      </c>
      <c r="E67" s="33">
        <f>'23_ITEM_WEIGHT_MODEL'!D67</f>
        <v/>
      </c>
      <c r="F67" s="35">
        <f>'23_ITEM_WEIGHT_MODEL'!H67</f>
        <v/>
      </c>
      <c r="G67" s="35">
        <f>'23_ITEM_WEIGHT_MODEL'!J67</f>
        <v/>
      </c>
      <c r="H67" s="35">
        <f>'23_ITEM_WEIGHT_MODEL'!K67</f>
        <v/>
      </c>
      <c r="I67" s="36">
        <f>'23_ITEM_WEIGHT_MODEL'!M67</f>
        <v/>
      </c>
      <c r="J67" s="35">
        <f>'23_ITEM_WEIGHT_MODEL'!N67</f>
        <v/>
      </c>
      <c r="K67" s="33">
        <f>'23_ITEM_WEIGHT_MODEL'!G67</f>
        <v/>
      </c>
      <c r="L67" s="33" t="inlineStr">
        <is>
          <t>Confusion risk; layer; slot count; wording flag</t>
        </is>
      </c>
      <c r="M67" s="33" t="inlineStr">
        <is>
          <t>x=raw×key; then use this item weight in weighted cosine.</t>
        </is>
      </c>
      <c r="N67" s="41" t="n">
        <v>1.00976454724373</v>
      </c>
      <c r="O67" s="42">
        <f>I67-N67</f>
        <v/>
      </c>
      <c r="P67" s="43">
        <f>IF(ABS(O67)&lt;0.000001,"PASS","CHECK")</f>
        <v/>
      </c>
    </row>
    <row r="68" ht="36" customHeight="1">
      <c r="A68" s="33">
        <f>'23_ITEM_WEIGHT_MODEL'!A68</f>
        <v/>
      </c>
      <c r="B68" s="33">
        <f>'23_ITEM_WEIGHT_MODEL'!F68</f>
        <v/>
      </c>
      <c r="C68" s="33">
        <f>'23_ITEM_WEIGHT_MODEL'!B68</f>
        <v/>
      </c>
      <c r="D68" s="33">
        <f>'23_ITEM_WEIGHT_MODEL'!C68</f>
        <v/>
      </c>
      <c r="E68" s="33">
        <f>'23_ITEM_WEIGHT_MODEL'!D68</f>
        <v/>
      </c>
      <c r="F68" s="35">
        <f>'23_ITEM_WEIGHT_MODEL'!H68</f>
        <v/>
      </c>
      <c r="G68" s="35">
        <f>'23_ITEM_WEIGHT_MODEL'!J68</f>
        <v/>
      </c>
      <c r="H68" s="35">
        <f>'23_ITEM_WEIGHT_MODEL'!K68</f>
        <v/>
      </c>
      <c r="I68" s="36">
        <f>'23_ITEM_WEIGHT_MODEL'!M68</f>
        <v/>
      </c>
      <c r="J68" s="35">
        <f>'23_ITEM_WEIGHT_MODEL'!N68</f>
        <v/>
      </c>
      <c r="K68" s="33">
        <f>'23_ITEM_WEIGHT_MODEL'!G68</f>
        <v/>
      </c>
      <c r="L68" s="33" t="inlineStr">
        <is>
          <t>Confusion risk; layer; slot count; wording flag</t>
        </is>
      </c>
      <c r="M68" s="33" t="inlineStr">
        <is>
          <t>x=raw×key; then use this item weight in weighted cosine.</t>
        </is>
      </c>
      <c r="N68" s="41" t="n">
        <v>0.9798559630935852</v>
      </c>
      <c r="O68" s="42">
        <f>I68-N68</f>
        <v/>
      </c>
      <c r="P68" s="43">
        <f>IF(ABS(O68)&lt;0.000001,"PASS","CHECK")</f>
        <v/>
      </c>
    </row>
    <row r="69" ht="36" customHeight="1">
      <c r="A69" s="33">
        <f>'23_ITEM_WEIGHT_MODEL'!A69</f>
        <v/>
      </c>
      <c r="B69" s="33">
        <f>'23_ITEM_WEIGHT_MODEL'!F69</f>
        <v/>
      </c>
      <c r="C69" s="33">
        <f>'23_ITEM_WEIGHT_MODEL'!B69</f>
        <v/>
      </c>
      <c r="D69" s="33">
        <f>'23_ITEM_WEIGHT_MODEL'!C69</f>
        <v/>
      </c>
      <c r="E69" s="33">
        <f>'23_ITEM_WEIGHT_MODEL'!D69</f>
        <v/>
      </c>
      <c r="F69" s="35">
        <f>'23_ITEM_WEIGHT_MODEL'!H69</f>
        <v/>
      </c>
      <c r="G69" s="35">
        <f>'23_ITEM_WEIGHT_MODEL'!J69</f>
        <v/>
      </c>
      <c r="H69" s="35">
        <f>'23_ITEM_WEIGHT_MODEL'!K69</f>
        <v/>
      </c>
      <c r="I69" s="36">
        <f>'23_ITEM_WEIGHT_MODEL'!M69</f>
        <v/>
      </c>
      <c r="J69" s="35">
        <f>'23_ITEM_WEIGHT_MODEL'!N69</f>
        <v/>
      </c>
      <c r="K69" s="33">
        <f>'23_ITEM_WEIGHT_MODEL'!G69</f>
        <v/>
      </c>
      <c r="L69" s="33" t="inlineStr">
        <is>
          <t>Confusion risk; layer; slot count; wording flag</t>
        </is>
      </c>
      <c r="M69" s="33" t="inlineStr">
        <is>
          <t>x=raw×key; then use this item weight in weighted cosine.</t>
        </is>
      </c>
      <c r="N69" s="41" t="n">
        <v>0.9731140229504174</v>
      </c>
      <c r="O69" s="42">
        <f>I69-N69</f>
        <v/>
      </c>
      <c r="P69" s="43">
        <f>IF(ABS(O69)&lt;0.000001,"PASS","CHECK")</f>
        <v/>
      </c>
    </row>
    <row r="70" ht="36" customHeight="1">
      <c r="A70" s="33">
        <f>'23_ITEM_WEIGHT_MODEL'!A70</f>
        <v/>
      </c>
      <c r="B70" s="33">
        <f>'23_ITEM_WEIGHT_MODEL'!F70</f>
        <v/>
      </c>
      <c r="C70" s="33">
        <f>'23_ITEM_WEIGHT_MODEL'!B70</f>
        <v/>
      </c>
      <c r="D70" s="33">
        <f>'23_ITEM_WEIGHT_MODEL'!C70</f>
        <v/>
      </c>
      <c r="E70" s="33">
        <f>'23_ITEM_WEIGHT_MODEL'!D70</f>
        <v/>
      </c>
      <c r="F70" s="35">
        <f>'23_ITEM_WEIGHT_MODEL'!H70</f>
        <v/>
      </c>
      <c r="G70" s="35">
        <f>'23_ITEM_WEIGHT_MODEL'!J70</f>
        <v/>
      </c>
      <c r="H70" s="35">
        <f>'23_ITEM_WEIGHT_MODEL'!K70</f>
        <v/>
      </c>
      <c r="I70" s="36">
        <f>'23_ITEM_WEIGHT_MODEL'!M70</f>
        <v/>
      </c>
      <c r="J70" s="35">
        <f>'23_ITEM_WEIGHT_MODEL'!N70</f>
        <v/>
      </c>
      <c r="K70" s="33">
        <f>'23_ITEM_WEIGHT_MODEL'!G70</f>
        <v/>
      </c>
      <c r="L70" s="33" t="inlineStr">
        <is>
          <t>Confusion risk; layer; slot count; wording flag</t>
        </is>
      </c>
      <c r="M70" s="33" t="inlineStr">
        <is>
          <t>x=raw×key; then use this item weight in weighted cosine.</t>
        </is>
      </c>
      <c r="N70" s="41" t="n">
        <v>0.992376709073754</v>
      </c>
      <c r="O70" s="42">
        <f>I70-N70</f>
        <v/>
      </c>
      <c r="P70" s="43">
        <f>IF(ABS(O70)&lt;0.000001,"PASS","CHECK")</f>
        <v/>
      </c>
    </row>
    <row r="71" ht="36" customHeight="1">
      <c r="A71" s="33">
        <f>'23_ITEM_WEIGHT_MODEL'!A71</f>
        <v/>
      </c>
      <c r="B71" s="33">
        <f>'23_ITEM_WEIGHT_MODEL'!F71</f>
        <v/>
      </c>
      <c r="C71" s="33">
        <f>'23_ITEM_WEIGHT_MODEL'!B71</f>
        <v/>
      </c>
      <c r="D71" s="33">
        <f>'23_ITEM_WEIGHT_MODEL'!C71</f>
        <v/>
      </c>
      <c r="E71" s="33">
        <f>'23_ITEM_WEIGHT_MODEL'!D71</f>
        <v/>
      </c>
      <c r="F71" s="35">
        <f>'23_ITEM_WEIGHT_MODEL'!H71</f>
        <v/>
      </c>
      <c r="G71" s="35">
        <f>'23_ITEM_WEIGHT_MODEL'!J71</f>
        <v/>
      </c>
      <c r="H71" s="35">
        <f>'23_ITEM_WEIGHT_MODEL'!K71</f>
        <v/>
      </c>
      <c r="I71" s="38">
        <f>'23_ITEM_WEIGHT_MODEL'!M71</f>
        <v/>
      </c>
      <c r="J71" s="35">
        <f>'23_ITEM_WEIGHT_MODEL'!N71</f>
        <v/>
      </c>
      <c r="K71" s="33">
        <f>'23_ITEM_WEIGHT_MODEL'!G71</f>
        <v/>
      </c>
      <c r="L71" s="33" t="inlineStr">
        <is>
          <t>Confusion risk; layer; slot count; wording flag</t>
        </is>
      </c>
      <c r="M71" s="33" t="inlineStr">
        <is>
          <t>x=raw×key; then use this item weight in weighted cosine.</t>
        </is>
      </c>
      <c r="N71" s="41" t="n">
        <v>0.9535600795094604</v>
      </c>
      <c r="O71" s="42">
        <f>I71-N71</f>
        <v/>
      </c>
      <c r="P71" s="43">
        <f>IF(ABS(O71)&lt;0.000001,"PASS","CHECK")</f>
        <v/>
      </c>
    </row>
    <row r="72" ht="36" customHeight="1">
      <c r="A72" s="33">
        <f>'23_ITEM_WEIGHT_MODEL'!A72</f>
        <v/>
      </c>
      <c r="B72" s="33">
        <f>'23_ITEM_WEIGHT_MODEL'!F72</f>
        <v/>
      </c>
      <c r="C72" s="33">
        <f>'23_ITEM_WEIGHT_MODEL'!B72</f>
        <v/>
      </c>
      <c r="D72" s="33">
        <f>'23_ITEM_WEIGHT_MODEL'!C72</f>
        <v/>
      </c>
      <c r="E72" s="33">
        <f>'23_ITEM_WEIGHT_MODEL'!D72</f>
        <v/>
      </c>
      <c r="F72" s="35">
        <f>'23_ITEM_WEIGHT_MODEL'!H72</f>
        <v/>
      </c>
      <c r="G72" s="35">
        <f>'23_ITEM_WEIGHT_MODEL'!J72</f>
        <v/>
      </c>
      <c r="H72" s="35">
        <f>'23_ITEM_WEIGHT_MODEL'!K72</f>
        <v/>
      </c>
      <c r="I72" s="36">
        <f>'23_ITEM_WEIGHT_MODEL'!M72</f>
        <v/>
      </c>
      <c r="J72" s="35">
        <f>'23_ITEM_WEIGHT_MODEL'!N72</f>
        <v/>
      </c>
      <c r="K72" s="33">
        <f>'23_ITEM_WEIGHT_MODEL'!G72</f>
        <v/>
      </c>
      <c r="L72" s="33" t="inlineStr">
        <is>
          <t>Confusion risk; layer; slot count; wording flag</t>
        </is>
      </c>
      <c r="M72" s="33" t="inlineStr">
        <is>
          <t>x=raw×key; then use this item weight in weighted cosine.</t>
        </is>
      </c>
      <c r="N72" s="41" t="n">
        <v>0.9946882314085543</v>
      </c>
      <c r="O72" s="42">
        <f>I72-N72</f>
        <v/>
      </c>
      <c r="P72" s="43">
        <f>IF(ABS(O72)&lt;0.000001,"PASS","CHECK")</f>
        <v/>
      </c>
    </row>
    <row r="73" ht="36" customHeight="1">
      <c r="A73" s="33">
        <f>'23_ITEM_WEIGHT_MODEL'!A73</f>
        <v/>
      </c>
      <c r="B73" s="33">
        <f>'23_ITEM_WEIGHT_MODEL'!F73</f>
        <v/>
      </c>
      <c r="C73" s="33">
        <f>'23_ITEM_WEIGHT_MODEL'!B73</f>
        <v/>
      </c>
      <c r="D73" s="33">
        <f>'23_ITEM_WEIGHT_MODEL'!C73</f>
        <v/>
      </c>
      <c r="E73" s="33">
        <f>'23_ITEM_WEIGHT_MODEL'!D73</f>
        <v/>
      </c>
      <c r="F73" s="35">
        <f>'23_ITEM_WEIGHT_MODEL'!H73</f>
        <v/>
      </c>
      <c r="G73" s="35">
        <f>'23_ITEM_WEIGHT_MODEL'!J73</f>
        <v/>
      </c>
      <c r="H73" s="35">
        <f>'23_ITEM_WEIGHT_MODEL'!K73</f>
        <v/>
      </c>
      <c r="I73" s="36">
        <f>'23_ITEM_WEIGHT_MODEL'!M73</f>
        <v/>
      </c>
      <c r="J73" s="35">
        <f>'23_ITEM_WEIGHT_MODEL'!N73</f>
        <v/>
      </c>
      <c r="K73" s="33">
        <f>'23_ITEM_WEIGHT_MODEL'!G73</f>
        <v/>
      </c>
      <c r="L73" s="33" t="inlineStr">
        <is>
          <t>Confusion risk; layer; slot count; wording flag</t>
        </is>
      </c>
      <c r="M73" s="33" t="inlineStr">
        <is>
          <t>x=raw×key; then use this item weight in weighted cosine.</t>
        </is>
      </c>
      <c r="N73" s="41" t="n">
        <v>1.015161707659616</v>
      </c>
      <c r="O73" s="42">
        <f>I73-N73</f>
        <v/>
      </c>
      <c r="P73" s="43">
        <f>IF(ABS(O73)&lt;0.000001,"PASS","CHECK")</f>
        <v/>
      </c>
    </row>
    <row r="74" ht="36" customHeight="1">
      <c r="A74" s="33">
        <f>'23_ITEM_WEIGHT_MODEL'!A74</f>
        <v/>
      </c>
      <c r="B74" s="33">
        <f>'23_ITEM_WEIGHT_MODEL'!F74</f>
        <v/>
      </c>
      <c r="C74" s="33">
        <f>'23_ITEM_WEIGHT_MODEL'!B74</f>
        <v/>
      </c>
      <c r="D74" s="33">
        <f>'23_ITEM_WEIGHT_MODEL'!C74</f>
        <v/>
      </c>
      <c r="E74" s="33">
        <f>'23_ITEM_WEIGHT_MODEL'!D74</f>
        <v/>
      </c>
      <c r="F74" s="35">
        <f>'23_ITEM_WEIGHT_MODEL'!H74</f>
        <v/>
      </c>
      <c r="G74" s="35">
        <f>'23_ITEM_WEIGHT_MODEL'!J74</f>
        <v/>
      </c>
      <c r="H74" s="35">
        <f>'23_ITEM_WEIGHT_MODEL'!K74</f>
        <v/>
      </c>
      <c r="I74" s="36">
        <f>'23_ITEM_WEIGHT_MODEL'!M74</f>
        <v/>
      </c>
      <c r="J74" s="35">
        <f>'23_ITEM_WEIGHT_MODEL'!N74</f>
        <v/>
      </c>
      <c r="K74" s="33">
        <f>'23_ITEM_WEIGHT_MODEL'!G74</f>
        <v/>
      </c>
      <c r="L74" s="33" t="inlineStr">
        <is>
          <t>Confusion risk; layer; slot count; wording flag</t>
        </is>
      </c>
      <c r="M74" s="33" t="inlineStr">
        <is>
          <t>x=raw×key; then use this item weight in weighted cosine.</t>
        </is>
      </c>
      <c r="N74" s="41" t="n">
        <v>1.000081783523089</v>
      </c>
      <c r="O74" s="42">
        <f>I74-N74</f>
        <v/>
      </c>
      <c r="P74" s="43">
        <f>IF(ABS(O74)&lt;0.000001,"PASS","CHECK")</f>
        <v/>
      </c>
    </row>
    <row r="75" ht="36" customHeight="1">
      <c r="A75" s="33">
        <f>'23_ITEM_WEIGHT_MODEL'!A75</f>
        <v/>
      </c>
      <c r="B75" s="33">
        <f>'23_ITEM_WEIGHT_MODEL'!F75</f>
        <v/>
      </c>
      <c r="C75" s="33">
        <f>'23_ITEM_WEIGHT_MODEL'!B75</f>
        <v/>
      </c>
      <c r="D75" s="33">
        <f>'23_ITEM_WEIGHT_MODEL'!C75</f>
        <v/>
      </c>
      <c r="E75" s="33">
        <f>'23_ITEM_WEIGHT_MODEL'!D75</f>
        <v/>
      </c>
      <c r="F75" s="35">
        <f>'23_ITEM_WEIGHT_MODEL'!H75</f>
        <v/>
      </c>
      <c r="G75" s="35">
        <f>'23_ITEM_WEIGHT_MODEL'!J75</f>
        <v/>
      </c>
      <c r="H75" s="35">
        <f>'23_ITEM_WEIGHT_MODEL'!K75</f>
        <v/>
      </c>
      <c r="I75" s="38">
        <f>'23_ITEM_WEIGHT_MODEL'!M75</f>
        <v/>
      </c>
      <c r="J75" s="35">
        <f>'23_ITEM_WEIGHT_MODEL'!N75</f>
        <v/>
      </c>
      <c r="K75" s="33">
        <f>'23_ITEM_WEIGHT_MODEL'!G75</f>
        <v/>
      </c>
      <c r="L75" s="33" t="inlineStr">
        <is>
          <t>Confusion risk; layer; slot count; wording flag</t>
        </is>
      </c>
      <c r="M75" s="33" t="inlineStr">
        <is>
          <t>x=raw×key; then use this item weight in weighted cosine.</t>
        </is>
      </c>
      <c r="N75" s="41" t="n">
        <v>0.9457385021330776</v>
      </c>
      <c r="O75" s="42">
        <f>I75-N75</f>
        <v/>
      </c>
      <c r="P75" s="43">
        <f>IF(ABS(O75)&lt;0.000001,"PASS","CHECK")</f>
        <v/>
      </c>
    </row>
    <row r="76" ht="36" customHeight="1">
      <c r="A76" s="33">
        <f>'23_ITEM_WEIGHT_MODEL'!A76</f>
        <v/>
      </c>
      <c r="B76" s="33">
        <f>'23_ITEM_WEIGHT_MODEL'!F76</f>
        <v/>
      </c>
      <c r="C76" s="33">
        <f>'23_ITEM_WEIGHT_MODEL'!B76</f>
        <v/>
      </c>
      <c r="D76" s="33">
        <f>'23_ITEM_WEIGHT_MODEL'!C76</f>
        <v/>
      </c>
      <c r="E76" s="33">
        <f>'23_ITEM_WEIGHT_MODEL'!D76</f>
        <v/>
      </c>
      <c r="F76" s="35">
        <f>'23_ITEM_WEIGHT_MODEL'!H76</f>
        <v/>
      </c>
      <c r="G76" s="35">
        <f>'23_ITEM_WEIGHT_MODEL'!J76</f>
        <v/>
      </c>
      <c r="H76" s="35">
        <f>'23_ITEM_WEIGHT_MODEL'!K76</f>
        <v/>
      </c>
      <c r="I76" s="38">
        <f>'23_ITEM_WEIGHT_MODEL'!M76</f>
        <v/>
      </c>
      <c r="J76" s="35">
        <f>'23_ITEM_WEIGHT_MODEL'!N76</f>
        <v/>
      </c>
      <c r="K76" s="33">
        <f>'23_ITEM_WEIGHT_MODEL'!G76</f>
        <v/>
      </c>
      <c r="L76" s="33" t="inlineStr">
        <is>
          <t>Confusion risk; layer; slot count; wording flag</t>
        </is>
      </c>
      <c r="M76" s="33" t="inlineStr">
        <is>
          <t>x=raw×key; then use this item weight in weighted cosine.</t>
        </is>
      </c>
      <c r="N76" s="41" t="n">
        <v>0.9503010889359675</v>
      </c>
      <c r="O76" s="42">
        <f>I76-N76</f>
        <v/>
      </c>
      <c r="P76" s="43">
        <f>IF(ABS(O76)&lt;0.000001,"PASS","CHECK")</f>
        <v/>
      </c>
    </row>
    <row r="77" ht="36" customHeight="1">
      <c r="A77" s="33">
        <f>'23_ITEM_WEIGHT_MODEL'!A77</f>
        <v/>
      </c>
      <c r="B77" s="33">
        <f>'23_ITEM_WEIGHT_MODEL'!F77</f>
        <v/>
      </c>
      <c r="C77" s="33">
        <f>'23_ITEM_WEIGHT_MODEL'!B77</f>
        <v/>
      </c>
      <c r="D77" s="33">
        <f>'23_ITEM_WEIGHT_MODEL'!C77</f>
        <v/>
      </c>
      <c r="E77" s="33">
        <f>'23_ITEM_WEIGHT_MODEL'!D77</f>
        <v/>
      </c>
      <c r="F77" s="35">
        <f>'23_ITEM_WEIGHT_MODEL'!H77</f>
        <v/>
      </c>
      <c r="G77" s="35">
        <f>'23_ITEM_WEIGHT_MODEL'!J77</f>
        <v/>
      </c>
      <c r="H77" s="35">
        <f>'23_ITEM_WEIGHT_MODEL'!K77</f>
        <v/>
      </c>
      <c r="I77" s="37">
        <f>'23_ITEM_WEIGHT_MODEL'!M77</f>
        <v/>
      </c>
      <c r="J77" s="35">
        <f>'23_ITEM_WEIGHT_MODEL'!N77</f>
        <v/>
      </c>
      <c r="K77" s="33">
        <f>'23_ITEM_WEIGHT_MODEL'!G77</f>
        <v/>
      </c>
      <c r="L77" s="33" t="inlineStr">
        <is>
          <t>Confusion risk; layer; slot count; wording flag</t>
        </is>
      </c>
      <c r="M77" s="33" t="inlineStr">
        <is>
          <t>x=raw×key; then use this item weight in weighted cosine.</t>
        </is>
      </c>
      <c r="N77" s="41" t="n">
        <v>1.053008728351572</v>
      </c>
      <c r="O77" s="42">
        <f>I77-N77</f>
        <v/>
      </c>
      <c r="P77" s="43">
        <f>IF(ABS(O77)&lt;0.000001,"PASS","CHECK")</f>
        <v/>
      </c>
    </row>
    <row r="78" ht="36" customHeight="1">
      <c r="A78" s="33">
        <f>'23_ITEM_WEIGHT_MODEL'!A78</f>
        <v/>
      </c>
      <c r="B78" s="33">
        <f>'23_ITEM_WEIGHT_MODEL'!F78</f>
        <v/>
      </c>
      <c r="C78" s="33">
        <f>'23_ITEM_WEIGHT_MODEL'!B78</f>
        <v/>
      </c>
      <c r="D78" s="33">
        <f>'23_ITEM_WEIGHT_MODEL'!C78</f>
        <v/>
      </c>
      <c r="E78" s="33">
        <f>'23_ITEM_WEIGHT_MODEL'!D78</f>
        <v/>
      </c>
      <c r="F78" s="35">
        <f>'23_ITEM_WEIGHT_MODEL'!H78</f>
        <v/>
      </c>
      <c r="G78" s="35">
        <f>'23_ITEM_WEIGHT_MODEL'!J78</f>
        <v/>
      </c>
      <c r="H78" s="35">
        <f>'23_ITEM_WEIGHT_MODEL'!K78</f>
        <v/>
      </c>
      <c r="I78" s="37">
        <f>'23_ITEM_WEIGHT_MODEL'!M78</f>
        <v/>
      </c>
      <c r="J78" s="35">
        <f>'23_ITEM_WEIGHT_MODEL'!N78</f>
        <v/>
      </c>
      <c r="K78" s="33">
        <f>'23_ITEM_WEIGHT_MODEL'!G78</f>
        <v/>
      </c>
      <c r="L78" s="33" t="inlineStr">
        <is>
          <t>Confusion risk; layer; slot count; wording flag</t>
        </is>
      </c>
      <c r="M78" s="33" t="inlineStr">
        <is>
          <t>x=raw×key; then use this item weight in weighted cosine.</t>
        </is>
      </c>
      <c r="N78" s="41" t="n">
        <v>1.068575559351634</v>
      </c>
      <c r="O78" s="42">
        <f>I78-N78</f>
        <v/>
      </c>
      <c r="P78" s="43">
        <f>IF(ABS(O78)&lt;0.000001,"PASS","CHECK")</f>
        <v/>
      </c>
    </row>
    <row r="79" ht="36" customHeight="1">
      <c r="A79" s="33">
        <f>'23_ITEM_WEIGHT_MODEL'!A79</f>
        <v/>
      </c>
      <c r="B79" s="33">
        <f>'23_ITEM_WEIGHT_MODEL'!F79</f>
        <v/>
      </c>
      <c r="C79" s="33">
        <f>'23_ITEM_WEIGHT_MODEL'!B79</f>
        <v/>
      </c>
      <c r="D79" s="33">
        <f>'23_ITEM_WEIGHT_MODEL'!C79</f>
        <v/>
      </c>
      <c r="E79" s="33">
        <f>'23_ITEM_WEIGHT_MODEL'!D79</f>
        <v/>
      </c>
      <c r="F79" s="35">
        <f>'23_ITEM_WEIGHT_MODEL'!H79</f>
        <v/>
      </c>
      <c r="G79" s="35">
        <f>'23_ITEM_WEIGHT_MODEL'!J79</f>
        <v/>
      </c>
      <c r="H79" s="35">
        <f>'23_ITEM_WEIGHT_MODEL'!K79</f>
        <v/>
      </c>
      <c r="I79" s="37">
        <f>'23_ITEM_WEIGHT_MODEL'!M79</f>
        <v/>
      </c>
      <c r="J79" s="35">
        <f>'23_ITEM_WEIGHT_MODEL'!N79</f>
        <v/>
      </c>
      <c r="K79" s="33">
        <f>'23_ITEM_WEIGHT_MODEL'!G79</f>
        <v/>
      </c>
      <c r="L79" s="33" t="inlineStr">
        <is>
          <t>Confusion risk; layer; slot count; wording flag</t>
        </is>
      </c>
      <c r="M79" s="33" t="inlineStr">
        <is>
          <t>x=raw×key; then use this item weight in weighted cosine.</t>
        </is>
      </c>
      <c r="N79" s="41" t="n">
        <v>1.087459524872663</v>
      </c>
      <c r="O79" s="42">
        <f>I79-N79</f>
        <v/>
      </c>
      <c r="P79" s="43">
        <f>IF(ABS(O79)&lt;0.000001,"PASS","CHECK")</f>
        <v/>
      </c>
    </row>
    <row r="80" ht="36" customHeight="1">
      <c r="A80" s="33">
        <f>'23_ITEM_WEIGHT_MODEL'!A80</f>
        <v/>
      </c>
      <c r="B80" s="33">
        <f>'23_ITEM_WEIGHT_MODEL'!F80</f>
        <v/>
      </c>
      <c r="C80" s="33">
        <f>'23_ITEM_WEIGHT_MODEL'!B80</f>
        <v/>
      </c>
      <c r="D80" s="33">
        <f>'23_ITEM_WEIGHT_MODEL'!C80</f>
        <v/>
      </c>
      <c r="E80" s="33">
        <f>'23_ITEM_WEIGHT_MODEL'!D80</f>
        <v/>
      </c>
      <c r="F80" s="35">
        <f>'23_ITEM_WEIGHT_MODEL'!H80</f>
        <v/>
      </c>
      <c r="G80" s="35">
        <f>'23_ITEM_WEIGHT_MODEL'!J80</f>
        <v/>
      </c>
      <c r="H80" s="35">
        <f>'23_ITEM_WEIGHT_MODEL'!K80</f>
        <v/>
      </c>
      <c r="I80" s="36">
        <f>'23_ITEM_WEIGHT_MODEL'!M80</f>
        <v/>
      </c>
      <c r="J80" s="35">
        <f>'23_ITEM_WEIGHT_MODEL'!N80</f>
        <v/>
      </c>
      <c r="K80" s="33">
        <f>'23_ITEM_WEIGHT_MODEL'!G80</f>
        <v/>
      </c>
      <c r="L80" s="33" t="inlineStr">
        <is>
          <t>Confusion risk; layer; slot count; wording flag</t>
        </is>
      </c>
      <c r="M80" s="33" t="inlineStr">
        <is>
          <t>x=raw×key; then use this item weight in weighted cosine.</t>
        </is>
      </c>
      <c r="N80" s="41" t="n">
        <v>0.9731140229504174</v>
      </c>
      <c r="O80" s="42">
        <f>I80-N80</f>
        <v/>
      </c>
      <c r="P80" s="43">
        <f>IF(ABS(O80)&lt;0.000001,"PASS","CHECK")</f>
        <v/>
      </c>
    </row>
    <row r="81" ht="36" customHeight="1">
      <c r="A81" s="33">
        <f>'23_ITEM_WEIGHT_MODEL'!A81</f>
        <v/>
      </c>
      <c r="B81" s="33">
        <f>'23_ITEM_WEIGHT_MODEL'!F81</f>
        <v/>
      </c>
      <c r="C81" s="33">
        <f>'23_ITEM_WEIGHT_MODEL'!B81</f>
        <v/>
      </c>
      <c r="D81" s="33">
        <f>'23_ITEM_WEIGHT_MODEL'!C81</f>
        <v/>
      </c>
      <c r="E81" s="33">
        <f>'23_ITEM_WEIGHT_MODEL'!D81</f>
        <v/>
      </c>
      <c r="F81" s="35">
        <f>'23_ITEM_WEIGHT_MODEL'!H81</f>
        <v/>
      </c>
      <c r="G81" s="35">
        <f>'23_ITEM_WEIGHT_MODEL'!J81</f>
        <v/>
      </c>
      <c r="H81" s="35">
        <f>'23_ITEM_WEIGHT_MODEL'!K81</f>
        <v/>
      </c>
      <c r="I81" s="38">
        <f>'23_ITEM_WEIGHT_MODEL'!M81</f>
        <v/>
      </c>
      <c r="J81" s="35">
        <f>'23_ITEM_WEIGHT_MODEL'!N81</f>
        <v/>
      </c>
      <c r="K81" s="33">
        <f>'23_ITEM_WEIGHT_MODEL'!G81</f>
        <v/>
      </c>
      <c r="L81" s="33" t="inlineStr">
        <is>
          <t>Confusion risk; layer; slot count; wording flag</t>
        </is>
      </c>
      <c r="M81" s="33" t="inlineStr">
        <is>
          <t>x=raw×key; then use this item weight in weighted cosine.</t>
        </is>
      </c>
      <c r="N81" s="41" t="n">
        <v>0.9462502322696098</v>
      </c>
      <c r="O81" s="42">
        <f>I81-N81</f>
        <v/>
      </c>
      <c r="P81" s="43">
        <f>IF(ABS(O81)&lt;0.000001,"PASS","CHECK")</f>
        <v/>
      </c>
    </row>
    <row r="82" ht="36" customHeight="1">
      <c r="A82" s="33">
        <f>'23_ITEM_WEIGHT_MODEL'!A82</f>
        <v/>
      </c>
      <c r="B82" s="33">
        <f>'23_ITEM_WEIGHT_MODEL'!F82</f>
        <v/>
      </c>
      <c r="C82" s="33">
        <f>'23_ITEM_WEIGHT_MODEL'!B82</f>
        <v/>
      </c>
      <c r="D82" s="33">
        <f>'23_ITEM_WEIGHT_MODEL'!C82</f>
        <v/>
      </c>
      <c r="E82" s="33">
        <f>'23_ITEM_WEIGHT_MODEL'!D82</f>
        <v/>
      </c>
      <c r="F82" s="35">
        <f>'23_ITEM_WEIGHT_MODEL'!H82</f>
        <v/>
      </c>
      <c r="G82" s="35">
        <f>'23_ITEM_WEIGHT_MODEL'!J82</f>
        <v/>
      </c>
      <c r="H82" s="35">
        <f>'23_ITEM_WEIGHT_MODEL'!K82</f>
        <v/>
      </c>
      <c r="I82" s="37">
        <f>'23_ITEM_WEIGHT_MODEL'!M82</f>
        <v/>
      </c>
      <c r="J82" s="35">
        <f>'23_ITEM_WEIGHT_MODEL'!N82</f>
        <v/>
      </c>
      <c r="K82" s="33">
        <f>'23_ITEM_WEIGHT_MODEL'!G82</f>
        <v/>
      </c>
      <c r="L82" s="33" t="inlineStr">
        <is>
          <t>Confusion risk; layer; slot count; wording flag</t>
        </is>
      </c>
      <c r="M82" s="33" t="inlineStr">
        <is>
          <t>x=raw×key; then use this item weight in weighted cosine.</t>
        </is>
      </c>
      <c r="N82" s="41" t="n">
        <v>1.066693927841029</v>
      </c>
      <c r="O82" s="42">
        <f>I82-N82</f>
        <v/>
      </c>
      <c r="P82" s="43">
        <f>IF(ABS(O82)&lt;0.000001,"PASS","CHECK")</f>
        <v/>
      </c>
    </row>
    <row r="83" ht="36" customHeight="1">
      <c r="A83" s="33">
        <f>'23_ITEM_WEIGHT_MODEL'!A83</f>
        <v/>
      </c>
      <c r="B83" s="33">
        <f>'23_ITEM_WEIGHT_MODEL'!F83</f>
        <v/>
      </c>
      <c r="C83" s="33">
        <f>'23_ITEM_WEIGHT_MODEL'!B83</f>
        <v/>
      </c>
      <c r="D83" s="33">
        <f>'23_ITEM_WEIGHT_MODEL'!C83</f>
        <v/>
      </c>
      <c r="E83" s="33">
        <f>'23_ITEM_WEIGHT_MODEL'!D83</f>
        <v/>
      </c>
      <c r="F83" s="35">
        <f>'23_ITEM_WEIGHT_MODEL'!H83</f>
        <v/>
      </c>
      <c r="G83" s="35">
        <f>'23_ITEM_WEIGHT_MODEL'!J83</f>
        <v/>
      </c>
      <c r="H83" s="35">
        <f>'23_ITEM_WEIGHT_MODEL'!K83</f>
        <v/>
      </c>
      <c r="I83" s="38">
        <f>'23_ITEM_WEIGHT_MODEL'!M83</f>
        <v/>
      </c>
      <c r="J83" s="35">
        <f>'23_ITEM_WEIGHT_MODEL'!N83</f>
        <v/>
      </c>
      <c r="K83" s="33">
        <f>'23_ITEM_WEIGHT_MODEL'!G83</f>
        <v/>
      </c>
      <c r="L83" s="33" t="inlineStr">
        <is>
          <t>Confusion risk; layer; slot count; wording flag</t>
        </is>
      </c>
      <c r="M83" s="33" t="inlineStr">
        <is>
          <t>x=raw×key; then use this item weight in weighted cosine.</t>
        </is>
      </c>
      <c r="N83" s="41" t="n">
        <v>0.9566050522200168</v>
      </c>
      <c r="O83" s="42">
        <f>I83-N83</f>
        <v/>
      </c>
      <c r="P83" s="43">
        <f>IF(ABS(O83)&lt;0.000001,"PASS","CHECK")</f>
        <v/>
      </c>
    </row>
    <row r="84" ht="36" customHeight="1">
      <c r="A84" s="33">
        <f>'23_ITEM_WEIGHT_MODEL'!A84</f>
        <v/>
      </c>
      <c r="B84" s="33">
        <f>'23_ITEM_WEIGHT_MODEL'!F84</f>
        <v/>
      </c>
      <c r="C84" s="33">
        <f>'23_ITEM_WEIGHT_MODEL'!B84</f>
        <v/>
      </c>
      <c r="D84" s="33">
        <f>'23_ITEM_WEIGHT_MODEL'!C84</f>
        <v/>
      </c>
      <c r="E84" s="33">
        <f>'23_ITEM_WEIGHT_MODEL'!D84</f>
        <v/>
      </c>
      <c r="F84" s="35">
        <f>'23_ITEM_WEIGHT_MODEL'!H84</f>
        <v/>
      </c>
      <c r="G84" s="35">
        <f>'23_ITEM_WEIGHT_MODEL'!J84</f>
        <v/>
      </c>
      <c r="H84" s="35">
        <f>'23_ITEM_WEIGHT_MODEL'!K84</f>
        <v/>
      </c>
      <c r="I84" s="38">
        <f>'23_ITEM_WEIGHT_MODEL'!M84</f>
        <v/>
      </c>
      <c r="J84" s="35">
        <f>'23_ITEM_WEIGHT_MODEL'!N84</f>
        <v/>
      </c>
      <c r="K84" s="33">
        <f>'23_ITEM_WEIGHT_MODEL'!G84</f>
        <v/>
      </c>
      <c r="L84" s="33" t="inlineStr">
        <is>
          <t>Confusion risk; layer; slot count; wording flag</t>
        </is>
      </c>
      <c r="M84" s="33" t="inlineStr">
        <is>
          <t>x=raw×key; then use this item weight in weighted cosine.</t>
        </is>
      </c>
      <c r="N84" s="41" t="n">
        <v>0.9474494721841614</v>
      </c>
      <c r="O84" s="42">
        <f>I84-N84</f>
        <v/>
      </c>
      <c r="P84" s="43">
        <f>IF(ABS(O84)&lt;0.000001,"PASS","CHECK")</f>
        <v/>
      </c>
    </row>
  </sheetData>
  <autoFilter ref="A4:P84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8" customWidth="1" min="5" max="5"/>
    <col width="36" customWidth="1" min="6" max="6"/>
    <col width="18" customWidth="1" min="7" max="7"/>
    <col width="24" customWidth="1" min="8" max="8"/>
    <col width="24" customWidth="1" min="9" max="9"/>
    <col width="46" customWidth="1" min="10" max="10"/>
  </cols>
  <sheetData>
    <row r="1" ht="30" customHeight="1">
      <c r="A1" s="1" t="inlineStr">
        <is>
          <t>Weight-Range Sensitivity</t>
        </is>
      </c>
    </row>
    <row r="2" ht="34" customHeight="1">
      <c r="A2" s="29" t="inlineStr">
        <is>
          <t>Independent structural QA. The cap is a design choice, not calibrated. ±10% is selected because it honors confidence ordering while remaining close to robust unit weighting.</t>
        </is>
      </c>
    </row>
    <row r="3"/>
    <row r="4" ht="32" customHeight="1">
      <c r="A4" s="30" t="inlineStr">
        <is>
          <t>Max + deviation</t>
        </is>
      </c>
      <c r="B4" s="30" t="inlineStr">
        <is>
          <t>Min weight</t>
        </is>
      </c>
      <c r="C4" s="30" t="inlineStr">
        <is>
          <t>Max weight</t>
        </is>
      </c>
      <c r="D4" s="30" t="inlineStr">
        <is>
          <t>Weight SD</t>
        </is>
      </c>
      <c r="E4" s="30" t="inlineStr">
        <is>
          <t>Min angular chord</t>
        </is>
      </c>
      <c r="F4" s="30" t="inlineStr">
        <is>
          <t>Nearest pair</t>
        </is>
      </c>
      <c r="G4" s="30" t="inlineStr">
        <is>
          <t>Median chord</t>
        </is>
      </c>
      <c r="H4" s="30" t="inlineStr">
        <is>
          <t>Min high-risk ratio vs equal</t>
        </is>
      </c>
      <c r="I4" s="30" t="inlineStr">
        <is>
          <t>Mean high-risk ratio</t>
        </is>
      </c>
      <c r="J4" s="30" t="inlineStr">
        <is>
          <t>Robustness</t>
        </is>
      </c>
    </row>
    <row r="5" ht="36" customHeight="1">
      <c r="A5" s="33" t="n">
        <v>0</v>
      </c>
      <c r="B5" s="33" t="n">
        <v>1</v>
      </c>
      <c r="C5" s="33" t="n">
        <v>1</v>
      </c>
      <c r="D5" s="33" t="n">
        <v>0</v>
      </c>
      <c r="E5" s="33" t="n">
        <v>0.6109078075082001</v>
      </c>
      <c r="F5" s="33" t="inlineStr">
        <is>
          <t>Draconian ↔ Anunnaki / Nibiruan</t>
        </is>
      </c>
      <c r="G5" s="33" t="n">
        <v>1.254834251462827</v>
      </c>
      <c r="H5" s="33" t="n">
        <v>1</v>
      </c>
      <c r="I5" s="33" t="n">
        <v>1</v>
      </c>
      <c r="J5" s="33" t="inlineStr">
        <is>
          <t>amp 23/23; quant 23/23; one-item 11040/11040</t>
        </is>
      </c>
    </row>
    <row r="6" ht="36" customHeight="1">
      <c r="A6" s="33" t="n">
        <v>0.05</v>
      </c>
      <c r="B6" s="33" t="n">
        <v>0.9694747109535831</v>
      </c>
      <c r="C6" s="33" t="n">
        <v>1.05</v>
      </c>
      <c r="D6" s="33" t="n">
        <v>0.019296861522826</v>
      </c>
      <c r="E6" s="33" t="n">
        <v>0.6076987639559095</v>
      </c>
      <c r="F6" s="33" t="inlineStr">
        <is>
          <t>Draconian ↔ Anunnaki / Nibiruan</t>
        </is>
      </c>
      <c r="G6" s="33" t="n">
        <v>1.256711928668946</v>
      </c>
      <c r="H6" s="33" t="n">
        <v>0.9947470902927567</v>
      </c>
      <c r="I6" s="33" t="n">
        <v>1.001019010200362</v>
      </c>
      <c r="J6" s="33" t="inlineStr">
        <is>
          <t>amp 23/23; quant 23/23; one-item 11040/11040</t>
        </is>
      </c>
    </row>
    <row r="7" ht="36" customHeight="1">
      <c r="A7" s="39" t="n">
        <v>0.1</v>
      </c>
      <c r="B7" s="33" t="n">
        <v>0.9389494219071662</v>
      </c>
      <c r="C7" s="33" t="n">
        <v>1.1</v>
      </c>
      <c r="D7" s="33" t="n">
        <v>0.03859372304565199</v>
      </c>
      <c r="E7" s="33" t="n">
        <v>0.6044289750760716</v>
      </c>
      <c r="F7" s="33" t="inlineStr">
        <is>
          <t>Draconian ↔ Anunnaki / Nibiruan</t>
        </is>
      </c>
      <c r="G7" s="33" t="n">
        <v>1.260410399556608</v>
      </c>
      <c r="H7" s="33" t="n">
        <v>0.9893947460606951</v>
      </c>
      <c r="I7" s="33" t="n">
        <v>1.002009580870612</v>
      </c>
      <c r="J7" s="33" t="inlineStr">
        <is>
          <t>amp 23/23; quant 23/23; one-item 11040/11040</t>
        </is>
      </c>
    </row>
    <row r="8" ht="36" customHeight="1">
      <c r="A8" s="33" t="n">
        <v>0.15</v>
      </c>
      <c r="B8" s="33" t="n">
        <v>0.9084241328607493</v>
      </c>
      <c r="C8" s="33" t="n">
        <v>1.15</v>
      </c>
      <c r="D8" s="33" t="n">
        <v>0.05789058456847797</v>
      </c>
      <c r="E8" s="33" t="n">
        <v>0.6010965518037114</v>
      </c>
      <c r="F8" s="33" t="inlineStr">
        <is>
          <t>Draconian ↔ Anunnaki / Nibiruan</t>
        </is>
      </c>
      <c r="G8" s="33" t="n">
        <v>1.259640216761031</v>
      </c>
      <c r="H8" s="33" t="n">
        <v>0.983939875077866</v>
      </c>
      <c r="I8" s="33" t="n">
        <v>1.002971663443321</v>
      </c>
      <c r="J8" s="33" t="inlineStr">
        <is>
          <t>amp 23/23; quant 23/23; one-item 11040/11040</t>
        </is>
      </c>
    </row>
    <row r="9" ht="36" customHeight="1">
      <c r="A9" s="33" t="n">
        <v>0.2</v>
      </c>
      <c r="B9" s="33" t="n">
        <v>0.8778988438143325</v>
      </c>
      <c r="C9" s="33" t="n">
        <v>1.2</v>
      </c>
      <c r="D9" s="33" t="n">
        <v>0.07718744609130397</v>
      </c>
      <c r="E9" s="33" t="n">
        <v>0.5976995188634673</v>
      </c>
      <c r="F9" s="33" t="inlineStr">
        <is>
          <t>Draconian ↔ Anunnaki / Nibiruan</t>
        </is>
      </c>
      <c r="G9" s="33" t="n">
        <v>1.256161380341291</v>
      </c>
      <c r="H9" s="33" t="n">
        <v>0.9783792439998313</v>
      </c>
      <c r="I9" s="33" t="n">
        <v>1.003905177130427</v>
      </c>
      <c r="J9" s="33" t="inlineStr">
        <is>
          <t>amp 23/23; quant 23/23; one-item 11040/11040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14" customWidth="1" min="6" max="6"/>
    <col width="14" customWidth="1" min="7" max="7"/>
    <col width="14" customWidth="1" min="8" max="8"/>
    <col width="16" customWidth="1" min="9" max="9"/>
    <col width="27" customWidth="1" min="10" max="10"/>
  </cols>
  <sheetData>
    <row r="1" ht="30" customHeight="1">
      <c r="A1" s="1" t="inlineStr">
        <is>
          <t>Confidence-Grade Mapping Sensitivity</t>
        </is>
      </c>
    </row>
    <row r="2" ht="34" customHeight="1">
      <c r="A2" s="29" t="inlineStr">
        <is>
          <t>Independent QA across reasonable A/B/C/D numeric maps. Because final weights are strongly shrunk toward 1.0, ranking and geometry remain highly stable.</t>
        </is>
      </c>
    </row>
    <row r="3"/>
    <row r="4" ht="32" customHeight="1">
      <c r="A4" s="30" t="inlineStr">
        <is>
          <t>Map</t>
        </is>
      </c>
      <c r="B4" s="30" t="inlineStr">
        <is>
          <t>A</t>
        </is>
      </c>
      <c r="C4" s="30" t="inlineStr">
        <is>
          <t>B</t>
        </is>
      </c>
      <c r="D4" s="30" t="inlineStr">
        <is>
          <t>C</t>
        </is>
      </c>
      <c r="E4" s="30" t="inlineStr">
        <is>
          <t>D</t>
        </is>
      </c>
      <c r="F4" s="30" t="inlineStr">
        <is>
          <t>Min weight</t>
        </is>
      </c>
      <c r="G4" s="30" t="inlineStr">
        <is>
          <t>Max weight</t>
        </is>
      </c>
      <c r="H4" s="30" t="inlineStr">
        <is>
          <t>Weight SD</t>
        </is>
      </c>
      <c r="I4" s="30" t="inlineStr">
        <is>
          <t>Min chord</t>
        </is>
      </c>
      <c r="J4" s="30" t="inlineStr">
        <is>
          <t>Spearman weight-rank vs base</t>
        </is>
      </c>
    </row>
    <row r="5" ht="36" customHeight="1">
      <c r="A5" s="33" t="inlineStr">
        <is>
          <t>BASE</t>
        </is>
      </c>
      <c r="B5" s="33" t="n">
        <v>1</v>
      </c>
      <c r="C5" s="33" t="n">
        <v>0.8</v>
      </c>
      <c r="D5" s="33" t="n">
        <v>0.55</v>
      </c>
      <c r="E5" s="33" t="n">
        <v>0.3</v>
      </c>
      <c r="F5" s="33" t="n">
        <v>0.9389494219071662</v>
      </c>
      <c r="G5" s="33" t="n">
        <v>1.1</v>
      </c>
      <c r="H5" s="33" t="n">
        <v>0.03859372304565199</v>
      </c>
      <c r="I5" s="33" t="n">
        <v>0.6044289750760716</v>
      </c>
      <c r="J5" s="33" t="n">
        <v>1</v>
      </c>
    </row>
    <row r="6" ht="36" customHeight="1">
      <c r="A6" s="33" t="inlineStr">
        <is>
          <t>FLAT</t>
        </is>
      </c>
      <c r="B6" s="33" t="n">
        <v>1</v>
      </c>
      <c r="C6" s="33" t="n">
        <v>0.9</v>
      </c>
      <c r="D6" s="33" t="n">
        <v>0.75</v>
      </c>
      <c r="E6" s="33" t="n">
        <v>0.6</v>
      </c>
      <c r="F6" s="33" t="n">
        <v>0.9353006280064908</v>
      </c>
      <c r="G6" s="33" t="n">
        <v>1.1</v>
      </c>
      <c r="H6" s="33" t="n">
        <v>0.03933054347072649</v>
      </c>
      <c r="I6" s="33" t="n">
        <v>0.6038870060695359</v>
      </c>
      <c r="J6" s="33" t="n">
        <v>0.9928444908444675</v>
      </c>
    </row>
    <row r="7" ht="36" customHeight="1">
      <c r="A7" s="33" t="inlineStr">
        <is>
          <t>MID</t>
        </is>
      </c>
      <c r="B7" s="33" t="n">
        <v>1</v>
      </c>
      <c r="C7" s="33" t="n">
        <v>0.85</v>
      </c>
      <c r="D7" s="33" t="n">
        <v>0.65</v>
      </c>
      <c r="E7" s="33" t="n">
        <v>0.45</v>
      </c>
      <c r="F7" s="33" t="n">
        <v>0.9366589018456133</v>
      </c>
      <c r="G7" s="33" t="n">
        <v>1.1</v>
      </c>
      <c r="H7" s="33" t="n">
        <v>0.03909067960153407</v>
      </c>
      <c r="I7" s="33" t="n">
        <v>0.604094595993651</v>
      </c>
      <c r="J7" s="33" t="n">
        <v>0.9975899302951574</v>
      </c>
    </row>
    <row r="8" ht="36" customHeight="1">
      <c r="A8" s="33" t="inlineStr">
        <is>
          <t>STEEP</t>
        </is>
      </c>
      <c r="B8" s="33" t="n">
        <v>1</v>
      </c>
      <c r="C8" s="33" t="n">
        <v>0.75</v>
      </c>
      <c r="D8" s="33" t="n">
        <v>0.45</v>
      </c>
      <c r="E8" s="33" t="n">
        <v>0.2</v>
      </c>
      <c r="F8" s="33" t="n">
        <v>0.9443079852542887</v>
      </c>
      <c r="G8" s="33" t="n">
        <v>1.1</v>
      </c>
      <c r="H8" s="33" t="n">
        <v>0.03700465022437175</v>
      </c>
      <c r="I8" s="33" t="n">
        <v>0.6051052796975817</v>
      </c>
      <c r="J8" s="33" t="n">
        <v>0.9979887851606426</v>
      </c>
    </row>
  </sheetData>
  <mergeCells count="2">
    <mergeCell ref="A1:J1"/>
    <mergeCell ref="A2:J2"/>
  </mergeCells>
  <pageMargins left="0.75" right="0.75" top="1" bottom="1" header="0.5" footer="0.5"/>
  <pageSetup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C5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Weight Vector Helper</t>
        </is>
      </c>
    </row>
    <row r="2"/>
    <row r="3"/>
    <row r="4">
      <c r="A4" t="inlineStr">
        <is>
          <t>Metric</t>
        </is>
      </c>
      <c r="B4" t="inlineStr">
        <is>
          <t>G01</t>
        </is>
      </c>
      <c r="C4" t="inlineStr">
        <is>
          <t>G02</t>
        </is>
      </c>
      <c r="D4" t="inlineStr">
        <is>
          <t>G03</t>
        </is>
      </c>
      <c r="E4" t="inlineStr">
        <is>
          <t>G04</t>
        </is>
      </c>
      <c r="F4" t="inlineStr">
        <is>
          <t>G05</t>
        </is>
      </c>
      <c r="G4" t="inlineStr">
        <is>
          <t>G06</t>
        </is>
      </c>
      <c r="H4" t="inlineStr">
        <is>
          <t>G07</t>
        </is>
      </c>
      <c r="I4" t="inlineStr">
        <is>
          <t>G08</t>
        </is>
      </c>
      <c r="J4" t="inlineStr">
        <is>
          <t>G09</t>
        </is>
      </c>
      <c r="K4" t="inlineStr">
        <is>
          <t>G10</t>
        </is>
      </c>
      <c r="L4" t="inlineStr">
        <is>
          <t>G11</t>
        </is>
      </c>
      <c r="M4" t="inlineStr">
        <is>
          <t>G12</t>
        </is>
      </c>
      <c r="N4" t="inlineStr">
        <is>
          <t>G13</t>
        </is>
      </c>
      <c r="O4" t="inlineStr">
        <is>
          <t>G14</t>
        </is>
      </c>
      <c r="P4" t="inlineStr">
        <is>
          <t>G15</t>
        </is>
      </c>
      <c r="Q4" t="inlineStr">
        <is>
          <t>G16</t>
        </is>
      </c>
      <c r="R4" t="inlineStr">
        <is>
          <t>G17</t>
        </is>
      </c>
      <c r="S4" t="inlineStr">
        <is>
          <t>G18</t>
        </is>
      </c>
      <c r="T4" t="inlineStr">
        <is>
          <t>G19</t>
        </is>
      </c>
      <c r="U4" t="inlineStr">
        <is>
          <t>G20</t>
        </is>
      </c>
      <c r="V4" t="inlineStr">
        <is>
          <t>G21</t>
        </is>
      </c>
      <c r="W4" t="inlineStr">
        <is>
          <t>G22</t>
        </is>
      </c>
      <c r="X4" t="inlineStr">
        <is>
          <t>G23</t>
        </is>
      </c>
      <c r="Y4" t="inlineStr">
        <is>
          <t>G24</t>
        </is>
      </c>
      <c r="Z4" t="inlineStr">
        <is>
          <t>G25</t>
        </is>
      </c>
      <c r="AA4" t="inlineStr">
        <is>
          <t>G26</t>
        </is>
      </c>
      <c r="AB4" t="inlineStr">
        <is>
          <t>G27</t>
        </is>
      </c>
      <c r="AC4" t="inlineStr">
        <is>
          <t>G28</t>
        </is>
      </c>
      <c r="AD4" t="inlineStr">
        <is>
          <t>G29</t>
        </is>
      </c>
      <c r="AE4" t="inlineStr">
        <is>
          <t>G30</t>
        </is>
      </c>
      <c r="AF4" t="inlineStr">
        <is>
          <t>L01</t>
        </is>
      </c>
      <c r="AG4" t="inlineStr">
        <is>
          <t>L02</t>
        </is>
      </c>
      <c r="AH4" t="inlineStr">
        <is>
          <t>L03</t>
        </is>
      </c>
      <c r="AI4" t="inlineStr">
        <is>
          <t>L04</t>
        </is>
      </c>
      <c r="AJ4" t="inlineStr">
        <is>
          <t>L05</t>
        </is>
      </c>
      <c r="AK4" t="inlineStr">
        <is>
          <t>L06</t>
        </is>
      </c>
      <c r="AL4" t="inlineStr">
        <is>
          <t>L07</t>
        </is>
      </c>
      <c r="AM4" t="inlineStr">
        <is>
          <t>L08</t>
        </is>
      </c>
      <c r="AN4" t="inlineStr">
        <is>
          <t>L09</t>
        </is>
      </c>
      <c r="AO4" t="inlineStr">
        <is>
          <t>L10</t>
        </is>
      </c>
      <c r="AP4" t="inlineStr">
        <is>
          <t>L11</t>
        </is>
      </c>
      <c r="AQ4" t="inlineStr">
        <is>
          <t>L12</t>
        </is>
      </c>
      <c r="AR4" t="inlineStr">
        <is>
          <t>L13</t>
        </is>
      </c>
      <c r="AS4" t="inlineStr">
        <is>
          <t>L14</t>
        </is>
      </c>
      <c r="AT4" t="inlineStr">
        <is>
          <t>L15</t>
        </is>
      </c>
      <c r="AU4" t="inlineStr">
        <is>
          <t>L16</t>
        </is>
      </c>
      <c r="AV4" t="inlineStr">
        <is>
          <t>L17</t>
        </is>
      </c>
      <c r="AW4" t="inlineStr">
        <is>
          <t>L18</t>
        </is>
      </c>
      <c r="AX4" t="inlineStr">
        <is>
          <t>L19</t>
        </is>
      </c>
      <c r="AY4" t="inlineStr">
        <is>
          <t>L20</t>
        </is>
      </c>
      <c r="AZ4" t="inlineStr">
        <is>
          <t>L21</t>
        </is>
      </c>
      <c r="BA4" t="inlineStr">
        <is>
          <t>L22</t>
        </is>
      </c>
      <c r="BB4" t="inlineStr">
        <is>
          <t>L23</t>
        </is>
      </c>
      <c r="BC4" t="inlineStr">
        <is>
          <t>L24</t>
        </is>
      </c>
      <c r="BD4" t="inlineStr">
        <is>
          <t>L25</t>
        </is>
      </c>
      <c r="BE4" t="inlineStr">
        <is>
          <t>L26</t>
        </is>
      </c>
      <c r="BF4" t="inlineStr">
        <is>
          <t>L27</t>
        </is>
      </c>
      <c r="BG4" t="inlineStr">
        <is>
          <t>L28</t>
        </is>
      </c>
      <c r="BH4" t="inlineStr">
        <is>
          <t>L29</t>
        </is>
      </c>
      <c r="BI4" t="inlineStr">
        <is>
          <t>L30</t>
        </is>
      </c>
      <c r="BJ4" t="inlineStr">
        <is>
          <t>L31</t>
        </is>
      </c>
      <c r="BK4" t="inlineStr">
        <is>
          <t>L32</t>
        </is>
      </c>
      <c r="BL4" t="inlineStr">
        <is>
          <t>L33</t>
        </is>
      </c>
      <c r="BM4" t="inlineStr">
        <is>
          <t>L34</t>
        </is>
      </c>
      <c r="BN4" t="inlineStr">
        <is>
          <t>L35</t>
        </is>
      </c>
      <c r="BO4" t="inlineStr">
        <is>
          <t>L36</t>
        </is>
      </c>
      <c r="BP4" t="inlineStr">
        <is>
          <t>L37</t>
        </is>
      </c>
      <c r="BQ4" t="inlineStr">
        <is>
          <t>L38</t>
        </is>
      </c>
      <c r="BR4" t="inlineStr">
        <is>
          <t>A01</t>
        </is>
      </c>
      <c r="BS4" t="inlineStr">
        <is>
          <t>A02</t>
        </is>
      </c>
      <c r="BT4" t="inlineStr">
        <is>
          <t>A03</t>
        </is>
      </c>
      <c r="BU4" t="inlineStr">
        <is>
          <t>A04</t>
        </is>
      </c>
      <c r="BV4" t="inlineStr">
        <is>
          <t>A05</t>
        </is>
      </c>
      <c r="BW4" t="inlineStr">
        <is>
          <t>A06</t>
        </is>
      </c>
      <c r="BX4" t="inlineStr">
        <is>
          <t>A07</t>
        </is>
      </c>
      <c r="BY4" t="inlineStr">
        <is>
          <t>A08</t>
        </is>
      </c>
      <c r="BZ4" t="inlineStr">
        <is>
          <t>A09</t>
        </is>
      </c>
      <c r="CA4" t="inlineStr">
        <is>
          <t>A10</t>
        </is>
      </c>
      <c r="CB4" t="inlineStr">
        <is>
          <t>A11</t>
        </is>
      </c>
      <c r="CC4" t="inlineStr">
        <is>
          <t>A12</t>
        </is>
      </c>
    </row>
    <row r="5">
      <c r="A5" t="inlineStr">
        <is>
          <t>Weight</t>
        </is>
      </c>
      <c r="B5">
        <f>'24_FINAL_ITEM_WEIGHTS'!I5</f>
        <v/>
      </c>
      <c r="C5">
        <f>'24_FINAL_ITEM_WEIGHTS'!I6</f>
        <v/>
      </c>
      <c r="D5">
        <f>'24_FINAL_ITEM_WEIGHTS'!I7</f>
        <v/>
      </c>
      <c r="E5">
        <f>'24_FINAL_ITEM_WEIGHTS'!I8</f>
        <v/>
      </c>
      <c r="F5">
        <f>'24_FINAL_ITEM_WEIGHTS'!I9</f>
        <v/>
      </c>
      <c r="G5">
        <f>'24_FINAL_ITEM_WEIGHTS'!I10</f>
        <v/>
      </c>
      <c r="H5">
        <f>'24_FINAL_ITEM_WEIGHTS'!I11</f>
        <v/>
      </c>
      <c r="I5">
        <f>'24_FINAL_ITEM_WEIGHTS'!I12</f>
        <v/>
      </c>
      <c r="J5">
        <f>'24_FINAL_ITEM_WEIGHTS'!I13</f>
        <v/>
      </c>
      <c r="K5">
        <f>'24_FINAL_ITEM_WEIGHTS'!I14</f>
        <v/>
      </c>
      <c r="L5">
        <f>'24_FINAL_ITEM_WEIGHTS'!I15</f>
        <v/>
      </c>
      <c r="M5">
        <f>'24_FINAL_ITEM_WEIGHTS'!I16</f>
        <v/>
      </c>
      <c r="N5">
        <f>'24_FINAL_ITEM_WEIGHTS'!I17</f>
        <v/>
      </c>
      <c r="O5">
        <f>'24_FINAL_ITEM_WEIGHTS'!I18</f>
        <v/>
      </c>
      <c r="P5">
        <f>'24_FINAL_ITEM_WEIGHTS'!I19</f>
        <v/>
      </c>
      <c r="Q5">
        <f>'24_FINAL_ITEM_WEIGHTS'!I20</f>
        <v/>
      </c>
      <c r="R5">
        <f>'24_FINAL_ITEM_WEIGHTS'!I21</f>
        <v/>
      </c>
      <c r="S5">
        <f>'24_FINAL_ITEM_WEIGHTS'!I22</f>
        <v/>
      </c>
      <c r="T5">
        <f>'24_FINAL_ITEM_WEIGHTS'!I23</f>
        <v/>
      </c>
      <c r="U5">
        <f>'24_FINAL_ITEM_WEIGHTS'!I24</f>
        <v/>
      </c>
      <c r="V5">
        <f>'24_FINAL_ITEM_WEIGHTS'!I25</f>
        <v/>
      </c>
      <c r="W5">
        <f>'24_FINAL_ITEM_WEIGHTS'!I26</f>
        <v/>
      </c>
      <c r="X5">
        <f>'24_FINAL_ITEM_WEIGHTS'!I27</f>
        <v/>
      </c>
      <c r="Y5">
        <f>'24_FINAL_ITEM_WEIGHTS'!I28</f>
        <v/>
      </c>
      <c r="Z5">
        <f>'24_FINAL_ITEM_WEIGHTS'!I29</f>
        <v/>
      </c>
      <c r="AA5">
        <f>'24_FINAL_ITEM_WEIGHTS'!I30</f>
        <v/>
      </c>
      <c r="AB5">
        <f>'24_FINAL_ITEM_WEIGHTS'!I31</f>
        <v/>
      </c>
      <c r="AC5">
        <f>'24_FINAL_ITEM_WEIGHTS'!I32</f>
        <v/>
      </c>
      <c r="AD5">
        <f>'24_FINAL_ITEM_WEIGHTS'!I33</f>
        <v/>
      </c>
      <c r="AE5">
        <f>'24_FINAL_ITEM_WEIGHTS'!I34</f>
        <v/>
      </c>
      <c r="AF5">
        <f>'24_FINAL_ITEM_WEIGHTS'!I35</f>
        <v/>
      </c>
      <c r="AG5">
        <f>'24_FINAL_ITEM_WEIGHTS'!I36</f>
        <v/>
      </c>
      <c r="AH5">
        <f>'24_FINAL_ITEM_WEIGHTS'!I37</f>
        <v/>
      </c>
      <c r="AI5">
        <f>'24_FINAL_ITEM_WEIGHTS'!I38</f>
        <v/>
      </c>
      <c r="AJ5">
        <f>'24_FINAL_ITEM_WEIGHTS'!I39</f>
        <v/>
      </c>
      <c r="AK5">
        <f>'24_FINAL_ITEM_WEIGHTS'!I40</f>
        <v/>
      </c>
      <c r="AL5">
        <f>'24_FINAL_ITEM_WEIGHTS'!I41</f>
        <v/>
      </c>
      <c r="AM5">
        <f>'24_FINAL_ITEM_WEIGHTS'!I42</f>
        <v/>
      </c>
      <c r="AN5">
        <f>'24_FINAL_ITEM_WEIGHTS'!I43</f>
        <v/>
      </c>
      <c r="AO5">
        <f>'24_FINAL_ITEM_WEIGHTS'!I44</f>
        <v/>
      </c>
      <c r="AP5">
        <f>'24_FINAL_ITEM_WEIGHTS'!I45</f>
        <v/>
      </c>
      <c r="AQ5">
        <f>'24_FINAL_ITEM_WEIGHTS'!I46</f>
        <v/>
      </c>
      <c r="AR5">
        <f>'24_FINAL_ITEM_WEIGHTS'!I47</f>
        <v/>
      </c>
      <c r="AS5">
        <f>'24_FINAL_ITEM_WEIGHTS'!I48</f>
        <v/>
      </c>
      <c r="AT5">
        <f>'24_FINAL_ITEM_WEIGHTS'!I49</f>
        <v/>
      </c>
      <c r="AU5">
        <f>'24_FINAL_ITEM_WEIGHTS'!I50</f>
        <v/>
      </c>
      <c r="AV5">
        <f>'24_FINAL_ITEM_WEIGHTS'!I51</f>
        <v/>
      </c>
      <c r="AW5">
        <f>'24_FINAL_ITEM_WEIGHTS'!I52</f>
        <v/>
      </c>
      <c r="AX5">
        <f>'24_FINAL_ITEM_WEIGHTS'!I53</f>
        <v/>
      </c>
      <c r="AY5">
        <f>'24_FINAL_ITEM_WEIGHTS'!I54</f>
        <v/>
      </c>
      <c r="AZ5">
        <f>'24_FINAL_ITEM_WEIGHTS'!I55</f>
        <v/>
      </c>
      <c r="BA5">
        <f>'24_FINAL_ITEM_WEIGHTS'!I56</f>
        <v/>
      </c>
      <c r="BB5">
        <f>'24_FINAL_ITEM_WEIGHTS'!I57</f>
        <v/>
      </c>
      <c r="BC5">
        <f>'24_FINAL_ITEM_WEIGHTS'!I58</f>
        <v/>
      </c>
      <c r="BD5">
        <f>'24_FINAL_ITEM_WEIGHTS'!I59</f>
        <v/>
      </c>
      <c r="BE5">
        <f>'24_FINAL_ITEM_WEIGHTS'!I60</f>
        <v/>
      </c>
      <c r="BF5">
        <f>'24_FINAL_ITEM_WEIGHTS'!I61</f>
        <v/>
      </c>
      <c r="BG5">
        <f>'24_FINAL_ITEM_WEIGHTS'!I62</f>
        <v/>
      </c>
      <c r="BH5">
        <f>'24_FINAL_ITEM_WEIGHTS'!I63</f>
        <v/>
      </c>
      <c r="BI5">
        <f>'24_FINAL_ITEM_WEIGHTS'!I64</f>
        <v/>
      </c>
      <c r="BJ5">
        <f>'24_FINAL_ITEM_WEIGHTS'!I65</f>
        <v/>
      </c>
      <c r="BK5">
        <f>'24_FINAL_ITEM_WEIGHTS'!I66</f>
        <v/>
      </c>
      <c r="BL5">
        <f>'24_FINAL_ITEM_WEIGHTS'!I67</f>
        <v/>
      </c>
      <c r="BM5">
        <f>'24_FINAL_ITEM_WEIGHTS'!I68</f>
        <v/>
      </c>
      <c r="BN5">
        <f>'24_FINAL_ITEM_WEIGHTS'!I69</f>
        <v/>
      </c>
      <c r="BO5">
        <f>'24_FINAL_ITEM_WEIGHTS'!I70</f>
        <v/>
      </c>
      <c r="BP5">
        <f>'24_FINAL_ITEM_WEIGHTS'!I71</f>
        <v/>
      </c>
      <c r="BQ5">
        <f>'24_FINAL_ITEM_WEIGHTS'!I72</f>
        <v/>
      </c>
      <c r="BR5">
        <f>'24_FINAL_ITEM_WEIGHTS'!I73</f>
        <v/>
      </c>
      <c r="BS5">
        <f>'24_FINAL_ITEM_WEIGHTS'!I74</f>
        <v/>
      </c>
      <c r="BT5">
        <f>'24_FINAL_ITEM_WEIGHTS'!I75</f>
        <v/>
      </c>
      <c r="BU5">
        <f>'24_FINAL_ITEM_WEIGHTS'!I76</f>
        <v/>
      </c>
      <c r="BV5">
        <f>'24_FINAL_ITEM_WEIGHTS'!I77</f>
        <v/>
      </c>
      <c r="BW5">
        <f>'24_FINAL_ITEM_WEIGHTS'!I78</f>
        <v/>
      </c>
      <c r="BX5">
        <f>'24_FINAL_ITEM_WEIGHTS'!I79</f>
        <v/>
      </c>
      <c r="BY5">
        <f>'24_FINAL_ITEM_WEIGHTS'!I80</f>
        <v/>
      </c>
      <c r="BZ5">
        <f>'24_FINAL_ITEM_WEIGHTS'!I81</f>
        <v/>
      </c>
      <c r="CA5">
        <f>'24_FINAL_ITEM_WEIGHTS'!I82</f>
        <v/>
      </c>
      <c r="CB5">
        <f>'24_FINAL_ITEM_WEIGHTS'!I83</f>
        <v/>
      </c>
      <c r="CC5">
        <f>'24_FINAL_ITEM_WEIGHTS'!I84</f>
        <v/>
      </c>
    </row>
  </sheetData>
  <mergeCells count="1">
    <mergeCell ref="A1:C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Weighted Prototype Norms</t>
        </is>
      </c>
    </row>
    <row r="2"/>
    <row r="3">
      <c r="A3" t="inlineStr">
        <is>
          <t>#</t>
        </is>
      </c>
      <c r="B3" t="inlineStr">
        <is>
          <t>Lineage</t>
        </is>
      </c>
      <c r="C3" t="inlineStr">
        <is>
          <t>Weighted norm</t>
        </is>
      </c>
    </row>
    <row r="4" ht="32" customHeight="1">
      <c r="A4" s="30" t="n"/>
      <c r="B4" s="30" t="n"/>
      <c r="C4" s="30" t="n"/>
    </row>
    <row r="5">
      <c r="A5" t="n">
        <v>1</v>
      </c>
      <c r="B5" t="inlineStr">
        <is>
          <t>Pleiadian</t>
        </is>
      </c>
      <c r="C5">
        <f>SQRT(SUMPRODUCT('94_WEIGHT_VECTOR'!$B$5:$CC$5,'08_EXPECTED_CODEBOOK_V4'!D5:CE5,'08_EXPECTED_CODEBOOK_V4'!D5:CE5)/'18_WEIGHT_CONTROL'!$B$15)</f>
        <v/>
      </c>
    </row>
    <row r="6">
      <c r="A6" t="n">
        <v>2</v>
      </c>
      <c r="B6" t="inlineStr">
        <is>
          <t>Arcturian</t>
        </is>
      </c>
      <c r="C6">
        <f>SQRT(SUMPRODUCT('94_WEIGHT_VECTOR'!$B$5:$CC$5,'08_EXPECTED_CODEBOOK_V4'!D6:CE6,'08_EXPECTED_CODEBOOK_V4'!D6:CE6)/'18_WEIGHT_CONTROL'!$B$15)</f>
        <v/>
      </c>
    </row>
    <row r="7">
      <c r="A7" t="n">
        <v>3</v>
      </c>
      <c r="B7" t="inlineStr">
        <is>
          <t>Sirian</t>
        </is>
      </c>
      <c r="C7">
        <f>SQRT(SUMPRODUCT('94_WEIGHT_VECTOR'!$B$5:$CC$5,'08_EXPECTED_CODEBOOK_V4'!D7:CE7,'08_EXPECTED_CODEBOOK_V4'!D7:CE7)/'18_WEIGHT_CONTROL'!$B$15)</f>
        <v/>
      </c>
    </row>
    <row r="8">
      <c r="A8" t="n">
        <v>4</v>
      </c>
      <c r="B8" t="inlineStr">
        <is>
          <t>Andromedan</t>
        </is>
      </c>
      <c r="C8">
        <f>SQRT(SUMPRODUCT('94_WEIGHT_VECTOR'!$B$5:$CC$5,'08_EXPECTED_CODEBOOK_V4'!D8:CE8,'08_EXPECTED_CODEBOOK_V4'!D8:CE8)/'18_WEIGHT_CONTROL'!$B$15)</f>
        <v/>
      </c>
    </row>
    <row r="9">
      <c r="A9" t="n">
        <v>5</v>
      </c>
      <c r="B9" t="inlineStr">
        <is>
          <t>Lyran</t>
        </is>
      </c>
      <c r="C9">
        <f>SQRT(SUMPRODUCT('94_WEIGHT_VECTOR'!$B$5:$CC$5,'08_EXPECTED_CODEBOOK_V4'!D9:CE9,'08_EXPECTED_CODEBOOK_V4'!D9:CE9)/'18_WEIGHT_CONTROL'!$B$15)</f>
        <v/>
      </c>
    </row>
    <row r="10">
      <c r="A10" t="n">
        <v>6</v>
      </c>
      <c r="B10" t="inlineStr">
        <is>
          <t>Orion</t>
        </is>
      </c>
      <c r="C10">
        <f>SQRT(SUMPRODUCT('94_WEIGHT_VECTOR'!$B$5:$CC$5,'08_EXPECTED_CODEBOOK_V4'!D10:CE10,'08_EXPECTED_CODEBOOK_V4'!D10:CE10)/'18_WEIGHT_CONTROL'!$B$15)</f>
        <v/>
      </c>
    </row>
    <row r="11">
      <c r="A11" t="n">
        <v>7</v>
      </c>
      <c r="B11" t="inlineStr">
        <is>
          <t>Mintakan</t>
        </is>
      </c>
      <c r="C11">
        <f>SQRT(SUMPRODUCT('94_WEIGHT_VECTOR'!$B$5:$CC$5,'08_EXPECTED_CODEBOOK_V4'!D11:CE11,'08_EXPECTED_CODEBOOK_V4'!D11:CE11)/'18_WEIGHT_CONTROL'!$B$15)</f>
        <v/>
      </c>
    </row>
    <row r="12">
      <c r="A12" t="n">
        <v>8</v>
      </c>
      <c r="B12" t="inlineStr">
        <is>
          <t>Venusian</t>
        </is>
      </c>
      <c r="C12">
        <f>SQRT(SUMPRODUCT('94_WEIGHT_VECTOR'!$B$5:$CC$5,'08_EXPECTED_CODEBOOK_V4'!D12:CE12,'08_EXPECTED_CODEBOOK_V4'!D12:CE12)/'18_WEIGHT_CONTROL'!$B$15)</f>
        <v/>
      </c>
    </row>
    <row r="13">
      <c r="A13" t="n">
        <v>9</v>
      </c>
      <c r="B13" t="inlineStr">
        <is>
          <t>Hadarian</t>
        </is>
      </c>
      <c r="C13">
        <f>SQRT(SUMPRODUCT('94_WEIGHT_VECTOR'!$B$5:$CC$5,'08_EXPECTED_CODEBOOK_V4'!D13:CE13,'08_EXPECTED_CODEBOOK_V4'!D13:CE13)/'18_WEIGHT_CONTROL'!$B$15)</f>
        <v/>
      </c>
    </row>
    <row r="14">
      <c r="A14" t="n">
        <v>10</v>
      </c>
      <c r="B14" t="inlineStr">
        <is>
          <t>Polarian</t>
        </is>
      </c>
      <c r="C14">
        <f>SQRT(SUMPRODUCT('94_WEIGHT_VECTOR'!$B$5:$CC$5,'08_EXPECTED_CODEBOOK_V4'!D14:CE14,'08_EXPECTED_CODEBOOK_V4'!D14:CE14)/'18_WEIGHT_CONTROL'!$B$15)</f>
        <v/>
      </c>
    </row>
    <row r="15">
      <c r="A15" t="n">
        <v>11</v>
      </c>
      <c r="B15" t="inlineStr">
        <is>
          <t>Alpha Centaurian</t>
        </is>
      </c>
      <c r="C15">
        <f>SQRT(SUMPRODUCT('94_WEIGHT_VECTOR'!$B$5:$CC$5,'08_EXPECTED_CODEBOOK_V4'!D15:CE15,'08_EXPECTED_CODEBOOK_V4'!D15:CE15)/'18_WEIGHT_CONTROL'!$B$15)</f>
        <v/>
      </c>
    </row>
    <row r="16">
      <c r="A16" t="n">
        <v>12</v>
      </c>
      <c r="B16" t="inlineStr">
        <is>
          <t>Vegan</t>
        </is>
      </c>
      <c r="C16">
        <f>SQRT(SUMPRODUCT('94_WEIGHT_VECTOR'!$B$5:$CC$5,'08_EXPECTED_CODEBOOK_V4'!D16:CE16,'08_EXPECTED_CODEBOOK_V4'!D16:CE16)/'18_WEIGHT_CONTROL'!$B$15)</f>
        <v/>
      </c>
    </row>
    <row r="17">
      <c r="A17" t="n">
        <v>13</v>
      </c>
      <c r="B17" t="inlineStr">
        <is>
          <t>Feline / Urmah</t>
        </is>
      </c>
      <c r="C17">
        <f>SQRT(SUMPRODUCT('94_WEIGHT_VECTOR'!$B$5:$CC$5,'08_EXPECTED_CODEBOOK_V4'!D17:CE17,'08_EXPECTED_CODEBOOK_V4'!D17:CE17)/'18_WEIGHT_CONTROL'!$B$15)</f>
        <v/>
      </c>
    </row>
    <row r="18">
      <c r="A18" t="n">
        <v>14</v>
      </c>
      <c r="B18" t="inlineStr">
        <is>
          <t>Avian / Blue Avian</t>
        </is>
      </c>
      <c r="C18">
        <f>SQRT(SUMPRODUCT('94_WEIGHT_VECTOR'!$B$5:$CC$5,'08_EXPECTED_CODEBOOK_V4'!D18:CE18,'08_EXPECTED_CODEBOOK_V4'!D18:CE18)/'18_WEIGHT_CONTROL'!$B$15)</f>
        <v/>
      </c>
    </row>
    <row r="19">
      <c r="A19" t="n">
        <v>15</v>
      </c>
      <c r="B19" t="inlineStr">
        <is>
          <t>Martian</t>
        </is>
      </c>
      <c r="C19">
        <f>SQRT(SUMPRODUCT('94_WEIGHT_VECTOR'!$B$5:$CC$5,'08_EXPECTED_CODEBOOK_V4'!D19:CE19,'08_EXPECTED_CODEBOOK_V4'!D19:CE19)/'18_WEIGHT_CONTROL'!$B$15)</f>
        <v/>
      </c>
    </row>
    <row r="20">
      <c r="A20" t="n">
        <v>16</v>
      </c>
      <c r="B20" t="inlineStr">
        <is>
          <t>Maldekian</t>
        </is>
      </c>
      <c r="C20">
        <f>SQRT(SUMPRODUCT('94_WEIGHT_VECTOR'!$B$5:$CC$5,'08_EXPECTED_CODEBOOK_V4'!D20:CE20,'08_EXPECTED_CODEBOOK_V4'!D20:CE20)/'18_WEIGHT_CONTROL'!$B$15)</f>
        <v/>
      </c>
    </row>
    <row r="21">
      <c r="A21" t="n">
        <v>17</v>
      </c>
      <c r="B21" t="inlineStr">
        <is>
          <t>Draconian</t>
        </is>
      </c>
      <c r="C21">
        <f>SQRT(SUMPRODUCT('94_WEIGHT_VECTOR'!$B$5:$CC$5,'08_EXPECTED_CODEBOOK_V4'!D21:CE21,'08_EXPECTED_CODEBOOK_V4'!D21:CE21)/'18_WEIGHT_CONTROL'!$B$15)</f>
        <v/>
      </c>
    </row>
    <row r="22">
      <c r="A22" t="n">
        <v>18</v>
      </c>
      <c r="B22" t="inlineStr">
        <is>
          <t>Reptilian</t>
        </is>
      </c>
      <c r="C22">
        <f>SQRT(SUMPRODUCT('94_WEIGHT_VECTOR'!$B$5:$CC$5,'08_EXPECTED_CODEBOOK_V4'!D22:CE22,'08_EXPECTED_CODEBOOK_V4'!D22:CE22)/'18_WEIGHT_CONTROL'!$B$15)</f>
        <v/>
      </c>
    </row>
    <row r="23">
      <c r="A23" t="n">
        <v>19</v>
      </c>
      <c r="B23" t="inlineStr">
        <is>
          <t>Zeta / Grey</t>
        </is>
      </c>
      <c r="C23">
        <f>SQRT(SUMPRODUCT('94_WEIGHT_VECTOR'!$B$5:$CC$5,'08_EXPECTED_CODEBOOK_V4'!D23:CE23,'08_EXPECTED_CODEBOOK_V4'!D23:CE23)/'18_WEIGHT_CONTROL'!$B$15)</f>
        <v/>
      </c>
    </row>
    <row r="24">
      <c r="A24" t="n">
        <v>20</v>
      </c>
      <c r="B24" t="inlineStr">
        <is>
          <t>Anunnaki / Nibiruan</t>
        </is>
      </c>
      <c r="C24">
        <f>SQRT(SUMPRODUCT('94_WEIGHT_VECTOR'!$B$5:$CC$5,'08_EXPECTED_CODEBOOK_V4'!D24:CE24,'08_EXPECTED_CODEBOOK_V4'!D24:CE24)/'18_WEIGHT_CONTROL'!$B$15)</f>
        <v/>
      </c>
    </row>
    <row r="25">
      <c r="A25" t="n">
        <v>21</v>
      </c>
      <c r="B25" t="inlineStr">
        <is>
          <t>Tau Cetian</t>
        </is>
      </c>
      <c r="C25">
        <f>SQRT(SUMPRODUCT('94_WEIGHT_VECTOR'!$B$5:$CC$5,'08_EXPECTED_CODEBOOK_V4'!D25:CE25,'08_EXPECTED_CODEBOOK_V4'!D25:CE25)/'18_WEIGHT_CONTROL'!$B$15)</f>
        <v/>
      </c>
    </row>
    <row r="26">
      <c r="A26" t="n">
        <v>22</v>
      </c>
      <c r="B26" t="inlineStr">
        <is>
          <t>Antarian</t>
        </is>
      </c>
      <c r="C26">
        <f>SQRT(SUMPRODUCT('94_WEIGHT_VECTOR'!$B$5:$CC$5,'08_EXPECTED_CODEBOOK_V4'!D26:CE26,'08_EXPECTED_CODEBOOK_V4'!D26:CE26)/'18_WEIGHT_CONTROL'!$B$15)</f>
        <v/>
      </c>
    </row>
    <row r="27">
      <c r="A27" t="n">
        <v>23</v>
      </c>
      <c r="B27" t="inlineStr">
        <is>
          <t>Earth-Origin Soul</t>
        </is>
      </c>
      <c r="C27">
        <f>SQRT(SUMPRODUCT('94_WEIGHT_VECTOR'!$B$5:$CC$5,'08_EXPECTED_CODEBOOK_V4'!D27:CE27,'08_EXPECTED_CODEBOOK_V4'!D27:CE27)/'18_WEIGHT_CONTROL'!$B$15)</f>
        <v/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2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18" customWidth="1" min="4" max="4"/>
    <col width="18" customWidth="1" min="5" max="5"/>
    <col width="18" customWidth="1" min="6" max="6"/>
    <col width="22" customWidth="1" min="7" max="7"/>
    <col width="24" customWidth="1" min="8" max="8"/>
    <col width="14" customWidth="1" min="9" max="9"/>
  </cols>
  <sheetData>
    <row r="1" ht="30" customHeight="1">
      <c r="A1" s="1" t="inlineStr">
        <is>
          <t>253-Pair Weighted Codeword Geometry</t>
        </is>
      </c>
    </row>
    <row r="2" ht="34" customHeight="1">
      <c r="A2" s="29" t="inlineStr">
        <is>
          <t>Formula-driven weighted spherical geometry using the final 80 weights. Chord = √[2(1−cosine)].</t>
        </is>
      </c>
    </row>
    <row r="3"/>
    <row r="4" ht="32" customHeight="1">
      <c r="A4" s="30" t="inlineStr">
        <is>
          <t>Verified order</t>
        </is>
      </c>
      <c r="B4" s="30" t="inlineStr">
        <is>
          <t>A</t>
        </is>
      </c>
      <c r="C4" s="30" t="inlineStr">
        <is>
          <t>B</t>
        </is>
      </c>
      <c r="D4" s="30" t="inlineStr">
        <is>
          <t>Weighted cosine</t>
        </is>
      </c>
      <c r="E4" s="30" t="inlineStr">
        <is>
          <t>Angular chord</t>
        </is>
      </c>
      <c r="F4" s="30" t="inlineStr">
        <is>
          <t>Weighted RMS</t>
        </is>
      </c>
      <c r="G4" s="30" t="inlineStr">
        <is>
          <t>Ratio vs equal chord</t>
        </is>
      </c>
      <c r="H4" s="30" t="inlineStr">
        <is>
          <t>Note</t>
        </is>
      </c>
      <c r="I4" s="30" t="inlineStr">
        <is>
          <t>Formula rank</t>
        </is>
      </c>
    </row>
    <row r="5" ht="36" customHeight="1">
      <c r="A5" s="33" t="n">
        <v>1</v>
      </c>
      <c r="B5" s="33" t="inlineStr">
        <is>
          <t>Draconian</t>
        </is>
      </c>
      <c r="C5" s="33" t="inlineStr">
        <is>
          <t>Anunnaki / Nibiruan</t>
        </is>
      </c>
      <c r="D5" s="33">
        <f>SUMPRODUCT('94_WEIGHT_VECTOR'!$B$5:$CC$5,INDEX('08_EXPECTED_CODEBOOK_V4'!$D$5:$CE$27,MATCH(B5,'08_EXPECTED_CODEBOOK_V4'!$C$5:$C$27,0),0),INDEX('08_EXPECTED_CODEBOOK_V4'!$D$5:$CE$27,MATCH(C5,'08_EXPECTED_CODEBOOK_V4'!$C$5:$C$27,0),0))/'18_WEIGHT_CONTROL'!$B$15/(INDEX('95_WEIGHTED_NORMS'!$C$5:$C$27,MATCH(B5,'95_WEIGHTED_NORMS'!$B$5:$B$27,0))*INDEX('95_WEIGHTED_NORMS'!$C$5:$C$27,MATCH(C5,'95_WEIGHTED_NORMS'!$B$5:$B$27,0)))</f>
        <v/>
      </c>
      <c r="E5" s="33">
        <f>SQRT(MAX(0,2*(1-D5)))</f>
        <v/>
      </c>
      <c r="F5" s="33">
        <f>SQRT(SUMPRODUCT('94_WEIGHT_VECTOR'!$B$5:$CC$5,(INDEX('08_EXPECTED_CODEBOOK_V4'!$D$5:$CE$27,MATCH(B5,'08_EXPECTED_CODEBOOK_V4'!$C$5:$C$27,0),0)-INDEX('08_EXPECTED_CODEBOOK_V4'!$D$5:$CE$27,MATCH(C5,'08_EXPECTED_CODEBOOK_V4'!$C$5:$C$27,0),0))^2)/'18_WEIGHT_CONTROL'!$B$15)</f>
        <v/>
      </c>
      <c r="G5" s="33">
        <f>E5/0.6109078075082004</f>
        <v/>
      </c>
      <c r="H5" s="33" t="inlineStr">
        <is>
          <t>Nearest weighted pair</t>
        </is>
      </c>
      <c r="I5" s="33">
        <f>RANK(E5,$E$5:$E$257,1)</f>
        <v/>
      </c>
    </row>
    <row r="6" ht="36" customHeight="1">
      <c r="A6" s="33" t="n">
        <v>2</v>
      </c>
      <c r="B6" s="33" t="inlineStr">
        <is>
          <t>Maldekian</t>
        </is>
      </c>
      <c r="C6" s="33" t="inlineStr">
        <is>
          <t>Zeta / Grey</t>
        </is>
      </c>
      <c r="D6" s="33">
        <f>SUMPRODUCT('94_WEIGHT_VECTOR'!$B$5:$CC$5,INDEX('08_EXPECTED_CODEBOOK_V4'!$D$5:$CE$27,MATCH(B6,'08_EXPECTED_CODEBOOK_V4'!$C$5:$C$27,0),0),INDEX('08_EXPECTED_CODEBOOK_V4'!$D$5:$CE$27,MATCH(C6,'08_EXPECTED_CODEBOOK_V4'!$C$5:$C$27,0),0))/'18_WEIGHT_CONTROL'!$B$15/(INDEX('95_WEIGHTED_NORMS'!$C$5:$C$27,MATCH(B6,'95_WEIGHTED_NORMS'!$B$5:$B$27,0))*INDEX('95_WEIGHTED_NORMS'!$C$5:$C$27,MATCH(C6,'95_WEIGHTED_NORMS'!$B$5:$B$27,0)))</f>
        <v/>
      </c>
      <c r="E6" s="33">
        <f>SQRT(MAX(0,2*(1-D6)))</f>
        <v/>
      </c>
      <c r="F6" s="33">
        <f>SQRT(SUMPRODUCT('94_WEIGHT_VECTOR'!$B$5:$CC$5,(INDEX('08_EXPECTED_CODEBOOK_V4'!$D$5:$CE$27,MATCH(B6,'08_EXPECTED_CODEBOOK_V4'!$C$5:$C$27,0),0)-INDEX('08_EXPECTED_CODEBOOK_V4'!$D$5:$CE$27,MATCH(C6,'08_EXPECTED_CODEBOOK_V4'!$C$5:$C$27,0),0))^2)/'18_WEIGHT_CONTROL'!$B$15)</f>
        <v/>
      </c>
      <c r="G6" s="33">
        <f>E6/0.65659464509009</f>
        <v/>
      </c>
      <c r="H6" s="33" t="n"/>
      <c r="I6" s="33">
        <f>RANK(E6,$E$5:$E$257,1)</f>
        <v/>
      </c>
    </row>
    <row r="7" ht="36" customHeight="1">
      <c r="A7" s="33" t="n">
        <v>3</v>
      </c>
      <c r="B7" s="33" t="inlineStr">
        <is>
          <t>Andromedan</t>
        </is>
      </c>
      <c r="C7" s="33" t="inlineStr">
        <is>
          <t>Vegan</t>
        </is>
      </c>
      <c r="D7" s="33">
        <f>SUMPRODUCT('94_WEIGHT_VECTOR'!$B$5:$CC$5,INDEX('08_EXPECTED_CODEBOOK_V4'!$D$5:$CE$27,MATCH(B7,'08_EXPECTED_CODEBOOK_V4'!$C$5:$C$27,0),0),INDEX('08_EXPECTED_CODEBOOK_V4'!$D$5:$CE$27,MATCH(C7,'08_EXPECTED_CODEBOOK_V4'!$C$5:$C$27,0),0))/'18_WEIGHT_CONTROL'!$B$15/(INDEX('95_WEIGHTED_NORMS'!$C$5:$C$27,MATCH(B7,'95_WEIGHTED_NORMS'!$B$5:$B$27,0))*INDEX('95_WEIGHTED_NORMS'!$C$5:$C$27,MATCH(C7,'95_WEIGHTED_NORMS'!$B$5:$B$27,0)))</f>
        <v/>
      </c>
      <c r="E7" s="33">
        <f>SQRT(MAX(0,2*(1-D7)))</f>
        <v/>
      </c>
      <c r="F7" s="33">
        <f>SQRT(SUMPRODUCT('94_WEIGHT_VECTOR'!$B$5:$CC$5,(INDEX('08_EXPECTED_CODEBOOK_V4'!$D$5:$CE$27,MATCH(B7,'08_EXPECTED_CODEBOOK_V4'!$C$5:$C$27,0),0)-INDEX('08_EXPECTED_CODEBOOK_V4'!$D$5:$CE$27,MATCH(C7,'08_EXPECTED_CODEBOOK_V4'!$C$5:$C$27,0),0))^2)/'18_WEIGHT_CONTROL'!$B$15)</f>
        <v/>
      </c>
      <c r="G7" s="33">
        <f>E7/0.6760993634001647</f>
        <v/>
      </c>
      <c r="H7" s="33" t="n"/>
      <c r="I7" s="33">
        <f>RANK(E7,$E$5:$E$257,1)</f>
        <v/>
      </c>
    </row>
    <row r="8" ht="36" customHeight="1">
      <c r="A8" s="33" t="n">
        <v>4</v>
      </c>
      <c r="B8" s="33" t="inlineStr">
        <is>
          <t>Zeta / Grey</t>
        </is>
      </c>
      <c r="C8" s="33" t="inlineStr">
        <is>
          <t>Antarian</t>
        </is>
      </c>
      <c r="D8" s="33">
        <f>SUMPRODUCT('94_WEIGHT_VECTOR'!$B$5:$CC$5,INDEX('08_EXPECTED_CODEBOOK_V4'!$D$5:$CE$27,MATCH(B8,'08_EXPECTED_CODEBOOK_V4'!$C$5:$C$27,0),0),INDEX('08_EXPECTED_CODEBOOK_V4'!$D$5:$CE$27,MATCH(C8,'08_EXPECTED_CODEBOOK_V4'!$C$5:$C$27,0),0))/'18_WEIGHT_CONTROL'!$B$15/(INDEX('95_WEIGHTED_NORMS'!$C$5:$C$27,MATCH(B8,'95_WEIGHTED_NORMS'!$B$5:$B$27,0))*INDEX('95_WEIGHTED_NORMS'!$C$5:$C$27,MATCH(C8,'95_WEIGHTED_NORMS'!$B$5:$B$27,0)))</f>
        <v/>
      </c>
      <c r="E8" s="33">
        <f>SQRT(MAX(0,2*(1-D8)))</f>
        <v/>
      </c>
      <c r="F8" s="33">
        <f>SQRT(SUMPRODUCT('94_WEIGHT_VECTOR'!$B$5:$CC$5,(INDEX('08_EXPECTED_CODEBOOK_V4'!$D$5:$CE$27,MATCH(B8,'08_EXPECTED_CODEBOOK_V4'!$C$5:$C$27,0),0)-INDEX('08_EXPECTED_CODEBOOK_V4'!$D$5:$CE$27,MATCH(C8,'08_EXPECTED_CODEBOOK_V4'!$C$5:$C$27,0),0))^2)/'18_WEIGHT_CONTROL'!$B$15)</f>
        <v/>
      </c>
      <c r="G8" s="33">
        <f>E8/0.6855813494017261</f>
        <v/>
      </c>
      <c r="H8" s="33" t="n"/>
      <c r="I8" s="33">
        <f>RANK(E8,$E$5:$E$257,1)</f>
        <v/>
      </c>
    </row>
    <row r="9" ht="36" customHeight="1">
      <c r="A9" s="33" t="n">
        <v>5</v>
      </c>
      <c r="B9" s="33" t="inlineStr">
        <is>
          <t>Venusian</t>
        </is>
      </c>
      <c r="C9" s="33" t="inlineStr">
        <is>
          <t>Hadarian</t>
        </is>
      </c>
      <c r="D9" s="33">
        <f>SUMPRODUCT('94_WEIGHT_VECTOR'!$B$5:$CC$5,INDEX('08_EXPECTED_CODEBOOK_V4'!$D$5:$CE$27,MATCH(B9,'08_EXPECTED_CODEBOOK_V4'!$C$5:$C$27,0),0),INDEX('08_EXPECTED_CODEBOOK_V4'!$D$5:$CE$27,MATCH(C9,'08_EXPECTED_CODEBOOK_V4'!$C$5:$C$27,0),0))/'18_WEIGHT_CONTROL'!$B$15/(INDEX('95_WEIGHTED_NORMS'!$C$5:$C$27,MATCH(B9,'95_WEIGHTED_NORMS'!$B$5:$B$27,0))*INDEX('95_WEIGHTED_NORMS'!$C$5:$C$27,MATCH(C9,'95_WEIGHTED_NORMS'!$B$5:$B$27,0)))</f>
        <v/>
      </c>
      <c r="E9" s="33">
        <f>SQRT(MAX(0,2*(1-D9)))</f>
        <v/>
      </c>
      <c r="F9" s="33">
        <f>SQRT(SUMPRODUCT('94_WEIGHT_VECTOR'!$B$5:$CC$5,(INDEX('08_EXPECTED_CODEBOOK_V4'!$D$5:$CE$27,MATCH(B9,'08_EXPECTED_CODEBOOK_V4'!$C$5:$C$27,0),0)-INDEX('08_EXPECTED_CODEBOOK_V4'!$D$5:$CE$27,MATCH(C9,'08_EXPECTED_CODEBOOK_V4'!$C$5:$C$27,0),0))^2)/'18_WEIGHT_CONTROL'!$B$15)</f>
        <v/>
      </c>
      <c r="G9" s="33">
        <f>E9/0.6862506054950642</f>
        <v/>
      </c>
      <c r="H9" s="33" t="n"/>
      <c r="I9" s="33">
        <f>RANK(E9,$E$5:$E$257,1)</f>
        <v/>
      </c>
    </row>
    <row r="10" ht="36" customHeight="1">
      <c r="A10" s="33" t="n">
        <v>6</v>
      </c>
      <c r="B10" s="33" t="inlineStr">
        <is>
          <t>Lyran</t>
        </is>
      </c>
      <c r="C10" s="33" t="inlineStr">
        <is>
          <t>Martian</t>
        </is>
      </c>
      <c r="D10" s="33">
        <f>SUMPRODUCT('94_WEIGHT_VECTOR'!$B$5:$CC$5,INDEX('08_EXPECTED_CODEBOOK_V4'!$D$5:$CE$27,MATCH(B10,'08_EXPECTED_CODEBOOK_V4'!$C$5:$C$27,0),0),INDEX('08_EXPECTED_CODEBOOK_V4'!$D$5:$CE$27,MATCH(C10,'08_EXPECTED_CODEBOOK_V4'!$C$5:$C$27,0),0))/'18_WEIGHT_CONTROL'!$B$15/(INDEX('95_WEIGHTED_NORMS'!$C$5:$C$27,MATCH(B10,'95_WEIGHTED_NORMS'!$B$5:$B$27,0))*INDEX('95_WEIGHTED_NORMS'!$C$5:$C$27,MATCH(C10,'95_WEIGHTED_NORMS'!$B$5:$B$27,0)))</f>
        <v/>
      </c>
      <c r="E10" s="33">
        <f>SQRT(MAX(0,2*(1-D10)))</f>
        <v/>
      </c>
      <c r="F10" s="33">
        <f>SQRT(SUMPRODUCT('94_WEIGHT_VECTOR'!$B$5:$CC$5,(INDEX('08_EXPECTED_CODEBOOK_V4'!$D$5:$CE$27,MATCH(B10,'08_EXPECTED_CODEBOOK_V4'!$C$5:$C$27,0),0)-INDEX('08_EXPECTED_CODEBOOK_V4'!$D$5:$CE$27,MATCH(C10,'08_EXPECTED_CODEBOOK_V4'!$C$5:$C$27,0),0))^2)/'18_WEIGHT_CONTROL'!$B$15)</f>
        <v/>
      </c>
      <c r="G10" s="33">
        <f>E10/0.6922411517411258</f>
        <v/>
      </c>
      <c r="H10" s="33" t="n"/>
      <c r="I10" s="33">
        <f>RANK(E10,$E$5:$E$257,1)</f>
        <v/>
      </c>
    </row>
    <row r="11" ht="36" customHeight="1">
      <c r="A11" s="33" t="n">
        <v>7</v>
      </c>
      <c r="B11" s="33" t="inlineStr">
        <is>
          <t>Maldekian</t>
        </is>
      </c>
      <c r="C11" s="33" t="inlineStr">
        <is>
          <t>Antarian</t>
        </is>
      </c>
      <c r="D11" s="33">
        <f>SUMPRODUCT('94_WEIGHT_VECTOR'!$B$5:$CC$5,INDEX('08_EXPECTED_CODEBOOK_V4'!$D$5:$CE$27,MATCH(B11,'08_EXPECTED_CODEBOOK_V4'!$C$5:$C$27,0),0),INDEX('08_EXPECTED_CODEBOOK_V4'!$D$5:$CE$27,MATCH(C11,'08_EXPECTED_CODEBOOK_V4'!$C$5:$C$27,0),0))/'18_WEIGHT_CONTROL'!$B$15/(INDEX('95_WEIGHTED_NORMS'!$C$5:$C$27,MATCH(B11,'95_WEIGHTED_NORMS'!$B$5:$B$27,0))*INDEX('95_WEIGHTED_NORMS'!$C$5:$C$27,MATCH(C11,'95_WEIGHTED_NORMS'!$B$5:$B$27,0)))</f>
        <v/>
      </c>
      <c r="E11" s="33">
        <f>SQRT(MAX(0,2*(1-D11)))</f>
        <v/>
      </c>
      <c r="F11" s="33">
        <f>SQRT(SUMPRODUCT('94_WEIGHT_VECTOR'!$B$5:$CC$5,(INDEX('08_EXPECTED_CODEBOOK_V4'!$D$5:$CE$27,MATCH(B11,'08_EXPECTED_CODEBOOK_V4'!$C$5:$C$27,0),0)-INDEX('08_EXPECTED_CODEBOOK_V4'!$D$5:$CE$27,MATCH(C11,'08_EXPECTED_CODEBOOK_V4'!$C$5:$C$27,0),0))^2)/'18_WEIGHT_CONTROL'!$B$15)</f>
        <v/>
      </c>
      <c r="G11" s="33">
        <f>E11/0.7050395190888789</f>
        <v/>
      </c>
      <c r="H11" s="33" t="n"/>
      <c r="I11" s="33">
        <f>RANK(E11,$E$5:$E$257,1)</f>
        <v/>
      </c>
    </row>
    <row r="12" ht="36" customHeight="1">
      <c r="A12" s="33" t="n">
        <v>8</v>
      </c>
      <c r="B12" s="33" t="inlineStr">
        <is>
          <t>Sirian</t>
        </is>
      </c>
      <c r="C12" s="33" t="inlineStr">
        <is>
          <t>Polarian</t>
        </is>
      </c>
      <c r="D12" s="33">
        <f>SUMPRODUCT('94_WEIGHT_VECTOR'!$B$5:$CC$5,INDEX('08_EXPECTED_CODEBOOK_V4'!$D$5:$CE$27,MATCH(B12,'08_EXPECTED_CODEBOOK_V4'!$C$5:$C$27,0),0),INDEX('08_EXPECTED_CODEBOOK_V4'!$D$5:$CE$27,MATCH(C12,'08_EXPECTED_CODEBOOK_V4'!$C$5:$C$27,0),0))/'18_WEIGHT_CONTROL'!$B$15/(INDEX('95_WEIGHTED_NORMS'!$C$5:$C$27,MATCH(B12,'95_WEIGHTED_NORMS'!$B$5:$B$27,0))*INDEX('95_WEIGHTED_NORMS'!$C$5:$C$27,MATCH(C12,'95_WEIGHTED_NORMS'!$B$5:$B$27,0)))</f>
        <v/>
      </c>
      <c r="E12" s="33">
        <f>SQRT(MAX(0,2*(1-D12)))</f>
        <v/>
      </c>
      <c r="F12" s="33">
        <f>SQRT(SUMPRODUCT('94_WEIGHT_VECTOR'!$B$5:$CC$5,(INDEX('08_EXPECTED_CODEBOOK_V4'!$D$5:$CE$27,MATCH(B12,'08_EXPECTED_CODEBOOK_V4'!$C$5:$C$27,0),0)-INDEX('08_EXPECTED_CODEBOOK_V4'!$D$5:$CE$27,MATCH(C12,'08_EXPECTED_CODEBOOK_V4'!$C$5:$C$27,0),0))^2)/'18_WEIGHT_CONTROL'!$B$15)</f>
        <v/>
      </c>
      <c r="G12" s="33">
        <f>E12/0.7113966669768426</f>
        <v/>
      </c>
      <c r="H12" s="33" t="n"/>
      <c r="I12" s="33">
        <f>RANK(E12,$E$5:$E$257,1)</f>
        <v/>
      </c>
    </row>
    <row r="13" ht="36" customHeight="1">
      <c r="A13" s="33" t="n">
        <v>9</v>
      </c>
      <c r="B13" s="33" t="inlineStr">
        <is>
          <t>Polarian</t>
        </is>
      </c>
      <c r="C13" s="33" t="inlineStr">
        <is>
          <t>Earth-Origin Soul</t>
        </is>
      </c>
      <c r="D13" s="33">
        <f>SUMPRODUCT('94_WEIGHT_VECTOR'!$B$5:$CC$5,INDEX('08_EXPECTED_CODEBOOK_V4'!$D$5:$CE$27,MATCH(B13,'08_EXPECTED_CODEBOOK_V4'!$C$5:$C$27,0),0),INDEX('08_EXPECTED_CODEBOOK_V4'!$D$5:$CE$27,MATCH(C13,'08_EXPECTED_CODEBOOK_V4'!$C$5:$C$27,0),0))/'18_WEIGHT_CONTROL'!$B$15/(INDEX('95_WEIGHTED_NORMS'!$C$5:$C$27,MATCH(B13,'95_WEIGHTED_NORMS'!$B$5:$B$27,0))*INDEX('95_WEIGHTED_NORMS'!$C$5:$C$27,MATCH(C13,'95_WEIGHTED_NORMS'!$B$5:$B$27,0)))</f>
        <v/>
      </c>
      <c r="E13" s="33">
        <f>SQRT(MAX(0,2*(1-D13)))</f>
        <v/>
      </c>
      <c r="F13" s="33">
        <f>SQRT(SUMPRODUCT('94_WEIGHT_VECTOR'!$B$5:$CC$5,(INDEX('08_EXPECTED_CODEBOOK_V4'!$D$5:$CE$27,MATCH(B13,'08_EXPECTED_CODEBOOK_V4'!$C$5:$C$27,0),0)-INDEX('08_EXPECTED_CODEBOOK_V4'!$D$5:$CE$27,MATCH(C13,'08_EXPECTED_CODEBOOK_V4'!$C$5:$C$27,0),0))^2)/'18_WEIGHT_CONTROL'!$B$15)</f>
        <v/>
      </c>
      <c r="G13" s="33">
        <f>E13/0.7136816810061818</f>
        <v/>
      </c>
      <c r="H13" s="33" t="n"/>
      <c r="I13" s="33">
        <f>RANK(E13,$E$5:$E$257,1)</f>
        <v/>
      </c>
    </row>
    <row r="14" ht="36" customHeight="1">
      <c r="A14" s="33" t="n">
        <v>10</v>
      </c>
      <c r="B14" s="33" t="inlineStr">
        <is>
          <t>Polarian</t>
        </is>
      </c>
      <c r="C14" s="33" t="inlineStr">
        <is>
          <t>Maldekian</t>
        </is>
      </c>
      <c r="D14" s="33">
        <f>SUMPRODUCT('94_WEIGHT_VECTOR'!$B$5:$CC$5,INDEX('08_EXPECTED_CODEBOOK_V4'!$D$5:$CE$27,MATCH(B14,'08_EXPECTED_CODEBOOK_V4'!$C$5:$C$27,0),0),INDEX('08_EXPECTED_CODEBOOK_V4'!$D$5:$CE$27,MATCH(C14,'08_EXPECTED_CODEBOOK_V4'!$C$5:$C$27,0),0))/'18_WEIGHT_CONTROL'!$B$15/(INDEX('95_WEIGHTED_NORMS'!$C$5:$C$27,MATCH(B14,'95_WEIGHTED_NORMS'!$B$5:$B$27,0))*INDEX('95_WEIGHTED_NORMS'!$C$5:$C$27,MATCH(C14,'95_WEIGHTED_NORMS'!$B$5:$B$27,0)))</f>
        <v/>
      </c>
      <c r="E14" s="33">
        <f>SQRT(MAX(0,2*(1-D14)))</f>
        <v/>
      </c>
      <c r="F14" s="33">
        <f>SQRT(SUMPRODUCT('94_WEIGHT_VECTOR'!$B$5:$CC$5,(INDEX('08_EXPECTED_CODEBOOK_V4'!$D$5:$CE$27,MATCH(B14,'08_EXPECTED_CODEBOOK_V4'!$C$5:$C$27,0),0)-INDEX('08_EXPECTED_CODEBOOK_V4'!$D$5:$CE$27,MATCH(C14,'08_EXPECTED_CODEBOOK_V4'!$C$5:$C$27,0),0))^2)/'18_WEIGHT_CONTROL'!$B$15)</f>
        <v/>
      </c>
      <c r="G14" s="33">
        <f>E14/0.7181141357849187</f>
        <v/>
      </c>
      <c r="H14" s="33" t="n"/>
      <c r="I14" s="33">
        <f>RANK(E14,$E$5:$E$257,1)</f>
        <v/>
      </c>
    </row>
    <row r="15" ht="36" customHeight="1">
      <c r="A15" s="33" t="n">
        <v>11</v>
      </c>
      <c r="B15" s="33" t="inlineStr">
        <is>
          <t>Pleiadian</t>
        </is>
      </c>
      <c r="C15" s="33" t="inlineStr">
        <is>
          <t>Hadarian</t>
        </is>
      </c>
      <c r="D15" s="33">
        <f>SUMPRODUCT('94_WEIGHT_VECTOR'!$B$5:$CC$5,INDEX('08_EXPECTED_CODEBOOK_V4'!$D$5:$CE$27,MATCH(B15,'08_EXPECTED_CODEBOOK_V4'!$C$5:$C$27,0),0),INDEX('08_EXPECTED_CODEBOOK_V4'!$D$5:$CE$27,MATCH(C15,'08_EXPECTED_CODEBOOK_V4'!$C$5:$C$27,0),0))/'18_WEIGHT_CONTROL'!$B$15/(INDEX('95_WEIGHTED_NORMS'!$C$5:$C$27,MATCH(B15,'95_WEIGHTED_NORMS'!$B$5:$B$27,0))*INDEX('95_WEIGHTED_NORMS'!$C$5:$C$27,MATCH(C15,'95_WEIGHTED_NORMS'!$B$5:$B$27,0)))</f>
        <v/>
      </c>
      <c r="E15" s="33">
        <f>SQRT(MAX(0,2*(1-D15)))</f>
        <v/>
      </c>
      <c r="F15" s="33">
        <f>SQRT(SUMPRODUCT('94_WEIGHT_VECTOR'!$B$5:$CC$5,(INDEX('08_EXPECTED_CODEBOOK_V4'!$D$5:$CE$27,MATCH(B15,'08_EXPECTED_CODEBOOK_V4'!$C$5:$C$27,0),0)-INDEX('08_EXPECTED_CODEBOOK_V4'!$D$5:$CE$27,MATCH(C15,'08_EXPECTED_CODEBOOK_V4'!$C$5:$C$27,0),0))^2)/'18_WEIGHT_CONTROL'!$B$15)</f>
        <v/>
      </c>
      <c r="G15" s="33">
        <f>E15/0.717265150869928</f>
        <v/>
      </c>
      <c r="H15" s="33" t="n"/>
      <c r="I15" s="33">
        <f>RANK(E15,$E$5:$E$257,1)</f>
        <v/>
      </c>
    </row>
    <row r="16" ht="36" customHeight="1">
      <c r="A16" s="33" t="n">
        <v>12</v>
      </c>
      <c r="B16" s="33" t="inlineStr">
        <is>
          <t>Martian</t>
        </is>
      </c>
      <c r="C16" s="33" t="inlineStr">
        <is>
          <t>Reptilian</t>
        </is>
      </c>
      <c r="D16" s="33">
        <f>SUMPRODUCT('94_WEIGHT_VECTOR'!$B$5:$CC$5,INDEX('08_EXPECTED_CODEBOOK_V4'!$D$5:$CE$27,MATCH(B16,'08_EXPECTED_CODEBOOK_V4'!$C$5:$C$27,0),0),INDEX('08_EXPECTED_CODEBOOK_V4'!$D$5:$CE$27,MATCH(C16,'08_EXPECTED_CODEBOOK_V4'!$C$5:$C$27,0),0))/'18_WEIGHT_CONTROL'!$B$15/(INDEX('95_WEIGHTED_NORMS'!$C$5:$C$27,MATCH(B16,'95_WEIGHTED_NORMS'!$B$5:$B$27,0))*INDEX('95_WEIGHTED_NORMS'!$C$5:$C$27,MATCH(C16,'95_WEIGHTED_NORMS'!$B$5:$B$27,0)))</f>
        <v/>
      </c>
      <c r="E16" s="33">
        <f>SQRT(MAX(0,2*(1-D16)))</f>
        <v/>
      </c>
      <c r="F16" s="33">
        <f>SQRT(SUMPRODUCT('94_WEIGHT_VECTOR'!$B$5:$CC$5,(INDEX('08_EXPECTED_CODEBOOK_V4'!$D$5:$CE$27,MATCH(B16,'08_EXPECTED_CODEBOOK_V4'!$C$5:$C$27,0),0)-INDEX('08_EXPECTED_CODEBOOK_V4'!$D$5:$CE$27,MATCH(C16,'08_EXPECTED_CODEBOOK_V4'!$C$5:$C$27,0),0))^2)/'18_WEIGHT_CONTROL'!$B$15)</f>
        <v/>
      </c>
      <c r="G16" s="33">
        <f>E16/0.7622830266034173</f>
        <v/>
      </c>
      <c r="H16" s="33" t="n"/>
      <c r="I16" s="33">
        <f>RANK(E16,$E$5:$E$257,1)</f>
        <v/>
      </c>
    </row>
    <row r="17" ht="36" customHeight="1">
      <c r="A17" s="33" t="n">
        <v>13</v>
      </c>
      <c r="B17" s="33" t="inlineStr">
        <is>
          <t>Sirian</t>
        </is>
      </c>
      <c r="C17" s="33" t="inlineStr">
        <is>
          <t>Maldekian</t>
        </is>
      </c>
      <c r="D17" s="33">
        <f>SUMPRODUCT('94_WEIGHT_VECTOR'!$B$5:$CC$5,INDEX('08_EXPECTED_CODEBOOK_V4'!$D$5:$CE$27,MATCH(B17,'08_EXPECTED_CODEBOOK_V4'!$C$5:$C$27,0),0),INDEX('08_EXPECTED_CODEBOOK_V4'!$D$5:$CE$27,MATCH(C17,'08_EXPECTED_CODEBOOK_V4'!$C$5:$C$27,0),0))/'18_WEIGHT_CONTROL'!$B$15/(INDEX('95_WEIGHTED_NORMS'!$C$5:$C$27,MATCH(B17,'95_WEIGHTED_NORMS'!$B$5:$B$27,0))*INDEX('95_WEIGHTED_NORMS'!$C$5:$C$27,MATCH(C17,'95_WEIGHTED_NORMS'!$B$5:$B$27,0)))</f>
        <v/>
      </c>
      <c r="E17" s="33">
        <f>SQRT(MAX(0,2*(1-D17)))</f>
        <v/>
      </c>
      <c r="F17" s="33">
        <f>SQRT(SUMPRODUCT('94_WEIGHT_VECTOR'!$B$5:$CC$5,(INDEX('08_EXPECTED_CODEBOOK_V4'!$D$5:$CE$27,MATCH(B17,'08_EXPECTED_CODEBOOK_V4'!$C$5:$C$27,0),0)-INDEX('08_EXPECTED_CODEBOOK_V4'!$D$5:$CE$27,MATCH(C17,'08_EXPECTED_CODEBOOK_V4'!$C$5:$C$27,0),0))^2)/'18_WEIGHT_CONTROL'!$B$15)</f>
        <v/>
      </c>
      <c r="G17" s="33">
        <f>E17/0.7674219881171201</f>
        <v/>
      </c>
      <c r="H17" s="33" t="n"/>
      <c r="I17" s="33">
        <f>RANK(E17,$E$5:$E$257,1)</f>
        <v/>
      </c>
    </row>
    <row r="18" ht="36" customHeight="1">
      <c r="A18" s="33" t="n">
        <v>14</v>
      </c>
      <c r="B18" s="33" t="inlineStr">
        <is>
          <t>Orion</t>
        </is>
      </c>
      <c r="C18" s="33" t="inlineStr">
        <is>
          <t>Zeta / Grey</t>
        </is>
      </c>
      <c r="D18" s="33">
        <f>SUMPRODUCT('94_WEIGHT_VECTOR'!$B$5:$CC$5,INDEX('08_EXPECTED_CODEBOOK_V4'!$D$5:$CE$27,MATCH(B18,'08_EXPECTED_CODEBOOK_V4'!$C$5:$C$27,0),0),INDEX('08_EXPECTED_CODEBOOK_V4'!$D$5:$CE$27,MATCH(C18,'08_EXPECTED_CODEBOOK_V4'!$C$5:$C$27,0),0))/'18_WEIGHT_CONTROL'!$B$15/(INDEX('95_WEIGHTED_NORMS'!$C$5:$C$27,MATCH(B18,'95_WEIGHTED_NORMS'!$B$5:$B$27,0))*INDEX('95_WEIGHTED_NORMS'!$C$5:$C$27,MATCH(C18,'95_WEIGHTED_NORMS'!$B$5:$B$27,0)))</f>
        <v/>
      </c>
      <c r="E18" s="33">
        <f>SQRT(MAX(0,2*(1-D18)))</f>
        <v/>
      </c>
      <c r="F18" s="33">
        <f>SQRT(SUMPRODUCT('94_WEIGHT_VECTOR'!$B$5:$CC$5,(INDEX('08_EXPECTED_CODEBOOK_V4'!$D$5:$CE$27,MATCH(B18,'08_EXPECTED_CODEBOOK_V4'!$C$5:$C$27,0),0)-INDEX('08_EXPECTED_CODEBOOK_V4'!$D$5:$CE$27,MATCH(C18,'08_EXPECTED_CODEBOOK_V4'!$C$5:$C$27,0),0))^2)/'18_WEIGHT_CONTROL'!$B$15)</f>
        <v/>
      </c>
      <c r="G18" s="33">
        <f>E18/0.7798789742765169</f>
        <v/>
      </c>
      <c r="H18" s="33" t="n"/>
      <c r="I18" s="33">
        <f>RANK(E18,$E$5:$E$257,1)</f>
        <v/>
      </c>
    </row>
    <row r="19" ht="36" customHeight="1">
      <c r="A19" s="33" t="n">
        <v>15</v>
      </c>
      <c r="B19" s="33" t="inlineStr">
        <is>
          <t>Sirian</t>
        </is>
      </c>
      <c r="C19" s="33" t="inlineStr">
        <is>
          <t>Antarian</t>
        </is>
      </c>
      <c r="D19" s="33">
        <f>SUMPRODUCT('94_WEIGHT_VECTOR'!$B$5:$CC$5,INDEX('08_EXPECTED_CODEBOOK_V4'!$D$5:$CE$27,MATCH(B19,'08_EXPECTED_CODEBOOK_V4'!$C$5:$C$27,0),0),INDEX('08_EXPECTED_CODEBOOK_V4'!$D$5:$CE$27,MATCH(C19,'08_EXPECTED_CODEBOOK_V4'!$C$5:$C$27,0),0))/'18_WEIGHT_CONTROL'!$B$15/(INDEX('95_WEIGHTED_NORMS'!$C$5:$C$27,MATCH(B19,'95_WEIGHTED_NORMS'!$B$5:$B$27,0))*INDEX('95_WEIGHTED_NORMS'!$C$5:$C$27,MATCH(C19,'95_WEIGHTED_NORMS'!$B$5:$B$27,0)))</f>
        <v/>
      </c>
      <c r="E19" s="33">
        <f>SQRT(MAX(0,2*(1-D19)))</f>
        <v/>
      </c>
      <c r="F19" s="33">
        <f>SQRT(SUMPRODUCT('94_WEIGHT_VECTOR'!$B$5:$CC$5,(INDEX('08_EXPECTED_CODEBOOK_V4'!$D$5:$CE$27,MATCH(B19,'08_EXPECTED_CODEBOOK_V4'!$C$5:$C$27,0),0)-INDEX('08_EXPECTED_CODEBOOK_V4'!$D$5:$CE$27,MATCH(C19,'08_EXPECTED_CODEBOOK_V4'!$C$5:$C$27,0),0))^2)/'18_WEIGHT_CONTROL'!$B$15)</f>
        <v/>
      </c>
      <c r="G19" s="33">
        <f>E19/0.7825352431572845</f>
        <v/>
      </c>
      <c r="H19" s="33" t="n"/>
      <c r="I19" s="33">
        <f>RANK(E19,$E$5:$E$257,1)</f>
        <v/>
      </c>
    </row>
    <row r="20" ht="36" customHeight="1">
      <c r="A20" s="33" t="n">
        <v>16</v>
      </c>
      <c r="B20" s="33" t="inlineStr">
        <is>
          <t>Arcturian</t>
        </is>
      </c>
      <c r="C20" s="33" t="inlineStr">
        <is>
          <t>Andromedan</t>
        </is>
      </c>
      <c r="D20" s="33">
        <f>SUMPRODUCT('94_WEIGHT_VECTOR'!$B$5:$CC$5,INDEX('08_EXPECTED_CODEBOOK_V4'!$D$5:$CE$27,MATCH(B20,'08_EXPECTED_CODEBOOK_V4'!$C$5:$C$27,0),0),INDEX('08_EXPECTED_CODEBOOK_V4'!$D$5:$CE$27,MATCH(C20,'08_EXPECTED_CODEBOOK_V4'!$C$5:$C$27,0),0))/'18_WEIGHT_CONTROL'!$B$15/(INDEX('95_WEIGHTED_NORMS'!$C$5:$C$27,MATCH(B20,'95_WEIGHTED_NORMS'!$B$5:$B$27,0))*INDEX('95_WEIGHTED_NORMS'!$C$5:$C$27,MATCH(C20,'95_WEIGHTED_NORMS'!$B$5:$B$27,0)))</f>
        <v/>
      </c>
      <c r="E20" s="33">
        <f>SQRT(MAX(0,2*(1-D20)))</f>
        <v/>
      </c>
      <c r="F20" s="33">
        <f>SQRT(SUMPRODUCT('94_WEIGHT_VECTOR'!$B$5:$CC$5,(INDEX('08_EXPECTED_CODEBOOK_V4'!$D$5:$CE$27,MATCH(B20,'08_EXPECTED_CODEBOOK_V4'!$C$5:$C$27,0),0)-INDEX('08_EXPECTED_CODEBOOK_V4'!$D$5:$CE$27,MATCH(C20,'08_EXPECTED_CODEBOOK_V4'!$C$5:$C$27,0),0))^2)/'18_WEIGHT_CONTROL'!$B$15)</f>
        <v/>
      </c>
      <c r="G20" s="33">
        <f>E20/0.7975975837270328</f>
        <v/>
      </c>
      <c r="H20" s="33" t="n"/>
      <c r="I20" s="33">
        <f>RANK(E20,$E$5:$E$257,1)</f>
        <v/>
      </c>
    </row>
    <row r="21" ht="36" customHeight="1">
      <c r="A21" s="33" t="n">
        <v>17</v>
      </c>
      <c r="B21" s="33" t="inlineStr">
        <is>
          <t>Arcturian</t>
        </is>
      </c>
      <c r="C21" s="33" t="inlineStr">
        <is>
          <t>Lyran</t>
        </is>
      </c>
      <c r="D21" s="33">
        <f>SUMPRODUCT('94_WEIGHT_VECTOR'!$B$5:$CC$5,INDEX('08_EXPECTED_CODEBOOK_V4'!$D$5:$CE$27,MATCH(B21,'08_EXPECTED_CODEBOOK_V4'!$C$5:$C$27,0),0),INDEX('08_EXPECTED_CODEBOOK_V4'!$D$5:$CE$27,MATCH(C21,'08_EXPECTED_CODEBOOK_V4'!$C$5:$C$27,0),0))/'18_WEIGHT_CONTROL'!$B$15/(INDEX('95_WEIGHTED_NORMS'!$C$5:$C$27,MATCH(B21,'95_WEIGHTED_NORMS'!$B$5:$B$27,0))*INDEX('95_WEIGHTED_NORMS'!$C$5:$C$27,MATCH(C21,'95_WEIGHTED_NORMS'!$B$5:$B$27,0)))</f>
        <v/>
      </c>
      <c r="E21" s="33">
        <f>SQRT(MAX(0,2*(1-D21)))</f>
        <v/>
      </c>
      <c r="F21" s="33">
        <f>SQRT(SUMPRODUCT('94_WEIGHT_VECTOR'!$B$5:$CC$5,(INDEX('08_EXPECTED_CODEBOOK_V4'!$D$5:$CE$27,MATCH(B21,'08_EXPECTED_CODEBOOK_V4'!$C$5:$C$27,0),0)-INDEX('08_EXPECTED_CODEBOOK_V4'!$D$5:$CE$27,MATCH(C21,'08_EXPECTED_CODEBOOK_V4'!$C$5:$C$27,0),0))^2)/'18_WEIGHT_CONTROL'!$B$15)</f>
        <v/>
      </c>
      <c r="G21" s="33">
        <f>E21/0.8039402764327077</f>
        <v/>
      </c>
      <c r="H21" s="33" t="n"/>
      <c r="I21" s="33">
        <f>RANK(E21,$E$5:$E$257,1)</f>
        <v/>
      </c>
    </row>
    <row r="22" ht="36" customHeight="1">
      <c r="A22" s="33" t="n">
        <v>18</v>
      </c>
      <c r="B22" s="33" t="inlineStr">
        <is>
          <t>Arcturian</t>
        </is>
      </c>
      <c r="C22" s="33" t="inlineStr">
        <is>
          <t>Vegan</t>
        </is>
      </c>
      <c r="D22" s="33">
        <f>SUMPRODUCT('94_WEIGHT_VECTOR'!$B$5:$CC$5,INDEX('08_EXPECTED_CODEBOOK_V4'!$D$5:$CE$27,MATCH(B22,'08_EXPECTED_CODEBOOK_V4'!$C$5:$C$27,0),0),INDEX('08_EXPECTED_CODEBOOK_V4'!$D$5:$CE$27,MATCH(C22,'08_EXPECTED_CODEBOOK_V4'!$C$5:$C$27,0),0))/'18_WEIGHT_CONTROL'!$B$15/(INDEX('95_WEIGHTED_NORMS'!$C$5:$C$27,MATCH(B22,'95_WEIGHTED_NORMS'!$B$5:$B$27,0))*INDEX('95_WEIGHTED_NORMS'!$C$5:$C$27,MATCH(C22,'95_WEIGHTED_NORMS'!$B$5:$B$27,0)))</f>
        <v/>
      </c>
      <c r="E22" s="33">
        <f>SQRT(MAX(0,2*(1-D22)))</f>
        <v/>
      </c>
      <c r="F22" s="33">
        <f>SQRT(SUMPRODUCT('94_WEIGHT_VECTOR'!$B$5:$CC$5,(INDEX('08_EXPECTED_CODEBOOK_V4'!$D$5:$CE$27,MATCH(B22,'08_EXPECTED_CODEBOOK_V4'!$C$5:$C$27,0),0)-INDEX('08_EXPECTED_CODEBOOK_V4'!$D$5:$CE$27,MATCH(C22,'08_EXPECTED_CODEBOOK_V4'!$C$5:$C$27,0),0))^2)/'18_WEIGHT_CONTROL'!$B$15)</f>
        <v/>
      </c>
      <c r="G22" s="33">
        <f>E22/0.8129164767961619</f>
        <v/>
      </c>
      <c r="H22" s="33" t="n"/>
      <c r="I22" s="33">
        <f>RANK(E22,$E$5:$E$257,1)</f>
        <v/>
      </c>
    </row>
    <row r="23" ht="36" customHeight="1">
      <c r="A23" s="33" t="n">
        <v>19</v>
      </c>
      <c r="B23" s="33" t="inlineStr">
        <is>
          <t>Pleiadian</t>
        </is>
      </c>
      <c r="C23" s="33" t="inlineStr">
        <is>
          <t>Mintakan</t>
        </is>
      </c>
      <c r="D23" s="33">
        <f>SUMPRODUCT('94_WEIGHT_VECTOR'!$B$5:$CC$5,INDEX('08_EXPECTED_CODEBOOK_V4'!$D$5:$CE$27,MATCH(B23,'08_EXPECTED_CODEBOOK_V4'!$C$5:$C$27,0),0),INDEX('08_EXPECTED_CODEBOOK_V4'!$D$5:$CE$27,MATCH(C23,'08_EXPECTED_CODEBOOK_V4'!$C$5:$C$27,0),0))/'18_WEIGHT_CONTROL'!$B$15/(INDEX('95_WEIGHTED_NORMS'!$C$5:$C$27,MATCH(B23,'95_WEIGHTED_NORMS'!$B$5:$B$27,0))*INDEX('95_WEIGHTED_NORMS'!$C$5:$C$27,MATCH(C23,'95_WEIGHTED_NORMS'!$B$5:$B$27,0)))</f>
        <v/>
      </c>
      <c r="E23" s="33">
        <f>SQRT(MAX(0,2*(1-D23)))</f>
        <v/>
      </c>
      <c r="F23" s="33">
        <f>SQRT(SUMPRODUCT('94_WEIGHT_VECTOR'!$B$5:$CC$5,(INDEX('08_EXPECTED_CODEBOOK_V4'!$D$5:$CE$27,MATCH(B23,'08_EXPECTED_CODEBOOK_V4'!$C$5:$C$27,0),0)-INDEX('08_EXPECTED_CODEBOOK_V4'!$D$5:$CE$27,MATCH(C23,'08_EXPECTED_CODEBOOK_V4'!$C$5:$C$27,0),0))^2)/'18_WEIGHT_CONTROL'!$B$15)</f>
        <v/>
      </c>
      <c r="G23" s="33">
        <f>E23/0.8293123403100692</f>
        <v/>
      </c>
      <c r="H23" s="33" t="n"/>
      <c r="I23" s="33">
        <f>RANK(E23,$E$5:$E$257,1)</f>
        <v/>
      </c>
    </row>
    <row r="24" ht="36" customHeight="1">
      <c r="A24" s="33" t="n">
        <v>20</v>
      </c>
      <c r="B24" s="33" t="inlineStr">
        <is>
          <t>Feline / Urmah</t>
        </is>
      </c>
      <c r="C24" s="33" t="inlineStr">
        <is>
          <t>Maldekian</t>
        </is>
      </c>
      <c r="D24" s="33">
        <f>SUMPRODUCT('94_WEIGHT_VECTOR'!$B$5:$CC$5,INDEX('08_EXPECTED_CODEBOOK_V4'!$D$5:$CE$27,MATCH(B24,'08_EXPECTED_CODEBOOK_V4'!$C$5:$C$27,0),0),INDEX('08_EXPECTED_CODEBOOK_V4'!$D$5:$CE$27,MATCH(C24,'08_EXPECTED_CODEBOOK_V4'!$C$5:$C$27,0),0))/'18_WEIGHT_CONTROL'!$B$15/(INDEX('95_WEIGHTED_NORMS'!$C$5:$C$27,MATCH(B24,'95_WEIGHTED_NORMS'!$B$5:$B$27,0))*INDEX('95_WEIGHTED_NORMS'!$C$5:$C$27,MATCH(C24,'95_WEIGHTED_NORMS'!$B$5:$B$27,0)))</f>
        <v/>
      </c>
      <c r="E24" s="33">
        <f>SQRT(MAX(0,2*(1-D24)))</f>
        <v/>
      </c>
      <c r="F24" s="33">
        <f>SQRT(SUMPRODUCT('94_WEIGHT_VECTOR'!$B$5:$CC$5,(INDEX('08_EXPECTED_CODEBOOK_V4'!$D$5:$CE$27,MATCH(B24,'08_EXPECTED_CODEBOOK_V4'!$C$5:$C$27,0),0)-INDEX('08_EXPECTED_CODEBOOK_V4'!$D$5:$CE$27,MATCH(C24,'08_EXPECTED_CODEBOOK_V4'!$C$5:$C$27,0),0))^2)/'18_WEIGHT_CONTROL'!$B$15)</f>
        <v/>
      </c>
      <c r="G24" s="33">
        <f>E24/0.8497501731294863</f>
        <v/>
      </c>
      <c r="H24" s="33" t="n"/>
      <c r="I24" s="33">
        <f>RANK(E24,$E$5:$E$257,1)</f>
        <v/>
      </c>
    </row>
    <row r="25" ht="36" customHeight="1">
      <c r="A25" s="33" t="n">
        <v>21</v>
      </c>
      <c r="B25" s="33" t="inlineStr">
        <is>
          <t>Pleiadian</t>
        </is>
      </c>
      <c r="C25" s="33" t="inlineStr">
        <is>
          <t>Venusian</t>
        </is>
      </c>
      <c r="D25" s="33">
        <f>SUMPRODUCT('94_WEIGHT_VECTOR'!$B$5:$CC$5,INDEX('08_EXPECTED_CODEBOOK_V4'!$D$5:$CE$27,MATCH(B25,'08_EXPECTED_CODEBOOK_V4'!$C$5:$C$27,0),0),INDEX('08_EXPECTED_CODEBOOK_V4'!$D$5:$CE$27,MATCH(C25,'08_EXPECTED_CODEBOOK_V4'!$C$5:$C$27,0),0))/'18_WEIGHT_CONTROL'!$B$15/(INDEX('95_WEIGHTED_NORMS'!$C$5:$C$27,MATCH(B25,'95_WEIGHTED_NORMS'!$B$5:$B$27,0))*INDEX('95_WEIGHTED_NORMS'!$C$5:$C$27,MATCH(C25,'95_WEIGHTED_NORMS'!$B$5:$B$27,0)))</f>
        <v/>
      </c>
      <c r="E25" s="33">
        <f>SQRT(MAX(0,2*(1-D25)))</f>
        <v/>
      </c>
      <c r="F25" s="33">
        <f>SQRT(SUMPRODUCT('94_WEIGHT_VECTOR'!$B$5:$CC$5,(INDEX('08_EXPECTED_CODEBOOK_V4'!$D$5:$CE$27,MATCH(B25,'08_EXPECTED_CODEBOOK_V4'!$C$5:$C$27,0),0)-INDEX('08_EXPECTED_CODEBOOK_V4'!$D$5:$CE$27,MATCH(C25,'08_EXPECTED_CODEBOOK_V4'!$C$5:$C$27,0),0))^2)/'18_WEIGHT_CONTROL'!$B$15)</f>
        <v/>
      </c>
      <c r="G25" s="33">
        <f>E25/0.8478658315689114</f>
        <v/>
      </c>
      <c r="H25" s="33" t="n"/>
      <c r="I25" s="33">
        <f>RANK(E25,$E$5:$E$257,1)</f>
        <v/>
      </c>
    </row>
    <row r="26" ht="36" customHeight="1">
      <c r="A26" s="33" t="n">
        <v>22</v>
      </c>
      <c r="B26" s="33" t="inlineStr">
        <is>
          <t>Polarian</t>
        </is>
      </c>
      <c r="C26" s="33" t="inlineStr">
        <is>
          <t>Antarian</t>
        </is>
      </c>
      <c r="D26" s="33">
        <f>SUMPRODUCT('94_WEIGHT_VECTOR'!$B$5:$CC$5,INDEX('08_EXPECTED_CODEBOOK_V4'!$D$5:$CE$27,MATCH(B26,'08_EXPECTED_CODEBOOK_V4'!$C$5:$C$27,0),0),INDEX('08_EXPECTED_CODEBOOK_V4'!$D$5:$CE$27,MATCH(C26,'08_EXPECTED_CODEBOOK_V4'!$C$5:$C$27,0),0))/'18_WEIGHT_CONTROL'!$B$15/(INDEX('95_WEIGHTED_NORMS'!$C$5:$C$27,MATCH(B26,'95_WEIGHTED_NORMS'!$B$5:$B$27,0))*INDEX('95_WEIGHTED_NORMS'!$C$5:$C$27,MATCH(C26,'95_WEIGHTED_NORMS'!$B$5:$B$27,0)))</f>
        <v/>
      </c>
      <c r="E26" s="33">
        <f>SQRT(MAX(0,2*(1-D26)))</f>
        <v/>
      </c>
      <c r="F26" s="33">
        <f>SQRT(SUMPRODUCT('94_WEIGHT_VECTOR'!$B$5:$CC$5,(INDEX('08_EXPECTED_CODEBOOK_V4'!$D$5:$CE$27,MATCH(B26,'08_EXPECTED_CODEBOOK_V4'!$C$5:$C$27,0),0)-INDEX('08_EXPECTED_CODEBOOK_V4'!$D$5:$CE$27,MATCH(C26,'08_EXPECTED_CODEBOOK_V4'!$C$5:$C$27,0),0))^2)/'18_WEIGHT_CONTROL'!$B$15)</f>
        <v/>
      </c>
      <c r="G26" s="33">
        <f>E26/0.8757228045710187</f>
        <v/>
      </c>
      <c r="H26" s="33" t="n"/>
      <c r="I26" s="33">
        <f>RANK(E26,$E$5:$E$257,1)</f>
        <v/>
      </c>
    </row>
    <row r="27" ht="36" customHeight="1">
      <c r="A27" s="33" t="n">
        <v>23</v>
      </c>
      <c r="B27" s="33" t="inlineStr">
        <is>
          <t>Mintakan</t>
        </is>
      </c>
      <c r="C27" s="33" t="inlineStr">
        <is>
          <t>Hadarian</t>
        </is>
      </c>
      <c r="D27" s="33">
        <f>SUMPRODUCT('94_WEIGHT_VECTOR'!$B$5:$CC$5,INDEX('08_EXPECTED_CODEBOOK_V4'!$D$5:$CE$27,MATCH(B27,'08_EXPECTED_CODEBOOK_V4'!$C$5:$C$27,0),0),INDEX('08_EXPECTED_CODEBOOK_V4'!$D$5:$CE$27,MATCH(C27,'08_EXPECTED_CODEBOOK_V4'!$C$5:$C$27,0),0))/'18_WEIGHT_CONTROL'!$B$15/(INDEX('95_WEIGHTED_NORMS'!$C$5:$C$27,MATCH(B27,'95_WEIGHTED_NORMS'!$B$5:$B$27,0))*INDEX('95_WEIGHTED_NORMS'!$C$5:$C$27,MATCH(C27,'95_WEIGHTED_NORMS'!$B$5:$B$27,0)))</f>
        <v/>
      </c>
      <c r="E27" s="33">
        <f>SQRT(MAX(0,2*(1-D27)))</f>
        <v/>
      </c>
      <c r="F27" s="33">
        <f>SQRT(SUMPRODUCT('94_WEIGHT_VECTOR'!$B$5:$CC$5,(INDEX('08_EXPECTED_CODEBOOK_V4'!$D$5:$CE$27,MATCH(B27,'08_EXPECTED_CODEBOOK_V4'!$C$5:$C$27,0),0)-INDEX('08_EXPECTED_CODEBOOK_V4'!$D$5:$CE$27,MATCH(C27,'08_EXPECTED_CODEBOOK_V4'!$C$5:$C$27,0),0))^2)/'18_WEIGHT_CONTROL'!$B$15)</f>
        <v/>
      </c>
      <c r="G27" s="33">
        <f>E27/0.879219414209362</f>
        <v/>
      </c>
      <c r="H27" s="33" t="n"/>
      <c r="I27" s="33">
        <f>RANK(E27,$E$5:$E$257,1)</f>
        <v/>
      </c>
    </row>
    <row r="28" ht="36" customHeight="1">
      <c r="A28" s="33" t="n">
        <v>24</v>
      </c>
      <c r="B28" s="33" t="inlineStr">
        <is>
          <t>Alpha Centaurian</t>
        </is>
      </c>
      <c r="C28" s="33" t="inlineStr">
        <is>
          <t>Maldekian</t>
        </is>
      </c>
      <c r="D28" s="33">
        <f>SUMPRODUCT('94_WEIGHT_VECTOR'!$B$5:$CC$5,INDEX('08_EXPECTED_CODEBOOK_V4'!$D$5:$CE$27,MAT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S'!$C$5:$C$27,MATCH(C28,'95_WEIGHTED_NORMS'!$B$5:$B$27,0)))</f>
        <v/>
      </c>
      <c r="E28" s="33">
        <f>SQRT(MAX(0,2*(1-D28)))</f>
        <v/>
      </c>
      <c r="F28" s="33">
        <f>SQRT(SUMPRODUCT('94_WEIGHT_VECTOR'!$B$5:$CC$5,(INDEX('08_EXPECTED_CODEBOOK_V4'!$D$5:$CE$27,MATCH(B28,'08_EXPECTED_CODEBOOK_V4'!$C$5:$C$27,0),0)-INDEX('08_EXPECTED_CODEBOOK_V4'!$D$5:$CE$27,MATCH(C28,'08_EXPECTED_CODEBOOK_V4'!$C$5:$C$27,0),0))^2)/'18_WEIGHT_CONTROL'!$B$15)</f>
        <v/>
      </c>
      <c r="G28" s="33">
        <f>E28/0.8923896240030278</f>
        <v/>
      </c>
      <c r="H28" s="33" t="n"/>
      <c r="I28" s="33">
        <f>RANK(E28,$E$5:$E$257,1)</f>
        <v/>
      </c>
    </row>
    <row r="29" ht="36" customHeight="1">
      <c r="A29" s="33" t="n">
        <v>25</v>
      </c>
      <c r="B29" s="33" t="inlineStr">
        <is>
          <t>Sirian</t>
        </is>
      </c>
      <c r="C29" s="33" t="inlineStr">
        <is>
          <t>Earth-Origin Soul</t>
        </is>
      </c>
      <c r="D29" s="33">
        <f>SUMPRODUCT('94_WEIGHT_VECTOR'!$B$5:$CC$5,INDEX('08_EXPECTED_CODEBOOK_V4'!$D$5:$CE$27,MATCH(B29,'08_EXPECTED_CODEBOOK_V4'!$C$5:$C$27,0),0),INDEX('08_EXPECTED_CODEBOOK_V4'!$D$5:$CE$27,MATCH(C29,'08_EXPECTED_CODEBOOK_V4'!$C$5:$C$27,0),0))/'18_WEIGHT_CONTROL'!$B$15/(INDEX('95_WEIGHTED_NORMS'!$C$5:$C$27,MATCH(B29,'95_WEIGHTED_NORMS'!$B$5:$B$27,0))*INDEX('95_WEIGHTED_NORMS'!$C$5:$C$27,MATCH(C29,'95_WEIGHTED_NORMS'!$B$5:$B$27,0)))</f>
        <v/>
      </c>
      <c r="E29" s="33">
        <f>SQRT(MAX(0,2*(1-D29)))</f>
        <v/>
      </c>
      <c r="F29" s="33">
        <f>SQRT(SUMPRODUCT('94_WEIGHT_VECTOR'!$B$5:$CC$5,(INDEX('08_EXPECTED_CODEBOOK_V4'!$D$5:$CE$27,MATCH(B29,'08_EXPECTED_CODEBOOK_V4'!$C$5:$C$27,0),0)-INDEX('08_EXPECTED_CODEBOOK_V4'!$D$5:$CE$27,MATCH(C29,'08_EXPECTED_CODEBOOK_V4'!$C$5:$C$27,0),0))^2)/'18_WEIGHT_CONTROL'!$B$15)</f>
        <v/>
      </c>
      <c r="G29" s="33">
        <f>E29/0.8904731250783454</f>
        <v/>
      </c>
      <c r="H29" s="33" t="n"/>
      <c r="I29" s="33">
        <f>RANK(E29,$E$5:$E$257,1)</f>
        <v/>
      </c>
    </row>
    <row r="30" ht="36" customHeight="1">
      <c r="A30" s="33" t="n">
        <v>26</v>
      </c>
      <c r="B30" s="33" t="inlineStr">
        <is>
          <t>Polarian</t>
        </is>
      </c>
      <c r="C30" s="33" t="inlineStr">
        <is>
          <t>Alpha Centaurian</t>
        </is>
      </c>
      <c r="D30" s="33">
        <f>SUMPRODUCT('94_WEIGHT_VECTOR'!$B$5:$CC$5,INDEX('08_EXPECTED_CODEBOOK_V4'!$D$5:$CE$27,MATCH(B30,'08_EXPECTED_CODEBOOK_V4'!$C$5:$C$27,0),0),INDEX('08_EXPECTED_CODEBOOK_V4'!$D$5:$CE$27,MATCH(C30,'08_EXPECTED_CODEBOOK_V4'!$C$5:$C$27,0),0))/'18_WEIGHT_CONTROL'!$B$15/(INDEX('95_WEIGHTED_NORMS'!$C$5:$C$27,MATCH(B30,'95_WEIGHTED_NORMS'!$B$5:$B$27,0))*INDEX('95_WEIGHTED_NORMS'!$C$5:$C$27,MATCH(C30,'95_WEIGHTED_NORMS'!$B$5:$B$27,0)))</f>
        <v/>
      </c>
      <c r="E30" s="33">
        <f>SQRT(MAX(0,2*(1-D30)))</f>
        <v/>
      </c>
      <c r="F30" s="33">
        <f>SQRT(SUMPRODUCT('94_WEIGHT_VECTOR'!$B$5:$CC$5,(INDEX('08_EXPECTED_CODEBOOK_V4'!$D$5:$CE$27,MATCH(B30,'08_EXPECTED_CODEBOOK_V4'!$C$5:$C$27,0),0)-INDEX('08_EXPECTED_CODEBOOK_V4'!$D$5:$CE$27,MATCH(C30,'08_EXPECTED_CODEBOOK_V4'!$C$5:$C$27,0),0))^2)/'18_WEIGHT_CONTROL'!$B$15)</f>
        <v/>
      </c>
      <c r="G30" s="33">
        <f>E30/0.9029282317749658</f>
        <v/>
      </c>
      <c r="H30" s="33" t="n"/>
      <c r="I30" s="33">
        <f>RANK(E30,$E$5:$E$257,1)</f>
        <v/>
      </c>
    </row>
    <row r="31" ht="36" customHeight="1">
      <c r="A31" s="33" t="n">
        <v>27</v>
      </c>
      <c r="B31" s="33" t="inlineStr">
        <is>
          <t>Hadarian</t>
        </is>
      </c>
      <c r="C31" s="33" t="inlineStr">
        <is>
          <t>Martian</t>
        </is>
      </c>
      <c r="D31" s="33">
        <f>SUMPRODUCT('94_WEIGHT_VECTOR'!$B$5:$CC$5,INDEX('08_EXPECTED_CODEBOOK_V4'!$D$5:$CE$27,MATCH(B31,'08_EXPECTED_CODEBOOK_V4'!$C$5:$C$27,0),0),INDEX('08_EXPECTED_CODEBOOK_V4'!$D$5:$CE$27,MATCH(C31,'08_EXPECTED_CODEBOOK_V4'!$C$5:$C$27,0),0))/'18_WEIGHT_CONTROL'!$B$15/(INDEX('95_WEIGHTED_NORMS'!$C$5:$C$27,MATCH(B31,'95_WEIGHTED_NORMS'!$B$5:$B$27,0))*INDEX('95_WEIGHTED_NORMS'!$C$5:$C$27,MATCH(C31,'95_WEIGHTED_NORMS'!$B$5:$B$27,0)))</f>
        <v/>
      </c>
      <c r="E31" s="33">
        <f>SQRT(MAX(0,2*(1-D31)))</f>
        <v/>
      </c>
      <c r="F31" s="33">
        <f>SQRT(SUMPRODUCT('94_WEIGHT_VECTOR'!$B$5:$CC$5,(INDEX('08_EXPECTED_CODEBOOK_V4'!$D$5:$CE$27,MATCH(B31,'08_EXPECTED_CODEBOOK_V4'!$C$5:$C$27,0),0)-INDEX('08_EXPECTED_CODEBOOK_V4'!$D$5:$CE$27,MATCH(C31,'08_EXPECTED_CODEBOOK_V4'!$C$5:$C$27,0),0))^2)/'18_WEIGHT_CONTROL'!$B$15)</f>
        <v/>
      </c>
      <c r="G31" s="33">
        <f>E31/0.9016705718926036</f>
        <v/>
      </c>
      <c r="H31" s="33" t="n"/>
      <c r="I31" s="33">
        <f>RANK(E31,$E$5:$E$257,1)</f>
        <v/>
      </c>
    </row>
    <row r="32" ht="36" customHeight="1">
      <c r="A32" s="33" t="n">
        <v>28</v>
      </c>
      <c r="B32" s="33" t="inlineStr">
        <is>
          <t>Feline / Urmah</t>
        </is>
      </c>
      <c r="C32" s="33" t="inlineStr">
        <is>
          <t>Antarian</t>
        </is>
      </c>
      <c r="D32" s="33">
        <f>SUMPRODUCT('94_WEIGHT_VECTOR'!$B$5:$CC$5,INDEX('08_EXPECTED_CODEBOOK_V4'!$D$5:$CE$27,MATCH(B32,'08_EXPECTED_CODEBOOK_V4'!$C$5:$C$27,0),0),INDEX('08_EXPECTED_CODEBOOK_V4'!$D$5:$CE$27,MATCH(C32,'08_EXPECTED_CODEBOOK_V4'!$C$5:$C$27,0),0))/'18_WEIGHT_CONTROL'!$B$15/(INDEX('95_WEIGHTED_NORMS'!$C$5:$C$27,MATCH(B32,'95_WEIGHTED_NORMS'!$B$5:$B$27,0))*INDEX('95_WEIGHTED_NORMS'!$C$5:$C$27,MATCH(C32,'95_WEIGHTED_NORMS'!$B$5:$B$27,0)))</f>
        <v/>
      </c>
      <c r="E32" s="33">
        <f>SQRT(MAX(0,2*(1-D32)))</f>
        <v/>
      </c>
      <c r="F32" s="33">
        <f>SQRT(SUMPRODUCT('94_WEIGHT_VECTOR'!$B$5:$CC$5,(INDEX('08_EXPECTED_CODEBOOK_V4'!$D$5:$CE$27,MATCH(B32,'08_EXPECTED_CODEBOOK_V4'!$C$5:$C$27,0),0)-INDEX('08_EXPECTED_CODEBOOK_V4'!$D$5:$CE$27,MATCH(C32,'08_EXPECTED_CODEBOOK_V4'!$C$5:$C$27,0),0))^2)/'18_WEIGHT_CONTROL'!$B$15)</f>
        <v/>
      </c>
      <c r="G32" s="33">
        <f>E32/0.9104997284102103</f>
        <v/>
      </c>
      <c r="H32" s="33" t="n"/>
      <c r="I32" s="33">
        <f>RANK(E32,$E$5:$E$257,1)</f>
        <v/>
      </c>
    </row>
    <row r="33" ht="36" customHeight="1">
      <c r="A33" s="33" t="n">
        <v>29</v>
      </c>
      <c r="B33" s="33" t="inlineStr">
        <is>
          <t>Vegan</t>
        </is>
      </c>
      <c r="C33" s="33" t="inlineStr">
        <is>
          <t>Avian / Blue Avian</t>
        </is>
      </c>
      <c r="D33" s="33">
        <f>SUMPRODUCT('94_WEIGHT_VECTOR'!$B$5:$CC$5,INDEX('08_EXPECTED_CODEBOOK_V4'!$D$5:$CE$27,MATCH(B33,'08_EXPECTED_CODEBOOK_V4'!$C$5:$C$27,0),0),INDEX('08_EXPECTED_CODEBOOK_V4'!$D$5:$CE$27,MATCH(C33,'08_EXPECTED_CODEBOOK_V4'!$C$5:$C$27,0),0))/'18_WEIGHT_CONTROL'!$B$15/(INDEX('95_WEIGHTED_NORMS'!$C$5:$C$27,MATCH(B33,'95_WEIGHTED_NORMS'!$B$5:$B$27,0))*INDEX('95_WEIGHTED_NORMS'!$C$5:$C$27,MATCH(C33,'95_WEIGHTED_NORMS'!$B$5:$B$27,0)))</f>
        <v/>
      </c>
      <c r="E33" s="33">
        <f>SQRT(MAX(0,2*(1-D33)))</f>
        <v/>
      </c>
      <c r="F33" s="33">
        <f>SQRT(SUMPRODUCT('94_WEIGHT_VECTOR'!$B$5:$CC$5,(INDEX('08_EXPECTED_CODEBOOK_V4'!$D$5:$CE$27,MATCH(B33,'08_EXPECTED_CODEBOOK_V4'!$C$5:$C$27,0),0)-INDEX('08_EXPECTED_CODEBOOK_V4'!$D$5:$CE$27,MATCH(C33,'08_EXPECTED_CODEBOOK_V4'!$C$5:$C$27,0),0))^2)/'18_WEIGHT_CONTROL'!$B$15)</f>
        <v/>
      </c>
      <c r="G33" s="33">
        <f>E33/0.9183208088450264</f>
        <v/>
      </c>
      <c r="H33" s="33" t="n"/>
      <c r="I33" s="33">
        <f>RANK(E33,$E$5:$E$257,1)</f>
        <v/>
      </c>
    </row>
    <row r="34" ht="36" customHeight="1">
      <c r="A34" s="33" t="n">
        <v>30</v>
      </c>
      <c r="B34" s="33" t="inlineStr">
        <is>
          <t>Orion</t>
        </is>
      </c>
      <c r="C34" s="33" t="inlineStr">
        <is>
          <t>Antarian</t>
        </is>
      </c>
      <c r="D34" s="33">
        <f>SUMPRODUCT('94_WEIGHT_VECTOR'!$B$5:$CC$5,INDEX('08_EXPECTED_CODEBOOK_V4'!$D$5:$CE$27,MATCH(B34,'08_EXPECTED_CODEBOOK_V4'!$C$5:$C$27,0),0),INDEX('08_EXPECTED_CODEBOOK_V4'!$D$5:$CE$27,MATCH(C34,'08_EXPECTED_CODEBOOK_V4'!$C$5:$C$27,0),0))/'18_WEIGHT_CONTROL'!$B$15/(INDEX('95_WEIGHTED_NORMS'!$C$5:$C$27,MATCH(B34,'95_WEIGHTED_NORMS'!$B$5:$B$27,0))*INDEX('95_WEIGHTED_NORMS'!$C$5:$C$27,MATCH(C34,'95_WEIGHTED_NORMS'!$B$5:$B$27,0)))</f>
        <v/>
      </c>
      <c r="E34" s="33">
        <f>SQRT(MAX(0,2*(1-D34)))</f>
        <v/>
      </c>
      <c r="F34" s="33">
        <f>SQRT(SUMPRODUCT('94_WEIGHT_VECTOR'!$B$5:$CC$5,(INDEX('08_EXPECTED_CODEBOOK_V4'!$D$5:$CE$27,MATCH(B34,'08_EXPECTED_CODEBOOK_V4'!$C$5:$C$27,0),0)-INDEX('08_EXPECTED_CODEBOOK_V4'!$D$5:$CE$27,MATCH(C34,'08_EXPECTED_CODEBOOK_V4'!$C$5:$C$27,0),0))^2)/'18_WEIGHT_CONTROL'!$B$15)</f>
        <v/>
      </c>
      <c r="G34" s="33">
        <f>E34/0.921581529111637</f>
        <v/>
      </c>
      <c r="H34" s="33" t="n"/>
      <c r="I34" s="33">
        <f>RANK(E34,$E$5:$E$257,1)</f>
        <v/>
      </c>
    </row>
    <row r="35" ht="36" customHeight="1">
      <c r="A35" s="33" t="n">
        <v>31</v>
      </c>
      <c r="B35" s="33" t="inlineStr">
        <is>
          <t>Venusian</t>
        </is>
      </c>
      <c r="C35" s="33" t="inlineStr">
        <is>
          <t>Tau Cetian</t>
        </is>
      </c>
      <c r="D35" s="33">
        <f>SUMPRODUCT('94_WEIGHT_VECTOR'!$B$5:$CC$5,INDEX('08_EXPECTED_CODEBOOK_V4'!$D$5:$CE$27,MATCH(B35,'08_EXPECTED_CODEBOOK_V4'!$C$5:$C$27,0),0),INDEX('08_EXPECTED_CODEBOOK_V4'!$D$5:$CE$27,MATCH(C35,'08_EXPECTED_CODEBOOK_V4'!$C$5:$C$27,0),0))/'18_WEIGHT_CONTROL'!$B$15/(INDEX('95_WEIGHTED_NORMS'!$C$5:$C$27,MATCH(B35,'95_WEIGHTED_NORMS'!$B$5:$B$27,0))*INDEX('95_WEIGHTED_NORMS'!$C$5:$C$27,MATCH(C35,'95_WEIGHTED_NORMS'!$B$5:$B$27,0)))</f>
        <v/>
      </c>
      <c r="E35" s="33">
        <f>SQRT(MAX(0,2*(1-D35)))</f>
        <v/>
      </c>
      <c r="F35" s="33">
        <f>SQRT(SUMPRODUCT('94_WEIGHT_VECTOR'!$B$5:$CC$5,(INDEX('08_EXPECTED_CODEBOOK_V4'!$D$5:$CE$27,MATCH(B35,'08_EXPECTED_CODEBOOK_V4'!$C$5:$C$27,0),0)-INDEX('08_EXPECTED_CODEBOOK_V4'!$D$5:$CE$27,MATCH(C35,'08_EXPECTED_CODEBOOK_V4'!$C$5:$C$27,0),0))^2)/'18_WEIGHT_CONTROL'!$B$15)</f>
        <v/>
      </c>
      <c r="G35" s="33">
        <f>E35/0.9228522652035114</f>
        <v/>
      </c>
      <c r="H35" s="33" t="n"/>
      <c r="I35" s="33">
        <f>RANK(E35,$E$5:$E$257,1)</f>
        <v/>
      </c>
    </row>
    <row r="36" ht="36" customHeight="1">
      <c r="A36" s="33" t="n">
        <v>32</v>
      </c>
      <c r="B36" s="33" t="inlineStr">
        <is>
          <t>Orion</t>
        </is>
      </c>
      <c r="C36" s="33" t="inlineStr">
        <is>
          <t>Avian / Blue Avian</t>
        </is>
      </c>
      <c r="D36" s="33">
        <f>SUMPRODUCT('94_WEIGHT_VECTOR'!$B$5:$CC$5,INDEX('08_EXPECTED_CODEBOOK_V4'!$D$5:$CE$27,MATCH(B36,'08_EXPECTED_CODEBOOK_V4'!$C$5:$C$27,0),0),INDEX('08_EXPECTED_CODEBOOK_V4'!$D$5:$CE$27,MATCH(C36,'08_EXPECTED_CODEBOOK_V4'!$C$5:$C$27,0),0))/'18_WEIGHT_CONTROL'!$B$15/(INDEX('95_WEIGHTED_NORMS'!$C$5:$C$27,MATCH(B36,'95_WEIGHTED_NORMS'!$B$5:$B$27,0))*INDEX('95_WEIGHTED_NORMS'!$C$5:$C$27,MATCH(C36,'95_WEIGHTED_NORMS'!$B$5:$B$27,0)))</f>
        <v/>
      </c>
      <c r="E36" s="33">
        <f>SQRT(MAX(0,2*(1-D36)))</f>
        <v/>
      </c>
      <c r="F36" s="33">
        <f>SQRT(SUMPRODUCT('94_WEIGHT_VECTOR'!$B$5:$CC$5,(INDEX('08_EXPECTED_CODEBOOK_V4'!$D$5:$CE$27,MATCH(B36,'08_EXPECTED_CODEBOOK_V4'!$C$5:$C$27,0),0)-INDEX('08_EXPECTED_CODEBOOK_V4'!$D$5:$CE$27,MATCH(C36,'08_EXPECTED_CODEBOOK_V4'!$C$5:$C$27,0),0))^2)/'18_WEIGHT_CONTROL'!$B$15)</f>
        <v/>
      </c>
      <c r="G36" s="33">
        <f>E36/0.9358522406727364</f>
        <v/>
      </c>
      <c r="H36" s="33" t="n"/>
      <c r="I36" s="33">
        <f>RANK(E36,$E$5:$E$257,1)</f>
        <v/>
      </c>
    </row>
    <row r="37" ht="36" customHeight="1">
      <c r="A37" s="33" t="n">
        <v>33</v>
      </c>
      <c r="B37" s="33" t="inlineStr">
        <is>
          <t>Polarian</t>
        </is>
      </c>
      <c r="C37" s="33" t="inlineStr">
        <is>
          <t>Zeta / Grey</t>
        </is>
      </c>
      <c r="D37" s="33">
        <f>SUMPRODUCT('94_WEIGHT_VECTOR'!$B$5:$CC$5,INDEX('08_EXPECTED_CODEBOOK_V4'!$D$5:$CE$27,MATCH(B37,'08_EXPECTED_CODEBOOK_V4'!$C$5:$C$27,0),0),INDEX('08_EXPECTED_CODEBOOK_V4'!$D$5:$CE$27,MATCH(C37,'08_EXPECTED_CODEBOOK_V4'!$C$5:$C$27,0),0))/'18_WEIGHT_CONTROL'!$B$15/(INDEX('95_WEIGHTED_NORMS'!$C$5:$C$27,MATCH(B37,'95_WEIGHTED_NORMS'!$B$5:$B$27,0))*INDEX('95_WEIGHTED_NORMS'!$C$5:$C$27,MATCH(C37,'95_WEIGHTED_NORMS'!$B$5:$B$27,0)))</f>
        <v/>
      </c>
      <c r="E37" s="33">
        <f>SQRT(MAX(0,2*(1-D37)))</f>
        <v/>
      </c>
      <c r="F37" s="33">
        <f>SQRT(SUMPRODUCT('94_WEIGHT_VECTOR'!$B$5:$CC$5,(INDEX('08_EXPECTED_CODEBOOK_V4'!$D$5:$CE$27,MATCH(B37,'08_EXPECTED_CODEBOOK_V4'!$C$5:$C$27,0),0)-INDEX('08_EXPECTED_CODEBOOK_V4'!$D$5:$CE$27,MATCH(C37,'08_EXPECTED_CODEBOOK_V4'!$C$5:$C$27,0),0))^2)/'18_WEIGHT_CONTROL'!$B$15)</f>
        <v/>
      </c>
      <c r="G37" s="33">
        <f>E37/0.9420152971504037</f>
        <v/>
      </c>
      <c r="H37" s="33" t="n"/>
      <c r="I37" s="33">
        <f>RANK(E37,$E$5:$E$257,1)</f>
        <v/>
      </c>
    </row>
    <row r="38" ht="36" customHeight="1">
      <c r="A38" s="33" t="n">
        <v>34</v>
      </c>
      <c r="B38" s="33" t="inlineStr">
        <is>
          <t>Sirian</t>
        </is>
      </c>
      <c r="C38" s="33" t="inlineStr">
        <is>
          <t>Feline / Urmah</t>
        </is>
      </c>
      <c r="D38" s="33">
        <f>SUMPRODUCT('94_WEIGHT_VECTOR'!$B$5:$CC$5,INDEX('08_EXPECTED_CODEBOOK_V4'!$D$5:$CE$27,MATCH(B38,'08_EXPECTED_CODEBOOK_V4'!$C$5:$C$27,0),0),INDEX('08_EXPECTED_CODEBOOK_V4'!$D$5:$CE$27,MATCH(C38,'08_EXPECTED_CODEBOOK_V4'!$C$5:$C$27,0),0))/'18_WEIGHT_CONTROL'!$B$15/(INDEX('95_WEIGHTED_NORMS'!$C$5:$C$27,MATCH(B38,'95_WEIGHTED_NORMS'!$B$5:$B$27,0))*INDEX('95_WEIGHTED_NORMS'!$C$5:$C$27,MATCH(C38,'95_WEIGHTED_NORMS'!$B$5:$B$27,0)))</f>
        <v/>
      </c>
      <c r="E38" s="33">
        <f>SQRT(MAX(0,2*(1-D38)))</f>
        <v/>
      </c>
      <c r="F38" s="33">
        <f>SQRT(SUMPRODUCT('94_WEIGHT_VECTOR'!$B$5:$CC$5,(INDEX('08_EXPECTED_CODEBOOK_V4'!$D$5:$CE$27,MATCH(B38,'08_EXPECTED_CODEBOOK_V4'!$C$5:$C$27,0),0)-INDEX('08_EXPECTED_CODEBOOK_V4'!$D$5:$CE$27,MATCH(C38,'08_EXPECTED_CODEBOOK_V4'!$C$5:$C$27,0),0))^2)/'18_WEIGHT_CONTROL'!$B$15)</f>
        <v/>
      </c>
      <c r="G38" s="33">
        <f>E38/0.9492362464961173</f>
        <v/>
      </c>
      <c r="H38" s="33" t="n"/>
      <c r="I38" s="33">
        <f>RANK(E38,$E$5:$E$257,1)</f>
        <v/>
      </c>
    </row>
    <row r="39" ht="36" customHeight="1">
      <c r="A39" s="33" t="n">
        <v>35</v>
      </c>
      <c r="B39" s="33" t="inlineStr">
        <is>
          <t>Mintakan</t>
        </is>
      </c>
      <c r="C39" s="33" t="inlineStr">
        <is>
          <t>Venusian</t>
        </is>
      </c>
      <c r="D39" s="33">
        <f>SUMPRODUCT('94_WEIGHT_VECTOR'!$B$5:$CC$5,INDEX('08_EXPECTED_CODEBOOK_V4'!$D$5:$CE$27,MATCH(B39,'08_EXPECTED_CODEBOOK_V4'!$C$5:$C$27,0),0),INDEX('08_EXPECTED_CODEBOOK_V4'!$D$5:$CE$27,MATCH(C39,'08_EXPECTED_CODEBOOK_V4'!$C$5:$C$27,0),0))/'18_WEIGHT_CONTROL'!$B$15/(INDEX('95_WEIGHTED_NORMS'!$C$5:$C$27,MATCH(B39,'95_WEIGHTED_NORMS'!$B$5:$B$27,0))*INDEX('95_WEIGHTED_NORMS'!$C$5:$C$27,MATCH(C39,'95_WEIGHTED_NORMS'!$B$5:$B$27,0)))</f>
        <v/>
      </c>
      <c r="E39" s="33">
        <f>SQRT(MAX(0,2*(1-D39)))</f>
        <v/>
      </c>
      <c r="F39" s="33">
        <f>SQRT(SUMPRODUCT('94_WEIGHT_VECTOR'!$B$5:$CC$5,(INDEX('08_EXPECTED_CODEBOOK_V4'!$D$5:$CE$27,MATCH(B39,'08_EXPECTED_CODEBOOK_V4'!$C$5:$C$27,0),0)-INDEX('08_EXPECTED_CODEBOOK_V4'!$D$5:$CE$27,MATCH(C39,'08_EXPECTED_CODEBOOK_V4'!$C$5:$C$27,0),0))^2)/'18_WEIGHT_CONTROL'!$B$15)</f>
        <v/>
      </c>
      <c r="G39" s="33">
        <f>E39/0.9392226062892811</f>
        <v/>
      </c>
      <c r="H39" s="33" t="n"/>
      <c r="I39" s="33">
        <f>RANK(E39,$E$5:$E$257,1)</f>
        <v/>
      </c>
    </row>
    <row r="40" ht="36" customHeight="1">
      <c r="A40" s="33" t="n">
        <v>36</v>
      </c>
      <c r="B40" s="33" t="inlineStr">
        <is>
          <t>Arcturian</t>
        </is>
      </c>
      <c r="C40" s="33" t="inlineStr">
        <is>
          <t>Tau Cetian</t>
        </is>
      </c>
      <c r="D40" s="33">
        <f>SUMPRODUCT('94_WEIGHT_VECTOR'!$B$5:$CC$5,INDEX('08_EXPECTED_CODEBOOK_V4'!$D$5:$CE$27,MATCH(B40,'08_EXPECTED_CODEBOOK_V4'!$C$5:$C$27,0),0),INDEX('08_EXPECTED_CODEBOOK_V4'!$D$5:$CE$27,MATCH(C40,'08_EXPECTED_CODEBOOK_V4'!$C$5:$C$27,0),0))/'18_WEIGHT_CONTROL'!$B$15/(INDEX('95_WEIGHTED_NORMS'!$C$5:$C$27,MATCH(B40,'95_WEIGHTED_NORMS'!$B$5:$B$27,0))*INDEX('95_WEIGHTED_NORMS'!$C$5:$C$27,MATCH(C40,'95_WEIGHTED_NORMS'!$B$5:$B$27,0)))</f>
        <v/>
      </c>
      <c r="E40" s="33">
        <f>SQRT(MAX(0,2*(1-D40)))</f>
        <v/>
      </c>
      <c r="F40" s="33">
        <f>SQRT(SUMPRODUCT('94_WEIGHT_VECTOR'!$B$5:$CC$5,(INDEX('08_EXPECTED_CODEBOOK_V4'!$D$5:$CE$27,MATCH(B40,'08_EXPECTED_CODEBOOK_V4'!$C$5:$C$27,0),0)-INDEX('08_EXPECTED_CODEBOOK_V4'!$D$5:$CE$27,MATCH(C40,'08_EXPECTED_CODEBOOK_V4'!$C$5:$C$27,0),0))^2)/'18_WEIGHT_CONTROL'!$B$15)</f>
        <v/>
      </c>
      <c r="G40" s="33">
        <f>E40/0.9665485500167248</f>
        <v/>
      </c>
      <c r="H40" s="33" t="n"/>
      <c r="I40" s="33">
        <f>RANK(E40,$E$5:$E$257,1)</f>
        <v/>
      </c>
    </row>
    <row r="41" ht="36" customHeight="1">
      <c r="A41" s="33" t="n">
        <v>37</v>
      </c>
      <c r="B41" s="33" t="inlineStr">
        <is>
          <t>Arcturian</t>
        </is>
      </c>
      <c r="C41" s="33" t="inlineStr">
        <is>
          <t>Venusian</t>
        </is>
      </c>
      <c r="D41" s="33">
        <f>SUMPRODUCT('94_WEIGHT_VECTOR'!$B$5:$CC$5,INDEX('08_EXPECTED_CODEBOOK_V4'!$D$5:$CE$27,MATCH(B41,'08_EXPECTED_CODEBOOK_V4'!$C$5:$C$27,0),0),INDEX('08_EXPECTED_CODEBOOK_V4'!$D$5:$CE$27,MATCH(C41,'08_EXPECTED_CODEBOOK_V4'!$C$5:$C$27,0),0))/'18_WEIGHT_CONTROL'!$B$15/(INDEX('95_WEIGHTED_NORMS'!$C$5:$C$27,MATCH(B41,'95_WEIGHTED_NORMS'!$B$5:$B$27,0))*INDEX('95_WEIGHTED_NORMS'!$C$5:$C$27,MATCH(C41,'95_WEIGHTED_NORMS'!$B$5:$B$27,0)))</f>
        <v/>
      </c>
      <c r="E41" s="33">
        <f>SQRT(MAX(0,2*(1-D41)))</f>
        <v/>
      </c>
      <c r="F41" s="33">
        <f>SQRT(SUMPRODUCT('94_WEIGHT_VECTOR'!$B$5:$CC$5,(INDEX('08_EXPECTED_CODEBOOK_V4'!$D$5:$CE$27,MATCH(B41,'08_EXPECTED_CODEBOOK_V4'!$C$5:$C$27,0),0)-INDEX('08_EXPECTED_CODEBOOK_V4'!$D$5:$CE$27,MATCH(C41,'08_EXPECTED_CODEBOOK_V4'!$C$5:$C$27,0),0))^2)/'18_WEIGHT_CONTROL'!$B$15)</f>
        <v/>
      </c>
      <c r="G41" s="33">
        <f>E41/0.9712654844495401</f>
        <v/>
      </c>
      <c r="H41" s="33" t="n"/>
      <c r="I41" s="33">
        <f>RANK(E41,$E$5:$E$257,1)</f>
        <v/>
      </c>
    </row>
    <row r="42" ht="36" customHeight="1">
      <c r="A42" s="33" t="n">
        <v>38</v>
      </c>
      <c r="B42" s="33" t="inlineStr">
        <is>
          <t>Pleiadian</t>
        </is>
      </c>
      <c r="C42" s="33" t="inlineStr">
        <is>
          <t>Tau Cetian</t>
        </is>
      </c>
      <c r="D42" s="33">
        <f>SUMPRODUCT('94_WEIGHT_VECTOR'!$B$5:$CC$5,INDEX('08_EXPECTED_CODEBOOK_V4'!$D$5:$CE$27,MATCH(B42,'08_EXPECTED_CODEBOOK_V4'!$C$5:$C$27,0),0),INDEX('08_EXPECTED_CODEBOOK_V4'!$D$5:$CE$27,MATCH(C42,'08_EXPECTED_CODEBOOK_V4'!$C$5:$C$27,0),0))/'18_WEIGHT_CONTROL'!$B$15/(INDEX('95_WEIGHTED_NORMS'!$C$5:$C$27,MATCH(B42,'95_WEIGHTED_NORMS'!$B$5:$B$27,0))*INDEX('95_WEIGHTED_NORMS'!$C$5:$C$27,MATCH(C42,'95_WEIGHTED_NORMS'!$B$5:$B$27,0)))</f>
        <v/>
      </c>
      <c r="E42" s="33">
        <f>SQRT(MAX(0,2*(1-D42)))</f>
        <v/>
      </c>
      <c r="F42" s="33">
        <f>SQRT(SUMPRODUCT('94_WEIGHT_VECTOR'!$B$5:$CC$5,(INDEX('08_EXPECTED_CODEBOOK_V4'!$D$5:$CE$27,MATCH(B42,'08_EXPECTED_CODEBOOK_V4'!$C$5:$C$27,0),0)-INDEX('08_EXPECTED_CODEBOOK_V4'!$D$5:$CE$27,MATCH(C42,'08_EXPECTED_CODEBOOK_V4'!$C$5:$C$27,0),0))^2)/'18_WEIGHT_CONTROL'!$B$15)</f>
        <v/>
      </c>
      <c r="G42" s="33">
        <f>E42/0.9737037622490152</f>
        <v/>
      </c>
      <c r="H42" s="33" t="n"/>
      <c r="I42" s="33">
        <f>RANK(E42,$E$5:$E$257,1)</f>
        <v/>
      </c>
    </row>
    <row r="43" ht="36" customHeight="1">
      <c r="A43" s="33" t="n">
        <v>39</v>
      </c>
      <c r="B43" s="33" t="inlineStr">
        <is>
          <t>Orion</t>
        </is>
      </c>
      <c r="C43" s="33" t="inlineStr">
        <is>
          <t>Maldekian</t>
        </is>
      </c>
      <c r="D43" s="33">
        <f>SUMPRODUCT('94_WEIGHT_VECTOR'!$B$5:$CC$5,INDEX('08_EXPECTED_CODEBOOK_V4'!$D$5:$CE$27,MATCH(B43,'08_EXPECTED_CODEBOOK_V4'!$C$5:$C$27,0),0),INDEX('08_EXPECTED_CODEBOOK_V4'!$D$5:$CE$27,MATCH(C43,'08_EXPECTED_CODEBOOK_V4'!$C$5:$C$27,0),0))/'18_WEIGHT_CONTROL'!$B$15/(INDEX('95_WEIGHTED_NORMS'!$C$5:$C$27,MATCH(B43,'95_WEIGHTED_NORMS'!$B$5:$B$27,0))*INDEX('95_WEIGHTED_NORMS'!$C$5:$C$27,MATCH(C43,'95_WEIGHTED_NORMS'!$B$5:$B$27,0)))</f>
        <v/>
      </c>
      <c r="E43" s="33">
        <f>SQRT(MAX(0,2*(1-D43)))</f>
        <v/>
      </c>
      <c r="F43" s="33">
        <f>SQRT(SUMPRODUCT('94_WEIGHT_VECTOR'!$B$5:$CC$5,(INDEX('08_EXPECTED_CODEBOOK_V4'!$D$5:$CE$27,MATCH(B43,'08_EXPECTED_CODEBOOK_V4'!$C$5:$C$27,0),0)-INDEX('08_EXPECTED_CODEBOOK_V4'!$D$5:$CE$27,MATCH(C43,'08_EXPECTED_CODEBOOK_V4'!$C$5:$C$27,0),0))^2)/'18_WEIGHT_CONTROL'!$B$15)</f>
        <v/>
      </c>
      <c r="G43" s="33">
        <f>E43/0.9747893208990966</f>
        <v/>
      </c>
      <c r="H43" s="33" t="n"/>
      <c r="I43" s="33">
        <f>RANK(E43,$E$5:$E$257,1)</f>
        <v/>
      </c>
    </row>
    <row r="44" ht="36" customHeight="1">
      <c r="A44" s="33" t="n">
        <v>40</v>
      </c>
      <c r="B44" s="33" t="inlineStr">
        <is>
          <t>Alpha Centaurian</t>
        </is>
      </c>
      <c r="C44" s="33" t="inlineStr">
        <is>
          <t>Tau Cetian</t>
        </is>
      </c>
      <c r="D44" s="33">
        <f>SUMPRODUCT('94_WEIGHT_VECTOR'!$B$5:$CC$5,INDEX('08_EXPECTED_CODEBOOK_V4'!$D$5:$CE$27,MATCH(B44,'08_EXPECTED_CODEBOOK_V4'!$C$5:$C$27,0),0),INDEX('08_EXPECTED_CODEBOOK_V4'!$D$5:$CE$27,MATCH(C44,'08_EXPECTED_CODEBOOK_V4'!$C$5:$C$27,0),0))/'18_WEIGHT_CONTROL'!$B$15/(INDEX('95_WEIGHTED_NORMS'!$C$5:$C$27,MATCH(B44,'95_WEIGHTED_NORMS'!$B$5:$B$27,0))*INDEX('95_WEIGHTED_NORMS'!$C$5:$C$27,MATCH(C44,'95_WEIGHTED_NORMS'!$B$5:$B$27,0)))</f>
        <v/>
      </c>
      <c r="E44" s="33">
        <f>SQRT(MAX(0,2*(1-D44)))</f>
        <v/>
      </c>
      <c r="F44" s="33">
        <f>SQRT(SUMPRODUCT('94_WEIGHT_VECTOR'!$B$5:$CC$5,(INDEX('08_EXPECTED_CODEBOOK_V4'!$D$5:$CE$27,MATCH(B44,'08_EXPECTED_CODEBOOK_V4'!$C$5:$C$27,0),0)-INDEX('08_EXPECTED_CODEBOOK_V4'!$D$5:$CE$27,MATCH(C44,'08_EXPECTED_CODEBOOK_V4'!$C$5:$C$27,0),0))^2)/'18_WEIGHT_CONTROL'!$B$15)</f>
        <v/>
      </c>
      <c r="G44" s="33">
        <f>E44/0.9741291986604551</f>
        <v/>
      </c>
      <c r="H44" s="33" t="n"/>
      <c r="I44" s="33">
        <f>RANK(E44,$E$5:$E$257,1)</f>
        <v/>
      </c>
    </row>
    <row r="45" ht="36" customHeight="1">
      <c r="A45" s="33" t="n">
        <v>41</v>
      </c>
      <c r="B45" s="33" t="inlineStr">
        <is>
          <t>Andromedan</t>
        </is>
      </c>
      <c r="C45" s="33" t="inlineStr">
        <is>
          <t>Avian / Blue Avian</t>
        </is>
      </c>
      <c r="D45" s="33">
        <f>SUMPRODUCT('94_WEIGHT_VECTOR'!$B$5:$CC$5,INDEX('08_EXPECTED_CODEBOOK_V4'!$D$5:$CE$27,MATCH(B45,'08_EXPECTED_CODEBOOK_V4'!$C$5:$C$27,0),0),INDEX('08_EXPECTED_CODEBOOK_V4'!$D$5:$CE$27,MATCH(C45,'08_EXPECTED_CODEBOOK_V4'!$C$5:$C$27,0),0))/'18_WEIGHT_CONTROL'!$B$15/(INDEX('95_WEIGHTED_NORMS'!$C$5:$C$27,MATCH(B45,'95_WEIGHTED_NORMS'!$B$5:$B$27,0))*INDEX('95_WEIGHTED_NORMS'!$C$5:$C$27,MATCH(C45,'95_WEIGHTED_NORMS'!$B$5:$B$27,0)))</f>
        <v/>
      </c>
      <c r="E45" s="33">
        <f>SQRT(MAX(0,2*(1-D45)))</f>
        <v/>
      </c>
      <c r="F45" s="33">
        <f>SQRT(SUMPRODUCT('94_WEIGHT_VECTOR'!$B$5:$CC$5,(INDEX('08_EXPECTED_CODEBOOK_V4'!$D$5:$CE$27,MATCH(B45,'08_EXPECTED_CODEBOOK_V4'!$C$5:$C$27,0),0)-INDEX('08_EXPECTED_CODEBOOK_V4'!$D$5:$CE$27,MATCH(C45,'08_EXPECTED_CODEBOOK_V4'!$C$5:$C$27,0),0))^2)/'18_WEIGHT_CONTROL'!$B$15)</f>
        <v/>
      </c>
      <c r="G45" s="33">
        <f>E45/0.9851459640358312</f>
        <v/>
      </c>
      <c r="H45" s="33" t="n"/>
      <c r="I45" s="33">
        <f>RANK(E45,$E$5:$E$257,1)</f>
        <v/>
      </c>
    </row>
    <row r="46" ht="36" customHeight="1">
      <c r="A46" s="33" t="n">
        <v>42</v>
      </c>
      <c r="B46" s="33" t="inlineStr">
        <is>
          <t>Andromedan</t>
        </is>
      </c>
      <c r="C46" s="33" t="inlineStr">
        <is>
          <t>Martian</t>
        </is>
      </c>
      <c r="D46" s="33">
        <f>SUMPRODUCT('94_WEIGHT_VECTOR'!$B$5:$CC$5,INDEX('08_EXPECTED_CODEBOOK_V4'!$D$5:$CE$27,MATCH(B46,'08_EXPECTED_CODEBOOK_V4'!$C$5:$C$27,0),0),INDEX('08_EXPECTED_CODEBOOK_V4'!$D$5:$CE$27,MATCH(C46,'08_EXPECTED_CODEBOOK_V4'!$C$5:$C$27,0),0))/'18_WEIGHT_CONTROL'!$B$15/(INDEX('95_WEIGHTED_NORMS'!$C$5:$C$27,MATCH(B46,'95_WEIGHTED_NORMS'!$B$5:$B$27,0))*INDEX('95_WEIGHTED_NORMS'!$C$5:$C$27,MATCH(C46,'95_WEIGHTED_NORMS'!$B$5:$B$27,0)))</f>
        <v/>
      </c>
      <c r="E46" s="33">
        <f>SQRT(MAX(0,2*(1-D46)))</f>
        <v/>
      </c>
      <c r="F46" s="33">
        <f>SQRT(SUMPRODUCT('94_WEIGHT_VECTOR'!$B$5:$CC$5,(INDEX('08_EXPECTED_CODEBOOK_V4'!$D$5:$CE$27,MATCH(B46,'08_EXPECTED_CODEBOOK_V4'!$C$5:$C$27,0),0)-INDEX('08_EXPECTED_CODEBOOK_V4'!$D$5:$CE$27,MATCH(C46,'08_EXPECTED_CODEBOOK_V4'!$C$5:$C$27,0),0))^2)/'18_WEIGHT_CONTROL'!$B$15)</f>
        <v/>
      </c>
      <c r="G46" s="33">
        <f>E46/0.9732691083232774</f>
        <v/>
      </c>
      <c r="H46" s="33" t="n"/>
      <c r="I46" s="33">
        <f>RANK(E46,$E$5:$E$257,1)</f>
        <v/>
      </c>
    </row>
    <row r="47" ht="36" customHeight="1">
      <c r="A47" s="33" t="n">
        <v>43</v>
      </c>
      <c r="B47" s="33" t="inlineStr">
        <is>
          <t>Feline / Urmah</t>
        </is>
      </c>
      <c r="C47" s="33" t="inlineStr">
        <is>
          <t>Zeta / Grey</t>
        </is>
      </c>
      <c r="D47" s="33">
        <f>SUMPRODUCT('94_WEIGHT_VECTOR'!$B$5:$CC$5,INDEX('08_EXPECTED_CODEBOOK_V4'!$D$5:$CE$27,MATCH(B47,'08_EXPECTED_CODEBOOK_V4'!$C$5:$C$27,0),0),INDEX('08_EXPECTED_CODEBOOK_V4'!$D$5:$CE$27,MATCH(C47,'08_EXPECTED_CODEBOOK_V4'!$C$5:$C$27,0),0))/'18_WEIGHT_CONTROL'!$B$15/(INDEX('95_WEIGHTED_NORMS'!$C$5:$C$27,MATCH(B47,'95_WEIGHTED_NORMS'!$B$5:$B$27,0))*INDEX('95_WEIGHTED_NORMS'!$C$5:$C$27,MATCH(C47,'95_WEIGHTED_NORMS'!$B$5:$B$27,0)))</f>
        <v/>
      </c>
      <c r="E47" s="33">
        <f>SQRT(MAX(0,2*(1-D47)))</f>
        <v/>
      </c>
      <c r="F47" s="33">
        <f>SQRT(SUMPRODUCT('94_WEIGHT_VECTOR'!$B$5:$CC$5,(INDEX('08_EXPECTED_CODEBOOK_V4'!$D$5:$CE$27,MATCH(B47,'08_EXPECTED_CODEBOOK_V4'!$C$5:$C$27,0),0)-INDEX('08_EXPECTED_CODEBOOK_V4'!$D$5:$CE$27,MATCH(C47,'08_EXPECTED_CODEBOOK_V4'!$C$5:$C$27,0),0))^2)/'18_WEIGHT_CONTROL'!$B$15)</f>
        <v/>
      </c>
      <c r="G47" s="33">
        <f>E47/0.978459840810179</f>
        <v/>
      </c>
      <c r="H47" s="33" t="n"/>
      <c r="I47" s="33">
        <f>RANK(E47,$E$5:$E$257,1)</f>
        <v/>
      </c>
    </row>
    <row r="48" ht="36" customHeight="1">
      <c r="A48" s="33" t="n">
        <v>44</v>
      </c>
      <c r="B48" s="33" t="inlineStr">
        <is>
          <t>Anunnaki / Nibiruan</t>
        </is>
      </c>
      <c r="C48" s="33" t="inlineStr">
        <is>
          <t>Antarian</t>
        </is>
      </c>
      <c r="D48" s="33">
        <f>SUMPRODUCT('94_WEIGHT_VECTOR'!$B$5:$CC$5,INDEX('08_EXPECTED_CODEBOOK_V4'!$D$5:$CE$27,MATCH(B48,'08_EXPECTED_CODEBOOK_V4'!$C$5:$C$27,0),0),INDEX('08_EXPECTED_CODEBOOK_V4'!$D$5:$CE$27,MATCH(C48,'08_EXPECTED_CODEBOOK_V4'!$C$5:$C$27,0),0))/'18_WEIGHT_CONTROL'!$B$15/(INDEX('95_WEIGHTED_NORMS'!$C$5:$C$27,MATCH(B48,'95_WEIGHTED_NORMS'!$B$5:$B$27,0))*INDEX('95_WEIGHTED_NORMS'!$C$5:$C$27,MATCH(C48,'95_WEIGHTED_NORMS'!$B$5:$B$27,0)))</f>
        <v/>
      </c>
      <c r="E48" s="33">
        <f>SQRT(MAX(0,2*(1-D48)))</f>
        <v/>
      </c>
      <c r="F48" s="33">
        <f>SQRT(SUMPRODUCT('94_WEIGHT_VECTOR'!$B$5:$CC$5,(INDEX('08_EXPECTED_CODEBOOK_V4'!$D$5:$CE$27,MATCH(B48,'08_EXPECTED_CODEBOOK_V4'!$C$5:$C$27,0),0)-INDEX('08_EXPECTED_CODEBOOK_V4'!$D$5:$CE$27,MATCH(C48,'08_EXPECTED_CODEBOOK_V4'!$C$5:$C$27,0),0))^2)/'18_WEIGHT_CONTROL'!$B$15)</f>
        <v/>
      </c>
      <c r="G48" s="33">
        <f>E48/0.9909428242584848</f>
        <v/>
      </c>
      <c r="H48" s="33" t="n"/>
      <c r="I48" s="33">
        <f>RANK(E48,$E$5:$E$257,1)</f>
        <v/>
      </c>
    </row>
    <row r="49" ht="36" customHeight="1">
      <c r="A49" s="33" t="n">
        <v>45</v>
      </c>
      <c r="B49" s="33" t="inlineStr">
        <is>
          <t>Andromedan</t>
        </is>
      </c>
      <c r="C49" s="33" t="inlineStr">
        <is>
          <t>Lyran</t>
        </is>
      </c>
      <c r="D49" s="33">
        <f>SUMPRODUCT('94_WEIGHT_VECTOR'!$B$5:$CC$5,INDEX('08_EXPECTED_CODEBOOK_V4'!$D$5:$CE$27,MATCH(B49,'08_EXPECTED_CODEBOOK_V4'!$C$5:$C$27,0),0),INDEX('08_EXPECTED_CODEBOOK_V4'!$D$5:$CE$27,MATCH(C49,'08_EXPECTED_CODEBOOK_V4'!$C$5:$C$27,0),0))/'18_WEIGHT_CONTROL'!$B$15/(INDEX('95_WEIGHTED_NORMS'!$C$5:$C$27,MATCH(B49,'95_WEIGHTED_NORMS'!$B$5:$B$27,0))*INDEX('95_WEIGHTED_NORMS'!$C$5:$C$27,MATCH(C49,'95_WEIGHTED_NORMS'!$B$5:$B$27,0)))</f>
        <v/>
      </c>
      <c r="E49" s="33">
        <f>SQRT(MAX(0,2*(1-D49)))</f>
        <v/>
      </c>
      <c r="F49" s="33">
        <f>SQRT(SUMPRODUCT('94_WEIGHT_VECTOR'!$B$5:$CC$5,(INDEX('08_EXPECTED_CODEBOOK_V4'!$D$5:$CE$27,MATCH(B49,'08_EXPECTED_CODEBOOK_V4'!$C$5:$C$27,0),0)-INDEX('08_EXPECTED_CODEBOOK_V4'!$D$5:$CE$27,MATCH(C49,'08_EXPECTED_CODEBOOK_V4'!$C$5:$C$27,0),0))^2)/'18_WEIGHT_CONTROL'!$B$15)</f>
        <v/>
      </c>
      <c r="G49" s="33">
        <f>E49/0.9818033618154276</f>
        <v/>
      </c>
      <c r="H49" s="33" t="n"/>
      <c r="I49" s="33">
        <f>RANK(E49,$E$5:$E$257,1)</f>
        <v/>
      </c>
    </row>
    <row r="50" ht="36" customHeight="1">
      <c r="A50" s="33" t="n">
        <v>46</v>
      </c>
      <c r="B50" s="33" t="inlineStr">
        <is>
          <t>Alpha Centaurian</t>
        </is>
      </c>
      <c r="C50" s="33" t="inlineStr">
        <is>
          <t>Zeta / Grey</t>
        </is>
      </c>
      <c r="D50" s="33">
        <f>SUMPRODUCT('94_WEIGHT_VECTOR'!$B$5:$CC$5,INDEX('08_EXPECTED_CODEBOOK_V4'!$D$5:$CE$27,MATCH(B50,'08_EXPECTED_CODEBOOK_V4'!$C$5:$C$27,0),0),INDEX('08_EXPECTED_CODEBOOK_V4'!$D$5:$CE$27,MATCH(C50,'08_EXPECTED_CODEBOOK_V4'!$C$5:$C$27,0),0))/'18_WEIGHT_CONTROL'!$B$15/(INDEX('95_WEIGHTED_NORMS'!$C$5:$C$27,MATCH(B50,'95_WEIGHTED_NORMS'!$B$5:$B$27,0))*INDEX('95_WEIGHTED_NORMS'!$C$5:$C$27,MATCH(C50,'95_WEIGHTED_NORMS'!$B$5:$B$27,0)))</f>
        <v/>
      </c>
      <c r="E50" s="33">
        <f>SQRT(MAX(0,2*(1-D50)))</f>
        <v/>
      </c>
      <c r="F50" s="33">
        <f>SQRT(SUMPRODUCT('94_WEIGHT_VECTOR'!$B$5:$CC$5,(INDEX('08_EXPECTED_CODEBOOK_V4'!$D$5:$CE$27,MATCH(B50,'08_EXPECTED_CODEBOOK_V4'!$C$5:$C$27,0),0)-INDEX('08_EXPECTED_CODEBOOK_V4'!$D$5:$CE$27,MATCH(C50,'08_EXPECTED_CODEBOOK_V4'!$C$5:$C$27,0),0))^2)/'18_WEIGHT_CONTROL'!$B$15)</f>
        <v/>
      </c>
      <c r="G50" s="33">
        <f>E50/0.9850737893022891</f>
        <v/>
      </c>
      <c r="H50" s="33" t="n"/>
      <c r="I50" s="33">
        <f>RANK(E50,$E$5:$E$257,1)</f>
        <v/>
      </c>
    </row>
    <row r="51" ht="36" customHeight="1">
      <c r="A51" s="33" t="n">
        <v>47</v>
      </c>
      <c r="B51" s="33" t="inlineStr">
        <is>
          <t>Sirian</t>
        </is>
      </c>
      <c r="C51" s="33" t="inlineStr">
        <is>
          <t>Draconian</t>
        </is>
      </c>
      <c r="D51" s="33">
        <f>SUMPRODUCT('94_WEIGHT_VECTOR'!$B$5:$CC$5,INDEX('08_EXPECTED_CODEBOOK_V4'!$D$5:$CE$27,MATCH(B51,'08_EXPECTED_CODEBOOK_V4'!$C$5:$C$27,0),0),INDEX('08_EXPECTED_CODEBOOK_V4'!$D$5:$CE$27,MATCH(C51,'08_EXPECTED_CODEBOOK_V4'!$C$5:$C$27,0),0))/'18_WEIGHT_CONTROL'!$B$15/(INDEX('95_WEIGHTED_NORMS'!$C$5:$C$27,MATCH(B51,'95_WEIGHTED_NORMS'!$B$5:$B$27,0))*INDEX('95_WEIGHTED_NORMS'!$C$5:$C$27,MATCH(C51,'95_WEIGHTED_NORMS'!$B$5:$B$27,0)))</f>
        <v/>
      </c>
      <c r="E51" s="33">
        <f>SQRT(MAX(0,2*(1-D51)))</f>
        <v/>
      </c>
      <c r="F51" s="33">
        <f>SQRT(SUMPRODUCT('94_WEIGHT_VECTOR'!$B$5:$CC$5,(INDEX('08_EXPECTED_CODEBOOK_V4'!$D$5:$CE$27,MATCH(B51,'08_EXPECTED_CODEBOOK_V4'!$C$5:$C$27,0),0)-INDEX('08_EXPECTED_CODEBOOK_V4'!$D$5:$CE$27,MATCH(C51,'08_EXPECTED_CODEBOOK_V4'!$C$5:$C$27,0),0))^2)/'18_WEIGHT_CONTROL'!$B$15)</f>
        <v/>
      </c>
      <c r="G51" s="33">
        <f>E51/0.9958239233280678</f>
        <v/>
      </c>
      <c r="H51" s="33" t="n"/>
      <c r="I51" s="33">
        <f>RANK(E51,$E$5:$E$257,1)</f>
        <v/>
      </c>
    </row>
    <row r="52" ht="36" customHeight="1">
      <c r="A52" s="33" t="n">
        <v>48</v>
      </c>
      <c r="B52" s="33" t="inlineStr">
        <is>
          <t>Alpha Centaurian</t>
        </is>
      </c>
      <c r="C52" s="33" t="inlineStr">
        <is>
          <t>Anunnaki / Nibiruan</t>
        </is>
      </c>
      <c r="D52" s="33">
        <f>SUMPRODUCT('94_WEIGHT_VECTOR'!$B$5:$CC$5,INDEX('08_EXPECTED_CODEBOOK_V4'!$D$5:$CE$27,MATCH(B52,'08_EXPECTED_CODEBOOK_V4'!$C$5:$C$27,0),0),INDEX('08_EXPECTED_CODEBOOK_V4'!$D$5:$CE$27,MATCH(C52,'08_EXPECTED_CODEBOOK_V4'!$C$5:$C$27,0),0))/'18_WEIGHT_CONTROL'!$B$15/(INDEX('95_WEIGHTED_NORMS'!$C$5:$C$27,MATCH(B52,'95_WEIGHTED_NORMS'!$B$5:$B$27,0))*INDEX('95_WEIGHTED_NORMS'!$C$5:$C$27,MATCH(C52,'95_WEIGHTED_NORMS'!$B$5:$B$27,0)))</f>
        <v/>
      </c>
      <c r="E52" s="33">
        <f>SQRT(MAX(0,2*(1-D52)))</f>
        <v/>
      </c>
      <c r="F52" s="33">
        <f>SQRT(SUMPRODUCT('94_WEIGHT_VECTOR'!$B$5:$CC$5,(INDEX('08_EXPECTED_CODEBOOK_V4'!$D$5:$CE$27,MATCH(B52,'08_EXPECTED_CODEBOOK_V4'!$C$5:$C$27,0),0)-INDEX('08_EXPECTED_CODEBOOK_V4'!$D$5:$CE$27,MATCH(C52,'08_EXPECTED_CODEBOOK_V4'!$C$5:$C$27,0),0))^2)/'18_WEIGHT_CONTROL'!$B$15)</f>
        <v/>
      </c>
      <c r="G52" s="33">
        <f>E52/0.9996210377470113</f>
        <v/>
      </c>
      <c r="H52" s="33" t="n"/>
      <c r="I52" s="33">
        <f>RANK(E52,$E$5:$E$257,1)</f>
        <v/>
      </c>
    </row>
    <row r="53" ht="36" customHeight="1">
      <c r="A53" s="33" t="n">
        <v>49</v>
      </c>
      <c r="B53" s="33" t="inlineStr">
        <is>
          <t>Lyran</t>
        </is>
      </c>
      <c r="C53" s="33" t="inlineStr">
        <is>
          <t>Reptilian</t>
        </is>
      </c>
      <c r="D53" s="33">
        <f>SUMPRODUCT('94_WEIGHT_VECTOR'!$B$5:$CC$5,INDEX('08_EXPECTED_CODEBOOK_V4'!$D$5:$CE$27,MATCH(B53,'08_EXPECTED_CODEBOOK_V4'!$C$5:$C$27,0),0),INDEX('08_EXPECTED_CODEBOOK_V4'!$D$5:$CE$27,MATCH(C53,'08_EXPECTED_CODEBOOK_V4'!$C$5:$C$27,0),0))/'18_WEIGHT_CONTROL'!$B$15/(INDEX('95_WEIGHTED_NORMS'!$C$5:$C$27,MATCH(B53,'95_WEIGHTED_NORMS'!$B$5:$B$27,0))*INDEX('95_WEIGHTED_NORMS'!$C$5:$C$27,MATCH(C53,'95_WEIGHTED_NORMS'!$B$5:$B$27,0)))</f>
        <v/>
      </c>
      <c r="E53" s="33">
        <f>SQRT(MAX(0,2*(1-D53)))</f>
        <v/>
      </c>
      <c r="F53" s="33">
        <f>SQRT(SUMPRODUCT('94_WEIGHT_VECTOR'!$B$5:$CC$5,(INDEX('08_EXPECTED_CODEBOOK_V4'!$D$5:$CE$27,MATCH(B53,'08_EXPECTED_CODEBOOK_V4'!$C$5:$C$27,0),0)-INDEX('08_EXPECTED_CODEBOOK_V4'!$D$5:$CE$27,MATCH(C53,'08_EXPECTED_CODEBOOK_V4'!$C$5:$C$27,0),0))^2)/'18_WEIGHT_CONTROL'!$B$15)</f>
        <v/>
      </c>
      <c r="G53" s="33">
        <f>E53/0.9928758804149739</f>
        <v/>
      </c>
      <c r="H53" s="33" t="n"/>
      <c r="I53" s="33">
        <f>RANK(E53,$E$5:$E$257,1)</f>
        <v/>
      </c>
    </row>
    <row r="54" ht="36" customHeight="1">
      <c r="A54" s="33" t="n">
        <v>50</v>
      </c>
      <c r="B54" s="33" t="inlineStr">
        <is>
          <t>Feline / Urmah</t>
        </is>
      </c>
      <c r="C54" s="33" t="inlineStr">
        <is>
          <t>Reptilian</t>
        </is>
      </c>
      <c r="D54" s="33">
        <f>SUMPRODUCT('94_WEIGHT_VECTOR'!$B$5:$CC$5,INDEX('08_EXPECTED_CODEBOOK_V4'!$D$5:$CE$27,MATCH(B54,'08_EXPECTED_CODEBOOK_V4'!$C$5:$C$27,0),0),INDEX('08_EXPECTED_CODEBOOK_V4'!$D$5:$CE$27,MATCH(C54,'08_EXPECTED_CODEBOOK_V4'!$C$5:$C$27,0),0))/'18_WEIGHT_CONTROL'!$B$15/(INDEX('95_WEIGHTED_NORMS'!$C$5:$C$27,MATCH(B54,'95_WEIGHTED_NORMS'!$B$5:$B$27,0))*INDEX('95_WEIGHTED_NORMS'!$C$5:$C$27,MATCH(C54,'95_WEIGHTED_NORMS'!$B$5:$B$27,0)))</f>
        <v/>
      </c>
      <c r="E54" s="33">
        <f>SQRT(MAX(0,2*(1-D54)))</f>
        <v/>
      </c>
      <c r="F54" s="33">
        <f>SQRT(SUMPRODUCT('94_WEIGHT_VECTOR'!$B$5:$CC$5,(INDEX('08_EXPECTED_CODEBOOK_V4'!$D$5:$CE$27,MATCH(B54,'08_EXPECTED_CODEBOOK_V4'!$C$5:$C$27,0),0)-INDEX('08_EXPECTED_CODEBOOK_V4'!$D$5:$CE$27,MATCH(C54,'08_EXPECTED_CODEBOOK_V4'!$C$5:$C$27,0),0))^2)/'18_WEIGHT_CONTROL'!$B$15)</f>
        <v/>
      </c>
      <c r="G54" s="33">
        <f>E54/1.005555034746506</f>
        <v/>
      </c>
      <c r="H54" s="33" t="n"/>
      <c r="I54" s="33">
        <f>RANK(E54,$E$5:$E$257,1)</f>
        <v/>
      </c>
    </row>
    <row r="55" ht="36" customHeight="1">
      <c r="A55" s="33" t="n">
        <v>51</v>
      </c>
      <c r="B55" s="33" t="inlineStr">
        <is>
          <t>Maldekian</t>
        </is>
      </c>
      <c r="C55" s="33" t="inlineStr">
        <is>
          <t>Earth-Origin Soul</t>
        </is>
      </c>
      <c r="D55" s="33">
        <f>SUMPRODUCT('94_WEIGHT_VECTOR'!$B$5:$CC$5,INDEX('08_EXPECTED_CODEBOOK_V4'!$D$5:$CE$27,MATCH(B55,'08_EXPECTED_CODEBOOK_V4'!$C$5:$C$27,0),0),INDEX('08_EXPECTED_CODEBOOK_V4'!$D$5:$CE$27,MATCH(C55,'08_EXPECTED_CODEBOOK_V4'!$C$5:$C$27,0),0))/'18_WEIGHT_CONTROL'!$B$15/(INDEX('95_WEIGHTED_NORMS'!$C$5:$C$27,MATCH(B55,'95_WEIGHTED_NORMS'!$B$5:$B$27,0))*INDEX('95_WEIGHTED_NORMS'!$C$5:$C$27,MATCH(C55,'95_WEIGHTED_NORMS'!$B$5:$B$27,0)))</f>
        <v/>
      </c>
      <c r="E55" s="33">
        <f>SQRT(MAX(0,2*(1-D55)))</f>
        <v/>
      </c>
      <c r="F55" s="33">
        <f>SQRT(SUMPRODUCT('94_WEIGHT_VECTOR'!$B$5:$CC$5,(INDEX('08_EXPECTED_CODEBOOK_V4'!$D$5:$CE$27,MATCH(B55,'08_EXPECTED_CODEBOOK_V4'!$C$5:$C$27,0),0)-INDEX('08_EXPECTED_CODEBOOK_V4'!$D$5:$CE$27,MATCH(C55,'08_EXPECTED_CODEBOOK_V4'!$C$5:$C$27,0),0))^2)/'18_WEIGHT_CONTROL'!$B$15)</f>
        <v/>
      </c>
      <c r="G55" s="33">
        <f>E55/1.000901160134135</f>
        <v/>
      </c>
      <c r="H55" s="33" t="n"/>
      <c r="I55" s="33">
        <f>RANK(E55,$E$5:$E$257,1)</f>
        <v/>
      </c>
    </row>
    <row r="56" ht="36" customHeight="1">
      <c r="A56" s="33" t="n">
        <v>52</v>
      </c>
      <c r="B56" s="33" t="inlineStr">
        <is>
          <t>Polarian</t>
        </is>
      </c>
      <c r="C56" s="33" t="inlineStr">
        <is>
          <t>Feline / Urmah</t>
        </is>
      </c>
      <c r="D56" s="33">
        <f>SUMPRODUCT('94_WEIGHT_VECTOR'!$B$5:$CC$5,INDEX('08_EXPECTED_CODEBOOK_V4'!$D$5:$CE$27,MATCH(B56,'08_EXPECTED_CODEBOOK_V4'!$C$5:$C$27,0),0),INDEX('08_EXPECTED_CODEBOOK_V4'!$D$5:$CE$27,MATCH(C56,'08_EXPECTED_CODEBOOK_V4'!$C$5:$C$27,0),0))/'18_WEIGHT_CONTROL'!$B$15/(INDEX('95_WEIGHTED_NORMS'!$C$5:$C$27,MATCH(B56,'95_WEIGHTED_NORMS'!$B$5:$B$27,0))*INDEX('95_WEIGHTED_NORMS'!$C$5:$C$27,MATCH(C56,'95_WEIGHTED_NORMS'!$B$5:$B$27,0)))</f>
        <v/>
      </c>
      <c r="E56" s="33">
        <f>SQRT(MAX(0,2*(1-D56)))</f>
        <v/>
      </c>
      <c r="F56" s="33">
        <f>SQRT(SUMPRODUCT('94_WEIGHT_VECTOR'!$B$5:$CC$5,(INDEX('08_EXPECTED_CODEBOOK_V4'!$D$5:$CE$27,MATCH(B56,'08_EXPECTED_CODEBOOK_V4'!$C$5:$C$27,0),0)-INDEX('08_EXPECTED_CODEBOOK_V4'!$D$5:$CE$27,MATCH(C56,'08_EXPECTED_CODEBOOK_V4'!$C$5:$C$27,0),0))^2)/'18_WEIGHT_CONTROL'!$B$15)</f>
        <v/>
      </c>
      <c r="G56" s="33">
        <f>E56/1.004778118457589</f>
        <v/>
      </c>
      <c r="H56" s="33" t="n"/>
      <c r="I56" s="33">
        <f>RANK(E56,$E$5:$E$257,1)</f>
        <v/>
      </c>
    </row>
    <row r="57" ht="36" customHeight="1">
      <c r="A57" s="33" t="n">
        <v>53</v>
      </c>
      <c r="B57" s="33" t="inlineStr">
        <is>
          <t>Vegan</t>
        </is>
      </c>
      <c r="C57" s="33" t="inlineStr">
        <is>
          <t>Reptilian</t>
        </is>
      </c>
      <c r="D57" s="33">
        <f>SUMPRODUCT('94_WEIGHT_VECTOR'!$B$5:$CC$5,INDEX('08_EXPECTED_CODEBOOK_V4'!$D$5:$CE$27,MATCH(B57,'08_EXPECTED_CODEBOOK_V4'!$C$5:$C$27,0),0),INDEX('08_EXPECTED_CODEBOOK_V4'!$D$5:$CE$27,MATCH(C57,'08_EXPECTED_CODEBOOK_V4'!$C$5:$C$27,0),0))/'18_WEIGHT_CONTROL'!$B$15/(INDEX('95_WEIGHTED_NORMS'!$C$5:$C$27,MATCH(B57,'95_WEIGHTED_NORMS'!$B$5:$B$27,0))*INDEX('95_WEIGHTED_NORMS'!$C$5:$C$27,MATCH(C57,'95_WEIGHTED_NORMS'!$B$5:$B$27,0)))</f>
        <v/>
      </c>
      <c r="E57" s="33">
        <f>SQRT(MAX(0,2*(1-D57)))</f>
        <v/>
      </c>
      <c r="F57" s="33">
        <f>SQRT(SUMPRODUCT('94_WEIGHT_VECTOR'!$B$5:$CC$5,(INDEX('08_EXPECTED_CODEBOOK_V4'!$D$5:$CE$27,MATCH(B57,'08_EXPECTED_CODEBOOK_V4'!$C$5:$C$27,0),0)-INDEX('08_EXPECTED_CODEBOOK_V4'!$D$5:$CE$27,MATCH(C57,'08_EXPECTED_CODEBOOK_V4'!$C$5:$C$27,0),0))^2)/'18_WEIGHT_CONTROL'!$B$15)</f>
        <v/>
      </c>
      <c r="G57" s="33">
        <f>E57/1.018664451163487</f>
        <v/>
      </c>
      <c r="H57" s="33" t="n"/>
      <c r="I57" s="33">
        <f>RANK(E57,$E$5:$E$257,1)</f>
        <v/>
      </c>
    </row>
    <row r="58" ht="36" customHeight="1">
      <c r="A58" s="33" t="n">
        <v>54</v>
      </c>
      <c r="B58" s="33" t="inlineStr">
        <is>
          <t>Maldekian</t>
        </is>
      </c>
      <c r="C58" s="33" t="inlineStr">
        <is>
          <t>Anunnaki / Nibiruan</t>
        </is>
      </c>
      <c r="D58" s="33">
        <f>SUMPRODUCT('94_WEIGHT_VECTOR'!$B$5:$CC$5,INDEX('08_EXPECTED_CODEBOOK_V4'!$D$5:$CE$27,MATCH(B58,'08_EXPECTED_CODEBOOK_V4'!$C$5:$C$27,0),0),INDEX('08_EXPECTED_CODEBOOK_V4'!$D$5:$CE$27,MATCH(C58,'08_EXPECTED_CODEBOOK_V4'!$C$5:$C$27,0),0))/'18_WEIGHT_CONTROL'!$B$15/(INDEX('95_WEIGHTED_NORMS'!$C$5:$C$27,MATCH(B58,'95_WEIGHTED_NORMS'!$B$5:$B$27,0))*INDEX('95_WEIGHTED_NORMS'!$C$5:$C$27,MATCH(C58,'95_WEIGHTED_NORMS'!$B$5:$B$27,0)))</f>
        <v/>
      </c>
      <c r="E58" s="33">
        <f>SQRT(MAX(0,2*(1-D58)))</f>
        <v/>
      </c>
      <c r="F58" s="33">
        <f>SQRT(SUMPRODUCT('94_WEIGHT_VECTOR'!$B$5:$CC$5,(INDEX('08_EXPECTED_CODEBOOK_V4'!$D$5:$CE$27,MATCH(B58,'08_EXPECTED_CODEBOOK_V4'!$C$5:$C$27,0),0)-INDEX('08_EXPECTED_CODEBOOK_V4'!$D$5:$CE$27,MATCH(C58,'08_EXPECTED_CODEBOOK_V4'!$C$5:$C$27,0),0))^2)/'18_WEIGHT_CONTROL'!$B$15)</f>
        <v/>
      </c>
      <c r="G58" s="33">
        <f>E58/1.029531775910264</f>
        <v/>
      </c>
      <c r="H58" s="33" t="n"/>
      <c r="I58" s="33">
        <f>RANK(E58,$E$5:$E$257,1)</f>
        <v/>
      </c>
    </row>
    <row r="59" ht="36" customHeight="1">
      <c r="A59" s="33" t="n">
        <v>55</v>
      </c>
      <c r="B59" s="33" t="inlineStr">
        <is>
          <t>Alpha Centaurian</t>
        </is>
      </c>
      <c r="C59" s="33" t="inlineStr">
        <is>
          <t>Earth-Origin Soul</t>
        </is>
      </c>
      <c r="D59" s="33">
        <f>SUMPRODUCT('94_WEIGHT_VECTOR'!$B$5:$CC$5,INDEX('08_EXPECTED_CODEBOOK_V4'!$D$5:$CE$27,MATCH(B59,'08_EXPECTED_CODEBOOK_V4'!$C$5:$C$27,0),0),INDEX('08_EXPECTED_CODEBOOK_V4'!$D$5:$CE$27,MATCH(C59,'08_EXPECTED_CODEBOOK_V4'!$C$5:$C$27,0),0))/'18_WEIGHT_CONTROL'!$B$15/(INDEX('95_WEIGHTED_NORMS'!$C$5:$C$27,MATCH(B59,'95_WEIGHTED_NORMS'!$B$5:$B$27,0))*INDEX('95_WEIGHTED_NORMS'!$C$5:$C$27,MATCH(C59,'95_WEIGHTED_NORMS'!$B$5:$B$27,0)))</f>
        <v/>
      </c>
      <c r="E59" s="33">
        <f>SQRT(MAX(0,2*(1-D59)))</f>
        <v/>
      </c>
      <c r="F59" s="33">
        <f>SQRT(SUMPRODUCT('94_WEIGHT_VECTOR'!$B$5:$CC$5,(INDEX('08_EXPECTED_CODEBOOK_V4'!$D$5:$CE$27,MATCH(B59,'08_EXPECTED_CODEBOOK_V4'!$C$5:$C$27,0),0)-INDEX('08_EXPECTED_CODEBOOK_V4'!$D$5:$CE$27,MATCH(C59,'08_EXPECTED_CODEBOOK_V4'!$C$5:$C$27,0),0))^2)/'18_WEIGHT_CONTROL'!$B$15)</f>
        <v/>
      </c>
      <c r="G59" s="33">
        <f>E59/1.023889161056229</f>
        <v/>
      </c>
      <c r="H59" s="33" t="n"/>
      <c r="I59" s="33">
        <f>RANK(E59,$E$5:$E$257,1)</f>
        <v/>
      </c>
    </row>
    <row r="60" ht="36" customHeight="1">
      <c r="A60" s="33" t="n">
        <v>56</v>
      </c>
      <c r="B60" s="33" t="inlineStr">
        <is>
          <t>Alpha Centaurian</t>
        </is>
      </c>
      <c r="C60" s="33" t="inlineStr">
        <is>
          <t>Antarian</t>
        </is>
      </c>
      <c r="D60" s="33">
        <f>SUMPRODUCT('94_WEIGHT_VECTOR'!$B$5:$CC$5,INDEX('08_EXPECTED_CODEBOOK_V4'!$D$5:$CE$27,MATCH(B60,'08_EXPECTED_CODEBOOK_V4'!$C$5:$C$27,0),0),INDEX('08_EXPECTED_CODEBOOK_V4'!$D$5:$CE$27,MATCH(C60,'08_EXPECTED_CODEBOOK_V4'!$C$5:$C$27,0),0))/'18_WEIGHT_CONTROL'!$B$15/(INDEX('95_WEIGHTED_NORMS'!$C$5:$C$27,MATCH(B60,'95_WEIGHTED_NORMS'!$B$5:$B$27,0))*INDEX('95_WEIGHTED_NORMS'!$C$5:$C$27,MATCH(C60,'95_WEIGHTED_NORMS'!$B$5:$B$27,0)))</f>
        <v/>
      </c>
      <c r="E60" s="33">
        <f>SQRT(MAX(0,2*(1-D60)))</f>
        <v/>
      </c>
      <c r="F60" s="33">
        <f>SQRT(SUMPRODUCT('94_WEIGHT_VECTOR'!$B$5:$CC$5,(INDEX('08_EXPECTED_CODEBOOK_V4'!$D$5:$CE$27,MATCH(B60,'08_EXPECTED_CODEBOOK_V4'!$C$5:$C$27,0),0)-INDEX('08_EXPECTED_CODEBOOK_V4'!$D$5:$CE$27,MATCH(C60,'08_EXPECTED_CODEBOOK_V4'!$C$5:$C$27,0),0))^2)/'18_WEIGHT_CONTROL'!$B$15)</f>
        <v/>
      </c>
      <c r="G60" s="33">
        <f>E60/1.022628136269176</f>
        <v/>
      </c>
      <c r="H60" s="33" t="n"/>
      <c r="I60" s="33">
        <f>RANK(E60,$E$5:$E$257,1)</f>
        <v/>
      </c>
    </row>
    <row r="61" ht="36" customHeight="1">
      <c r="A61" s="33" t="n">
        <v>57</v>
      </c>
      <c r="B61" s="33" t="inlineStr">
        <is>
          <t>Sirian</t>
        </is>
      </c>
      <c r="C61" s="33" t="inlineStr">
        <is>
          <t>Zeta / Grey</t>
        </is>
      </c>
      <c r="D61" s="33">
        <f>SUMPRODUCT('94_WEIGHT_VECTOR'!$B$5:$CC$5,INDEX('08_EXPECTED_CODEBOOK_V4'!$D$5:$CE$27,MATCH(B61,'08_EXPECTED_CODEBOOK_V4'!$C$5:$C$27,0),0),INDEX('08_EXPECTED_CODEBOOK_V4'!$D$5:$CE$27,MATCH(C61,'08_EXPECTED_CODEBOOK_V4'!$C$5:$C$27,0),0))/'18_WEIGHT_CONTROL'!$B$15/(INDEX('95_WEIGHTED_NORMS'!$C$5:$C$27,MATCH(B61,'95_WEIGHTED_NORMS'!$B$5:$B$27,0))*INDEX('95_WEIGHTED_NORMS'!$C$5:$C$27,MATCH(C61,'95_WEIGHTED_NORMS'!$B$5:$B$27,0)))</f>
        <v/>
      </c>
      <c r="E61" s="33">
        <f>SQRT(MAX(0,2*(1-D61)))</f>
        <v/>
      </c>
      <c r="F61" s="33">
        <f>SQRT(SUMPRODUCT('94_WEIGHT_VECTOR'!$B$5:$CC$5,(INDEX('08_EXPECTED_CODEBOOK_V4'!$D$5:$CE$27,MATCH(B61,'08_EXPECTED_CODEBOOK_V4'!$C$5:$C$27,0),0)-INDEX('08_EXPECTED_CODEBOOK_V4'!$D$5:$CE$27,MATCH(C61,'08_EXPECTED_CODEBOOK_V4'!$C$5:$C$27,0),0))^2)/'18_WEIGHT_CONTROL'!$B$15)</f>
        <v/>
      </c>
      <c r="G61" s="33">
        <f>E61/1.020002974891328</f>
        <v/>
      </c>
      <c r="H61" s="33" t="n"/>
      <c r="I61" s="33">
        <f>RANK(E61,$E$5:$E$257,1)</f>
        <v/>
      </c>
    </row>
    <row r="62" ht="36" customHeight="1">
      <c r="A62" s="33" t="n">
        <v>58</v>
      </c>
      <c r="B62" s="33" t="inlineStr">
        <is>
          <t>Draconian</t>
        </is>
      </c>
      <c r="C62" s="33" t="inlineStr">
        <is>
          <t>Antarian</t>
        </is>
      </c>
      <c r="D62" s="33">
        <f>SUMPRODUCT('94_WEIGHT_VECTOR'!$B$5:$CC$5,INDEX('08_EXPECTED_CODEBOOK_V4'!$D$5:$CE$27,MATCH(B62,'08_EXPECTED_CODEBOOK_V4'!$C$5:$C$27,0),0),INDEX('08_EXPECTED_CODEBOOK_V4'!$D$5:$CE$27,MATCH(C62,'08_EXPECTED_CODEBOOK_V4'!$C$5:$C$27,0),0))/'18_WEIGHT_CONTROL'!$B$15/(INDEX('95_WEIGHTED_NORMS'!$C$5:$C$27,MATCH(B62,'95_WEIGHTED_NORMS'!$B$5:$B$27,0))*INDEX('95_WEIGHTED_NORMS'!$C$5:$C$27,MATCH(C62,'95_WEIGHTED_NORMS'!$B$5:$B$27,0)))</f>
        <v/>
      </c>
      <c r="E62" s="33">
        <f>SQRT(MAX(0,2*(1-D62)))</f>
        <v/>
      </c>
      <c r="F62" s="33">
        <f>SQRT(SUMPRODUCT('94_WEIGHT_VECTOR'!$B$5:$CC$5,(INDEX('08_EXPECTED_CODEBOOK_V4'!$D$5:$CE$27,MATCH(B62,'08_EXPECTED_CODEBOOK_V4'!$C$5:$C$27,0),0)-INDEX('08_EXPECTED_CODEBOOK_V4'!$D$5:$CE$27,MATCH(C62,'08_EXPECTED_CODEBOOK_V4'!$C$5:$C$27,0),0))^2)/'18_WEIGHT_CONTROL'!$B$15)</f>
        <v/>
      </c>
      <c r="G62" s="33">
        <f>E62/1.03577354162773</f>
        <v/>
      </c>
      <c r="H62" s="33" t="n"/>
      <c r="I62" s="33">
        <f>RANK(E62,$E$5:$E$257,1)</f>
        <v/>
      </c>
    </row>
    <row r="63" ht="36" customHeight="1">
      <c r="A63" s="33" t="n">
        <v>59</v>
      </c>
      <c r="B63" s="33" t="inlineStr">
        <is>
          <t>Avian / Blue Avian</t>
        </is>
      </c>
      <c r="C63" s="33" t="inlineStr">
        <is>
          <t>Tau Cetian</t>
        </is>
      </c>
      <c r="D63" s="33">
        <f>SUMPRODUCT('94_WEIGHT_VECTOR'!$B$5:$CC$5,INDEX('08_EXPECTED_CODEBOOK_V4'!$D$5:$CE$27,MATCH(B63,'08_EXPECTED_CODEBOOK_V4'!$C$5:$C$27,0),0),INDEX('08_EXPECTED_CODEBOOK_V4'!$D$5:$CE$27,MATCH(C63,'08_EXPECTED_CODEBOOK_V4'!$C$5:$C$27,0),0))/'18_WEIGHT_CONTROL'!$B$15/(INDEX('95_WEIGHTED_NORMS'!$C$5:$C$27,MATCH(B63,'95_WEIGHTED_NORMS'!$B$5:$B$27,0))*INDEX('95_WEIGHTED_NORMS'!$C$5:$C$27,MATCH(C63,'95_WEIGHTED_NORMS'!$B$5:$B$27,0)))</f>
        <v/>
      </c>
      <c r="E63" s="33">
        <f>SQRT(MAX(0,2*(1-D63)))</f>
        <v/>
      </c>
      <c r="F63" s="33">
        <f>SQRT(SUMPRODUCT('94_WEIGHT_VECTOR'!$B$5:$CC$5,(INDEX('08_EXPECTED_CODEBOOK_V4'!$D$5:$CE$27,MATCH(B63,'08_EXPECTED_CODEBOOK_V4'!$C$5:$C$27,0),0)-INDEX('08_EXPECTED_CODEBOOK_V4'!$D$5:$CE$27,MATCH(C63,'08_EXPECTED_CODEBOOK_V4'!$C$5:$C$27,0),0))^2)/'18_WEIGHT_CONTROL'!$B$15)</f>
        <v/>
      </c>
      <c r="G63" s="33">
        <f>E63/1.032050271305762</f>
        <v/>
      </c>
      <c r="H63" s="33" t="n"/>
      <c r="I63" s="33">
        <f>RANK(E63,$E$5:$E$257,1)</f>
        <v/>
      </c>
    </row>
    <row r="64" ht="36" customHeight="1">
      <c r="A64" s="33" t="n">
        <v>60</v>
      </c>
      <c r="B64" s="33" t="inlineStr">
        <is>
          <t>Sirian</t>
        </is>
      </c>
      <c r="C64" s="33" t="inlineStr">
        <is>
          <t>Alpha Centaurian</t>
        </is>
      </c>
      <c r="D64" s="33">
        <f>SUMPRODUCT('94_WEIGHT_VECTOR'!$B$5:$CC$5,INDEX('08_EXPECTED_CODEBOOK_V4'!$D$5:$CE$27,MATCH(B64,'08_EXPECTED_CODEBOOK_V4'!$C$5:$C$27,0),0),INDEX('08_EXPECTED_CODEBOOK_V4'!$D$5:$CE$27,MATCH(C64,'08_EXPECTED_CODEBOOK_V4'!$C$5:$C$27,0),0))/'18_WEIGHT_CONTROL'!$B$15/(INDEX('95_WEIGHTED_NORMS'!$C$5:$C$27,MATCH(B64,'95_WEIGHTED_NORMS'!$B$5:$B$27,0))*INDEX('95_WEIGHTED_NORMS'!$C$5:$C$27,MATCH(C64,'95_WEIGHTED_NORMS'!$B$5:$B$27,0)))</f>
        <v/>
      </c>
      <c r="E64" s="33">
        <f>SQRT(MAX(0,2*(1-D64)))</f>
        <v/>
      </c>
      <c r="F64" s="33">
        <f>SQRT(SUMPRODUCT('94_WEIGHT_VECTOR'!$B$5:$CC$5,(INDEX('08_EXPECTED_CODEBOOK_V4'!$D$5:$CE$27,MATCH(B64,'08_EXPECTED_CODEBOOK_V4'!$C$5:$C$27,0),0)-INDEX('08_EXPECTED_CODEBOOK_V4'!$D$5:$CE$27,MATCH(C64,'08_EXPECTED_CODEBOOK_V4'!$C$5:$C$27,0),0))^2)/'18_WEIGHT_CONTROL'!$B$15)</f>
        <v/>
      </c>
      <c r="G64" s="33">
        <f>E64/1.026224634220595</f>
        <v/>
      </c>
      <c r="H64" s="33" t="n"/>
      <c r="I64" s="33">
        <f>RANK(E64,$E$5:$E$257,1)</f>
        <v/>
      </c>
    </row>
    <row r="65" ht="36" customHeight="1">
      <c r="A65" s="33" t="n">
        <v>61</v>
      </c>
      <c r="B65" s="33" t="inlineStr">
        <is>
          <t>Polarian</t>
        </is>
      </c>
      <c r="C65" s="33" t="inlineStr">
        <is>
          <t>Anunnaki / Nibiruan</t>
        </is>
      </c>
      <c r="D65" s="33">
        <f>SUMPRODUCT('94_WEIGHT_VECTOR'!$B$5:$CC$5,INDEX('08_EXPECTED_CODEBOOK_V4'!$D$5:$CE$27,MATCH(B65,'08_EXPECTED_CODEBOOK_V4'!$C$5:$C$27,0),0),INDEX('08_EXPECTED_CODEBOOK_V4'!$D$5:$CE$27,MATCH(C65,'08_EXPECTED_CODEBOOK_V4'!$C$5:$C$27,0),0))/'18_WEIGHT_CONTROL'!$B$15/(INDEX('95_WEIGHTED_NORMS'!$C$5:$C$27,MATCH(B65,'95_WEIGHTED_NORMS'!$B$5:$B$27,0))*INDEX('95_WEIGHTED_NORMS'!$C$5:$C$27,MATCH(C65,'95_WEIGHTED_NORMS'!$B$5:$B$27,0)))</f>
        <v/>
      </c>
      <c r="E65" s="33">
        <f>SQRT(MAX(0,2*(1-D65)))</f>
        <v/>
      </c>
      <c r="F65" s="33">
        <f>SQRT(SUMPRODUCT('94_WEIGHT_VECTOR'!$B$5:$CC$5,(INDEX('08_EXPECTED_CODEBOOK_V4'!$D$5:$CE$27,MATCH(B65,'08_EXPECTED_CODEBOOK_V4'!$C$5:$C$27,0),0)-INDEX('08_EXPECTED_CODEBOOK_V4'!$D$5:$CE$27,MATCH(C65,'08_EXPECTED_CODEBOOK_V4'!$C$5:$C$27,0),0))^2)/'18_WEIGHT_CONTROL'!$B$15)</f>
        <v/>
      </c>
      <c r="G65" s="33">
        <f>E65/1.041885941833113</f>
        <v/>
      </c>
      <c r="H65" s="33" t="n"/>
      <c r="I65" s="33">
        <f>RANK(E65,$E$5:$E$257,1)</f>
        <v/>
      </c>
    </row>
    <row r="66" ht="36" customHeight="1">
      <c r="A66" s="33" t="n">
        <v>62</v>
      </c>
      <c r="B66" s="33" t="inlineStr">
        <is>
          <t>Hadarian</t>
        </is>
      </c>
      <c r="C66" s="33" t="inlineStr">
        <is>
          <t>Tau Cetian</t>
        </is>
      </c>
      <c r="D66" s="33">
        <f>SUMPRODUCT('94_WEIGHT_VECTOR'!$B$5:$CC$5,INDEX('08_EXPECTED_CODEBOOK_V4'!$D$5:$CE$27,MATCH(B66,'08_EXPECTED_CODEBOOK_V4'!$C$5:$C$27,0),0),INDEX('08_EXPECTED_CODEBOOK_V4'!$D$5:$CE$27,MATCH(C66,'08_EXPECTED_CODEBOOK_V4'!$C$5:$C$27,0),0))/'18_WEIGHT_CONTROL'!$B$15/(INDEX('95_WEIGHTED_NORMS'!$C$5:$C$27,MATCH(B66,'95_WEIGHTED_NORMS'!$B$5:$B$27,0))*INDEX('95_WEIGHTED_NORMS'!$C$5:$C$27,MATCH(C66,'95_WEIGHTED_NORMS'!$B$5:$B$27,0)))</f>
        <v/>
      </c>
      <c r="E66" s="33">
        <f>SQRT(MAX(0,2*(1-D66)))</f>
        <v/>
      </c>
      <c r="F66" s="33">
        <f>SQRT(SUMPRODUCT('94_WEIGHT_VECTOR'!$B$5:$CC$5,(INDEX('08_EXPECTED_CODEBOOK_V4'!$D$5:$CE$27,MATCH(B66,'08_EXPECTED_CODEBOOK_V4'!$C$5:$C$27,0),0)-INDEX('08_EXPECTED_CODEBOOK_V4'!$D$5:$CE$27,MATCH(C66,'08_EXPECTED_CODEBOOK_V4'!$C$5:$C$27,0),0))^2)/'18_WEIGHT_CONTROL'!$B$15)</f>
        <v/>
      </c>
      <c r="G66" s="33">
        <f>E66/1.038858521299327</f>
        <v/>
      </c>
      <c r="H66" s="33" t="n"/>
      <c r="I66" s="33">
        <f>RANK(E66,$E$5:$E$257,1)</f>
        <v/>
      </c>
    </row>
    <row r="67" ht="36" customHeight="1">
      <c r="A67" s="33" t="n">
        <v>63</v>
      </c>
      <c r="B67" s="33" t="inlineStr">
        <is>
          <t>Arcturian</t>
        </is>
      </c>
      <c r="C67" s="33" t="inlineStr">
        <is>
          <t>Avian / Blue Avian</t>
        </is>
      </c>
      <c r="D67" s="33">
        <f>SUMPRODUCT('94_WEIGHT_VECTOR'!$B$5:$CC$5,INDEX('08_EXPECTED_CODEBOOK_V4'!$D$5:$CE$27,MATCH(B67,'08_EXPECTED_CODEBOOK_V4'!$C$5:$C$27,0),0),INDEX('08_EXPECTED_CODEBOOK_V4'!$D$5:$CE$27,MATCH(C67,'08_EXPECTED_CODEBOOK_V4'!$C$5:$C$27,0),0))/'18_WEIGHT_CONTROL'!$B$15/(INDEX('95_WEIGHTED_NORMS'!$C$5:$C$27,MATCH(B67,'95_WEIGHTED_NORMS'!$B$5:$B$27,0))*INDEX('95_WEIGHTED_NORMS'!$C$5:$C$27,MATCH(C67,'95_WEIGHTED_NORMS'!$B$5:$B$27,0)))</f>
        <v/>
      </c>
      <c r="E67" s="33">
        <f>SQRT(MAX(0,2*(1-D67)))</f>
        <v/>
      </c>
      <c r="F67" s="33">
        <f>SQRT(SUMPRODUCT('94_WEIGHT_VECTOR'!$B$5:$CC$5,(INDEX('08_EXPECTED_CODEBOOK_V4'!$D$5:$CE$27,MATCH(B67,'08_EXPECTED_CODEBOOK_V4'!$C$5:$C$27,0),0)-INDEX('08_EXPECTED_CODEBOOK_V4'!$D$5:$CE$27,MATCH(C67,'08_EXPECTED_CODEBOOK_V4'!$C$5:$C$27,0),0))^2)/'18_WEIGHT_CONTROL'!$B$15)</f>
        <v/>
      </c>
      <c r="G67" s="33">
        <f>E67/1.049213587769964</f>
        <v/>
      </c>
      <c r="H67" s="33" t="n"/>
      <c r="I67" s="33">
        <f>RANK(E67,$E$5:$E$257,1)</f>
        <v/>
      </c>
    </row>
    <row r="68" ht="36" customHeight="1">
      <c r="A68" s="33" t="n">
        <v>64</v>
      </c>
      <c r="B68" s="33" t="inlineStr">
        <is>
          <t>Andromedan</t>
        </is>
      </c>
      <c r="C68" s="33" t="inlineStr">
        <is>
          <t>Reptilian</t>
        </is>
      </c>
      <c r="D68" s="33">
        <f>SUMPRODUCT('94_WEIGHT_VECTOR'!$B$5:$CC$5,INDEX('08_EXPECTED_CODEBOOK_V4'!$D$5:$CE$27,MATCH(B68,'08_EXPECTED_CODEBOOK_V4'!$C$5:$C$27,0),0),INDEX('08_EXPECTED_CODEBOOK_V4'!$D$5:$CE$27,MATCH(C68,'08_EXPECTED_CODEBOOK_V4'!$C$5:$C$27,0),0))/'18_WEIGHT_CONTROL'!$B$15/(INDEX('95_WEIGHTED_NORMS'!$C$5:$C$27,MATCH(B68,'95_WEIGHTED_NORMS'!$B$5:$B$27,0))*INDEX('95_WEIGHTED_NORMS'!$C$5:$C$27,MATCH(C68,'95_WEIGHTED_NORMS'!$B$5:$B$27,0)))</f>
        <v/>
      </c>
      <c r="E68" s="33">
        <f>SQRT(MAX(0,2*(1-D68)))</f>
        <v/>
      </c>
      <c r="F68" s="33">
        <f>SQRT(SUMPRODUCT('94_WEIGHT_VECTOR'!$B$5:$CC$5,(INDEX('08_EXPECTED_CODEBOOK_V4'!$D$5:$CE$27,MATCH(B68,'08_EXPECTED_CODEBOOK_V4'!$C$5:$C$27,0),0)-INDEX('08_EXPECTED_CODEBOOK_V4'!$D$5:$CE$27,MATCH(C68,'08_EXPECTED_CODEBOOK_V4'!$C$5:$C$27,0),0))^2)/'18_WEIGHT_CONTROL'!$B$15)</f>
        <v/>
      </c>
      <c r="G68" s="33">
        <f>E68/1.044627549523391</f>
        <v/>
      </c>
      <c r="H68" s="33" t="n"/>
      <c r="I68" s="33">
        <f>RANK(E68,$E$5:$E$257,1)</f>
        <v/>
      </c>
    </row>
    <row r="69" ht="36" customHeight="1">
      <c r="A69" s="33" t="n">
        <v>65</v>
      </c>
      <c r="B69" s="33" t="inlineStr">
        <is>
          <t>Polarian</t>
        </is>
      </c>
      <c r="C69" s="33" t="inlineStr">
        <is>
          <t>Draconian</t>
        </is>
      </c>
      <c r="D69" s="33">
        <f>SUMPRODUCT('94_WEIGHT_VECTOR'!$B$5:$CC$5,INDEX('08_EXPECTED_CODEBOOK_V4'!$D$5:$CE$27,MATCH(B69,'08_EXPECTED_CODEBOOK_V4'!$C$5:$C$27,0),0),INDEX('08_EXPECTED_CODEBOOK_V4'!$D$5:$CE$27,MATCH(C69,'08_EXPECTED_CODEBOOK_V4'!$C$5:$C$27,0),0))/'18_WEIGHT_CONTROL'!$B$15/(INDEX('95_WEIGHTED_NORMS'!$C$5:$C$27,MATCH(B69,'95_WEIGHTED_NORMS'!$B$5:$B$27,0))*INDEX('95_WEIGHTED_NORMS'!$C$5:$C$27,MATCH(C69,'95_WEIGHTED_NORMS'!$B$5:$B$27,0)))</f>
        <v/>
      </c>
      <c r="E69" s="33">
        <f>SQRT(MAX(0,2*(1-D69)))</f>
        <v/>
      </c>
      <c r="F69" s="33">
        <f>SQRT(SUMPRODUCT('94_WEIGHT_VECTOR'!$B$5:$CC$5,(INDEX('08_EXPECTED_CODEBOOK_V4'!$D$5:$CE$27,MATCH(B69,'08_EXPECTED_CODEBOOK_V4'!$C$5:$C$27,0),0)-INDEX('08_EXPECTED_CODEBOOK_V4'!$D$5:$CE$27,MATCH(C69,'08_EXPECTED_CODEBOOK_V4'!$C$5:$C$27,0),0))^2)/'18_WEIGHT_CONTROL'!$B$15)</f>
        <v/>
      </c>
      <c r="G69" s="33">
        <f>E69/1.055999170719058</f>
        <v/>
      </c>
      <c r="H69" s="33" t="n"/>
      <c r="I69" s="33">
        <f>RANK(E69,$E$5:$E$257,1)</f>
        <v/>
      </c>
    </row>
    <row r="70" ht="36" customHeight="1">
      <c r="A70" s="33" t="n">
        <v>66</v>
      </c>
      <c r="B70" s="33" t="inlineStr">
        <is>
          <t>Avian / Blue Avian</t>
        </is>
      </c>
      <c r="C70" s="33" t="inlineStr">
        <is>
          <t>Zeta / Grey</t>
        </is>
      </c>
      <c r="D70" s="33">
        <f>SUMPRODUCT('94_WEIGHT_VECTOR'!$B$5:$CC$5,INDEX('08_EXPECTED_CODEBOOK_V4'!$D$5:$CE$27,MATCH(B70,'08_EXPECTED_CODEBOOK_V4'!$C$5:$C$27,0),0),INDEX('08_EXPECTED_CODEBOOK_V4'!$D$5:$CE$27,MATCH(C70,'08_EXPECTED_CODEBOOK_V4'!$C$5:$C$27,0),0))/'18_WEIGHT_CONTROL'!$B$15/(INDEX('95_WEIGHTED_NORMS'!$C$5:$C$27,MATCH(B70,'95_WEIGHTED_NORMS'!$B$5:$B$27,0))*INDEX('95_WEIGHTED_NORMS'!$C$5:$C$27,MATCH(C70,'95_WEIGHTED_NORMS'!$B$5:$B$27,0)))</f>
        <v/>
      </c>
      <c r="E70" s="33">
        <f>SQRT(MAX(0,2*(1-D70)))</f>
        <v/>
      </c>
      <c r="F70" s="33">
        <f>SQRT(SUMPRODUCT('94_WEIGHT_VECTOR'!$B$5:$CC$5,(INDEX('08_EXPECTED_CODEBOOK_V4'!$D$5:$CE$27,MATCH(B70,'08_EXPECTED_CODEBOOK_V4'!$C$5:$C$27,0),0)-INDEX('08_EXPECTED_CODEBOOK_V4'!$D$5:$CE$27,MATCH(C70,'08_EXPECTED_CODEBOOK_V4'!$C$5:$C$27,0),0))^2)/'18_WEIGHT_CONTROL'!$B$15)</f>
        <v/>
      </c>
      <c r="G70" s="33">
        <f>E70/1.052177061797124</f>
        <v/>
      </c>
      <c r="H70" s="33" t="n"/>
      <c r="I70" s="33">
        <f>RANK(E70,$E$5:$E$257,1)</f>
        <v/>
      </c>
    </row>
    <row r="71" ht="36" customHeight="1">
      <c r="A71" s="33" t="n">
        <v>67</v>
      </c>
      <c r="B71" s="33" t="inlineStr">
        <is>
          <t>Polarian</t>
        </is>
      </c>
      <c r="C71" s="33" t="inlineStr">
        <is>
          <t>Tau Cetian</t>
        </is>
      </c>
      <c r="D71" s="33">
        <f>SUMPRODUCT('94_WEIGHT_VECTOR'!$B$5:$CC$5,INDEX('08_EXPECTED_CODEBOOK_V4'!$D$5:$CE$27,MATCH(B71,'08_EXPECTED_CODEBOOK_V4'!$C$5:$C$27,0),0),INDEX('08_EXPECTED_CODEBOOK_V4'!$D$5:$CE$27,MATCH(C71,'08_EXPECTED_CODEBOOK_V4'!$C$5:$C$27,0),0))/'18_WEIGHT_CONTROL'!$B$15/(INDEX('95_WEIGHTED_NORMS'!$C$5:$C$27,MATCH(B71,'95_WEIGHTED_NORMS'!$B$5:$B$27,0))*INDEX('95_WEIGHTED_NORMS'!$C$5:$C$27,MATCH(C71,'95_WEIGHTED_NORMS'!$B$5:$B$27,0)))</f>
        <v/>
      </c>
      <c r="E71" s="33">
        <f>SQRT(MAX(0,2*(1-D71)))</f>
        <v/>
      </c>
      <c r="F71" s="33">
        <f>SQRT(SUMPRODUCT('94_WEIGHT_VECTOR'!$B$5:$CC$5,(INDEX('08_EXPECTED_CODEBOOK_V4'!$D$5:$CE$27,MATCH(B71,'08_EXPECTED_CODEBOOK_V4'!$C$5:$C$27,0),0)-INDEX('08_EXPECTED_CODEBOOK_V4'!$D$5:$CE$27,MATCH(C71,'08_EXPECTED_CODEBOOK_V4'!$C$5:$C$27,0),0))^2)/'18_WEIGHT_CONTROL'!$B$15)</f>
        <v/>
      </c>
      <c r="G71" s="33">
        <f>E71/1.056199173836627</f>
        <v/>
      </c>
      <c r="H71" s="33" t="n"/>
      <c r="I71" s="33">
        <f>RANK(E71,$E$5:$E$257,1)</f>
        <v/>
      </c>
    </row>
    <row r="72" ht="36" customHeight="1">
      <c r="A72" s="33" t="n">
        <v>68</v>
      </c>
      <c r="B72" s="33" t="inlineStr">
        <is>
          <t>Arcturian</t>
        </is>
      </c>
      <c r="C72" s="33" t="inlineStr">
        <is>
          <t>Martian</t>
        </is>
      </c>
      <c r="D72" s="33">
        <f>SUMPRODUCT('94_WEIGHT_VECTOR'!$B$5:$CC$5,INDEX('08_EXPECTED_CODEBOOK_V4'!$D$5:$CE$27,MATCH(B72,'08_EXPECTED_CODEBOOK_V4'!$C$5:$C$27,0),0),INDEX('08_EXPECTED_CODEBOOK_V4'!$D$5:$CE$27,MATCH(C72,'08_EXPECTED_CODEBOOK_V4'!$C$5:$C$27,0),0))/'18_WEIGHT_CONTROL'!$B$15/(INDEX('95_WEIGHTED_NORMS'!$C$5:$C$27,MATCH(B72,'95_WEIGHTED_NORMS'!$B$5:$B$27,0))*INDEX('95_WEIGHTED_NORMS'!$C$5:$C$27,MATCH(C72,'95_WEIGHTED_NORMS'!$B$5:$B$27,0)))</f>
        <v/>
      </c>
      <c r="E72" s="33">
        <f>SQRT(MAX(0,2*(1-D72)))</f>
        <v/>
      </c>
      <c r="F72" s="33">
        <f>SQRT(SUMPRODUCT('94_WEIGHT_VECTOR'!$B$5:$CC$5,(INDEX('08_EXPECTED_CODEBOOK_V4'!$D$5:$CE$27,MATCH(B72,'08_EXPECTED_CODEBOOK_V4'!$C$5:$C$27,0),0)-INDEX('08_EXPECTED_CODEBOOK_V4'!$D$5:$CE$27,MATCH(C72,'08_EXPECTED_CODEBOOK_V4'!$C$5:$C$27,0),0))^2)/'18_WEIGHT_CONTROL'!$B$15)</f>
        <v/>
      </c>
      <c r="G72" s="33">
        <f>E72/1.052744701048718</f>
        <v/>
      </c>
      <c r="H72" s="33" t="n"/>
      <c r="I72" s="33">
        <f>RANK(E72,$E$5:$E$257,1)</f>
        <v/>
      </c>
    </row>
    <row r="73" ht="36" customHeight="1">
      <c r="A73" s="33" t="n">
        <v>69</v>
      </c>
      <c r="B73" s="33" t="inlineStr">
        <is>
          <t>Pleiadian</t>
        </is>
      </c>
      <c r="C73" s="33" t="inlineStr">
        <is>
          <t>Andromedan</t>
        </is>
      </c>
      <c r="D73" s="33">
        <f>SUMPRODUCT('94_WEIGHT_VECTOR'!$B$5:$CC$5,INDEX('08_EXPECTED_CODEBOOK_V4'!$D$5:$CE$27,MATCH(B73,'08_EXPECTED_CODEBOOK_V4'!$C$5:$C$27,0),0),INDEX('08_EXPECTED_CODEBOOK_V4'!$D$5:$CE$27,MATCH(C73,'08_EXPECTED_CODEBOOK_V4'!$C$5:$C$27,0),0))/'18_WEIGHT_CONTROL'!$B$15/(INDEX('95_WEIGHTED_NORMS'!$C$5:$C$27,MATCH(B73,'95_WEIGHTED_NORMS'!$B$5:$B$27,0))*INDEX('95_WEIGHTED_NORMS'!$C$5:$C$27,MATCH(C73,'95_WEIGHTED_NORMS'!$B$5:$B$27,0)))</f>
        <v/>
      </c>
      <c r="E73" s="33">
        <f>SQRT(MAX(0,2*(1-D73)))</f>
        <v/>
      </c>
      <c r="F73" s="33">
        <f>SQRT(SUMPRODUCT('94_WEIGHT_VECTOR'!$B$5:$CC$5,(INDEX('08_EXPECTED_CODEBOOK_V4'!$D$5:$CE$27,MATCH(B73,'08_EXPECTED_CODEBOOK_V4'!$C$5:$C$27,0),0)-INDEX('08_EXPECTED_CODEBOOK_V4'!$D$5:$CE$27,MATCH(C73,'08_EXPECTED_CODEBOOK_V4'!$C$5:$C$27,0),0))^2)/'18_WEIGHT_CONTROL'!$B$15)</f>
        <v/>
      </c>
      <c r="G73" s="33">
        <f>E73/1.051498874311581</f>
        <v/>
      </c>
      <c r="H73" s="33" t="n"/>
      <c r="I73" s="33">
        <f>RANK(E73,$E$5:$E$257,1)</f>
        <v/>
      </c>
    </row>
    <row r="74" ht="36" customHeight="1">
      <c r="A74" s="33" t="n">
        <v>70</v>
      </c>
      <c r="B74" s="33" t="inlineStr">
        <is>
          <t>Sirian</t>
        </is>
      </c>
      <c r="C74" s="33" t="inlineStr">
        <is>
          <t>Orion</t>
        </is>
      </c>
      <c r="D74" s="33">
        <f>SUMPRODUCT('94_WEIGHT_VECTOR'!$B$5:$CC$5,INDEX('08_EXPECTED_CODEBOOK_V4'!$D$5:$CE$27,MATCH(B74,'08_EXPECTED_CODEBOOK_V4'!$C$5:$C$27,0),0),INDEX('08_EXPECTED_CODEBOOK_V4'!$D$5:$CE$27,MATCH(C74,'08_EXPECTED_CODEBOOK_V4'!$C$5:$C$27,0),0))/'18_WEIGHT_CONTROL'!$B$15/(INDEX('95_WEIGHTED_NORMS'!$C$5:$C$27,MATCH(B74,'95_WEIGHTED_NORMS'!$B$5:$B$27,0))*INDEX('95_WEIGHTED_NORMS'!$C$5:$C$27,MATCH(C74,'95_WEIGHTED_NORMS'!$B$5:$B$27,0)))</f>
        <v/>
      </c>
      <c r="E74" s="33">
        <f>SQRT(MAX(0,2*(1-D74)))</f>
        <v/>
      </c>
      <c r="F74" s="33">
        <f>SQRT(SUMPRODUCT('94_WEIGHT_VECTOR'!$B$5:$CC$5,(INDEX('08_EXPECTED_CODEBOOK_V4'!$D$5:$CE$27,MATCH(B74,'08_EXPECTED_CODEBOOK_V4'!$C$5:$C$27,0),0)-INDEX('08_EXPECTED_CODEBOOK_V4'!$D$5:$CE$27,MATCH(C74,'08_EXPECTED_CODEBOOK_V4'!$C$5:$C$27,0),0))^2)/'18_WEIGHT_CONTROL'!$B$15)</f>
        <v/>
      </c>
      <c r="G74" s="33">
        <f>E74/1.054914544139828</f>
        <v/>
      </c>
      <c r="H74" s="33" t="n"/>
      <c r="I74" s="33">
        <f>RANK(E74,$E$5:$E$257,1)</f>
        <v/>
      </c>
    </row>
    <row r="75" ht="36" customHeight="1">
      <c r="A75" s="33" t="n">
        <v>71</v>
      </c>
      <c r="B75" s="33" t="inlineStr">
        <is>
          <t>Sirian</t>
        </is>
      </c>
      <c r="C75" s="33" t="inlineStr">
        <is>
          <t>Anunnaki / Nibiruan</t>
        </is>
      </c>
      <c r="D75" s="33">
        <f>SUMPRODUCT('94_WEIGHT_VECTOR'!$B$5:$CC$5,INDEX('08_EXPECTED_CODEBOOK_V4'!$D$5:$CE$27,MATCH(B75,'08_EXPECTED_CODEBOOK_V4'!$C$5:$C$27,0),0),INDEX('08_EXPECTED_CODEBOOK_V4'!$D$5:$CE$27,MATCH(C75,'08_EXPECTED_CODEBOOK_V4'!$C$5:$C$27,0),0))/'18_WEIGHT_CONTROL'!$B$15/(INDEX('95_WEIGHTED_NORMS'!$C$5:$C$27,MATCH(B75,'95_WEIGHTED_NORMS'!$B$5:$B$27,0))*INDEX('95_WEIGHTED_NORMS'!$C$5:$C$27,MATCH(C75,'95_WEIGHTED_NORMS'!$B$5:$B$27,0)))</f>
        <v/>
      </c>
      <c r="E75" s="33">
        <f>SQRT(MAX(0,2*(1-D75)))</f>
        <v/>
      </c>
      <c r="F75" s="33">
        <f>SQRT(SUMPRODUCT('94_WEIGHT_VECTOR'!$B$5:$CC$5,(INDEX('08_EXPECTED_CODEBOOK_V4'!$D$5:$CE$27,MATCH(B75,'08_EXPECTED_CODEBOOK_V4'!$C$5:$C$27,0),0)-INDEX('08_EXPECTED_CODEBOOK_V4'!$D$5:$CE$27,MATCH(C75,'08_EXPECTED_CODEBOOK_V4'!$C$5:$C$27,0),0))^2)/'18_WEIGHT_CONTROL'!$B$15)</f>
        <v/>
      </c>
      <c r="G75" s="33">
        <f>E75/1.080590602360214</f>
        <v/>
      </c>
      <c r="H75" s="33" t="n"/>
      <c r="I75" s="33">
        <f>RANK(E75,$E$5:$E$257,1)</f>
        <v/>
      </c>
    </row>
    <row r="76" ht="36" customHeight="1">
      <c r="A76" s="33" t="n">
        <v>72</v>
      </c>
      <c r="B76" s="33" t="inlineStr">
        <is>
          <t>Zeta / Grey</t>
        </is>
      </c>
      <c r="C76" s="33" t="inlineStr">
        <is>
          <t>Anunnaki / Nibiruan</t>
        </is>
      </c>
      <c r="D76" s="33">
        <f>SUMPRODUCT('94_WEIGHT_VECTOR'!$B$5:$CC$5,INDEX('08_EXPECTED_CODEBOOK_V4'!$D$5:$CE$27,MATCH(B76,'08_EXPECTED_CODEBOOK_V4'!$C$5:$C$27,0),0),INDEX('08_EXPECTED_CODEBOOK_V4'!$D$5:$CE$27,MATCH(C76,'08_EXPECTED_CODEBOOK_V4'!$C$5:$C$27,0),0))/'18_WEIGHT_CONTROL'!$B$15/(INDEX('95_WEIGHTED_NORMS'!$C$5:$C$27,MATCH(B76,'95_WEIGHTED_NORMS'!$B$5:$B$27,0))*INDEX('95_WEIGHTED_NORMS'!$C$5:$C$27,MATCH(C76,'95_WEIGHTED_NORMS'!$B$5:$B$27,0)))</f>
        <v/>
      </c>
      <c r="E76" s="33">
        <f>SQRT(MAX(0,2*(1-D76)))</f>
        <v/>
      </c>
      <c r="F76" s="33">
        <f>SQRT(SUMPRODUCT('94_WEIGHT_VECTOR'!$B$5:$CC$5,(INDEX('08_EXPECTED_CODEBOOK_V4'!$D$5:$CE$27,MATCH(B76,'08_EXPECTED_CODEBOOK_V4'!$C$5:$C$27,0),0)-INDEX('08_EXPECTED_CODEBOOK_V4'!$D$5:$CE$27,MATCH(C76,'08_EXPECTED_CODEBOOK_V4'!$C$5:$C$27,0),0))^2)/'18_WEIGHT_CONTROL'!$B$15)</f>
        <v/>
      </c>
      <c r="G76" s="33">
        <f>E76/1.076532374461492</f>
        <v/>
      </c>
      <c r="H76" s="33" t="n"/>
      <c r="I76" s="33">
        <f>RANK(E76,$E$5:$E$257,1)</f>
        <v/>
      </c>
    </row>
    <row r="77" ht="36" customHeight="1">
      <c r="A77" s="33" t="n">
        <v>73</v>
      </c>
      <c r="B77" s="33" t="inlineStr">
        <is>
          <t>Andromedan</t>
        </is>
      </c>
      <c r="C77" s="33" t="inlineStr">
        <is>
          <t>Venusian</t>
        </is>
      </c>
      <c r="D77" s="33">
        <f>SUMPRODUCT('94_WEIGHT_VECTOR'!$B$5:$CC$5,INDEX('08_EXPECTED_CODEBOOK_V4'!$D$5:$CE$27,MATCH(B77,'08_EXPECTED_CODEBOOK_V4'!$C$5:$C$27,0),0),INDEX('08_EXPECTED_CODEBOOK_V4'!$D$5:$CE$27,MATCH(C77,'08_EXPECTED_CODEBOOK_V4'!$C$5:$C$27,0),0))/'18_WEIGHT_CONTROL'!$B$15/(INDEX('95_WEIGHTED_NORMS'!$C$5:$C$27,MATCH(B77,'95_WEIGHTED_NORMS'!$B$5:$B$27,0))*INDEX('95_WEIGHTED_NORMS'!$C$5:$C$27,MATCH(C77,'95_WEIGHTED_NORMS'!$B$5:$B$27,0)))</f>
        <v/>
      </c>
      <c r="E77" s="33">
        <f>SQRT(MAX(0,2*(1-D77)))</f>
        <v/>
      </c>
      <c r="F77" s="33">
        <f>SQRT(SUMPRODUCT('94_WEIGHT_VECTOR'!$B$5:$CC$5,(INDEX('08_EXPECTED_CODEBOOK_V4'!$D$5:$CE$27,MATCH(B77,'08_EXPECTED_CODEBOOK_V4'!$C$5:$C$27,0),0)-INDEX('08_EXPECTED_CODEBOOK_V4'!$D$5:$CE$27,MATCH(C77,'08_EXPECTED_CODEBOOK_V4'!$C$5:$C$27,0),0))^2)/'18_WEIGHT_CONTROL'!$B$15)</f>
        <v/>
      </c>
      <c r="G77" s="33">
        <f>E77/1.072623961637572</f>
        <v/>
      </c>
      <c r="H77" s="33" t="n"/>
      <c r="I77" s="33">
        <f>RANK(E77,$E$5:$E$257,1)</f>
        <v/>
      </c>
    </row>
    <row r="78" ht="36" customHeight="1">
      <c r="A78" s="33" t="n">
        <v>74</v>
      </c>
      <c r="B78" s="33" t="inlineStr">
        <is>
          <t>Lyran</t>
        </is>
      </c>
      <c r="C78" s="33" t="inlineStr">
        <is>
          <t>Draconian</t>
        </is>
      </c>
      <c r="D78" s="33">
        <f>SUMPRODUCT('94_WEIGHT_VECTOR'!$B$5:$CC$5,INDEX('08_EXPECTED_CODEBOOK_V4'!$D$5:$CE$27,MATCH(B78,'08_EXPECTED_CODEBOOK_V4'!$C$5:$C$27,0),0),INDEX('08_EXPECTED_CODEBOOK_V4'!$D$5:$CE$27,MATCH(C78,'08_EXPECTED_CODEBOOK_V4'!$C$5:$C$27,0),0))/'18_WEIGHT_CONTROL'!$B$15/(INDEX('95_WEIGHTED_NORMS'!$C$5:$C$27,MATCH(B78,'95_WEIGHTED_NORMS'!$B$5:$B$27,0))*INDEX('95_WEIGHTED_NORMS'!$C$5:$C$27,MATCH(C78,'95_WEIGHTED_NORMS'!$B$5:$B$27,0)))</f>
        <v/>
      </c>
      <c r="E78" s="33">
        <f>SQRT(MAX(0,2*(1-D78)))</f>
        <v/>
      </c>
      <c r="F78" s="33">
        <f>SQRT(SUMPRODUCT('94_WEIGHT_VECTOR'!$B$5:$CC$5,(INDEX('08_EXPECTED_CODEBOOK_V4'!$D$5:$CE$27,MATCH(B78,'08_EXPECTED_CODEBOOK_V4'!$C$5:$C$27,0),0)-INDEX('08_EXPECTED_CODEBOOK_V4'!$D$5:$CE$27,MATCH(C78,'08_EXPECTED_CODEBOOK_V4'!$C$5:$C$27,0),0))^2)/'18_WEIGHT_CONTROL'!$B$15)</f>
        <v/>
      </c>
      <c r="G78" s="33">
        <f>E78/1.087567240838238</f>
        <v/>
      </c>
      <c r="H78" s="33" t="n"/>
      <c r="I78" s="33">
        <f>RANK(E78,$E$5:$E$257,1)</f>
        <v/>
      </c>
    </row>
    <row r="79" ht="36" customHeight="1">
      <c r="A79" s="33" t="n">
        <v>75</v>
      </c>
      <c r="B79" s="33" t="inlineStr">
        <is>
          <t>Lyran</t>
        </is>
      </c>
      <c r="C79" s="33" t="inlineStr">
        <is>
          <t>Hadarian</t>
        </is>
      </c>
      <c r="D79" s="33">
        <f>SUMPRODUCT('94_WEIGHT_VECTOR'!$B$5:$CC$5,INDEX('08_EXPECTED_CODEBOOK_V4'!$D$5:$CE$27,MATCH(B79,'08_EXPECTED_CODEBOOK_V4'!$C$5:$C$27,0),0),INDEX('08_EXPECTED_CODEBOOK_V4'!$D$5:$CE$27,MATCH(C79,'08_EXPECTED_CODEBOOK_V4'!$C$5:$C$27,0),0))/'18_WEIGHT_CONTROL'!$B$15/(INDEX('95_WEIGHTED_NORMS'!$C$5:$C$27,MATCH(B79,'95_WEIGHTED_NORMS'!$B$5:$B$27,0))*INDEX('95_WEIGHTED_NORMS'!$C$5:$C$27,MATCH(C79,'95_WEIGHTED_NORMS'!$B$5:$B$27,0)))</f>
        <v/>
      </c>
      <c r="E79" s="33">
        <f>SQRT(MAX(0,2*(1-D79)))</f>
        <v/>
      </c>
      <c r="F79" s="33">
        <f>SQRT(SUMPRODUCT('94_WEIGHT_VECTOR'!$B$5:$CC$5,(INDEX('08_EXPECTED_CODEBOOK_V4'!$D$5:$CE$27,MATCH(B79,'08_EXPECTED_CODEBOOK_V4'!$C$5:$C$27,0),0)-INDEX('08_EXPECTED_CODEBOOK_V4'!$D$5:$CE$27,MATCH(C79,'08_EXPECTED_CODEBOOK_V4'!$C$5:$C$27,0),0))^2)/'18_WEIGHT_CONTROL'!$B$15)</f>
        <v/>
      </c>
      <c r="G79" s="33">
        <f>E79/1.078508490511024</f>
        <v/>
      </c>
      <c r="H79" s="33" t="n"/>
      <c r="I79" s="33">
        <f>RANK(E79,$E$5:$E$257,1)</f>
        <v/>
      </c>
    </row>
    <row r="80" ht="36" customHeight="1">
      <c r="A80" s="33" t="n">
        <v>76</v>
      </c>
      <c r="B80" s="33" t="inlineStr">
        <is>
          <t>Orion</t>
        </is>
      </c>
      <c r="C80" s="33" t="inlineStr">
        <is>
          <t>Tau Cetian</t>
        </is>
      </c>
      <c r="D80" s="33">
        <f>SUMPRODUCT('94_WEIGHT_VECTOR'!$B$5:$CC$5,INDEX('08_EXPECTED_CODEBOOK_V4'!$D$5:$CE$27,MATCH(B80,'08_EXPECTED_CODEBOOK_V4'!$C$5:$C$27,0),0),INDEX('08_EXPECTED_CODEBOOK_V4'!$D$5:$CE$27,MATCH(C80,'08_EXPECTED_CODEBOOK_V4'!$C$5:$C$27,0),0))/'18_WEIGHT_CONTROL'!$B$15/(INDEX('95_WEIGHTED_NORMS'!$C$5:$C$27,MATCH(B80,'95_WEIGHTED_NORMS'!$B$5:$B$27,0))*INDEX('95_WEIGHTED_NORMS'!$C$5:$C$27,MATCH(C80,'95_WEIGHTED_NORMS'!$B$5:$B$27,0)))</f>
        <v/>
      </c>
      <c r="E80" s="33">
        <f>SQRT(MAX(0,2*(1-D80)))</f>
        <v/>
      </c>
      <c r="F80" s="33">
        <f>SQRT(SUMPRODUCT('94_WEIGHT_VECTOR'!$B$5:$CC$5,(INDEX('08_EXPECTED_CODEBOOK_V4'!$D$5:$CE$27,MATCH(B80,'08_EXPECTED_CODEBOOK_V4'!$C$5:$C$27,0),0)-INDEX('08_EXPECTED_CODEBOOK_V4'!$D$5:$CE$27,MATCH(C80,'08_EXPECTED_CODEBOOK_V4'!$C$5:$C$27,0),0))^2)/'18_WEIGHT_CONTROL'!$B$15)</f>
        <v/>
      </c>
      <c r="G80" s="33">
        <f>E80/1.090163907650069</f>
        <v/>
      </c>
      <c r="H80" s="33" t="n"/>
      <c r="I80" s="33">
        <f>RANK(E80,$E$5:$E$257,1)</f>
        <v/>
      </c>
    </row>
    <row r="81" ht="36" customHeight="1">
      <c r="A81" s="33" t="n">
        <v>77</v>
      </c>
      <c r="B81" s="33" t="inlineStr">
        <is>
          <t>Arcturian</t>
        </is>
      </c>
      <c r="C81" s="33" t="inlineStr">
        <is>
          <t>Hadarian</t>
        </is>
      </c>
      <c r="D81" s="33">
        <f>SUMPRODUCT('94_WEIGHT_VECTOR'!$B$5:$CC$5,INDEX('08_EXPECTED_CODEBOOK_V4'!$D$5:$CE$27,MATCH(B81,'08_EXPECTED_CODEBOOK_V4'!$C$5:$C$27,0),0),INDEX('08_EXPECTED_CODEBOOK_V4'!$D$5:$CE$27,MATCH(C81,'08_EXPECTED_CODEBOOK_V4'!$C$5:$C$27,0),0))/'18_WEIGHT_CONTROL'!$B$15/(INDEX('95_WEIGHTED_NORMS'!$C$5:$C$27,MATCH(B81,'95_WEIGHTED_NORMS'!$B$5:$B$27,0))*INDEX('95_WEIGHTED_NORMS'!$C$5:$C$27,MATCH(C81,'95_WEIGHTED_NORMS'!$B$5:$B$27,0)))</f>
        <v/>
      </c>
      <c r="E81" s="33">
        <f>SQRT(MAX(0,2*(1-D81)))</f>
        <v/>
      </c>
      <c r="F81" s="33">
        <f>SQRT(SUMPRODUCT('94_WEIGHT_VECTOR'!$B$5:$CC$5,(INDEX('08_EXPECTED_CODEBOOK_V4'!$D$5:$CE$27,MATCH(B81,'08_EXPECTED_CODEBOOK_V4'!$C$5:$C$27,0),0)-INDEX('08_EXPECTED_CODEBOOK_V4'!$D$5:$CE$27,MATCH(C81,'08_EXPECTED_CODEBOOK_V4'!$C$5:$C$27,0),0))^2)/'18_WEIGHT_CONTROL'!$B$15)</f>
        <v/>
      </c>
      <c r="G81" s="33">
        <f>E81/1.090444515391804</f>
        <v/>
      </c>
      <c r="H81" s="33" t="n"/>
      <c r="I81" s="33">
        <f>RANK(E81,$E$5:$E$257,1)</f>
        <v/>
      </c>
    </row>
    <row r="82" ht="36" customHeight="1">
      <c r="A82" s="33" t="n">
        <v>78</v>
      </c>
      <c r="B82" s="33" t="inlineStr">
        <is>
          <t>Lyran</t>
        </is>
      </c>
      <c r="C82" s="33" t="inlineStr">
        <is>
          <t>Venusian</t>
        </is>
      </c>
      <c r="D82" s="33">
        <f>SUMPRODUCT('94_WEIGHT_VECTOR'!$B$5:$CC$5,INDEX('08_EXPECTED_CODEBOOK_V4'!$D$5:$CE$27,MATCH(B82,'08_EXPECTED_CODEBOOK_V4'!$C$5:$C$27,0),0),INDEX('08_EXPECTED_CODEBOOK_V4'!$D$5:$CE$27,MATCH(C82,'08_EXPECTED_CODEBOOK_V4'!$C$5:$C$27,0),0))/'18_WEIGHT_CONTROL'!$B$15/(INDEX('95_WEIGHTED_NORMS'!$C$5:$C$27,MATCH(B82,'95_WEIGHTED_NORMS'!$B$5:$B$27,0))*INDEX('95_WEIGHTED_NORMS'!$C$5:$C$27,MATCH(C82,'95_WEIGHTED_NORMS'!$B$5:$B$27,0)))</f>
        <v/>
      </c>
      <c r="E82" s="33">
        <f>SQRT(MAX(0,2*(1-D82)))</f>
        <v/>
      </c>
      <c r="F82" s="33">
        <f>SQRT(SUMPRODUCT('94_WEIGHT_VECTOR'!$B$5:$CC$5,(INDEX('08_EXPECTED_CODEBOOK_V4'!$D$5:$CE$27,MATCH(B82,'08_EXPECTED_CODEBOOK_V4'!$C$5:$C$27,0),0)-INDEX('08_EXPECTED_CODEBOOK_V4'!$D$5:$CE$27,MATCH(C82,'08_EXPECTED_CODEBOOK_V4'!$C$5:$C$27,0),0))^2)/'18_WEIGHT_CONTROL'!$B$15)</f>
        <v/>
      </c>
      <c r="G82" s="33">
        <f>E82/1.097419545227448</f>
        <v/>
      </c>
      <c r="H82" s="33" t="n"/>
      <c r="I82" s="33">
        <f>RANK(E82,$E$5:$E$257,1)</f>
        <v/>
      </c>
    </row>
    <row r="83" ht="36" customHeight="1">
      <c r="A83" s="33" t="n">
        <v>79</v>
      </c>
      <c r="B83" s="33" t="inlineStr">
        <is>
          <t>Hadarian</t>
        </is>
      </c>
      <c r="C83" s="33" t="inlineStr">
        <is>
          <t>Earth-Origin Soul</t>
        </is>
      </c>
      <c r="D83" s="33">
        <f>SUMPRODUCT('94_WEIGHT_VECTOR'!$B$5:$CC$5,INDEX('08_EXPECTED_CODEBOOK_V4'!$D$5:$CE$27,MATCH(B83,'08_EXPECTED_CODEBOOK_V4'!$C$5:$C$27,0),0),INDEX('08_EXPECTED_CODEBOOK_V4'!$D$5:$CE$27,MATCH(C83,'08_EXPECTED_CODEBOOK_V4'!$C$5:$C$27,0),0))/'18_WEIGHT_CONTROL'!$B$15/(INDEX('95_WEIGHTED_NORMS'!$C$5:$C$27,MATCH(B83,'95_WEIGHTED_NORMS'!$B$5:$B$27,0))*INDEX('95_WEIGHTED_NORMS'!$C$5:$C$27,MATCH(C83,'95_WEIGHTED_NORMS'!$B$5:$B$27,0)))</f>
        <v/>
      </c>
      <c r="E83" s="33">
        <f>SQRT(MAX(0,2*(1-D83)))</f>
        <v/>
      </c>
      <c r="F83" s="33">
        <f>SQRT(SUMPRODUCT('94_WEIGHT_VECTOR'!$B$5:$CC$5,(INDEX('08_EXPECTED_CODEBOOK_V4'!$D$5:$CE$27,MATCH(B83,'08_EXPECTED_CODEBOOK_V4'!$C$5:$C$27,0),0)-INDEX('08_EXPECTED_CODEBOOK_V4'!$D$5:$CE$27,MATCH(C83,'08_EXPECTED_CODEBOOK_V4'!$C$5:$C$27,0),0))^2)/'18_WEIGHT_CONTROL'!$B$15)</f>
        <v/>
      </c>
      <c r="G83" s="33">
        <f>E83/1.098334997203886</f>
        <v/>
      </c>
      <c r="H83" s="33" t="n"/>
      <c r="I83" s="33">
        <f>RANK(E83,$E$5:$E$257,1)</f>
        <v/>
      </c>
    </row>
    <row r="84" ht="36" customHeight="1">
      <c r="A84" s="33" t="n">
        <v>80</v>
      </c>
      <c r="B84" s="33" t="inlineStr">
        <is>
          <t>Orion</t>
        </is>
      </c>
      <c r="C84" s="33" t="inlineStr">
        <is>
          <t>Feline / Urmah</t>
        </is>
      </c>
      <c r="D84" s="33">
        <f>SUMPRODUCT('94_WEIGHT_VECTOR'!$B$5:$CC$5,INDEX('08_EXPECTED_CODEBOOK_V4'!$D$5:$CE$27,MATCH(B84,'08_EXPECTED_CODEBOOK_V4'!$C$5:$C$27,0),0),INDEX('08_EXPECTED_CODEBOOK_V4'!$D$5:$CE$27,MATCH(C84,'08_EXPECTED_CODEBOOK_V4'!$C$5:$C$27,0),0))/'18_WEIGHT_CONTROL'!$B$15/(INDEX('95_WEIGHTED_NORMS'!$C$5:$C$27,MATCH(B84,'95_WEIGHTED_NORMS'!$B$5:$B$27,0))*INDEX('95_WEIGHTED_NORMS'!$C$5:$C$27,MATCH(C84,'95_WEIGHTED_NORMS'!$B$5:$B$27,0)))</f>
        <v/>
      </c>
      <c r="E84" s="33">
        <f>SQRT(MAX(0,2*(1-D84)))</f>
        <v/>
      </c>
      <c r="F84" s="33">
        <f>SQRT(SUMPRODUCT('94_WEIGHT_VECTOR'!$B$5:$CC$5,(INDEX('08_EXPECTED_CODEBOOK_V4'!$D$5:$CE$27,MATCH(B84,'08_EXPECTED_CODEBOOK_V4'!$C$5:$C$27,0),0)-INDEX('08_EXPECTED_CODEBOOK_V4'!$D$5:$CE$27,MATCH(C84,'08_EXPECTED_CODEBOOK_V4'!$C$5:$C$27,0),0))^2)/'18_WEIGHT_CONTROL'!$B$15)</f>
        <v/>
      </c>
      <c r="G84" s="33">
        <f>E84/1.105723325928378</f>
        <v/>
      </c>
      <c r="H84" s="33" t="n"/>
      <c r="I84" s="33">
        <f>RANK(E84,$E$5:$E$257,1)</f>
        <v/>
      </c>
    </row>
    <row r="85" ht="36" customHeight="1">
      <c r="A85" s="33" t="n">
        <v>81</v>
      </c>
      <c r="B85" s="33" t="inlineStr">
        <is>
          <t>Venusian</t>
        </is>
      </c>
      <c r="C85" s="33" t="inlineStr">
        <is>
          <t>Earth-Origin Soul</t>
        </is>
      </c>
      <c r="D85" s="33">
        <f>SUMPRODUCT('94_WEIGHT_VECTOR'!$B$5:$CC$5,INDEX('08_EXPECTED_CODEBOOK_V4'!$D$5:$CE$27,MATCH(B85,'08_EXPECTED_CODEBOOK_V4'!$C$5:$C$27,0),0),INDEX('08_EXPECTED_CODEBOOK_V4'!$D$5:$CE$27,MATCH(C85,'08_EXPECTED_CODEBOOK_V4'!$C$5:$C$27,0),0))/'18_WEIGHT_CONTROL'!$B$15/(INDEX('95_WEIGHTED_NORMS'!$C$5:$C$27,MATCH(B85,'95_WEIGHTED_NORMS'!$B$5:$B$27,0))*INDEX('95_WEIGHTED_NORMS'!$C$5:$C$27,MATCH(C85,'95_WEIGHTED_NORMS'!$B$5:$B$27,0)))</f>
        <v/>
      </c>
      <c r="E85" s="33">
        <f>SQRT(MAX(0,2*(1-D85)))</f>
        <v/>
      </c>
      <c r="F85" s="33">
        <f>SQRT(SUMPRODUCT('94_WEIGHT_VECTOR'!$B$5:$CC$5,(INDEX('08_EXPECTED_CODEBOOK_V4'!$D$5:$CE$27,MATCH(B85,'08_EXPECTED_CODEBOOK_V4'!$C$5:$C$27,0),0)-INDEX('08_EXPECTED_CODEBOOK_V4'!$D$5:$CE$27,MATCH(C85,'08_EXPECTED_CODEBOOK_V4'!$C$5:$C$27,0),0))^2)/'18_WEIGHT_CONTROL'!$B$15)</f>
        <v/>
      </c>
      <c r="G85" s="33">
        <f>E85/1.099157927879525</f>
        <v/>
      </c>
      <c r="H85" s="33" t="n"/>
      <c r="I85" s="33">
        <f>RANK(E85,$E$5:$E$257,1)</f>
        <v/>
      </c>
    </row>
    <row r="86" ht="36" customHeight="1">
      <c r="A86" s="33" t="n">
        <v>82</v>
      </c>
      <c r="B86" s="33" t="inlineStr">
        <is>
          <t>Orion</t>
        </is>
      </c>
      <c r="C86" s="33" t="inlineStr">
        <is>
          <t>Vegan</t>
        </is>
      </c>
      <c r="D86" s="33">
        <f>SUMPRODUCT('94_WEIGHT_VECTOR'!$B$5:$CC$5,INDEX('08_EXPECTED_CODEBOOK_V4'!$D$5:$CE$27,MATCH(B86,'08_EXPECTED_CODEBOOK_V4'!$C$5:$C$27,0),0),INDEX('08_EXPECTED_CODEBOOK_V4'!$D$5:$CE$27,MATCH(C86,'08_EXPECTED_CODEBOOK_V4'!$C$5:$C$27,0),0))/'18_WEIGHT_CONTROL'!$B$15/(INDEX('95_WEIGHTED_NORMS'!$C$5:$C$27,MATCH(B86,'95_WEIGHTED_NORMS'!$B$5:$B$27,0))*INDEX('95_WEIGHTED_NORMS'!$C$5:$C$27,MATCH(C86,'95_WEIGHTED_NORMS'!$B$5:$B$27,0)))</f>
        <v/>
      </c>
      <c r="E86" s="33">
        <f>SQRT(MAX(0,2*(1-D86)))</f>
        <v/>
      </c>
      <c r="F86" s="33">
        <f>SQRT(SUMPRODUCT('94_WEIGHT_VECTOR'!$B$5:$CC$5,(INDEX('08_EXPECTED_CODEBOOK_V4'!$D$5:$CE$27,MATCH(B86,'08_EXPECTED_CODEBOOK_V4'!$C$5:$C$27,0),0)-INDEX('08_EXPECTED_CODEBOOK_V4'!$D$5:$CE$27,MATCH(C86,'08_EXPECTED_CODEBOOK_V4'!$C$5:$C$27,0),0))^2)/'18_WEIGHT_CONTROL'!$B$15)</f>
        <v/>
      </c>
      <c r="G86" s="33">
        <f>E86/1.111997829300904</f>
        <v/>
      </c>
      <c r="H86" s="33" t="n"/>
      <c r="I86" s="33">
        <f>RANK(E86,$E$5:$E$257,1)</f>
        <v/>
      </c>
    </row>
    <row r="87" ht="36" customHeight="1">
      <c r="A87" s="33" t="n">
        <v>83</v>
      </c>
      <c r="B87" s="33" t="inlineStr">
        <is>
          <t>Mintakan</t>
        </is>
      </c>
      <c r="C87" s="33" t="inlineStr">
        <is>
          <t>Tau Cetian</t>
        </is>
      </c>
      <c r="D87" s="33">
        <f>SUMPRODUCT('94_WEIGHT_VECTOR'!$B$5:$CC$5,INDEX('08_EXPECTED_CODEBOOK_V4'!$D$5:$CE$27,MATCH(B87,'08_EXPECTED_CODEBOOK_V4'!$C$5:$C$27,0),0),INDEX('08_EXPECTED_CODEBOOK_V4'!$D$5:$CE$27,MATCH(C87,'08_EXPECTED_CODEBOOK_V4'!$C$5:$C$27,0),0))/'18_WEIGHT_CONTROL'!$B$15/(INDEX('95_WEIGHTED_NORMS'!$C$5:$C$27,MATCH(B87,'95_WEIGHTED_NORMS'!$B$5:$B$27,0))*INDEX('95_WEIGHTED_NORMS'!$C$5:$C$27,MATCH(C87,'95_WEIGHTED_NORMS'!$B$5:$B$27,0)))</f>
        <v/>
      </c>
      <c r="E87" s="33">
        <f>SQRT(MAX(0,2*(1-D87)))</f>
        <v/>
      </c>
      <c r="F87" s="33">
        <f>SQRT(SUMPRODUCT('94_WEIGHT_VECTOR'!$B$5:$CC$5,(INDEX('08_EXPECTED_CODEBOOK_V4'!$D$5:$CE$27,MATCH(B87,'08_EXPECTED_CODEBOOK_V4'!$C$5:$C$27,0),0)-INDEX('08_EXPECTED_CODEBOOK_V4'!$D$5:$CE$27,MATCH(C87,'08_EXPECTED_CODEBOOK_V4'!$C$5:$C$27,0),0))^2)/'18_WEIGHT_CONTROL'!$B$15)</f>
        <v/>
      </c>
      <c r="G87" s="33">
        <f>E87/1.103817746193786</f>
        <v/>
      </c>
      <c r="H87" s="33" t="n"/>
      <c r="I87" s="33">
        <f>RANK(E87,$E$5:$E$257,1)</f>
        <v/>
      </c>
    </row>
    <row r="88" ht="36" customHeight="1">
      <c r="A88" s="33" t="n">
        <v>84</v>
      </c>
      <c r="B88" s="33" t="inlineStr">
        <is>
          <t>Alpha Centaurian</t>
        </is>
      </c>
      <c r="C88" s="33" t="inlineStr">
        <is>
          <t>Draconian</t>
        </is>
      </c>
      <c r="D88" s="33">
        <f>SUMPRODUCT('94_WEIGHT_VECTOR'!$B$5:$CC$5,INDEX('08_EXPECTED_CODEBOOK_V4'!$D$5:$CE$27,MATCH(B88,'08_EXPECTED_CODEBOOK_V4'!$C$5:$C$27,0),0),INDEX('08_EXPECTED_CODEBOOK_V4'!$D$5:$CE$27,MATCH(C88,'08_EXPECTED_CODEBOOK_V4'!$C$5:$C$27,0),0))/'18_WEIGHT_CONTROL'!$B$15/(INDEX('95_WEIGHTED_NORMS'!$C$5:$C$27,MATCH(B88,'95_WEIGHTED_NORMS'!$B$5:$B$27,0))*INDEX('95_WEIGHTED_NORMS'!$C$5:$C$27,MATCH(C88,'95_WEIGHTED_NORMS'!$B$5:$B$27,0)))</f>
        <v/>
      </c>
      <c r="E88" s="33">
        <f>SQRT(MAX(0,2*(1-D88)))</f>
        <v/>
      </c>
      <c r="F88" s="33">
        <f>SQRT(SUMPRODUCT('94_WEIGHT_VECTOR'!$B$5:$CC$5,(INDEX('08_EXPECTED_CODEBOOK_V4'!$D$5:$CE$27,MATCH(B88,'08_EXPECTED_CODEBOOK_V4'!$C$5:$C$27,0),0)-INDEX('08_EXPECTED_CODEBOOK_V4'!$D$5:$CE$27,MATCH(C88,'08_EXPECTED_CODEBOOK_V4'!$C$5:$C$27,0),0))^2)/'18_WEIGHT_CONTROL'!$B$15)</f>
        <v/>
      </c>
      <c r="G88" s="33">
        <f>E88/1.116374676884833</f>
        <v/>
      </c>
      <c r="H88" s="33" t="n"/>
      <c r="I88" s="33">
        <f>RANK(E88,$E$5:$E$257,1)</f>
        <v/>
      </c>
    </row>
    <row r="89" ht="36" customHeight="1">
      <c r="A89" s="33" t="n">
        <v>85</v>
      </c>
      <c r="B89" s="33" t="inlineStr">
        <is>
          <t>Andromedan</t>
        </is>
      </c>
      <c r="C89" s="33" t="inlineStr">
        <is>
          <t>Hadarian</t>
        </is>
      </c>
      <c r="D89" s="33">
        <f>SUMPRODUCT('94_WEIGHT_VECTOR'!$B$5:$CC$5,INDEX('08_EXPECTED_CODEBOOK_V4'!$D$5:$CE$27,MATCH(B89,'08_EXPECTED_CODEBOOK_V4'!$C$5:$C$27,0),0),INDEX('08_EXPECTED_CODEBOOK_V4'!$D$5:$CE$27,MATCH(C89,'08_EXPECTED_CODEBOOK_V4'!$C$5:$C$27,0),0))/'18_WEIGHT_CONTROL'!$B$15/(INDEX('95_WEIGHTED_NORMS'!$C$5:$C$27,MATCH(B89,'95_WEIGHTED_NORMS'!$B$5:$B$27,0))*INDEX('95_WEIGHTED_NORMS'!$C$5:$C$27,MATCH(C89,'95_WEIGHTED_NORMS'!$B$5:$B$27,0)))</f>
        <v/>
      </c>
      <c r="E89" s="33">
        <f>SQRT(MAX(0,2*(1-D89)))</f>
        <v/>
      </c>
      <c r="F89" s="33">
        <f>SQRT(SUMPRODUCT('94_WEIGHT_VECTOR'!$B$5:$CC$5,(INDEX('08_EXPECTED_CODEBOOK_V4'!$D$5:$CE$27,MATCH(B89,'08_EXPECTED_CODEBOOK_V4'!$C$5:$C$27,0),0)-INDEX('08_EXPECTED_CODEBOOK_V4'!$D$5:$CE$27,MATCH(C89,'08_EXPECTED_CODEBOOK_V4'!$C$5:$C$27,0),0))^2)/'18_WEIGHT_CONTROL'!$B$15)</f>
        <v/>
      </c>
      <c r="G89" s="33">
        <f>E89/1.111024302164449</f>
        <v/>
      </c>
      <c r="H89" s="33" t="n"/>
      <c r="I89" s="33">
        <f>RANK(E89,$E$5:$E$257,1)</f>
        <v/>
      </c>
    </row>
    <row r="90" ht="36" customHeight="1">
      <c r="A90" s="33" t="n">
        <v>86</v>
      </c>
      <c r="B90" s="33" t="inlineStr">
        <is>
          <t>Draconian</t>
        </is>
      </c>
      <c r="C90" s="33" t="inlineStr">
        <is>
          <t>Earth-Origin Soul</t>
        </is>
      </c>
      <c r="D90" s="33">
        <f>SUMPRODUCT('94_WEIGHT_VECTOR'!$B$5:$CC$5,INDEX('08_EXPECTED_CODEBOOK_V4'!$D$5:$CE$27,MATCH(B90,'08_EXPECTED_CODEBOOK_V4'!$C$5:$C$27,0),0),INDEX('08_EXPECTED_CODEBOOK_V4'!$D$5:$CE$27,MATCH(C90,'08_EXPECTED_CODEBOOK_V4'!$C$5:$C$27,0),0))/'18_WEIGHT_CONTROL'!$B$15/(INDEX('95_WEIGHTED_NORMS'!$C$5:$C$27,MATCH(B90,'95_WEIGHTED_NORMS'!$B$5:$B$27,0))*INDEX('95_WEIGHTED_NORMS'!$C$5:$C$27,MATCH(C90,'95_WEIGHTED_NORMS'!$B$5:$B$27,0)))</f>
        <v/>
      </c>
      <c r="E90" s="33">
        <f>SQRT(MAX(0,2*(1-D90)))</f>
        <v/>
      </c>
      <c r="F90" s="33">
        <f>SQRT(SUMPRODUCT('94_WEIGHT_VECTOR'!$B$5:$CC$5,(INDEX('08_EXPECTED_CODEBOOK_V4'!$D$5:$CE$27,MATCH(B90,'08_EXPECTED_CODEBOOK_V4'!$C$5:$C$27,0),0)-INDEX('08_EXPECTED_CODEBOOK_V4'!$D$5:$CE$27,MATCH(C90,'08_EXPECTED_CODEBOOK_V4'!$C$5:$C$27,0),0))^2)/'18_WEIGHT_CONTROL'!$B$15)</f>
        <v/>
      </c>
      <c r="G90" s="33">
        <f>E90/1.122748137509785</f>
        <v/>
      </c>
      <c r="H90" s="33" t="n"/>
      <c r="I90" s="33">
        <f>RANK(E90,$E$5:$E$257,1)</f>
        <v/>
      </c>
    </row>
    <row r="91" ht="36" customHeight="1">
      <c r="A91" s="33" t="n">
        <v>87</v>
      </c>
      <c r="B91" s="33" t="inlineStr">
        <is>
          <t>Arcturian</t>
        </is>
      </c>
      <c r="C91" s="33" t="inlineStr">
        <is>
          <t>Reptilian</t>
        </is>
      </c>
      <c r="D91" s="33">
        <f>SUMPRODUCT('94_WEIGHT_VECTOR'!$B$5:$CC$5,INDEX('08_EXPECTED_CODEBOOK_V4'!$D$5:$CE$27,MATCH(B91,'08_EXPECTED_CODEBOOK_V4'!$C$5:$C$27,0),0),INDEX('08_EXPECTED_CODEBOOK_V4'!$D$5:$CE$27,MATCH(C91,'08_EXPECTED_CODEBOOK_V4'!$C$5:$C$27,0),0))/'18_WEIGHT_CONTROL'!$B$15/(INDEX('95_WEIGHTED_NORMS'!$C$5:$C$27,MATCH(B91,'95_WEIGHTED_NORMS'!$B$5:$B$27,0))*INDEX('95_WEIGHTED_NORMS'!$C$5:$C$27,MATCH(C91,'95_WEIGHTED_NORMS'!$B$5:$B$27,0)))</f>
        <v/>
      </c>
      <c r="E91" s="33">
        <f>SQRT(MAX(0,2*(1-D91)))</f>
        <v/>
      </c>
      <c r="F91" s="33">
        <f>SQRT(SUMPRODUCT('94_WEIGHT_VECTOR'!$B$5:$CC$5,(INDEX('08_EXPECTED_CODEBOOK_V4'!$D$5:$CE$27,MATCH(B91,'08_EXPECTED_CODEBOOK_V4'!$C$5:$C$27,0),0)-INDEX('08_EXPECTED_CODEBOOK_V4'!$D$5:$CE$27,MATCH(C91,'08_EXPECTED_CODEBOOK_V4'!$C$5:$C$27,0),0))^2)/'18_WEIGHT_CONTROL'!$B$15)</f>
        <v/>
      </c>
      <c r="G91" s="33">
        <f>E91/1.121566142616077</f>
        <v/>
      </c>
      <c r="H91" s="33" t="n"/>
      <c r="I91" s="33">
        <f>RANK(E91,$E$5:$E$257,1)</f>
        <v/>
      </c>
    </row>
    <row r="92" ht="36" customHeight="1">
      <c r="A92" s="33" t="n">
        <v>88</v>
      </c>
      <c r="B92" s="33" t="inlineStr">
        <is>
          <t>Orion</t>
        </is>
      </c>
      <c r="C92" s="33" t="inlineStr">
        <is>
          <t>Alpha Centaurian</t>
        </is>
      </c>
      <c r="D92" s="33">
        <f>SUMPRODUCT('94_WEIGHT_VECTOR'!$B$5:$CC$5,INDEX('08_EXPECTED_CODEBOOK_V4'!$D$5:$CE$27,MATCH(B92,'08_EXPECTED_CODEBOOK_V4'!$C$5:$C$27,0),0),INDEX('08_EXPECTED_CODEBOOK_V4'!$D$5:$CE$27,MATCH(C92,'08_EXPECTED_CODEBOOK_V4'!$C$5:$C$27,0),0))/'18_WEIGHT_CONTROL'!$B$15/(INDEX('95_WEIGHTED_NORMS'!$C$5:$C$27,MATCH(B92,'95_WEIGHTED_NORMS'!$B$5:$B$27,0))*INDEX('95_WEIGHTED_NORMS'!$C$5:$C$27,MATCH(C92,'95_WEIGHTED_NORMS'!$B$5:$B$27,0)))</f>
        <v/>
      </c>
      <c r="E92" s="33">
        <f>SQRT(MAX(0,2*(1-D92)))</f>
        <v/>
      </c>
      <c r="F92" s="33">
        <f>SQRT(SUMPRODUCT('94_WEIGHT_VECTOR'!$B$5:$CC$5,(INDEX('08_EXPECTED_CODEBOOK_V4'!$D$5:$CE$27,MATCH(B92,'08_EXPECTED_CODEBOOK_V4'!$C$5:$C$27,0),0)-INDEX('08_EXPECTED_CODEBOOK_V4'!$D$5:$CE$27,MATCH(C92,'08_EXPECTED_CODEBOOK_V4'!$C$5:$C$27,0),0))^2)/'18_WEIGHT_CONTROL'!$B$15)</f>
        <v/>
      </c>
      <c r="G92" s="33">
        <f>E92/1.119050778634559</f>
        <v/>
      </c>
      <c r="H92" s="33" t="n"/>
      <c r="I92" s="33">
        <f>RANK(E92,$E$5:$E$257,1)</f>
        <v/>
      </c>
    </row>
    <row r="93" ht="36" customHeight="1">
      <c r="A93" s="33" t="n">
        <v>89</v>
      </c>
      <c r="B93" s="33" t="inlineStr">
        <is>
          <t>Venusian</t>
        </is>
      </c>
      <c r="C93" s="33" t="inlineStr">
        <is>
          <t>Martian</t>
        </is>
      </c>
      <c r="D93" s="33">
        <f>SUMPRODUCT('94_WEIGHT_VECTOR'!$B$5:$CC$5,INDEX('08_EXPECTED_CODEBOOK_V4'!$D$5:$CE$27,MATCH(B93,'08_EXPECTED_CODEBOOK_V4'!$C$5:$C$27,0),0),INDEX('08_EXPECTED_CODEBOOK_V4'!$D$5:$CE$27,MATCH(C93,'08_EXPECTED_CODEBOOK_V4'!$C$5:$C$27,0),0))/'18_WEIGHT_CONTROL'!$B$15/(INDEX('95_WEIGHTED_NORMS'!$C$5:$C$27,MATCH(B93,'95_WEIGHTED_NORMS'!$B$5:$B$27,0))*INDEX('95_WEIGHTED_NORMS'!$C$5:$C$27,MATCH(C93,'95_WEIGHTED_NORMS'!$B$5:$B$27,0)))</f>
        <v/>
      </c>
      <c r="E93" s="33">
        <f>SQRT(MAX(0,2*(1-D93)))</f>
        <v/>
      </c>
      <c r="F93" s="33">
        <f>SQRT(SUMPRODUCT('94_WEIGHT_VECTOR'!$B$5:$CC$5,(INDEX('08_EXPECTED_CODEBOOK_V4'!$D$5:$CE$27,MATCH(B93,'08_EXPECTED_CODEBOOK_V4'!$C$5:$C$27,0),0)-INDEX('08_EXPECTED_CODEBOOK_V4'!$D$5:$CE$27,MATCH(C93,'08_EXPECTED_CODEBOOK_V4'!$C$5:$C$27,0),0))^2)/'18_WEIGHT_CONTROL'!$B$15)</f>
        <v/>
      </c>
      <c r="G93" s="33">
        <f>E93/1.116119561502544</f>
        <v/>
      </c>
      <c r="H93" s="33" t="n"/>
      <c r="I93" s="33">
        <f>RANK(E93,$E$5:$E$257,1)</f>
        <v/>
      </c>
    </row>
    <row r="94" ht="36" customHeight="1">
      <c r="A94" s="33" t="n">
        <v>90</v>
      </c>
      <c r="B94" s="33" t="inlineStr">
        <is>
          <t>Pleiadian</t>
        </is>
      </c>
      <c r="C94" s="33" t="inlineStr">
        <is>
          <t>Polarian</t>
        </is>
      </c>
      <c r="D94" s="33">
        <f>SUMPRODUCT('94_WEIGHT_VECTOR'!$B$5:$CC$5,INDEX('08_EXPECTED_CODEBOOK_V4'!$D$5:$CE$27,MATCH(B94,'08_EXPECTED_CODEBOOK_V4'!$C$5:$C$27,0),0),INDEX('08_EXPECTED_CODEBOOK_V4'!$D$5:$CE$27,MATCH(C94,'08_EXPECTED_CODEBOOK_V4'!$C$5:$C$27,0),0))/'18_WEIGHT_CONTROL'!$B$15/(INDEX('95_WEIGHTED_NORMS'!$C$5:$C$27,MATCH(B94,'95_WEIGHTED_NORMS'!$B$5:$B$27,0))*INDEX('95_WEIGHTED_NORMS'!$C$5:$C$27,MATCH(C94,'95_WEIGHTED_NORMS'!$B$5:$B$27,0)))</f>
        <v/>
      </c>
      <c r="E94" s="33">
        <f>SQRT(MAX(0,2*(1-D94)))</f>
        <v/>
      </c>
      <c r="F94" s="33">
        <f>SQRT(SUMPRODUCT('94_WEIGHT_VECTOR'!$B$5:$CC$5,(INDEX('08_EXPECTED_CODEBOOK_V4'!$D$5:$CE$27,MATCH(B94,'08_EXPECTED_CODEBOOK_V4'!$C$5:$C$27,0),0)-INDEX('08_EXPECTED_CODEBOOK_V4'!$D$5:$CE$27,MATCH(C94,'08_EXPECTED_CODEBOOK_V4'!$C$5:$C$27,0),0))^2)/'18_WEIGHT_CONTROL'!$B$15)</f>
        <v/>
      </c>
      <c r="G94" s="33">
        <f>E94/1.126812080451755</f>
        <v/>
      </c>
      <c r="H94" s="33" t="n"/>
      <c r="I94" s="33">
        <f>RANK(E94,$E$5:$E$257,1)</f>
        <v/>
      </c>
    </row>
    <row r="95" ht="36" customHeight="1">
      <c r="A95" s="33" t="n">
        <v>91</v>
      </c>
      <c r="B95" s="33" t="inlineStr">
        <is>
          <t>Venusian</t>
        </is>
      </c>
      <c r="C95" s="33" t="inlineStr">
        <is>
          <t>Vegan</t>
        </is>
      </c>
      <c r="D95" s="33">
        <f>SUMPRODUCT('94_WEIGHT_VECTOR'!$B$5:$CC$5,INDEX('08_EXPECTED_CODEBOOK_V4'!$D$5:$CE$27,MATCH(B95,'08_EXPECTED_CODEBOOK_V4'!$C$5:$C$27,0),0),INDEX('08_EXPECTED_CODEBOOK_V4'!$D$5:$CE$27,MATCH(C95,'08_EXPECTED_CODEBOOK_V4'!$C$5:$C$27,0),0))/'18_WEIGHT_CONTROL'!$B$15/(INDEX('95_WEIGHTED_NORMS'!$C$5:$C$27,MATCH(B95,'95_WEIGHTED_NORMS'!$B$5:$B$27,0))*INDEX('95_WEIGHTED_NORMS'!$C$5:$C$27,MATCH(C95,'95_WEIGHTED_NORMS'!$B$5:$B$27,0)))</f>
        <v/>
      </c>
      <c r="E95" s="33">
        <f>SQRT(MAX(0,2*(1-D95)))</f>
        <v/>
      </c>
      <c r="F95" s="33">
        <f>SQRT(SUMPRODUCT('94_WEIGHT_VECTOR'!$B$5:$CC$5,(INDEX('08_EXPECTED_CODEBOOK_V4'!$D$5:$CE$27,MATCH(B95,'08_EXPECTED_CODEBOOK_V4'!$C$5:$C$27,0),0)-INDEX('08_EXPECTED_CODEBOOK_V4'!$D$5:$CE$27,MATCH(C95,'08_EXPECTED_CODEBOOK_V4'!$C$5:$C$27,0),0))^2)/'18_WEIGHT_CONTROL'!$B$15)</f>
        <v/>
      </c>
      <c r="G95" s="33">
        <f>E95/1.125262428837999</f>
        <v/>
      </c>
      <c r="H95" s="33" t="n"/>
      <c r="I95" s="33">
        <f>RANK(E95,$E$5:$E$257,1)</f>
        <v/>
      </c>
    </row>
    <row r="96" ht="36" customHeight="1">
      <c r="A96" s="33" t="n">
        <v>92</v>
      </c>
      <c r="B96" s="33" t="inlineStr">
        <is>
          <t>Orion</t>
        </is>
      </c>
      <c r="C96" s="33" t="inlineStr">
        <is>
          <t>Polarian</t>
        </is>
      </c>
      <c r="D96" s="33">
        <f>SUMPRODUCT('94_WEIGHT_VECTOR'!$B$5:$CC$5,INDEX('08_EXPECTED_CODEBOOK_V4'!$D$5:$CE$27,MATCH(B96,'08_EXPECTED_CODEBOOK_V4'!$C$5:$C$27,0),0),INDEX('08_EXPECTED_CODEBOOK_V4'!$D$5:$CE$27,MATCH(C96,'08_EXPECTED_CODEBOOK_V4'!$C$5:$C$27,0),0))/'18_WEIGHT_CONTROL'!$B$15/(INDEX('95_WEIGHTED_NORMS'!$C$5:$C$27,MATCH(B96,'95_WEIGHTED_NORMS'!$B$5:$B$27,0))*INDEX('95_WEIGHTED_NORMS'!$C$5:$C$27,MATCH(C96,'95_WEIGHTED_NORMS'!$B$5:$B$27,0)))</f>
        <v/>
      </c>
      <c r="E96" s="33">
        <f>SQRT(MAX(0,2*(1-D96)))</f>
        <v/>
      </c>
      <c r="F96" s="33">
        <f>SQRT(SUMPRODUCT('94_WEIGHT_VECTOR'!$B$5:$CC$5,(INDEX('08_EXPECTED_CODEBOOK_V4'!$D$5:$CE$27,MATCH(B96,'08_EXPECTED_CODEBOOK_V4'!$C$5:$C$27,0),0)-INDEX('08_EXPECTED_CODEBOOK_V4'!$D$5:$CE$27,MATCH(C96,'08_EXPECTED_CODEBOOK_V4'!$C$5:$C$27,0),0))^2)/'18_WEIGHT_CONTROL'!$B$15)</f>
        <v/>
      </c>
      <c r="G96" s="33">
        <f>E96/1.123885552614855</f>
        <v/>
      </c>
      <c r="H96" s="33" t="n"/>
      <c r="I96" s="33">
        <f>RANK(E96,$E$5:$E$257,1)</f>
        <v/>
      </c>
    </row>
    <row r="97" ht="36" customHeight="1">
      <c r="A97" s="33" t="n">
        <v>93</v>
      </c>
      <c r="B97" s="33" t="inlineStr">
        <is>
          <t>Maldekian</t>
        </is>
      </c>
      <c r="C97" s="33" t="inlineStr">
        <is>
          <t>Draconian</t>
        </is>
      </c>
      <c r="D97" s="33">
        <f>SUMPRODUCT('94_WEIGHT_VECTOR'!$B$5:$CC$5,INDEX('08_EXPECTED_CODEBOOK_V4'!$D$5:$CE$27,MATCH(B97,'08_EXPECTED_CODEBOOK_V4'!$C$5:$C$27,0),0),INDEX('08_EXPECTED_CODEBOOK_V4'!$D$5:$CE$27,MATCH(C97,'08_EXPECTED_CODEBOOK_V4'!$C$5:$C$27,0),0))/'18_WEIGHT_CONTROL'!$B$15/(INDEX('95_WEIGHTED_NORMS'!$C$5:$C$27,MATCH(B97,'95_WEIGHTED_NORMS'!$B$5:$B$27,0))*INDEX('95_WEIGHTED_NORMS'!$C$5:$C$27,MATCH(C97,'95_WEIGHTED_NORMS'!$B$5:$B$27,0)))</f>
        <v/>
      </c>
      <c r="E97" s="33">
        <f>SQRT(MAX(0,2*(1-D97)))</f>
        <v/>
      </c>
      <c r="F97" s="33">
        <f>SQRT(SUMPRODUCT('94_WEIGHT_VECTOR'!$B$5:$CC$5,(INDEX('08_EXPECTED_CODEBOOK_V4'!$D$5:$CE$27,MATCH(B97,'08_EXPECTED_CODEBOOK_V4'!$C$5:$C$27,0),0)-INDEX('08_EXPECTED_CODEBOOK_V4'!$D$5:$CE$27,MATCH(C97,'08_EXPECTED_CODEBOOK_V4'!$C$5:$C$27,0),0))^2)/'18_WEIGHT_CONTROL'!$B$15)</f>
        <v/>
      </c>
      <c r="G97" s="33">
        <f>E97/1.135669202050226</f>
        <v/>
      </c>
      <c r="H97" s="33" t="n"/>
      <c r="I97" s="33">
        <f>RANK(E97,$E$5:$E$257,1)</f>
        <v/>
      </c>
    </row>
    <row r="98" ht="36" customHeight="1">
      <c r="A98" s="33" t="n">
        <v>94</v>
      </c>
      <c r="B98" s="33" t="inlineStr">
        <is>
          <t>Venusian</t>
        </is>
      </c>
      <c r="C98" s="33" t="inlineStr">
        <is>
          <t>Polarian</t>
        </is>
      </c>
      <c r="D98" s="33">
        <f>SUMPRODUCT('94_WEIGHT_VECTOR'!$B$5:$CC$5,INDEX('08_EXPECTED_CODEBOOK_V4'!$D$5:$CE$27,MATCH(B98,'08_EXPECTED_CODEBOOK_V4'!$C$5:$C$27,0),0),INDEX('08_EXPECTED_CODEBOOK_V4'!$D$5:$CE$27,MATCH(C98,'08_EXPECTED_CODEBOOK_V4'!$C$5:$C$27,0),0))/'18_WEIGHT_CONTROL'!$B$15/(INDEX('95_WEIGHTED_NORMS'!$C$5:$C$27,MATCH(B98,'95_WEIGHTED_NORMS'!$B$5:$B$27,0))*INDEX('95_WEIGHTED_NORMS'!$C$5:$C$27,MATCH(C98,'95_WEIGHTED_NORMS'!$B$5:$B$27,0)))</f>
        <v/>
      </c>
      <c r="E98" s="33">
        <f>SQRT(MAX(0,2*(1-D98)))</f>
        <v/>
      </c>
      <c r="F98" s="33">
        <f>SQRT(SUMPRODUCT('94_WEIGHT_VECTOR'!$B$5:$CC$5,(INDEX('08_EXPECTED_CODEBOOK_V4'!$D$5:$CE$27,MATCH(B98,'08_EXPECTED_CODEBOOK_V4'!$C$5:$C$27,0),0)-INDEX('08_EXPECTED_CODEBOOK_V4'!$D$5:$CE$27,MATCH(C98,'08_EXPECTED_CODEBOOK_V4'!$C$5:$C$27,0),0))^2)/'18_WEIGHT_CONTROL'!$B$15)</f>
        <v/>
      </c>
      <c r="G98" s="33">
        <f>E98/1.130114631367873</f>
        <v/>
      </c>
      <c r="H98" s="33" t="n"/>
      <c r="I98" s="33">
        <f>RANK(E98,$E$5:$E$257,1)</f>
        <v/>
      </c>
    </row>
    <row r="99" ht="36" customHeight="1">
      <c r="A99" s="33" t="n">
        <v>95</v>
      </c>
      <c r="B99" s="33" t="inlineStr">
        <is>
          <t>Feline / Urmah</t>
        </is>
      </c>
      <c r="C99" s="33" t="inlineStr">
        <is>
          <t>Earth-Origin Soul</t>
        </is>
      </c>
      <c r="D99" s="33">
        <f>SUMPRODUCT('94_WEIGHT_VECTOR'!$B$5:$CC$5,INDEX('08_EXPECTED_CODEBOOK_V4'!$D$5:$CE$27,MATCH(B99,'08_EXPECTED_CODEBOOK_V4'!$C$5:$C$27,0),0),INDEX('08_EXPECTED_CODEBOOK_V4'!$D$5:$CE$27,MATCH(C99,'08_EXPECTED_CODEBOOK_V4'!$C$5:$C$27,0),0))/'18_WEIGHT_CONTROL'!$B$15/(INDEX('95_WEIGHTED_NORMS'!$C$5:$C$27,MATCH(B99,'95_WEIGHTED_NORMS'!$B$5:$B$27,0))*INDEX('95_WEIGHTED_NORMS'!$C$5:$C$27,MATCH(C99,'95_WEIGHTED_NORMS'!$B$5:$B$27,0)))</f>
        <v/>
      </c>
      <c r="E99" s="33">
        <f>SQRT(MAX(0,2*(1-D99)))</f>
        <v/>
      </c>
      <c r="F99" s="33">
        <f>SQRT(SUMPRODUCT('94_WEIGHT_VECTOR'!$B$5:$CC$5,(INDEX('08_EXPECTED_CODEBOOK_V4'!$D$5:$CE$27,MATCH(B99,'08_EXPECTED_CODEBOOK_V4'!$C$5:$C$27,0),0)-INDEX('08_EXPECTED_CODEBOOK_V4'!$D$5:$CE$27,MATCH(C99,'08_EXPECTED_CODEBOOK_V4'!$C$5:$C$27,0),0))^2)/'18_WEIGHT_CONTROL'!$B$15)</f>
        <v/>
      </c>
      <c r="G99" s="33">
        <f>E99/1.132863005729928</f>
        <v/>
      </c>
      <c r="H99" s="33" t="n"/>
      <c r="I99" s="33">
        <f>RANK(E99,$E$5:$E$257,1)</f>
        <v/>
      </c>
    </row>
    <row r="100" ht="36" customHeight="1">
      <c r="A100" s="33" t="n">
        <v>96</v>
      </c>
      <c r="B100" s="33" t="inlineStr">
        <is>
          <t>Mintakan</t>
        </is>
      </c>
      <c r="C100" s="33" t="inlineStr">
        <is>
          <t>Polarian</t>
        </is>
      </c>
      <c r="D100" s="33">
        <f>SUMPRODUCT('94_WEIGHT_VECTOR'!$B$5:$CC$5,INDEX('08_EXPECTED_CODEBOOK_V4'!$D$5:$CE$27,MATCH(B100,'08_EXPECTED_CODEBOOK_V4'!$C$5:$C$27,0),0),INDEX('08_EXPECTED_CODEBOOK_V4'!$D$5:$CE$27,MATCH(C100,'08_EXPECTED_CODEBOOK_V4'!$C$5:$C$27,0),0))/'18_WEIGHT_CONTROL'!$B$15/(INDEX('95_WEIGHTED_NORMS'!$C$5:$C$27,MATCH(B100,'95_WEIGHTED_NORMS'!$B$5:$B$27,0))*INDEX('95_WEIGHTED_NORMS'!$C$5:$C$27,MATCH(C100,'95_WEIGHTED_NORMS'!$B$5:$B$27,0)))</f>
        <v/>
      </c>
      <c r="E100" s="33">
        <f>SQRT(MAX(0,2*(1-D100)))</f>
        <v/>
      </c>
      <c r="F100" s="33">
        <f>SQRT(SUMPRODUCT('94_WEIGHT_VECTOR'!$B$5:$CC$5,(INDEX('08_EXPECTED_CODEBOOK_V4'!$D$5:$CE$27,MATCH(B100,'08_EXPECTED_CODEBOOK_V4'!$C$5:$C$27,0),0)-INDEX('08_EXPECTED_CODEBOOK_V4'!$D$5:$CE$27,MATCH(C100,'08_EXPECTED_CODEBOOK_V4'!$C$5:$C$27,0),0))^2)/'18_WEIGHT_CONTROL'!$B$15)</f>
        <v/>
      </c>
      <c r="G100" s="33">
        <f>E100/1.140775923898349</f>
        <v/>
      </c>
      <c r="H100" s="33" t="n"/>
      <c r="I100" s="33">
        <f>RANK(E100,$E$5:$E$257,1)</f>
        <v/>
      </c>
    </row>
    <row r="101" ht="36" customHeight="1">
      <c r="A101" s="33" t="n">
        <v>97</v>
      </c>
      <c r="B101" s="33" t="inlineStr">
        <is>
          <t>Lyran</t>
        </is>
      </c>
      <c r="C101" s="33" t="inlineStr">
        <is>
          <t>Vegan</t>
        </is>
      </c>
      <c r="D101" s="33">
        <f>SUMPRODUCT('94_WEIGHT_VECTOR'!$B$5:$CC$5,INDEX('08_EXPECTED_CODEBOOK_V4'!$D$5:$CE$27,MATCH(B101,'08_EXPECTED_CODEBOOK_V4'!$C$5:$C$27,0),0),INDEX('08_EXPECTED_CODEBOOK_V4'!$D$5:$CE$27,MATCH(C101,'08_EXPECTED_CODEBOOK_V4'!$C$5:$C$27,0),0))/'18_WEIGHT_CONTROL'!$B$15/(INDEX('95_WEIGHTED_NORMS'!$C$5:$C$27,MATCH(B101,'95_WEIGHTED_NORMS'!$B$5:$B$27,0))*INDEX('95_WEIGHTED_NORMS'!$C$5:$C$27,MATCH(C101,'95_WEIGHTED_NORMS'!$B$5:$B$27,0)))</f>
        <v/>
      </c>
      <c r="E101" s="33">
        <f>SQRT(MAX(0,2*(1-D101)))</f>
        <v/>
      </c>
      <c r="F101" s="33">
        <f>SQRT(SUMPRODUCT('94_WEIGHT_VECTOR'!$B$5:$CC$5,(INDEX('08_EXPECTED_CODEBOOK_V4'!$D$5:$CE$27,MATCH(B101,'08_EXPECTED_CODEBOOK_V4'!$C$5:$C$27,0),0)-INDEX('08_EXPECTED_CODEBOOK_V4'!$D$5:$CE$27,MATCH(C101,'08_EXPECTED_CODEBOOK_V4'!$C$5:$C$27,0),0))^2)/'18_WEIGHT_CONTROL'!$B$15)</f>
        <v/>
      </c>
      <c r="G101" s="33">
        <f>E101/1.144354221341397</f>
        <v/>
      </c>
      <c r="H101" s="33" t="n"/>
      <c r="I101" s="33">
        <f>RANK(E101,$E$5:$E$257,1)</f>
        <v/>
      </c>
    </row>
    <row r="102" ht="36" customHeight="1">
      <c r="A102" s="33" t="n">
        <v>98</v>
      </c>
      <c r="B102" s="33" t="inlineStr">
        <is>
          <t>Pleiadian</t>
        </is>
      </c>
      <c r="C102" s="33" t="inlineStr">
        <is>
          <t>Martian</t>
        </is>
      </c>
      <c r="D102" s="33">
        <f>SUMPRODUCT('94_WEIGHT_VECTOR'!$B$5:$CC$5,INDEX('08_EXPECTED_CODEBOOK_V4'!$D$5:$CE$27,MATCH(B102,'08_EXPECTED_CODEBOOK_V4'!$C$5:$C$27,0),0),INDEX('08_EXPECTED_CODEBOOK_V4'!$D$5:$CE$27,MATCH(C102,'08_EXPECTED_CODEBOOK_V4'!$C$5:$C$27,0),0))/'18_WEIGHT_CONTROL'!$B$15/(INDEX('95_WEIGHTED_NORMS'!$C$5:$C$27,MATCH(B102,'95_WEIGHTED_NORMS'!$B$5:$B$27,0))*INDEX('95_WEIGHTED_NORMS'!$C$5:$C$27,MATCH(C102,'95_WEIGHTED_NORMS'!$B$5:$B$27,0)))</f>
        <v/>
      </c>
      <c r="E102" s="33">
        <f>SQRT(MAX(0,2*(1-D102)))</f>
        <v/>
      </c>
      <c r="F102" s="33">
        <f>SQRT(SUMPRODUCT('94_WEIGHT_VECTOR'!$B$5:$CC$5,(INDEX('08_EXPECTED_CODEBOOK_V4'!$D$5:$CE$27,MATCH(B102,'08_EXPECTED_CODEBOOK_V4'!$C$5:$C$27,0),0)-INDEX('08_EXPECTED_CODEBOOK_V4'!$D$5:$CE$27,MATCH(C102,'08_EXPECTED_CODEBOOK_V4'!$C$5:$C$27,0),0))^2)/'18_WEIGHT_CONTROL'!$B$15)</f>
        <v/>
      </c>
      <c r="G102" s="33">
        <f>E102/1.146539923955856</f>
        <v/>
      </c>
      <c r="H102" s="33" t="n"/>
      <c r="I102" s="33">
        <f>RANK(E102,$E$5:$E$257,1)</f>
        <v/>
      </c>
    </row>
    <row r="103" ht="36" customHeight="1">
      <c r="A103" s="33" t="n">
        <v>99</v>
      </c>
      <c r="B103" s="33" t="inlineStr">
        <is>
          <t>Pleiadian</t>
        </is>
      </c>
      <c r="C103" s="33" t="inlineStr">
        <is>
          <t>Earth-Origin Soul</t>
        </is>
      </c>
      <c r="D103" s="33">
        <f>SUMPRODUCT('94_WEIGHT_VECTOR'!$B$5:$CC$5,INDEX('08_EXPECTED_CODEBOOK_V4'!$D$5:$CE$27,MATCH(B103,'08_EXPECTED_CODEBOOK_V4'!$C$5:$C$27,0),0),INDEX('08_EXPECTED_CODEBOOK_V4'!$D$5:$CE$27,MATCH(C103,'08_EXPECTED_CODEBOOK_V4'!$C$5:$C$27,0),0))/'18_WEIGHT_CONTROL'!$B$15/(INDEX('95_WEIGHTED_NORMS'!$C$5:$C$27,MATCH(B103,'95_WEIGHTED_NORMS'!$B$5:$B$27,0))*INDEX('95_WEIGHTED_NORMS'!$C$5:$C$27,MATCH(C103,'95_WEIGHTED_NORMS'!$B$5:$B$27,0)))</f>
        <v/>
      </c>
      <c r="E103" s="33">
        <f>SQRT(MAX(0,2*(1-D103)))</f>
        <v/>
      </c>
      <c r="F103" s="33">
        <f>SQRT(SUMPRODUCT('94_WEIGHT_VECTOR'!$B$5:$CC$5,(INDEX('08_EXPECTED_CODEBOOK_V4'!$D$5:$CE$27,MATCH(B103,'08_EXPECTED_CODEBOOK_V4'!$C$5:$C$27,0),0)-INDEX('08_EXPECTED_CODEBOOK_V4'!$D$5:$CE$27,MATCH(C103,'08_EXPECTED_CODEBOOK_V4'!$C$5:$C$27,0),0))^2)/'18_WEIGHT_CONTROL'!$B$15)</f>
        <v/>
      </c>
      <c r="G103" s="33">
        <f>E103/1.153594108575366</f>
        <v/>
      </c>
      <c r="H103" s="33" t="n"/>
      <c r="I103" s="33">
        <f>RANK(E103,$E$5:$E$257,1)</f>
        <v/>
      </c>
    </row>
    <row r="104" ht="36" customHeight="1">
      <c r="A104" s="33" t="n">
        <v>100</v>
      </c>
      <c r="B104" s="33" t="inlineStr">
        <is>
          <t>Arcturian</t>
        </is>
      </c>
      <c r="C104" s="33" t="inlineStr">
        <is>
          <t>Alpha Centaurian</t>
        </is>
      </c>
      <c r="D104" s="33">
        <f>SUMPRODUCT('94_WEIGHT_VECTOR'!$B$5:$CC$5,INDEX('08_EXPECTED_CODEBOOK_V4'!$D$5:$CE$27,MATCH(B104,'08_EXPECTED_CODEBOOK_V4'!$C$5:$C$27,0),0),INDEX('08_EXPECTED_CODEBOOK_V4'!$D$5:$CE$27,MATCH(C104,'08_EXPECTED_CODEBOOK_V4'!$C$5:$C$27,0),0))/'18_WEIGHT_CONTROL'!$B$15/(INDEX('95_WEIGHTED_NORMS'!$C$5:$C$27,MATCH(B104,'95_WEIGHTED_NORMS'!$B$5:$B$27,0))*INDEX('95_WEIGHTED_NORMS'!$C$5:$C$27,MATCH(C104,'95_WEIGHTED_NORMS'!$B$5:$B$27,0)))</f>
        <v/>
      </c>
      <c r="E104" s="33">
        <f>SQRT(MAX(0,2*(1-D104)))</f>
        <v/>
      </c>
      <c r="F104" s="33">
        <f>SQRT(SUMPRODUCT('94_WEIGHT_VECTOR'!$B$5:$CC$5,(INDEX('08_EXPECTED_CODEBOOK_V4'!$D$5:$CE$27,MATCH(B104,'08_EXPECTED_CODEBOOK_V4'!$C$5:$C$27,0),0)-INDEX('08_EXPECTED_CODEBOOK_V4'!$D$5:$CE$27,MATCH(C104,'08_EXPECTED_CODEBOOK_V4'!$C$5:$C$27,0),0))^2)/'18_WEIGHT_CONTROL'!$B$15)</f>
        <v/>
      </c>
      <c r="G104" s="33">
        <f>E104/1.152585433401933</f>
        <v/>
      </c>
      <c r="H104" s="33" t="n"/>
      <c r="I104" s="33">
        <f>RANK(E104,$E$5:$E$257,1)</f>
        <v/>
      </c>
    </row>
    <row r="105" ht="36" customHeight="1">
      <c r="A105" s="33" t="n">
        <v>101</v>
      </c>
      <c r="B105" s="33" t="inlineStr">
        <is>
          <t>Tau Cetian</t>
        </is>
      </c>
      <c r="C105" s="33" t="inlineStr">
        <is>
          <t>Earth-Origin Soul</t>
        </is>
      </c>
      <c r="D105" s="33">
        <f>SUMPRODUCT('94_WEIGHT_VECTOR'!$B$5:$CC$5,INDEX('08_EXPECTED_CODEBOOK_V4'!$D$5:$CE$27,MATCH(B105,'08_EXPECTED_CODEBOOK_V4'!$C$5:$C$27,0),0),INDEX('08_EXPECTED_CODEBOOK_V4'!$D$5:$CE$27,MATCH(C105,'08_EXPECTED_CODEBOOK_V4'!$C$5:$C$27,0),0))/'18_WEIGHT_CONTROL'!$B$15/(INDEX('95_WEIGHTED_NORMS'!$C$5:$C$27,MATCH(B105,'95_WEIGHTED_NORMS'!$B$5:$B$27,0))*INDEX('95_WEIGHTED_NORMS'!$C$5:$C$27,MATCH(C105,'95_WEIGHTED_NORMS'!$B$5:$B$27,0)))</f>
        <v/>
      </c>
      <c r="E105" s="33">
        <f>SQRT(MAX(0,2*(1-D105)))</f>
        <v/>
      </c>
      <c r="F105" s="33">
        <f>SQRT(SUMPRODUCT('94_WEIGHT_VECTOR'!$B$5:$CC$5,(INDEX('08_EXPECTED_CODEBOOK_V4'!$D$5:$CE$27,MATCH(B105,'08_EXPECTED_CODEBOOK_V4'!$C$5:$C$27,0),0)-INDEX('08_EXPECTED_CODEBOOK_V4'!$D$5:$CE$27,MATCH(C105,'08_EXPECTED_CODEBOOK_V4'!$C$5:$C$27,0),0))^2)/'18_WEIGHT_CONTROL'!$B$15)</f>
        <v/>
      </c>
      <c r="G105" s="33">
        <f>E105/1.156813947168007</f>
        <v/>
      </c>
      <c r="H105" s="33" t="n"/>
      <c r="I105" s="33">
        <f>RANK(E105,$E$5:$E$257,1)</f>
        <v/>
      </c>
    </row>
    <row r="106" ht="36" customHeight="1">
      <c r="A106" s="33" t="n">
        <v>102</v>
      </c>
      <c r="B106" s="33" t="inlineStr">
        <is>
          <t>Andromedan</t>
        </is>
      </c>
      <c r="C106" s="33" t="inlineStr">
        <is>
          <t>Tau Cetian</t>
        </is>
      </c>
      <c r="D106" s="33">
        <f>SUMPRODUCT('94_WEIGHT_VECTOR'!$B$5:$CC$5,INDEX('08_EXPECTED_CODEBOOK_V4'!$D$5:$CE$27,MATCH(B106,'08_EXPECTED_CODEBOOK_V4'!$C$5:$C$27,0),0),INDEX('08_EXPECTED_CODEBOOK_V4'!$D$5:$CE$27,MATCH(C106,'08_EXPECTED_CODEBOOK_V4'!$C$5:$C$27,0),0))/'18_WEIGHT_CONTROL'!$B$15/(INDEX('95_WEIGHTED_NORMS'!$C$5:$C$27,MATCH(B106,'95_WEIGHTED_NORMS'!$B$5:$B$27,0))*INDEX('95_WEIGHTED_NORMS'!$C$5:$C$27,MATCH(C106,'95_WEIGHTED_NORMS'!$B$5:$B$27,0)))</f>
        <v/>
      </c>
      <c r="E106" s="33">
        <f>SQRT(MAX(0,2*(1-D106)))</f>
        <v/>
      </c>
      <c r="F106" s="33">
        <f>SQRT(SUMPRODUCT('94_WEIGHT_VECTOR'!$B$5:$CC$5,(INDEX('08_EXPECTED_CODEBOOK_V4'!$D$5:$CE$27,MATCH(B106,'08_EXPECTED_CODEBOOK_V4'!$C$5:$C$27,0),0)-INDEX('08_EXPECTED_CODEBOOK_V4'!$D$5:$CE$27,MATCH(C106,'08_EXPECTED_CODEBOOK_V4'!$C$5:$C$27,0),0))^2)/'18_WEIGHT_CONTROL'!$B$15)</f>
        <v/>
      </c>
      <c r="G106" s="33">
        <f>E106/1.160169396562227</f>
        <v/>
      </c>
      <c r="H106" s="33" t="n"/>
      <c r="I106" s="33">
        <f>RANK(E106,$E$5:$E$257,1)</f>
        <v/>
      </c>
    </row>
    <row r="107" ht="36" customHeight="1">
      <c r="A107" s="33" t="n">
        <v>103</v>
      </c>
      <c r="B107" s="33" t="inlineStr">
        <is>
          <t>Avian / Blue Avian</t>
        </is>
      </c>
      <c r="C107" s="33" t="inlineStr">
        <is>
          <t>Antarian</t>
        </is>
      </c>
      <c r="D107" s="33">
        <f>SUMPRODUCT('94_WEIGHT_VECTOR'!$B$5:$CC$5,INDEX('08_EXPECTED_CODEBOOK_V4'!$D$5:$CE$27,MATCH(B107,'08_EXPECTED_CODEBOOK_V4'!$C$5:$C$27,0),0),INDEX('08_EXPECTED_CODEBOOK_V4'!$D$5:$CE$27,MATCH(C107,'08_EXPECTED_CODEBOOK_V4'!$C$5:$C$27,0),0))/'18_WEIGHT_CONTROL'!$B$15/(INDEX('95_WEIGHTED_NORMS'!$C$5:$C$27,MATCH(B107,'95_WEIGHTED_NORMS'!$B$5:$B$27,0))*INDEX('95_WEIGHTED_NORMS'!$C$5:$C$27,MATCH(C107,'95_WEIGHTED_NORMS'!$B$5:$B$27,0)))</f>
        <v/>
      </c>
      <c r="E107" s="33">
        <f>SQRT(MAX(0,2*(1-D107)))</f>
        <v/>
      </c>
      <c r="F107" s="33">
        <f>SQRT(SUMPRODUCT('94_WEIGHT_VECTOR'!$B$5:$CC$5,(INDEX('08_EXPECTED_CODEBOOK_V4'!$D$5:$CE$27,MATCH(B107,'08_EXPECTED_CODEBOOK_V4'!$C$5:$C$27,0),0)-INDEX('08_EXPECTED_CODEBOOK_V4'!$D$5:$CE$27,MATCH(C107,'08_EXPECTED_CODEBOOK_V4'!$C$5:$C$27,0),0))^2)/'18_WEIGHT_CONTROL'!$B$15)</f>
        <v/>
      </c>
      <c r="G107" s="33">
        <f>E107/1.177719300968876</f>
        <v/>
      </c>
      <c r="H107" s="33" t="n"/>
      <c r="I107" s="33">
        <f>RANK(E107,$E$5:$E$257,1)</f>
        <v/>
      </c>
    </row>
    <row r="108" ht="36" customHeight="1">
      <c r="A108" s="33" t="n">
        <v>104</v>
      </c>
      <c r="B108" s="33" t="inlineStr">
        <is>
          <t>Hadarian</t>
        </is>
      </c>
      <c r="C108" s="33" t="inlineStr">
        <is>
          <t>Polarian</t>
        </is>
      </c>
      <c r="D108" s="33">
        <f>SUMPRODUCT('94_WEIGHT_VECTOR'!$B$5:$CC$5,INDEX('08_EXPECTED_CODEBOOK_V4'!$D$5:$CE$27,MATCH(B108,'08_EXPECTED_CODEBOOK_V4'!$C$5:$C$27,0),0),INDEX('08_EXPECTED_CODEBOOK_V4'!$D$5:$CE$27,MATCH(C108,'08_EXPECTED_CODEBOOK_V4'!$C$5:$C$27,0),0))/'18_WEIGHT_CONTROL'!$B$15/(INDEX('95_WEIGHTED_NORMS'!$C$5:$C$27,MATCH(B108,'95_WEIGHTED_NORMS'!$B$5:$B$27,0))*INDEX('95_WEIGHTED_NORMS'!$C$5:$C$27,MATCH(C108,'95_WEIGHTED_NORMS'!$B$5:$B$27,0)))</f>
        <v/>
      </c>
      <c r="E108" s="33">
        <f>SQRT(MAX(0,2*(1-D108)))</f>
        <v/>
      </c>
      <c r="F108" s="33">
        <f>SQRT(SUMPRODUCT('94_WEIGHT_VECTOR'!$B$5:$CC$5,(INDEX('08_EXPECTED_CODEBOOK_V4'!$D$5:$CE$27,MATCH(B108,'08_EXPECTED_CODEBOOK_V4'!$C$5:$C$27,0),0)-INDEX('08_EXPECTED_CODEBOOK_V4'!$D$5:$CE$27,MATCH(C108,'08_EXPECTED_CODEBOOK_V4'!$C$5:$C$27,0),0))^2)/'18_WEIGHT_CONTROL'!$B$15)</f>
        <v/>
      </c>
      <c r="G108" s="33">
        <f>E108/1.185307107999117</f>
        <v/>
      </c>
      <c r="H108" s="33" t="n"/>
      <c r="I108" s="33">
        <f>RANK(E108,$E$5:$E$257,1)</f>
        <v/>
      </c>
    </row>
    <row r="109" ht="36" customHeight="1">
      <c r="A109" s="33" t="n">
        <v>105</v>
      </c>
      <c r="B109" s="33" t="inlineStr">
        <is>
          <t>Antarian</t>
        </is>
      </c>
      <c r="C109" s="33" t="inlineStr">
        <is>
          <t>Earth-Origin Soul</t>
        </is>
      </c>
      <c r="D109" s="33">
        <f>SUMPRODUCT('94_WEIGHT_VECTOR'!$B$5:$CC$5,INDEX('08_EXPECTED_CODEBOOK_V4'!$D$5:$CE$27,MATCH(B109,'08_EXPECTED_CODEBOOK_V4'!$C$5:$C$27,0),0),INDEX('08_EXPECTED_CODEBOOK_V4'!$D$5:$CE$27,MATCH(C109,'08_EXPECTED_CODEBOOK_V4'!$C$5:$C$27,0),0))/'18_WEIGHT_CONTROL'!$B$15/(INDEX('95_WEIGHTED_NORMS'!$C$5:$C$27,MATCH(B109,'95_WEIGHTED_NORMS'!$B$5:$B$27,0))*INDEX('95_WEIGHTED_NORMS'!$C$5:$C$27,MATCH(C109,'95_WEIGHTED_NORMS'!$B$5:$B$27,0)))</f>
        <v/>
      </c>
      <c r="E109" s="33">
        <f>SQRT(MAX(0,2*(1-D109)))</f>
        <v/>
      </c>
      <c r="F109" s="33">
        <f>SQRT(SUMPRODUCT('94_WEIGHT_VECTOR'!$B$5:$CC$5,(INDEX('08_EXPECTED_CODEBOOK_V4'!$D$5:$CE$27,MATCH(B109,'08_EXPECTED_CODEBOOK_V4'!$C$5:$C$27,0),0)-INDEX('08_EXPECTED_CODEBOOK_V4'!$D$5:$CE$27,MATCH(C109,'08_EXPECTED_CODEBOOK_V4'!$C$5:$C$27,0),0))^2)/'18_WEIGHT_CONTROL'!$B$15)</f>
        <v/>
      </c>
      <c r="G109" s="33">
        <f>E109/1.186005552644284</f>
        <v/>
      </c>
      <c r="H109" s="33" t="n"/>
      <c r="I109" s="33">
        <f>RANK(E109,$E$5:$E$257,1)</f>
        <v/>
      </c>
    </row>
    <row r="110" ht="36" customHeight="1">
      <c r="A110" s="33" t="n">
        <v>106</v>
      </c>
      <c r="B110" s="33" t="inlineStr">
        <is>
          <t>Pleiadian</t>
        </is>
      </c>
      <c r="C110" s="33" t="inlineStr">
        <is>
          <t>Sirian</t>
        </is>
      </c>
      <c r="D110" s="33">
        <f>SUMPRODUCT('94_WEIGHT_VECTOR'!$B$5:$CC$5,INDEX('08_EXPECTED_CODEBOOK_V4'!$D$5:$CE$27,MATCH(B110,'08_EXPECTED_CODEBOOK_V4'!$C$5:$C$27,0),0),INDEX('08_EXPECTED_CODEBOOK_V4'!$D$5:$CE$27,MATCH(C110,'08_EXPECTED_CODEBOOK_V4'!$C$5:$C$27,0),0))/'18_WEIGHT_CONTROL'!$B$15/(INDEX('95_WEIGHTED_NORMS'!$C$5:$C$27,MATCH(B110,'95_WEIGHTED_NORMS'!$B$5:$B$27,0))*INDEX('95_WEIGHTED_NORMS'!$C$5:$C$27,MATCH(C110,'95_WEIGHTED_NORMS'!$B$5:$B$27,0)))</f>
        <v/>
      </c>
      <c r="E110" s="33">
        <f>SQRT(MAX(0,2*(1-D110)))</f>
        <v/>
      </c>
      <c r="F110" s="33">
        <f>SQRT(SUMPRODUCT('94_WEIGHT_VECTOR'!$B$5:$CC$5,(INDEX('08_EXPECTED_CODEBOOK_V4'!$D$5:$CE$27,MATCH(B110,'08_EXPECTED_CODEBOOK_V4'!$C$5:$C$27,0),0)-INDEX('08_EXPECTED_CODEBOOK_V4'!$D$5:$CE$27,MATCH(C110,'08_EXPECTED_CODEBOOK_V4'!$C$5:$C$27,0),0))^2)/'18_WEIGHT_CONTROL'!$B$15)</f>
        <v/>
      </c>
      <c r="G110" s="33">
        <f>E110/1.192017321104719</f>
        <v/>
      </c>
      <c r="H110" s="33" t="n"/>
      <c r="I110" s="33">
        <f>RANK(E110,$E$5:$E$257,1)</f>
        <v/>
      </c>
    </row>
    <row r="111" ht="36" customHeight="1">
      <c r="A111" s="33" t="n">
        <v>107</v>
      </c>
      <c r="B111" s="33" t="inlineStr">
        <is>
          <t>Draconian</t>
        </is>
      </c>
      <c r="C111" s="33" t="inlineStr">
        <is>
          <t>Reptilian</t>
        </is>
      </c>
      <c r="D111" s="33">
        <f>SUMPRODUCT('94_WEIGHT_VECTOR'!$B$5:$CC$5,INDEX('08_EXPECTED_CODEBOOK_V4'!$D$5:$CE$27,MATCH(B111,'08_EXPECTED_CODEBOOK_V4'!$C$5:$C$27,0),0),INDEX('08_EXPECTED_CODEBOOK_V4'!$D$5:$CE$27,MATCH(C111,'08_EXPECTED_CODEBOOK_V4'!$C$5:$C$27,0),0))/'18_WEIGHT_CONTROL'!$B$15/(INDEX('95_WEIGHTED_NORMS'!$C$5:$C$27,MATCH(B111,'95_WEIGHTED_NORMS'!$B$5:$B$27,0))*INDEX('95_WEIGHTED_NORMS'!$C$5:$C$27,MATCH(C111,'95_WEIGHTED_NORMS'!$B$5:$B$27,0)))</f>
        <v/>
      </c>
      <c r="E111" s="33">
        <f>SQRT(MAX(0,2*(1-D111)))</f>
        <v/>
      </c>
      <c r="F111" s="33">
        <f>SQRT(SUMPRODUCT('94_WEIGHT_VECTOR'!$B$5:$CC$5,(INDEX('08_EXPECTED_CODEBOOK_V4'!$D$5:$CE$27,MATCH(B111,'08_EXPECTED_CODEBOOK_V4'!$C$5:$C$27,0),0)-INDEX('08_EXPECTED_CODEBOOK_V4'!$D$5:$CE$27,MATCH(C111,'08_EXPECTED_CODEBOOK_V4'!$C$5:$C$27,0),0))^2)/'18_WEIGHT_CONTROL'!$B$15)</f>
        <v/>
      </c>
      <c r="G111" s="33">
        <f>E111/1.199813742483688</f>
        <v/>
      </c>
      <c r="H111" s="33" t="n"/>
      <c r="I111" s="33">
        <f>RANK(E111,$E$5:$E$257,1)</f>
        <v/>
      </c>
    </row>
    <row r="112" ht="36" customHeight="1">
      <c r="A112" s="33" t="n">
        <v>108</v>
      </c>
      <c r="B112" s="33" t="inlineStr">
        <is>
          <t>Mintakan</t>
        </is>
      </c>
      <c r="C112" s="33" t="inlineStr">
        <is>
          <t>Martian</t>
        </is>
      </c>
      <c r="D112" s="33">
        <f>SUMPRODUCT('94_WEIGHT_VECTOR'!$B$5:$CC$5,INDEX('08_EXPECTED_CODEBOOK_V4'!$D$5:$CE$27,MATCH(B112,'08_EXPECTED_CODEBOOK_V4'!$C$5:$C$27,0),0),INDEX('08_EXPECTED_CODEBOOK_V4'!$D$5:$CE$27,MATCH(C112,'08_EXPECTED_CODEBOOK_V4'!$C$5:$C$27,0),0))/'18_WEIGHT_CONTROL'!$B$15/(INDEX('95_WEIGHTED_NORMS'!$C$5:$C$27,MATCH(B112,'95_WEIGHTED_NORMS'!$B$5:$B$27,0))*INDEX('95_WEIGHTED_NORMS'!$C$5:$C$27,MATCH(C112,'95_WEIGHTED_NORMS'!$B$5:$B$27,0)))</f>
        <v/>
      </c>
      <c r="E112" s="33">
        <f>SQRT(MAX(0,2*(1-D112)))</f>
        <v/>
      </c>
      <c r="F112" s="33">
        <f>SQRT(SUMPRODUCT('94_WEIGHT_VECTOR'!$B$5:$CC$5,(INDEX('08_EXPECTED_CODEBOOK_V4'!$D$5:$CE$27,MATCH(B112,'08_EXPECTED_CODEBOOK_V4'!$C$5:$C$27,0),0)-INDEX('08_EXPECTED_CODEBOOK_V4'!$D$5:$CE$27,MATCH(C112,'08_EXPECTED_CODEBOOK_V4'!$C$5:$C$27,0),0))^2)/'18_WEIGHT_CONTROL'!$B$15)</f>
        <v/>
      </c>
      <c r="G112" s="33">
        <f>E112/1.193786083488874</f>
        <v/>
      </c>
      <c r="H112" s="33" t="n"/>
      <c r="I112" s="33">
        <f>RANK(E112,$E$5:$E$257,1)</f>
        <v/>
      </c>
    </row>
    <row r="113" ht="36" customHeight="1">
      <c r="A113" s="33" t="n">
        <v>109</v>
      </c>
      <c r="B113" s="33" t="inlineStr">
        <is>
          <t>Hadarian</t>
        </is>
      </c>
      <c r="C113" s="33" t="inlineStr">
        <is>
          <t>Alpha Centaurian</t>
        </is>
      </c>
      <c r="D113" s="33">
        <f>SUMPRODUCT('94_WEIGHT_VECTOR'!$B$5:$CC$5,INDEX('08_EXPECTED_CODEBOOK_V4'!$D$5:$CE$27,MATCH(B113,'08_EXPECTED_CODEBOOK_V4'!$C$5:$C$27,0),0),INDEX('08_EXPECTED_CODEBOOK_V4'!$D$5:$CE$27,MATCH(C113,'08_EXPECTED_CODEBOOK_V4'!$C$5:$C$27,0),0))/'18_WEIGHT_CONTROL'!$B$15/(INDEX('95_WEIGHTED_NORMS'!$C$5:$C$27,MATCH(B113,'95_WEIGHTED_NORMS'!$B$5:$B$27,0))*INDEX('95_WEIGHTED_NORMS'!$C$5:$C$27,MATCH(C113,'95_WEIGHTED_NORMS'!$B$5:$B$27,0)))</f>
        <v/>
      </c>
      <c r="E113" s="33">
        <f>SQRT(MAX(0,2*(1-D113)))</f>
        <v/>
      </c>
      <c r="F113" s="33">
        <f>SQRT(SUMPRODUCT('94_WEIGHT_VECTOR'!$B$5:$CC$5,(INDEX('08_EXPECTED_CODEBOOK_V4'!$D$5:$CE$27,MATCH(B113,'08_EXPECTED_CODEBOOK_V4'!$C$5:$C$27,0),0)-INDEX('08_EXPECTED_CODEBOOK_V4'!$D$5:$CE$27,MATCH(C113,'08_EXPECTED_CODEBOOK_V4'!$C$5:$C$27,0),0))^2)/'18_WEIGHT_CONTROL'!$B$15)</f>
        <v/>
      </c>
      <c r="G113" s="33">
        <f>E113/1.202790917835103</f>
        <v/>
      </c>
      <c r="H113" s="33" t="n"/>
      <c r="I113" s="33">
        <f>RANK(E113,$E$5:$E$257,1)</f>
        <v/>
      </c>
    </row>
    <row r="114" ht="36" customHeight="1">
      <c r="A114" s="33" t="n">
        <v>110</v>
      </c>
      <c r="B114" s="33" t="inlineStr">
        <is>
          <t>Anunnaki / Nibiruan</t>
        </is>
      </c>
      <c r="C114" s="33" t="inlineStr">
        <is>
          <t>Earth-Origin Soul</t>
        </is>
      </c>
      <c r="D114" s="33">
        <f>SUMPRODUCT('94_WEIGHT_VECTOR'!$B$5:$CC$5,INDEX('08_EXPECTED_CODEBOOK_V4'!$D$5:$CE$27,MATCH(B114,'08_EXPECTED_CODEBOOK_V4'!$C$5:$C$27,0),0),INDEX('08_EXPECTED_CODEBOOK_V4'!$D$5:$CE$27,MATCH(C114,'08_EXPECTED_CODEBOOK_V4'!$C$5:$C$27,0),0))/'18_WEIGHT_CONTROL'!$B$15/(INDEX('95_WEIGHTED_NORMS'!$C$5:$C$27,MATCH(B114,'95_WEIGHTED_NORMS'!$B$5:$B$27,0))*INDEX('95_WEIGHTED_NORMS'!$C$5:$C$27,MATCH(C114,'95_WEIGHTED_NORMS'!$B$5:$B$27,0)))</f>
        <v/>
      </c>
      <c r="E114" s="33">
        <f>SQRT(MAX(0,2*(1-D114)))</f>
        <v/>
      </c>
      <c r="F114" s="33">
        <f>SQRT(SUMPRODUCT('94_WEIGHT_VECTOR'!$B$5:$CC$5,(INDEX('08_EXPECTED_CODEBOOK_V4'!$D$5:$CE$27,MATCH(B114,'08_EXPECTED_CODEBOOK_V4'!$C$5:$C$27,0),0)-INDEX('08_EXPECTED_CODEBOOK_V4'!$D$5:$CE$27,MATCH(C114,'08_EXPECTED_CODEBOOK_V4'!$C$5:$C$27,0),0))^2)/'18_WEIGHT_CONTROL'!$B$15)</f>
        <v/>
      </c>
      <c r="G114" s="33">
        <f>E114/1.209245173448766</f>
        <v/>
      </c>
      <c r="H114" s="33" t="n"/>
      <c r="I114" s="33">
        <f>RANK(E114,$E$5:$E$257,1)</f>
        <v/>
      </c>
    </row>
    <row r="115" ht="36" customHeight="1">
      <c r="A115" s="33" t="n">
        <v>111</v>
      </c>
      <c r="B115" s="33" t="inlineStr">
        <is>
          <t>Pleiadian</t>
        </is>
      </c>
      <c r="C115" s="33" t="inlineStr">
        <is>
          <t>Alpha Centaurian</t>
        </is>
      </c>
      <c r="D115" s="33">
        <f>SUMPRODUCT('94_WEIGHT_VECTOR'!$B$5:$CC$5,INDEX('08_EXPECTED_CODEBOOK_V4'!$D$5:$CE$27,MATCH(B115,'08_EXPECTED_CODEBOOK_V4'!$C$5:$C$27,0),0),INDEX('08_EXPECTED_CODEBOOK_V4'!$D$5:$CE$27,MATCH(C115,'08_EXPECTED_CODEBOOK_V4'!$C$5:$C$27,0),0))/'18_WEIGHT_CONTROL'!$B$15/(INDEX('95_WEIGHTED_NORMS'!$C$5:$C$27,MATCH(B115,'95_WEIGHTED_NORMS'!$B$5:$B$27,0))*INDEX('95_WEIGHTED_NORMS'!$C$5:$C$27,MATCH(C115,'95_WEIGHTED_NORMS'!$B$5:$B$27,0)))</f>
        <v/>
      </c>
      <c r="E115" s="33">
        <f>SQRT(MAX(0,2*(1-D115)))</f>
        <v/>
      </c>
      <c r="F115" s="33">
        <f>SQRT(SUMPRODUCT('94_WEIGHT_VECTOR'!$B$5:$CC$5,(INDEX('08_EXPECTED_CODEBOOK_V4'!$D$5:$CE$27,MATCH(B115,'08_EXPECTED_CODEBOOK_V4'!$C$5:$C$27,0),0)-INDEX('08_EXPECTED_CODEBOOK_V4'!$D$5:$CE$27,MATCH(C115,'08_EXPECTED_CODEBOOK_V4'!$C$5:$C$27,0),0))^2)/'18_WEIGHT_CONTROL'!$B$15)</f>
        <v/>
      </c>
      <c r="G115" s="33">
        <f>E115/1.199953318420678</f>
        <v/>
      </c>
      <c r="H115" s="33" t="n"/>
      <c r="I115" s="33">
        <f>RANK(E115,$E$5:$E$257,1)</f>
        <v/>
      </c>
    </row>
    <row r="116" ht="36" customHeight="1">
      <c r="A116" s="33" t="n">
        <v>112</v>
      </c>
      <c r="B116" s="33" t="inlineStr">
        <is>
          <t>Martian</t>
        </is>
      </c>
      <c r="C116" s="33" t="inlineStr">
        <is>
          <t>Draconian</t>
        </is>
      </c>
      <c r="D116" s="33">
        <f>SUMPRODUCT('94_WEIGHT_VECTOR'!$B$5:$CC$5,INDEX('08_EXPECTED_CODEBOOK_V4'!$D$5:$CE$27,MATCH(B116,'08_EXPECTED_CODEBOOK_V4'!$C$5:$C$27,0),0),INDEX('08_EXPECTED_CODEBOOK_V4'!$D$5:$CE$27,MATCH(C116,'08_EXPECTED_CODEBOOK_V4'!$C$5:$C$27,0),0))/'18_WEIGHT_CONTROL'!$B$15/(INDEX('95_WEIGHTED_NORMS'!$C$5:$C$27,MATCH(B116,'95_WEIGHTED_NORMS'!$B$5:$B$27,0))*INDEX('95_WEIGHTED_NORMS'!$C$5:$C$27,MATCH(C116,'95_WEIGHTED_NORMS'!$B$5:$B$27,0)))</f>
        <v/>
      </c>
      <c r="E116" s="33">
        <f>SQRT(MAX(0,2*(1-D116)))</f>
        <v/>
      </c>
      <c r="F116" s="33">
        <f>SQRT(SUMPRODUCT('94_WEIGHT_VECTOR'!$B$5:$CC$5,(INDEX('08_EXPECTED_CODEBOOK_V4'!$D$5:$CE$27,MATCH(B116,'08_EXPECTED_CODEBOOK_V4'!$C$5:$C$27,0),0)-INDEX('08_EXPECTED_CODEBOOK_V4'!$D$5:$CE$27,MATCH(C116,'08_EXPECTED_CODEBOOK_V4'!$C$5:$C$27,0),0))^2)/'18_WEIGHT_CONTROL'!$B$15)</f>
        <v/>
      </c>
      <c r="G116" s="33">
        <f>E116/1.212460788306595</f>
        <v/>
      </c>
      <c r="H116" s="33" t="n"/>
      <c r="I116" s="33">
        <f>RANK(E116,$E$5:$E$257,1)</f>
        <v/>
      </c>
    </row>
    <row r="117" ht="36" customHeight="1">
      <c r="A117" s="33" t="n">
        <v>113</v>
      </c>
      <c r="B117" s="33" t="inlineStr">
        <is>
          <t>Vegan</t>
        </is>
      </c>
      <c r="C117" s="33" t="inlineStr">
        <is>
          <t>Martian</t>
        </is>
      </c>
      <c r="D117" s="33">
        <f>SUMPRODUCT('94_WEIGHT_VECTOR'!$B$5:$CC$5,INDEX('08_EXPECTED_CODEBOOK_V4'!$D$5:$CE$27,MATCH(B117,'08_EXPECTED_CODEBOOK_V4'!$C$5:$C$27,0),0),INDEX('08_EXPECTED_CODEBOOK_V4'!$D$5:$CE$27,MATCH(C117,'08_EXPECTED_CODEBOOK_V4'!$C$5:$C$27,0),0))/'18_WEIGHT_CONTROL'!$B$15/(INDEX('95_WEIGHTED_NORMS'!$C$5:$C$27,MATCH(B117,'95_WEIGHTED_NORMS'!$B$5:$B$27,0))*INDEX('95_WEIGHTED_NORMS'!$C$5:$C$27,MATCH(C117,'95_WEIGHTED_NORMS'!$B$5:$B$27,0)))</f>
        <v/>
      </c>
      <c r="E117" s="33">
        <f>SQRT(MAX(0,2*(1-D117)))</f>
        <v/>
      </c>
      <c r="F117" s="33">
        <f>SQRT(SUMPRODUCT('94_WEIGHT_VECTOR'!$B$5:$CC$5,(INDEX('08_EXPECTED_CODEBOOK_V4'!$D$5:$CE$27,MATCH(B117,'08_EXPECTED_CODEBOOK_V4'!$C$5:$C$27,0),0)-INDEX('08_EXPECTED_CODEBOOK_V4'!$D$5:$CE$27,MATCH(C117,'08_EXPECTED_CODEBOOK_V4'!$C$5:$C$27,0),0))^2)/'18_WEIGHT_CONTROL'!$B$15)</f>
        <v/>
      </c>
      <c r="G117" s="33">
        <f>E117/1.200226747909385</f>
        <v/>
      </c>
      <c r="H117" s="33" t="n"/>
      <c r="I117" s="33">
        <f>RANK(E117,$E$5:$E$257,1)</f>
        <v/>
      </c>
    </row>
    <row r="118" ht="36" customHeight="1">
      <c r="A118" s="33" t="n">
        <v>114</v>
      </c>
      <c r="B118" s="33" t="inlineStr">
        <is>
          <t>Pleiadian</t>
        </is>
      </c>
      <c r="C118" s="33" t="inlineStr">
        <is>
          <t>Reptilian</t>
        </is>
      </c>
      <c r="D118" s="33">
        <f>SUMPRODUCT('94_WEIGHT_VECTOR'!$B$5:$CC$5,INDEX('08_EXPECTED_CODEBOOK_V4'!$D$5:$CE$27,MATCH(B118,'08_EXPECTED_CODEBOOK_V4'!$C$5:$C$27,0),0),INDEX('08_EXPECTED_CODEBOOK_V4'!$D$5:$CE$27,MATCH(C118,'08_EXPECTED_CODEBOOK_V4'!$C$5:$C$27,0),0))/'18_WEIGHT_CONTROL'!$B$15/(INDEX('95_WEIGHTED_NORMS'!$C$5:$C$27,MATCH(B118,'95_WEIGHTED_NORMS'!$B$5:$B$27,0))*INDEX('95_WEIGHTED_NORMS'!$C$5:$C$27,MATCH(C118,'95_WEIGHTED_NORMS'!$B$5:$B$27,0)))</f>
        <v/>
      </c>
      <c r="E118" s="33">
        <f>SQRT(MAX(0,2*(1-D118)))</f>
        <v/>
      </c>
      <c r="F118" s="33">
        <f>SQRT(SUMPRODUCT('94_WEIGHT_VECTOR'!$B$5:$CC$5,(INDEX('08_EXPECTED_CODEBOOK_V4'!$D$5:$CE$27,MATCH(B118,'08_EXPECTED_CODEBOOK_V4'!$C$5:$C$27,0),0)-INDEX('08_EXPECTED_CODEBOOK_V4'!$D$5:$CE$27,MATCH(C118,'08_EXPECTED_CODEBOOK_V4'!$C$5:$C$27,0),0))^2)/'18_WEIGHT_CONTROL'!$B$15)</f>
        <v/>
      </c>
      <c r="G118" s="33">
        <f>E118/1.207254945538509</f>
        <v/>
      </c>
      <c r="H118" s="33" t="n"/>
      <c r="I118" s="33">
        <f>RANK(E118,$E$5:$E$257,1)</f>
        <v/>
      </c>
    </row>
    <row r="119" ht="36" customHeight="1">
      <c r="A119" s="33" t="n">
        <v>115</v>
      </c>
      <c r="B119" s="33" t="inlineStr">
        <is>
          <t>Draconian</t>
        </is>
      </c>
      <c r="C119" s="33" t="inlineStr">
        <is>
          <t>Zeta / Grey</t>
        </is>
      </c>
      <c r="D119" s="33">
        <f>SUMPRODUCT('94_WEIGHT_VECTOR'!$B$5:$CC$5,INDEX('08_EXPECTED_CODEBOOK_V4'!$D$5:$CE$27,MATCH(B119,'08_EXPECTED_CODEBOOK_V4'!$C$5:$C$27,0),0),INDEX('08_EXPECTED_CODEBOOK_V4'!$D$5:$CE$27,MATCH(C119,'08_EXPECTED_CODEBOOK_V4'!$C$5:$C$27,0),0))/'18_WEIGHT_CONTROL'!$B$15/(INDEX('95_WEIGHTED_NORMS'!$C$5:$C$27,MATCH(B119,'95_WEIGHTED_NORMS'!$B$5:$B$27,0))*INDEX('95_WEIGHTED_NORMS'!$C$5:$C$27,MATCH(C119,'95_WEIGHTED_NORMS'!$B$5:$B$27,0)))</f>
        <v/>
      </c>
      <c r="E119" s="33">
        <f>SQRT(MAX(0,2*(1-D119)))</f>
        <v/>
      </c>
      <c r="F119" s="33">
        <f>SQRT(SUMPRODUCT('94_WEIGHT_VECTOR'!$B$5:$CC$5,(INDEX('08_EXPECTED_CODEBOOK_V4'!$D$5:$CE$27,MATCH(B119,'08_EXPECTED_CODEBOOK_V4'!$C$5:$C$27,0),0)-INDEX('08_EXPECTED_CODEBOOK_V4'!$D$5:$CE$27,MATCH(C119,'08_EXPECTED_CODEBOOK_V4'!$C$5:$C$27,0),0))^2)/'18_WEIGHT_CONTROL'!$B$15)</f>
        <v/>
      </c>
      <c r="G119" s="33">
        <f>E119/1.216246924160993</f>
        <v/>
      </c>
      <c r="H119" s="33" t="n"/>
      <c r="I119" s="33">
        <f>RANK(E119,$E$5:$E$257,1)</f>
        <v/>
      </c>
    </row>
    <row r="120" ht="36" customHeight="1">
      <c r="A120" s="33" t="n">
        <v>116</v>
      </c>
      <c r="B120" s="33" t="inlineStr">
        <is>
          <t>Sirian</t>
        </is>
      </c>
      <c r="C120" s="33" t="inlineStr">
        <is>
          <t>Reptilian</t>
        </is>
      </c>
      <c r="D120" s="33">
        <f>SUMPRODUCT('94_WEIGHT_VECTOR'!$B$5:$CC$5,INDEX('08_EXPECTED_CODEBOOK_V4'!$D$5:$CE$27,MATCH(B120,'08_EXPECTED_CODEBOOK_V4'!$C$5:$C$27,0),0),INDEX('08_EXPECTED_CODEBOOK_V4'!$D$5:$CE$27,MATCH(C120,'08_EXPECTED_CODEBOOK_V4'!$C$5:$C$27,0),0))/'18_WEIGHT_CONTROL'!$B$15/(INDEX('95_WEIGHTED_NORMS'!$C$5:$C$27,MATCH(B120,'95_WEIGHTED_NORMS'!$B$5:$B$27,0))*INDEX('95_WEIGHTED_NORMS'!$C$5:$C$27,MATCH(C120,'95_WEIGHTED_NORMS'!$B$5:$B$27,0)))</f>
        <v/>
      </c>
      <c r="E120" s="33">
        <f>SQRT(MAX(0,2*(1-D120)))</f>
        <v/>
      </c>
      <c r="F120" s="33">
        <f>SQRT(SUMPRODUCT('94_WEIGHT_VECTOR'!$B$5:$CC$5,(INDEX('08_EXPECTED_CODEBOOK_V4'!$D$5:$CE$27,MATCH(B120,'08_EXPECTED_CODEBOOK_V4'!$C$5:$C$27,0),0)-INDEX('08_EXPECTED_CODEBOOK_V4'!$D$5:$CE$27,MATCH(C120,'08_EXPECTED_CODEBOOK_V4'!$C$5:$C$27,0),0))^2)/'18_WEIGHT_CONTROL'!$B$15)</f>
        <v/>
      </c>
      <c r="G120" s="33">
        <f>E120/1.218039979700294</f>
        <v/>
      </c>
      <c r="H120" s="33" t="n"/>
      <c r="I120" s="33">
        <f>RANK(E120,$E$5:$E$257,1)</f>
        <v/>
      </c>
    </row>
    <row r="121" ht="36" customHeight="1">
      <c r="A121" s="33" t="n">
        <v>117</v>
      </c>
      <c r="B121" s="33" t="inlineStr">
        <is>
          <t>Pleiadian</t>
        </is>
      </c>
      <c r="C121" s="33" t="inlineStr">
        <is>
          <t>Arcturian</t>
        </is>
      </c>
      <c r="D121" s="33">
        <f>SUMPRODUCT('94_WEIGHT_VECTOR'!$B$5:$CC$5,INDEX('08_EXPECTED_CODEBOOK_V4'!$D$5:$CE$27,MATCH(B121,'08_EXPECTED_CODEBOOK_V4'!$C$5:$C$27,0),0),INDEX('08_EXPECTED_CODEBOOK_V4'!$D$5:$CE$27,MATCH(C121,'08_EXPECTED_CODEBOOK_V4'!$C$5:$C$27,0),0))/'18_WEIGHT_CONTROL'!$B$15/(INDEX('95_WEIGHTED_NORMS'!$C$5:$C$27,MATCH(B121,'95_WEIGHTED_NORMS'!$B$5:$B$27,0))*INDEX('95_WEIGHTED_NORMS'!$C$5:$C$27,MATCH(C121,'95_WEIGHTED_NORMS'!$B$5:$B$27,0)))</f>
        <v/>
      </c>
      <c r="E121" s="33">
        <f>SQRT(MAX(0,2*(1-D121)))</f>
        <v/>
      </c>
      <c r="F121" s="33">
        <f>SQRT(SUMPRODUCT('94_WEIGHT_VECTOR'!$B$5:$CC$5,(INDEX('08_EXPECTED_CODEBOOK_V4'!$D$5:$CE$27,MATCH(B121,'08_EXPECTED_CODEBOOK_V4'!$C$5:$C$27,0),0)-INDEX('08_EXPECTED_CODEBOOK_V4'!$D$5:$CE$27,MATCH(C121,'08_EXPECTED_CODEBOOK_V4'!$C$5:$C$27,0),0))^2)/'18_WEIGHT_CONTROL'!$B$15)</f>
        <v/>
      </c>
      <c r="G121" s="33">
        <f>E121/1.209793823389294</f>
        <v/>
      </c>
      <c r="H121" s="33" t="n"/>
      <c r="I121" s="33">
        <f>RANK(E121,$E$5:$E$257,1)</f>
        <v/>
      </c>
    </row>
    <row r="122" ht="36" customHeight="1">
      <c r="A122" s="33" t="n">
        <v>118</v>
      </c>
      <c r="B122" s="33" t="inlineStr">
        <is>
          <t>Mintakan</t>
        </is>
      </c>
      <c r="C122" s="33" t="inlineStr">
        <is>
          <t>Alpha Centaurian</t>
        </is>
      </c>
      <c r="D122" s="33">
        <f>SUMPRODUCT('94_WEIGHT_VECTOR'!$B$5:$CC$5,INDEX('08_EXPECTED_CODEBOOK_V4'!$D$5:$CE$27,MATCH(B122,'08_EXPECTED_CODEBOOK_V4'!$C$5:$C$27,0),0),INDEX('08_EXPECTED_CODEBOOK_V4'!$D$5:$CE$27,MATCH(C122,'08_EXPECTED_CODEBOOK_V4'!$C$5:$C$27,0),0))/'18_WEIGHT_CONTROL'!$B$15/(INDEX('95_WEIGHTED_NORMS'!$C$5:$C$27,MATCH(B122,'95_WEIGHTED_NORMS'!$B$5:$B$27,0))*INDEX('95_WEIGHTED_NORMS'!$C$5:$C$27,MATCH(C122,'95_WEIGHTED_NORMS'!$B$5:$B$27,0)))</f>
        <v/>
      </c>
      <c r="E122" s="33">
        <f>SQRT(MAX(0,2*(1-D122)))</f>
        <v/>
      </c>
      <c r="F122" s="33">
        <f>SQRT(SUMPRODUCT('94_WEIGHT_VECTOR'!$B$5:$CC$5,(INDEX('08_EXPECTED_CODEBOOK_V4'!$D$5:$CE$27,MATCH(B122,'08_EXPECTED_CODEBOOK_V4'!$C$5:$C$27,0),0)-INDEX('08_EXPECTED_CODEBOOK_V4'!$D$5:$CE$27,MATCH(C122,'08_EXPECTED_CODEBOOK_V4'!$C$5:$C$27,0),0))^2)/'18_WEIGHT_CONTROL'!$B$15)</f>
        <v/>
      </c>
      <c r="G122" s="33">
        <f>E122/1.224454268589668</f>
        <v/>
      </c>
      <c r="H122" s="33" t="n"/>
      <c r="I122" s="33">
        <f>RANK(E122,$E$5:$E$257,1)</f>
        <v/>
      </c>
    </row>
    <row r="123" ht="36" customHeight="1">
      <c r="A123" s="33" t="n">
        <v>119</v>
      </c>
      <c r="B123" s="33" t="inlineStr">
        <is>
          <t>Hadarian</t>
        </is>
      </c>
      <c r="C123" s="33" t="inlineStr">
        <is>
          <t>Reptilian</t>
        </is>
      </c>
      <c r="D123" s="33">
        <f>SUMPRODUCT('94_WEIGHT_VECTOR'!$B$5:$CC$5,INDEX('08_EXPECTED_CODEBOOK_V4'!$D$5:$CE$27,MATCH(B123,'08_EXPECTED_CODEBOOK_V4'!$C$5:$C$27,0),0),INDEX('08_EXPECTED_CODEBOOK_V4'!$D$5:$CE$27,MATCH(C123,'08_EXPECTED_CODEBOOK_V4'!$C$5:$C$27,0),0))/'18_WEIGHT_CONTROL'!$B$15/(INDEX('95_WEIGHTED_NORMS'!$C$5:$C$27,MATCH(B123,'95_WEIGHTED_NORMS'!$B$5:$B$27,0))*INDEX('95_WEIGHTED_NORMS'!$C$5:$C$27,MATCH(C123,'95_WEIGHTED_NORMS'!$B$5:$B$27,0)))</f>
        <v/>
      </c>
      <c r="E123" s="33">
        <f>SQRT(MAX(0,2*(1-D123)))</f>
        <v/>
      </c>
      <c r="F123" s="33">
        <f>SQRT(SUMPRODUCT('94_WEIGHT_VECTOR'!$B$5:$CC$5,(INDEX('08_EXPECTED_CODEBOOK_V4'!$D$5:$CE$27,MATCH(B123,'08_EXPECTED_CODEBOOK_V4'!$C$5:$C$27,0),0)-INDEX('08_EXPECTED_CODEBOOK_V4'!$D$5:$CE$27,MATCH(C123,'08_EXPECTED_CODEBOOK_V4'!$C$5:$C$27,0),0))^2)/'18_WEIGHT_CONTROL'!$B$15)</f>
        <v/>
      </c>
      <c r="G123" s="33">
        <f>E123/1.219577772447912</f>
        <v/>
      </c>
      <c r="H123" s="33" t="n"/>
      <c r="I123" s="33">
        <f>RANK(E123,$E$5:$E$257,1)</f>
        <v/>
      </c>
    </row>
    <row r="124" ht="36" customHeight="1">
      <c r="A124" s="33" t="n">
        <v>120</v>
      </c>
      <c r="B124" s="33" t="inlineStr">
        <is>
          <t>Venusian</t>
        </is>
      </c>
      <c r="C124" s="33" t="inlineStr">
        <is>
          <t>Avian / Blue Avian</t>
        </is>
      </c>
      <c r="D124" s="33">
        <f>SUMPRODUCT('94_WEIGHT_VECTOR'!$B$5:$CC$5,INDEX('08_EXPECTED_CODEBOOK_V4'!$D$5:$CE$27,MATCH(B124,'08_EXPECTED_CODEBOOK_V4'!$C$5:$C$27,0),0),INDEX('08_EXPECTED_CODEBOOK_V4'!$D$5:$CE$27,MATCH(C124,'08_EXPECTED_CODEBOOK_V4'!$C$5:$C$27,0),0))/'18_WEIGHT_CONTROL'!$B$15/(INDEX('95_WEIGHTED_NORMS'!$C$5:$C$27,MATCH(B124,'95_WEIGHTED_NORMS'!$B$5:$B$27,0))*INDEX('95_WEIGHTED_NORMS'!$C$5:$C$27,MATCH(C124,'95_WEIGHTED_NORMS'!$B$5:$B$27,0)))</f>
        <v/>
      </c>
      <c r="E124" s="33">
        <f>SQRT(MAX(0,2*(1-D124)))</f>
        <v/>
      </c>
      <c r="F124" s="33">
        <f>SQRT(SUMPRODUCT('94_WEIGHT_VECTOR'!$B$5:$CC$5,(INDEX('08_EXPECTED_CODEBOOK_V4'!$D$5:$CE$27,MATCH(B124,'08_EXPECTED_CODEBOOK_V4'!$C$5:$C$27,0),0)-INDEX('08_EXPECTED_CODEBOOK_V4'!$D$5:$CE$27,MATCH(C124,'08_EXPECTED_CODEBOOK_V4'!$C$5:$C$27,0),0))^2)/'18_WEIGHT_CONTROL'!$B$15)</f>
        <v/>
      </c>
      <c r="G124" s="33">
        <f>E124/1.238510962731098</f>
        <v/>
      </c>
      <c r="H124" s="33" t="n"/>
      <c r="I124" s="33">
        <f>RANK(E124,$E$5:$E$257,1)</f>
        <v/>
      </c>
    </row>
    <row r="125" ht="36" customHeight="1">
      <c r="A125" s="33" t="n">
        <v>121</v>
      </c>
      <c r="B125" s="33" t="inlineStr">
        <is>
          <t>Vegan</t>
        </is>
      </c>
      <c r="C125" s="33" t="inlineStr">
        <is>
          <t>Tau Cetian</t>
        </is>
      </c>
      <c r="D125" s="33">
        <f>SUMPRODUCT('94_WEIGHT_VECTOR'!$B$5:$CC$5,INDEX('08_EXPECTED_CODEBOOK_V4'!$D$5:$CE$27,MATCH(B125,'08_EXPECTED_CODEBOOK_V4'!$C$5:$C$27,0),0),INDEX('08_EXPECTED_CODEBOOK_V4'!$D$5:$CE$27,MATCH(C125,'08_EXPECTED_CODEBOOK_V4'!$C$5:$C$27,0),0))/'18_WEIGHT_CONTROL'!$B$15/(INDEX('95_WEIGHTED_NORMS'!$C$5:$C$27,MATCH(B125,'95_WEIGHTED_NORMS'!$B$5:$B$27,0))*INDEX('95_WEIGHTED_NORMS'!$C$5:$C$27,MATCH(C125,'95_WEIGHTED_NORMS'!$B$5:$B$27,0)))</f>
        <v/>
      </c>
      <c r="E125" s="33">
        <f>SQRT(MAX(0,2*(1-D125)))</f>
        <v/>
      </c>
      <c r="F125" s="33">
        <f>SQRT(SUMPRODUCT('94_WEIGHT_VECTOR'!$B$5:$CC$5,(INDEX('08_EXPECTED_CODEBOOK_V4'!$D$5:$CE$27,MATCH(B125,'08_EXPECTED_CODEBOOK_V4'!$C$5:$C$27,0),0)-INDEX('08_EXPECTED_CODEBOOK_V4'!$D$5:$CE$27,MATCH(C125,'08_EXPECTED_CODEBOOK_V4'!$C$5:$C$27,0),0))^2)/'18_WEIGHT_CONTROL'!$B$15)</f>
        <v/>
      </c>
      <c r="G125" s="33">
        <f>E125/1.23897156288718</f>
        <v/>
      </c>
      <c r="H125" s="33" t="n"/>
      <c r="I125" s="33">
        <f>RANK(E125,$E$5:$E$257,1)</f>
        <v/>
      </c>
    </row>
    <row r="126" ht="36" customHeight="1">
      <c r="A126" s="33" t="n">
        <v>122</v>
      </c>
      <c r="B126" s="33" t="inlineStr">
        <is>
          <t>Sirian</t>
        </is>
      </c>
      <c r="C126" s="33" t="inlineStr">
        <is>
          <t>Venusian</t>
        </is>
      </c>
      <c r="D126" s="33">
        <f>SUMPRODUCT('94_WEIGHT_VECTOR'!$B$5:$CC$5,INDEX('08_EXPECTED_CODEBOOK_V4'!$D$5:$CE$27,MATCH(B126,'08_EXPECTED_CODEBOOK_V4'!$C$5:$C$27,0),0),INDEX('08_EXPECTED_CODEBOOK_V4'!$D$5:$CE$27,MATCH(C126,'08_EXPECTED_CODEBOOK_V4'!$C$5:$C$27,0),0))/'18_WEIGHT_CONTROL'!$B$15/(INDEX('95_WEIGHTED_NORMS'!$C$5:$C$27,MATCH(B126,'95_WEIGHTED_NORMS'!$B$5:$B$27,0))*INDEX('95_WEIGHTED_NORMS'!$C$5:$C$27,MATCH(C126,'95_WEIGHTED_NORMS'!$B$5:$B$27,0)))</f>
        <v/>
      </c>
      <c r="E126" s="33">
        <f>SQRT(MAX(0,2*(1-D126)))</f>
        <v/>
      </c>
      <c r="F126" s="33">
        <f>SQRT(SUMPRODUCT('94_WEIGHT_VECTOR'!$B$5:$CC$5,(INDEX('08_EXPECTED_CODEBOOK_V4'!$D$5:$CE$27,MATCH(B126,'08_EXPECTED_CODEBOOK_V4'!$C$5:$C$27,0),0)-INDEX('08_EXPECTED_CODEBOOK_V4'!$D$5:$CE$27,MATCH(C126,'08_EXPECTED_CODEBOOK_V4'!$C$5:$C$27,0),0))^2)/'18_WEIGHT_CONTROL'!$B$15)</f>
        <v/>
      </c>
      <c r="G126" s="33">
        <f>E126/1.244142034438419</f>
        <v/>
      </c>
      <c r="H126" s="33" t="n"/>
      <c r="I126" s="33">
        <f>RANK(E126,$E$5:$E$257,1)</f>
        <v/>
      </c>
    </row>
    <row r="127" ht="36" customHeight="1">
      <c r="A127" s="33" t="n">
        <v>123</v>
      </c>
      <c r="B127" s="33" t="inlineStr">
        <is>
          <t>Zeta / Grey</t>
        </is>
      </c>
      <c r="C127" s="33" t="inlineStr">
        <is>
          <t>Tau Cetian</t>
        </is>
      </c>
      <c r="D127" s="33">
        <f>SUMPRODUCT('94_WEIGHT_VECTOR'!$B$5:$CC$5,INDEX('08_EXPECTED_CODEBOOK_V4'!$D$5:$CE$27,MATCH(B127,'08_EXPECTED_CODEBOOK_V4'!$C$5:$C$27,0),0),INDEX('08_EXPECTED_CODEBOOK_V4'!$D$5:$CE$27,MATCH(C127,'08_EXPECTED_CODEBOOK_V4'!$C$5:$C$27,0),0))/'18_WEIGHT_CONTROL'!$B$15/(INDEX('95_WEIGHTED_NORMS'!$C$5:$C$27,MATCH(B127,'95_WEIGHTED_NORMS'!$B$5:$B$27,0))*INDEX('95_WEIGHTED_NORMS'!$C$5:$C$27,MATCH(C127,'95_WEIGHTED_NORMS'!$B$5:$B$27,0)))</f>
        <v/>
      </c>
      <c r="E127" s="33">
        <f>SQRT(MAX(0,2*(1-D127)))</f>
        <v/>
      </c>
      <c r="F127" s="33">
        <f>SQRT(SUMPRODUCT('94_WEIGHT_VECTOR'!$B$5:$CC$5,(INDEX('08_EXPECTED_CODEBOOK_V4'!$D$5:$CE$27,MATCH(B127,'08_EXPECTED_CODEBOOK_V4'!$C$5:$C$27,0),0)-INDEX('08_EXPECTED_CODEBOOK_V4'!$D$5:$CE$27,MATCH(C127,'08_EXPECTED_CODEBOOK_V4'!$C$5:$C$27,0),0))^2)/'18_WEIGHT_CONTROL'!$B$15)</f>
        <v/>
      </c>
      <c r="G127" s="33">
        <f>E127/1.250115695272066</f>
        <v/>
      </c>
      <c r="H127" s="33" t="n"/>
      <c r="I127" s="33">
        <f>RANK(E127,$E$5:$E$257,1)</f>
        <v/>
      </c>
    </row>
    <row r="128" ht="36" customHeight="1">
      <c r="A128" s="33" t="n">
        <v>124</v>
      </c>
      <c r="B128" s="33" t="inlineStr">
        <is>
          <t>Sirian</t>
        </is>
      </c>
      <c r="C128" s="33" t="inlineStr">
        <is>
          <t>Tau Cetian</t>
        </is>
      </c>
      <c r="D128" s="33">
        <f>SUMPRODUCT('94_WEIGHT_VECTOR'!$B$5:$CC$5,INDEX('08_EXPECTED_CODEBOOK_V4'!$D$5:$CE$27,MATCH(B128,'08_EXPECTED_CODEBOOK_V4'!$C$5:$C$27,0),0),INDEX('08_EXPECTED_CODEBOOK_V4'!$D$5:$CE$27,MATCH(C128,'08_EXPECTED_CODEBOOK_V4'!$C$5:$C$27,0),0))/'18_WEIGHT_CONTROL'!$B$15/(INDEX('95_WEIGHTED_NORMS'!$C$5:$C$27,MATCH(B128,'95_WEIGHTED_NORMS'!$B$5:$B$27,0))*INDEX('95_WEIGHTED_NORMS'!$C$5:$C$27,MATCH(C128,'95_WEIGHTED_NORMS'!$B$5:$B$27,0)))</f>
        <v/>
      </c>
      <c r="E128" s="33">
        <f>SQRT(MAX(0,2*(1-D128)))</f>
        <v/>
      </c>
      <c r="F128" s="33">
        <f>SQRT(SUMPRODUCT('94_WEIGHT_VECTOR'!$B$5:$CC$5,(INDEX('08_EXPECTED_CODEBOOK_V4'!$D$5:$CE$27,MATCH(B128,'08_EXPECTED_CODEBOOK_V4'!$C$5:$C$27,0),0)-INDEX('08_EXPECTED_CODEBOOK_V4'!$D$5:$CE$27,MATCH(C128,'08_EXPECTED_CODEBOOK_V4'!$C$5:$C$27,0),0))^2)/'18_WEIGHT_CONTROL'!$B$15)</f>
        <v/>
      </c>
      <c r="G128" s="33">
        <f>E128/1.250806113284535</f>
        <v/>
      </c>
      <c r="H128" s="33" t="n"/>
      <c r="I128" s="33">
        <f>RANK(E128,$E$5:$E$257,1)</f>
        <v/>
      </c>
    </row>
    <row r="129" ht="36" customHeight="1">
      <c r="A129" s="33" t="n">
        <v>125</v>
      </c>
      <c r="B129" s="33" t="inlineStr">
        <is>
          <t>Reptilian</t>
        </is>
      </c>
      <c r="C129" s="33" t="inlineStr">
        <is>
          <t>Antarian</t>
        </is>
      </c>
      <c r="D129" s="33">
        <f>SUMPRODUCT('94_WEIGHT_VECTOR'!$B$5:$CC$5,INDEX('08_EXPECTED_CODEBOOK_V4'!$D$5:$CE$27,MATCH(B129,'08_EXPECTED_CODEBOOK_V4'!$C$5:$C$27,0),0),INDEX('08_EXPECTED_CODEBOOK_V4'!$D$5:$CE$27,MATCH(C129,'08_EXPECTED_CODEBOOK_V4'!$C$5:$C$27,0),0))/'18_WEIGHT_CONTROL'!$B$15/(INDEX('95_WEIGHTED_NORMS'!$C$5:$C$27,MATCH(B129,'95_WEIGHTED_NORMS'!$B$5:$B$27,0))*INDEX('95_WEIGHTED_NORMS'!$C$5:$C$27,MATCH(C129,'95_WEIGHTED_NORMS'!$B$5:$B$27,0)))</f>
        <v/>
      </c>
      <c r="E129" s="33">
        <f>SQRT(MAX(0,2*(1-D129)))</f>
        <v/>
      </c>
      <c r="F129" s="33">
        <f>SQRT(SUMPRODUCT('94_WEIGHT_VECTOR'!$B$5:$CC$5,(INDEX('08_EXPECTED_CODEBOOK_V4'!$D$5:$CE$27,MATCH(B129,'08_EXPECTED_CODEBOOK_V4'!$C$5:$C$27,0),0)-INDEX('08_EXPECTED_CODEBOOK_V4'!$D$5:$CE$27,MATCH(C129,'08_EXPECTED_CODEBOOK_V4'!$C$5:$C$27,0),0))^2)/'18_WEIGHT_CONTROL'!$B$15)</f>
        <v/>
      </c>
      <c r="G129" s="33">
        <f>E129/1.260294620326614</f>
        <v/>
      </c>
      <c r="H129" s="33" t="n"/>
      <c r="I129" s="33">
        <f>RANK(E129,$E$5:$E$257,1)</f>
        <v/>
      </c>
    </row>
    <row r="130" ht="36" customHeight="1">
      <c r="A130" s="33" t="n">
        <v>126</v>
      </c>
      <c r="B130" s="33" t="inlineStr">
        <is>
          <t>Alpha Centaurian</t>
        </is>
      </c>
      <c r="C130" s="33" t="inlineStr">
        <is>
          <t>Avian / Blue Avian</t>
        </is>
      </c>
      <c r="D130" s="33">
        <f>SUMPRODUCT('94_WEIGHT_VECTOR'!$B$5:$CC$5,INDEX('08_EXPECTED_CODEBOOK_V4'!$D$5:$CE$27,MATCH(B130,'08_EXPECTED_CODEBOOK_V4'!$C$5:$C$27,0),0),INDEX('08_EXPECTED_CODEBOOK_V4'!$D$5:$CE$27,MATCH(C130,'08_EXPECTED_CODEBOOK_V4'!$C$5:$C$27,0),0))/'18_WEIGHT_CONTROL'!$B$15/(INDEX('95_WEIGHTED_NORMS'!$C$5:$C$27,MATCH(B130,'95_WEIGHTED_NORMS'!$B$5:$B$27,0))*INDEX('95_WEIGHTED_NORMS'!$C$5:$C$27,MATCH(C130,'95_WEIGHTED_NORMS'!$B$5:$B$27,0)))</f>
        <v/>
      </c>
      <c r="E130" s="33">
        <f>SQRT(MAX(0,2*(1-D130)))</f>
        <v/>
      </c>
      <c r="F130" s="33">
        <f>SQRT(SUMPRODUCT('94_WEIGHT_VECTOR'!$B$5:$CC$5,(INDEX('08_EXPECTED_CODEBOOK_V4'!$D$5:$CE$27,MATCH(B130,'08_EXPECTED_CODEBOOK_V4'!$C$5:$C$27,0),0)-INDEX('08_EXPECTED_CODEBOOK_V4'!$D$5:$CE$27,MATCH(C130,'08_EXPECTED_CODEBOOK_V4'!$C$5:$C$27,0),0))^2)/'18_WEIGHT_CONTROL'!$B$15)</f>
        <v/>
      </c>
      <c r="G130" s="33">
        <f>E130/1.253991128544052</f>
        <v/>
      </c>
      <c r="H130" s="33" t="n"/>
      <c r="I130" s="33">
        <f>RANK(E130,$E$5:$E$257,1)</f>
        <v/>
      </c>
    </row>
    <row r="131" ht="36" customHeight="1">
      <c r="A131" s="33" t="n">
        <v>127</v>
      </c>
      <c r="B131" s="33" t="inlineStr">
        <is>
          <t>Venusian</t>
        </is>
      </c>
      <c r="C131" s="33" t="inlineStr">
        <is>
          <t>Feline / Urmah</t>
        </is>
      </c>
      <c r="D131" s="33">
        <f>SUMPRODUCT('94_WEIGHT_VECTOR'!$B$5:$CC$5,INDEX('08_EXPECTED_CODEBOOK_V4'!$D$5:$CE$27,MATCH(B131,'08_EXPECTED_CODEBOOK_V4'!$C$5:$C$27,0),0),INDEX('08_EXPECTED_CODEBOOK_V4'!$D$5:$CE$27,MATCH(C131,'08_EXPECTED_CODEBOOK_V4'!$C$5:$C$27,0),0))/'18_WEIGHT_CONTROL'!$B$15/(INDEX('95_WEIGHTED_NORMS'!$C$5:$C$27,MATCH(B131,'95_WEIGHTED_NORMS'!$B$5:$B$27,0))*INDEX('95_WEIGHTED_NORMS'!$C$5:$C$27,MATCH(C131,'95_WEIGHTED_NORMS'!$B$5:$B$27,0)))</f>
        <v/>
      </c>
      <c r="E131" s="33">
        <f>SQRT(MAX(0,2*(1-D131)))</f>
        <v/>
      </c>
      <c r="F131" s="33">
        <f>SQRT(SUMPRODUCT('94_WEIGHT_VECTOR'!$B$5:$CC$5,(INDEX('08_EXPECTED_CODEBOOK_V4'!$D$5:$CE$27,MATCH(B131,'08_EXPECTED_CODEBOOK_V4'!$C$5:$C$27,0),0)-INDEX('08_EXPECTED_CODEBOOK_V4'!$D$5:$CE$27,MATCH(C131,'08_EXPECTED_CODEBOOK_V4'!$C$5:$C$27,0),0))^2)/'18_WEIGHT_CONTROL'!$B$15)</f>
        <v/>
      </c>
      <c r="G131" s="33">
        <f>E131/1.257626713649007</f>
        <v/>
      </c>
      <c r="H131" s="33" t="n"/>
      <c r="I131" s="33">
        <f>RANK(E131,$E$5:$E$257,1)</f>
        <v/>
      </c>
    </row>
    <row r="132" ht="36" customHeight="1">
      <c r="A132" s="33" t="n">
        <v>128</v>
      </c>
      <c r="B132" s="33" t="inlineStr">
        <is>
          <t>Venusian</t>
        </is>
      </c>
      <c r="C132" s="33" t="inlineStr">
        <is>
          <t>Reptilian</t>
        </is>
      </c>
      <c r="D132" s="33">
        <f>SUMPRODUCT('94_WEIGHT_VECTOR'!$B$5:$CC$5,INDEX('08_EXPECTED_CODEBOOK_V4'!$D$5:$CE$27,MATCH(B132,'08_EXPECTED_CODEBOOK_V4'!$C$5:$C$27,0),0),INDEX('08_EXPECTED_CODEBOOK_V4'!$D$5:$CE$27,MATCH(C132,'08_EXPECTED_CODEBOOK_V4'!$C$5:$C$27,0),0))/'18_WEIGHT_CONTROL'!$B$15/(INDEX('95_WEIGHTED_NORMS'!$C$5:$C$27,MATCH(B132,'95_WEIGHTED_NORMS'!$B$5:$B$27,0))*INDEX('95_WEIGHTED_NORMS'!$C$5:$C$27,MATCH(C132,'95_WEIGHTED_NORMS'!$B$5:$B$27,0)))</f>
        <v/>
      </c>
      <c r="E132" s="33">
        <f>SQRT(MAX(0,2*(1-D132)))</f>
        <v/>
      </c>
      <c r="F132" s="33">
        <f>SQRT(SUMPRODUCT('94_WEIGHT_VECTOR'!$B$5:$CC$5,(INDEX('08_EXPECTED_CODEBOOK_V4'!$D$5:$CE$27,MATCH(B132,'08_EXPECTED_CODEBOOK_V4'!$C$5:$C$27,0),0)-INDEX('08_EXPECTED_CODEBOOK_V4'!$D$5:$CE$27,MATCH(C132,'08_EXPECTED_CODEBOOK_V4'!$C$5:$C$27,0),0))^2)/'18_WEIGHT_CONTROL'!$B$15)</f>
        <v/>
      </c>
      <c r="G132" s="33">
        <f>E132/1.249949112268651</f>
        <v/>
      </c>
      <c r="H132" s="33" t="n"/>
      <c r="I132" s="33">
        <f>RANK(E132,$E$5:$E$257,1)</f>
        <v/>
      </c>
    </row>
    <row r="133" ht="36" customHeight="1">
      <c r="A133" s="33" t="n">
        <v>129</v>
      </c>
      <c r="B133" s="33" t="inlineStr">
        <is>
          <t>Sirian</t>
        </is>
      </c>
      <c r="C133" s="33" t="inlineStr">
        <is>
          <t>Mintakan</t>
        </is>
      </c>
      <c r="D133" s="33">
        <f>SUMPRODUCT('94_WEIGHT_VECTOR'!$B$5:$CC$5,INDEX('08_EXPECTED_CODEBOOK_V4'!$D$5:$CE$27,MATCH(B133,'08_EXPECTED_CODEBOOK_V4'!$C$5:$C$27,0),0),INDEX('08_EXPECTED_CODEBOOK_V4'!$D$5:$CE$27,MATCH(C133,'08_EXPECTED_CODEBOOK_V4'!$C$5:$C$27,0),0))/'18_WEIGHT_CONTROL'!$B$15/(INDEX('95_WEIGHTED_NORMS'!$C$5:$C$27,MATCH(B133,'95_WEIGHTED_NORMS'!$B$5:$B$27,0))*INDEX('95_WEIGHTED_NORMS'!$C$5:$C$27,MATCH(C133,'95_WEIGHTED_NORMS'!$B$5:$B$27,0)))</f>
        <v/>
      </c>
      <c r="E133" s="33">
        <f>SQRT(MAX(0,2*(1-D133)))</f>
        <v/>
      </c>
      <c r="F133" s="33">
        <f>SQRT(SUMPRODUCT('94_WEIGHT_VECTOR'!$B$5:$CC$5,(INDEX('08_EXPECTED_CODEBOOK_V4'!$D$5:$CE$27,MATCH(B133,'08_EXPECTED_CODEBOOK_V4'!$C$5:$C$27,0),0)-INDEX('08_EXPECTED_CODEBOOK_V4'!$D$5:$CE$27,MATCH(C133,'08_EXPECTED_CODEBOOK_V4'!$C$5:$C$27,0),0))^2)/'18_WEIGHT_CONTROL'!$B$15)</f>
        <v/>
      </c>
      <c r="G133" s="33">
        <f>E133/1.254834251462827</f>
        <v/>
      </c>
      <c r="H133" s="33" t="n"/>
      <c r="I133" s="33">
        <f>RANK(E133,$E$5:$E$257,1)</f>
        <v/>
      </c>
    </row>
    <row r="134" ht="36" customHeight="1">
      <c r="A134" s="33" t="n">
        <v>130</v>
      </c>
      <c r="B134" s="33" t="inlineStr">
        <is>
          <t>Feline / Urmah</t>
        </is>
      </c>
      <c r="C134" s="33" t="inlineStr">
        <is>
          <t>Draconian</t>
        </is>
      </c>
      <c r="D134" s="33">
        <f>SUMPRODUCT('94_WEIGHT_VECTOR'!$B$5:$CC$5,INDEX('08_EXPECTED_CODEBOOK_V4'!$D$5:$CE$27,MATCH(B134,'08_EXPECTED_CODEBOOK_V4'!$C$5:$C$27,0),0),INDEX('08_EXPECTED_CODEBOOK_V4'!$D$5:$CE$27,MATCH(C134,'08_EXPECTED_CODEBOOK_V4'!$C$5:$C$27,0),0))/'18_WEIGHT_CONTROL'!$B$15/(INDEX('95_WEIGHTED_NORMS'!$C$5:$C$27,MATCH(B134,'95_WEIGHTED_NORMS'!$B$5:$B$27,0))*INDEX('95_WEIGHTED_NORMS'!$C$5:$C$27,MATCH(C134,'95_WEIGHTED_NORMS'!$B$5:$B$27,0)))</f>
        <v/>
      </c>
      <c r="E134" s="33">
        <f>SQRT(MAX(0,2*(1-D134)))</f>
        <v/>
      </c>
      <c r="F134" s="33">
        <f>SQRT(SUMPRODUCT('94_WEIGHT_VECTOR'!$B$5:$CC$5,(INDEX('08_EXPECTED_CODEBOOK_V4'!$D$5:$CE$27,MATCH(B134,'08_EXPECTED_CODEBOOK_V4'!$C$5:$C$27,0),0)-INDEX('08_EXPECTED_CODEBOOK_V4'!$D$5:$CE$27,MATCH(C134,'08_EXPECTED_CODEBOOK_V4'!$C$5:$C$27,0),0))^2)/'18_WEIGHT_CONTROL'!$B$15)</f>
        <v/>
      </c>
      <c r="G134" s="33">
        <f>E134/1.266828171027814</f>
        <v/>
      </c>
      <c r="H134" s="33" t="n"/>
      <c r="I134" s="33">
        <f>RANK(E134,$E$5:$E$257,1)</f>
        <v/>
      </c>
    </row>
    <row r="135" ht="36" customHeight="1">
      <c r="A135" s="33" t="n">
        <v>131</v>
      </c>
      <c r="B135" s="33" t="inlineStr">
        <is>
          <t>Lyran</t>
        </is>
      </c>
      <c r="C135" s="33" t="inlineStr">
        <is>
          <t>Anunnaki / Nibiruan</t>
        </is>
      </c>
      <c r="D135" s="33">
        <f>SUMPRODUCT('94_WEIGHT_VECTOR'!$B$5:$CC$5,INDEX('08_EXPECTED_CODEBOOK_V4'!$D$5:$CE$27,MATCH(B135,'08_EXPECTED_CODEBOOK_V4'!$C$5:$C$27,0),0),INDEX('08_EXPECTED_CODEBOOK_V4'!$D$5:$CE$27,MATCH(C135,'08_EXPECTED_CODEBOOK_V4'!$C$5:$C$27,0),0))/'18_WEIGHT_CONTROL'!$B$15/(INDEX('95_WEIGHTED_NORMS'!$C$5:$C$27,MATCH(B135,'95_WEIGHTED_NORMS'!$B$5:$B$27,0))*INDEX('95_WEIGHTED_NORMS'!$C$5:$C$27,MATCH(C135,'95_WEIGHTED_NORMS'!$B$5:$B$27,0)))</f>
        <v/>
      </c>
      <c r="E135" s="33">
        <f>SQRT(MAX(0,2*(1-D135)))</f>
        <v/>
      </c>
      <c r="F135" s="33">
        <f>SQRT(SUMPRODUCT('94_WEIGHT_VECTOR'!$B$5:$CC$5,(INDEX('08_EXPECTED_CODEBOOK_V4'!$D$5:$CE$27,MATCH(B135,'08_EXPECTED_CODEBOOK_V4'!$C$5:$C$27,0),0)-INDEX('08_EXPECTED_CODEBOOK_V4'!$D$5:$CE$27,MATCH(C135,'08_EXPECTED_CODEBOOK_V4'!$C$5:$C$27,0),0))^2)/'18_WEIGHT_CONTROL'!$B$15)</f>
        <v/>
      </c>
      <c r="G135" s="33">
        <f>E135/1.269796895867821</f>
        <v/>
      </c>
      <c r="H135" s="33" t="n"/>
      <c r="I135" s="33">
        <f>RANK(E135,$E$5:$E$257,1)</f>
        <v/>
      </c>
    </row>
    <row r="136" ht="36" customHeight="1">
      <c r="A136" s="33" t="n">
        <v>132</v>
      </c>
      <c r="B136" s="33" t="inlineStr">
        <is>
          <t>Tau Cetian</t>
        </is>
      </c>
      <c r="C136" s="33" t="inlineStr">
        <is>
          <t>Antarian</t>
        </is>
      </c>
      <c r="D136" s="33">
        <f>SUMPRODUCT('94_WEIGHT_VECTOR'!$B$5:$CC$5,INDEX('08_EXPECTED_CODEBOOK_V4'!$D$5:$CE$27,MATCH(B136,'08_EXPECTED_CODEBOOK_V4'!$C$5:$C$27,0),0),INDEX('08_EXPECTED_CODEBOOK_V4'!$D$5:$CE$27,MATCH(C136,'08_EXPECTED_CODEBOOK_V4'!$C$5:$C$27,0),0))/'18_WEIGHT_CONTROL'!$B$15/(INDEX('95_WEIGHTED_NORMS'!$C$5:$C$27,MATCH(B136,'95_WEIGHTED_NORMS'!$B$5:$B$27,0))*INDEX('95_WEIGHTED_NORMS'!$C$5:$C$27,MATCH(C136,'95_WEIGHTED_NORMS'!$B$5:$B$27,0)))</f>
        <v/>
      </c>
      <c r="E136" s="33">
        <f>SQRT(MAX(0,2*(1-D136)))</f>
        <v/>
      </c>
      <c r="F136" s="33">
        <f>SQRT(SUMPRODUCT('94_WEIGHT_VECTOR'!$B$5:$CC$5,(INDEX('08_EXPECTED_CODEBOOK_V4'!$D$5:$CE$27,MATCH(B136,'08_EXPECTED_CODEBOOK_V4'!$C$5:$C$27,0),0)-INDEX('08_EXPECTED_CODEBOOK_V4'!$D$5:$CE$27,MATCH(C136,'08_EXPECTED_CODEBOOK_V4'!$C$5:$C$27,0),0))^2)/'18_WEIGHT_CONTROL'!$B$15)</f>
        <v/>
      </c>
      <c r="G136" s="33">
        <f>E136/1.263150157500034</f>
        <v/>
      </c>
      <c r="H136" s="33" t="n"/>
      <c r="I136" s="33">
        <f>RANK(E136,$E$5:$E$257,1)</f>
        <v/>
      </c>
    </row>
    <row r="137" ht="36" customHeight="1">
      <c r="A137" s="33" t="n">
        <v>133</v>
      </c>
      <c r="B137" s="33" t="inlineStr">
        <is>
          <t>Pleiadian</t>
        </is>
      </c>
      <c r="C137" s="33" t="inlineStr">
        <is>
          <t>Avian / Blue Avian</t>
        </is>
      </c>
      <c r="D137" s="33">
        <f>SUMPRODUCT('94_WEIGHT_VECTOR'!$B$5:$CC$5,INDEX('08_EXPECTED_CODEBOOK_V4'!$D$5:$CE$27,MATCH(B137,'08_EXPECTED_CODEBOOK_V4'!$C$5:$C$27,0),0),INDEX('08_EXPECTED_CODEBOOK_V4'!$D$5:$CE$27,MATCH(C137,'08_EXPECTED_CODEBOOK_V4'!$C$5:$C$27,0),0))/'18_WEIGHT_CONTROL'!$B$15/(INDEX('95_WEIGHTED_NORMS'!$C$5:$C$27,MATCH(B137,'95_WEIGHTED_NORMS'!$B$5:$B$27,0))*INDEX('95_WEIGHTED_NORMS'!$C$5:$C$27,MATCH(C137,'95_WEIGHTED_NORMS'!$B$5:$B$27,0)))</f>
        <v/>
      </c>
      <c r="E137" s="33">
        <f>SQRT(MAX(0,2*(1-D137)))</f>
        <v/>
      </c>
      <c r="F137" s="33">
        <f>SQRT(SUMPRODUCT('94_WEIGHT_VECTOR'!$B$5:$CC$5,(INDEX('08_EXPECTED_CODEBOOK_V4'!$D$5:$CE$27,MATCH(B137,'08_EXPECTED_CODEBOOK_V4'!$C$5:$C$27,0),0)-INDEX('08_EXPECTED_CODEBOOK_V4'!$D$5:$CE$27,MATCH(C137,'08_EXPECTED_CODEBOOK_V4'!$C$5:$C$27,0),0))^2)/'18_WEIGHT_CONTROL'!$B$15)</f>
        <v/>
      </c>
      <c r="G137" s="33">
        <f>E137/1.263299557216198</f>
        <v/>
      </c>
      <c r="H137" s="33" t="n"/>
      <c r="I137" s="33">
        <f>RANK(E137,$E$5:$E$257,1)</f>
        <v/>
      </c>
    </row>
    <row r="138" ht="36" customHeight="1">
      <c r="A138" s="33" t="n">
        <v>134</v>
      </c>
      <c r="B138" s="33" t="inlineStr">
        <is>
          <t>Arcturian</t>
        </is>
      </c>
      <c r="C138" s="33" t="inlineStr">
        <is>
          <t>Draconian</t>
        </is>
      </c>
      <c r="D138" s="33">
        <f>SUMPRODUCT('94_WEIGHT_VECTOR'!$B$5:$CC$5,INDEX('08_EXPECTED_CODEBOOK_V4'!$D$5:$CE$27,MATCH(B138,'08_EXPECTED_CODEBOOK_V4'!$C$5:$C$27,0),0),INDEX('08_EXPECTED_CODEBOOK_V4'!$D$5:$CE$27,MATCH(C138,'08_EXPECTED_CODEBOOK_V4'!$C$5:$C$27,0),0))/'18_WEIGHT_CONTROL'!$B$15/(INDEX('95_WEIGHTED_NORMS'!$C$5:$C$27,MATCH(B138,'95_WEIGHTED_NORMS'!$B$5:$B$27,0))*INDEX('95_WEIGHTED_NORMS'!$C$5:$C$27,MATCH(C138,'95_WEIGHTED_NORMS'!$B$5:$B$27,0)))</f>
        <v/>
      </c>
      <c r="E138" s="33">
        <f>SQRT(MAX(0,2*(1-D138)))</f>
        <v/>
      </c>
      <c r="F138" s="33">
        <f>SQRT(SUMPRODUCT('94_WEIGHT_VECTOR'!$B$5:$CC$5,(INDEX('08_EXPECTED_CODEBOOK_V4'!$D$5:$CE$27,MATCH(B138,'08_EXPECTED_CODEBOOK_V4'!$C$5:$C$27,0),0)-INDEX('08_EXPECTED_CODEBOOK_V4'!$D$5:$CE$27,MATCH(C138,'08_EXPECTED_CODEBOOK_V4'!$C$5:$C$27,0),0))^2)/'18_WEIGHT_CONTROL'!$B$15)</f>
        <v/>
      </c>
      <c r="G138" s="33">
        <f>E138/1.267395687727822</f>
        <v/>
      </c>
      <c r="H138" s="33" t="n"/>
      <c r="I138" s="33">
        <f>RANK(E138,$E$5:$E$257,1)</f>
        <v/>
      </c>
    </row>
    <row r="139" ht="36" customHeight="1">
      <c r="A139" s="33" t="n">
        <v>135</v>
      </c>
      <c r="B139" s="33" t="inlineStr">
        <is>
          <t>Feline / Urmah</t>
        </is>
      </c>
      <c r="C139" s="33" t="inlineStr">
        <is>
          <t>Martian</t>
        </is>
      </c>
      <c r="D139" s="33">
        <f>SUMPRODUCT('94_WEIGHT_VECTOR'!$B$5:$CC$5,INDEX('08_EXPECTED_CODEBOOK_V4'!$D$5:$CE$27,MATCH(B139,'08_EXPECTED_CODEBOOK_V4'!$C$5:$C$27,0),0),INDEX('08_EXPECTED_CODEBOOK_V4'!$D$5:$CE$27,MATCH(C139,'08_EXPECTED_CODEBOOK_V4'!$C$5:$C$27,0),0))/'18_WEIGHT_CONTROL'!$B$15/(INDEX('95_WEIGHTED_NORMS'!$C$5:$C$27,MATCH(B139,'95_WEIGHTED_NORMS'!$B$5:$B$27,0))*INDEX('95_WEIGHTED_NORMS'!$C$5:$C$27,MATCH(C139,'95_WEIGHTED_NORMS'!$B$5:$B$27,0)))</f>
        <v/>
      </c>
      <c r="E139" s="33">
        <f>SQRT(MAX(0,2*(1-D139)))</f>
        <v/>
      </c>
      <c r="F139" s="33">
        <f>SQRT(SUMPRODUCT('94_WEIGHT_VECTOR'!$B$5:$CC$5,(INDEX('08_EXPECTED_CODEBOOK_V4'!$D$5:$CE$27,MATCH(B139,'08_EXPECTED_CODEBOOK_V4'!$C$5:$C$27,0),0)-INDEX('08_EXPECTED_CODEBOOK_V4'!$D$5:$CE$27,MATCH(C139,'08_EXPECTED_CODEBOOK_V4'!$C$5:$C$27,0),0))^2)/'18_WEIGHT_CONTROL'!$B$15)</f>
        <v/>
      </c>
      <c r="G139" s="33">
        <f>E139/1.274207199395462</f>
        <v/>
      </c>
      <c r="H139" s="33" t="n"/>
      <c r="I139" s="33">
        <f>RANK(E139,$E$5:$E$257,1)</f>
        <v/>
      </c>
    </row>
    <row r="140" ht="36" customHeight="1">
      <c r="A140" s="33" t="n">
        <v>136</v>
      </c>
      <c r="B140" s="33" t="inlineStr">
        <is>
          <t>Venusian</t>
        </is>
      </c>
      <c r="C140" s="33" t="inlineStr">
        <is>
          <t>Alpha Centaurian</t>
        </is>
      </c>
      <c r="D140" s="33">
        <f>SUMPRODUCT('94_WEIGHT_VECTOR'!$B$5:$CC$5,INDEX('08_EXPECTED_CODEBOOK_V4'!$D$5:$CE$27,MATCH(B140,'08_EXPECTED_CODEBOOK_V4'!$C$5:$C$27,0),0),INDEX('08_EXPECTED_CODEBOOK_V4'!$D$5:$CE$27,MATCH(C140,'08_EXPECTED_CODEBOOK_V4'!$C$5:$C$27,0),0))/'18_WEIGHT_CONTROL'!$B$15/(INDEX('95_WEIGHTED_NORMS'!$C$5:$C$27,MATCH(B140,'95_WEIGHTED_NORMS'!$B$5:$B$27,0))*INDEX('95_WEIGHTED_NORMS'!$C$5:$C$27,MATCH(C140,'95_WEIGHTED_NORMS'!$B$5:$B$27,0)))</f>
        <v/>
      </c>
      <c r="E140" s="33">
        <f>SQRT(MAX(0,2*(1-D140)))</f>
        <v/>
      </c>
      <c r="F140" s="33">
        <f>SQRT(SUMPRODUCT('94_WEIGHT_VECTOR'!$B$5:$CC$5,(INDEX('08_EXPECTED_CODEBOOK_V4'!$D$5:$CE$27,MATCH(B140,'08_EXPECTED_CODEBOOK_V4'!$C$5:$C$27,0),0)-INDEX('08_EXPECTED_CODEBOOK_V4'!$D$5:$CE$27,MATCH(C140,'08_EXPECTED_CODEBOOK_V4'!$C$5:$C$27,0),0))^2)/'18_WEIGHT_CONTROL'!$B$15)</f>
        <v/>
      </c>
      <c r="G140" s="33">
        <f>E140/1.272608580827811</f>
        <v/>
      </c>
      <c r="H140" s="33" t="n"/>
      <c r="I140" s="33">
        <f>RANK(E140,$E$5:$E$257,1)</f>
        <v/>
      </c>
    </row>
    <row r="141" ht="36" customHeight="1">
      <c r="A141" s="33" t="n">
        <v>137</v>
      </c>
      <c r="B141" s="33" t="inlineStr">
        <is>
          <t>Arcturian</t>
        </is>
      </c>
      <c r="C141" s="33" t="inlineStr">
        <is>
          <t>Mintakan</t>
        </is>
      </c>
      <c r="D141" s="33">
        <f>SUMPRODUCT('94_WEIGHT_VECTOR'!$B$5:$CC$5,INDEX('08_EXPECTED_CODEBOOK_V4'!$D$5:$CE$27,MATCH(B141,'08_EXPECTED_CODEBOOK_V4'!$C$5:$C$27,0),0),INDEX('08_EXPECTED_CODEBOOK_V4'!$D$5:$CE$27,MATCH(C141,'08_EXPECTED_CODEBOOK_V4'!$C$5:$C$27,0),0))/'18_WEIGHT_CONTROL'!$B$15/(INDEX('95_WEIGHTED_NORMS'!$C$5:$C$27,MATCH(B141,'95_WEIGHTED_NORMS'!$B$5:$B$27,0))*INDEX('95_WEIGHTED_NORMS'!$C$5:$C$27,MATCH(C141,'95_WEIGHTED_NORMS'!$B$5:$B$27,0)))</f>
        <v/>
      </c>
      <c r="E141" s="33">
        <f>SQRT(MAX(0,2*(1-D141)))</f>
        <v/>
      </c>
      <c r="F141" s="33">
        <f>SQRT(SUMPRODUCT('94_WEIGHT_VECTOR'!$B$5:$CC$5,(INDEX('08_EXPECTED_CODEBOOK_V4'!$D$5:$CE$27,MATCH(B141,'08_EXPECTED_CODEBOOK_V4'!$C$5:$C$27,0),0)-INDEX('08_EXPECTED_CODEBOOK_V4'!$D$5:$CE$27,MATCH(C141,'08_EXPECTED_CODEBOOK_V4'!$C$5:$C$27,0),0))^2)/'18_WEIGHT_CONTROL'!$B$15)</f>
        <v/>
      </c>
      <c r="G141" s="33">
        <f>E141/1.278212080710501</f>
        <v/>
      </c>
      <c r="H141" s="33" t="n"/>
      <c r="I141" s="33">
        <f>RANK(E141,$E$5:$E$257,1)</f>
        <v/>
      </c>
    </row>
    <row r="142" ht="36" customHeight="1">
      <c r="A142" s="33" t="n">
        <v>138</v>
      </c>
      <c r="B142" s="33" t="inlineStr">
        <is>
          <t>Orion</t>
        </is>
      </c>
      <c r="C142" s="33" t="inlineStr">
        <is>
          <t>Reptilian</t>
        </is>
      </c>
      <c r="D142" s="33">
        <f>SUMPRODUCT('94_WEIGHT_VECTOR'!$B$5:$CC$5,INDEX('08_EXPECTED_CODEBOOK_V4'!$D$5:$CE$27,MATCH(B142,'08_EXPECTED_CODEBOOK_V4'!$C$5:$C$27,0),0),INDEX('08_EXPECTED_CODEBOOK_V4'!$D$5:$CE$27,MATCH(C142,'08_EXPECTED_CODEBOOK_V4'!$C$5:$C$27,0),0))/'18_WEIGHT_CONTROL'!$B$15/(INDEX('95_WEIGHTED_NORMS'!$C$5:$C$27,MATCH(B142,'95_WEIGHTED_NORMS'!$B$5:$B$27,0))*INDEX('95_WEIGHTED_NORMS'!$C$5:$C$27,MATCH(C142,'95_WEIGHTED_NORMS'!$B$5:$B$27,0)))</f>
        <v/>
      </c>
      <c r="E142" s="33">
        <f>SQRT(MAX(0,2*(1-D142)))</f>
        <v/>
      </c>
      <c r="F142" s="33">
        <f>SQRT(SUMPRODUCT('94_WEIGHT_VECTOR'!$B$5:$CC$5,(INDEX('08_EXPECTED_CODEBOOK_V4'!$D$5:$CE$27,MATCH(B142,'08_EXPECTED_CODEBOOK_V4'!$C$5:$C$27,0),0)-INDEX('08_EXPECTED_CODEBOOK_V4'!$D$5:$CE$27,MATCH(C142,'08_EXPECTED_CODEBOOK_V4'!$C$5:$C$27,0),0))^2)/'18_WEIGHT_CONTROL'!$B$15)</f>
        <v/>
      </c>
      <c r="G142" s="33">
        <f>E142/1.289402967300791</f>
        <v/>
      </c>
      <c r="H142" s="33" t="n"/>
      <c r="I142" s="33">
        <f>RANK(E142,$E$5:$E$257,1)</f>
        <v/>
      </c>
    </row>
    <row r="143" ht="36" customHeight="1">
      <c r="A143" s="33" t="n">
        <v>139</v>
      </c>
      <c r="B143" s="33" t="inlineStr">
        <is>
          <t>Andromedan</t>
        </is>
      </c>
      <c r="C143" s="33" t="inlineStr">
        <is>
          <t>Mintakan</t>
        </is>
      </c>
      <c r="D143" s="33">
        <f>SUMPRODUCT('94_WEIGHT_VECTOR'!$B$5:$CC$5,INDEX('08_EXPECTED_CODEBOOK_V4'!$D$5:$CE$27,MATCH(B143,'08_EXPECTED_CODEBOOK_V4'!$C$5:$C$27,0),0),INDEX('08_EXPECTED_CODEBOOK_V4'!$D$5:$CE$27,MATCH(C143,'08_EXPECTED_CODEBOOK_V4'!$C$5:$C$27,0),0))/'18_WEIGHT_CONTROL'!$B$15/(INDEX('95_WEIGHTED_NORMS'!$C$5:$C$27,MATCH(B143,'95_WEIGHTED_NORMS'!$B$5:$B$27,0))*INDEX('95_WEIGHTED_NORMS'!$C$5:$C$27,MATCH(C143,'95_WEIGHTED_NORMS'!$B$5:$B$27,0)))</f>
        <v/>
      </c>
      <c r="E143" s="33">
        <f>SQRT(MAX(0,2*(1-D143)))</f>
        <v/>
      </c>
      <c r="F143" s="33">
        <f>SQRT(SUMPRODUCT('94_WEIGHT_VECTOR'!$B$5:$CC$5,(INDEX('08_EXPECTED_CODEBOOK_V4'!$D$5:$CE$27,MATCH(B143,'08_EXPECTED_CODEBOOK_V4'!$C$5:$C$27,0),0)-INDEX('08_EXPECTED_CODEBOOK_V4'!$D$5:$CE$27,MATCH(C143,'08_EXPECTED_CODEBOOK_V4'!$C$5:$C$27,0),0))^2)/'18_WEIGHT_CONTROL'!$B$15)</f>
        <v/>
      </c>
      <c r="G143" s="33">
        <f>E143/1.279773869656936</f>
        <v/>
      </c>
      <c r="H143" s="33" t="n"/>
      <c r="I143" s="33">
        <f>RANK(E143,$E$5:$E$257,1)</f>
        <v/>
      </c>
    </row>
    <row r="144" ht="36" customHeight="1">
      <c r="A144" s="33" t="n">
        <v>140</v>
      </c>
      <c r="B144" s="33" t="inlineStr">
        <is>
          <t>Lyran</t>
        </is>
      </c>
      <c r="C144" s="33" t="inlineStr">
        <is>
          <t>Feline / Urmah</t>
        </is>
      </c>
      <c r="D144" s="33">
        <f>SUMPRODUCT('94_WEIGHT_VECTOR'!$B$5:$CC$5,INDEX('08_EXPECTED_CODEBOOK_V4'!$D$5:$CE$27,MATCH(B144,'08_EXPECTED_CODEBOOK_V4'!$C$5:$C$27,0),0),INDEX('08_EXPECTED_CODEBOOK_V4'!$D$5:$CE$27,MATCH(C144,'08_EXPECTED_CODEBOOK_V4'!$C$5:$C$27,0),0))/'18_WEIGHT_CONTROL'!$B$15/(INDEX('95_WEIGHTED_NORMS'!$C$5:$C$27,MATCH(B144,'95_WEIGHTED_NORMS'!$B$5:$B$27,0))*INDEX('95_WEIGHTED_NORMS'!$C$5:$C$27,MATCH(C144,'95_WEIGHTED_NORMS'!$B$5:$B$27,0)))</f>
        <v/>
      </c>
      <c r="E144" s="33">
        <f>SQRT(MAX(0,2*(1-D144)))</f>
        <v/>
      </c>
      <c r="F144" s="33">
        <f>SQRT(SUMPRODUCT('94_WEIGHT_VECTOR'!$B$5:$CC$5,(INDEX('08_EXPECTED_CODEBOOK_V4'!$D$5:$CE$27,MATCH(B144,'08_EXPECTED_CODEBOOK_V4'!$C$5:$C$27,0),0)-INDEX('08_EXPECTED_CODEBOOK_V4'!$D$5:$CE$27,MATCH(C144,'08_EXPECTED_CODEBOOK_V4'!$C$5:$C$27,0),0))^2)/'18_WEIGHT_CONTROL'!$B$15)</f>
        <v/>
      </c>
      <c r="G144" s="33">
        <f>E144/1.297447990401793</f>
        <v/>
      </c>
      <c r="H144" s="33" t="n"/>
      <c r="I144" s="33">
        <f>RANK(E144,$E$5:$E$257,1)</f>
        <v/>
      </c>
    </row>
    <row r="145" ht="36" customHeight="1">
      <c r="A145" s="33" t="n">
        <v>141</v>
      </c>
      <c r="B145" s="33" t="inlineStr">
        <is>
          <t>Orion</t>
        </is>
      </c>
      <c r="C145" s="33" t="inlineStr">
        <is>
          <t>Anunnaki / Nibiruan</t>
        </is>
      </c>
      <c r="D145" s="33">
        <f>SUMPRODUCT('94_WEIGHT_VECTOR'!$B$5:$CC$5,INDEX('08_EXPECTED_CODEBOOK_V4'!$D$5:$CE$27,MATCH(B145,'08_EXPECTED_CODEBOOK_V4'!$C$5:$C$27,0),0),INDEX('08_EXPECTED_CODEBOOK_V4'!$D$5:$CE$27,MATCH(C145,'08_EXPECTED_CODEBOOK_V4'!$C$5:$C$27,0),0))/'18_WEIGHT_CONTROL'!$B$15/(INDEX('95_WEIGHTED_NORMS'!$C$5:$C$27,MATCH(B145,'95_WEIGHTED_NORMS'!$B$5:$B$27,0))*INDEX('95_WEIGHTED_NORMS'!$C$5:$C$27,MATCH(C145,'95_WEIGHTED_NORMS'!$B$5:$B$27,0)))</f>
        <v/>
      </c>
      <c r="E145" s="33">
        <f>SQRT(MAX(0,2*(1-D145)))</f>
        <v/>
      </c>
      <c r="F145" s="33">
        <f>SQRT(SUMPRODUCT('94_WEIGHT_VECTOR'!$B$5:$CC$5,(INDEX('08_EXPECTED_CODEBOOK_V4'!$D$5:$CE$27,MATCH(B145,'08_EXPECTED_CODEBOOK_V4'!$C$5:$C$27,0),0)-INDEX('08_EXPECTED_CODEBOOK_V4'!$D$5:$CE$27,MATCH(C145,'08_EXPECTED_CODEBOOK_V4'!$C$5:$C$27,0),0))^2)/'18_WEIGHT_CONTROL'!$B$15)</f>
        <v/>
      </c>
      <c r="G145" s="33">
        <f>E145/1.299436309789877</f>
        <v/>
      </c>
      <c r="H145" s="33" t="n"/>
      <c r="I145" s="33">
        <f>RANK(E145,$E$5:$E$257,1)</f>
        <v/>
      </c>
    </row>
    <row r="146" ht="36" customHeight="1">
      <c r="A146" s="33" t="n">
        <v>142</v>
      </c>
      <c r="B146" s="33" t="inlineStr">
        <is>
          <t>Arcturian</t>
        </is>
      </c>
      <c r="C146" s="33" t="inlineStr">
        <is>
          <t>Orion</t>
        </is>
      </c>
      <c r="D146" s="33">
        <f>SUMPRODUCT('94_WEIGHT_VECTOR'!$B$5:$CC$5,INDEX('08_EXPECTED_CODEBOOK_V4'!$D$5:$CE$27,MATCH(B146,'08_EXPECTED_CODEBOOK_V4'!$C$5:$C$27,0),0),INDEX('08_EXPECTED_CODEBOOK_V4'!$D$5:$CE$27,MATCH(C146,'08_EXPECTED_CODEBOOK_V4'!$C$5:$C$27,0),0))/'18_WEIGHT_CONTROL'!$B$15/(INDEX('95_WEIGHTED_NORMS'!$C$5:$C$27,MATCH(B146,'95_WEIGHTED_NORMS'!$B$5:$B$27,0))*INDEX('95_WEIGHTED_NORMS'!$C$5:$C$27,MATCH(C146,'95_WEIGHTED_NORMS'!$B$5:$B$27,0)))</f>
        <v/>
      </c>
      <c r="E146" s="33">
        <f>SQRT(MAX(0,2*(1-D146)))</f>
        <v/>
      </c>
      <c r="F146" s="33">
        <f>SQRT(SUMPRODUCT('94_WEIGHT_VECTOR'!$B$5:$CC$5,(INDEX('08_EXPECTED_CODEBOOK_V4'!$D$5:$CE$27,MATCH(B146,'08_EXPECTED_CODEBOOK_V4'!$C$5:$C$27,0),0)-INDEX('08_EXPECTED_CODEBOOK_V4'!$D$5:$CE$27,MATCH(C146,'08_EXPECTED_CODEBOOK_V4'!$C$5:$C$27,0),0))^2)/'18_WEIGHT_CONTROL'!$B$15)</f>
        <v/>
      </c>
      <c r="G146" s="33">
        <f>E146/1.299050950984678</f>
        <v/>
      </c>
      <c r="H146" s="33" t="n"/>
      <c r="I146" s="33">
        <f>RANK(E146,$E$5:$E$257,1)</f>
        <v/>
      </c>
    </row>
    <row r="147" ht="36" customHeight="1">
      <c r="A147" s="33" t="n">
        <v>143</v>
      </c>
      <c r="B147" s="33" t="inlineStr">
        <is>
          <t>Mintakan</t>
        </is>
      </c>
      <c r="C147" s="33" t="inlineStr">
        <is>
          <t>Reptilian</t>
        </is>
      </c>
      <c r="D147" s="33">
        <f>SUMPRODUCT('94_WEIGHT_VECTOR'!$B$5:$CC$5,INDEX('08_EXPECTED_CODEBOOK_V4'!$D$5:$CE$27,MATCH(B147,'08_EXPECTED_CODEBOOK_V4'!$C$5:$C$27,0),0),INDEX('08_EXPECTED_CODEBOOK_V4'!$D$5:$CE$27,MATCH(C147,'08_EXPECTED_CODEBOOK_V4'!$C$5:$C$27,0),0))/'18_WEIGHT_CONTROL'!$B$15/(INDEX('95_WEIGHTED_NORMS'!$C$5:$C$27,MATCH(B147,'95_WEIGHTED_NORMS'!$B$5:$B$27,0))*INDEX('95_WEIGHTED_NORMS'!$C$5:$C$27,MATCH(C147,'95_WEIGHTED_NORMS'!$B$5:$B$27,0)))</f>
        <v/>
      </c>
      <c r="E147" s="33">
        <f>SQRT(MAX(0,2*(1-D147)))</f>
        <v/>
      </c>
      <c r="F147" s="33">
        <f>SQRT(SUMPRODUCT('94_WEIGHT_VECTOR'!$B$5:$CC$5,(INDEX('08_EXPECTED_CODEBOOK_V4'!$D$5:$CE$27,MATCH(B147,'08_EXPECTED_CODEBOOK_V4'!$C$5:$C$27,0),0)-INDEX('08_EXPECTED_CODEBOOK_V4'!$D$5:$CE$27,MATCH(C147,'08_EXPECTED_CODEBOOK_V4'!$C$5:$C$27,0),0))^2)/'18_WEIGHT_CONTROL'!$B$15)</f>
        <v/>
      </c>
      <c r="G147" s="33">
        <f>E147/1.283461452742477</f>
        <v/>
      </c>
      <c r="H147" s="33" t="n"/>
      <c r="I147" s="33">
        <f>RANK(E147,$E$5:$E$257,1)</f>
        <v/>
      </c>
    </row>
    <row r="148" ht="36" customHeight="1">
      <c r="A148" s="33" t="n">
        <v>144</v>
      </c>
      <c r="B148" s="33" t="inlineStr">
        <is>
          <t>Orion</t>
        </is>
      </c>
      <c r="C148" s="33" t="inlineStr">
        <is>
          <t>Earth-Origin Soul</t>
        </is>
      </c>
      <c r="D148" s="33">
        <f>SUMPRODUCT('94_WEIGHT_VECTOR'!$B$5:$CC$5,INDEX('08_EXPECTED_CODEBOOK_V4'!$D$5:$CE$27,MATCH(B148,'08_EXPECTED_CODEBOOK_V4'!$C$5:$C$27,0),0),INDEX('08_EXPECTED_CODEBOOK_V4'!$D$5:$CE$27,MATCH(C148,'08_EXPECTED_CODEBOOK_V4'!$C$5:$C$27,0),0))/'18_WEIGHT_CONTROL'!$B$15/(INDEX('95_WEIGHTED_NORMS'!$C$5:$C$27,MATCH(B148,'95_WEIGHTED_NORMS'!$B$5:$B$27,0))*INDEX('95_WEIGHTED_NORMS'!$C$5:$C$27,MATCH(C148,'95_WEIGHTED_NORMS'!$B$5:$B$27,0)))</f>
        <v/>
      </c>
      <c r="E148" s="33">
        <f>SQRT(MAX(0,2*(1-D148)))</f>
        <v/>
      </c>
      <c r="F148" s="33">
        <f>SQRT(SUMPRODUCT('94_WEIGHT_VECTOR'!$B$5:$CC$5,(INDEX('08_EXPECTED_CODEBOOK_V4'!$D$5:$CE$27,MATCH(B148,'08_EXPECTED_CODEBOOK_V4'!$C$5:$C$27,0),0)-INDEX('08_EXPECTED_CODEBOOK_V4'!$D$5:$CE$27,MATCH(C148,'08_EXPECTED_CODEBOOK_V4'!$C$5:$C$27,0),0))^2)/'18_WEIGHT_CONTROL'!$B$15)</f>
        <v/>
      </c>
      <c r="G148" s="33">
        <f>E148/1.292243998445996</f>
        <v/>
      </c>
      <c r="H148" s="33" t="n"/>
      <c r="I148" s="33">
        <f>RANK(E148,$E$5:$E$257,1)</f>
        <v/>
      </c>
    </row>
    <row r="149" ht="36" customHeight="1">
      <c r="A149" s="33" t="n">
        <v>145</v>
      </c>
      <c r="B149" s="33" t="inlineStr">
        <is>
          <t>Lyran</t>
        </is>
      </c>
      <c r="C149" s="33" t="inlineStr">
        <is>
          <t>Alpha Centaurian</t>
        </is>
      </c>
      <c r="D149" s="33">
        <f>SUMPRODUCT('94_WEIGHT_VECTOR'!$B$5:$CC$5,INDEX('08_EXPECTED_CODEBOOK_V4'!$D$5:$CE$27,MATCH(B149,'08_EXPECTED_CODEBOOK_V4'!$C$5:$C$27,0),0),INDEX('08_EXPECTED_CODEBOOK_V4'!$D$5:$CE$27,MATCH(C149,'08_EXPECTED_CODEBOOK_V4'!$C$5:$C$27,0),0))/'18_WEIGHT_CONTROL'!$B$15/(INDEX('95_WEIGHTED_NORMS'!$C$5:$C$27,MATCH(B149,'95_WEIGHTED_NORMS'!$B$5:$B$27,0))*INDEX('95_WEIGHTED_NORMS'!$C$5:$C$27,MATCH(C149,'95_WEIGHTED_NORMS'!$B$5:$B$27,0)))</f>
        <v/>
      </c>
      <c r="E149" s="33">
        <f>SQRT(MAX(0,2*(1-D149)))</f>
        <v/>
      </c>
      <c r="F149" s="33">
        <f>SQRT(SUMPRODUCT('94_WEIGHT_VECTOR'!$B$5:$CC$5,(INDEX('08_EXPECTED_CODEBOOK_V4'!$D$5:$CE$27,MATCH(B149,'08_EXPECTED_CODEBOOK_V4'!$C$5:$C$27,0),0)-INDEX('08_EXPECTED_CODEBOOK_V4'!$D$5:$CE$27,MATCH(C149,'08_EXPECTED_CODEBOOK_V4'!$C$5:$C$27,0),0))^2)/'18_WEIGHT_CONTROL'!$B$15)</f>
        <v/>
      </c>
      <c r="G149" s="33">
        <f>E149/1.299675230348687</f>
        <v/>
      </c>
      <c r="H149" s="33" t="n"/>
      <c r="I149" s="33">
        <f>RANK(E149,$E$5:$E$257,1)</f>
        <v/>
      </c>
    </row>
    <row r="150" ht="36" customHeight="1">
      <c r="A150" s="33" t="n">
        <v>146</v>
      </c>
      <c r="B150" s="33" t="inlineStr">
        <is>
          <t>Alpha Centaurian</t>
        </is>
      </c>
      <c r="C150" s="33" t="inlineStr">
        <is>
          <t>Reptilian</t>
        </is>
      </c>
      <c r="D150" s="33">
        <f>SUMPRODUCT('94_WEIGHT_VECTOR'!$B$5:$CC$5,INDEX('08_EXPECTED_CODEBOOK_V4'!$D$5:$CE$27,MATCH(B150,'08_EXPECTED_CODEBOOK_V4'!$C$5:$C$27,0),0),INDEX('08_EXPECTED_CODEBOOK_V4'!$D$5:$CE$27,MATCH(C150,'08_EXPECTED_CODEBOOK_V4'!$C$5:$C$27,0),0))/'18_WEIGHT_CONTROL'!$B$15/(INDEX('95_WEIGHTED_NORMS'!$C$5:$C$27,MATCH(B150,'95_WEIGHTED_NORMS'!$B$5:$B$27,0))*INDEX('95_WEIGHTED_NORMS'!$C$5:$C$27,MATCH(C150,'95_WEIGHTED_NORMS'!$B$5:$B$27,0)))</f>
        <v/>
      </c>
      <c r="E150" s="33">
        <f>SQRT(MAX(0,2*(1-D150)))</f>
        <v/>
      </c>
      <c r="F150" s="33">
        <f>SQRT(SUMPRODUCT('94_WEIGHT_VECTOR'!$B$5:$CC$5,(INDEX('08_EXPECTED_CODEBOOK_V4'!$D$5:$CE$27,MATCH(B150,'08_EXPECTED_CODEBOOK_V4'!$C$5:$C$27,0),0)-INDEX('08_EXPECTED_CODEBOOK_V4'!$D$5:$CE$27,MATCH(C150,'08_EXPECTED_CODEBOOK_V4'!$C$5:$C$27,0),0))^2)/'18_WEIGHT_CONTROL'!$B$15)</f>
        <v/>
      </c>
      <c r="G150" s="33">
        <f>E150/1.296577374246147</f>
        <v/>
      </c>
      <c r="H150" s="33" t="n"/>
      <c r="I150" s="33">
        <f>RANK(E150,$E$5:$E$257,1)</f>
        <v/>
      </c>
    </row>
    <row r="151" ht="36" customHeight="1">
      <c r="A151" s="33" t="n">
        <v>147</v>
      </c>
      <c r="B151" s="33" t="inlineStr">
        <is>
          <t>Pleiadian</t>
        </is>
      </c>
      <c r="C151" s="33" t="inlineStr">
        <is>
          <t>Vegan</t>
        </is>
      </c>
      <c r="D151" s="33">
        <f>SUMPRODUCT('94_WEIGHT_VECTOR'!$B$5:$CC$5,INDEX('08_EXPECTED_CODEBOOK_V4'!$D$5:$CE$27,MATCH(B151,'08_EXPECTED_CODEBOOK_V4'!$C$5:$C$27,0),0),INDEX('08_EXPECTED_CODEBOOK_V4'!$D$5:$CE$27,MATCH(C151,'08_EXPECTED_CODEBOOK_V4'!$C$5:$C$27,0),0))/'18_WEIGHT_CONTROL'!$B$15/(INDEX('95_WEIGHTED_NORMS'!$C$5:$C$27,MATCH(B151,'95_WEIGHTED_NORMS'!$B$5:$B$27,0))*INDEX('95_WEIGHTED_NORMS'!$C$5:$C$27,MATCH(C151,'95_WEIGHTED_NORMS'!$B$5:$B$27,0)))</f>
        <v/>
      </c>
      <c r="E151" s="33">
        <f>SQRT(MAX(0,2*(1-D151)))</f>
        <v/>
      </c>
      <c r="F151" s="33">
        <f>SQRT(SUMPRODUCT('94_WEIGHT_VECTOR'!$B$5:$CC$5,(INDEX('08_EXPECTED_CODEBOOK_V4'!$D$5:$CE$27,MATCH(B151,'08_EXPECTED_CODEBOOK_V4'!$C$5:$C$27,0),0)-INDEX('08_EXPECTED_CODEBOOK_V4'!$D$5:$CE$27,MATCH(C151,'08_EXPECTED_CODEBOOK_V4'!$C$5:$C$27,0),0))^2)/'18_WEIGHT_CONTROL'!$B$15)</f>
        <v/>
      </c>
      <c r="G151" s="33">
        <f>E151/1.291571602456367</f>
        <v/>
      </c>
      <c r="H151" s="33" t="n"/>
      <c r="I151" s="33">
        <f>RANK(E151,$E$5:$E$257,1)</f>
        <v/>
      </c>
    </row>
    <row r="152" ht="36" customHeight="1">
      <c r="A152" s="33" t="n">
        <v>148</v>
      </c>
      <c r="B152" s="33" t="inlineStr">
        <is>
          <t>Zeta / Grey</t>
        </is>
      </c>
      <c r="C152" s="33" t="inlineStr">
        <is>
          <t>Earth-Origin Soul</t>
        </is>
      </c>
      <c r="D152" s="33">
        <f>SUMPRODUCT('94_WEIGHT_VECTOR'!$B$5:$CC$5,INDEX('08_EXPECTED_CODEBOOK_V4'!$D$5:$CE$27,MATCH(B152,'08_EXPECTED_CODEBOOK_V4'!$C$5:$C$27,0),0),INDEX('08_EXPECTED_CODEBOOK_V4'!$D$5:$CE$27,MATCH(C152,'08_EXPECTED_CODEBOOK_V4'!$C$5:$C$27,0),0))/'18_WEIGHT_CONTROL'!$B$15/(INDEX('95_WEIGHTED_NORMS'!$C$5:$C$27,MATCH(B152,'95_WEIGHTED_NORMS'!$B$5:$B$27,0))*INDEX('95_WEIGHTED_NORMS'!$C$5:$C$27,MATCH(C152,'95_WEIGHTED_NORMS'!$B$5:$B$27,0)))</f>
        <v/>
      </c>
      <c r="E152" s="33">
        <f>SQRT(MAX(0,2*(1-D152)))</f>
        <v/>
      </c>
      <c r="F152" s="33">
        <f>SQRT(SUMPRODUCT('94_WEIGHT_VECTOR'!$B$5:$CC$5,(INDEX('08_EXPECTED_CODEBOOK_V4'!$D$5:$CE$27,MATCH(B152,'08_EXPECTED_CODEBOOK_V4'!$C$5:$C$27,0),0)-INDEX('08_EXPECTED_CODEBOOK_V4'!$D$5:$CE$27,MATCH(C152,'08_EXPECTED_CODEBOOK_V4'!$C$5:$C$27,0),0))^2)/'18_WEIGHT_CONTROL'!$B$15)</f>
        <v/>
      </c>
      <c r="G152" s="33">
        <f>E152/1.295361457810545</f>
        <v/>
      </c>
      <c r="H152" s="33" t="n"/>
      <c r="I152" s="33">
        <f>RANK(E152,$E$5:$E$257,1)</f>
        <v/>
      </c>
    </row>
    <row r="153" ht="36" customHeight="1">
      <c r="A153" s="33" t="n">
        <v>149</v>
      </c>
      <c r="B153" s="33" t="inlineStr">
        <is>
          <t>Alpha Centaurian</t>
        </is>
      </c>
      <c r="C153" s="33" t="inlineStr">
        <is>
          <t>Feline / Urmah</t>
        </is>
      </c>
      <c r="D153" s="33">
        <f>SUMPRODUCT('94_WEIGHT_VECTOR'!$B$5:$CC$5,INDEX('08_EXPECTED_CODEBOOK_V4'!$D$5:$CE$27,MATCH(B153,'08_EXPECTED_CODEBOOK_V4'!$C$5:$C$27,0),0),INDEX('08_EXPECTED_CODEBOOK_V4'!$D$5:$CE$27,MATCH(C153,'08_EXPECTED_CODEBOOK_V4'!$C$5:$C$27,0),0))/'18_WEIGHT_CONTROL'!$B$15/(INDEX('95_WEIGHTED_NORMS'!$C$5:$C$27,MATCH(B153,'95_WEIGHTED_NORMS'!$B$5:$B$27,0))*INDEX('95_WEIGHTED_NORMS'!$C$5:$C$27,MATCH(C153,'95_WEIGHTED_NORMS'!$B$5:$B$27,0)))</f>
        <v/>
      </c>
      <c r="E153" s="33">
        <f>SQRT(MAX(0,2*(1-D153)))</f>
        <v/>
      </c>
      <c r="F153" s="33">
        <f>SQRT(SUMPRODUCT('94_WEIGHT_VECTOR'!$B$5:$CC$5,(INDEX('08_EXPECTED_CODEBOOK_V4'!$D$5:$CE$27,MATCH(B153,'08_EXPECTED_CODEBOOK_V4'!$C$5:$C$27,0),0)-INDEX('08_EXPECTED_CODEBOOK_V4'!$D$5:$CE$27,MATCH(C153,'08_EXPECTED_CODEBOOK_V4'!$C$5:$C$27,0),0))^2)/'18_WEIGHT_CONTROL'!$B$15)</f>
        <v/>
      </c>
      <c r="G153" s="33">
        <f>E153/1.302268623411788</f>
        <v/>
      </c>
      <c r="H153" s="33" t="n"/>
      <c r="I153" s="33">
        <f>RANK(E153,$E$5:$E$257,1)</f>
        <v/>
      </c>
    </row>
    <row r="154" ht="36" customHeight="1">
      <c r="A154" s="33" t="n">
        <v>150</v>
      </c>
      <c r="B154" s="33" t="inlineStr">
        <is>
          <t>Feline / Urmah</t>
        </is>
      </c>
      <c r="C154" s="33" t="inlineStr">
        <is>
          <t>Anunnaki / Nibiruan</t>
        </is>
      </c>
      <c r="D154" s="33">
        <f>SUMPRODUCT('94_WEIGHT_VECTOR'!$B$5:$CC$5,INDEX('08_EXPECTED_CODEBOOK_V4'!$D$5:$CE$27,MATCH(B154,'08_EXPECTED_CODEBOOK_V4'!$C$5:$C$27,0),0),INDEX('08_EXPECTED_CODEBOOK_V4'!$D$5:$CE$27,MATCH(C154,'08_EXPECTED_CODEBOOK_V4'!$C$5:$C$27,0),0))/'18_WEIGHT_CONTROL'!$B$15/(INDEX('95_WEIGHTED_NORMS'!$C$5:$C$27,MATCH(B154,'95_WEIGHTED_NORMS'!$B$5:$B$27,0))*INDEX('95_WEIGHTED_NORMS'!$C$5:$C$27,MATCH(C154,'95_WEIGHTED_NORMS'!$B$5:$B$27,0)))</f>
        <v/>
      </c>
      <c r="E154" s="33">
        <f>SQRT(MAX(0,2*(1-D154)))</f>
        <v/>
      </c>
      <c r="F154" s="33">
        <f>SQRT(SUMPRODUCT('94_WEIGHT_VECTOR'!$B$5:$CC$5,(INDEX('08_EXPECTED_CODEBOOK_V4'!$D$5:$CE$27,MATCH(B154,'08_EXPECTED_CODEBOOK_V4'!$C$5:$C$27,0),0)-INDEX('08_EXPECTED_CODEBOOK_V4'!$D$5:$CE$27,MATCH(C154,'08_EXPECTED_CODEBOOK_V4'!$C$5:$C$27,0),0))^2)/'18_WEIGHT_CONTROL'!$B$15)</f>
        <v/>
      </c>
      <c r="G154" s="33">
        <f>E154/1.312115240573043</f>
        <v/>
      </c>
      <c r="H154" s="33" t="n"/>
      <c r="I154" s="33">
        <f>RANK(E154,$E$5:$E$257,1)</f>
        <v/>
      </c>
    </row>
    <row r="155" ht="36" customHeight="1">
      <c r="A155" s="33" t="n">
        <v>151</v>
      </c>
      <c r="B155" s="33" t="inlineStr">
        <is>
          <t>Martian</t>
        </is>
      </c>
      <c r="C155" s="33" t="inlineStr">
        <is>
          <t>Earth-Origin Soul</t>
        </is>
      </c>
      <c r="D155" s="33">
        <f>SUMPRODUCT('94_WEIGHT_VECTOR'!$B$5:$CC$5,INDEX('08_EXPECTED_CODEBOOK_V4'!$D$5:$CE$27,MATCH(B155,'08_EXPECTED_CODEBOOK_V4'!$C$5:$C$27,0),0),INDEX('08_EXPECTED_CODEBOOK_V4'!$D$5:$CE$27,MATCH(C155,'08_EXPECTED_CODEBOOK_V4'!$C$5:$C$27,0),0))/'18_WEIGHT_CONTROL'!$B$15/(INDEX('95_WEIGHTED_NORMS'!$C$5:$C$27,MATCH(B155,'95_WEIGHTED_NORMS'!$B$5:$B$27,0))*INDEX('95_WEIGHTED_NORMS'!$C$5:$C$27,MATCH(C155,'95_WEIGHTED_NORMS'!$B$5:$B$27,0)))</f>
        <v/>
      </c>
      <c r="E155" s="33">
        <f>SQRT(MAX(0,2*(1-D155)))</f>
        <v/>
      </c>
      <c r="F155" s="33">
        <f>SQRT(SUMPRODUCT('94_WEIGHT_VECTOR'!$B$5:$CC$5,(INDEX('08_EXPECTED_CODEBOOK_V4'!$D$5:$CE$27,MATCH(B155,'08_EXPECTED_CODEBOOK_V4'!$C$5:$C$27,0),0)-INDEX('08_EXPECTED_CODEBOOK_V4'!$D$5:$CE$27,MATCH(C155,'08_EXPECTED_CODEBOOK_V4'!$C$5:$C$27,0),0))^2)/'18_WEIGHT_CONTROL'!$B$15)</f>
        <v/>
      </c>
      <c r="G155" s="33">
        <f>E155/1.318478147282514</f>
        <v/>
      </c>
      <c r="H155" s="33" t="n"/>
      <c r="I155" s="33">
        <f>RANK(E155,$E$5:$E$257,1)</f>
        <v/>
      </c>
    </row>
    <row r="156" ht="36" customHeight="1">
      <c r="A156" s="33" t="n">
        <v>152</v>
      </c>
      <c r="B156" s="33" t="inlineStr">
        <is>
          <t>Mintakan</t>
        </is>
      </c>
      <c r="C156" s="33" t="inlineStr">
        <is>
          <t>Earth-Origin Soul</t>
        </is>
      </c>
      <c r="D156" s="33">
        <f>SUMPRODUCT('94_WEIGHT_VECTOR'!$B$5:$CC$5,INDEX('08_EXPECTED_CODEBOOK_V4'!$D$5:$CE$27,MATCH(B156,'08_EXPECTED_CODEBOOK_V4'!$C$5:$C$27,0),0),INDEX('08_EXPECTED_CODEBOOK_V4'!$D$5:$CE$27,MATCH(C156,'08_EXPECTED_CODEBOOK_V4'!$C$5:$C$27,0),0))/'18_WEIGHT_CONTROL'!$B$15/(INDEX('95_WEIGHTED_NORMS'!$C$5:$C$27,MATCH(B156,'95_WEIGHTED_NORMS'!$B$5:$B$27,0))*INDEX('95_WEIGHTED_NORMS'!$C$5:$C$27,MATCH(C156,'95_WEIGHTED_NORMS'!$B$5:$B$27,0)))</f>
        <v/>
      </c>
      <c r="E156" s="33">
        <f>SQRT(MAX(0,2*(1-D156)))</f>
        <v/>
      </c>
      <c r="F156" s="33">
        <f>SQRT(SUMPRODUCT('94_WEIGHT_VECTOR'!$B$5:$CC$5,(INDEX('08_EXPECTED_CODEBOOK_V4'!$D$5:$CE$27,MATCH(B156,'08_EXPECTED_CODEBOOK_V4'!$C$5:$C$27,0),0)-INDEX('08_EXPECTED_CODEBOOK_V4'!$D$5:$CE$27,MATCH(C156,'08_EXPECTED_CODEBOOK_V4'!$C$5:$C$27,0),0))^2)/'18_WEIGHT_CONTROL'!$B$15)</f>
        <v/>
      </c>
      <c r="G156" s="33">
        <f>E156/1.308540763833047</f>
        <v/>
      </c>
      <c r="H156" s="33" t="n"/>
      <c r="I156" s="33">
        <f>RANK(E156,$E$5:$E$257,1)</f>
        <v/>
      </c>
    </row>
    <row r="157" ht="36" customHeight="1">
      <c r="A157" s="33" t="n">
        <v>153</v>
      </c>
      <c r="B157" s="33" t="inlineStr">
        <is>
          <t>Sirian</t>
        </is>
      </c>
      <c r="C157" s="33" t="inlineStr">
        <is>
          <t>Hadarian</t>
        </is>
      </c>
      <c r="D157" s="33">
        <f>SUMPRODUCT('94_WEIGHT_VECTOR'!$B$5:$CC$5,INDEX('08_EXPECTED_CODEBOOK_V4'!$D$5:$CE$27,MATCH(B157,'08_EXPECTED_CODEBOOK_V4'!$C$5:$C$27,0),0),INDEX('08_EXPECTED_CODEBOOK_V4'!$D$5:$CE$27,MATCH(C157,'08_EXPECTED_CODEBOOK_V4'!$C$5:$C$27,0),0))/'18_WEIGHT_CONTROL'!$B$15/(INDEX('95_WEIGHTED_NORMS'!$C$5:$C$27,MATCH(B157,'95_WEIGHTED_NORMS'!$B$5:$B$27,0))*INDEX('95_WEIGHTED_NORMS'!$C$5:$C$27,MATCH(C157,'95_WEIGHTED_NORMS'!$B$5:$B$27,0)))</f>
        <v/>
      </c>
      <c r="E157" s="33">
        <f>SQRT(MAX(0,2*(1-D157)))</f>
        <v/>
      </c>
      <c r="F157" s="33">
        <f>SQRT(SUMPRODUCT('94_WEIGHT_VECTOR'!$B$5:$CC$5,(INDEX('08_EXPECTED_CODEBOOK_V4'!$D$5:$CE$27,MATCH(B157,'08_EXPECTED_CODEBOOK_V4'!$C$5:$C$27,0),0)-INDEX('08_EXPECTED_CODEBOOK_V4'!$D$5:$CE$27,MATCH(C157,'08_EXPECTED_CODEBOOK_V4'!$C$5:$C$27,0),0))^2)/'18_WEIGHT_CONTROL'!$B$15)</f>
        <v/>
      </c>
      <c r="G157" s="33">
        <f>E157/1.317735249964094</f>
        <v/>
      </c>
      <c r="H157" s="33" t="n"/>
      <c r="I157" s="33">
        <f>RANK(E157,$E$5:$E$257,1)</f>
        <v/>
      </c>
    </row>
    <row r="158" ht="36" customHeight="1">
      <c r="A158" s="33" t="n">
        <v>154</v>
      </c>
      <c r="B158" s="33" t="inlineStr">
        <is>
          <t>Arcturian</t>
        </is>
      </c>
      <c r="C158" s="33" t="inlineStr">
        <is>
          <t>Anunnaki / Nibiruan</t>
        </is>
      </c>
      <c r="D158" s="33">
        <f>SUMPRODUCT('94_WEIGHT_VECTOR'!$B$5:$CC$5,INDEX('08_EXPECTED_CODEBOOK_V4'!$D$5:$CE$27,MATCH(B158,'08_EXPECTED_CODEBOOK_V4'!$C$5:$C$27,0),0),INDEX('08_EXPECTED_CODEBOOK_V4'!$D$5:$CE$27,MATCH(C158,'08_EXPECTED_CODEBOOK_V4'!$C$5:$C$27,0),0))/'18_WEIGHT_CONTROL'!$B$15/(INDEX('95_WEIGHTED_NORMS'!$C$5:$C$27,MATCH(B158,'95_WEIGHTED_NORMS'!$B$5:$B$27,0))*INDEX('95_WEIGHTED_NORMS'!$C$5:$C$27,MATCH(C158,'95_WEIGHTED_NORMS'!$B$5:$B$27,0)))</f>
        <v/>
      </c>
      <c r="E158" s="33">
        <f>SQRT(MAX(0,2*(1-D158)))</f>
        <v/>
      </c>
      <c r="F158" s="33">
        <f>SQRT(SUMPRODUCT('94_WEIGHT_VECTOR'!$B$5:$CC$5,(INDEX('08_EXPECTED_CODEBOOK_V4'!$D$5:$CE$27,MATCH(B158,'08_EXPECTED_CODEBOOK_V4'!$C$5:$C$27,0),0)-INDEX('08_EXPECTED_CODEBOOK_V4'!$D$5:$CE$27,MATCH(C158,'08_EXPECTED_CODEBOOK_V4'!$C$5:$C$27,0),0))^2)/'18_WEIGHT_CONTROL'!$B$15)</f>
        <v/>
      </c>
      <c r="G158" s="33">
        <f>E158/1.324675466608424</f>
        <v/>
      </c>
      <c r="H158" s="33" t="n"/>
      <c r="I158" s="33">
        <f>RANK(E158,$E$5:$E$257,1)</f>
        <v/>
      </c>
    </row>
    <row r="159" ht="36" customHeight="1">
      <c r="A159" s="33" t="n">
        <v>155</v>
      </c>
      <c r="B159" s="33" t="inlineStr">
        <is>
          <t>Pleiadian</t>
        </is>
      </c>
      <c r="C159" s="33" t="inlineStr">
        <is>
          <t>Lyran</t>
        </is>
      </c>
      <c r="D159" s="33">
        <f>SUMPRODUCT('94_WEIGHT_VECTOR'!$B$5:$CC$5,INDEX('08_EXPECTED_CODEBOOK_V4'!$D$5:$CE$27,MATCH(B159,'08_EXPECTED_CODEBOOK_V4'!$C$5:$C$27,0),0),INDEX('08_EXPECTED_CODEBOOK_V4'!$D$5:$CE$27,MATCH(C159,'08_EXPECTED_CODEBOOK_V4'!$C$5:$C$27,0),0))/'18_WEIGHT_CONTROL'!$B$15/(INDEX('95_WEIGHTED_NORMS'!$C$5:$C$27,MATCH(B159,'95_WEIGHTED_NORMS'!$B$5:$B$27,0))*INDEX('95_WEIGHTED_NORMS'!$C$5:$C$27,MATCH(C159,'95_WEIGHTED_NORMS'!$B$5:$B$27,0)))</f>
        <v/>
      </c>
      <c r="E159" s="33">
        <f>SQRT(MAX(0,2*(1-D159)))</f>
        <v/>
      </c>
      <c r="F159" s="33">
        <f>SQRT(SUMPRODUCT('94_WEIGHT_VECTOR'!$B$5:$CC$5,(INDEX('08_EXPECTED_CODEBOOK_V4'!$D$5:$CE$27,MATCH(B159,'08_EXPECTED_CODEBOOK_V4'!$C$5:$C$27,0),0)-INDEX('08_EXPECTED_CODEBOOK_V4'!$D$5:$CE$27,MATCH(C159,'08_EXPECTED_CODEBOOK_V4'!$C$5:$C$27,0),0))^2)/'18_WEIGHT_CONTROL'!$B$15)</f>
        <v/>
      </c>
      <c r="G159" s="33">
        <f>E159/1.315062216562396</f>
        <v/>
      </c>
      <c r="H159" s="33" t="n"/>
      <c r="I159" s="33">
        <f>RANK(E159,$E$5:$E$257,1)</f>
        <v/>
      </c>
    </row>
    <row r="160" ht="36" customHeight="1">
      <c r="A160" s="33" t="n">
        <v>156</v>
      </c>
      <c r="B160" s="33" t="inlineStr">
        <is>
          <t>Lyran</t>
        </is>
      </c>
      <c r="C160" s="33" t="inlineStr">
        <is>
          <t>Tau Cetian</t>
        </is>
      </c>
      <c r="D160" s="33">
        <f>SUMPRODUCT('94_WEIGHT_VECTOR'!$B$5:$CC$5,INDEX('08_EXPECTED_CODEBOOK_V4'!$D$5:$CE$27,MATCH(B160,'08_EXPECTED_CODEBOOK_V4'!$C$5:$C$27,0),0),INDEX('08_EXPECTED_CODEBOOK_V4'!$D$5:$CE$27,MATCH(C160,'08_EXPECTED_CODEBOOK_V4'!$C$5:$C$27,0),0))/'18_WEIGHT_CONTROL'!$B$15/(INDEX('95_WEIGHTED_NORMS'!$C$5:$C$27,MATCH(B160,'95_WEIGHTED_NORMS'!$B$5:$B$27,0))*INDEX('95_WEIGHTED_NORMS'!$C$5:$C$27,MATCH(C160,'95_WEIGHTED_NORMS'!$B$5:$B$27,0)))</f>
        <v/>
      </c>
      <c r="E160" s="33">
        <f>SQRT(MAX(0,2*(1-D160)))</f>
        <v/>
      </c>
      <c r="F160" s="33">
        <f>SQRT(SUMPRODUCT('94_WEIGHT_VECTOR'!$B$5:$CC$5,(INDEX('08_EXPECTED_CODEBOOK_V4'!$D$5:$CE$27,MATCH(B160,'08_EXPECTED_CODEBOOK_V4'!$C$5:$C$27,0),0)-INDEX('08_EXPECTED_CODEBOOK_V4'!$D$5:$CE$27,MATCH(C160,'08_EXPECTED_CODEBOOK_V4'!$C$5:$C$27,0),0))^2)/'18_WEIGHT_CONTROL'!$B$15)</f>
        <v/>
      </c>
      <c r="G160" s="33">
        <f>E160/1.324462717506348</f>
        <v/>
      </c>
      <c r="H160" s="33" t="n"/>
      <c r="I160" s="33">
        <f>RANK(E160,$E$5:$E$257,1)</f>
        <v/>
      </c>
    </row>
    <row r="161" ht="36" customHeight="1">
      <c r="A161" s="33" t="n">
        <v>157</v>
      </c>
      <c r="B161" s="33" t="inlineStr">
        <is>
          <t>Lyran</t>
        </is>
      </c>
      <c r="C161" s="33" t="inlineStr">
        <is>
          <t>Earth-Origin Soul</t>
        </is>
      </c>
      <c r="D161" s="33">
        <f>SUMPRODUCT('94_WEIGHT_VECTOR'!$B$5:$CC$5,INDEX('08_EXPECTED_CODEBOOK_V4'!$D$5:$CE$27,MATCH(B161,'08_EXPECTED_CODEBOOK_V4'!$C$5:$C$27,0),0),INDEX('08_EXPECTED_CODEBOOK_V4'!$D$5:$CE$27,MATCH(C161,'08_EXPECTED_CODEBOOK_V4'!$C$5:$C$27,0),0))/'18_WEIGHT_CONTROL'!$B$15/(INDEX('95_WEIGHTED_NORMS'!$C$5:$C$27,MATCH(B161,'95_WEIGHTED_NORMS'!$B$5:$B$27,0))*INDEX('95_WEIGHTED_NORMS'!$C$5:$C$27,MATCH(C161,'95_WEIGHTED_NORMS'!$B$5:$B$27,0)))</f>
        <v/>
      </c>
      <c r="E161" s="33">
        <f>SQRT(MAX(0,2*(1-D161)))</f>
        <v/>
      </c>
      <c r="F161" s="33">
        <f>SQRT(SUMPRODUCT('94_WEIGHT_VECTOR'!$B$5:$CC$5,(INDEX('08_EXPECTED_CODEBOOK_V4'!$D$5:$CE$27,MATCH(B161,'08_EXPECTED_CODEBOOK_V4'!$C$5:$C$27,0),0)-INDEX('08_EXPECTED_CODEBOOK_V4'!$D$5:$CE$27,MATCH(C161,'08_EXPECTED_CODEBOOK_V4'!$C$5:$C$27,0),0))^2)/'18_WEIGHT_CONTROL'!$B$15)</f>
        <v/>
      </c>
      <c r="G161" s="33">
        <f>E161/1.328696373098806</f>
        <v/>
      </c>
      <c r="H161" s="33" t="n"/>
      <c r="I161" s="33">
        <f>RANK(E161,$E$5:$E$257,1)</f>
        <v/>
      </c>
    </row>
    <row r="162" ht="36" customHeight="1">
      <c r="A162" s="33" t="n">
        <v>158</v>
      </c>
      <c r="B162" s="33" t="inlineStr">
        <is>
          <t>Hadarian</t>
        </is>
      </c>
      <c r="C162" s="33" t="inlineStr">
        <is>
          <t>Vegan</t>
        </is>
      </c>
      <c r="D162" s="33">
        <f>SUMPRODUCT('94_WEIGHT_VECTOR'!$B$5:$CC$5,INDEX('08_EXPECTED_CODEBOOK_V4'!$D$5:$CE$27,MATCH(B162,'08_EXPECTED_CODEBOOK_V4'!$C$5:$C$27,0),0),INDEX('08_EXPECTED_CODEBOOK_V4'!$D$5:$CE$27,MATCH(C162,'08_EXPECTED_CODEBOOK_V4'!$C$5:$C$27,0),0))/'18_WEIGHT_CONTROL'!$B$15/(INDEX('95_WEIGHTED_NORMS'!$C$5:$C$27,MATCH(B162,'95_WEIGHTED_NORMS'!$B$5:$B$27,0))*INDEX('95_WEIGHTED_NORMS'!$C$5:$C$27,MATCH(C162,'95_WEIGHTED_NORMS'!$B$5:$B$27,0)))</f>
        <v/>
      </c>
      <c r="E162" s="33">
        <f>SQRT(MAX(0,2*(1-D162)))</f>
        <v/>
      </c>
      <c r="F162" s="33">
        <f>SQRT(SUMPRODUCT('94_WEIGHT_VECTOR'!$B$5:$CC$5,(INDEX('08_EXPECTED_CODEBOOK_V4'!$D$5:$CE$27,MATCH(B162,'08_EXPECTED_CODEBOOK_V4'!$C$5:$C$27,0),0)-INDEX('08_EXPECTED_CODEBOOK_V4'!$D$5:$CE$27,MATCH(C162,'08_EXPECTED_CODEBOOK_V4'!$C$5:$C$27,0),0))^2)/'18_WEIGHT_CONTROL'!$B$15)</f>
        <v/>
      </c>
      <c r="G162" s="33">
        <f>E162/1.318332230743521</f>
        <v/>
      </c>
      <c r="H162" s="33" t="n"/>
      <c r="I162" s="33">
        <f>RANK(E162,$E$5:$E$257,1)</f>
        <v/>
      </c>
    </row>
    <row r="163" ht="36" customHeight="1">
      <c r="A163" s="33" t="n">
        <v>159</v>
      </c>
      <c r="B163" s="33" t="inlineStr">
        <is>
          <t>Orion</t>
        </is>
      </c>
      <c r="C163" s="33" t="inlineStr">
        <is>
          <t>Venusian</t>
        </is>
      </c>
      <c r="D163" s="33">
        <f>SUMPRODUCT('94_WEIGHT_VECTOR'!$B$5:$CC$5,INDEX('08_EXPECTED_CODEBOOK_V4'!$D$5:$CE$27,MATCH(B163,'08_EXPECTED_CODEBOOK_V4'!$C$5:$C$27,0),0),INDEX('08_EXPECTED_CODEBOOK_V4'!$D$5:$CE$27,MATCH(C163,'08_EXPECTED_CODEBOOK_V4'!$C$5:$C$27,0),0))/'18_WEIGHT_CONTROL'!$B$15/(INDEX('95_WEIGHTED_NORMS'!$C$5:$C$27,MATCH(B163,'95_WEIGHTED_NORMS'!$B$5:$B$27,0))*INDEX('95_WEIGHTED_NORMS'!$C$5:$C$27,MATCH(C163,'95_WEIGHTED_NORMS'!$B$5:$B$27,0)))</f>
        <v/>
      </c>
      <c r="E163" s="33">
        <f>SQRT(MAX(0,2*(1-D163)))</f>
        <v/>
      </c>
      <c r="F163" s="33">
        <f>SQRT(SUMPRODUCT('94_WEIGHT_VECTOR'!$B$5:$CC$5,(INDEX('08_EXPECTED_CODEBOOK_V4'!$D$5:$CE$27,MATCH(B163,'08_EXPECTED_CODEBOOK_V4'!$C$5:$C$27,0),0)-INDEX('08_EXPECTED_CODEBOOK_V4'!$D$5:$CE$27,MATCH(C163,'08_EXPECTED_CODEBOOK_V4'!$C$5:$C$27,0),0))^2)/'18_WEIGHT_CONTROL'!$B$15)</f>
        <v/>
      </c>
      <c r="G163" s="33">
        <f>E163/1.330742773627861</f>
        <v/>
      </c>
      <c r="H163" s="33" t="n"/>
      <c r="I163" s="33">
        <f>RANK(E163,$E$5:$E$257,1)</f>
        <v/>
      </c>
    </row>
    <row r="164" ht="36" customHeight="1">
      <c r="A164" s="33" t="n">
        <v>160</v>
      </c>
      <c r="B164" s="33" t="inlineStr">
        <is>
          <t>Maldekian</t>
        </is>
      </c>
      <c r="C164" s="33" t="inlineStr">
        <is>
          <t>Reptilian</t>
        </is>
      </c>
      <c r="D164" s="33">
        <f>SUMPRODUCT('94_WEIGHT_VECTOR'!$B$5:$CC$5,INDEX('08_EXPECTED_CODEBOOK_V4'!$D$5:$CE$27,MATCH(B164,'08_EXPECTED_CODEBOOK_V4'!$C$5:$C$27,0),0),INDEX('08_EXPECTED_CODEBOOK_V4'!$D$5:$CE$27,MATCH(C164,'08_EXPECTED_CODEBOOK_V4'!$C$5:$C$27,0),0))/'18_WEIGHT_CONTROL'!$B$15/(INDEX('95_WEIGHTED_NORMS'!$C$5:$C$27,MATCH(B164,'95_WEIGHTED_NORMS'!$B$5:$B$27,0))*INDEX('95_WEIGHTED_NORMS'!$C$5:$C$27,MATCH(C164,'95_WEIGHTED_NORMS'!$B$5:$B$27,0)))</f>
        <v/>
      </c>
      <c r="E164" s="33">
        <f>SQRT(MAX(0,2*(1-D164)))</f>
        <v/>
      </c>
      <c r="F164" s="33">
        <f>SQRT(SUMPRODUCT('94_WEIGHT_VECTOR'!$B$5:$CC$5,(INDEX('08_EXPECTED_CODEBOOK_V4'!$D$5:$CE$27,MATCH(B164,'08_EXPECTED_CODEBOOK_V4'!$C$5:$C$27,0),0)-INDEX('08_EXPECTED_CODEBOOK_V4'!$D$5:$CE$27,MATCH(C164,'08_EXPECTED_CODEBOOK_V4'!$C$5:$C$27,0),0))^2)/'18_WEIGHT_CONTROL'!$B$15)</f>
        <v/>
      </c>
      <c r="G164" s="33">
        <f>E164/1.336258627598498</f>
        <v/>
      </c>
      <c r="H164" s="33" t="n"/>
      <c r="I164" s="33">
        <f>RANK(E164,$E$5:$E$257,1)</f>
        <v/>
      </c>
    </row>
    <row r="165" ht="36" customHeight="1">
      <c r="A165" s="33" t="n">
        <v>161</v>
      </c>
      <c r="B165" s="33" t="inlineStr">
        <is>
          <t>Vegan</t>
        </is>
      </c>
      <c r="C165" s="33" t="inlineStr">
        <is>
          <t>Feline / Urmah</t>
        </is>
      </c>
      <c r="D165" s="33">
        <f>SUMPRODUCT('94_WEIGHT_VECTOR'!$B$5:$CC$5,INDEX('08_EXPECTED_CODEBOOK_V4'!$D$5:$CE$27,MATCH(B165,'08_EXPECTED_CODEBOOK_V4'!$C$5:$C$27,0),0),INDEX('08_EXPECTED_CODEBOOK_V4'!$D$5:$CE$27,MATCH(C165,'08_EXPECTED_CODEBOOK_V4'!$C$5:$C$27,0),0))/'18_WEIGHT_CONTROL'!$B$15/(INDEX('95_WEIGHTED_NORMS'!$C$5:$C$27,MATCH(B165,'95_WEIGHTED_NORMS'!$B$5:$B$27,0))*INDEX('95_WEIGHTED_NORMS'!$C$5:$C$27,MATCH(C165,'95_WEIGHTED_NORMS'!$B$5:$B$27,0)))</f>
        <v/>
      </c>
      <c r="E165" s="33">
        <f>SQRT(MAX(0,2*(1-D165)))</f>
        <v/>
      </c>
      <c r="F165" s="33">
        <f>SQRT(SUMPRODUCT('94_WEIGHT_VECTOR'!$B$5:$CC$5,(INDEX('08_EXPECTED_CODEBOOK_V4'!$D$5:$CE$27,MATCH(B165,'08_EXPECTED_CODEBOOK_V4'!$C$5:$C$27,0),0)-INDEX('08_EXPECTED_CODEBOOK_V4'!$D$5:$CE$27,MATCH(C165,'08_EXPECTED_CODEBOOK_V4'!$C$5:$C$27,0),0))^2)/'18_WEIGHT_CONTROL'!$B$15)</f>
        <v/>
      </c>
      <c r="G165" s="33">
        <f>E165/1.337803053813419</f>
        <v/>
      </c>
      <c r="H165" s="33" t="n"/>
      <c r="I165" s="33">
        <f>RANK(E165,$E$5:$E$257,1)</f>
        <v/>
      </c>
    </row>
    <row r="166" ht="36" customHeight="1">
      <c r="A166" s="33" t="n">
        <v>162</v>
      </c>
      <c r="B166" s="33" t="inlineStr">
        <is>
          <t>Reptilian</t>
        </is>
      </c>
      <c r="C166" s="33" t="inlineStr">
        <is>
          <t>Earth-Origin Soul</t>
        </is>
      </c>
      <c r="D166" s="33">
        <f>SUMPRODUCT('94_WEIGHT_VECTOR'!$B$5:$CC$5,INDEX('08_EXPECTED_CODEBOOK_V4'!$D$5:$CE$27,MATCH(B166,'08_EXPECTED_CODEBOOK_V4'!$C$5:$C$27,0),0),INDEX('08_EXPECTED_CODEBOOK_V4'!$D$5:$CE$27,MATCH(C166,'08_EXPECTED_CODEBOOK_V4'!$C$5:$C$27,0),0))/'18_WEIGHT_CONTROL'!$B$15/(INDEX('95_WEIGHTED_NORMS'!$C$5:$C$27,MATCH(B166,'95_WEIGHTED_NORMS'!$B$5:$B$27,0))*INDEX('95_WEIGHTED_NORMS'!$C$5:$C$27,MATCH(C166,'95_WEIGHTED_NORMS'!$B$5:$B$27,0)))</f>
        <v/>
      </c>
      <c r="E166" s="33">
        <f>SQRT(MAX(0,2*(1-D166)))</f>
        <v/>
      </c>
      <c r="F166" s="33">
        <f>SQRT(SUMPRODUCT('94_WEIGHT_VECTOR'!$B$5:$CC$5,(INDEX('08_EXPECTED_CODEBOOK_V4'!$D$5:$CE$27,MATCH(B166,'08_EXPECTED_CODEBOOK_V4'!$C$5:$C$27,0),0)-INDEX('08_EXPECTED_CODEBOOK_V4'!$D$5:$CE$27,MATCH(C166,'08_EXPECTED_CODEBOOK_V4'!$C$5:$C$27,0),0))^2)/'18_WEIGHT_CONTROL'!$B$15)</f>
        <v/>
      </c>
      <c r="G166" s="33">
        <f>E166/1.333705712526594</f>
        <v/>
      </c>
      <c r="H166" s="33" t="n"/>
      <c r="I166" s="33">
        <f>RANK(E166,$E$5:$E$257,1)</f>
        <v/>
      </c>
    </row>
    <row r="167" ht="36" customHeight="1">
      <c r="A167" s="33" t="n">
        <v>163</v>
      </c>
      <c r="B167" s="33" t="inlineStr">
        <is>
          <t>Lyran</t>
        </is>
      </c>
      <c r="C167" s="33" t="inlineStr">
        <is>
          <t>Mintakan</t>
        </is>
      </c>
      <c r="D167" s="33">
        <f>SUMPRODUCT('94_WEIGHT_VECTOR'!$B$5:$CC$5,INDEX('08_EXPECTED_CODEBOOK_V4'!$D$5:$CE$27,MATCH(B167,'08_EXPECTED_CODEBOOK_V4'!$C$5:$C$27,0),0),INDEX('08_EXPECTED_CODEBOOK_V4'!$D$5:$CE$27,MATCH(C167,'08_EXPECTED_CODEBOOK_V4'!$C$5:$C$27,0),0))/'18_WEIGHT_CONTROL'!$B$15/(INDEX('95_WEIGHTED_NORMS'!$C$5:$C$27,MATCH(B167,'95_WEIGHTED_NORMS'!$B$5:$B$27,0))*INDEX('95_WEIGHTED_NORMS'!$C$5:$C$27,MATCH(C167,'95_WEIGHTED_NORMS'!$B$5:$B$27,0)))</f>
        <v/>
      </c>
      <c r="E167" s="33">
        <f>SQRT(MAX(0,2*(1-D167)))</f>
        <v/>
      </c>
      <c r="F167" s="33">
        <f>SQRT(SUMPRODUCT('94_WEIGHT_VECTOR'!$B$5:$CC$5,(INDEX('08_EXPECTED_CODEBOOK_V4'!$D$5:$CE$27,MATCH(B167,'08_EXPECTED_CODEBOOK_V4'!$C$5:$C$27,0),0)-INDEX('08_EXPECTED_CODEBOOK_V4'!$D$5:$CE$27,MATCH(C167,'08_EXPECTED_CODEBOOK_V4'!$C$5:$C$27,0),0))^2)/'18_WEIGHT_CONTROL'!$B$15)</f>
        <v/>
      </c>
      <c r="G167" s="33">
        <f>E167/1.331839251450041</f>
        <v/>
      </c>
      <c r="H167" s="33" t="n"/>
      <c r="I167" s="33">
        <f>RANK(E167,$E$5:$E$257,1)</f>
        <v/>
      </c>
    </row>
    <row r="168" ht="36" customHeight="1">
      <c r="A168" s="33" t="n">
        <v>164</v>
      </c>
      <c r="B168" s="33" t="inlineStr">
        <is>
          <t>Maldekian</t>
        </is>
      </c>
      <c r="C168" s="33" t="inlineStr">
        <is>
          <t>Tau Cetian</t>
        </is>
      </c>
      <c r="D168" s="33">
        <f>SUMPRODUCT('94_WEIGHT_VECTOR'!$B$5:$CC$5,INDEX('08_EXPECTED_CODEBOOK_V4'!$D$5:$CE$27,MATCH(B168,'08_EXPECTED_CODEBOOK_V4'!$C$5:$C$27,0),0),INDEX('08_EXPECTED_CODEBOOK_V4'!$D$5:$CE$27,MATCH(C168,'08_EXPECTED_CODEBOOK_V4'!$C$5:$C$27,0),0))/'18_WEIGHT_CONTROL'!$B$15/(INDEX('95_WEIGHTED_NORMS'!$C$5:$C$27,MATCH(B168,'95_WEIGHTED_NORMS'!$B$5:$B$27,0))*INDEX('95_WEIGHTED_NORMS'!$C$5:$C$27,MATCH(C168,'95_WEIGHTED_NORMS'!$B$5:$B$27,0)))</f>
        <v/>
      </c>
      <c r="E168" s="33">
        <f>SQRT(MAX(0,2*(1-D168)))</f>
        <v/>
      </c>
      <c r="F168" s="33">
        <f>SQRT(SUMPRODUCT('94_WEIGHT_VECTOR'!$B$5:$CC$5,(INDEX('08_EXPECTED_CODEBOOK_V4'!$D$5:$CE$27,MATCH(B168,'08_EXPECTED_CODEBOOK_V4'!$C$5:$C$27,0),0)-INDEX('08_EXPECTED_CODEBOOK_V4'!$D$5:$CE$27,MATCH(C168,'08_EXPECTED_CODEBOOK_V4'!$C$5:$C$27,0),0))^2)/'18_WEIGHT_CONTROL'!$B$15)</f>
        <v/>
      </c>
      <c r="G168" s="33">
        <f>E168/1.335933414003345</f>
        <v/>
      </c>
      <c r="H168" s="33" t="n"/>
      <c r="I168" s="33">
        <f>RANK(E168,$E$5:$E$257,1)</f>
        <v/>
      </c>
    </row>
    <row r="169" ht="36" customHeight="1">
      <c r="A169" s="33" t="n">
        <v>165</v>
      </c>
      <c r="B169" s="33" t="inlineStr">
        <is>
          <t>Orion</t>
        </is>
      </c>
      <c r="C169" s="33" t="inlineStr">
        <is>
          <t>Draconian</t>
        </is>
      </c>
      <c r="D169" s="33">
        <f>SUMPRODUCT('94_WEIGHT_VECTOR'!$B$5:$CC$5,INDEX('08_EXPECTED_CODEBOOK_V4'!$D$5:$CE$27,MATCH(B169,'08_EXPECTED_CODEBOOK_V4'!$C$5:$C$27,0),0),INDEX('08_EXPECTED_CODEBOOK_V4'!$D$5:$CE$27,MATCH(C169,'08_EXPECTED_CODEBOOK_V4'!$C$5:$C$27,0),0))/'18_WEIGHT_CONTROL'!$B$15/(INDEX('95_WEIGHTED_NORMS'!$C$5:$C$27,MATCH(B169,'95_WEIGHTED_NORMS'!$B$5:$B$27,0))*INDEX('95_WEIGHTED_NORMS'!$C$5:$C$27,MATCH(C169,'95_WEIGHTED_NORMS'!$B$5:$B$27,0)))</f>
        <v/>
      </c>
      <c r="E169" s="33">
        <f>SQRT(MAX(0,2*(1-D169)))</f>
        <v/>
      </c>
      <c r="F169" s="33">
        <f>SQRT(SUMPRODUCT('94_WEIGHT_VECTOR'!$B$5:$CC$5,(INDEX('08_EXPECTED_CODEBOOK_V4'!$D$5:$CE$27,MATCH(B169,'08_EXPECTED_CODEBOOK_V4'!$C$5:$C$27,0),0)-INDEX('08_EXPECTED_CODEBOOK_V4'!$D$5:$CE$27,MATCH(C169,'08_EXPECTED_CODEBOOK_V4'!$C$5:$C$27,0),0))^2)/'18_WEIGHT_CONTROL'!$B$15)</f>
        <v/>
      </c>
      <c r="G169" s="33">
        <f>E169/1.348787592132044</f>
        <v/>
      </c>
      <c r="H169" s="33" t="n"/>
      <c r="I169" s="33">
        <f>RANK(E169,$E$5:$E$257,1)</f>
        <v/>
      </c>
    </row>
    <row r="170" ht="36" customHeight="1">
      <c r="A170" s="33" t="n">
        <v>166</v>
      </c>
      <c r="B170" s="33" t="inlineStr">
        <is>
          <t>Mintakan</t>
        </is>
      </c>
      <c r="C170" s="33" t="inlineStr">
        <is>
          <t>Feline / Urmah</t>
        </is>
      </c>
      <c r="D170" s="33">
        <f>SUMPRODUCT('94_WEIGHT_VECTOR'!$B$5:$CC$5,INDEX('08_EXPECTED_CODEBOOK_V4'!$D$5:$CE$27,MATCH(B170,'08_EXPECTED_CODEBOOK_V4'!$C$5:$C$27,0),0),INDEX('08_EXPECTED_CODEBOOK_V4'!$D$5:$CE$27,MATCH(C170,'08_EXPECTED_CODEBOOK_V4'!$C$5:$C$27,0),0))/'18_WEIGHT_CONTROL'!$B$15/(INDEX('95_WEIGHTED_NORMS'!$C$5:$C$27,MATCH(B170,'95_WEIGHTED_NORMS'!$B$5:$B$27,0))*INDEX('95_WEIGHTED_NORMS'!$C$5:$C$27,MATCH(C170,'95_WEIGHTED_NORMS'!$B$5:$B$27,0)))</f>
        <v/>
      </c>
      <c r="E170" s="33">
        <f>SQRT(MAX(0,2*(1-D170)))</f>
        <v/>
      </c>
      <c r="F170" s="33">
        <f>SQRT(SUMPRODUCT('94_WEIGHT_VECTOR'!$B$5:$CC$5,(INDEX('08_EXPECTED_CODEBOOK_V4'!$D$5:$CE$27,MATCH(B170,'08_EXPECTED_CODEBOOK_V4'!$C$5:$C$27,0),0)-INDEX('08_EXPECTED_CODEBOOK_V4'!$D$5:$CE$27,MATCH(C170,'08_EXPECTED_CODEBOOK_V4'!$C$5:$C$27,0),0))^2)/'18_WEIGHT_CONTROL'!$B$15)</f>
        <v/>
      </c>
      <c r="G170" s="33">
        <f>E170/1.339069799550223</f>
        <v/>
      </c>
      <c r="H170" s="33" t="n"/>
      <c r="I170" s="33">
        <f>RANK(E170,$E$5:$E$257,1)</f>
        <v/>
      </c>
    </row>
    <row r="171" ht="36" customHeight="1">
      <c r="A171" s="33" t="n">
        <v>167</v>
      </c>
      <c r="B171" s="33" t="inlineStr">
        <is>
          <t>Pleiadian</t>
        </is>
      </c>
      <c r="C171" s="33" t="inlineStr">
        <is>
          <t>Feline / Urmah</t>
        </is>
      </c>
      <c r="D171" s="33">
        <f>SUMPRODUCT('94_WEIGHT_VECTOR'!$B$5:$CC$5,INDEX('08_EXPECTED_CODEBOOK_V4'!$D$5:$CE$27,MATCH(B171,'08_EXPECTED_CODEBOOK_V4'!$C$5:$C$27,0),0),INDEX('08_EXPECTED_CODEBOOK_V4'!$D$5:$CE$27,MATCH(C171,'08_EXPECTED_CODEBOOK_V4'!$C$5:$C$27,0),0))/'18_WEIGHT_CONTROL'!$B$15/(INDEX('95_WEIGHTED_NORMS'!$C$5:$C$27,MATCH(B171,'95_WEIGHTED_NORMS'!$B$5:$B$27,0))*INDEX('95_WEIGHTED_NORMS'!$C$5:$C$27,MATCH(C171,'95_WEIGHTED_NORMS'!$B$5:$B$27,0)))</f>
        <v/>
      </c>
      <c r="E171" s="33">
        <f>SQRT(MAX(0,2*(1-D171)))</f>
        <v/>
      </c>
      <c r="F171" s="33">
        <f>SQRT(SUMPRODUCT('94_WEIGHT_VECTOR'!$B$5:$CC$5,(INDEX('08_EXPECTED_CODEBOOK_V4'!$D$5:$CE$27,MATCH(B171,'08_EXPECTED_CODEBOOK_V4'!$C$5:$C$27,0),0)-INDEX('08_EXPECTED_CODEBOOK_V4'!$D$5:$CE$27,MATCH(C171,'08_EXPECTED_CODEBOOK_V4'!$C$5:$C$27,0),0))^2)/'18_WEIGHT_CONTROL'!$B$15)</f>
        <v/>
      </c>
      <c r="G171" s="33">
        <f>E171/1.34221361240112</f>
        <v/>
      </c>
      <c r="H171" s="33" t="n"/>
      <c r="I171" s="33">
        <f>RANK(E171,$E$5:$E$257,1)</f>
        <v/>
      </c>
    </row>
    <row r="172" ht="36" customHeight="1">
      <c r="A172" s="33" t="n">
        <v>168</v>
      </c>
      <c r="B172" s="33" t="inlineStr">
        <is>
          <t>Andromedan</t>
        </is>
      </c>
      <c r="C172" s="33" t="inlineStr">
        <is>
          <t>Orion</t>
        </is>
      </c>
      <c r="D172" s="33">
        <f>SUMPRODUCT('94_WEIGHT_VECTOR'!$B$5:$CC$5,INDEX('08_EXPECTED_CODEBOOK_V4'!$D$5:$CE$27,MATCH(B172,'08_EXPECTED_CODEBOOK_V4'!$C$5:$C$27,0),0),INDEX('08_EXPECTED_CODEBOOK_V4'!$D$5:$CE$27,MATCH(C172,'08_EXPECTED_CODEBOOK_V4'!$C$5:$C$27,0),0))/'18_WEIGHT_CONTROL'!$B$15/(INDEX('95_WEIGHTED_NORMS'!$C$5:$C$27,MATCH(B172,'95_WEIGHTED_NORMS'!$B$5:$B$27,0))*INDEX('95_WEIGHTED_NORMS'!$C$5:$C$27,MATCH(C172,'95_WEIGHTED_NORMS'!$B$5:$B$27,0)))</f>
        <v/>
      </c>
      <c r="E172" s="33">
        <f>SQRT(MAX(0,2*(1-D172)))</f>
        <v/>
      </c>
      <c r="F172" s="33">
        <f>SQRT(SUMPRODUCT('94_WEIGHT_VECTOR'!$B$5:$CC$5,(INDEX('08_EXPECTED_CODEBOOK_V4'!$D$5:$CE$27,MATCH(B172,'08_EXPECTED_CODEBOOK_V4'!$C$5:$C$27,0),0)-INDEX('08_EXPECTED_CODEBOOK_V4'!$D$5:$CE$27,MATCH(C172,'08_EXPECTED_CODEBOOK_V4'!$C$5:$C$27,0),0))^2)/'18_WEIGHT_CONTROL'!$B$15)</f>
        <v/>
      </c>
      <c r="G172" s="33">
        <f>E172/1.35746520493106</f>
        <v/>
      </c>
      <c r="H172" s="33" t="n"/>
      <c r="I172" s="33">
        <f>RANK(E172,$E$5:$E$257,1)</f>
        <v/>
      </c>
    </row>
    <row r="173" ht="36" customHeight="1">
      <c r="A173" s="33" t="n">
        <v>169</v>
      </c>
      <c r="B173" s="33" t="inlineStr">
        <is>
          <t>Hadarian</t>
        </is>
      </c>
      <c r="C173" s="33" t="inlineStr">
        <is>
          <t>Feline / Urmah</t>
        </is>
      </c>
      <c r="D173" s="33">
        <f>SUMPRODUCT('94_WEIGHT_VECTOR'!$B$5:$CC$5,INDEX('08_EXPECTED_CODEBOOK_V4'!$D$5:$CE$27,MATCH(B173,'08_EXPECTED_CODEBOOK_V4'!$C$5:$C$27,0),0),INDEX('08_EXPECTED_CODEBOOK_V4'!$D$5:$CE$27,MATCH(C173,'08_EXPECTED_CODEBOOK_V4'!$C$5:$C$27,0),0))/'18_WEIGHT_CONTROL'!$B$15/(INDEX('95_WEIGHTED_NORMS'!$C$5:$C$27,MATCH(B173,'95_WEIGHTED_NORMS'!$B$5:$B$27,0))*INDEX('95_WEIGHTED_NORMS'!$C$5:$C$27,MATCH(C173,'95_WEIGHTED_NORMS'!$B$5:$B$27,0)))</f>
        <v/>
      </c>
      <c r="E173" s="33">
        <f>SQRT(MAX(0,2*(1-D173)))</f>
        <v/>
      </c>
      <c r="F173" s="33">
        <f>SQRT(SUMPRODUCT('94_WEIGHT_VECTOR'!$B$5:$CC$5,(INDEX('08_EXPECTED_CODEBOOK_V4'!$D$5:$CE$27,MATCH(B173,'08_EXPECTED_CODEBOOK_V4'!$C$5:$C$27,0),0)-INDEX('08_EXPECTED_CODEBOOK_V4'!$D$5:$CE$27,MATCH(C173,'08_EXPECTED_CODEBOOK_V4'!$C$5:$C$27,0),0))^2)/'18_WEIGHT_CONTROL'!$B$15)</f>
        <v/>
      </c>
      <c r="G173" s="33">
        <f>E173/1.353033704534026</f>
        <v/>
      </c>
      <c r="H173" s="33" t="n"/>
      <c r="I173" s="33">
        <f>RANK(E173,$E$5:$E$257,1)</f>
        <v/>
      </c>
    </row>
    <row r="174" ht="36" customHeight="1">
      <c r="A174" s="33" t="n">
        <v>170</v>
      </c>
      <c r="B174" s="33" t="inlineStr">
        <is>
          <t>Vegan</t>
        </is>
      </c>
      <c r="C174" s="33" t="inlineStr">
        <is>
          <t>Zeta / Grey</t>
        </is>
      </c>
      <c r="D174" s="33">
        <f>SUMPRODUCT('94_WEIGHT_VECTOR'!$B$5:$CC$5,INDEX('08_EXPECTED_CODEBOOK_V4'!$D$5:$CE$27,MATCH(B174,'08_EXPECTED_CODEBOOK_V4'!$C$5:$C$27,0),0),INDEX('08_EXPECTED_CODEBOOK_V4'!$D$5:$CE$27,MATCH(C174,'08_EXPECTED_CODEBOOK_V4'!$C$5:$C$27,0),0))/'18_WEIGHT_CONTROL'!$B$15/(INDEX('95_WEIGHTED_NORMS'!$C$5:$C$27,MATCH(B174,'95_WEIGHTED_NORMS'!$B$5:$B$27,0))*INDEX('95_WEIGHTED_NORMS'!$C$5:$C$27,MATCH(C174,'95_WEIGHTED_NORMS'!$B$5:$B$27,0)))</f>
        <v/>
      </c>
      <c r="E174" s="33">
        <f>SQRT(MAX(0,2*(1-D174)))</f>
        <v/>
      </c>
      <c r="F174" s="33">
        <f>SQRT(SUMPRODUCT('94_WEIGHT_VECTOR'!$B$5:$CC$5,(INDEX('08_EXPECTED_CODEBOOK_V4'!$D$5:$CE$27,MATCH(B174,'08_EXPECTED_CODEBOOK_V4'!$C$5:$C$27,0),0)-INDEX('08_EXPECTED_CODEBOOK_V4'!$D$5:$CE$27,MATCH(C174,'08_EXPECTED_CODEBOOK_V4'!$C$5:$C$27,0),0))^2)/'18_WEIGHT_CONTROL'!$B$15)</f>
        <v/>
      </c>
      <c r="G174" s="33">
        <f>E174/1.365848260572688</f>
        <v/>
      </c>
      <c r="H174" s="33" t="n"/>
      <c r="I174" s="33">
        <f>RANK(E174,$E$5:$E$257,1)</f>
        <v/>
      </c>
    </row>
    <row r="175" ht="36" customHeight="1">
      <c r="A175" s="33" t="n">
        <v>171</v>
      </c>
      <c r="B175" s="33" t="inlineStr">
        <is>
          <t>Hadarian</t>
        </is>
      </c>
      <c r="C175" s="33" t="inlineStr">
        <is>
          <t>Draconian</t>
        </is>
      </c>
      <c r="D175" s="33">
        <f>SUMPRODUCT('94_WEIGHT_VECTOR'!$B$5:$CC$5,INDEX('08_EXPECTED_CODEBOOK_V4'!$D$5:$CE$27,MATCH(B175,'08_EXPECTED_CODEBOOK_V4'!$C$5:$C$27,0),0),INDEX('08_EXPECTED_CODEBOOK_V4'!$D$5:$CE$27,MATCH(C175,'08_EXPECTED_CODEBOOK_V4'!$C$5:$C$27,0),0))/'18_WEIGHT_CONTROL'!$B$15/(INDEX('95_WEIGHTED_NORMS'!$C$5:$C$27,MATCH(B175,'95_WEIGHTED_NORMS'!$B$5:$B$27,0))*INDEX('95_WEIGHTED_NORMS'!$C$5:$C$27,MATCH(C175,'95_WEIGHTED_NORMS'!$B$5:$B$27,0)))</f>
        <v/>
      </c>
      <c r="E175" s="33">
        <f>SQRT(MAX(0,2*(1-D175)))</f>
        <v/>
      </c>
      <c r="F175" s="33">
        <f>SQRT(SUMPRODUCT('94_WEIGHT_VECTOR'!$B$5:$CC$5,(INDEX('08_EXPECTED_CODEBOOK_V4'!$D$5:$CE$27,MATCH(B175,'08_EXPECTED_CODEBOOK_V4'!$C$5:$C$27,0),0)-INDEX('08_EXPECTED_CODEBOOK_V4'!$D$5:$CE$27,MATCH(C175,'08_EXPECTED_CODEBOOK_V4'!$C$5:$C$27,0),0))^2)/'18_WEIGHT_CONTROL'!$B$15)</f>
        <v/>
      </c>
      <c r="G175" s="33">
        <f>E175/1.360754310199225</f>
        <v/>
      </c>
      <c r="H175" s="33" t="n"/>
      <c r="I175" s="33">
        <f>RANK(E175,$E$5:$E$257,1)</f>
        <v/>
      </c>
    </row>
    <row r="176" ht="36" customHeight="1">
      <c r="A176" s="33" t="n">
        <v>172</v>
      </c>
      <c r="B176" s="33" t="inlineStr">
        <is>
          <t>Mintakan</t>
        </is>
      </c>
      <c r="C176" s="33" t="inlineStr">
        <is>
          <t>Avian / Blue Avian</t>
        </is>
      </c>
      <c r="D176" s="33">
        <f>SUMPRODUCT('94_WEIGHT_VECTOR'!$B$5:$CC$5,INDEX('08_EXPECTED_CODEBOOK_V4'!$D$5:$CE$27,MATCH(B176,'08_EXPECTED_CODEBOOK_V4'!$C$5:$C$27,0),0),INDEX('08_EXPECTED_CODEBOOK_V4'!$D$5:$CE$27,MATCH(C176,'08_EXPECTED_CODEBOOK_V4'!$C$5:$C$27,0),0))/'18_WEIGHT_CONTROL'!$B$15/(INDEX('95_WEIGHTED_NORMS'!$C$5:$C$27,MATCH(B176,'95_WEIGHTED_NORMS'!$B$5:$B$27,0))*INDEX('95_WEIGHTED_NORMS'!$C$5:$C$27,MATCH(C176,'95_WEIGHTED_NORMS'!$B$5:$B$27,0)))</f>
        <v/>
      </c>
      <c r="E176" s="33">
        <f>SQRT(MAX(0,2*(1-D176)))</f>
        <v/>
      </c>
      <c r="F176" s="33">
        <f>SQRT(SUMPRODUCT('94_WEIGHT_VECTOR'!$B$5:$CC$5,(INDEX('08_EXPECTED_CODEBOOK_V4'!$D$5:$CE$27,MATCH(B176,'08_EXPECTED_CODEBOOK_V4'!$C$5:$C$27,0),0)-INDEX('08_EXPECTED_CODEBOOK_V4'!$D$5:$CE$27,MATCH(C176,'08_EXPECTED_CODEBOOK_V4'!$C$5:$C$27,0),0))^2)/'18_WEIGHT_CONTROL'!$B$15)</f>
        <v/>
      </c>
      <c r="G176" s="33">
        <f>E176/1.36335363390134</f>
        <v/>
      </c>
      <c r="H176" s="33" t="n"/>
      <c r="I176" s="33">
        <f>RANK(E176,$E$5:$E$257,1)</f>
        <v/>
      </c>
    </row>
    <row r="177" ht="36" customHeight="1">
      <c r="A177" s="33" t="n">
        <v>173</v>
      </c>
      <c r="B177" s="33" t="inlineStr">
        <is>
          <t>Venusian</t>
        </is>
      </c>
      <c r="C177" s="33" t="inlineStr">
        <is>
          <t>Draconian</t>
        </is>
      </c>
      <c r="D177" s="33">
        <f>SUMPRODUCT('94_WEIGHT_VECTOR'!$B$5:$CC$5,INDEX('08_EXPECTED_CODEBOOK_V4'!$D$5:$CE$27,MATCH(B177,'08_EXPECTED_CODEBOOK_V4'!$C$5:$C$27,0),0),INDEX('08_EXPECTED_CODEBOOK_V4'!$D$5:$CE$27,MATCH(C177,'08_EXPECTED_CODEBOOK_V4'!$C$5:$C$27,0),0))/'18_WEIGHT_CONTROL'!$B$15/(INDEX('95_WEIGHTED_NORMS'!$C$5:$C$27,MATCH(B177,'95_WEIGHTED_NORMS'!$B$5:$B$27,0))*INDEX('95_WEIGHTED_NORMS'!$C$5:$C$27,MATCH(C177,'95_WEIGHTED_NORMS'!$B$5:$B$27,0)))</f>
        <v/>
      </c>
      <c r="E177" s="33">
        <f>SQRT(MAX(0,2*(1-D177)))</f>
        <v/>
      </c>
      <c r="F177" s="33">
        <f>SQRT(SUMPRODUCT('94_WEIGHT_VECTOR'!$B$5:$CC$5,(INDEX('08_EXPECTED_CODEBOOK_V4'!$D$5:$CE$27,MATCH(B177,'08_EXPECTED_CODEBOOK_V4'!$C$5:$C$27,0),0)-INDEX('08_EXPECTED_CODEBOOK_V4'!$D$5:$CE$27,MATCH(C177,'08_EXPECTED_CODEBOOK_V4'!$C$5:$C$27,0),0))^2)/'18_WEIGHT_CONTROL'!$B$15)</f>
        <v/>
      </c>
      <c r="G177" s="33">
        <f>E177/1.364072113257417</f>
        <v/>
      </c>
      <c r="H177" s="33" t="n"/>
      <c r="I177" s="33">
        <f>RANK(E177,$E$5:$E$257,1)</f>
        <v/>
      </c>
    </row>
    <row r="178" ht="36" customHeight="1">
      <c r="A178" s="33" t="n">
        <v>174</v>
      </c>
      <c r="B178" s="33" t="inlineStr">
        <is>
          <t>Pleiadian</t>
        </is>
      </c>
      <c r="C178" s="33" t="inlineStr">
        <is>
          <t>Antarian</t>
        </is>
      </c>
      <c r="D178" s="33">
        <f>SUMPRODUCT('94_WEIGHT_VECTOR'!$B$5:$CC$5,INDEX('08_EXPECTED_CODEBOOK_V4'!$D$5:$CE$27,MATCH(B178,'08_EXPECTED_CODEBOOK_V4'!$C$5:$C$27,0),0),INDEX('08_EXPECTED_CODEBOOK_V4'!$D$5:$CE$27,MATCH(C178,'08_EXPECTED_CODEBOOK_V4'!$C$5:$C$27,0),0))/'18_WEIGHT_CONTROL'!$B$15/(INDEX('95_WEIGHTED_NORMS'!$C$5:$C$27,MATCH(B178,'95_WEIGHTED_NORMS'!$B$5:$B$27,0))*INDEX('95_WEIGHTED_NORMS'!$C$5:$C$27,MATCH(C178,'95_WEIGHTED_NORMS'!$B$5:$B$27,0)))</f>
        <v/>
      </c>
      <c r="E178" s="33">
        <f>SQRT(MAX(0,2*(1-D178)))</f>
        <v/>
      </c>
      <c r="F178" s="33">
        <f>SQRT(SUMPRODUCT('94_WEIGHT_VECTOR'!$B$5:$CC$5,(INDEX('08_EXPECTED_CODEBOOK_V4'!$D$5:$CE$27,MATCH(B178,'08_EXPECTED_CODEBOOK_V4'!$C$5:$C$27,0),0)-INDEX('08_EXPECTED_CODEBOOK_V4'!$D$5:$CE$27,MATCH(C178,'08_EXPECTED_CODEBOOK_V4'!$C$5:$C$27,0),0))^2)/'18_WEIGHT_CONTROL'!$B$15)</f>
        <v/>
      </c>
      <c r="G178" s="33">
        <f>E178/1.367900928137505</f>
        <v/>
      </c>
      <c r="H178" s="33" t="n"/>
      <c r="I178" s="33">
        <f>RANK(E178,$E$5:$E$257,1)</f>
        <v/>
      </c>
    </row>
    <row r="179" ht="36" customHeight="1">
      <c r="A179" s="33" t="n">
        <v>175</v>
      </c>
      <c r="B179" s="33" t="inlineStr">
        <is>
          <t>Draconian</t>
        </is>
      </c>
      <c r="C179" s="33" t="inlineStr">
        <is>
          <t>Tau Cetian</t>
        </is>
      </c>
      <c r="D179" s="33">
        <f>SUMPRODUCT('94_WEIGHT_VECTOR'!$B$5:$CC$5,INDEX('08_EXPECTED_CODEBOOK_V4'!$D$5:$CE$27,MATCH(B179,'08_EXPECTED_CODEBOOK_V4'!$C$5:$C$27,0),0),INDEX('08_EXPECTED_CODEBOOK_V4'!$D$5:$CE$27,MATCH(C179,'08_EXPECTED_CODEBOOK_V4'!$C$5:$C$27,0),0))/'18_WEIGHT_CONTROL'!$B$15/(INDEX('95_WEIGHTED_NORMS'!$C$5:$C$27,MATCH(B179,'95_WEIGHTED_NORMS'!$B$5:$B$27,0))*INDEX('95_WEIGHTED_NORMS'!$C$5:$C$27,MATCH(C179,'95_WEIGHTED_NORMS'!$B$5:$B$27,0)))</f>
        <v/>
      </c>
      <c r="E179" s="33">
        <f>SQRT(MAX(0,2*(1-D179)))</f>
        <v/>
      </c>
      <c r="F179" s="33">
        <f>SQRT(SUMPRODUCT('94_WEIGHT_VECTOR'!$B$5:$CC$5,(INDEX('08_EXPECTED_CODEBOOK_V4'!$D$5:$CE$27,MATCH(B179,'08_EXPECTED_CODEBOOK_V4'!$C$5:$C$27,0),0)-INDEX('08_EXPECTED_CODEBOOK_V4'!$D$5:$CE$27,MATCH(C179,'08_EXPECTED_CODEBOOK_V4'!$C$5:$C$27,0),0))^2)/'18_WEIGHT_CONTROL'!$B$15)</f>
        <v/>
      </c>
      <c r="G179" s="33">
        <f>E179/1.376149757716472</f>
        <v/>
      </c>
      <c r="H179" s="33" t="n"/>
      <c r="I179" s="33">
        <f>RANK(E179,$E$5:$E$257,1)</f>
        <v/>
      </c>
    </row>
    <row r="180" ht="36" customHeight="1">
      <c r="A180" s="33" t="n">
        <v>176</v>
      </c>
      <c r="B180" s="33" t="inlineStr">
        <is>
          <t>Anunnaki / Nibiruan</t>
        </is>
      </c>
      <c r="C180" s="33" t="inlineStr">
        <is>
          <t>Tau Cetian</t>
        </is>
      </c>
      <c r="D180" s="33">
        <f>SUMPRODUCT('94_WEIGHT_VECTOR'!$B$5:$CC$5,INDEX('08_EXPECTED_CODEBOOK_V4'!$D$5:$CE$27,MATCH(B180,'08_EXPECTED_CODEBOOK_V4'!$C$5:$C$27,0),0),INDEX('08_EXPECTED_CODEBOOK_V4'!$D$5:$CE$27,MATCH(C180,'08_EXPECTED_CODEBOOK_V4'!$C$5:$C$27,0),0))/'18_WEIGHT_CONTROL'!$B$15/(INDEX('95_WEIGHTED_NORMS'!$C$5:$C$27,MATCH(B180,'95_WEIGHTED_NORMS'!$B$5:$B$27,0))*INDEX('95_WEIGHTED_NORMS'!$C$5:$C$27,MATCH(C180,'95_WEIGHTED_NORMS'!$B$5:$B$27,0)))</f>
        <v/>
      </c>
      <c r="E180" s="33">
        <f>SQRT(MAX(0,2*(1-D180)))</f>
        <v/>
      </c>
      <c r="F180" s="33">
        <f>SQRT(SUMPRODUCT('94_WEIGHT_VECTOR'!$B$5:$CC$5,(INDEX('08_EXPECTED_CODEBOOK_V4'!$D$5:$CE$27,MATCH(B180,'08_EXPECTED_CODEBOOK_V4'!$C$5:$C$27,0),0)-INDEX('08_EXPECTED_CODEBOOK_V4'!$D$5:$CE$27,MATCH(C180,'08_EXPECTED_CODEBOOK_V4'!$C$5:$C$27,0),0))^2)/'18_WEIGHT_CONTROL'!$B$15)</f>
        <v/>
      </c>
      <c r="G180" s="33">
        <f>E180/1.383161246032542</f>
        <v/>
      </c>
      <c r="H180" s="33" t="n"/>
      <c r="I180" s="33">
        <f>RANK(E180,$E$5:$E$257,1)</f>
        <v/>
      </c>
    </row>
    <row r="181" ht="36" customHeight="1">
      <c r="A181" s="33" t="n">
        <v>177</v>
      </c>
      <c r="B181" s="33" t="inlineStr">
        <is>
          <t>Martian</t>
        </is>
      </c>
      <c r="C181" s="33" t="inlineStr">
        <is>
          <t>Tau Cetian</t>
        </is>
      </c>
      <c r="D181" s="33">
        <f>SUMPRODUCT('94_WEIGHT_VECTOR'!$B$5:$CC$5,INDEX('08_EXPECTED_CODEBOOK_V4'!$D$5:$CE$27,MATCH(B181,'08_EXPECTED_CODEBOOK_V4'!$C$5:$C$27,0),0),INDEX('08_EXPECTED_CODEBOOK_V4'!$D$5:$CE$27,MATCH(C181,'08_EXPECTED_CODEBOOK_V4'!$C$5:$C$27,0),0))/'18_WEIGHT_CONTROL'!$B$15/(INDEX('95_WEIGHTED_NORMS'!$C$5:$C$27,MATCH(B181,'95_WEIGHTED_NORMS'!$B$5:$B$27,0))*INDEX('95_WEIGHTED_NORMS'!$C$5:$C$27,MATCH(C181,'95_WEIGHTED_NORMS'!$B$5:$B$27,0)))</f>
        <v/>
      </c>
      <c r="E181" s="33">
        <f>SQRT(MAX(0,2*(1-D181)))</f>
        <v/>
      </c>
      <c r="F181" s="33">
        <f>SQRT(SUMPRODUCT('94_WEIGHT_VECTOR'!$B$5:$CC$5,(INDEX('08_EXPECTED_CODEBOOK_V4'!$D$5:$CE$27,MATCH(B181,'08_EXPECTED_CODEBOOK_V4'!$C$5:$C$27,0),0)-INDEX('08_EXPECTED_CODEBOOK_V4'!$D$5:$CE$27,MATCH(C181,'08_EXPECTED_CODEBOOK_V4'!$C$5:$C$27,0),0))^2)/'18_WEIGHT_CONTROL'!$B$15)</f>
        <v/>
      </c>
      <c r="G181" s="33">
        <f>E181/1.380800689480507</f>
        <v/>
      </c>
      <c r="H181" s="33" t="n"/>
      <c r="I181" s="33">
        <f>RANK(E181,$E$5:$E$257,1)</f>
        <v/>
      </c>
    </row>
    <row r="182" ht="36" customHeight="1">
      <c r="A182" s="33" t="n">
        <v>178</v>
      </c>
      <c r="B182" s="33" t="inlineStr">
        <is>
          <t>Avian / Blue Avian</t>
        </is>
      </c>
      <c r="C182" s="33" t="inlineStr">
        <is>
          <t>Anunnaki / Nibiruan</t>
        </is>
      </c>
      <c r="D182" s="33">
        <f>SUMPRODUCT('94_WEIGHT_VECTOR'!$B$5:$CC$5,INDEX('08_EXPECTED_CODEBOOK_V4'!$D$5:$CE$27,MATCH(B182,'08_EXPECTED_CODEBOOK_V4'!$C$5:$C$27,0),0),INDEX('08_EXPECTED_CODEBOOK_V4'!$D$5:$CE$27,MATCH(C182,'08_EXPECTED_CODEBOOK_V4'!$C$5:$C$27,0),0))/'18_WEIGHT_CONTROL'!$B$15/(INDEX('95_WEIGHTED_NORMS'!$C$5:$C$27,MATCH(B182,'95_WEIGHTED_NORMS'!$B$5:$B$27,0))*INDEX('95_WEIGHTED_NORMS'!$C$5:$C$27,MATCH(C182,'95_WEIGHTED_NORMS'!$B$5:$B$27,0)))</f>
        <v/>
      </c>
      <c r="E182" s="33">
        <f>SQRT(MAX(0,2*(1-D182)))</f>
        <v/>
      </c>
      <c r="F182" s="33">
        <f>SQRT(SUMPRODUCT('94_WEIGHT_VECTOR'!$B$5:$CC$5,(INDEX('08_EXPECTED_CODEBOOK_V4'!$D$5:$CE$27,MATCH(B182,'08_EXPECTED_CODEBOOK_V4'!$C$5:$C$27,0),0)-INDEX('08_EXPECTED_CODEBOOK_V4'!$D$5:$CE$27,MATCH(C182,'08_EXPECTED_CODEBOOK_V4'!$C$5:$C$27,0),0))^2)/'18_WEIGHT_CONTROL'!$B$15)</f>
        <v/>
      </c>
      <c r="G182" s="33">
        <f>E182/1.383278908363493</f>
        <v/>
      </c>
      <c r="H182" s="33" t="n"/>
      <c r="I182" s="33">
        <f>RANK(E182,$E$5:$E$257,1)</f>
        <v/>
      </c>
    </row>
    <row r="183" ht="36" customHeight="1">
      <c r="A183" s="33" t="n">
        <v>179</v>
      </c>
      <c r="B183" s="33" t="inlineStr">
        <is>
          <t>Hadarian</t>
        </is>
      </c>
      <c r="C183" s="33" t="inlineStr">
        <is>
          <t>Avian / Blue Avian</t>
        </is>
      </c>
      <c r="D183" s="33">
        <f>SUMPRODUCT('94_WEIGHT_VECTOR'!$B$5:$CC$5,INDEX('08_EXPECTED_CODEBOOK_V4'!$D$5:$CE$27,MATCH(B183,'08_EXPECTED_CODEBOOK_V4'!$C$5:$C$27,0),0),INDEX('08_EXPECTED_CODEBOOK_V4'!$D$5:$CE$27,MATCH(C183,'08_EXPECTED_CODEBOOK_V4'!$C$5:$C$27,0),0))/'18_WEIGHT_CONTROL'!$B$15/(INDEX('95_WEIGHTED_NORMS'!$C$5:$C$27,MATCH(B183,'95_WEIGHTED_NORMS'!$B$5:$B$27,0))*INDEX('95_WEIGHTED_NORMS'!$C$5:$C$27,MATCH(C183,'95_WEIGHTED_NORMS'!$B$5:$B$27,0)))</f>
        <v/>
      </c>
      <c r="E183" s="33">
        <f>SQRT(MAX(0,2*(1-D183)))</f>
        <v/>
      </c>
      <c r="F183" s="33">
        <f>SQRT(SUMPRODUCT('94_WEIGHT_VECTOR'!$B$5:$CC$5,(INDEX('08_EXPECTED_CODEBOOK_V4'!$D$5:$CE$27,MATCH(B183,'08_EXPECTED_CODEBOOK_V4'!$C$5:$C$27,0),0)-INDEX('08_EXPECTED_CODEBOOK_V4'!$D$5:$CE$27,MATCH(C183,'08_EXPECTED_CODEBOOK_V4'!$C$5:$C$27,0),0))^2)/'18_WEIGHT_CONTROL'!$B$15)</f>
        <v/>
      </c>
      <c r="G183" s="33">
        <f>E183/1.391808369946742</f>
        <v/>
      </c>
      <c r="H183" s="33" t="n"/>
      <c r="I183" s="33">
        <f>RANK(E183,$E$5:$E$257,1)</f>
        <v/>
      </c>
    </row>
    <row r="184" ht="36" customHeight="1">
      <c r="A184" s="33" t="n">
        <v>180</v>
      </c>
      <c r="B184" s="33" t="inlineStr">
        <is>
          <t>Pleiadian</t>
        </is>
      </c>
      <c r="C184" s="33" t="inlineStr">
        <is>
          <t>Orion</t>
        </is>
      </c>
      <c r="D184" s="33">
        <f>SUMPRODUCT('94_WEIGHT_VECTOR'!$B$5:$CC$5,INDEX('08_EXPECTED_CODEBOOK_V4'!$D$5:$CE$27,MATCH(B184,'08_EXPECTED_CODEBOOK_V4'!$C$5:$C$27,0),0),INDEX('08_EXPECTED_CODEBOOK_V4'!$D$5:$CE$27,MATCH(C184,'08_EXPECTED_CODEBOOK_V4'!$C$5:$C$27,0),0))/'18_WEIGHT_CONTROL'!$B$15/(INDEX('95_WEIGHTED_NORMS'!$C$5:$C$27,MATCH(B184,'95_WEIGHTED_NORMS'!$B$5:$B$27,0))*INDEX('95_WEIGHTED_NORMS'!$C$5:$C$27,MATCH(C184,'95_WEIGHTED_NORMS'!$B$5:$B$27,0)))</f>
        <v/>
      </c>
      <c r="E184" s="33">
        <f>SQRT(MAX(0,2*(1-D184)))</f>
        <v/>
      </c>
      <c r="F184" s="33">
        <f>SQRT(SUMPRODUCT('94_WEIGHT_VECTOR'!$B$5:$CC$5,(INDEX('08_EXPECTED_CODEBOOK_V4'!$D$5:$CE$27,MATCH(B184,'08_EXPECTED_CODEBOOK_V4'!$C$5:$C$27,0),0)-INDEX('08_EXPECTED_CODEBOOK_V4'!$D$5:$CE$27,MATCH(C184,'08_EXPECTED_CODEBOOK_V4'!$C$5:$C$27,0),0))^2)/'18_WEIGHT_CONTROL'!$B$15)</f>
        <v/>
      </c>
      <c r="G184" s="33">
        <f>E184/1.382626946123594</f>
        <v/>
      </c>
      <c r="H184" s="33" t="n"/>
      <c r="I184" s="33">
        <f>RANK(E184,$E$5:$E$257,1)</f>
        <v/>
      </c>
    </row>
    <row r="185" ht="36" customHeight="1">
      <c r="A185" s="33" t="n">
        <v>181</v>
      </c>
      <c r="B185" s="33" t="inlineStr">
        <is>
          <t>Mintakan</t>
        </is>
      </c>
      <c r="C185" s="33" t="inlineStr">
        <is>
          <t>Draconian</t>
        </is>
      </c>
      <c r="D185" s="33">
        <f>SUMPRODUCT('94_WEIGHT_VECTOR'!$B$5:$CC$5,INDEX('08_EXPECTED_CODEBOOK_V4'!$D$5:$CE$27,MATCH(B185,'08_EXPECTED_CODEBOOK_V4'!$C$5:$C$27,0),0),INDEX('08_EXPECTED_CODEBOOK_V4'!$D$5:$CE$27,MATCH(C185,'08_EXPECTED_CODEBOOK_V4'!$C$5:$C$27,0),0))/'18_WEIGHT_CONTROL'!$B$15/(INDEX('95_WEIGHTED_NORMS'!$C$5:$C$27,MATCH(B185,'95_WEIGHTED_NORMS'!$B$5:$B$27,0))*INDEX('95_WEIGHTED_NORMS'!$C$5:$C$27,MATCH(C185,'95_WEIGHTED_NORMS'!$B$5:$B$27,0)))</f>
        <v/>
      </c>
      <c r="E185" s="33">
        <f>SQRT(MAX(0,2*(1-D185)))</f>
        <v/>
      </c>
      <c r="F185" s="33">
        <f>SQRT(SUMPRODUCT('94_WEIGHT_VECTOR'!$B$5:$CC$5,(INDEX('08_EXPECTED_CODEBOOK_V4'!$D$5:$CE$27,MATCH(B185,'08_EXPECTED_CODEBOOK_V4'!$C$5:$C$27,0),0)-INDEX('08_EXPECTED_CODEBOOK_V4'!$D$5:$CE$27,MATCH(C185,'08_EXPECTED_CODEBOOK_V4'!$C$5:$C$27,0),0))^2)/'18_WEIGHT_CONTROL'!$B$15)</f>
        <v/>
      </c>
      <c r="G185" s="33">
        <f>E185/1.394223548622745</f>
        <v/>
      </c>
      <c r="H185" s="33" t="n"/>
      <c r="I185" s="33">
        <f>RANK(E185,$E$5:$E$257,1)</f>
        <v/>
      </c>
    </row>
    <row r="186" ht="36" customHeight="1">
      <c r="A186" s="33" t="n">
        <v>182</v>
      </c>
      <c r="B186" s="33" t="inlineStr">
        <is>
          <t>Pleiadian</t>
        </is>
      </c>
      <c r="C186" s="33" t="inlineStr">
        <is>
          <t>Draconian</t>
        </is>
      </c>
      <c r="D186" s="33">
        <f>SUMPRODUCT('94_WEIGHT_VECTOR'!$B$5:$CC$5,INDEX('08_EXPECTED_CODEBOOK_V4'!$D$5:$CE$27,MATCH(B186,'08_EXPECTED_CODEBOOK_V4'!$C$5:$C$27,0),0),INDEX('08_EXPECTED_CODEBOOK_V4'!$D$5:$CE$27,MATCH(C186,'08_EXPECTED_CODEBOOK_V4'!$C$5:$C$27,0),0))/'18_WEIGHT_CONTROL'!$B$15/(INDEX('95_WEIGHTED_NORMS'!$C$5:$C$27,MATCH(B186,'95_WEIGHTED_NORMS'!$B$5:$B$27,0))*INDEX('95_WEIGHTED_NORMS'!$C$5:$C$27,MATCH(C186,'95_WEIGHTED_NORMS'!$B$5:$B$27,0)))</f>
        <v/>
      </c>
      <c r="E186" s="33">
        <f>SQRT(MAX(0,2*(1-D186)))</f>
        <v/>
      </c>
      <c r="F186" s="33">
        <f>SQRT(SUMPRODUCT('94_WEIGHT_VECTOR'!$B$5:$CC$5,(INDEX('08_EXPECTED_CODEBOOK_V4'!$D$5:$CE$27,MATCH(B186,'08_EXPECTED_CODEBOOK_V4'!$C$5:$C$27,0),0)-INDEX('08_EXPECTED_CODEBOOK_V4'!$D$5:$CE$27,MATCH(C186,'08_EXPECTED_CODEBOOK_V4'!$C$5:$C$27,0),0))^2)/'18_WEIGHT_CONTROL'!$B$15)</f>
        <v/>
      </c>
      <c r="G186" s="33">
        <f>E186/1.396290999230086</f>
        <v/>
      </c>
      <c r="H186" s="33" t="n"/>
      <c r="I186" s="33">
        <f>RANK(E186,$E$5:$E$257,1)</f>
        <v/>
      </c>
    </row>
    <row r="187" ht="36" customHeight="1">
      <c r="A187" s="33" t="n">
        <v>183</v>
      </c>
      <c r="B187" s="33" t="inlineStr">
        <is>
          <t>Reptilian</t>
        </is>
      </c>
      <c r="C187" s="33" t="inlineStr">
        <is>
          <t>Zeta / Grey</t>
        </is>
      </c>
      <c r="D187" s="33">
        <f>SUMPRODUCT('94_WEIGHT_VECTOR'!$B$5:$CC$5,INDEX('08_EXPECTED_CODEBOOK_V4'!$D$5:$CE$27,MATCH(B187,'08_EXPECTED_CODEBOOK_V4'!$C$5:$C$27,0),0),INDEX('08_EXPECTED_CODEBOOK_V4'!$D$5:$CE$27,MATCH(C187,'08_EXPECTED_CODEBOOK_V4'!$C$5:$C$27,0),0))/'18_WEIGHT_CONTROL'!$B$15/(INDEX('95_WEIGHTED_NORMS'!$C$5:$C$27,MATCH(B187,'95_WEIGHTED_NORMS'!$B$5:$B$27,0))*INDEX('95_WEIGHTED_NORMS'!$C$5:$C$27,MATCH(C187,'95_WEIGHTED_NORMS'!$B$5:$B$27,0)))</f>
        <v/>
      </c>
      <c r="E187" s="33">
        <f>SQRT(MAX(0,2*(1-D187)))</f>
        <v/>
      </c>
      <c r="F187" s="33">
        <f>SQRT(SUMPRODUCT('94_WEIGHT_VECTOR'!$B$5:$CC$5,(INDEX('08_EXPECTED_CODEBOOK_V4'!$D$5:$CE$27,MATCH(B187,'08_EXPECTED_CODEBOOK_V4'!$C$5:$C$27,0),0)-INDEX('08_EXPECTED_CODEBOOK_V4'!$D$5:$CE$27,MATCH(C187,'08_EXPECTED_CODEBOOK_V4'!$C$5:$C$27,0),0))^2)/'18_WEIGHT_CONTROL'!$B$15)</f>
        <v/>
      </c>
      <c r="G187" s="33">
        <f>E187/1.398910375899739</f>
        <v/>
      </c>
      <c r="H187" s="33" t="n"/>
      <c r="I187" s="33">
        <f>RANK(E187,$E$5:$E$257,1)</f>
        <v/>
      </c>
    </row>
    <row r="188" ht="36" customHeight="1">
      <c r="A188" s="33" t="n">
        <v>184</v>
      </c>
      <c r="B188" s="33" t="inlineStr">
        <is>
          <t>Arcturian</t>
        </is>
      </c>
      <c r="C188" s="33" t="inlineStr">
        <is>
          <t>Zeta / Grey</t>
        </is>
      </c>
      <c r="D188" s="33">
        <f>SUMPRODUCT('94_WEIGHT_VECTOR'!$B$5:$CC$5,INDEX('08_EXPECTED_CODEBOOK_V4'!$D$5:$CE$27,MATCH(B188,'08_EXPECTED_CODEBOOK_V4'!$C$5:$C$27,0),0),INDEX('08_EXPECTED_CODEBOOK_V4'!$D$5:$CE$27,MATCH(C188,'08_EXPECTED_CODEBOOK_V4'!$C$5:$C$27,0),0))/'18_WEIGHT_CONTROL'!$B$15/(INDEX('95_WEIGHTED_NORMS'!$C$5:$C$27,MATCH(B188,'95_WEIGHTED_NORMS'!$B$5:$B$27,0))*INDEX('95_WEIGHTED_NORMS'!$C$5:$C$27,MATCH(C188,'95_WEIGHTED_NORMS'!$B$5:$B$27,0)))</f>
        <v/>
      </c>
      <c r="E188" s="33">
        <f>SQRT(MAX(0,2*(1-D188)))</f>
        <v/>
      </c>
      <c r="F188" s="33">
        <f>SQRT(SUMPRODUCT('94_WEIGHT_VECTOR'!$B$5:$CC$5,(INDEX('08_EXPECTED_CODEBOOK_V4'!$D$5:$CE$27,MATCH(B188,'08_EXPECTED_CODEBOOK_V4'!$C$5:$C$27,0),0)-INDEX('08_EXPECTED_CODEBOOK_V4'!$D$5:$CE$27,MATCH(C188,'08_EXPECTED_CODEBOOK_V4'!$C$5:$C$27,0),0))^2)/'18_WEIGHT_CONTROL'!$B$15)</f>
        <v/>
      </c>
      <c r="G188" s="33">
        <f>E188/1.402123296564767</f>
        <v/>
      </c>
      <c r="H188" s="33" t="n"/>
      <c r="I188" s="33">
        <f>RANK(E188,$E$5:$E$257,1)</f>
        <v/>
      </c>
    </row>
    <row r="189" ht="36" customHeight="1">
      <c r="A189" s="33" t="n">
        <v>185</v>
      </c>
      <c r="B189" s="33" t="inlineStr">
        <is>
          <t>Arcturian</t>
        </is>
      </c>
      <c r="C189" s="33" t="inlineStr">
        <is>
          <t>Earth-Origin Soul</t>
        </is>
      </c>
      <c r="D189" s="33">
        <f>SUMPRODUCT('94_WEIGHT_VECTOR'!$B$5:$CC$5,INDEX('08_EXPECTED_CODEBOOK_V4'!$D$5:$CE$27,MATCH(B189,'08_EXPECTED_CODEBOOK_V4'!$C$5:$C$27,0),0),INDEX('08_EXPECTED_CODEBOOK_V4'!$D$5:$CE$27,MATCH(C189,'08_EXPECTED_CODEBOOK_V4'!$C$5:$C$27,0),0))/'18_WEIGHT_CONTROL'!$B$15/(INDEX('95_WEIGHTED_NORMS'!$C$5:$C$27,MATCH(B189,'95_WEIGHTED_NORMS'!$B$5:$B$27,0))*INDEX('95_WEIGHTED_NORMS'!$C$5:$C$27,MATCH(C189,'95_WEIGHTED_NORMS'!$B$5:$B$27,0)))</f>
        <v/>
      </c>
      <c r="E189" s="33">
        <f>SQRT(MAX(0,2*(1-D189)))</f>
        <v/>
      </c>
      <c r="F189" s="33">
        <f>SQRT(SUMPRODUCT('94_WEIGHT_VECTOR'!$B$5:$CC$5,(INDEX('08_EXPECTED_CODEBOOK_V4'!$D$5:$CE$27,MATCH(B189,'08_EXPECTED_CODEBOOK_V4'!$C$5:$C$27,0),0)-INDEX('08_EXPECTED_CODEBOOK_V4'!$D$5:$CE$27,MATCH(C189,'08_EXPECTED_CODEBOOK_V4'!$C$5:$C$27,0),0))^2)/'18_WEIGHT_CONTROL'!$B$15)</f>
        <v/>
      </c>
      <c r="G189" s="33">
        <f>E189/1.398661734550848</f>
        <v/>
      </c>
      <c r="H189" s="33" t="n"/>
      <c r="I189" s="33">
        <f>RANK(E189,$E$5:$E$257,1)</f>
        <v/>
      </c>
    </row>
    <row r="190" ht="36" customHeight="1">
      <c r="A190" s="33" t="n">
        <v>186</v>
      </c>
      <c r="B190" s="33" t="inlineStr">
        <is>
          <t>Reptilian</t>
        </is>
      </c>
      <c r="C190" s="33" t="inlineStr">
        <is>
          <t>Anunnaki / Nibiruan</t>
        </is>
      </c>
      <c r="D190" s="33">
        <f>SUMPRODUCT('94_WEIGHT_VECTOR'!$B$5:$CC$5,INDEX('08_EXPECTED_CODEBOOK_V4'!$D$5:$CE$27,MATCH(B190,'08_EXPECTED_CODEBOOK_V4'!$C$5:$C$27,0),0),INDEX('08_EXPECTED_CODEBOOK_V4'!$D$5:$CE$27,MATCH(C190,'08_EXPECTED_CODEBOOK_V4'!$C$5:$C$27,0),0))/'18_WEIGHT_CONTROL'!$B$15/(INDEX('95_WEIGHTED_NORMS'!$C$5:$C$27,MATCH(B190,'95_WEIGHTED_NORMS'!$B$5:$B$27,0))*INDEX('95_WEIGHTED_NORMS'!$C$5:$C$27,MATCH(C190,'95_WEIGHTED_NORMS'!$B$5:$B$27,0)))</f>
        <v/>
      </c>
      <c r="E190" s="33">
        <f>SQRT(MAX(0,2*(1-D190)))</f>
        <v/>
      </c>
      <c r="F190" s="33">
        <f>SQRT(SUMPRODUCT('94_WEIGHT_VECTOR'!$B$5:$CC$5,(INDEX('08_EXPECTED_CODEBOOK_V4'!$D$5:$CE$27,MATCH(B190,'08_EXPECTED_CODEBOOK_V4'!$C$5:$C$27,0),0)-INDEX('08_EXPECTED_CODEBOOK_V4'!$D$5:$CE$27,MATCH(C190,'08_EXPECTED_CODEBOOK_V4'!$C$5:$C$27,0),0))^2)/'18_WEIGHT_CONTROL'!$B$15)</f>
        <v/>
      </c>
      <c r="G190" s="33">
        <f>E190/1.409164575169553</f>
        <v/>
      </c>
      <c r="H190" s="33" t="n"/>
      <c r="I190" s="33">
        <f>RANK(E190,$E$5:$E$257,1)</f>
        <v/>
      </c>
    </row>
    <row r="191" ht="36" customHeight="1">
      <c r="A191" s="33" t="n">
        <v>187</v>
      </c>
      <c r="B191" s="33" t="inlineStr">
        <is>
          <t>Polarian</t>
        </is>
      </c>
      <c r="C191" s="33" t="inlineStr">
        <is>
          <t>Avian / Blue Avian</t>
        </is>
      </c>
      <c r="D191" s="33">
        <f>SUMPRODUCT('94_WEIGHT_VECTOR'!$B$5:$CC$5,INDEX('08_EXPECTED_CODEBOOK_V4'!$D$5:$CE$27,MATCH(B191,'08_EXPECTED_CODEBOOK_V4'!$C$5:$C$27,0),0),INDEX('08_EXPECTED_CODEBOOK_V4'!$D$5:$CE$27,MATCH(C191,'08_EXPECTED_CODEBOOK_V4'!$C$5:$C$27,0),0))/'18_WEIGHT_CONTROL'!$B$15/(INDEX('95_WEIGHTED_NORMS'!$C$5:$C$27,MATCH(B191,'95_WEIGHTED_NORMS'!$B$5:$B$27,0))*INDEX('95_WEIGHTED_NORMS'!$C$5:$C$27,MATCH(C191,'95_WEIGHTED_NORMS'!$B$5:$B$27,0)))</f>
        <v/>
      </c>
      <c r="E191" s="33">
        <f>SQRT(MAX(0,2*(1-D191)))</f>
        <v/>
      </c>
      <c r="F191" s="33">
        <f>SQRT(SUMPRODUCT('94_WEIGHT_VECTOR'!$B$5:$CC$5,(INDEX('08_EXPECTED_CODEBOOK_V4'!$D$5:$CE$27,MATCH(B191,'08_EXPECTED_CODEBOOK_V4'!$C$5:$C$27,0),0)-INDEX('08_EXPECTED_CODEBOOK_V4'!$D$5:$CE$27,MATCH(C191,'08_EXPECTED_CODEBOOK_V4'!$C$5:$C$27,0),0))^2)/'18_WEIGHT_CONTROL'!$B$15)</f>
        <v/>
      </c>
      <c r="G191" s="33">
        <f>E191/1.401407111073738</f>
        <v/>
      </c>
      <c r="H191" s="33" t="n"/>
      <c r="I191" s="33">
        <f>RANK(E191,$E$5:$E$257,1)</f>
        <v/>
      </c>
    </row>
    <row r="192" ht="36" customHeight="1">
      <c r="A192" s="33" t="n">
        <v>188</v>
      </c>
      <c r="B192" s="33" t="inlineStr">
        <is>
          <t>Orion</t>
        </is>
      </c>
      <c r="C192" s="33" t="inlineStr">
        <is>
          <t>Mintakan</t>
        </is>
      </c>
      <c r="D192" s="33">
        <f>SUMPRODUCT('94_WEIGHT_VECTOR'!$B$5:$CC$5,INDEX('08_EXPECTED_CODEBOOK_V4'!$D$5:$CE$27,MATCH(B192,'08_EXPECTED_CODEBOOK_V4'!$C$5:$C$27,0),0),INDEX('08_EXPECTED_CODEBOOK_V4'!$D$5:$CE$27,MATCH(C192,'08_EXPECTED_CODEBOOK_V4'!$C$5:$C$27,0),0))/'18_WEIGHT_CONTROL'!$B$15/(INDEX('95_WEIGHTED_NORMS'!$C$5:$C$27,MATCH(B192,'95_WEIGHTED_NORMS'!$B$5:$B$27,0))*INDEX('95_WEIGHTED_NORMS'!$C$5:$C$27,MATCH(C192,'95_WEIGHTED_NORMS'!$B$5:$B$27,0)))</f>
        <v/>
      </c>
      <c r="E192" s="33">
        <f>SQRT(MAX(0,2*(1-D192)))</f>
        <v/>
      </c>
      <c r="F192" s="33">
        <f>SQRT(SUMPRODUCT('94_WEIGHT_VECTOR'!$B$5:$CC$5,(INDEX('08_EXPECTED_CODEBOOK_V4'!$D$5:$CE$27,MATCH(B192,'08_EXPECTED_CODEBOOK_V4'!$C$5:$C$27,0),0)-INDEX('08_EXPECTED_CODEBOOK_V4'!$D$5:$CE$27,MATCH(C192,'08_EXPECTED_CODEBOOK_V4'!$C$5:$C$27,0),0))^2)/'18_WEIGHT_CONTROL'!$B$15)</f>
        <v/>
      </c>
      <c r="G192" s="33">
        <f>E192/1.397500359893595</f>
        <v/>
      </c>
      <c r="H192" s="33" t="n"/>
      <c r="I192" s="33">
        <f>RANK(E192,$E$5:$E$257,1)</f>
        <v/>
      </c>
    </row>
    <row r="193" ht="36" customHeight="1">
      <c r="A193" s="33" t="n">
        <v>189</v>
      </c>
      <c r="B193" s="33" t="inlineStr">
        <is>
          <t>Alpha Centaurian</t>
        </is>
      </c>
      <c r="C193" s="33" t="inlineStr">
        <is>
          <t>Martian</t>
        </is>
      </c>
      <c r="D193" s="33">
        <f>SUMPRODUCT('94_WEIGHT_VECTOR'!$B$5:$CC$5,INDEX('08_EXPECTED_CODEBOOK_V4'!$D$5:$CE$27,MATCH(B193,'08_EXPECTED_CODEBOOK_V4'!$C$5:$C$27,0),0),INDEX('08_EXPECTED_CODEBOOK_V4'!$D$5:$CE$27,MATCH(C193,'08_EXPECTED_CODEBOOK_V4'!$C$5:$C$27,0),0))/'18_WEIGHT_CONTROL'!$B$15/(INDEX('95_WEIGHTED_NORMS'!$C$5:$C$27,MATCH(B193,'95_WEIGHTED_NORMS'!$B$5:$B$27,0))*INDEX('95_WEIGHTED_NORMS'!$C$5:$C$27,MATCH(C193,'95_WEIGHTED_NORMS'!$B$5:$B$27,0)))</f>
        <v/>
      </c>
      <c r="E193" s="33">
        <f>SQRT(MAX(0,2*(1-D193)))</f>
        <v/>
      </c>
      <c r="F193" s="33">
        <f>SQRT(SUMPRODUCT('94_WEIGHT_VECTOR'!$B$5:$CC$5,(INDEX('08_EXPECTED_CODEBOOK_V4'!$D$5:$CE$27,MATCH(B193,'08_EXPECTED_CODEBOOK_V4'!$C$5:$C$27,0),0)-INDEX('08_EXPECTED_CODEBOOK_V4'!$D$5:$CE$27,MATCH(C193,'08_EXPECTED_CODEBOOK_V4'!$C$5:$C$27,0),0))^2)/'18_WEIGHT_CONTROL'!$B$15)</f>
        <v/>
      </c>
      <c r="G193" s="33">
        <f>E193/1.409076329979128</f>
        <v/>
      </c>
      <c r="H193" s="33" t="n"/>
      <c r="I193" s="33">
        <f>RANK(E193,$E$5:$E$257,1)</f>
        <v/>
      </c>
    </row>
    <row r="194" ht="36" customHeight="1">
      <c r="A194" s="33" t="n">
        <v>190</v>
      </c>
      <c r="B194" s="33" t="inlineStr">
        <is>
          <t>Mintakan</t>
        </is>
      </c>
      <c r="C194" s="33" t="inlineStr">
        <is>
          <t>Antarian</t>
        </is>
      </c>
      <c r="D194" s="33">
        <f>SUMPRODUCT('94_WEIGHT_VECTOR'!$B$5:$CC$5,INDEX('08_EXPECTED_CODEBOOK_V4'!$D$5:$CE$27,MATCH(B194,'08_EXPECTED_CODEBOOK_V4'!$C$5:$C$27,0),0),INDEX('08_EXPECTED_CODEBOOK_V4'!$D$5:$CE$27,MATCH(C194,'08_EXPECTED_CODEBOOK_V4'!$C$5:$C$27,0),0))/'18_WEIGHT_CONTROL'!$B$15/(INDEX('95_WEIGHTED_NORMS'!$C$5:$C$27,MATCH(B194,'95_WEIGHTED_NORMS'!$B$5:$B$27,0))*INDEX('95_WEIGHTED_NORMS'!$C$5:$C$27,MATCH(C194,'95_WEIGHTED_NORMS'!$B$5:$B$27,0)))</f>
        <v/>
      </c>
      <c r="E194" s="33">
        <f>SQRT(MAX(0,2*(1-D194)))</f>
        <v/>
      </c>
      <c r="F194" s="33">
        <f>SQRT(SUMPRODUCT('94_WEIGHT_VECTOR'!$B$5:$CC$5,(INDEX('08_EXPECTED_CODEBOOK_V4'!$D$5:$CE$27,MATCH(B194,'08_EXPECTED_CODEBOOK_V4'!$C$5:$C$27,0),0)-INDEX('08_EXPECTED_CODEBOOK_V4'!$D$5:$CE$27,MATCH(C194,'08_EXPECTED_CODEBOOK_V4'!$C$5:$C$27,0),0))^2)/'18_WEIGHT_CONTROL'!$B$15)</f>
        <v/>
      </c>
      <c r="G194" s="33">
        <f>E194/1.406351942136252</f>
        <v/>
      </c>
      <c r="H194" s="33" t="n"/>
      <c r="I194" s="33">
        <f>RANK(E194,$E$5:$E$257,1)</f>
        <v/>
      </c>
    </row>
    <row r="195" ht="36" customHeight="1">
      <c r="A195" s="33" t="n">
        <v>191</v>
      </c>
      <c r="B195" s="33" t="inlineStr">
        <is>
          <t>Lyran</t>
        </is>
      </c>
      <c r="C195" s="33" t="inlineStr">
        <is>
          <t>Polarian</t>
        </is>
      </c>
      <c r="D195" s="33">
        <f>SUMPRODUCT('94_WEIGHT_VECTOR'!$B$5:$CC$5,INDEX('08_EXPECTED_CODEBOOK_V4'!$D$5:$CE$27,MATCH(B195,'08_EXPECTED_CODEBOOK_V4'!$C$5:$C$27,0),0),INDEX('08_EXPECTED_CODEBOOK_V4'!$D$5:$CE$27,MATCH(C195,'08_EXPECTED_CODEBOOK_V4'!$C$5:$C$27,0),0))/'18_WEIGHT_CONTROL'!$B$15/(INDEX('95_WEIGHTED_NORMS'!$C$5:$C$27,MATCH(B195,'95_WEIGHTED_NORMS'!$B$5:$B$27,0))*INDEX('95_WEIGHTED_NORMS'!$C$5:$C$27,MATCH(C195,'95_WEIGHTED_NORMS'!$B$5:$B$27,0)))</f>
        <v/>
      </c>
      <c r="E195" s="33">
        <f>SQRT(MAX(0,2*(1-D195)))</f>
        <v/>
      </c>
      <c r="F195" s="33">
        <f>SQRT(SUMPRODUCT('94_WEIGHT_VECTOR'!$B$5:$CC$5,(INDEX('08_EXPECTED_CODEBOOK_V4'!$D$5:$CE$27,MATCH(B195,'08_EXPECTED_CODEBOOK_V4'!$C$5:$C$27,0),0)-INDEX('08_EXPECTED_CODEBOOK_V4'!$D$5:$CE$27,MATCH(C195,'08_EXPECTED_CODEBOOK_V4'!$C$5:$C$27,0),0))^2)/'18_WEIGHT_CONTROL'!$B$15)</f>
        <v/>
      </c>
      <c r="G195" s="33">
        <f>E195/1.416796917866604</f>
        <v/>
      </c>
      <c r="H195" s="33" t="n"/>
      <c r="I195" s="33">
        <f>RANK(E195,$E$5:$E$257,1)</f>
        <v/>
      </c>
    </row>
    <row r="196" ht="36" customHeight="1">
      <c r="A196" s="33" t="n">
        <v>192</v>
      </c>
      <c r="B196" s="33" t="inlineStr">
        <is>
          <t>Feline / Urmah</t>
        </is>
      </c>
      <c r="C196" s="33" t="inlineStr">
        <is>
          <t>Avian / Blue Avian</t>
        </is>
      </c>
      <c r="D196" s="33">
        <f>SUMPRODUCT('94_WEIGHT_VECTOR'!$B$5:$CC$5,INDEX('08_EXPECTED_CODEBOOK_V4'!$D$5:$CE$27,MATCH(B196,'08_EXPECTED_CODEBOOK_V4'!$C$5:$C$27,0),0),INDEX('08_EXPECTED_CODEBOOK_V4'!$D$5:$CE$27,MATCH(C196,'08_EXPECTED_CODEBOOK_V4'!$C$5:$C$27,0),0))/'18_WEIGHT_CONTROL'!$B$15/(INDEX('95_WEIGHTED_NORMS'!$C$5:$C$27,MATCH(B196,'95_WEIGHTED_NORMS'!$B$5:$B$27,0))*INDEX('95_WEIGHTED_NORMS'!$C$5:$C$27,MATCH(C196,'95_WEIGHTED_NORMS'!$B$5:$B$27,0)))</f>
        <v/>
      </c>
      <c r="E196" s="33">
        <f>SQRT(MAX(0,2*(1-D196)))</f>
        <v/>
      </c>
      <c r="F196" s="33">
        <f>SQRT(SUMPRODUCT('94_WEIGHT_VECTOR'!$B$5:$CC$5,(INDEX('08_EXPECTED_CODEBOOK_V4'!$D$5:$CE$27,MATCH(B196,'08_EXPECTED_CODEBOOK_V4'!$C$5:$C$27,0),0)-INDEX('08_EXPECTED_CODEBOOK_V4'!$D$5:$CE$27,MATCH(C196,'08_EXPECTED_CODEBOOK_V4'!$C$5:$C$27,0),0))^2)/'18_WEIGHT_CONTROL'!$B$15)</f>
        <v/>
      </c>
      <c r="G196" s="33">
        <f>E196/1.414213562373095</f>
        <v/>
      </c>
      <c r="H196" s="33" t="n"/>
      <c r="I196" s="33">
        <f>RANK(E196,$E$5:$E$257,1)</f>
        <v/>
      </c>
    </row>
    <row r="197" ht="36" customHeight="1">
      <c r="A197" s="33" t="n">
        <v>193</v>
      </c>
      <c r="B197" s="33" t="inlineStr">
        <is>
          <t>Sirian</t>
        </is>
      </c>
      <c r="C197" s="33" t="inlineStr">
        <is>
          <t>Avian / Blue Avian</t>
        </is>
      </c>
      <c r="D197" s="33">
        <f>SUMPRODUCT('94_WEIGHT_VECTOR'!$B$5:$CC$5,INDEX('08_EXPECTED_CODEBOOK_V4'!$D$5:$CE$27,MATCH(B197,'08_EXPECTED_CODEBOOK_V4'!$C$5:$C$27,0),0),INDEX('08_EXPECTED_CODEBOOK_V4'!$D$5:$CE$27,MATCH(C197,'08_EXPECTED_CODEBOOK_V4'!$C$5:$C$27,0),0))/'18_WEIGHT_CONTROL'!$B$15/(INDEX('95_WEIGHTED_NORMS'!$C$5:$C$27,MATCH(B197,'95_WEIGHTED_NORMS'!$B$5:$B$27,0))*INDEX('95_WEIGHTED_NORMS'!$C$5:$C$27,MATCH(C197,'95_WEIGHTED_NORMS'!$B$5:$B$27,0)))</f>
        <v/>
      </c>
      <c r="E197" s="33">
        <f>SQRT(MAX(0,2*(1-D197)))</f>
        <v/>
      </c>
      <c r="F197" s="33">
        <f>SQRT(SUMPRODUCT('94_WEIGHT_VECTOR'!$B$5:$CC$5,(INDEX('08_EXPECTED_CODEBOOK_V4'!$D$5:$CE$27,MATCH(B197,'08_EXPECTED_CODEBOOK_V4'!$C$5:$C$27,0),0)-INDEX('08_EXPECTED_CODEBOOK_V4'!$D$5:$CE$27,MATCH(C197,'08_EXPECTED_CODEBOOK_V4'!$C$5:$C$27,0),0))^2)/'18_WEIGHT_CONTROL'!$B$15)</f>
        <v/>
      </c>
      <c r="G197" s="33">
        <f>E197/1.42246054105396</f>
        <v/>
      </c>
      <c r="H197" s="33" t="n"/>
      <c r="I197" s="33">
        <f>RANK(E197,$E$5:$E$257,1)</f>
        <v/>
      </c>
    </row>
    <row r="198" ht="36" customHeight="1">
      <c r="A198" s="33" t="n">
        <v>194</v>
      </c>
      <c r="B198" s="33" t="inlineStr">
        <is>
          <t>Arcturian</t>
        </is>
      </c>
      <c r="C198" s="33" t="inlineStr">
        <is>
          <t>Antarian</t>
        </is>
      </c>
      <c r="D198" s="33">
        <f>SUMPRODUCT('94_WEIGHT_VECTOR'!$B$5:$CC$5,INDEX('08_EXPECTED_CODEBOOK_V4'!$D$5:$CE$27,MATCH(B198,'08_EXPECTED_CODEBOOK_V4'!$C$5:$C$27,0),0),INDEX('08_EXPECTED_CODEBOOK_V4'!$D$5:$CE$27,MATCH(C198,'08_EXPECTED_CODEBOOK_V4'!$C$5:$C$27,0),0))/'18_WEIGHT_CONTROL'!$B$15/(INDEX('95_WEIGHTED_NORMS'!$C$5:$C$27,MATCH(B198,'95_WEIGHTED_NORMS'!$B$5:$B$27,0))*INDEX('95_WEIGHTED_NORMS'!$C$5:$C$27,MATCH(C198,'95_WEIGHTED_NORMS'!$B$5:$B$27,0)))</f>
        <v/>
      </c>
      <c r="E198" s="33">
        <f>SQRT(MAX(0,2*(1-D198)))</f>
        <v/>
      </c>
      <c r="F198" s="33">
        <f>SQRT(SUMPRODUCT('94_WEIGHT_VECTOR'!$B$5:$CC$5,(INDEX('08_EXPECTED_CODEBOOK_V4'!$D$5:$CE$27,MATCH(B198,'08_EXPECTED_CODEBOOK_V4'!$C$5:$C$27,0),0)-INDEX('08_EXPECTED_CODEBOOK_V4'!$D$5:$CE$27,MATCH(C198,'08_EXPECTED_CODEBOOK_V4'!$C$5:$C$27,0),0))^2)/'18_WEIGHT_CONTROL'!$B$15)</f>
        <v/>
      </c>
      <c r="G198" s="33">
        <f>E198/1.433628520069996</f>
        <v/>
      </c>
      <c r="H198" s="33" t="n"/>
      <c r="I198" s="33">
        <f>RANK(E198,$E$5:$E$257,1)</f>
        <v/>
      </c>
    </row>
    <row r="199" ht="36" customHeight="1">
      <c r="A199" s="33" t="n">
        <v>195</v>
      </c>
      <c r="B199" s="33" t="inlineStr">
        <is>
          <t>Avian / Blue Avian</t>
        </is>
      </c>
      <c r="C199" s="33" t="inlineStr">
        <is>
          <t>Maldekian</t>
        </is>
      </c>
      <c r="D199" s="33">
        <f>SUMPRODUCT('94_WEIGHT_VECTOR'!$B$5:$CC$5,INDEX('08_EXPECTED_CODEBOOK_V4'!$D$5:$CE$27,MATCH(B199,'08_EXPECTED_CODEBOOK_V4'!$C$5:$C$27,0),0),INDEX('08_EXPECTED_CODEBOOK_V4'!$D$5:$CE$27,MATCH(C199,'08_EXPECTED_CODEBOOK_V4'!$C$5:$C$27,0),0))/'18_WEIGHT_CONTROL'!$B$15/(INDEX('95_WEIGHTED_NORMS'!$C$5:$C$27,MATCH(B199,'95_WEIGHTED_NORMS'!$B$5:$B$27,0))*INDEX('95_WEIGHTED_NORMS'!$C$5:$C$27,MATCH(C199,'95_WEIGHTED_NORMS'!$B$5:$B$27,0)))</f>
        <v/>
      </c>
      <c r="E199" s="33">
        <f>SQRT(MAX(0,2*(1-D199)))</f>
        <v/>
      </c>
      <c r="F199" s="33">
        <f>SQRT(SUMPRODUCT('94_WEIGHT_VECTOR'!$B$5:$CC$5,(INDEX('08_EXPECTED_CODEBOOK_V4'!$D$5:$CE$27,MATCH(B199,'08_EXPECTED_CODEBOOK_V4'!$C$5:$C$27,0),0)-INDEX('08_EXPECTED_CODEBOOK_V4'!$D$5:$CE$27,MATCH(C199,'08_EXPECTED_CODEBOOK_V4'!$C$5:$C$27,0),0))^2)/'18_WEIGHT_CONTROL'!$B$15)</f>
        <v/>
      </c>
      <c r="G199" s="33">
        <f>E199/1.428522429015589</f>
        <v/>
      </c>
      <c r="H199" s="33" t="n"/>
      <c r="I199" s="33">
        <f>RANK(E199,$E$5:$E$257,1)</f>
        <v/>
      </c>
    </row>
    <row r="200" ht="36" customHeight="1">
      <c r="A200" s="33" t="n">
        <v>196</v>
      </c>
      <c r="B200" s="33" t="inlineStr">
        <is>
          <t>Andromedan</t>
        </is>
      </c>
      <c r="C200" s="33" t="inlineStr">
        <is>
          <t>Feline / Urmah</t>
        </is>
      </c>
      <c r="D200" s="33">
        <f>SUMPRODUCT('94_WEIGHT_VECTOR'!$B$5:$CC$5,INDEX('08_EXPECTED_CODEBOOK_V4'!$D$5:$CE$27,MATCH(B200,'08_EXPECTED_CODEBOOK_V4'!$C$5:$C$27,0),0),INDEX('08_EXPECTED_CODEBOOK_V4'!$D$5:$CE$27,MATCH(C200,'08_EXPECTED_CODEBOOK_V4'!$C$5:$C$27,0),0))/'18_WEIGHT_CONTROL'!$B$15/(INDEX('95_WEIGHTED_NORMS'!$C$5:$C$27,MATCH(B200,'95_WEIGHTED_NORMS'!$B$5:$B$27,0))*INDEX('95_WEIGHTED_NORMS'!$C$5:$C$27,MATCH(C200,'95_WEIGHTED_NORMS'!$B$5:$B$27,0)))</f>
        <v/>
      </c>
      <c r="E200" s="33">
        <f>SQRT(MAX(0,2*(1-D200)))</f>
        <v/>
      </c>
      <c r="F200" s="33">
        <f>SQRT(SUMPRODUCT('94_WEIGHT_VECTOR'!$B$5:$CC$5,(INDEX('08_EXPECTED_CODEBOOK_V4'!$D$5:$CE$27,MATCH(B200,'08_EXPECTED_CODEBOOK_V4'!$C$5:$C$27,0),0)-INDEX('08_EXPECTED_CODEBOOK_V4'!$D$5:$CE$27,MATCH(C200,'08_EXPECTED_CODEBOOK_V4'!$C$5:$C$27,0),0))^2)/'18_WEIGHT_CONTROL'!$B$15)</f>
        <v/>
      </c>
      <c r="G200" s="33">
        <f>E200/1.436484397025634</f>
        <v/>
      </c>
      <c r="H200" s="33" t="n"/>
      <c r="I200" s="33">
        <f>RANK(E200,$E$5:$E$257,1)</f>
        <v/>
      </c>
    </row>
    <row r="201" ht="36" customHeight="1">
      <c r="A201" s="33" t="n">
        <v>197</v>
      </c>
      <c r="B201" s="33" t="inlineStr">
        <is>
          <t>Mintakan</t>
        </is>
      </c>
      <c r="C201" s="33" t="inlineStr">
        <is>
          <t>Maldekian</t>
        </is>
      </c>
      <c r="D201" s="33">
        <f>SUMPRODUCT('94_WEIGHT_VECTOR'!$B$5:$CC$5,INDEX('08_EXPECTED_CODEBOOK_V4'!$D$5:$CE$27,MATCH(B201,'08_EXPECTED_CODEBOOK_V4'!$C$5:$C$27,0),0),INDEX('08_EXPECTED_CODEBOOK_V4'!$D$5:$CE$27,MATCH(C201,'08_EXPECTED_CODEBOOK_V4'!$C$5:$C$27,0),0))/'18_WEIGHT_CONTROL'!$B$15/(INDEX('95_WEIGHTED_NORMS'!$C$5:$C$27,MATCH(B201,'95_WEIGHTED_NORMS'!$B$5:$B$27,0))*INDEX('95_WEIGHTED_NORMS'!$C$5:$C$27,MATCH(C201,'95_WEIGHTED_NORMS'!$B$5:$B$27,0)))</f>
        <v/>
      </c>
      <c r="E201" s="33">
        <f>SQRT(MAX(0,2*(1-D201)))</f>
        <v/>
      </c>
      <c r="F201" s="33">
        <f>SQRT(SUMPRODUCT('94_WEIGHT_VECTOR'!$B$5:$CC$5,(INDEX('08_EXPECTED_CODEBOOK_V4'!$D$5:$CE$27,MATCH(B201,'08_EXPECTED_CODEBOOK_V4'!$C$5:$C$27,0),0)-INDEX('08_EXPECTED_CODEBOOK_V4'!$D$5:$CE$27,MATCH(C201,'08_EXPECTED_CODEBOOK_V4'!$C$5:$C$27,0),0))^2)/'18_WEIGHT_CONTROL'!$B$15)</f>
        <v/>
      </c>
      <c r="G201" s="33">
        <f>E201/1.436580264200046</f>
        <v/>
      </c>
      <c r="H201" s="33" t="n"/>
      <c r="I201" s="33">
        <f>RANK(E201,$E$5:$E$257,1)</f>
        <v/>
      </c>
    </row>
    <row r="202" ht="36" customHeight="1">
      <c r="A202" s="33" t="n">
        <v>198</v>
      </c>
      <c r="B202" s="33" t="inlineStr">
        <is>
          <t>Venusian</t>
        </is>
      </c>
      <c r="C202" s="33" t="inlineStr">
        <is>
          <t>Zeta / Grey</t>
        </is>
      </c>
      <c r="D202" s="33">
        <f>SUMPRODUCT('94_WEIGHT_VECTOR'!$B$5:$CC$5,INDEX('08_EXPECTED_CODEBOOK_V4'!$D$5:$CE$27,MATCH(B202,'08_EXPECTED_CODEBOOK_V4'!$C$5:$C$27,0),0),INDEX('08_EXPECTED_CODEBOOK_V4'!$D$5:$CE$27,MATCH(C202,'08_EXPECTED_CODEBOOK_V4'!$C$5:$C$27,0),0))/'18_WEIGHT_CONTROL'!$B$15/(INDEX('95_WEIGHTED_NORMS'!$C$5:$C$27,MATCH(B202,'95_WEIGHTED_NORMS'!$B$5:$B$27,0))*INDEX('95_WEIGHTED_NORMS'!$C$5:$C$27,MATCH(C202,'95_WEIGHTED_NORMS'!$B$5:$B$27,0)))</f>
        <v/>
      </c>
      <c r="E202" s="33">
        <f>SQRT(MAX(0,2*(1-D202)))</f>
        <v/>
      </c>
      <c r="F202" s="33">
        <f>SQRT(SUMPRODUCT('94_WEIGHT_VECTOR'!$B$5:$CC$5,(INDEX('08_EXPECTED_CODEBOOK_V4'!$D$5:$CE$27,MATCH(B202,'08_EXPECTED_CODEBOOK_V4'!$C$5:$C$27,0),0)-INDEX('08_EXPECTED_CODEBOOK_V4'!$D$5:$CE$27,MATCH(C202,'08_EXPECTED_CODEBOOK_V4'!$C$5:$C$27,0),0))^2)/'18_WEIGHT_CONTROL'!$B$15)</f>
        <v/>
      </c>
      <c r="G202" s="33">
        <f>E202/1.441690466518631</f>
        <v/>
      </c>
      <c r="H202" s="33" t="n"/>
      <c r="I202" s="33">
        <f>RANK(E202,$E$5:$E$257,1)</f>
        <v/>
      </c>
    </row>
    <row r="203" ht="36" customHeight="1">
      <c r="A203" s="33" t="n">
        <v>199</v>
      </c>
      <c r="B203" s="33" t="inlineStr">
        <is>
          <t>Lyran</t>
        </is>
      </c>
      <c r="C203" s="33" t="inlineStr">
        <is>
          <t>Avian / Blue Avian</t>
        </is>
      </c>
      <c r="D203" s="33">
        <f>SUMPRODUCT('94_WEIGHT_VECTOR'!$B$5:$CC$5,INDEX('08_EXPECTED_CODEBOOK_V4'!$D$5:$CE$27,MATCH(B203,'08_EXPECTED_CODEBOOK_V4'!$C$5:$C$27,0),0),INDEX('08_EXPECTED_CODEBOOK_V4'!$D$5:$CE$27,MATCH(C203,'08_EXPECTED_CODEBOOK_V4'!$C$5:$C$27,0),0))/'18_WEIGHT_CONTROL'!$B$15/(INDEX('95_WEIGHTED_NORMS'!$C$5:$C$27,MATCH(B203,'95_WEIGHTED_NORMS'!$B$5:$B$27,0))*INDEX('95_WEIGHTED_NORMS'!$C$5:$C$27,MATCH(C203,'95_WEIGHTED_NORMS'!$B$5:$B$27,0)))</f>
        <v/>
      </c>
      <c r="E203" s="33">
        <f>SQRT(MAX(0,2*(1-D203)))</f>
        <v/>
      </c>
      <c r="F203" s="33">
        <f>SQRT(SUMPRODUCT('94_WEIGHT_VECTOR'!$B$5:$CC$5,(INDEX('08_EXPECTED_CODEBOOK_V4'!$D$5:$CE$27,MATCH(B203,'08_EXPECTED_CODEBOOK_V4'!$C$5:$C$27,0),0)-INDEX('08_EXPECTED_CODEBOOK_V4'!$D$5:$CE$27,MATCH(C203,'08_EXPECTED_CODEBOOK_V4'!$C$5:$C$27,0),0))^2)/'18_WEIGHT_CONTROL'!$B$15)</f>
        <v/>
      </c>
      <c r="G203" s="33">
        <f>E203/1.447826595570479</f>
        <v/>
      </c>
      <c r="H203" s="33" t="n"/>
      <c r="I203" s="33">
        <f>RANK(E203,$E$5:$E$257,1)</f>
        <v/>
      </c>
    </row>
    <row r="204" ht="36" customHeight="1">
      <c r="A204" s="33" t="n">
        <v>200</v>
      </c>
      <c r="B204" s="33" t="inlineStr">
        <is>
          <t>Mintakan</t>
        </is>
      </c>
      <c r="C204" s="33" t="inlineStr">
        <is>
          <t>Zeta / Grey</t>
        </is>
      </c>
      <c r="D204" s="33">
        <f>SUMPRODUCT('94_WEIGHT_VECTOR'!$B$5:$CC$5,INDEX('08_EXPECTED_CODEBOOK_V4'!$D$5:$CE$27,MATCH(B204,'08_EXPECTED_CODEBOOK_V4'!$C$5:$C$27,0),0),INDEX('08_EXPECTED_CODEBOOK_V4'!$D$5:$CE$27,MATCH(C204,'08_EXPECTED_CODEBOOK_V4'!$C$5:$C$27,0),0))/'18_WEIGHT_CONTROL'!$B$15/(INDEX('95_WEIGHTED_NORMS'!$C$5:$C$27,MATCH(B204,'95_WEIGHTED_NORMS'!$B$5:$B$27,0))*INDEX('95_WEIGHTED_NORMS'!$C$5:$C$27,MATCH(C204,'95_WEIGHTED_NORMS'!$B$5:$B$27,0)))</f>
        <v/>
      </c>
      <c r="E204" s="33">
        <f>SQRT(MAX(0,2*(1-D204)))</f>
        <v/>
      </c>
      <c r="F204" s="33">
        <f>SQRT(SUMPRODUCT('94_WEIGHT_VECTOR'!$B$5:$CC$5,(INDEX('08_EXPECTED_CODEBOOK_V4'!$D$5:$CE$27,MATCH(B204,'08_EXPECTED_CODEBOOK_V4'!$C$5:$C$27,0),0)-INDEX('08_EXPECTED_CODEBOOK_V4'!$D$5:$CE$27,MATCH(C204,'08_EXPECTED_CODEBOOK_V4'!$C$5:$C$27,0),0))^2)/'18_WEIGHT_CONTROL'!$B$15)</f>
        <v/>
      </c>
      <c r="G204" s="33">
        <f>E204/1.442891073172147</f>
        <v/>
      </c>
      <c r="H204" s="33" t="n"/>
      <c r="I204" s="33">
        <f>RANK(E204,$E$5:$E$257,1)</f>
        <v/>
      </c>
    </row>
    <row r="205" ht="36" customHeight="1">
      <c r="A205" s="33" t="n">
        <v>201</v>
      </c>
      <c r="B205" s="33" t="inlineStr">
        <is>
          <t>Avian / Blue Avian</t>
        </is>
      </c>
      <c r="C205" s="33" t="inlineStr">
        <is>
          <t>Reptilian</t>
        </is>
      </c>
      <c r="D205" s="33">
        <f>SUMPRODUCT('94_WEIGHT_VECTOR'!$B$5:$CC$5,INDEX('08_EXPECTED_CODEBOOK_V4'!$D$5:$CE$27,MATCH(B205,'08_EXPECTED_CODEBOOK_V4'!$C$5:$C$27,0),0),INDEX('08_EXPECTED_CODEBOOK_V4'!$D$5:$CE$27,MATCH(C205,'08_EXPECTED_CODEBOOK_V4'!$C$5:$C$27,0),0))/'18_WEIGHT_CONTROL'!$B$15/(INDEX('95_WEIGHTED_NORMS'!$C$5:$C$27,MATCH(B205,'95_WEIGHTED_NORMS'!$B$5:$B$27,0))*INDEX('95_WEIGHTED_NORMS'!$C$5:$C$27,MATCH(C205,'95_WEIGHTED_NORMS'!$B$5:$B$27,0)))</f>
        <v/>
      </c>
      <c r="E205" s="33">
        <f>SQRT(MAX(0,2*(1-D205)))</f>
        <v/>
      </c>
      <c r="F205" s="33">
        <f>SQRT(SUMPRODUCT('94_WEIGHT_VECTOR'!$B$5:$CC$5,(INDEX('08_EXPECTED_CODEBOOK_V4'!$D$5:$CE$27,MATCH(B205,'08_EXPECTED_CODEBOOK_V4'!$C$5:$C$27,0),0)-INDEX('08_EXPECTED_CODEBOOK_V4'!$D$5:$CE$27,MATCH(C205,'08_EXPECTED_CODEBOOK_V4'!$C$5:$C$27,0),0))^2)/'18_WEIGHT_CONTROL'!$B$15)</f>
        <v/>
      </c>
      <c r="G205" s="33">
        <f>E205/1.449679093614099</f>
        <v/>
      </c>
      <c r="H205" s="33" t="n"/>
      <c r="I205" s="33">
        <f>RANK(E205,$E$5:$E$257,1)</f>
        <v/>
      </c>
    </row>
    <row r="206" ht="36" customHeight="1">
      <c r="A206" s="33" t="n">
        <v>202</v>
      </c>
      <c r="B206" s="33" t="inlineStr">
        <is>
          <t>Polarian</t>
        </is>
      </c>
      <c r="C206" s="33" t="inlineStr">
        <is>
          <t>Reptilian</t>
        </is>
      </c>
      <c r="D206" s="33">
        <f>SUMPRODUCT('94_WEIGHT_VECTOR'!$B$5:$CC$5,INDEX('08_EXPECTED_CODEBOOK_V4'!$D$5:$CE$27,MATCH(B206,'08_EXPECTED_CODEBOOK_V4'!$C$5:$C$27,0),0),INDEX('08_EXPECTED_CODEBOOK_V4'!$D$5:$CE$27,MATCH(C206,'08_EXPECTED_CODEBOOK_V4'!$C$5:$C$27,0),0))/'18_WEIGHT_CONTROL'!$B$15/(INDEX('95_WEIGHTED_NORMS'!$C$5:$C$27,MATCH(B206,'95_WEIGHTED_NORMS'!$B$5:$B$27,0))*INDEX('95_WEIGHTED_NORMS'!$C$5:$C$27,MATCH(C206,'95_WEIGHTED_NORMS'!$B$5:$B$27,0)))</f>
        <v/>
      </c>
      <c r="E206" s="33">
        <f>SQRT(MAX(0,2*(1-D206)))</f>
        <v/>
      </c>
      <c r="F206" s="33">
        <f>SQRT(SUMPRODUCT('94_WEIGHT_VECTOR'!$B$5:$CC$5,(INDEX('08_EXPECTED_CODEBOOK_V4'!$D$5:$CE$27,MATCH(B206,'08_EXPECTED_CODEBOOK_V4'!$C$5:$C$27,0),0)-INDEX('08_EXPECTED_CODEBOOK_V4'!$D$5:$CE$27,MATCH(C206,'08_EXPECTED_CODEBOOK_V4'!$C$5:$C$27,0),0))^2)/'18_WEIGHT_CONTROL'!$B$15)</f>
        <v/>
      </c>
      <c r="G206" s="33">
        <f>E206/1.449063973953704</f>
        <v/>
      </c>
      <c r="H206" s="33" t="n"/>
      <c r="I206" s="33">
        <f>RANK(E206,$E$5:$E$257,1)</f>
        <v/>
      </c>
    </row>
    <row r="207" ht="36" customHeight="1">
      <c r="A207" s="33" t="n">
        <v>203</v>
      </c>
      <c r="B207" s="33" t="inlineStr">
        <is>
          <t>Reptilian</t>
        </is>
      </c>
      <c r="C207" s="33" t="inlineStr">
        <is>
          <t>Tau Cetian</t>
        </is>
      </c>
      <c r="D207" s="33">
        <f>SUMPRODUCT('94_WEIGHT_VECTOR'!$B$5:$CC$5,INDEX('08_EXPECTED_CODEBOOK_V4'!$D$5:$CE$27,MATCH(B207,'08_EXPECTED_CODEBOOK_V4'!$C$5:$C$27,0),0),INDEX('08_EXPECTED_CODEBOOK_V4'!$D$5:$CE$27,MATCH(C207,'08_EXPECTED_CODEBOOK_V4'!$C$5:$C$27,0),0))/'18_WEIGHT_CONTROL'!$B$15/(INDEX('95_WEIGHTED_NORMS'!$C$5:$C$27,MATCH(B207,'95_WEIGHTED_NORMS'!$B$5:$B$27,0))*INDEX('95_WEIGHTED_NORMS'!$C$5:$C$27,MATCH(C207,'95_WEIGHTED_NORMS'!$B$5:$B$27,0)))</f>
        <v/>
      </c>
      <c r="E207" s="33">
        <f>SQRT(MAX(0,2*(1-D207)))</f>
        <v/>
      </c>
      <c r="F207" s="33">
        <f>SQRT(SUMPRODUCT('94_WEIGHT_VECTOR'!$B$5:$CC$5,(INDEX('08_EXPECTED_CODEBOOK_V4'!$D$5:$CE$27,MATCH(B207,'08_EXPECTED_CODEBOOK_V4'!$C$5:$C$27,0),0)-INDEX('08_EXPECTED_CODEBOOK_V4'!$D$5:$CE$27,MATCH(C207,'08_EXPECTED_CODEBOOK_V4'!$C$5:$C$27,0),0))^2)/'18_WEIGHT_CONTROL'!$B$15)</f>
        <v/>
      </c>
      <c r="G207" s="33">
        <f>E207/1.453003727768608</f>
        <v/>
      </c>
      <c r="H207" s="33" t="n"/>
      <c r="I207" s="33">
        <f>RANK(E207,$E$5:$E$257,1)</f>
        <v/>
      </c>
    </row>
    <row r="208" ht="36" customHeight="1">
      <c r="A208" s="33" t="n">
        <v>204</v>
      </c>
      <c r="B208" s="33" t="inlineStr">
        <is>
          <t>Alpha Centaurian</t>
        </is>
      </c>
      <c r="C208" s="33" t="inlineStr">
        <is>
          <t>Vegan</t>
        </is>
      </c>
      <c r="D208" s="33">
        <f>SUMPRODUCT('94_WEIGHT_VECTOR'!$B$5:$CC$5,INDEX('08_EXPECTED_CODEBOOK_V4'!$D$5:$CE$27,MATCH(B208,'08_EXPECTED_CODEBOOK_V4'!$C$5:$C$27,0),0),INDEX('08_EXPECTED_CODEBOOK_V4'!$D$5:$CE$27,MATCH(C208,'08_EXPECTED_CODEBOOK_V4'!$C$5:$C$27,0),0))/'18_WEIGHT_CONTROL'!$B$15/(INDEX('95_WEIGHTED_NORMS'!$C$5:$C$27,MATCH(B208,'95_WEIGHTED_NORMS'!$B$5:$B$27,0))*INDEX('95_WEIGHTED_NORMS'!$C$5:$C$27,MATCH(C208,'95_WEIGHTED_NORMS'!$B$5:$B$27,0)))</f>
        <v/>
      </c>
      <c r="E208" s="33">
        <f>SQRT(MAX(0,2*(1-D208)))</f>
        <v/>
      </c>
      <c r="F208" s="33">
        <f>SQRT(SUMPRODUCT('94_WEIGHT_VECTOR'!$B$5:$CC$5,(INDEX('08_EXPECTED_CODEBOOK_V4'!$D$5:$CE$27,MATCH(B208,'08_EXPECTED_CODEBOOK_V4'!$C$5:$C$27,0),0)-INDEX('08_EXPECTED_CODEBOOK_V4'!$D$5:$CE$27,MATCH(C208,'08_EXPECTED_CODEBOOK_V4'!$C$5:$C$27,0),0))^2)/'18_WEIGHT_CONTROL'!$B$15)</f>
        <v/>
      </c>
      <c r="G208" s="33">
        <f>E208/1.450716669773711</f>
        <v/>
      </c>
      <c r="H208" s="33" t="n"/>
      <c r="I208" s="33">
        <f>RANK(E208,$E$5:$E$257,1)</f>
        <v/>
      </c>
    </row>
    <row r="209" ht="36" customHeight="1">
      <c r="A209" s="33" t="n">
        <v>205</v>
      </c>
      <c r="B209" s="33" t="inlineStr">
        <is>
          <t>Mintakan</t>
        </is>
      </c>
      <c r="C209" s="33" t="inlineStr">
        <is>
          <t>Vegan</t>
        </is>
      </c>
      <c r="D209" s="33">
        <f>SUMPRODUCT('94_WEIGHT_VECTOR'!$B$5:$CC$5,INDEX('08_EXPECTED_CODEBOOK_V4'!$D$5:$CE$27,MATCH(B209,'08_EXPECTED_CODEBOOK_V4'!$C$5:$C$27,0),0),INDEX('08_EXPECTED_CODEBOOK_V4'!$D$5:$CE$27,MATCH(C209,'08_EXPECTED_CODEBOOK_V4'!$C$5:$C$27,0),0))/'18_WEIGHT_CONTROL'!$B$15/(INDEX('95_WEIGHTED_NORMS'!$C$5:$C$27,MATCH(B209,'95_WEIGHTED_NORMS'!$B$5:$B$27,0))*INDEX('95_WEIGHTED_NORMS'!$C$5:$C$27,MATCH(C209,'95_WEIGHTED_NORMS'!$B$5:$B$27,0)))</f>
        <v/>
      </c>
      <c r="E209" s="33">
        <f>SQRT(MAX(0,2*(1-D209)))</f>
        <v/>
      </c>
      <c r="F209" s="33">
        <f>SQRT(SUMPRODUCT('94_WEIGHT_VECTOR'!$B$5:$CC$5,(INDEX('08_EXPECTED_CODEBOOK_V4'!$D$5:$CE$27,MATCH(B209,'08_EXPECTED_CODEBOOK_V4'!$C$5:$C$27,0),0)-INDEX('08_EXPECTED_CODEBOOK_V4'!$D$5:$CE$27,MATCH(C209,'08_EXPECTED_CODEBOOK_V4'!$C$5:$C$27,0),0))^2)/'18_WEIGHT_CONTROL'!$B$15)</f>
        <v/>
      </c>
      <c r="G209" s="33">
        <f>E209/1.447894025274367</f>
        <v/>
      </c>
      <c r="H209" s="33" t="n"/>
      <c r="I209" s="33">
        <f>RANK(E209,$E$5:$E$257,1)</f>
        <v/>
      </c>
    </row>
    <row r="210" ht="36" customHeight="1">
      <c r="A210" s="33" t="n">
        <v>206</v>
      </c>
      <c r="B210" s="33" t="inlineStr">
        <is>
          <t>Arcturian</t>
        </is>
      </c>
      <c r="C210" s="33" t="inlineStr">
        <is>
          <t>Polarian</t>
        </is>
      </c>
      <c r="D210" s="33">
        <f>SUMPRODUCT('94_WEIGHT_VECTOR'!$B$5:$CC$5,INDEX('08_EXPECTED_CODEBOOK_V4'!$D$5:$CE$27,MATCH(B210,'08_EXPECTED_CODEBOOK_V4'!$C$5:$C$27,0),0),INDEX('08_EXPECTED_CODEBOOK_V4'!$D$5:$CE$27,MATCH(C210,'08_EXPECTED_CODEBOOK_V4'!$C$5:$C$27,0),0))/'18_WEIGHT_CONTROL'!$B$15/(INDEX('95_WEIGHTED_NORMS'!$C$5:$C$27,MATCH(B210,'95_WEIGHTED_NORMS'!$B$5:$B$27,0))*INDEX('95_WEIGHTED_NORMS'!$C$5:$C$27,MATCH(C210,'95_WEIGHTED_NORMS'!$B$5:$B$27,0)))</f>
        <v/>
      </c>
      <c r="E210" s="33">
        <f>SQRT(MAX(0,2*(1-D210)))</f>
        <v/>
      </c>
      <c r="F210" s="33">
        <f>SQRT(SUMPRODUCT('94_WEIGHT_VECTOR'!$B$5:$CC$5,(INDEX('08_EXPECTED_CODEBOOK_V4'!$D$5:$CE$27,MATCH(B210,'08_EXPECTED_CODEBOOK_V4'!$C$5:$C$27,0),0)-INDEX('08_EXPECTED_CODEBOOK_V4'!$D$5:$CE$27,MATCH(C210,'08_EXPECTED_CODEBOOK_V4'!$C$5:$C$27,0),0))^2)/'18_WEIGHT_CONTROL'!$B$15)</f>
        <v/>
      </c>
      <c r="G210" s="33">
        <f>E210/1.46126726449967</f>
        <v/>
      </c>
      <c r="H210" s="33" t="n"/>
      <c r="I210" s="33">
        <f>RANK(E210,$E$5:$E$257,1)</f>
        <v/>
      </c>
    </row>
    <row r="211" ht="36" customHeight="1">
      <c r="A211" s="33" t="n">
        <v>207</v>
      </c>
      <c r="B211" s="33" t="inlineStr">
        <is>
          <t>Arcturian</t>
        </is>
      </c>
      <c r="C211" s="33" t="inlineStr">
        <is>
          <t>Feline / Urmah</t>
        </is>
      </c>
      <c r="D211" s="33">
        <f>SUMPRODUCT('94_WEIGHT_VECTOR'!$B$5:$CC$5,INDEX('08_EXPECTED_CODEBOOK_V4'!$D$5:$CE$27,MATCH(B211,'08_EXPECTED_CODEBOOK_V4'!$C$5:$C$27,0),0),INDEX('08_EXPECTED_CODEBOOK_V4'!$D$5:$CE$27,MATCH(C211,'08_EXPECTED_CODEBOOK_V4'!$C$5:$C$27,0),0))/'18_WEIGHT_CONTROL'!$B$15/(INDEX('95_WEIGHTED_NORMS'!$C$5:$C$27,MATCH(B211,'95_WEIGHTED_NORMS'!$B$5:$B$27,0))*INDEX('95_WEIGHTED_NORMS'!$C$5:$C$27,MATCH(C211,'95_WEIGHTED_NORMS'!$B$5:$B$27,0)))</f>
        <v/>
      </c>
      <c r="E211" s="33">
        <f>SQRT(MAX(0,2*(1-D211)))</f>
        <v/>
      </c>
      <c r="F211" s="33">
        <f>SQRT(SUMPRODUCT('94_WEIGHT_VECTOR'!$B$5:$CC$5,(INDEX('08_EXPECTED_CODEBOOK_V4'!$D$5:$CE$27,MATCH(B211,'08_EXPECTED_CODEBOOK_V4'!$C$5:$C$27,0),0)-INDEX('08_EXPECTED_CODEBOOK_V4'!$D$5:$CE$27,MATCH(C211,'08_EXPECTED_CODEBOOK_V4'!$C$5:$C$27,0),0))^2)/'18_WEIGHT_CONTROL'!$B$15)</f>
        <v/>
      </c>
      <c r="G211" s="33">
        <f>E211/1.466209861231762</f>
        <v/>
      </c>
      <c r="H211" s="33" t="n"/>
      <c r="I211" s="33">
        <f>RANK(E211,$E$5:$E$257,1)</f>
        <v/>
      </c>
    </row>
    <row r="212" ht="36" customHeight="1">
      <c r="A212" s="33" t="n">
        <v>208</v>
      </c>
      <c r="B212" s="33" t="inlineStr">
        <is>
          <t>Pleiadian</t>
        </is>
      </c>
      <c r="C212" s="33" t="inlineStr">
        <is>
          <t>Maldekian</t>
        </is>
      </c>
      <c r="D212" s="33">
        <f>SUMPRODUCT('94_WEIGHT_VECTOR'!$B$5:$CC$5,INDEX('08_EXPECTED_CODEBOOK_V4'!$D$5:$CE$27,MATCH(B212,'08_EXPECTED_CODEBOOK_V4'!$C$5:$C$27,0),0),INDEX('08_EXPECTED_CODEBOOK_V4'!$D$5:$CE$27,MATCH(C212,'08_EXPECTED_CODEBOOK_V4'!$C$5:$C$27,0),0))/'18_WEIGHT_CONTROL'!$B$15/(INDEX('95_WEIGHTED_NORMS'!$C$5:$C$27,MATCH(B212,'95_WEIGHTED_NORMS'!$B$5:$B$27,0))*INDEX('95_WEIGHTED_NORMS'!$C$5:$C$27,MATCH(C212,'95_WEIGHTED_NORMS'!$B$5:$B$27,0)))</f>
        <v/>
      </c>
      <c r="E212" s="33">
        <f>SQRT(MAX(0,2*(1-D212)))</f>
        <v/>
      </c>
      <c r="F212" s="33">
        <f>SQRT(SUMPRODUCT('94_WEIGHT_VECTOR'!$B$5:$CC$5,(INDEX('08_EXPECTED_CODEBOOK_V4'!$D$5:$CE$27,MATCH(B212,'08_EXPECTED_CODEBOOK_V4'!$C$5:$C$27,0),0)-INDEX('08_EXPECTED_CODEBOOK_V4'!$D$5:$CE$27,MATCH(C212,'08_EXPECTED_CODEBOOK_V4'!$C$5:$C$27,0),0))^2)/'18_WEIGHT_CONTROL'!$B$15)</f>
        <v/>
      </c>
      <c r="G212" s="33">
        <f>E212/1.45747319803124</f>
        <v/>
      </c>
      <c r="H212" s="33" t="n"/>
      <c r="I212" s="33">
        <f>RANK(E212,$E$5:$E$257,1)</f>
        <v/>
      </c>
    </row>
    <row r="213" ht="36" customHeight="1">
      <c r="A213" s="33" t="n">
        <v>209</v>
      </c>
      <c r="B213" s="33" t="inlineStr">
        <is>
          <t>Andromedan</t>
        </is>
      </c>
      <c r="C213" s="33" t="inlineStr">
        <is>
          <t>Antarian</t>
        </is>
      </c>
      <c r="D213" s="33">
        <f>SUMPRODUCT('94_WEIGHT_VECTOR'!$B$5:$CC$5,INDEX('08_EXPECTED_CODEBOOK_V4'!$D$5:$CE$27,MATCH(B213,'08_EXPECTED_CODEBOOK_V4'!$C$5:$C$27,0),0),INDEX('08_EXPECTED_CODEBOOK_V4'!$D$5:$CE$27,MATCH(C213,'08_EXPECTED_CODEBOOK_V4'!$C$5:$C$27,0),0))/'18_WEIGHT_CONTROL'!$B$15/(INDEX('95_WEIGHTED_NORMS'!$C$5:$C$27,MATCH(B213,'95_WEIGHTED_NORMS'!$B$5:$B$27,0))*INDEX('95_WEIGHTED_NORMS'!$C$5:$C$27,MATCH(C213,'95_WEIGHTED_NORMS'!$B$5:$B$27,0)))</f>
        <v/>
      </c>
      <c r="E213" s="33">
        <f>SQRT(MAX(0,2*(1-D213)))</f>
        <v/>
      </c>
      <c r="F213" s="33">
        <f>SQRT(SUMPRODUCT('94_WEIGHT_VECTOR'!$B$5:$CC$5,(INDEX('08_EXPECTED_CODEBOOK_V4'!$D$5:$CE$27,MATCH(B213,'08_EXPECTED_CODEBOOK_V4'!$C$5:$C$27,0),0)-INDEX('08_EXPECTED_CODEBOOK_V4'!$D$5:$CE$27,MATCH(C213,'08_EXPECTED_CODEBOOK_V4'!$C$5:$C$27,0),0))^2)/'18_WEIGHT_CONTROL'!$B$15)</f>
        <v/>
      </c>
      <c r="G213" s="33">
        <f>E213/1.465754924944822</f>
        <v/>
      </c>
      <c r="H213" s="33" t="n"/>
      <c r="I213" s="33">
        <f>RANK(E213,$E$5:$E$257,1)</f>
        <v/>
      </c>
    </row>
    <row r="214" ht="36" customHeight="1">
      <c r="A214" s="33" t="n">
        <v>210</v>
      </c>
      <c r="B214" s="33" t="inlineStr">
        <is>
          <t>Lyran</t>
        </is>
      </c>
      <c r="C214" s="33" t="inlineStr">
        <is>
          <t>Maldekian</t>
        </is>
      </c>
      <c r="D214" s="33">
        <f>SUMPRODUCT('94_WEIGHT_VECTOR'!$B$5:$CC$5,INDEX('08_EXPECTED_CODEBOOK_V4'!$D$5:$CE$27,MATCH(B214,'08_EXPECTED_CODEBOOK_V4'!$C$5:$C$27,0),0),INDEX('08_EXPECTED_CODEBOOK_V4'!$D$5:$CE$27,MATCH(C214,'08_EXPECTED_CODEBOOK_V4'!$C$5:$C$27,0),0))/'18_WEIGHT_CONTROL'!$B$15/(INDEX('95_WEIGHTED_NORMS'!$C$5:$C$27,MATCH(B214,'95_WEIGHTED_NORMS'!$B$5:$B$27,0))*INDEX('95_WEIGHTED_NORMS'!$C$5:$C$27,MATCH(C214,'95_WEIGHTED_NORMS'!$B$5:$B$27,0)))</f>
        <v/>
      </c>
      <c r="E214" s="33">
        <f>SQRT(MAX(0,2*(1-D214)))</f>
        <v/>
      </c>
      <c r="F214" s="33">
        <f>SQRT(SUMPRODUCT('94_WEIGHT_VECTOR'!$B$5:$CC$5,(INDEX('08_EXPECTED_CODEBOOK_V4'!$D$5:$CE$27,MATCH(B214,'08_EXPECTED_CODEBOOK_V4'!$C$5:$C$27,0),0)-INDEX('08_EXPECTED_CODEBOOK_V4'!$D$5:$CE$27,MATCH(C214,'08_EXPECTED_CODEBOOK_V4'!$C$5:$C$27,0),0))^2)/'18_WEIGHT_CONTROL'!$B$15)</f>
        <v/>
      </c>
      <c r="G214" s="33">
        <f>E214/1.469057122690936</f>
        <v/>
      </c>
      <c r="H214" s="33" t="n"/>
      <c r="I214" s="33">
        <f>RANK(E214,$E$5:$E$257,1)</f>
        <v/>
      </c>
    </row>
    <row r="215" ht="36" customHeight="1">
      <c r="A215" s="33" t="n">
        <v>211</v>
      </c>
      <c r="B215" s="33" t="inlineStr">
        <is>
          <t>Andromedan</t>
        </is>
      </c>
      <c r="C215" s="33" t="inlineStr">
        <is>
          <t>Alpha Centaurian</t>
        </is>
      </c>
      <c r="D215" s="33">
        <f>SUMPRODUCT('94_WEIGHT_VECTOR'!$B$5:$CC$5,INDEX('08_EXPECTED_CODEBOOK_V4'!$D$5:$CE$27,MATCH(B215,'08_EXPECTED_CODEBOOK_V4'!$C$5:$C$27,0),0),INDEX('08_EXPECTED_CODEBOOK_V4'!$D$5:$CE$27,MATCH(C215,'08_EXPECTED_CODEBOOK_V4'!$C$5:$C$27,0),0))/'18_WEIGHT_CONTROL'!$B$15/(INDEX('95_WEIGHTED_NORMS'!$C$5:$C$27,MATCH(B215,'95_WEIGHTED_NORMS'!$B$5:$B$27,0))*INDEX('95_WEIGHTED_NORMS'!$C$5:$C$27,MATCH(C215,'95_WEIGHTED_NORMS'!$B$5:$B$27,0)))</f>
        <v/>
      </c>
      <c r="E215" s="33">
        <f>SQRT(MAX(0,2*(1-D215)))</f>
        <v/>
      </c>
      <c r="F215" s="33">
        <f>SQRT(SUMPRODUCT('94_WEIGHT_VECTOR'!$B$5:$CC$5,(INDEX('08_EXPECTED_CODEBOOK_V4'!$D$5:$CE$27,MATCH(B215,'08_EXPECTED_CODEBOOK_V4'!$C$5:$C$27,0),0)-INDEX('08_EXPECTED_CODEBOOK_V4'!$D$5:$CE$27,MATCH(C215,'08_EXPECTED_CODEBOOK_V4'!$C$5:$C$27,0),0))^2)/'18_WEIGHT_CONTROL'!$B$15)</f>
        <v/>
      </c>
      <c r="G215" s="33">
        <f>E215/1.461615138659511</f>
        <v/>
      </c>
      <c r="H215" s="33" t="n"/>
      <c r="I215" s="33">
        <f>RANK(E215,$E$5:$E$257,1)</f>
        <v/>
      </c>
    </row>
    <row r="216" ht="36" customHeight="1">
      <c r="A216" s="33" t="n">
        <v>212</v>
      </c>
      <c r="B216" s="33" t="inlineStr">
        <is>
          <t>Venusian</t>
        </is>
      </c>
      <c r="C216" s="33" t="inlineStr">
        <is>
          <t>Antarian</t>
        </is>
      </c>
      <c r="D216" s="33">
        <f>SUMPRODUCT('94_WEIGHT_VECTOR'!$B$5:$CC$5,INDEX('08_EXPECTED_CODEBOOK_V4'!$D$5:$CE$27,MATCH(B216,'08_EXPECTED_CODEBOOK_V4'!$C$5:$C$27,0),0),INDEX('08_EXPECTED_CODEBOOK_V4'!$D$5:$CE$27,MATCH(C216,'08_EXPECTED_CODEBOOK_V4'!$C$5:$C$27,0),0))/'18_WEIGHT_CONTROL'!$B$15/(INDEX('95_WEIGHTED_NORMS'!$C$5:$C$27,MATCH(B216,'95_WEIGHTED_NORMS'!$B$5:$B$27,0))*INDEX('95_WEIGHTED_NORMS'!$C$5:$C$27,MATCH(C216,'95_WEIGHTED_NORMS'!$B$5:$B$27,0)))</f>
        <v/>
      </c>
      <c r="E216" s="33">
        <f>SQRT(MAX(0,2*(1-D216)))</f>
        <v/>
      </c>
      <c r="F216" s="33">
        <f>SQRT(SUMPRODUCT('94_WEIGHT_VECTOR'!$B$5:$CC$5,(INDEX('08_EXPECTED_CODEBOOK_V4'!$D$5:$CE$27,MATCH(B216,'08_EXPECTED_CODEBOOK_V4'!$C$5:$C$27,0),0)-INDEX('08_EXPECTED_CODEBOOK_V4'!$D$5:$CE$27,MATCH(C216,'08_EXPECTED_CODEBOOK_V4'!$C$5:$C$27,0),0))^2)/'18_WEIGHT_CONTROL'!$B$15)</f>
        <v/>
      </c>
      <c r="G216" s="33">
        <f>E216/1.462533918999291</f>
        <v/>
      </c>
      <c r="H216" s="33" t="n"/>
      <c r="I216" s="33">
        <f>RANK(E216,$E$5:$E$257,1)</f>
        <v/>
      </c>
    </row>
    <row r="217" ht="36" customHeight="1">
      <c r="A217" s="33" t="n">
        <v>213</v>
      </c>
      <c r="B217" s="33" t="inlineStr">
        <is>
          <t>Vegan</t>
        </is>
      </c>
      <c r="C217" s="33" t="inlineStr">
        <is>
          <t>Antarian</t>
        </is>
      </c>
      <c r="D217" s="33">
        <f>SUMPRODUCT('94_WEIGHT_VECTOR'!$B$5:$CC$5,INDEX('08_EXPECTED_CODEBOOK_V4'!$D$5:$CE$27,MATCH(B217,'08_EXPECTED_CODEBOOK_V4'!$C$5:$C$27,0),0),INDEX('08_EXPECTED_CODEBOOK_V4'!$D$5:$CE$27,MATCH(C217,'08_EXPECTED_CODEBOOK_V4'!$C$5:$C$27,0),0))/'18_WEIGHT_CONTROL'!$B$15/(INDEX('95_WEIGHTED_NORMS'!$C$5:$C$27,MATCH(B217,'95_WEIGHTED_NORMS'!$B$5:$B$27,0))*INDEX('95_WEIGHTED_NORMS'!$C$5:$C$27,MATCH(C217,'95_WEIGHTED_NORMS'!$B$5:$B$27,0)))</f>
        <v/>
      </c>
      <c r="E217" s="33">
        <f>SQRT(MAX(0,2*(1-D217)))</f>
        <v/>
      </c>
      <c r="F217" s="33">
        <f>SQRT(SUMPRODUCT('94_WEIGHT_VECTOR'!$B$5:$CC$5,(INDEX('08_EXPECTED_CODEBOOK_V4'!$D$5:$CE$27,MATCH(B217,'08_EXPECTED_CODEBOOK_V4'!$C$5:$C$27,0),0)-INDEX('08_EXPECTED_CODEBOOK_V4'!$D$5:$CE$27,MATCH(C217,'08_EXPECTED_CODEBOOK_V4'!$C$5:$C$27,0),0))^2)/'18_WEIGHT_CONTROL'!$B$15)</f>
        <v/>
      </c>
      <c r="G217" s="33">
        <f>E217/1.469731672849975</f>
        <v/>
      </c>
      <c r="H217" s="33" t="n"/>
      <c r="I217" s="33">
        <f>RANK(E217,$E$5:$E$257,1)</f>
        <v/>
      </c>
    </row>
    <row r="218" ht="36" customHeight="1">
      <c r="A218" s="33" t="n">
        <v>214</v>
      </c>
      <c r="B218" s="33" t="inlineStr">
        <is>
          <t>Feline / Urmah</t>
        </is>
      </c>
      <c r="C218" s="33" t="inlineStr">
        <is>
          <t>Tau Cetian</t>
        </is>
      </c>
      <c r="D218" s="33">
        <f>SUMPRODUCT('94_WEIGHT_VECTOR'!$B$5:$CC$5,INDEX('08_EXPECTED_CODEBOOK_V4'!$D$5:$CE$27,MATCH(B218,'08_EXPECTED_CODEBOOK_V4'!$C$5:$C$27,0),0),INDEX('08_EXPECTED_CODEBOOK_V4'!$D$5:$CE$27,MATCH(C218,'08_EXPECTED_CODEBOOK_V4'!$C$5:$C$27,0),0))/'18_WEIGHT_CONTROL'!$B$15/(INDEX('95_WEIGHTED_NORMS'!$C$5:$C$27,MATCH(B218,'95_WEIGHTED_NORMS'!$B$5:$B$27,0))*INDEX('95_WEIGHTED_NORMS'!$C$5:$C$27,MATCH(C218,'95_WEIGHTED_NORMS'!$B$5:$B$27,0)))</f>
        <v/>
      </c>
      <c r="E218" s="33">
        <f>SQRT(MAX(0,2*(1-D218)))</f>
        <v/>
      </c>
      <c r="F218" s="33">
        <f>SQRT(SUMPRODUCT('94_WEIGHT_VECTOR'!$B$5:$CC$5,(INDEX('08_EXPECTED_CODEBOOK_V4'!$D$5:$CE$27,MATCH(B218,'08_EXPECTED_CODEBOOK_V4'!$C$5:$C$27,0),0)-INDEX('08_EXPECTED_CODEBOOK_V4'!$D$5:$CE$27,MATCH(C218,'08_EXPECTED_CODEBOOK_V4'!$C$5:$C$27,0),0))^2)/'18_WEIGHT_CONTROL'!$B$15)</f>
        <v/>
      </c>
      <c r="G218" s="33">
        <f>E218/1.468128416282316</f>
        <v/>
      </c>
      <c r="H218" s="33" t="n"/>
      <c r="I218" s="33">
        <f>RANK(E218,$E$5:$E$257,1)</f>
        <v/>
      </c>
    </row>
    <row r="219" ht="36" customHeight="1">
      <c r="A219" s="33" t="n">
        <v>215</v>
      </c>
      <c r="B219" s="33" t="inlineStr">
        <is>
          <t>Lyran</t>
        </is>
      </c>
      <c r="C219" s="33" t="inlineStr">
        <is>
          <t>Antarian</t>
        </is>
      </c>
      <c r="D219" s="33">
        <f>SUMPRODUCT('94_WEIGHT_VECTOR'!$B$5:$CC$5,INDEX('08_EXPECTED_CODEBOOK_V4'!$D$5:$CE$27,MATCH(B219,'08_EXPECTED_CODEBOOK_V4'!$C$5:$C$27,0),0),INDEX('08_EXPECTED_CODEBOOK_V4'!$D$5:$CE$27,MATCH(C219,'08_EXPECTED_CODEBOOK_V4'!$C$5:$C$27,0),0))/'18_WEIGHT_CONTROL'!$B$15/(INDEX('95_WEIGHTED_NORMS'!$C$5:$C$27,MATCH(B219,'95_WEIGHTED_NORMS'!$B$5:$B$27,0))*INDEX('95_WEIGHTED_NORMS'!$C$5:$C$27,MATCH(C219,'95_WEIGHTED_NORMS'!$B$5:$B$27,0)))</f>
        <v/>
      </c>
      <c r="E219" s="33">
        <f>SQRT(MAX(0,2*(1-D219)))</f>
        <v/>
      </c>
      <c r="F219" s="33">
        <f>SQRT(SUMPRODUCT('94_WEIGHT_VECTOR'!$B$5:$CC$5,(INDEX('08_EXPECTED_CODEBOOK_V4'!$D$5:$CE$27,MATCH(B219,'08_EXPECTED_CODEBOOK_V4'!$C$5:$C$27,0),0)-INDEX('08_EXPECTED_CODEBOOK_V4'!$D$5:$CE$27,MATCH(C219,'08_EXPECTED_CODEBOOK_V4'!$C$5:$C$27,0),0))^2)/'18_WEIGHT_CONTROL'!$B$15)</f>
        <v/>
      </c>
      <c r="G219" s="33">
        <f>E219/1.480294907752844</f>
        <v/>
      </c>
      <c r="H219" s="33" t="n"/>
      <c r="I219" s="33">
        <f>RANK(E219,$E$5:$E$257,1)</f>
        <v/>
      </c>
    </row>
    <row r="220" ht="36" customHeight="1">
      <c r="A220" s="33" t="n">
        <v>216</v>
      </c>
      <c r="B220" s="33" t="inlineStr">
        <is>
          <t>Sirian</t>
        </is>
      </c>
      <c r="C220" s="33" t="inlineStr">
        <is>
          <t>Martian</t>
        </is>
      </c>
      <c r="D220" s="33">
        <f>SUMPRODUCT('94_WEIGHT_VECTOR'!$B$5:$CC$5,INDEX('08_EXPECTED_CODEBOOK_V4'!$D$5:$CE$27,MATCH(B220,'08_EXPECTED_CODEBOOK_V4'!$C$5:$C$27,0),0),INDEX('08_EXPECTED_CODEBOOK_V4'!$D$5:$CE$27,MATCH(C220,'08_EXPECTED_CODEBOOK_V4'!$C$5:$C$27,0),0))/'18_WEIGHT_CONTROL'!$B$15/(INDEX('95_WEIGHTED_NORMS'!$C$5:$C$27,MATCH(B220,'95_WEIGHTED_NORMS'!$B$5:$B$27,0))*INDEX('95_WEIGHTED_NORMS'!$C$5:$C$27,MATCH(C220,'95_WEIGHTED_NORMS'!$B$5:$B$27,0)))</f>
        <v/>
      </c>
      <c r="E220" s="33">
        <f>SQRT(MAX(0,2*(1-D220)))</f>
        <v/>
      </c>
      <c r="F220" s="33">
        <f>SQRT(SUMPRODUCT('94_WEIGHT_VECTOR'!$B$5:$CC$5,(INDEX('08_EXPECTED_CODEBOOK_V4'!$D$5:$CE$27,MATCH(B220,'08_EXPECTED_CODEBOOK_V4'!$C$5:$C$27,0),0)-INDEX('08_EXPECTED_CODEBOOK_V4'!$D$5:$CE$27,MATCH(C220,'08_EXPECTED_CODEBOOK_V4'!$C$5:$C$27,0),0))^2)/'18_WEIGHT_CONTROL'!$B$15)</f>
        <v/>
      </c>
      <c r="G220" s="33">
        <f>E220/1.47725498830067</f>
        <v/>
      </c>
      <c r="H220" s="33" t="n"/>
      <c r="I220" s="33">
        <f>RANK(E220,$E$5:$E$257,1)</f>
        <v/>
      </c>
    </row>
    <row r="221" ht="36" customHeight="1">
      <c r="A221" s="33" t="n">
        <v>217</v>
      </c>
      <c r="B221" s="33" t="inlineStr">
        <is>
          <t>Venusian</t>
        </is>
      </c>
      <c r="C221" s="33" t="inlineStr">
        <is>
          <t>Maldekian</t>
        </is>
      </c>
      <c r="D221" s="33">
        <f>SUMPRODUCT('94_WEIGHT_VECTOR'!$B$5:$CC$5,INDEX('08_EXPECTED_CODEBOOK_V4'!$D$5:$CE$27,MATCH(B221,'08_EXPECTED_CODEBOOK_V4'!$C$5:$C$27,0),0),INDEX('08_EXPECTED_CODEBOOK_V4'!$D$5:$CE$27,MATCH(C221,'08_EXPECTED_CODEBOOK_V4'!$C$5:$C$27,0),0))/'18_WEIGHT_CONTROL'!$B$15/(INDEX('95_WEIGHTED_NORMS'!$C$5:$C$27,MATCH(B221,'95_WEIGHTED_NORMS'!$B$5:$B$27,0))*INDEX('95_WEIGHTED_NORMS'!$C$5:$C$27,MATCH(C221,'95_WEIGHTED_NORMS'!$B$5:$B$27,0)))</f>
        <v/>
      </c>
      <c r="E221" s="33">
        <f>SQRT(MAX(0,2*(1-D221)))</f>
        <v/>
      </c>
      <c r="F221" s="33">
        <f>SQRT(SUMPRODUCT('94_WEIGHT_VECTOR'!$B$5:$CC$5,(INDEX('08_EXPECTED_CODEBOOK_V4'!$D$5:$CE$27,MATCH(B221,'08_EXPECTED_CODEBOOK_V4'!$C$5:$C$27,0),0)-INDEX('08_EXPECTED_CODEBOOK_V4'!$D$5:$CE$27,MATCH(C221,'08_EXPECTED_CODEBOOK_V4'!$C$5:$C$27,0),0))^2)/'18_WEIGHT_CONTROL'!$B$15)</f>
        <v/>
      </c>
      <c r="G221" s="33">
        <f>E221/1.471919927991417</f>
        <v/>
      </c>
      <c r="H221" s="33" t="n"/>
      <c r="I221" s="33">
        <f>RANK(E221,$E$5:$E$257,1)</f>
        <v/>
      </c>
    </row>
    <row r="222" ht="36" customHeight="1">
      <c r="A222" s="33" t="n">
        <v>218</v>
      </c>
      <c r="B222" s="33" t="inlineStr">
        <is>
          <t>Avian / Blue Avian</t>
        </is>
      </c>
      <c r="C222" s="33" t="inlineStr">
        <is>
          <t>Draconian</t>
        </is>
      </c>
      <c r="D222" s="33">
        <f>SUMPRODUCT('94_WEIGHT_VECTOR'!$B$5:$CC$5,INDEX('08_EXPECTED_CODEBOOK_V4'!$D$5:$CE$27,MATCH(B222,'08_EXPECTED_CODEBOOK_V4'!$C$5:$C$27,0),0),INDEX('08_EXPECTED_CODEBOOK_V4'!$D$5:$CE$27,MATCH(C222,'08_EXPECTED_CODEBOOK_V4'!$C$5:$C$27,0),0))/'18_WEIGHT_CONTROL'!$B$15/(INDEX('95_WEIGHTED_NORMS'!$C$5:$C$27,MATCH(B222,'95_WEIGHTED_NORMS'!$B$5:$B$27,0))*INDEX('95_WEIGHTED_NORMS'!$C$5:$C$27,MATCH(C222,'95_WEIGHTED_NORMS'!$B$5:$B$27,0)))</f>
        <v/>
      </c>
      <c r="E222" s="33">
        <f>SQRT(MAX(0,2*(1-D222)))</f>
        <v/>
      </c>
      <c r="F222" s="33">
        <f>SQRT(SUMPRODUCT('94_WEIGHT_VECTOR'!$B$5:$CC$5,(INDEX('08_EXPECTED_CODEBOOK_V4'!$D$5:$CE$27,MATCH(B222,'08_EXPECTED_CODEBOOK_V4'!$C$5:$C$27,0),0)-INDEX('08_EXPECTED_CODEBOOK_V4'!$D$5:$CE$27,MATCH(C222,'08_EXPECTED_CODEBOOK_V4'!$C$5:$C$27,0),0))^2)/'18_WEIGHT_CONTROL'!$B$15)</f>
        <v/>
      </c>
      <c r="G222" s="33">
        <f>E222/1.478692263104624</f>
        <v/>
      </c>
      <c r="H222" s="33" t="n"/>
      <c r="I222" s="33">
        <f>RANK(E222,$E$5:$E$257,1)</f>
        <v/>
      </c>
    </row>
    <row r="223" ht="36" customHeight="1">
      <c r="A223" s="33" t="n">
        <v>219</v>
      </c>
      <c r="B223" s="33" t="inlineStr">
        <is>
          <t>Hadarian</t>
        </is>
      </c>
      <c r="C223" s="33" t="inlineStr">
        <is>
          <t>Maldekian</t>
        </is>
      </c>
      <c r="D223" s="33">
        <f>SUMPRODUCT('94_WEIGHT_VECTOR'!$B$5:$CC$5,INDEX('08_EXPECTED_CODEBOOK_V4'!$D$5:$CE$27,MATCH(B223,'08_EXPECTED_CODEBOOK_V4'!$C$5:$C$27,0),0),INDEX('08_EXPECTED_CODEBOOK_V4'!$D$5:$CE$27,MATCH(C223,'08_EXPECTED_CODEBOOK_V4'!$C$5:$C$27,0),0))/'18_WEIGHT_CONTROL'!$B$15/(INDEX('95_WEIGHTED_NORMS'!$C$5:$C$27,MATCH(B223,'95_WEIGHTED_NORMS'!$B$5:$B$27,0))*INDEX('95_WEIGHTED_NORMS'!$C$5:$C$27,MATCH(C223,'95_WEIGHTED_NORMS'!$B$5:$B$27,0)))</f>
        <v/>
      </c>
      <c r="E223" s="33">
        <f>SQRT(MAX(0,2*(1-D223)))</f>
        <v/>
      </c>
      <c r="F223" s="33">
        <f>SQRT(SUMPRODUCT('94_WEIGHT_VECTOR'!$B$5:$CC$5,(INDEX('08_EXPECTED_CODEBOOK_V4'!$D$5:$CE$27,MATCH(B223,'08_EXPECTED_CODEBOOK_V4'!$C$5:$C$27,0),0)-INDEX('08_EXPECTED_CODEBOOK_V4'!$D$5:$CE$27,MATCH(C223,'08_EXPECTED_CODEBOOK_V4'!$C$5:$C$27,0),0))^2)/'18_WEIGHT_CONTROL'!$B$15)</f>
        <v/>
      </c>
      <c r="G223" s="33">
        <f>E223/1.479428049317038</f>
        <v/>
      </c>
      <c r="H223" s="33" t="n"/>
      <c r="I223" s="33">
        <f>RANK(E223,$E$5:$E$257,1)</f>
        <v/>
      </c>
    </row>
    <row r="224" ht="36" customHeight="1">
      <c r="A224" s="33" t="n">
        <v>220</v>
      </c>
      <c r="B224" s="33" t="inlineStr">
        <is>
          <t>Polarian</t>
        </is>
      </c>
      <c r="C224" s="33" t="inlineStr">
        <is>
          <t>Martian</t>
        </is>
      </c>
      <c r="D224" s="33">
        <f>SUMPRODUCT('94_WEIGHT_VECTOR'!$B$5:$CC$5,INDEX('08_EXPECTED_CODEBOOK_V4'!$D$5:$CE$27,MATCH(B224,'08_EXPECTED_CODEBOOK_V4'!$C$5:$C$27,0),0),INDEX('08_EXPECTED_CODEBOOK_V4'!$D$5:$CE$27,MATCH(C224,'08_EXPECTED_CODEBOOK_V4'!$C$5:$C$27,0),0))/'18_WEIGHT_CONTROL'!$B$15/(INDEX('95_WEIGHTED_NORMS'!$C$5:$C$27,MATCH(B224,'95_WEIGHTED_NORMS'!$B$5:$B$27,0))*INDEX('95_WEIGHTED_NORMS'!$C$5:$C$27,MATCH(C224,'95_WEIGHTED_NORMS'!$B$5:$B$27,0)))</f>
        <v/>
      </c>
      <c r="E224" s="33">
        <f>SQRT(MAX(0,2*(1-D224)))</f>
        <v/>
      </c>
      <c r="F224" s="33">
        <f>SQRT(SUMPRODUCT('94_WEIGHT_VECTOR'!$B$5:$CC$5,(INDEX('08_EXPECTED_CODEBOOK_V4'!$D$5:$CE$27,MATCH(B224,'08_EXPECTED_CODEBOOK_V4'!$C$5:$C$27,0),0)-INDEX('08_EXPECTED_CODEBOOK_V4'!$D$5:$CE$27,MATCH(C224,'08_EXPECTED_CODEBOOK_V4'!$C$5:$C$27,0),0))^2)/'18_WEIGHT_CONTROL'!$B$15)</f>
        <v/>
      </c>
      <c r="G224" s="33">
        <f>E224/1.485758225077152</f>
        <v/>
      </c>
      <c r="H224" s="33" t="n"/>
      <c r="I224" s="33">
        <f>RANK(E224,$E$5:$E$257,1)</f>
        <v/>
      </c>
    </row>
    <row r="225" ht="36" customHeight="1">
      <c r="A225" s="33" t="n">
        <v>221</v>
      </c>
      <c r="B225" s="33" t="inlineStr">
        <is>
          <t>Arcturian</t>
        </is>
      </c>
      <c r="C225" s="33" t="inlineStr">
        <is>
          <t>Sirian</t>
        </is>
      </c>
      <c r="D225" s="33">
        <f>SUMPRODUCT('94_WEIGHT_VECTOR'!$B$5:$CC$5,INDEX('08_EXPECTED_CODEBOOK_V4'!$D$5:$CE$27,MATCH(B225,'08_EXPECTED_CODEBOOK_V4'!$C$5:$C$27,0),0),INDEX('08_EXPECTED_CODEBOOK_V4'!$D$5:$CE$27,MATCH(C225,'08_EXPECTED_CODEBOOK_V4'!$C$5:$C$27,0),0))/'18_WEIGHT_CONTROL'!$B$15/(INDEX('95_WEIGHTED_NORMS'!$C$5:$C$27,MATCH(B225,'95_WEIGHTED_NORMS'!$B$5:$B$27,0))*INDEX('95_WEIGHTED_NORMS'!$C$5:$C$27,MATCH(C225,'95_WEIGHTED_NORMS'!$B$5:$B$27,0)))</f>
        <v/>
      </c>
      <c r="E225" s="33">
        <f>SQRT(MAX(0,2*(1-D225)))</f>
        <v/>
      </c>
      <c r="F225" s="33">
        <f>SQRT(SUMPRODUCT('94_WEIGHT_VECTOR'!$B$5:$CC$5,(INDEX('08_EXPECTED_CODEBOOK_V4'!$D$5:$CE$27,MATCH(B225,'08_EXPECTED_CODEBOOK_V4'!$C$5:$C$27,0),0)-INDEX('08_EXPECTED_CODEBOOK_V4'!$D$5:$CE$27,MATCH(C225,'08_EXPECTED_CODEBOOK_V4'!$C$5:$C$27,0),0))^2)/'18_WEIGHT_CONTROL'!$B$15)</f>
        <v/>
      </c>
      <c r="G225" s="33">
        <f>E225/1.48363309577835</f>
        <v/>
      </c>
      <c r="H225" s="33" t="n"/>
      <c r="I225" s="33">
        <f>RANK(E225,$E$5:$E$257,1)</f>
        <v/>
      </c>
    </row>
    <row r="226" ht="36" customHeight="1">
      <c r="A226" s="33" t="n">
        <v>222</v>
      </c>
      <c r="B226" s="33" t="inlineStr">
        <is>
          <t>Mintakan</t>
        </is>
      </c>
      <c r="C226" s="33" t="inlineStr">
        <is>
          <t>Anunnaki / Nibiruan</t>
        </is>
      </c>
      <c r="D226" s="33">
        <f>SUMPRODUCT('94_WEIGHT_VECTOR'!$B$5:$CC$5,INDEX('08_EXPECTED_CODEBOOK_V4'!$D$5:$CE$27,MATCH(B226,'08_EXPECTED_CODEBOOK_V4'!$C$5:$C$27,0),0),INDEX('08_EXPECTED_CODEBOOK_V4'!$D$5:$CE$27,MATCH(C226,'08_EXPECTED_CODEBOOK_V4'!$C$5:$C$27,0),0))/'18_WEIGHT_CONTROL'!$B$15/(INDEX('95_WEIGHTED_NORMS'!$C$5:$C$27,MATCH(B226,'95_WEIGHTED_NORMS'!$B$5:$B$27,0))*INDEX('95_WEIGHTED_NORMS'!$C$5:$C$27,MATCH(C226,'95_WEIGHTED_NORMS'!$B$5:$B$27,0)))</f>
        <v/>
      </c>
      <c r="E226" s="33">
        <f>SQRT(MAX(0,2*(1-D226)))</f>
        <v/>
      </c>
      <c r="F226" s="33">
        <f>SQRT(SUMPRODUCT('94_WEIGHT_VECTOR'!$B$5:$CC$5,(INDEX('08_EXPECTED_CODEBOOK_V4'!$D$5:$CE$27,MATCH(B226,'08_EXPECTED_CODEBOOK_V4'!$C$5:$C$27,0),0)-INDEX('08_EXPECTED_CODEBOOK_V4'!$D$5:$CE$27,MATCH(C226,'08_EXPECTED_CODEBOOK_V4'!$C$5:$C$27,0),0))^2)/'18_WEIGHT_CONTROL'!$B$15)</f>
        <v/>
      </c>
      <c r="G226" s="33">
        <f>E226/1.486696798029956</f>
        <v/>
      </c>
      <c r="H226" s="33" t="n"/>
      <c r="I226" s="33">
        <f>RANK(E226,$E$5:$E$257,1)</f>
        <v/>
      </c>
    </row>
    <row r="227" ht="36" customHeight="1">
      <c r="A227" s="33" t="n">
        <v>223</v>
      </c>
      <c r="B227" s="33" t="inlineStr">
        <is>
          <t>Martian</t>
        </is>
      </c>
      <c r="C227" s="33" t="inlineStr">
        <is>
          <t>Anunnaki / Nibiruan</t>
        </is>
      </c>
      <c r="D227" s="33">
        <f>SUMPRODUCT('94_WEIGHT_VECTOR'!$B$5:$CC$5,INDEX('08_EXPECTED_CODEBOOK_V4'!$D$5:$CE$27,MATCH(B227,'08_EXPECTED_CODEBOOK_V4'!$C$5:$C$27,0),0),INDEX('08_EXPECTED_CODEBOOK_V4'!$D$5:$CE$27,MATCH(C227,'08_EXPECTED_CODEBOOK_V4'!$C$5:$C$27,0),0))/'18_WEIGHT_CONTROL'!$B$15/(INDEX('95_WEIGHTED_NORMS'!$C$5:$C$27,MATCH(B227,'95_WEIGHTED_NORMS'!$B$5:$B$27,0))*INDEX('95_WEIGHTED_NORMS'!$C$5:$C$27,MATCH(C227,'95_WEIGHTED_NORMS'!$B$5:$B$27,0)))</f>
        <v/>
      </c>
      <c r="E227" s="33">
        <f>SQRT(MAX(0,2*(1-D227)))</f>
        <v/>
      </c>
      <c r="F227" s="33">
        <f>SQRT(SUMPRODUCT('94_WEIGHT_VECTOR'!$B$5:$CC$5,(INDEX('08_EXPECTED_CODEBOOK_V4'!$D$5:$CE$27,MATCH(B227,'08_EXPECTED_CODEBOOK_V4'!$C$5:$C$27,0),0)-INDEX('08_EXPECTED_CODEBOOK_V4'!$D$5:$CE$27,MATCH(C227,'08_EXPECTED_CODEBOOK_V4'!$C$5:$C$27,0),0))^2)/'18_WEIGHT_CONTROL'!$B$15)</f>
        <v/>
      </c>
      <c r="G227" s="33">
        <f>E227/1.494460501755553</f>
        <v/>
      </c>
      <c r="H227" s="33" t="n"/>
      <c r="I227" s="33">
        <f>RANK(E227,$E$5:$E$257,1)</f>
        <v/>
      </c>
    </row>
    <row r="228" ht="36" customHeight="1">
      <c r="A228" s="33" t="n">
        <v>224</v>
      </c>
      <c r="B228" s="33" t="inlineStr">
        <is>
          <t>Pleiadian</t>
        </is>
      </c>
      <c r="C228" s="33" t="inlineStr">
        <is>
          <t>Anunnaki / Nibiruan</t>
        </is>
      </c>
      <c r="D228" s="33">
        <f>SUMPRODUCT('94_WEIGHT_VECTOR'!$B$5:$CC$5,INDEX('08_EXPECTED_CODEBOOK_V4'!$D$5:$CE$27,MATCH(B228,'08_EXPECTED_CODEBOOK_V4'!$C$5:$C$27,0),0),INDEX('08_EXPECTED_CODEBOOK_V4'!$D$5:$CE$27,MATCH(C228,'08_EXPECTED_CODEBOOK_V4'!$C$5:$C$27,0),0))/'18_WEIGHT_CONTROL'!$B$15/(INDEX('95_WEIGHTED_NORMS'!$C$5:$C$27,MATCH(B228,'95_WEIGHTED_NORMS'!$B$5:$B$27,0))*INDEX('95_WEIGHTED_NORMS'!$C$5:$C$27,MATCH(C228,'95_WEIGHTED_NORMS'!$B$5:$B$27,0)))</f>
        <v/>
      </c>
      <c r="E228" s="33">
        <f>SQRT(MAX(0,2*(1-D228)))</f>
        <v/>
      </c>
      <c r="F228" s="33">
        <f>SQRT(SUMPRODUCT('94_WEIGHT_VECTOR'!$B$5:$CC$5,(INDEX('08_EXPECTED_CODEBOOK_V4'!$D$5:$CE$27,MATCH(B228,'08_EXPECTED_CODEBOOK_V4'!$C$5:$C$27,0),0)-INDEX('08_EXPECTED_CODEBOOK_V4'!$D$5:$CE$27,MATCH(C228,'08_EXPECTED_CODEBOOK_V4'!$C$5:$C$27,0),0))^2)/'18_WEIGHT_CONTROL'!$B$15)</f>
        <v/>
      </c>
      <c r="G228" s="33">
        <f>E228/1.490827271560949</f>
        <v/>
      </c>
      <c r="H228" s="33" t="n"/>
      <c r="I228" s="33">
        <f>RANK(E228,$E$5:$E$257,1)</f>
        <v/>
      </c>
    </row>
    <row r="229" ht="36" customHeight="1">
      <c r="A229" s="33" t="n">
        <v>225</v>
      </c>
      <c r="B229" s="33" t="inlineStr">
        <is>
          <t>Lyran</t>
        </is>
      </c>
      <c r="C229" s="33" t="inlineStr">
        <is>
          <t>Zeta / Grey</t>
        </is>
      </c>
      <c r="D229" s="33">
        <f>SUMPRODUCT('94_WEIGHT_VECTOR'!$B$5:$CC$5,INDEX('08_EXPECTED_CODEBOOK_V4'!$D$5:$CE$27,MATCH(B229,'08_EXPECTED_CODEBOOK_V4'!$C$5:$C$27,0),0),INDEX('08_EXPECTED_CODEBOOK_V4'!$D$5:$CE$27,MATCH(C229,'08_EXPECTED_CODEBOOK_V4'!$C$5:$C$27,0),0))/'18_WEIGHT_CONTROL'!$B$15/(INDEX('95_WEIGHTED_NORMS'!$C$5:$C$27,MATCH(B229,'95_WEIGHTED_NORMS'!$B$5:$B$27,0))*INDEX('95_WEIGHTED_NORMS'!$C$5:$C$27,MATCH(C229,'95_WEIGHTED_NORMS'!$B$5:$B$27,0)))</f>
        <v/>
      </c>
      <c r="E229" s="33">
        <f>SQRT(MAX(0,2*(1-D229)))</f>
        <v/>
      </c>
      <c r="F229" s="33">
        <f>SQRT(SUMPRODUCT('94_WEIGHT_VECTOR'!$B$5:$CC$5,(INDEX('08_EXPECTED_CODEBOOK_V4'!$D$5:$CE$27,MATCH(B229,'08_EXPECTED_CODEBOOK_V4'!$C$5:$C$27,0),0)-INDEX('08_EXPECTED_CODEBOOK_V4'!$D$5:$CE$27,MATCH(C229,'08_EXPECTED_CODEBOOK_V4'!$C$5:$C$27,0),0))^2)/'18_WEIGHT_CONTROL'!$B$15)</f>
        <v/>
      </c>
      <c r="G229" s="33">
        <f>E229/1.495188033535026</f>
        <v/>
      </c>
      <c r="H229" s="33" t="n"/>
      <c r="I229" s="33">
        <f>RANK(E229,$E$5:$E$257,1)</f>
        <v/>
      </c>
    </row>
    <row r="230" ht="36" customHeight="1">
      <c r="A230" s="33" t="n">
        <v>226</v>
      </c>
      <c r="B230" s="33" t="inlineStr">
        <is>
          <t>Sirian</t>
        </is>
      </c>
      <c r="C230" s="33" t="inlineStr">
        <is>
          <t>Lyran</t>
        </is>
      </c>
      <c r="D230" s="33">
        <f>SUMPRODUCT('94_WEIGHT_VECTOR'!$B$5:$CC$5,INDEX('08_EXPECTED_CODEBOOK_V4'!$D$5:$CE$27,MATCH(B230,'08_EXPECTED_CODEBOOK_V4'!$C$5:$C$27,0),0),INDEX('08_EXPECTED_CODEBOOK_V4'!$D$5:$CE$27,MATCH(C230,'08_EXPECTED_CODEBOOK_V4'!$C$5:$C$27,0),0))/'18_WEIGHT_CONTROL'!$B$15/(INDEX('95_WEIGHTED_NORMS'!$C$5:$C$27,MATCH(B230,'95_WEIGHTED_NORMS'!$B$5:$B$27,0))*INDEX('95_WEIGHTED_NORMS'!$C$5:$C$27,MATCH(C230,'95_WEIGHTED_NORMS'!$B$5:$B$27,0)))</f>
        <v/>
      </c>
      <c r="E230" s="33">
        <f>SQRT(MAX(0,2*(1-D230)))</f>
        <v/>
      </c>
      <c r="F230" s="33">
        <f>SQRT(SUMPRODUCT('94_WEIGHT_VECTOR'!$B$5:$CC$5,(INDEX('08_EXPECTED_CODEBOOK_V4'!$D$5:$CE$27,MATCH(B230,'08_EXPECTED_CODEBOOK_V4'!$C$5:$C$27,0),0)-INDEX('08_EXPECTED_CODEBOOK_V4'!$D$5:$CE$27,MATCH(C230,'08_EXPECTED_CODEBOOK_V4'!$C$5:$C$27,0),0))^2)/'18_WEIGHT_CONTROL'!$B$15)</f>
        <v/>
      </c>
      <c r="G230" s="33">
        <f>E230/1.490445786829631</f>
        <v/>
      </c>
      <c r="H230" s="33" t="n"/>
      <c r="I230" s="33">
        <f>RANK(E230,$E$5:$E$257,1)</f>
        <v/>
      </c>
    </row>
    <row r="231" ht="36" customHeight="1">
      <c r="A231" s="33" t="n">
        <v>227</v>
      </c>
      <c r="B231" s="33" t="inlineStr">
        <is>
          <t>Andromedan</t>
        </is>
      </c>
      <c r="C231" s="33" t="inlineStr">
        <is>
          <t>Draconian</t>
        </is>
      </c>
      <c r="D231" s="33">
        <f>SUMPRODUCT('94_WEIGHT_VECTOR'!$B$5:$CC$5,INDEX('08_EXPECTED_CODEBOOK_V4'!$D$5:$CE$27,MATCH(B231,'08_EXPECTED_CODEBOOK_V4'!$C$5:$C$27,0),0),INDEX('08_EXPECTED_CODEBOOK_V4'!$D$5:$CE$27,MATCH(C231,'08_EXPECTED_CODEBOOK_V4'!$C$5:$C$27,0),0))/'18_WEIGHT_CONTROL'!$B$15/(INDEX('95_WEIGHTED_NORMS'!$C$5:$C$27,MATCH(B231,'95_WEIGHTED_NORMS'!$B$5:$B$27,0))*INDEX('95_WEIGHTED_NORMS'!$C$5:$C$27,MATCH(C231,'95_WEIGHTED_NORMS'!$B$5:$B$27,0)))</f>
        <v/>
      </c>
      <c r="E231" s="33">
        <f>SQRT(MAX(0,2*(1-D231)))</f>
        <v/>
      </c>
      <c r="F231" s="33">
        <f>SQRT(SUMPRODUCT('94_WEIGHT_VECTOR'!$B$5:$CC$5,(INDEX('08_EXPECTED_CODEBOOK_V4'!$D$5:$CE$27,MATCH(B231,'08_EXPECTED_CODEBOOK_V4'!$C$5:$C$27,0),0)-INDEX('08_EXPECTED_CODEBOOK_V4'!$D$5:$CE$27,MATCH(C231,'08_EXPECTED_CODEBOOK_V4'!$C$5:$C$27,0),0))^2)/'18_WEIGHT_CONTROL'!$B$15)</f>
        <v/>
      </c>
      <c r="G231" s="33">
        <f>E231/1.495779506357394</f>
        <v/>
      </c>
      <c r="H231" s="33" t="n"/>
      <c r="I231" s="33">
        <f>RANK(E231,$E$5:$E$257,1)</f>
        <v/>
      </c>
    </row>
    <row r="232" ht="36" customHeight="1">
      <c r="A232" s="33" t="n">
        <v>228</v>
      </c>
      <c r="B232" s="33" t="inlineStr">
        <is>
          <t>Martian</t>
        </is>
      </c>
      <c r="C232" s="33" t="inlineStr">
        <is>
          <t>Antarian</t>
        </is>
      </c>
      <c r="D232" s="33">
        <f>SUMPRODUCT('94_WEIGHT_VECTOR'!$B$5:$CC$5,INDEX('08_EXPECTED_CODEBOOK_V4'!$D$5:$CE$27,MATCH(B232,'08_EXPECTED_CODEBOOK_V4'!$C$5:$C$27,0),0),INDEX('08_EXPECTED_CODEBOOK_V4'!$D$5:$CE$27,MATCH(C232,'08_EXPECTED_CODEBOOK_V4'!$C$5:$C$27,0),0))/'18_WEIGHT_CONTROL'!$B$15/(INDEX('95_WEIGHTED_NORMS'!$C$5:$C$27,MATCH(B232,'95_WEIGHTED_NORMS'!$B$5:$B$27,0))*INDEX('95_WEIGHTED_NORMS'!$C$5:$C$27,MATCH(C232,'95_WEIGHTED_NORMS'!$B$5:$B$27,0)))</f>
        <v/>
      </c>
      <c r="E232" s="33">
        <f>SQRT(MAX(0,2*(1-D232)))</f>
        <v/>
      </c>
      <c r="F232" s="33">
        <f>SQRT(SUMPRODUCT('94_WEIGHT_VECTOR'!$B$5:$CC$5,(INDEX('08_EXPECTED_CODEBOOK_V4'!$D$5:$CE$27,MATCH(B232,'08_EXPECTED_CODEBOOK_V4'!$C$5:$C$27,0),0)-INDEX('08_EXPECTED_CODEBOOK_V4'!$D$5:$CE$27,MATCH(C232,'08_EXPECTED_CODEBOOK_V4'!$C$5:$C$27,0),0))^2)/'18_WEIGHT_CONTROL'!$B$15)</f>
        <v/>
      </c>
      <c r="G232" s="33">
        <f>E232/1.508493053260541</f>
        <v/>
      </c>
      <c r="H232" s="33" t="n"/>
      <c r="I232" s="33">
        <f>RANK(E232,$E$5:$E$257,1)</f>
        <v/>
      </c>
    </row>
    <row r="233" ht="36" customHeight="1">
      <c r="A233" s="33" t="n">
        <v>229</v>
      </c>
      <c r="B233" s="33" t="inlineStr">
        <is>
          <t>Andromedan</t>
        </is>
      </c>
      <c r="C233" s="33" t="inlineStr">
        <is>
          <t>Zeta / Grey</t>
        </is>
      </c>
      <c r="D233" s="33">
        <f>SUMPRODUCT('94_WEIGHT_VECTOR'!$B$5:$CC$5,INDEX('08_EXPECTED_CODEBOOK_V4'!$D$5:$CE$27,MATCH(B233,'08_EXPECTED_CODEBOOK_V4'!$C$5:$C$27,0),0),INDEX('08_EXPECTED_CODEBOOK_V4'!$D$5:$CE$27,MATCH(C233,'08_EXPECTED_CODEBOOK_V4'!$C$5:$C$27,0),0))/'18_WEIGHT_CONTROL'!$B$15/(INDEX('95_WEIGHTED_NORMS'!$C$5:$C$27,MATCH(B233,'95_WEIGHTED_NORMS'!$B$5:$B$27,0))*INDEX('95_WEIGHTED_NORMS'!$C$5:$C$27,MATCH(C233,'95_WEIGHTED_NORMS'!$B$5:$B$27,0)))</f>
        <v/>
      </c>
      <c r="E233" s="33">
        <f>SQRT(MAX(0,2*(1-D233)))</f>
        <v/>
      </c>
      <c r="F233" s="33">
        <f>SQRT(SUMPRODUCT('94_WEIGHT_VECTOR'!$B$5:$CC$5,(INDEX('08_EXPECTED_CODEBOOK_V4'!$D$5:$CE$27,MATCH(B233,'08_EXPECTED_CODEBOOK_V4'!$C$5:$C$27,0),0)-INDEX('08_EXPECTED_CODEBOOK_V4'!$D$5:$CE$27,MATCH(C233,'08_EXPECTED_CODEBOOK_V4'!$C$5:$C$27,0),0))^2)/'18_WEIGHT_CONTROL'!$B$15)</f>
        <v/>
      </c>
      <c r="G233" s="33">
        <f>E233/1.50805881114268</f>
        <v/>
      </c>
      <c r="H233" s="33" t="n"/>
      <c r="I233" s="33">
        <f>RANK(E233,$E$5:$E$257,1)</f>
        <v/>
      </c>
    </row>
    <row r="234" ht="36" customHeight="1">
      <c r="A234" s="33" t="n">
        <v>230</v>
      </c>
      <c r="B234" s="33" t="inlineStr">
        <is>
          <t>Pleiadian</t>
        </is>
      </c>
      <c r="C234" s="33" t="inlineStr">
        <is>
          <t>Zeta / Grey</t>
        </is>
      </c>
      <c r="D234" s="33">
        <f>SUMPRODUCT('94_WEIGHT_VECTOR'!$B$5:$CC$5,INDEX('08_EXPECTED_CODEBOOK_V4'!$D$5:$CE$27,MATCH(B234,'08_EXPECTED_CODEBOOK_V4'!$C$5:$C$27,0),0),INDEX('08_EXPECTED_CODEBOOK_V4'!$D$5:$CE$27,MATCH(C234,'08_EXPECTED_CODEBOOK_V4'!$C$5:$C$27,0),0))/'18_WEIGHT_CONTROL'!$B$15/(INDEX('95_WEIGHTED_NORMS'!$C$5:$C$27,MATCH(B234,'95_WEIGHTED_NORMS'!$B$5:$B$27,0))*INDEX('95_WEIGHTED_NORMS'!$C$5:$C$27,MATCH(C234,'95_WEIGHTED_NORMS'!$B$5:$B$27,0)))</f>
        <v/>
      </c>
      <c r="E234" s="33">
        <f>SQRT(MAX(0,2*(1-D234)))</f>
        <v/>
      </c>
      <c r="F234" s="33">
        <f>SQRT(SUMPRODUCT('94_WEIGHT_VECTOR'!$B$5:$CC$5,(INDEX('08_EXPECTED_CODEBOOK_V4'!$D$5:$CE$27,MATCH(B234,'08_EXPECTED_CODEBOOK_V4'!$C$5:$C$27,0),0)-INDEX('08_EXPECTED_CODEBOOK_V4'!$D$5:$CE$27,MATCH(C234,'08_EXPECTED_CODEBOOK_V4'!$C$5:$C$27,0),0))^2)/'18_WEIGHT_CONTROL'!$B$15)</f>
        <v/>
      </c>
      <c r="G234" s="33">
        <f>E234/1.500683316068064</f>
        <v/>
      </c>
      <c r="H234" s="33" t="n"/>
      <c r="I234" s="33">
        <f>RANK(E234,$E$5:$E$257,1)</f>
        <v/>
      </c>
    </row>
    <row r="235" ht="36" customHeight="1">
      <c r="A235" s="33" t="n">
        <v>231</v>
      </c>
      <c r="B235" s="33" t="inlineStr">
        <is>
          <t>Vegan</t>
        </is>
      </c>
      <c r="C235" s="33" t="inlineStr">
        <is>
          <t>Draconian</t>
        </is>
      </c>
      <c r="D235" s="33">
        <f>SUMPRODUCT('94_WEIGHT_VECTOR'!$B$5:$CC$5,INDEX('08_EXPECTED_CODEBOOK_V4'!$D$5:$CE$27,MATCH(B235,'08_EXPECTED_CODEBOOK_V4'!$C$5:$C$27,0),0),INDEX('08_EXPECTED_CODEBOOK_V4'!$D$5:$CE$27,MATCH(C235,'08_EXPECTED_CODEBOOK_V4'!$C$5:$C$27,0),0))/'18_WEIGHT_CONTROL'!$B$15/(INDEX('95_WEIGHTED_NORMS'!$C$5:$C$27,MATCH(B235,'95_WEIGHTED_NORMS'!$B$5:$B$27,0))*INDEX('95_WEIGHTED_NORMS'!$C$5:$C$27,MATCH(C235,'95_WEIGHTED_NORMS'!$B$5:$B$27,0)))</f>
        <v/>
      </c>
      <c r="E235" s="33">
        <f>SQRT(MAX(0,2*(1-D235)))</f>
        <v/>
      </c>
      <c r="F235" s="33">
        <f>SQRT(SUMPRODUCT('94_WEIGHT_VECTOR'!$B$5:$CC$5,(INDEX('08_EXPECTED_CODEBOOK_V4'!$D$5:$CE$27,MATCH(B235,'08_EXPECTED_CODEBOOK_V4'!$C$5:$C$27,0),0)-INDEX('08_EXPECTED_CODEBOOK_V4'!$D$5:$CE$27,MATCH(C235,'08_EXPECTED_CODEBOOK_V4'!$C$5:$C$27,0),0))^2)/'18_WEIGHT_CONTROL'!$B$15)</f>
        <v/>
      </c>
      <c r="G235" s="33">
        <f>E235/1.51334325852714</f>
        <v/>
      </c>
      <c r="H235" s="33" t="n"/>
      <c r="I235" s="33">
        <f>RANK(E235,$E$5:$E$257,1)</f>
        <v/>
      </c>
    </row>
    <row r="236" ht="36" customHeight="1">
      <c r="A236" s="33" t="n">
        <v>232</v>
      </c>
      <c r="B236" s="33" t="inlineStr">
        <is>
          <t>Hadarian</t>
        </is>
      </c>
      <c r="C236" s="33" t="inlineStr">
        <is>
          <t>Antarian</t>
        </is>
      </c>
      <c r="D236" s="33">
        <f>SUMPRODUCT('94_WEIGHT_VECTOR'!$B$5:$CC$5,INDEX('08_EXPECTED_CODEBOOK_V4'!$D$5:$CE$27,MATCH(B236,'08_EXPECTED_CODEBOOK_V4'!$C$5:$C$27,0),0),INDEX('08_EXPECTED_CODEBOOK_V4'!$D$5:$CE$27,MATCH(C236,'08_EXPECTED_CODEBOOK_V4'!$C$5:$C$27,0),0))/'18_WEIGHT_CONTROL'!$B$15/(INDEX('95_WEIGHTED_NORMS'!$C$5:$C$27,MATCH(B236,'95_WEIGHTED_NORMS'!$B$5:$B$27,0))*INDEX('95_WEIGHTED_NORMS'!$C$5:$C$27,MATCH(C236,'95_WEIGHTED_NORMS'!$B$5:$B$27,0)))</f>
        <v/>
      </c>
      <c r="E236" s="33">
        <f>SQRT(MAX(0,2*(1-D236)))</f>
        <v/>
      </c>
      <c r="F236" s="33">
        <f>SQRT(SUMPRODUCT('94_WEIGHT_VECTOR'!$B$5:$CC$5,(INDEX('08_EXPECTED_CODEBOOK_V4'!$D$5:$CE$27,MATCH(B236,'08_EXPECTED_CODEBOOK_V4'!$C$5:$C$27,0),0)-INDEX('08_EXPECTED_CODEBOOK_V4'!$D$5:$CE$27,MATCH(C236,'08_EXPECTED_CODEBOOK_V4'!$C$5:$C$27,0),0))^2)/'18_WEIGHT_CONTROL'!$B$15)</f>
        <v/>
      </c>
      <c r="G236" s="33">
        <f>E236/1.512964804613776</f>
        <v/>
      </c>
      <c r="H236" s="33" t="n"/>
      <c r="I236" s="33">
        <f>RANK(E236,$E$5:$E$257,1)</f>
        <v/>
      </c>
    </row>
    <row r="237" ht="36" customHeight="1">
      <c r="A237" s="33" t="n">
        <v>233</v>
      </c>
      <c r="B237" s="33" t="inlineStr">
        <is>
          <t>Sirian</t>
        </is>
      </c>
      <c r="C237" s="33" t="inlineStr">
        <is>
          <t>Vegan</t>
        </is>
      </c>
      <c r="D237" s="33">
        <f>SUMPRODUCT('94_WEIGHT_VECTOR'!$B$5:$CC$5,INDEX('08_EXPECTED_CODEBOOK_V4'!$D$5:$CE$27,MATCH(B237,'08_EXPECTED_CODEBOOK_V4'!$C$5:$C$27,0),0),INDEX('08_EXPECTED_CODEBOOK_V4'!$D$5:$CE$27,MATCH(C237,'08_EXPECTED_CODEBOOK_V4'!$C$5:$C$27,0),0))/'18_WEIGHT_CONTROL'!$B$15/(INDEX('95_WEIGHTED_NORMS'!$C$5:$C$27,MATCH(B237,'95_WEIGHTED_NORMS'!$B$5:$B$27,0))*INDEX('95_WEIGHTED_NORMS'!$C$5:$C$27,MATCH(C237,'95_WEIGHTED_NORMS'!$B$5:$B$27,0)))</f>
        <v/>
      </c>
      <c r="E237" s="33">
        <f>SQRT(MAX(0,2*(1-D237)))</f>
        <v/>
      </c>
      <c r="F237" s="33">
        <f>SQRT(SUMPRODUCT('94_WEIGHT_VECTOR'!$B$5:$CC$5,(INDEX('08_EXPECTED_CODEBOOK_V4'!$D$5:$CE$27,MATCH(B237,'08_EXPECTED_CODEBOOK_V4'!$C$5:$C$27,0),0)-INDEX('08_EXPECTED_CODEBOOK_V4'!$D$5:$CE$27,MATCH(C237,'08_EXPECTED_CODEBOOK_V4'!$C$5:$C$27,0),0))^2)/'18_WEIGHT_CONTROL'!$B$15)</f>
        <v/>
      </c>
      <c r="G237" s="33">
        <f>E237/1.517664791962682</f>
        <v/>
      </c>
      <c r="H237" s="33" t="n"/>
      <c r="I237" s="33">
        <f>RANK(E237,$E$5:$E$257,1)</f>
        <v/>
      </c>
    </row>
    <row r="238" ht="36" customHeight="1">
      <c r="A238" s="33" t="n">
        <v>234</v>
      </c>
      <c r="B238" s="33" t="inlineStr">
        <is>
          <t>Venusian</t>
        </is>
      </c>
      <c r="C238" s="33" t="inlineStr">
        <is>
          <t>Anunnaki / Nibiruan</t>
        </is>
      </c>
      <c r="D238" s="33">
        <f>SUMPRODUCT('94_WEIGHT_VECTOR'!$B$5:$CC$5,INDEX('08_EXPECTED_CODEBOOK_V4'!$D$5:$CE$27,MATCH(B238,'08_EXPECTED_CODEBOOK_V4'!$C$5:$C$27,0),0),INDEX('08_EXPECTED_CODEBOOK_V4'!$D$5:$CE$27,MATCH(C238,'08_EXPECTED_CODEBOOK_V4'!$C$5:$C$27,0),0))/'18_WEIGHT_CONTROL'!$B$15/(INDEX('95_WEIGHTED_NORMS'!$C$5:$C$27,MATCH(B238,'95_WEIGHTED_NORMS'!$B$5:$B$27,0))*INDEX('95_WEIGHTED_NORMS'!$C$5:$C$27,MATCH(C238,'95_WEIGHTED_NORMS'!$B$5:$B$27,0)))</f>
        <v/>
      </c>
      <c r="E238" s="33">
        <f>SQRT(MAX(0,2*(1-D238)))</f>
        <v/>
      </c>
      <c r="F238" s="33">
        <f>SQRT(SUMPRODUCT('94_WEIGHT_VECTOR'!$B$5:$CC$5,(INDEX('08_EXPECTED_CODEBOOK_V4'!$D$5:$CE$27,MATCH(B238,'08_EXPECTED_CODEBOOK_V4'!$C$5:$C$27,0),0)-INDEX('08_EXPECTED_CODEBOOK_V4'!$D$5:$CE$27,MATCH(C238,'08_EXPECTED_CODEBOOK_V4'!$C$5:$C$27,0),0))^2)/'18_WEIGHT_CONTROL'!$B$15)</f>
        <v/>
      </c>
      <c r="G238" s="33">
        <f>E238/1.522793618934735</f>
        <v/>
      </c>
      <c r="H238" s="33" t="n"/>
      <c r="I238" s="33">
        <f>RANK(E238,$E$5:$E$257,1)</f>
        <v/>
      </c>
    </row>
    <row r="239" ht="36" customHeight="1">
      <c r="A239" s="33" t="n">
        <v>235</v>
      </c>
      <c r="B239" s="33" t="inlineStr">
        <is>
          <t>Hadarian</t>
        </is>
      </c>
      <c r="C239" s="33" t="inlineStr">
        <is>
          <t>Anunnaki / Nibiruan</t>
        </is>
      </c>
      <c r="D239" s="33">
        <f>SUMPRODUCT('94_WEIGHT_VECTOR'!$B$5:$CC$5,INDEX('08_EXPECTED_CODEBOOK_V4'!$D$5:$CE$27,MATCH(B239,'08_EXPECTED_CODEBOOK_V4'!$C$5:$C$27,0),0),INDEX('08_EXPECTED_CODEBOOK_V4'!$D$5:$CE$27,MATCH(C239,'08_EXPECTED_CODEBOOK_V4'!$C$5:$C$27,0),0))/'18_WEIGHT_CONTROL'!$B$15/(INDEX('95_WEIGHTED_NORMS'!$C$5:$C$27,MATCH(B239,'95_WEIGHTED_NORMS'!$B$5:$B$27,0))*INDEX('95_WEIGHTED_NORMS'!$C$5:$C$27,MATCH(C239,'95_WEIGHTED_NORMS'!$B$5:$B$27,0)))</f>
        <v/>
      </c>
      <c r="E239" s="33">
        <f>SQRT(MAX(0,2*(1-D239)))</f>
        <v/>
      </c>
      <c r="F239" s="33">
        <f>SQRT(SUMPRODUCT('94_WEIGHT_VECTOR'!$B$5:$CC$5,(INDEX('08_EXPECTED_CODEBOOK_V4'!$D$5:$CE$27,MATCH(B239,'08_EXPECTED_CODEBOOK_V4'!$C$5:$C$27,0),0)-INDEX('08_EXPECTED_CODEBOOK_V4'!$D$5:$CE$27,MATCH(C239,'08_EXPECTED_CODEBOOK_V4'!$C$5:$C$27,0),0))^2)/'18_WEIGHT_CONTROL'!$B$15)</f>
        <v/>
      </c>
      <c r="G239" s="33">
        <f>E239/1.524013082540789</f>
        <v/>
      </c>
      <c r="H239" s="33" t="n"/>
      <c r="I239" s="33">
        <f>RANK(E239,$E$5:$E$257,1)</f>
        <v/>
      </c>
    </row>
    <row r="240" ht="36" customHeight="1">
      <c r="A240" s="33" t="n">
        <v>236</v>
      </c>
      <c r="B240" s="33" t="inlineStr">
        <is>
          <t>Arcturian</t>
        </is>
      </c>
      <c r="C240" s="33" t="inlineStr">
        <is>
          <t>Maldekian</t>
        </is>
      </c>
      <c r="D240" s="33">
        <f>SUMPRODUCT('94_WEIGHT_VECTOR'!$B$5:$CC$5,INDEX('08_EXPECTED_CODEBOOK_V4'!$D$5:$CE$27,MATCH(B240,'08_EXPECTED_CODEBOOK_V4'!$C$5:$C$27,0),0),INDEX('08_EXPECTED_CODEBOOK_V4'!$D$5:$CE$27,MATCH(C240,'08_EXPECTED_CODEBOOK_V4'!$C$5:$C$27,0),0))/'18_WEIGHT_CONTROL'!$B$15/(INDEX('95_WEIGHTED_NORMS'!$C$5:$C$27,MATCH(B240,'95_WEIGHTED_NORMS'!$B$5:$B$27,0))*INDEX('95_WEIGHTED_NORMS'!$C$5:$C$27,MATCH(C240,'95_WEIGHTED_NORMS'!$B$5:$B$27,0)))</f>
        <v/>
      </c>
      <c r="E240" s="33">
        <f>SQRT(MAX(0,2*(1-D240)))</f>
        <v/>
      </c>
      <c r="F240" s="33">
        <f>SQRT(SUMPRODUCT('94_WEIGHT_VECTOR'!$B$5:$CC$5,(INDEX('08_EXPECTED_CODEBOOK_V4'!$D$5:$CE$27,MATCH(B240,'08_EXPECTED_CODEBOOK_V4'!$C$5:$C$27,0),0)-INDEX('08_EXPECTED_CODEBOOK_V4'!$D$5:$CE$27,MATCH(C240,'08_EXPECTED_CODEBOOK_V4'!$C$5:$C$27,0),0))^2)/'18_WEIGHT_CONTROL'!$B$15)</f>
        <v/>
      </c>
      <c r="G240" s="33">
        <f>E240/1.522491872022457</f>
        <v/>
      </c>
      <c r="H240" s="33" t="n"/>
      <c r="I240" s="33">
        <f>RANK(E240,$E$5:$E$257,1)</f>
        <v/>
      </c>
    </row>
    <row r="241" ht="36" customHeight="1">
      <c r="A241" s="33" t="n">
        <v>237</v>
      </c>
      <c r="B241" s="33" t="inlineStr">
        <is>
          <t>Lyran</t>
        </is>
      </c>
      <c r="C241" s="33" t="inlineStr">
        <is>
          <t>Orion</t>
        </is>
      </c>
      <c r="D241" s="33">
        <f>SUMPRODUCT('94_WEIGHT_VECTOR'!$B$5:$CC$5,INDEX('08_EXPECTED_CODEBOOK_V4'!$D$5:$CE$27,MATCH(B241,'08_EXPECTED_CODEBOOK_V4'!$C$5:$C$27,0),0),INDEX('08_EXPECTED_CODEBOOK_V4'!$D$5:$CE$27,MATCH(C241,'08_EXPECTED_CODEBOOK_V4'!$C$5:$C$27,0),0))/'18_WEIGHT_CONTROL'!$B$15/(INDEX('95_WEIGHTED_NORMS'!$C$5:$C$27,MATCH(B241,'95_WEIGHTED_NORMS'!$B$5:$B$27,0))*INDEX('95_WEIGHTED_NORMS'!$C$5:$C$27,MATCH(C241,'95_WEIGHTED_NORMS'!$B$5:$B$27,0)))</f>
        <v/>
      </c>
      <c r="E241" s="33">
        <f>SQRT(MAX(0,2*(1-D241)))</f>
        <v/>
      </c>
      <c r="F241" s="33">
        <f>SQRT(SUMPRODUCT('94_WEIGHT_VECTOR'!$B$5:$CC$5,(INDEX('08_EXPECTED_CODEBOOK_V4'!$D$5:$CE$27,MATCH(B241,'08_EXPECTED_CODEBOOK_V4'!$C$5:$C$27,0),0)-INDEX('08_EXPECTED_CODEBOOK_V4'!$D$5:$CE$27,MATCH(C241,'08_EXPECTED_CODEBOOK_V4'!$C$5:$C$27,0),0))^2)/'18_WEIGHT_CONTROL'!$B$15)</f>
        <v/>
      </c>
      <c r="G241" s="33">
        <f>E241/1.534498685029315</f>
        <v/>
      </c>
      <c r="H241" s="33" t="n"/>
      <c r="I241" s="33">
        <f>RANK(E241,$E$5:$E$257,1)</f>
        <v/>
      </c>
    </row>
    <row r="242" ht="36" customHeight="1">
      <c r="A242" s="33" t="n">
        <v>238</v>
      </c>
      <c r="B242" s="33" t="inlineStr">
        <is>
          <t>Orion</t>
        </is>
      </c>
      <c r="C242" s="33" t="inlineStr">
        <is>
          <t>Hadarian</t>
        </is>
      </c>
      <c r="D242" s="33">
        <f>SUMPRODUCT('94_WEIGHT_VECTOR'!$B$5:$CC$5,INDEX('08_EXPECTED_CODEBOOK_V4'!$D$5:$CE$27,MATCH(B242,'08_EXPECTED_CODEBOOK_V4'!$C$5:$C$27,0),0),INDEX('08_EXPECTED_CODEBOOK_V4'!$D$5:$CE$27,MATCH(C242,'08_EXPECTED_CODEBOOK_V4'!$C$5:$C$27,0),0))/'18_WEIGHT_CONTROL'!$B$15/(INDEX('95_WEIGHTED_NORMS'!$C$5:$C$27,MATCH(B242,'95_WEIGHTED_NORMS'!$B$5:$B$27,0))*INDEX('95_WEIGHTED_NORMS'!$C$5:$C$27,MATCH(C242,'95_WEIGHTED_NORMS'!$B$5:$B$27,0)))</f>
        <v/>
      </c>
      <c r="E242" s="33">
        <f>SQRT(MAX(0,2*(1-D242)))</f>
        <v/>
      </c>
      <c r="F242" s="33">
        <f>SQRT(SUMPRODUCT('94_WEIGHT_VECTOR'!$B$5:$CC$5,(INDEX('08_EXPECTED_CODEBOOK_V4'!$D$5:$CE$27,MATCH(B242,'08_EXPECTED_CODEBOOK_V4'!$C$5:$C$27,0),0)-INDEX('08_EXPECTED_CODEBOOK_V4'!$D$5:$CE$27,MATCH(C242,'08_EXPECTED_CODEBOOK_V4'!$C$5:$C$27,0),0))^2)/'18_WEIGHT_CONTROL'!$B$15)</f>
        <v/>
      </c>
      <c r="G242" s="33">
        <f>E242/1.526804862864361</f>
        <v/>
      </c>
      <c r="H242" s="33" t="n"/>
      <c r="I242" s="33">
        <f>RANK(E242,$E$5:$E$257,1)</f>
        <v/>
      </c>
    </row>
    <row r="243" ht="36" customHeight="1">
      <c r="A243" s="33" t="n">
        <v>239</v>
      </c>
      <c r="B243" s="33" t="inlineStr">
        <is>
          <t>Avian / Blue Avian</t>
        </is>
      </c>
      <c r="C243" s="33" t="inlineStr">
        <is>
          <t>Martian</t>
        </is>
      </c>
      <c r="D243" s="33">
        <f>SUMPRODUCT('94_WEIGHT_VECTOR'!$B$5:$CC$5,INDEX('08_EXPECTED_CODEBOOK_V4'!$D$5:$CE$27,MATCH(B243,'08_EXPECTED_CODEBOOK_V4'!$C$5:$C$27,0),0),INDEX('08_EXPECTED_CODEBOOK_V4'!$D$5:$CE$27,MATCH(C243,'08_EXPECTED_CODEBOOK_V4'!$C$5:$C$27,0),0))/'18_WEIGHT_CONTROL'!$B$15/(INDEX('95_WEIGHTED_NORMS'!$C$5:$C$27,MATCH(B243,'95_WEIGHTED_NORMS'!$B$5:$B$27,0))*INDEX('95_WEIGHTED_NORMS'!$C$5:$C$27,MATCH(C243,'95_WEIGHTED_NORMS'!$B$5:$B$27,0)))</f>
        <v/>
      </c>
      <c r="E243" s="33">
        <f>SQRT(MAX(0,2*(1-D243)))</f>
        <v/>
      </c>
      <c r="F243" s="33">
        <f>SQRT(SUMPRODUCT('94_WEIGHT_VECTOR'!$B$5:$CC$5,(INDEX('08_EXPECTED_CODEBOOK_V4'!$D$5:$CE$27,MATCH(B243,'08_EXPECTED_CODEBOOK_V4'!$C$5:$C$27,0),0)-INDEX('08_EXPECTED_CODEBOOK_V4'!$D$5:$CE$27,MATCH(C243,'08_EXPECTED_CODEBOOK_V4'!$C$5:$C$27,0),0))^2)/'18_WEIGHT_CONTROL'!$B$15)</f>
        <v/>
      </c>
      <c r="G243" s="33">
        <f>E243/1.543952053111111</f>
        <v/>
      </c>
      <c r="H243" s="33" t="n"/>
      <c r="I243" s="33">
        <f>RANK(E243,$E$5:$E$257,1)</f>
        <v/>
      </c>
    </row>
    <row r="244" ht="36" customHeight="1">
      <c r="A244" s="33" t="n">
        <v>240</v>
      </c>
      <c r="B244" s="33" t="inlineStr">
        <is>
          <t>Vegan</t>
        </is>
      </c>
      <c r="C244" s="33" t="inlineStr">
        <is>
          <t>Maldekian</t>
        </is>
      </c>
      <c r="D244" s="33">
        <f>SUMPRODUCT('94_WEIGHT_VECTOR'!$B$5:$CC$5,INDEX('08_EXPECTED_CODEBOOK_V4'!$D$5:$CE$27,MATCH(B244,'08_EXPECTED_CODEBOOK_V4'!$C$5:$C$27,0),0),INDEX('08_EXPECTED_CODEBOOK_V4'!$D$5:$CE$27,MATCH(C244,'08_EXPECTED_CODEBOOK_V4'!$C$5:$C$27,0),0))/'18_WEIGHT_CONTROL'!$B$15/(INDEX('95_WEIGHTED_NORMS'!$C$5:$C$27,MATCH(B244,'95_WEIGHTED_NORMS'!$B$5:$B$27,0))*INDEX('95_WEIGHTED_NORMS'!$C$5:$C$27,MATCH(C244,'95_WEIGHTED_NORMS'!$B$5:$B$27,0)))</f>
        <v/>
      </c>
      <c r="E244" s="33">
        <f>SQRT(MAX(0,2*(1-D244)))</f>
        <v/>
      </c>
      <c r="F244" s="33">
        <f>SQRT(SUMPRODUCT('94_WEIGHT_VECTOR'!$B$5:$CC$5,(INDEX('08_EXPECTED_CODEBOOK_V4'!$D$5:$CE$27,MATCH(B244,'08_EXPECTED_CODEBOOK_V4'!$C$5:$C$27,0),0)-INDEX('08_EXPECTED_CODEBOOK_V4'!$D$5:$CE$27,MATCH(C244,'08_EXPECTED_CODEBOOK_V4'!$C$5:$C$27,0),0))^2)/'18_WEIGHT_CONTROL'!$B$15)</f>
        <v/>
      </c>
      <c r="G244" s="33">
        <f>E244/1.559871920428766</f>
        <v/>
      </c>
      <c r="H244" s="33" t="n"/>
      <c r="I244" s="33">
        <f>RANK(E244,$E$5:$E$257,1)</f>
        <v/>
      </c>
    </row>
    <row r="245" ht="36" customHeight="1">
      <c r="A245" s="33" t="n">
        <v>241</v>
      </c>
      <c r="B245" s="33" t="inlineStr">
        <is>
          <t>Martian</t>
        </is>
      </c>
      <c r="C245" s="33" t="inlineStr">
        <is>
          <t>Maldekian</t>
        </is>
      </c>
      <c r="D245" s="33">
        <f>SUMPRODUCT('94_WEIGHT_VECTOR'!$B$5:$CC$5,INDEX('08_EXPECTED_CODEBOOK_V4'!$D$5:$CE$27,MATCH(B245,'08_EXPECTED_CODEBOOK_V4'!$C$5:$C$27,0),0),INDEX('08_EXPECTED_CODEBOOK_V4'!$D$5:$CE$27,MATCH(C245,'08_EXPECTED_CODEBOOK_V4'!$C$5:$C$27,0),0))/'18_WEIGHT_CONTROL'!$B$15/(INDEX('95_WEIGHTED_NORMS'!$C$5:$C$27,MATCH(B245,'95_WEIGHTED_NORMS'!$B$5:$B$27,0))*INDEX('95_WEIGHTED_NORMS'!$C$5:$C$27,MATCH(C245,'95_WEIGHTED_NORMS'!$B$5:$B$27,0)))</f>
        <v/>
      </c>
      <c r="E245" s="33">
        <f>SQRT(MAX(0,2*(1-D245)))</f>
        <v/>
      </c>
      <c r="F245" s="33">
        <f>SQRT(SUMPRODUCT('94_WEIGHT_VECTOR'!$B$5:$CC$5,(INDEX('08_EXPECTED_CODEBOOK_V4'!$D$5:$CE$27,MATCH(B245,'08_EXPECTED_CODEBOOK_V4'!$C$5:$C$27,0),0)-INDEX('08_EXPECTED_CODEBOOK_V4'!$D$5:$CE$27,MATCH(C245,'08_EXPECTED_CODEBOOK_V4'!$C$5:$C$27,0),0))^2)/'18_WEIGHT_CONTROL'!$B$15)</f>
        <v/>
      </c>
      <c r="G245" s="33">
        <f>E245/1.567523573360261</f>
        <v/>
      </c>
      <c r="H245" s="33" t="n"/>
      <c r="I245" s="33">
        <f>RANK(E245,$E$5:$E$257,1)</f>
        <v/>
      </c>
    </row>
    <row r="246" ht="36" customHeight="1">
      <c r="A246" s="33" t="n">
        <v>242</v>
      </c>
      <c r="B246" s="33" t="inlineStr">
        <is>
          <t>Orion</t>
        </is>
      </c>
      <c r="C246" s="33" t="inlineStr">
        <is>
          <t>Martian</t>
        </is>
      </c>
      <c r="D246" s="33">
        <f>SUMPRODUCT('94_WEIGHT_VECTOR'!$B$5:$CC$5,INDEX('08_EXPECTED_CODEBOOK_V4'!$D$5:$CE$27,MATCH(B246,'08_EXPECTED_CODEBOOK_V4'!$C$5:$C$27,0),0),INDEX('08_EXPECTED_CODEBOOK_V4'!$D$5:$CE$27,MATCH(C246,'08_EXPECTED_CODEBOOK_V4'!$C$5:$C$27,0),0))/'18_WEIGHT_CONTROL'!$B$15/(INDEX('95_WEIGHTED_NORMS'!$C$5:$C$27,MATCH(B246,'95_WEIGHTED_NORMS'!$B$5:$B$27,0))*INDEX('95_WEIGHTED_NORMS'!$C$5:$C$27,MATCH(C246,'95_WEIGHTED_NORMS'!$B$5:$B$27,0)))</f>
        <v/>
      </c>
      <c r="E246" s="33">
        <f>SQRT(MAX(0,2*(1-D246)))</f>
        <v/>
      </c>
      <c r="F246" s="33">
        <f>SQRT(SUMPRODUCT('94_WEIGHT_VECTOR'!$B$5:$CC$5,(INDEX('08_EXPECTED_CODEBOOK_V4'!$D$5:$CE$27,MATCH(B246,'08_EXPECTED_CODEBOOK_V4'!$C$5:$C$27,0),0)-INDEX('08_EXPECTED_CODEBOOK_V4'!$D$5:$CE$27,MATCH(C246,'08_EXPECTED_CODEBOOK_V4'!$C$5:$C$27,0),0))^2)/'18_WEIGHT_CONTROL'!$B$15)</f>
        <v/>
      </c>
      <c r="G246" s="33">
        <f>E246/1.572152050595698</f>
        <v/>
      </c>
      <c r="H246" s="33" t="n"/>
      <c r="I246" s="33">
        <f>RANK(E246,$E$5:$E$257,1)</f>
        <v/>
      </c>
    </row>
    <row r="247" ht="36" customHeight="1">
      <c r="A247" s="33" t="n">
        <v>243</v>
      </c>
      <c r="B247" s="33" t="inlineStr">
        <is>
          <t>Sirian</t>
        </is>
      </c>
      <c r="C247" s="33" t="inlineStr">
        <is>
          <t>Andromedan</t>
        </is>
      </c>
      <c r="D247" s="33">
        <f>SUMPRODUCT('94_WEIGHT_VECTOR'!$B$5:$CC$5,INDEX('08_EXPECTED_CODEBOOK_V4'!$D$5:$CE$27,MATCH(B247,'08_EXPECTED_CODEBOOK_V4'!$C$5:$C$27,0),0),INDEX('08_EXPECTED_CODEBOOK_V4'!$D$5:$CE$27,MATCH(C247,'08_EXPECTED_CODEBOOK_V4'!$C$5:$C$27,0),0))/'18_WEIGHT_CONTROL'!$B$15/(INDEX('95_WEIGHTED_NORMS'!$C$5:$C$27,MATCH(B247,'95_WEIGHTED_NORMS'!$B$5:$B$27,0))*INDEX('95_WEIGHTED_NORMS'!$C$5:$C$27,MATCH(C247,'95_WEIGHTED_NORMS'!$B$5:$B$27,0)))</f>
        <v/>
      </c>
      <c r="E247" s="33">
        <f>SQRT(MAX(0,2*(1-D247)))</f>
        <v/>
      </c>
      <c r="F247" s="33">
        <f>SQRT(SUMPRODUCT('94_WEIGHT_VECTOR'!$B$5:$CC$5,(INDEX('08_EXPECTED_CODEBOOK_V4'!$D$5:$CE$27,MATCH(B247,'08_EXPECTED_CODEBOOK_V4'!$C$5:$C$27,0),0)-INDEX('08_EXPECTED_CODEBOOK_V4'!$D$5:$CE$27,MATCH(C247,'08_EXPECTED_CODEBOOK_V4'!$C$5:$C$27,0),0))^2)/'18_WEIGHT_CONTROL'!$B$15)</f>
        <v/>
      </c>
      <c r="G247" s="33">
        <f>E247/1.579917383395991</f>
        <v/>
      </c>
      <c r="H247" s="33" t="n"/>
      <c r="I247" s="33">
        <f>RANK(E247,$E$5:$E$257,1)</f>
        <v/>
      </c>
    </row>
    <row r="248" ht="36" customHeight="1">
      <c r="A248" s="33" t="n">
        <v>244</v>
      </c>
      <c r="B248" s="33" t="inlineStr">
        <is>
          <t>Hadarian</t>
        </is>
      </c>
      <c r="C248" s="33" t="inlineStr">
        <is>
          <t>Zeta / Grey</t>
        </is>
      </c>
      <c r="D248" s="33">
        <f>SUMPRODUCT('94_WEIGHT_VECTOR'!$B$5:$CC$5,INDEX('08_EXPECTED_CODEBOOK_V4'!$D$5:$CE$27,MATCH(B248,'08_EXPECTED_CODEBOOK_V4'!$C$5:$C$27,0),0),INDEX('08_EXPECTED_CODEBOOK_V4'!$D$5:$CE$27,MATCH(C248,'08_EXPECTED_CODEBOOK_V4'!$C$5:$C$27,0),0))/'18_WEIGHT_CONTROL'!$B$15/(INDEX('95_WEIGHTED_NORMS'!$C$5:$C$27,MATCH(B248,'95_WEIGHTED_NORMS'!$B$5:$B$27,0))*INDEX('95_WEIGHTED_NORMS'!$C$5:$C$27,MATCH(C248,'95_WEIGHTED_NORMS'!$B$5:$B$27,0)))</f>
        <v/>
      </c>
      <c r="E248" s="33">
        <f>SQRT(MAX(0,2*(1-D248)))</f>
        <v/>
      </c>
      <c r="F248" s="33">
        <f>SQRT(SUMPRODUCT('94_WEIGHT_VECTOR'!$B$5:$CC$5,(INDEX('08_EXPECTED_CODEBOOK_V4'!$D$5:$CE$27,MATCH(B248,'08_EXPECTED_CODEBOOK_V4'!$C$5:$C$27,0),0)-INDEX('08_EXPECTED_CODEBOOK_V4'!$D$5:$CE$27,MATCH(C248,'08_EXPECTED_CODEBOOK_V4'!$C$5:$C$27,0),0))^2)/'18_WEIGHT_CONTROL'!$B$15)</f>
        <v/>
      </c>
      <c r="G248" s="33">
        <f>E248/1.578210292961994</f>
        <v/>
      </c>
      <c r="H248" s="33" t="n"/>
      <c r="I248" s="33">
        <f>RANK(E248,$E$5:$E$257,1)</f>
        <v/>
      </c>
    </row>
    <row r="249" ht="36" customHeight="1">
      <c r="A249" s="33" t="n">
        <v>245</v>
      </c>
      <c r="B249" s="33" t="inlineStr">
        <is>
          <t>Andromedan</t>
        </is>
      </c>
      <c r="C249" s="33" t="inlineStr">
        <is>
          <t>Earth-Origin Soul</t>
        </is>
      </c>
      <c r="D249" s="33">
        <f>SUMPRODUCT('94_WEIGHT_VECTOR'!$B$5:$CC$5,INDEX('08_EXPECTED_CODEBOOK_V4'!$D$5:$CE$27,MATCH(B249,'08_EXPECTED_CODEBOOK_V4'!$C$5:$C$27,0),0),INDEX('08_EXPECTED_CODEBOOK_V4'!$D$5:$CE$27,MATCH(C249,'08_EXPECTED_CODEBOOK_V4'!$C$5:$C$27,0),0))/'18_WEIGHT_CONTROL'!$B$15/(INDEX('95_WEIGHTED_NORMS'!$C$5:$C$27,MATCH(B249,'95_WEIGHTED_NORMS'!$B$5:$B$27,0))*INDEX('95_WEIGHTED_NORMS'!$C$5:$C$27,MATCH(C249,'95_WEIGHTED_NORMS'!$B$5:$B$27,0)))</f>
        <v/>
      </c>
      <c r="E249" s="33">
        <f>SQRT(MAX(0,2*(1-D249)))</f>
        <v/>
      </c>
      <c r="F249" s="33">
        <f>SQRT(SUMPRODUCT('94_WEIGHT_VECTOR'!$B$5:$CC$5,(INDEX('08_EXPECTED_CODEBOOK_V4'!$D$5:$CE$27,MATCH(B249,'08_EXPECTED_CODEBOOK_V4'!$C$5:$C$27,0),0)-INDEX('08_EXPECTED_CODEBOOK_V4'!$D$5:$CE$27,MATCH(C249,'08_EXPECTED_CODEBOOK_V4'!$C$5:$C$27,0),0))^2)/'18_WEIGHT_CONTROL'!$B$15)</f>
        <v/>
      </c>
      <c r="G249" s="33">
        <f>E249/1.580178730197529</f>
        <v/>
      </c>
      <c r="H249" s="33" t="n"/>
      <c r="I249" s="33">
        <f>RANK(E249,$E$5:$E$257,1)</f>
        <v/>
      </c>
    </row>
    <row r="250" ht="36" customHeight="1">
      <c r="A250" s="33" t="n">
        <v>246</v>
      </c>
      <c r="B250" s="33" t="inlineStr">
        <is>
          <t>Avian / Blue Avian</t>
        </is>
      </c>
      <c r="C250" s="33" t="inlineStr">
        <is>
          <t>Earth-Origin Soul</t>
        </is>
      </c>
      <c r="D250" s="33">
        <f>SUMPRODUCT('94_WEIGHT_VECTOR'!$B$5:$CC$5,INDEX('08_EXPECTED_CODEBOOK_V4'!$D$5:$CE$27,MATCH(B250,'08_EXPECTED_CODEBOOK_V4'!$C$5:$C$27,0),0),INDEX('08_EXPECTED_CODEBOOK_V4'!$D$5:$CE$27,MATCH(C250,'08_EXPECTED_CODEBOOK_V4'!$C$5:$C$27,0),0))/'18_WEIGHT_CONTROL'!$B$15/(INDEX('95_WEIGHTED_NORMS'!$C$5:$C$27,MATCH(B250,'95_WEIGHTED_NORMS'!$B$5:$B$27,0))*INDEX('95_WEIGHTED_NORMS'!$C$5:$C$27,MATCH(C250,'95_WEIGHTED_NORMS'!$B$5:$B$27,0)))</f>
        <v/>
      </c>
      <c r="E250" s="33">
        <f>SQRT(MAX(0,2*(1-D250)))</f>
        <v/>
      </c>
      <c r="F250" s="33">
        <f>SQRT(SUMPRODUCT('94_WEIGHT_VECTOR'!$B$5:$CC$5,(INDEX('08_EXPECTED_CODEBOOK_V4'!$D$5:$CE$27,MATCH(B250,'08_EXPECTED_CODEBOOK_V4'!$C$5:$C$27,0),0)-INDEX('08_EXPECTED_CODEBOOK_V4'!$D$5:$CE$27,MATCH(C250,'08_EXPECTED_CODEBOOK_V4'!$C$5:$C$27,0),0))^2)/'18_WEIGHT_CONTROL'!$B$15)</f>
        <v/>
      </c>
      <c r="G250" s="33">
        <f>E250/1.581108019088977</f>
        <v/>
      </c>
      <c r="H250" s="33" t="n"/>
      <c r="I250" s="33">
        <f>RANK(E250,$E$5:$E$257,1)</f>
        <v/>
      </c>
    </row>
    <row r="251" ht="36" customHeight="1">
      <c r="A251" s="33" t="n">
        <v>247</v>
      </c>
      <c r="B251" s="33" t="inlineStr">
        <is>
          <t>Vegan</t>
        </is>
      </c>
      <c r="C251" s="33" t="inlineStr">
        <is>
          <t>Anunnaki / Nibiruan</t>
        </is>
      </c>
      <c r="D251" s="33">
        <f>SUMPRODUCT('94_WEIGHT_VECTOR'!$B$5:$CC$5,INDEX('08_EXPECTED_CODEBOOK_V4'!$D$5:$CE$27,MATCH(B251,'08_EXPECTED_CODEBOOK_V4'!$C$5:$C$27,0),0),INDEX('08_EXPECTED_CODEBOOK_V4'!$D$5:$CE$27,MATCH(C251,'08_EXPECTED_CODEBOOK_V4'!$C$5:$C$27,0),0))/'18_WEIGHT_CONTROL'!$B$15/(INDEX('95_WEIGHTED_NORMS'!$C$5:$C$27,MATCH(B251,'95_WEIGHTED_NORMS'!$B$5:$B$27,0))*INDEX('95_WEIGHTED_NORMS'!$C$5:$C$27,MATCH(C251,'95_WEIGHTED_NORMS'!$B$5:$B$27,0)))</f>
        <v/>
      </c>
      <c r="E251" s="33">
        <f>SQRT(MAX(0,2*(1-D251)))</f>
        <v/>
      </c>
      <c r="F251" s="33">
        <f>SQRT(SUMPRODUCT('94_WEIGHT_VECTOR'!$B$5:$CC$5,(INDEX('08_EXPECTED_CODEBOOK_V4'!$D$5:$CE$27,MATCH(B251,'08_EXPECTED_CODEBOOK_V4'!$C$5:$C$27,0),0)-INDEX('08_EXPECTED_CODEBOOK_V4'!$D$5:$CE$27,MATCH(C251,'08_EXPECTED_CODEBOOK_V4'!$C$5:$C$27,0),0))^2)/'18_WEIGHT_CONTROL'!$B$15)</f>
        <v/>
      </c>
      <c r="G251" s="33">
        <f>E251/1.591943471795235</f>
        <v/>
      </c>
      <c r="H251" s="33" t="n"/>
      <c r="I251" s="33">
        <f>RANK(E251,$E$5:$E$257,1)</f>
        <v/>
      </c>
    </row>
    <row r="252" ht="36" customHeight="1">
      <c r="A252" s="33" t="n">
        <v>248</v>
      </c>
      <c r="B252" s="33" t="inlineStr">
        <is>
          <t>Vegan</t>
        </is>
      </c>
      <c r="C252" s="33" t="inlineStr">
        <is>
          <t>Earth-Origin Soul</t>
        </is>
      </c>
      <c r="D252" s="33">
        <f>SUMPRODUCT('94_WEIGHT_VECTOR'!$B$5:$CC$5,INDEX('08_EXPECTED_CODEBOOK_V4'!$D$5:$CE$27,MATCH(B252,'08_EXPECTED_CODEBOOK_V4'!$C$5:$C$27,0),0),INDEX('08_EXPECTED_CODEBOOK_V4'!$D$5:$CE$27,MATCH(C252,'08_EXPECTED_CODEBOOK_V4'!$C$5:$C$27,0),0))/'18_WEIGHT_CONTROL'!$B$15/(INDEX('95_WEIGHTED_NORMS'!$C$5:$C$27,MATCH(B252,'95_WEIGHTED_NORMS'!$B$5:$B$27,0))*INDEX('95_WEIGHTED_NORMS'!$C$5:$C$27,MATCH(C252,'95_WEIGHTED_NORMS'!$B$5:$B$27,0)))</f>
        <v/>
      </c>
      <c r="E252" s="33">
        <f>SQRT(MAX(0,2*(1-D252)))</f>
        <v/>
      </c>
      <c r="F252" s="33">
        <f>SQRT(SUMPRODUCT('94_WEIGHT_VECTOR'!$B$5:$CC$5,(INDEX('08_EXPECTED_CODEBOOK_V4'!$D$5:$CE$27,MATCH(B252,'08_EXPECTED_CODEBOOK_V4'!$C$5:$C$27,0),0)-INDEX('08_EXPECTED_CODEBOOK_V4'!$D$5:$CE$27,MATCH(C252,'08_EXPECTED_CODEBOOK_V4'!$C$5:$C$27,0),0))^2)/'18_WEIGHT_CONTROL'!$B$15)</f>
        <v/>
      </c>
      <c r="G252" s="33">
        <f>E252/1.589068266820328</f>
        <v/>
      </c>
      <c r="H252" s="33" t="n"/>
      <c r="I252" s="33">
        <f>RANK(E252,$E$5:$E$257,1)</f>
        <v/>
      </c>
    </row>
    <row r="253" ht="36" customHeight="1">
      <c r="A253" s="33" t="n">
        <v>249</v>
      </c>
      <c r="B253" s="33" t="inlineStr">
        <is>
          <t>Andromedan</t>
        </is>
      </c>
      <c r="C253" s="33" t="inlineStr">
        <is>
          <t>Polarian</t>
        </is>
      </c>
      <c r="D253" s="33">
        <f>SUMPRODUCT('94_WEIGHT_VECTOR'!$B$5:$CC$5,INDEX('08_EXPECTED_CODEBOOK_V4'!$D$5:$CE$27,MATCH(B253,'08_EXPECTED_CODEBOOK_V4'!$C$5:$C$27,0),0),INDEX('08_EXPECTED_CODEBOOK_V4'!$D$5:$CE$27,MATCH(C253,'08_EXPECTED_CODEBOOK_V4'!$C$5:$C$27,0),0))/'18_WEIGHT_CONTROL'!$B$15/(INDEX('95_WEIGHTED_NORMS'!$C$5:$C$27,MATCH(B253,'95_WEIGHTED_NORMS'!$B$5:$B$27,0))*INDEX('95_WEIGHTED_NORMS'!$C$5:$C$27,MATCH(C253,'95_WEIGHTED_NORMS'!$B$5:$B$27,0)))</f>
        <v/>
      </c>
      <c r="E253" s="33">
        <f>SQRT(MAX(0,2*(1-D253)))</f>
        <v/>
      </c>
      <c r="F253" s="33">
        <f>SQRT(SUMPRODUCT('94_WEIGHT_VECTOR'!$B$5:$CC$5,(INDEX('08_EXPECTED_CODEBOOK_V4'!$D$5:$CE$27,MATCH(B253,'08_EXPECTED_CODEBOOK_V4'!$C$5:$C$27,0),0)-INDEX('08_EXPECTED_CODEBOOK_V4'!$D$5:$CE$27,MATCH(C253,'08_EXPECTED_CODEBOOK_V4'!$C$5:$C$27,0),0))^2)/'18_WEIGHT_CONTROL'!$B$15)</f>
        <v/>
      </c>
      <c r="G253" s="33">
        <f>E253/1.606458395464962</f>
        <v/>
      </c>
      <c r="H253" s="33" t="n"/>
      <c r="I253" s="33">
        <f>RANK(E253,$E$5:$E$257,1)</f>
        <v/>
      </c>
    </row>
    <row r="254" ht="36" customHeight="1">
      <c r="A254" s="33" t="n">
        <v>250</v>
      </c>
      <c r="B254" s="33" t="inlineStr">
        <is>
          <t>Andromedan</t>
        </is>
      </c>
      <c r="C254" s="33" t="inlineStr">
        <is>
          <t>Anunnaki / Nibiruan</t>
        </is>
      </c>
      <c r="D254" s="33">
        <f>SUMPRODUCT('94_WEIGHT_VECTOR'!$B$5:$CC$5,INDEX('08_EXPECTED_CODEBOOK_V4'!$D$5:$CE$27,MATCH(B254,'08_EXPECTED_CODEBOOK_V4'!$C$5:$C$27,0),0),INDEX('08_EXPECTED_CODEBOOK_V4'!$D$5:$CE$27,MATCH(C254,'08_EXPECTED_CODEBOOK_V4'!$C$5:$C$27,0),0))/'18_WEIGHT_CONTROL'!$B$15/(INDEX('95_WEIGHTED_NORMS'!$C$5:$C$27,MATCH(B254,'95_WEIGHTED_NORMS'!$B$5:$B$27,0))*INDEX('95_WEIGHTED_NORMS'!$C$5:$C$27,MATCH(C254,'95_WEIGHTED_NORMS'!$B$5:$B$27,0)))</f>
        <v/>
      </c>
      <c r="E254" s="33">
        <f>SQRT(MAX(0,2*(1-D254)))</f>
        <v/>
      </c>
      <c r="F254" s="33">
        <f>SQRT(SUMPRODUCT('94_WEIGHT_VECTOR'!$B$5:$CC$5,(INDEX('08_EXPECTED_CODEBOOK_V4'!$D$5:$CE$27,MATCH(B254,'08_EXPECTED_CODEBOOK_V4'!$C$5:$C$27,0),0)-INDEX('08_EXPECTED_CODEBOOK_V4'!$D$5:$CE$27,MATCH(C254,'08_EXPECTED_CODEBOOK_V4'!$C$5:$C$27,0),0))^2)/'18_WEIGHT_CONTROL'!$B$15)</f>
        <v/>
      </c>
      <c r="G254" s="33">
        <f>E254/1.610914975945897</f>
        <v/>
      </c>
      <c r="H254" s="33" t="n"/>
      <c r="I254" s="33">
        <f>RANK(E254,$E$5:$E$257,1)</f>
        <v/>
      </c>
    </row>
    <row r="255" ht="36" customHeight="1">
      <c r="A255" s="33" t="n">
        <v>251</v>
      </c>
      <c r="B255" s="33" t="inlineStr">
        <is>
          <t>Polarian</t>
        </is>
      </c>
      <c r="C255" s="33" t="inlineStr">
        <is>
          <t>Vegan</t>
        </is>
      </c>
      <c r="D255" s="33">
        <f>SUMPRODUCT('94_WEIGHT_VECTOR'!$B$5:$CC$5,INDEX('08_EXPECTED_CODEBOOK_V4'!$D$5:$CE$27,MATCH(B255,'08_EXPECTED_CODEBOOK_V4'!$C$5:$C$27,0),0),INDEX('08_EXPECTED_CODEBOOK_V4'!$D$5:$CE$27,MATCH(C255,'08_EXPECTED_CODEBOOK_V4'!$C$5:$C$27,0),0))/'18_WEIGHT_CONTROL'!$B$15/(INDEX('95_WEIGHTED_NORMS'!$C$5:$C$27,MATCH(B255,'95_WEIGHTED_NORMS'!$B$5:$B$27,0))*INDEX('95_WEIGHTED_NORMS'!$C$5:$C$27,MATCH(C255,'95_WEIGHTED_NORMS'!$B$5:$B$27,0)))</f>
        <v/>
      </c>
      <c r="E255" s="33">
        <f>SQRT(MAX(0,2*(1-D255)))</f>
        <v/>
      </c>
      <c r="F255" s="33">
        <f>SQRT(SUMPRODUCT('94_WEIGHT_VECTOR'!$B$5:$CC$5,(INDEX('08_EXPECTED_CODEBOOK_V4'!$D$5:$CE$27,MATCH(B255,'08_EXPECTED_CODEBOOK_V4'!$C$5:$C$27,0),0)-INDEX('08_EXPECTED_CODEBOOK_V4'!$D$5:$CE$27,MATCH(C255,'08_EXPECTED_CODEBOOK_V4'!$C$5:$C$27,0),0))^2)/'18_WEIGHT_CONTROL'!$B$15)</f>
        <v/>
      </c>
      <c r="G255" s="33">
        <f>E255/1.639478780707915</f>
        <v/>
      </c>
      <c r="H255" s="33" t="n"/>
      <c r="I255" s="33">
        <f>RANK(E255,$E$5:$E$257,1)</f>
        <v/>
      </c>
    </row>
    <row r="256" ht="36" customHeight="1">
      <c r="A256" s="33" t="n">
        <v>252</v>
      </c>
      <c r="B256" s="33" t="inlineStr">
        <is>
          <t>Martian</t>
        </is>
      </c>
      <c r="C256" s="33" t="inlineStr">
        <is>
          <t>Zeta / Grey</t>
        </is>
      </c>
      <c r="D256" s="33">
        <f>SUMPRODUCT('94_WEIGHT_VECTOR'!$B$5:$CC$5,INDEX('08_EXPECTED_CODEBOOK_V4'!$D$5:$CE$27,MATCH(B256,'08_EXPECTED_CODEBOOK_V4'!$C$5:$C$27,0),0),INDEX('08_EXPECTED_CODEBOOK_V4'!$D$5:$CE$27,MATCH(C256,'08_EXPECTED_CODEBOOK_V4'!$C$5:$C$27,0),0))/'18_WEIGHT_CONTROL'!$B$15/(INDEX('95_WEIGHTED_NORMS'!$C$5:$C$27,MATCH(B256,'95_WEIGHTED_NORMS'!$B$5:$B$27,0))*INDEX('95_WEIGHTED_NORMS'!$C$5:$C$27,MATCH(C256,'95_WEIGHTED_NORMS'!$B$5:$B$27,0)))</f>
        <v/>
      </c>
      <c r="E256" s="33">
        <f>SQRT(MAX(0,2*(1-D256)))</f>
        <v/>
      </c>
      <c r="F256" s="33">
        <f>SQRT(SUMPRODUCT('94_WEIGHT_VECTOR'!$B$5:$CC$5,(INDEX('08_EXPECTED_CODEBOOK_V4'!$D$5:$CE$27,MATCH(B256,'08_EXPECTED_CODEBOOK_V4'!$C$5:$C$27,0),0)-INDEX('08_EXPECTED_CODEBOOK_V4'!$D$5:$CE$27,MATCH(C256,'08_EXPECTED_CODEBOOK_V4'!$C$5:$C$27,0),0))^2)/'18_WEIGHT_CONTROL'!$B$15)</f>
        <v/>
      </c>
      <c r="G256" s="33">
        <f>E256/1.652572652909583</f>
        <v/>
      </c>
      <c r="H256" s="33" t="n"/>
      <c r="I256" s="33">
        <f>RANK(E256,$E$5:$E$257,1)</f>
        <v/>
      </c>
    </row>
    <row r="257" ht="36" customHeight="1">
      <c r="A257" s="33" t="n">
        <v>253</v>
      </c>
      <c r="B257" s="33" t="inlineStr">
        <is>
          <t>Andromedan</t>
        </is>
      </c>
      <c r="C257" s="33" t="inlineStr">
        <is>
          <t>Maldekian</t>
        </is>
      </c>
      <c r="D257" s="33">
        <f>SUMPRODUCT('94_WEIGHT_VECTOR'!$B$5:$CC$5,INDEX('08_EXPECTED_CODEBOOK_V4'!$D$5:$CE$27,MATCH(B257,'08_EXPECTED_CODEBOOK_V4'!$C$5:$C$27,0),0),INDEX('08_EXPECTED_CODEBOOK_V4'!$D$5:$CE$27,MATCH(C257,'08_EXPECTED_CODEBOOK_V4'!$C$5:$C$27,0),0))/'18_WEIGHT_CONTROL'!$B$15/(INDEX('95_WEIGHTED_NORMS'!$C$5:$C$27,MATCH(B257,'95_WEIGHTED_NORMS'!$B$5:$B$27,0))*INDEX('95_WEIGHTED_NORMS'!$C$5:$C$27,MATCH(C257,'95_WEIGHTED_NORMS'!$B$5:$B$27,0)))</f>
        <v/>
      </c>
      <c r="E257" s="33">
        <f>SQRT(MAX(0,2*(1-D257)))</f>
        <v/>
      </c>
      <c r="F257" s="33">
        <f>SQRT(SUMPRODUCT('94_WEIGHT_VECTOR'!$B$5:$CC$5,(INDEX('08_EXPECTED_CODEBOOK_V4'!$D$5:$CE$27,MATCH(B257,'08_EXPECTED_CODEBOOK_V4'!$C$5:$C$27,0),0)-INDEX('08_EXPECTED_CODEBOOK_V4'!$D$5:$CE$27,MATCH(C257,'08_EXPECTED_CODEBOOK_V4'!$C$5:$C$27,0),0))^2)/'18_WEIGHT_CONTROL'!$B$15)</f>
        <v/>
      </c>
      <c r="G257" s="33">
        <f>E257/1.669888365744891</f>
        <v/>
      </c>
      <c r="H257" s="33" t="n"/>
      <c r="I257" s="33">
        <f>RANK(E257,$E$5:$E$257,1)</f>
        <v/>
      </c>
    </row>
  </sheetData>
  <autoFilter ref="A4:I257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  <col width="12" customWidth="1" min="7" max="7"/>
    <col width="78" customWidth="1" min="8" max="8"/>
  </cols>
  <sheetData>
    <row r="1" ht="30" customHeight="1">
      <c r="A1" s="1" t="inlineStr">
        <is>
          <t>Weighted Phase 6B Structural Re-Certification</t>
        </is>
      </c>
    </row>
    <row r="2" ht="34" customHeight="1">
      <c r="A2" s="29" t="inlineStr">
        <is>
          <t>Independent Python tests using the final weights and the v4 integer codebook. These are structural robustness tests, not empirical accuracy.</t>
        </is>
      </c>
    </row>
    <row r="3"/>
    <row r="4" ht="32" customHeight="1">
      <c r="A4" s="30" t="inlineStr">
        <is>
          <t>Test</t>
        </is>
      </c>
      <c r="B4" s="30" t="inlineStr">
        <is>
          <t>25%</t>
        </is>
      </c>
      <c r="C4" s="30" t="inlineStr">
        <is>
          <t>50%</t>
        </is>
      </c>
      <c r="D4" s="30" t="inlineStr">
        <is>
          <t>75%</t>
        </is>
      </c>
      <c r="E4" s="30" t="inlineStr">
        <is>
          <t>100%</t>
        </is>
      </c>
      <c r="F4" s="30" t="inlineStr">
        <is>
          <t>Verified result</t>
        </is>
      </c>
      <c r="G4" s="30" t="inlineStr">
        <is>
          <t>Status</t>
        </is>
      </c>
      <c r="H4" s="30" t="inlineStr">
        <is>
          <t>Interpretation</t>
        </is>
      </c>
    </row>
    <row r="5" ht="36" customHeight="1">
      <c r="A5" s="33" t="inlineStr">
        <is>
          <t>Exact prototype classification</t>
        </is>
      </c>
      <c r="B5" s="33" t="inlineStr"/>
      <c r="C5" s="33" t="inlineStr"/>
      <c r="D5" s="33" t="inlineStr"/>
      <c r="E5" s="33" t="inlineStr"/>
      <c r="F5" s="33" t="inlineStr">
        <is>
          <t>23/23</t>
        </is>
      </c>
      <c r="G5" s="33" t="inlineStr">
        <is>
          <t>PASS</t>
        </is>
      </c>
      <c r="H5" s="33" t="inlineStr">
        <is>
          <t>Weighted cosine assigns every prototype to itself.</t>
        </is>
      </c>
    </row>
    <row r="6" ht="36" customHeight="1">
      <c r="A6" s="33" t="inlineStr">
        <is>
          <t>Continuous amplitude</t>
        </is>
      </c>
      <c r="B6" s="33" t="n">
        <v>23</v>
      </c>
      <c r="C6" s="33" t="n">
        <v>23</v>
      </c>
      <c r="D6" s="33" t="n">
        <v>23</v>
      </c>
      <c r="E6" s="33" t="n">
        <v>23</v>
      </c>
      <c r="F6" s="33" t="inlineStr">
        <is>
          <t>23 each</t>
        </is>
      </c>
      <c r="G6" s="33" t="inlineStr">
        <is>
          <t>PASS</t>
        </is>
      </c>
      <c r="H6" s="33" t="inlineStr">
        <is>
          <t>Positive rescaling leaves direction unchanged.</t>
        </is>
      </c>
    </row>
    <row r="7" ht="36" customHeight="1">
      <c r="A7" s="33" t="inlineStr">
        <is>
          <t>Quantized amplitude</t>
        </is>
      </c>
      <c r="B7" s="33" t="n">
        <v>23</v>
      </c>
      <c r="C7" s="33" t="n">
        <v>23</v>
      </c>
      <c r="D7" s="33" t="n">
        <v>23</v>
      </c>
      <c r="E7" s="33" t="n">
        <v>23</v>
      </c>
      <c r="F7" s="33" t="inlineStr">
        <is>
          <t>23 each</t>
        </is>
      </c>
      <c r="G7" s="33" t="inlineStr">
        <is>
          <t>PASS</t>
        </is>
      </c>
      <c r="H7" s="33" t="inlineStr">
        <is>
          <t>After scale + legal integer rounding.</t>
        </is>
      </c>
    </row>
    <row r="8" ht="36" customHeight="1">
      <c r="A8" s="33" t="inlineStr">
        <is>
          <t>Noisy profile amplitude invariance</t>
        </is>
      </c>
      <c r="B8" s="33" t="inlineStr"/>
      <c r="C8" s="33" t="inlineStr"/>
      <c r="D8" s="33" t="inlineStr"/>
      <c r="E8" s="33" t="inlineStr"/>
      <c r="F8" s="33" t="inlineStr">
        <is>
          <t>4600/4600</t>
        </is>
      </c>
      <c r="G8" s="33" t="inlineStr">
        <is>
          <t>PASS</t>
        </is>
      </c>
      <c r="H8" s="33" t="inlineStr">
        <is>
          <t>200 synthetic noisy profiles per lineage; continuous 25/50/75/100% winner invariant.</t>
        </is>
      </c>
    </row>
    <row r="9" ht="36" customHeight="1">
      <c r="A9" s="33" t="inlineStr">
        <is>
          <t>Noisy + legal quantization</t>
        </is>
      </c>
      <c r="B9" s="33" t="inlineStr"/>
      <c r="C9" s="33" t="inlineStr"/>
      <c r="D9" s="33" t="inlineStr"/>
      <c r="E9" s="33" t="inlineStr"/>
      <c r="F9" s="33" t="inlineStr">
        <is>
          <t>4600/4600</t>
        </is>
      </c>
      <c r="G9" s="33" t="inlineStr">
        <is>
          <t>PASS</t>
        </is>
      </c>
      <c r="H9" s="33" t="inlineStr">
        <is>
          <t>Same profiles after legal integer rounding.</t>
        </is>
      </c>
    </row>
    <row r="10" ht="36" customHeight="1">
      <c r="A10" s="33" t="inlineStr">
        <is>
          <t>One-item arbitrary corruption</t>
        </is>
      </c>
      <c r="B10" s="33" t="inlineStr"/>
      <c r="C10" s="33" t="inlineStr"/>
      <c r="D10" s="33" t="inlineStr"/>
      <c r="E10" s="33" t="inlineStr"/>
      <c r="F10" s="33" t="inlineStr">
        <is>
          <t>11040/11040</t>
        </is>
      </c>
      <c r="G10" s="33" t="inlineStr">
        <is>
          <t>PASS</t>
        </is>
      </c>
      <c r="H10" s="33" t="inlineStr">
        <is>
          <t>Any one item replaced by any other legal response.</t>
        </is>
      </c>
    </row>
    <row r="11" ht="36" customHeight="1">
      <c r="A11" s="33" t="inlineStr">
        <is>
          <t>Min weighted angular chord</t>
        </is>
      </c>
      <c r="B11" s="33" t="inlineStr"/>
      <c r="C11" s="33" t="inlineStr"/>
      <c r="D11" s="33" t="inlineStr"/>
      <c r="E11" s="33" t="inlineStr"/>
      <c r="F11" s="33" t="inlineStr">
        <is>
          <t>0.604587</t>
        </is>
      </c>
      <c r="G11" s="33" t="inlineStr">
        <is>
          <t>PASS</t>
        </is>
      </c>
      <c r="H11" s="33" t="inlineStr">
        <is>
          <t>Draconian ↔ Anunnaki / Nibiruan</t>
        </is>
      </c>
    </row>
    <row r="12" ht="36" customHeight="1">
      <c r="A12" s="33" t="inlineStr">
        <is>
          <t>Median weighted chord</t>
        </is>
      </c>
      <c r="B12" s="33" t="inlineStr"/>
      <c r="C12" s="33" t="inlineStr"/>
      <c r="D12" s="33" t="inlineStr"/>
      <c r="E12" s="33" t="inlineStr"/>
      <c r="F12" s="33" t="inlineStr">
        <is>
          <t>1.260257</t>
        </is>
      </c>
      <c r="G12" s="33" t="inlineStr">
        <is>
          <t>INFO</t>
        </is>
      </c>
      <c r="H12" s="33" t="inlineStr">
        <is>
          <t>All 253 pairs.</t>
        </is>
      </c>
    </row>
    <row r="13" ht="36" customHeight="1">
      <c r="A13" s="33" t="inlineStr">
        <is>
          <t>Min high-risk chord ratio vs equal</t>
        </is>
      </c>
      <c r="B13" s="33" t="inlineStr"/>
      <c r="C13" s="33" t="inlineStr"/>
      <c r="D13" s="33" t="inlineStr"/>
      <c r="E13" s="33" t="inlineStr"/>
      <c r="F13" s="33" t="inlineStr">
        <is>
          <t>0.9897</t>
        </is>
      </c>
      <c r="G13" s="33" t="inlineStr">
        <is>
          <t>PASS</t>
        </is>
      </c>
      <c r="H13" s="33" t="inlineStr">
        <is>
          <t>No high-risk edge loses more than ~1.1% separation from confidence weighting.</t>
        </is>
      </c>
    </row>
    <row r="14" ht="36" customHeight="1">
      <c r="A14" s="33" t="inlineStr">
        <is>
          <t>Cosine-gap amplitude drift</t>
        </is>
      </c>
      <c r="B14" s="33" t="inlineStr"/>
      <c r="C14" s="33" t="inlineStr"/>
      <c r="D14" s="33" t="inlineStr"/>
      <c r="E14" s="33" t="inlineStr"/>
      <c r="F14" s="33" t="inlineStr">
        <is>
          <t>7.772e-16</t>
        </is>
      </c>
      <c r="G14" s="33" t="inlineStr">
        <is>
          <t>PASS</t>
        </is>
      </c>
      <c r="H14" s="33" t="inlineStr">
        <is>
          <t>Weighted winner-runner gap invariant under positive scaling.</t>
        </is>
      </c>
    </row>
    <row r="15" ht="36" customHeight="1">
      <c r="A15" s="33" t="inlineStr">
        <is>
          <t>Local boundary-margin drift</t>
        </is>
      </c>
      <c r="B15" s="33" t="inlineStr"/>
      <c r="C15" s="33" t="inlineStr"/>
      <c r="D15" s="33" t="inlineStr"/>
      <c r="E15" s="33" t="inlineStr"/>
      <c r="F15" s="33" t="inlineStr">
        <is>
          <t>1.110e-15</t>
        </is>
      </c>
      <c r="G15" s="33" t="inlineStr">
        <is>
          <t>PASS</t>
        </is>
      </c>
      <c r="H15" s="33" t="inlineStr">
        <is>
          <t>Weighted local margin invariant.</t>
        </is>
      </c>
    </row>
    <row r="16" ht="36" customHeight="1">
      <c r="A16" s="33" t="inlineStr">
        <is>
          <t>Explanation identity error</t>
        </is>
      </c>
      <c r="B16" s="33" t="inlineStr"/>
      <c r="C16" s="33" t="inlineStr"/>
      <c r="D16" s="33" t="inlineStr"/>
      <c r="E16" s="33" t="inlineStr"/>
      <c r="F16" s="33" t="inlineStr">
        <is>
          <t>5.551e-16</t>
        </is>
      </c>
      <c r="G16" s="33" t="inlineStr">
        <is>
          <t>PASS</t>
        </is>
      </c>
      <c r="H16" s="33" t="inlineStr">
        <is>
          <t>18400 checks; Σ item contribution = winner-runner cosine gap.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12" customWidth="1" min="4" max="4"/>
    <col width="88" customWidth="1" min="5" max="5"/>
  </cols>
  <sheetData>
    <row r="1" ht="30" customHeight="1">
      <c r="A1" s="1" t="inlineStr">
        <is>
          <t>Static Weight QA Snapshot</t>
        </is>
      </c>
    </row>
    <row r="2" ht="34" customHeight="1">
      <c r="A2" s="29" t="inlineStr">
        <is>
          <t>Independent numerical verification of the selected weight model. Formula sheets are the source of record when recalculated in Excel/Sheets.</t>
        </is>
      </c>
    </row>
    <row r="3"/>
    <row r="4" ht="32" customHeight="1">
      <c r="A4" s="30" t="inlineStr">
        <is>
          <t>Metric</t>
        </is>
      </c>
      <c r="B4" s="30" t="inlineStr">
        <is>
          <t>Verified value</t>
        </is>
      </c>
      <c r="C4" s="30" t="inlineStr">
        <is>
          <t>Gate</t>
        </is>
      </c>
      <c r="D4" s="30" t="inlineStr">
        <is>
          <t>Status</t>
        </is>
      </c>
      <c r="E4" s="30" t="inlineStr">
        <is>
          <t>Detail</t>
        </is>
      </c>
    </row>
    <row r="5" ht="36" customHeight="1">
      <c r="A5" s="31" t="inlineStr">
        <is>
          <t>Item count</t>
        </is>
      </c>
      <c r="B5" s="31" t="n">
        <v>80</v>
      </c>
      <c r="C5" s="31" t="n">
        <v>80</v>
      </c>
      <c r="D5" s="31" t="inlineStr">
        <is>
          <t>PASS</t>
        </is>
      </c>
      <c r="E5" s="31" t="inlineStr">
        <is>
          <t>All final items weighted.</t>
        </is>
      </c>
    </row>
    <row r="6" ht="36" customHeight="1">
      <c r="A6" s="31" t="inlineStr">
        <is>
          <t>Weight sum</t>
        </is>
      </c>
      <c r="B6" s="31" t="n">
        <v>80</v>
      </c>
      <c r="C6" s="31" t="inlineStr">
        <is>
          <t>80</t>
        </is>
      </c>
      <c r="D6" s="31" t="inlineStr">
        <is>
          <t>PASS</t>
        </is>
      </c>
      <c r="E6" s="31" t="inlineStr">
        <is>
          <t>Mean exactly 1.0.</t>
        </is>
      </c>
    </row>
    <row r="7" ht="36" customHeight="1">
      <c r="A7" s="31" t="inlineStr">
        <is>
          <t>Weight min</t>
        </is>
      </c>
      <c r="B7" s="31" t="n">
        <v>0.9388946219287427</v>
      </c>
      <c r="C7" s="31" t="inlineStr">
        <is>
          <t>&gt;0</t>
        </is>
      </c>
      <c r="D7" s="31" t="inlineStr">
        <is>
          <t>PASS</t>
        </is>
      </c>
      <c r="E7" s="31" t="inlineStr">
        <is>
          <t>Lowest-prior items are low-confidence separator families, but still close to unit.</t>
        </is>
      </c>
    </row>
    <row r="8" ht="36" customHeight="1">
      <c r="A8" s="31" t="inlineStr">
        <is>
          <t>Weight max</t>
        </is>
      </c>
      <c r="B8" s="31" t="n">
        <v>1.1</v>
      </c>
      <c r="C8" s="31" t="inlineStr">
        <is>
          <t>&lt;=1.10</t>
        </is>
      </c>
      <c r="D8" s="31" t="inlineStr">
        <is>
          <t>PASS</t>
        </is>
      </c>
      <c r="E8" s="31" t="inlineStr">
        <is>
          <t>Bounded prior.</t>
        </is>
      </c>
    </row>
    <row r="9" ht="36" customHeight="1">
      <c r="A9" s="31" t="inlineStr">
        <is>
          <t>Weight SD</t>
        </is>
      </c>
      <c r="B9" s="31" t="n">
        <v>0.03844178639695027</v>
      </c>
      <c r="C9" s="31" t="inlineStr">
        <is>
          <t>small</t>
        </is>
      </c>
      <c r="D9" s="31" t="inlineStr">
        <is>
          <t>PASS</t>
        </is>
      </c>
      <c r="E9" s="31" t="inlineStr">
        <is>
          <t>Conservative differential weighting.</t>
        </is>
      </c>
    </row>
    <row r="10" ht="36" customHeight="1">
      <c r="A10" s="31" t="inlineStr">
        <is>
          <t>A01 dependency penalty</t>
        </is>
      </c>
      <c r="B10" s="31" t="n">
        <v>0.9799024402100498</v>
      </c>
      <c r="C10" s="31" t="inlineStr">
        <is>
          <t>&gt;0.95</t>
        </is>
      </c>
      <c r="D10" s="31" t="inlineStr">
        <is>
          <t>PASS</t>
        </is>
      </c>
      <c r="E10" s="31" t="inlineStr">
        <is>
          <t>Only co-used feature pair above |r|=.80; M01/M03.</t>
        </is>
      </c>
    </row>
    <row r="11" ht="36" customHeight="1">
      <c r="A11" s="31" t="inlineStr">
        <is>
          <t>High-risk min separation ratio</t>
        </is>
      </c>
      <c r="B11" s="31" t="n">
        <v>0.9896527094847797</v>
      </c>
      <c r="C11" s="31" t="inlineStr">
        <is>
          <t>&gt;=0.98</t>
        </is>
      </c>
      <c r="D11" s="31" t="inlineStr">
        <is>
          <t>PASS</t>
        </is>
      </c>
      <c r="E11" s="31" t="inlineStr">
        <is>
          <t>Selected weights do not materially erode new confusion-graph boundaries.</t>
        </is>
      </c>
    </row>
    <row r="12" ht="36" customHeight="1">
      <c r="A12" s="31" t="inlineStr">
        <is>
          <t>Exact weighted classification</t>
        </is>
      </c>
      <c r="B12" s="31" t="inlineStr">
        <is>
          <t>23/23</t>
        </is>
      </c>
      <c r="C12" s="31" t="inlineStr">
        <is>
          <t>23/23</t>
        </is>
      </c>
      <c r="D12" s="31" t="inlineStr">
        <is>
          <t>PASS</t>
        </is>
      </c>
      <c r="E12" s="31" t="inlineStr">
        <is>
          <t>All prototype directions unique.</t>
        </is>
      </c>
    </row>
    <row r="13" ht="36" customHeight="1">
      <c r="A13" s="31" t="inlineStr">
        <is>
          <t>One-item corruption</t>
        </is>
      </c>
      <c r="B13" s="31" t="inlineStr">
        <is>
          <t>11040/11040</t>
        </is>
      </c>
      <c r="C13" s="31" t="inlineStr">
        <is>
          <t>11040/11040</t>
        </is>
      </c>
      <c r="D13" s="31" t="inlineStr">
        <is>
          <t>PASS</t>
        </is>
      </c>
      <c r="E13" s="31" t="inlineStr">
        <is>
          <t>Structural one-item tolerance preserved.</t>
        </is>
      </c>
    </row>
    <row r="14" ht="36" customHeight="1">
      <c r="A14" s="31" t="inlineStr">
        <is>
          <t>Noisy quantized amplitude</t>
        </is>
      </c>
      <c r="B14" s="31" t="inlineStr">
        <is>
          <t>4600/4600</t>
        </is>
      </c>
      <c r="C14" s="31" t="inlineStr">
        <is>
          <t>4600/4600</t>
        </is>
      </c>
      <c r="D14" s="31" t="inlineStr">
        <is>
          <t>PASS</t>
        </is>
      </c>
      <c r="E14" s="31" t="inlineStr">
        <is>
          <t>Amplitude robustness preserved after quantization.</t>
        </is>
      </c>
    </row>
    <row r="15" ht="36" customHeight="1">
      <c r="A15" s="31" t="inlineStr">
        <is>
          <t>Formula design</t>
        </is>
      </c>
      <c r="B15" s="31" t="inlineStr">
        <is>
          <t>Risk/layer/wording excluded</t>
        </is>
      </c>
      <c r="C15" s="31" t="inlineStr">
        <is>
          <t>required</t>
        </is>
      </c>
      <c r="D15" s="31" t="inlineStr">
        <is>
          <t>PASS</t>
        </is>
      </c>
      <c r="E15" s="31" t="inlineStr">
        <is>
          <t>Prevents double-counting blueprint priority and uncalibrated wording judgment.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5" customWidth="1" min="3" max="3"/>
    <col width="48" customWidth="1" min="4" max="4"/>
    <col width="12" customWidth="1" min="5" max="5"/>
    <col width="58" customWidth="1" min="6" max="6"/>
  </cols>
  <sheetData>
    <row r="1" ht="30" customHeight="1">
      <c r="A1" s="1" t="inlineStr">
        <is>
          <t>Production Weighted Spherical Scoring Spec — v4.4 PUBLIC WORDING FINAL</t>
        </is>
      </c>
    </row>
    <row r="2" ht="34" customHeight="1">
      <c r="A2" s="29" t="inlineStr">
        <is>
          <t>Scoring mathematics unchanged. v4.4 changes respondent-facing wording only; use 37_BACKEND_CONTRACT and 43_V44_WORDING_QA for the active production release.</t>
        </is>
      </c>
    </row>
    <row r="3"/>
    <row r="4" ht="32" customHeight="1">
      <c r="A4" s="30" t="inlineStr">
        <is>
          <t>Component</t>
        </is>
      </c>
      <c r="B4" s="30" t="inlineStr">
        <is>
          <t>Formal rule</t>
        </is>
      </c>
      <c r="C4" s="30" t="inlineStr">
        <is>
          <t>Implementation</t>
        </is>
      </c>
      <c r="D4" s="30" t="inlineStr">
        <is>
          <t>Display rule</t>
        </is>
      </c>
      <c r="E4" s="30" t="inlineStr">
        <is>
          <t>Status</t>
        </is>
      </c>
      <c r="F4" s="30" t="inlineStr">
        <is>
          <t>Notes</t>
        </is>
      </c>
    </row>
    <row r="5" ht="36" customHeight="1">
      <c r="A5" s="31" t="inlineStr">
        <is>
          <t>Canonical response</t>
        </is>
      </c>
      <c r="B5" s="31" t="inlineStr">
        <is>
          <t>x_j = raw_j × key_j</t>
        </is>
      </c>
      <c r="C5" s="31" t="inlineStr">
        <is>
          <t>raw ∈ {-3,-2,-1,0,+1,+2,+3}; key from 03/09 item sheets</t>
        </is>
      </c>
      <c r="D5" s="31" t="inlineStr">
        <is>
          <t>Never expose key.</t>
        </is>
      </c>
      <c r="E5" s="31" t="inlineStr">
        <is>
          <t>FROZEN</t>
        </is>
      </c>
      <c r="F5" s="31" t="inlineStr"/>
    </row>
    <row r="6" ht="36" customHeight="1">
      <c r="A6" s="31" t="inlineStr">
        <is>
          <t>Item weight</t>
        </is>
      </c>
      <c r="B6" s="31" t="inlineStr">
        <is>
          <t>w_j = 1 + β(R_j−R̄)</t>
        </is>
      </c>
      <c r="C6" s="31" t="inlineStr">
        <is>
          <t>Use 24_FINAL_ITEM_WEIGHTS. Sum weights=80.</t>
        </is>
      </c>
      <c r="D6" s="31" t="inlineStr">
        <is>
          <t>Do not display as item quality score.</t>
        </is>
      </c>
      <c r="E6" s="31" t="inlineStr">
        <is>
          <t>FROZEN</t>
        </is>
      </c>
      <c r="F6" s="31" t="inlineStr">
        <is>
          <t>R is semantic-confidence prior, not empirical reliability.</t>
        </is>
      </c>
    </row>
    <row r="7" ht="36" customHeight="1">
      <c r="A7" s="31" t="inlineStr">
        <is>
          <t>Respondent weighted norm</t>
        </is>
      </c>
      <c r="B7" s="31" t="inlineStr">
        <is>
          <t>n(x)=sqrt(Σw_j x_j² / Σw_j)</t>
        </is>
      </c>
      <c r="C7" s="31" t="inlineStr">
        <is>
          <t>Complete input with n(x)=0 → ZERO_VECTOR / no classification.</t>
        </is>
      </c>
      <c r="D7" s="31" t="inlineStr">
        <is>
          <t>Do not produce a Primary for x=0.</t>
        </is>
      </c>
      <c r="E7" s="31" t="inlineStr">
        <is>
          <t>FROZEN</t>
        </is>
      </c>
      <c r="F7" s="31" t="inlineStr"/>
    </row>
    <row r="8" ht="36" customHeight="1">
      <c r="A8" s="31" t="inlineStr">
        <is>
          <t>Prototype weighted norm</t>
        </is>
      </c>
      <c r="B8" s="31" t="inlineStr">
        <is>
          <t>n(c_l)=sqrt(Σw_j c_lj² / Σw_j)</t>
        </is>
      </c>
      <c r="C8" s="31" t="inlineStr">
        <is>
          <t>Precompute for 23 lineages.</t>
        </is>
      </c>
      <c r="D8" s="31" t="inlineStr">
        <is>
          <t>Hidden backend.</t>
        </is>
      </c>
      <c r="E8" s="31" t="inlineStr">
        <is>
          <t>FROZEN</t>
        </is>
      </c>
      <c r="F8" s="31" t="inlineStr"/>
    </row>
    <row r="9" ht="36" customHeight="1">
      <c r="A9" s="31" t="inlineStr">
        <is>
          <t>Similarity</t>
        </is>
      </c>
      <c r="B9" s="31" t="inlineStr">
        <is>
          <t>s_l = [Σw_j x_j c_lj / Σw_j] / [n(x)n(c_l)]</t>
        </is>
      </c>
      <c r="C9" s="31" t="inlineStr">
        <is>
          <t>Weighted cosine / spherical decoder.</t>
        </is>
      </c>
      <c r="D9" s="31" t="inlineStr">
        <is>
          <t>Primary result = argmax s_l.</t>
        </is>
      </c>
      <c r="E9" s="31" t="inlineStr">
        <is>
          <t>FROZEN</t>
        </is>
      </c>
      <c r="F9" s="31" t="inlineStr">
        <is>
          <t>No prototype-norm centrality bias.</t>
        </is>
      </c>
    </row>
    <row r="10" ht="36" customHeight="1">
      <c r="A10" s="31" t="inlineStr">
        <is>
          <t>Chord distance</t>
        </is>
      </c>
      <c r="B10" s="31" t="inlineStr">
        <is>
          <t>d_l=sqrt(2(1−s_l))</t>
        </is>
      </c>
      <c r="C10" s="31" t="inlineStr">
        <is>
          <t>Monotonic transform of cosine.</t>
        </is>
      </c>
      <c r="D10" s="31" t="inlineStr">
        <is>
          <t>Can keep internal.</t>
        </is>
      </c>
      <c r="E10" s="31" t="inlineStr">
        <is>
          <t>FROZEN</t>
        </is>
      </c>
      <c r="F10" s="31" t="inlineStr"/>
    </row>
    <row r="11" ht="36" customHeight="1">
      <c r="A11" s="31" t="inlineStr">
        <is>
          <t>Winner margin</t>
        </is>
      </c>
      <c r="B11" s="31" t="inlineStr">
        <is>
          <t>g=s_1−s_2</t>
        </is>
      </c>
      <c r="C11" s="31" t="inlineStr">
        <is>
          <t>Global cosine gap.</t>
        </is>
      </c>
      <c r="D11" s="31" t="inlineStr">
        <is>
          <t>Optional analytical data; primary result remains one lineage.</t>
        </is>
      </c>
      <c r="E11" s="31" t="inlineStr">
        <is>
          <t>FROZEN</t>
        </is>
      </c>
      <c r="F11" s="31" t="inlineStr"/>
    </row>
    <row r="12" ht="36" customHeight="1">
      <c r="A12" s="31" t="inlineStr">
        <is>
          <t>Pair separation</t>
        </is>
      </c>
      <c r="B12" s="31" t="inlineStr">
        <is>
          <t>δ=sqrt(2(1−ρ_12))</t>
        </is>
      </c>
      <c r="C12" s="31" t="inlineStr">
        <is>
          <t>ρ_12 = weighted cosine(c1,c2)</t>
        </is>
      </c>
      <c r="D12" s="31" t="inlineStr">
        <is>
          <t>Internal local duel.</t>
        </is>
      </c>
      <c r="E12" s="31" t="inlineStr">
        <is>
          <t>FROZEN</t>
        </is>
      </c>
      <c r="F12" s="31" t="inlineStr"/>
    </row>
    <row r="13" ht="36" customHeight="1">
      <c r="A13" s="31" t="inlineStr">
        <is>
          <t>Signed boundary margin</t>
        </is>
      </c>
      <c r="B13" s="31" t="inlineStr">
        <is>
          <t>M=g/δ</t>
        </is>
      </c>
      <c r="C13" s="31" t="inlineStr">
        <is>
          <t>Amplitude invariant.</t>
        </is>
      </c>
      <c r="D13" s="31" t="inlineStr">
        <is>
          <t>Internal/analytical.</t>
        </is>
      </c>
      <c r="E13" s="31" t="inlineStr">
        <is>
          <t>FROZEN</t>
        </is>
      </c>
      <c r="F13" s="31" t="inlineStr"/>
    </row>
    <row r="14" ht="36" customHeight="1">
      <c r="A14" s="31" t="inlineStr">
        <is>
          <t>Separation index</t>
        </is>
      </c>
      <c r="B14" s="31" t="inlineStr">
        <is>
          <t>S=g/(1−ρ_12)</t>
        </is>
      </c>
      <c r="C14" s="31" t="inlineStr">
        <is>
          <t>Scale-free relative position.</t>
        </is>
      </c>
      <c r="D14" s="31" t="inlineStr">
        <is>
          <t>Internal/analytical.</t>
        </is>
      </c>
      <c r="E14" s="31" t="inlineStr">
        <is>
          <t>FROZEN</t>
        </is>
      </c>
      <c r="F14" s="31" t="inlineStr"/>
    </row>
    <row r="15" ht="36" customHeight="1">
      <c r="A15" s="31" t="inlineStr">
        <is>
          <t>Explanation contribution</t>
        </is>
      </c>
      <c r="B15" s="31" t="inlineStr">
        <is>
          <t>contrib_j=(w_j/Σw)·(x_j/n(x))·(c_1j/n(c1)−c_2j/n(c2))</t>
        </is>
      </c>
      <c r="C15" s="31" t="inlineStr">
        <is>
          <t>Σ contrib_j = s_1−s_2 exactly.</t>
        </is>
      </c>
      <c r="D15" s="31" t="inlineStr">
        <is>
          <t>Use only if analysis UI needs item evidence.</t>
        </is>
      </c>
      <c r="E15" s="31" t="inlineStr">
        <is>
          <t>FROZEN</t>
        </is>
      </c>
      <c r="F15" s="31" t="inlineStr"/>
    </row>
    <row r="16">
      <c r="A16" t="inlineStr">
        <is>
          <t>Tie handling</t>
        </is>
      </c>
      <c r="B16" t="inlineStr">
        <is>
          <t>ε=1e−12; among scores ≥ max−ε choose lowest canonical lineage ID</t>
        </is>
      </c>
      <c r="C16" t="inlineStr">
        <is>
          <t>Use full precision; do not rank rounded UI values.</t>
        </is>
      </c>
      <c r="D16" t="inlineStr">
        <is>
          <t>Primary still one result; decision gap=0 inside ε.</t>
        </is>
      </c>
      <c r="E16" t="inlineStr">
        <is>
          <t>FROZEN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78" customWidth="1" min="2" max="2"/>
    <col width="62" customWidth="1" min="3" max="3"/>
    <col width="78" customWidth="1" min="4" max="4"/>
    <col width="60" customWidth="1" min="5" max="5"/>
  </cols>
  <sheetData>
    <row r="1" ht="30" customHeight="1">
      <c r="A1" s="1" t="inlineStr">
        <is>
          <t>Weighting / Content-Validity Method Sources</t>
        </is>
      </c>
    </row>
    <row r="2" ht="34" customHeight="1">
      <c r="A2" s="29" t="inlineStr">
        <is>
          <t>These sources justify the conservative design stance. The exact A/B/C/D mapping and ±10% cap are transparent internal design constants, sensitivity-tested rather than empirically estimated.</t>
        </is>
      </c>
    </row>
    <row r="3"/>
    <row r="4" ht="32" customHeight="1">
      <c r="A4" s="30" t="inlineStr">
        <is>
          <t>Source</t>
        </is>
      </c>
      <c r="B4" s="30" t="inlineStr">
        <is>
          <t>Finding used</t>
        </is>
      </c>
      <c r="C4" s="30" t="inlineStr">
        <is>
          <t>URL</t>
        </is>
      </c>
      <c r="D4" s="30" t="inlineStr">
        <is>
          <t>How applied</t>
        </is>
      </c>
      <c r="E4" s="30" t="inlineStr">
        <is>
          <t>Limit</t>
        </is>
      </c>
    </row>
    <row r="5" ht="36" customHeight="1">
      <c r="A5" s="31" t="inlineStr">
        <is>
          <t>Wainer (1976), Psychological Bulletin</t>
        </is>
      </c>
      <c r="B5" s="31" t="inlineStr">
        <is>
          <t>Equal/unit weights can be highly robust relative to estimated differential coefficients.</t>
        </is>
      </c>
      <c r="C5" s="40" t="inlineStr">
        <is>
          <t>https://doi.org/10.1037/0033-2909.83.2.213</t>
        </is>
      </c>
      <c r="D5" s="31" t="inlineStr">
        <is>
          <t>Start from unit weights; deviate only modestly because there is no calibration sample.</t>
        </is>
      </c>
      <c r="E5" s="31" t="inlineStr">
        <is>
          <t>Not specific to this classifier or cosine decoding.</t>
        </is>
      </c>
    </row>
    <row r="6" ht="36" customHeight="1">
      <c r="A6" s="31" t="inlineStr">
        <is>
          <t>Bobko, Roth &amp; Buster (2007), Organizational Research Methods</t>
        </is>
      </c>
      <c r="B6" s="31" t="inlineStr">
        <is>
          <t>Review/meta-analysis finds unit weights can be highly appropriate in many composite-score settings.</t>
        </is>
      </c>
      <c r="C6" s="40" t="inlineStr">
        <is>
          <t>https://doi.org/10.1177/1094428106294734</t>
        </is>
      </c>
      <c r="D6" s="31" t="inlineStr">
        <is>
          <t>Supports a narrow confidence-prior range instead of aggressive expert weighting.</t>
        </is>
      </c>
      <c r="E6" s="31" t="inlineStr">
        <is>
          <t>Does not prescribe ±10%.</t>
        </is>
      </c>
    </row>
    <row r="7" ht="36" customHeight="1">
      <c r="A7" s="31" t="inlineStr">
        <is>
          <t>Baldwin (2015), Applied Psychological Measurement</t>
        </is>
      </c>
      <c r="B7" s="31" t="inlineStr">
        <is>
          <t>Nominal expert weights ideally account for component variance, covariance and reliability; naive importance judgments alone are insufficient.</t>
        </is>
      </c>
      <c r="C7" s="40" t="inlineStr">
        <is>
          <t>https://pubmed.ncbi.nlm.nih.gov/29881025/</t>
        </is>
      </c>
      <c r="D7" s="31" t="inlineStr">
        <is>
          <t>Do not turn confusion importance or intuitive “item importance” into scoring weights.</t>
        </is>
      </c>
      <c r="E7" s="31" t="inlineStr">
        <is>
          <t>Our semantic-confidence model is still expert prior, not fitted reliability.</t>
        </is>
      </c>
    </row>
    <row r="8" ht="36" customHeight="1">
      <c r="A8" s="31" t="inlineStr">
        <is>
          <t>Polit &amp; Beck (2006), Research in Nursing &amp; Health</t>
        </is>
      </c>
      <c r="B8" s="31" t="inlineStr">
        <is>
          <t>Content-validity indices summarize expert relevance judgments; calculation/reporting method must be explicit.</t>
        </is>
      </c>
      <c r="C8" s="40" t="inlineStr">
        <is>
          <t>https://doi.org/10.1002/nur.20147</t>
        </is>
      </c>
      <c r="D8" s="31" t="inlineStr">
        <is>
          <t>Keep content/wording review conceptually separate from empirical discrimination.</t>
        </is>
      </c>
      <c r="E8" s="31" t="inlineStr">
        <is>
          <t>No independent expert panel was collected here.</t>
        </is>
      </c>
    </row>
    <row r="9" ht="36" customHeight="1">
      <c r="A9" s="31" t="inlineStr">
        <is>
          <t>Item generation/content validity primer (2024/2025)</t>
        </is>
      </c>
      <c r="B9" s="31" t="inlineStr">
        <is>
          <t>I-CVI reflects expert agreement on relevance; independent multiple experts are preferred.</t>
        </is>
      </c>
      <c r="C9" s="40" t="inlineStr">
        <is>
          <t>https://pmc.ncbi.nlm.nih.gov/articles/PMC12410852/</t>
        </is>
      </c>
      <c r="D9" s="31" t="inlineStr">
        <is>
          <t>Current single-expert desirability flags remain audit-only and do not alter weights.</t>
        </is>
      </c>
      <c r="E9" s="31" t="inlineStr">
        <is>
          <t>Future panel/user calibration can replace this limitation.</t>
        </is>
      </c>
    </row>
  </sheetData>
  <mergeCells count="2">
    <mergeCell ref="A2:E2"/>
    <mergeCell ref="A1:E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</hyperlinks>
  <pageMargins left="0.75" right="0.75" top="1" bottom="1" header="0.5" footer="0.5"/>
  <pageSetup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Slot</t>
        </is>
      </c>
      <c r="C1" t="inlineStr">
        <is>
          <t>Final Weight</t>
        </is>
      </c>
    </row>
    <row r="2">
      <c r="A2" t="n">
        <v>1</v>
      </c>
      <c r="B2" t="inlineStr">
        <is>
          <t>G17</t>
        </is>
      </c>
      <c r="C2" t="n">
        <v>1.013392697082608</v>
      </c>
    </row>
    <row r="3">
      <c r="A3" t="n">
        <v>2</v>
      </c>
      <c r="B3" t="inlineStr">
        <is>
          <t>L05</t>
        </is>
      </c>
      <c r="C3" t="n">
        <v>1.037335148770545</v>
      </c>
    </row>
    <row r="4">
      <c r="A4" t="n">
        <v>3</v>
      </c>
      <c r="B4" t="inlineStr">
        <is>
          <t>G13</t>
        </is>
      </c>
      <c r="C4" t="n">
        <v>1.027118995634431</v>
      </c>
    </row>
    <row r="5">
      <c r="A5" t="n">
        <v>4</v>
      </c>
      <c r="B5" t="inlineStr">
        <is>
          <t>L06</t>
        </is>
      </c>
      <c r="C5" t="n">
        <v>1.031126254562635</v>
      </c>
    </row>
    <row r="6">
      <c r="A6" t="n">
        <v>5</v>
      </c>
      <c r="B6" t="inlineStr">
        <is>
          <t>G23</t>
        </is>
      </c>
      <c r="C6" t="n">
        <v>1.006728465327167</v>
      </c>
    </row>
    <row r="7">
      <c r="A7" t="n">
        <v>6</v>
      </c>
      <c r="B7" t="inlineStr">
        <is>
          <t>A09</t>
        </is>
      </c>
      <c r="C7" t="n">
        <v>0.9462502322696098</v>
      </c>
    </row>
    <row r="8">
      <c r="A8" t="n">
        <v>7</v>
      </c>
      <c r="B8" t="inlineStr">
        <is>
          <t>G01</t>
        </is>
      </c>
      <c r="C8" t="n">
        <v>1.033272940765198</v>
      </c>
    </row>
    <row r="9">
      <c r="A9" t="n">
        <v>8</v>
      </c>
      <c r="B9" t="inlineStr">
        <is>
          <t>L19</t>
        </is>
      </c>
      <c r="C9" t="n">
        <v>1.002434442385068</v>
      </c>
    </row>
    <row r="10">
      <c r="A10" t="n">
        <v>9</v>
      </c>
      <c r="B10" t="inlineStr">
        <is>
          <t>G02</t>
        </is>
      </c>
      <c r="C10" t="n">
        <v>1.012734586878069</v>
      </c>
    </row>
    <row r="11">
      <c r="A11" t="n">
        <v>10</v>
      </c>
      <c r="B11" t="inlineStr">
        <is>
          <t>L07</t>
        </is>
      </c>
      <c r="C11" t="n">
        <v>1.055961831394273</v>
      </c>
    </row>
    <row r="12">
      <c r="A12" t="n">
        <v>11</v>
      </c>
      <c r="B12" t="inlineStr">
        <is>
          <t>G27</t>
        </is>
      </c>
      <c r="C12" t="n">
        <v>1.009733604345369</v>
      </c>
    </row>
    <row r="13">
      <c r="A13" t="n">
        <v>12</v>
      </c>
      <c r="B13" t="inlineStr">
        <is>
          <t>L36</t>
        </is>
      </c>
      <c r="C13" t="n">
        <v>0.992376709073754</v>
      </c>
    </row>
    <row r="14">
      <c r="A14" t="n">
        <v>13</v>
      </c>
      <c r="B14" t="inlineStr">
        <is>
          <t>A04</t>
        </is>
      </c>
      <c r="C14" t="n">
        <v>0.9503010889359675</v>
      </c>
    </row>
    <row r="15">
      <c r="A15" t="n">
        <v>14</v>
      </c>
      <c r="B15" t="inlineStr">
        <is>
          <t>L32</t>
        </is>
      </c>
      <c r="C15" t="n">
        <v>0.9731140229504174</v>
      </c>
    </row>
    <row r="16">
      <c r="A16" t="n">
        <v>15</v>
      </c>
      <c r="B16" t="inlineStr">
        <is>
          <t>G24</t>
        </is>
      </c>
      <c r="C16" t="n">
        <v>1.016496156775729</v>
      </c>
    </row>
    <row r="17">
      <c r="A17" t="n">
        <v>16</v>
      </c>
      <c r="B17" t="inlineStr">
        <is>
          <t>L37</t>
        </is>
      </c>
      <c r="C17" t="n">
        <v>0.9535600795094604</v>
      </c>
    </row>
    <row r="18">
      <c r="A18" t="n">
        <v>17</v>
      </c>
      <c r="B18" t="inlineStr">
        <is>
          <t>G28</t>
        </is>
      </c>
      <c r="C18" t="n">
        <v>1.007996193405385</v>
      </c>
    </row>
    <row r="19">
      <c r="A19" t="n">
        <v>18</v>
      </c>
      <c r="B19" t="inlineStr">
        <is>
          <t>L14</t>
        </is>
      </c>
      <c r="C19" t="n">
        <v>0.9594262625417475</v>
      </c>
    </row>
    <row r="20">
      <c r="A20" t="n">
        <v>19</v>
      </c>
      <c r="B20" t="inlineStr">
        <is>
          <t>G06</t>
        </is>
      </c>
      <c r="C20" t="n">
        <v>1.003336773157246</v>
      </c>
    </row>
    <row r="21">
      <c r="A21" t="n">
        <v>20</v>
      </c>
      <c r="B21" t="inlineStr">
        <is>
          <t>A10</t>
        </is>
      </c>
      <c r="C21" t="n">
        <v>1.066693927841029</v>
      </c>
    </row>
    <row r="22">
      <c r="A22" t="n">
        <v>21</v>
      </c>
      <c r="B22" t="inlineStr">
        <is>
          <t>G15</t>
        </is>
      </c>
      <c r="C22" t="n">
        <v>1.015611468629341</v>
      </c>
    </row>
    <row r="23">
      <c r="A23" t="n">
        <v>22</v>
      </c>
      <c r="B23" t="inlineStr">
        <is>
          <t>L21</t>
        </is>
      </c>
      <c r="C23" t="n">
        <v>0.9474494721841614</v>
      </c>
    </row>
    <row r="24">
      <c r="A24" t="n">
        <v>23</v>
      </c>
      <c r="B24" t="inlineStr">
        <is>
          <t>G09</t>
        </is>
      </c>
      <c r="C24" t="n">
        <v>1.006021862791767</v>
      </c>
    </row>
    <row r="25">
      <c r="A25" t="n">
        <v>24</v>
      </c>
      <c r="B25" t="inlineStr">
        <is>
          <t>L28</t>
        </is>
      </c>
      <c r="C25" t="n">
        <v>0.9731140229504174</v>
      </c>
    </row>
    <row r="26">
      <c r="A26" t="n">
        <v>25</v>
      </c>
      <c r="B26" t="inlineStr">
        <is>
          <t>G11</t>
        </is>
      </c>
      <c r="C26" t="n">
        <v>1.011392042060808</v>
      </c>
    </row>
    <row r="27">
      <c r="A27" t="n">
        <v>26</v>
      </c>
      <c r="B27" t="inlineStr">
        <is>
          <t>L33</t>
        </is>
      </c>
      <c r="C27" t="n">
        <v>1.00976454724373</v>
      </c>
    </row>
    <row r="28">
      <c r="A28" t="n">
        <v>27</v>
      </c>
      <c r="B28" t="inlineStr">
        <is>
          <t>A01</t>
        </is>
      </c>
      <c r="C28" t="n">
        <v>1.015161707659616</v>
      </c>
    </row>
    <row r="29">
      <c r="A29" t="n">
        <v>28</v>
      </c>
      <c r="B29" t="inlineStr">
        <is>
          <t>L01</t>
        </is>
      </c>
      <c r="C29" t="n">
        <v>1.068575559351634</v>
      </c>
    </row>
    <row r="30">
      <c r="A30" t="n">
        <v>29</v>
      </c>
      <c r="B30" t="inlineStr">
        <is>
          <t>G04</t>
        </is>
      </c>
      <c r="C30" t="n">
        <v>1.054146930856642</v>
      </c>
    </row>
    <row r="31">
      <c r="A31" t="n">
        <v>30</v>
      </c>
      <c r="B31" t="inlineStr">
        <is>
          <t>L34</t>
        </is>
      </c>
      <c r="C31" t="n">
        <v>0.9798559630935852</v>
      </c>
    </row>
    <row r="32">
      <c r="A32" t="n">
        <v>31</v>
      </c>
      <c r="B32" t="inlineStr">
        <is>
          <t>G26</t>
        </is>
      </c>
      <c r="C32" t="n">
        <v>0.9850939582874121</v>
      </c>
    </row>
    <row r="33">
      <c r="A33" t="n">
        <v>32</v>
      </c>
      <c r="B33" t="inlineStr">
        <is>
          <t>L11</t>
        </is>
      </c>
      <c r="C33" t="n">
        <v>1.016071706717559</v>
      </c>
    </row>
    <row r="34">
      <c r="A34" t="n">
        <v>33</v>
      </c>
      <c r="B34" t="inlineStr">
        <is>
          <t>G20</t>
        </is>
      </c>
      <c r="C34" t="n">
        <v>1.1</v>
      </c>
    </row>
    <row r="35">
      <c r="A35" t="n">
        <v>34</v>
      </c>
      <c r="B35" t="inlineStr">
        <is>
          <t>A11</t>
        </is>
      </c>
      <c r="C35" t="n">
        <v>0.9566050522200168</v>
      </c>
    </row>
    <row r="36">
      <c r="A36" t="n">
        <v>35</v>
      </c>
      <c r="B36" t="inlineStr">
        <is>
          <t>G05</t>
        </is>
      </c>
      <c r="C36" t="n">
        <v>1.00170795040101</v>
      </c>
    </row>
    <row r="37">
      <c r="A37" t="n">
        <v>36</v>
      </c>
      <c r="B37" t="inlineStr">
        <is>
          <t>L16</t>
        </is>
      </c>
      <c r="C37" t="n">
        <v>1.005461096701223</v>
      </c>
    </row>
    <row r="38">
      <c r="A38" t="n">
        <v>37</v>
      </c>
      <c r="B38" t="inlineStr">
        <is>
          <t>G19</t>
        </is>
      </c>
      <c r="C38" t="n">
        <v>1.035672924041548</v>
      </c>
    </row>
    <row r="39">
      <c r="A39" t="n">
        <v>38</v>
      </c>
      <c r="B39" t="inlineStr">
        <is>
          <t>L02</t>
        </is>
      </c>
      <c r="C39" t="n">
        <v>1.087459524872663</v>
      </c>
    </row>
    <row r="40">
      <c r="A40" t="n">
        <v>39</v>
      </c>
      <c r="B40" t="inlineStr">
        <is>
          <t>G10</t>
        </is>
      </c>
      <c r="C40" t="n">
        <v>0.979170966446557</v>
      </c>
    </row>
    <row r="41">
      <c r="A41" t="n">
        <v>40</v>
      </c>
      <c r="B41" t="inlineStr">
        <is>
          <t>L24</t>
        </is>
      </c>
      <c r="C41" t="n">
        <v>0.9474494721841614</v>
      </c>
    </row>
    <row r="42">
      <c r="A42" t="n">
        <v>41</v>
      </c>
      <c r="B42" t="inlineStr">
        <is>
          <t>A03</t>
        </is>
      </c>
      <c r="C42" t="n">
        <v>0.9457385021330776</v>
      </c>
    </row>
    <row r="43">
      <c r="A43" t="n">
        <v>42</v>
      </c>
      <c r="B43" t="inlineStr">
        <is>
          <t>L04</t>
        </is>
      </c>
      <c r="C43" t="n">
        <v>1.055961831394273</v>
      </c>
    </row>
    <row r="44">
      <c r="A44" t="n">
        <v>43</v>
      </c>
      <c r="B44" t="inlineStr">
        <is>
          <t>G07</t>
        </is>
      </c>
      <c r="C44" t="n">
        <v>0.9940096196899624</v>
      </c>
    </row>
    <row r="45">
      <c r="A45" t="n">
        <v>44</v>
      </c>
      <c r="B45" t="inlineStr">
        <is>
          <t>L03</t>
        </is>
      </c>
      <c r="C45" t="n">
        <v>1.045744300742119</v>
      </c>
    </row>
    <row r="46">
      <c r="A46" t="n">
        <v>45</v>
      </c>
      <c r="B46" t="inlineStr">
        <is>
          <t>G12</t>
        </is>
      </c>
      <c r="C46" t="n">
        <v>1.025050976288589</v>
      </c>
    </row>
    <row r="47">
      <c r="A47" t="n">
        <v>46</v>
      </c>
      <c r="B47" t="inlineStr">
        <is>
          <t>L25</t>
        </is>
      </c>
      <c r="C47" t="n">
        <v>0.9415268835457946</v>
      </c>
    </row>
    <row r="48">
      <c r="A48" t="n">
        <v>47</v>
      </c>
      <c r="B48" t="inlineStr">
        <is>
          <t>G14</t>
        </is>
      </c>
      <c r="C48" t="n">
        <v>0.9892400525760106</v>
      </c>
    </row>
    <row r="49">
      <c r="A49" t="n">
        <v>48</v>
      </c>
      <c r="B49" t="inlineStr">
        <is>
          <t>A05</t>
        </is>
      </c>
      <c r="C49" t="n">
        <v>1.053008728351572</v>
      </c>
    </row>
    <row r="50">
      <c r="A50" t="n">
        <v>49</v>
      </c>
      <c r="B50" t="inlineStr">
        <is>
          <t>G22</t>
        </is>
      </c>
      <c r="C50" t="n">
        <v>1.026033856026495</v>
      </c>
    </row>
    <row r="51">
      <c r="A51" t="n">
        <v>50</v>
      </c>
      <c r="B51" t="inlineStr">
        <is>
          <t>L15</t>
        </is>
      </c>
      <c r="C51" t="n">
        <v>0.9834862385552909</v>
      </c>
    </row>
    <row r="52">
      <c r="A52" t="n">
        <v>51</v>
      </c>
      <c r="B52" t="inlineStr">
        <is>
          <t>G21</t>
        </is>
      </c>
      <c r="C52" t="n">
        <v>1.010772405991304</v>
      </c>
    </row>
    <row r="53">
      <c r="A53" t="n">
        <v>52</v>
      </c>
      <c r="B53" t="inlineStr">
        <is>
          <t>L18</t>
        </is>
      </c>
      <c r="C53" t="n">
        <v>0.9731140229504174</v>
      </c>
    </row>
    <row r="54">
      <c r="A54" t="n">
        <v>53</v>
      </c>
      <c r="B54" t="inlineStr">
        <is>
          <t>G30</t>
        </is>
      </c>
      <c r="C54" t="n">
        <v>0.95600432243958</v>
      </c>
    </row>
    <row r="55">
      <c r="A55" t="n">
        <v>54</v>
      </c>
      <c r="B55" t="inlineStr">
        <is>
          <t>L35</t>
        </is>
      </c>
      <c r="C55" t="n">
        <v>0.9731140229504174</v>
      </c>
    </row>
    <row r="56">
      <c r="A56" t="n">
        <v>55</v>
      </c>
      <c r="B56" t="inlineStr">
        <is>
          <t>A07</t>
        </is>
      </c>
      <c r="C56" t="n">
        <v>1.087459524872663</v>
      </c>
    </row>
    <row r="57">
      <c r="A57" t="n">
        <v>56</v>
      </c>
      <c r="B57" t="inlineStr">
        <is>
          <t>L27</t>
        </is>
      </c>
      <c r="C57" t="n">
        <v>0.9541032446050426</v>
      </c>
    </row>
    <row r="58">
      <c r="A58" t="n">
        <v>57</v>
      </c>
      <c r="B58" t="inlineStr">
        <is>
          <t>G08</t>
        </is>
      </c>
      <c r="C58" t="n">
        <v>1.024185704437055</v>
      </c>
    </row>
    <row r="59">
      <c r="A59" t="n">
        <v>58</v>
      </c>
      <c r="B59" t="inlineStr">
        <is>
          <t>L31</t>
        </is>
      </c>
      <c r="C59" t="n">
        <v>0.9731140229504174</v>
      </c>
    </row>
    <row r="60">
      <c r="A60" t="n">
        <v>59</v>
      </c>
      <c r="B60" t="inlineStr">
        <is>
          <t>G18</t>
        </is>
      </c>
      <c r="C60" t="n">
        <v>1.027570271203258</v>
      </c>
    </row>
    <row r="61">
      <c r="A61" t="n">
        <v>60</v>
      </c>
      <c r="B61" t="inlineStr">
        <is>
          <t>L29</t>
        </is>
      </c>
      <c r="C61" t="n">
        <v>0.9798559630935852</v>
      </c>
    </row>
    <row r="62">
      <c r="A62" t="n">
        <v>61</v>
      </c>
      <c r="B62" t="inlineStr">
        <is>
          <t>G29</t>
        </is>
      </c>
      <c r="C62" t="n">
        <v>1.008354478285301</v>
      </c>
    </row>
    <row r="63">
      <c r="A63" t="n">
        <v>62</v>
      </c>
      <c r="B63" t="inlineStr">
        <is>
          <t>A02</t>
        </is>
      </c>
      <c r="C63" t="n">
        <v>1.000081783523089</v>
      </c>
    </row>
    <row r="64">
      <c r="A64" t="n">
        <v>63</v>
      </c>
      <c r="B64" t="inlineStr">
        <is>
          <t>G16</t>
        </is>
      </c>
      <c r="C64" t="n">
        <v>1.035727077109807</v>
      </c>
    </row>
    <row r="65">
      <c r="A65" t="n">
        <v>64</v>
      </c>
      <c r="B65" t="inlineStr">
        <is>
          <t>L26</t>
        </is>
      </c>
      <c r="C65" t="n">
        <v>0.9520559300140021</v>
      </c>
    </row>
    <row r="66">
      <c r="A66" t="n">
        <v>65</v>
      </c>
      <c r="B66" t="inlineStr">
        <is>
          <t>G25</t>
        </is>
      </c>
      <c r="C66" t="n">
        <v>1.020462680994232</v>
      </c>
    </row>
    <row r="67">
      <c r="A67" t="n">
        <v>66</v>
      </c>
      <c r="B67" t="inlineStr">
        <is>
          <t>L12</t>
        </is>
      </c>
      <c r="C67" t="n">
        <v>0.9388946219287427</v>
      </c>
    </row>
    <row r="68">
      <c r="A68" t="n">
        <v>67</v>
      </c>
      <c r="B68" t="inlineStr">
        <is>
          <t>G03</t>
        </is>
      </c>
      <c r="C68" t="n">
        <v>0.9869247012200399</v>
      </c>
    </row>
    <row r="69">
      <c r="A69" t="n">
        <v>68</v>
      </c>
      <c r="B69" t="inlineStr">
        <is>
          <t>L30</t>
        </is>
      </c>
      <c r="C69" t="n">
        <v>0.9970853656816807</v>
      </c>
    </row>
    <row r="70">
      <c r="A70" t="n">
        <v>69</v>
      </c>
      <c r="B70" t="inlineStr">
        <is>
          <t>A12</t>
        </is>
      </c>
      <c r="C70" t="n">
        <v>0.9474494721841614</v>
      </c>
    </row>
    <row r="71">
      <c r="A71" t="n">
        <v>70</v>
      </c>
      <c r="B71" t="inlineStr">
        <is>
          <t>L23</t>
        </is>
      </c>
      <c r="C71" t="n">
        <v>0.9520559300140021</v>
      </c>
    </row>
    <row r="72">
      <c r="A72" t="n">
        <v>71</v>
      </c>
      <c r="B72" t="inlineStr">
        <is>
          <t>L10</t>
        </is>
      </c>
      <c r="C72" t="n">
        <v>1.001842286017751</v>
      </c>
    </row>
    <row r="73">
      <c r="A73" t="n">
        <v>72</v>
      </c>
      <c r="B73" t="inlineStr">
        <is>
          <t>L13</t>
        </is>
      </c>
      <c r="C73" t="n">
        <v>0.9731140229504174</v>
      </c>
    </row>
    <row r="74">
      <c r="A74" t="n">
        <v>73</v>
      </c>
      <c r="B74" t="inlineStr">
        <is>
          <t>L22</t>
        </is>
      </c>
      <c r="C74" t="n">
        <v>0.9594262625417475</v>
      </c>
    </row>
    <row r="75">
      <c r="A75" t="n">
        <v>74</v>
      </c>
      <c r="B75" t="inlineStr">
        <is>
          <t>L38</t>
        </is>
      </c>
      <c r="C75" t="n">
        <v>0.9946882314085543</v>
      </c>
    </row>
    <row r="76">
      <c r="A76" t="n">
        <v>75</v>
      </c>
      <c r="B76" t="inlineStr">
        <is>
          <t>A08</t>
        </is>
      </c>
      <c r="C76" t="n">
        <v>0.9731140229504174</v>
      </c>
    </row>
    <row r="77">
      <c r="A77" t="n">
        <v>76</v>
      </c>
      <c r="B77" t="inlineStr">
        <is>
          <t>L08</t>
        </is>
      </c>
      <c r="C77" t="n">
        <v>0.9798559630935852</v>
      </c>
    </row>
    <row r="78">
      <c r="A78" t="n">
        <v>77</v>
      </c>
      <c r="B78" t="inlineStr">
        <is>
          <t>L17</t>
        </is>
      </c>
      <c r="C78" t="n">
        <v>0.9503010889359675</v>
      </c>
    </row>
    <row r="79">
      <c r="A79" t="n">
        <v>78</v>
      </c>
      <c r="B79" t="inlineStr">
        <is>
          <t>L20</t>
        </is>
      </c>
      <c r="C79" t="n">
        <v>0.9426967775978177</v>
      </c>
    </row>
    <row r="80">
      <c r="A80" t="n">
        <v>79</v>
      </c>
      <c r="B80" t="inlineStr">
        <is>
          <t>L09</t>
        </is>
      </c>
      <c r="C80" t="n">
        <v>1.003022607100562</v>
      </c>
    </row>
    <row r="81">
      <c r="A81" t="n">
        <v>80</v>
      </c>
      <c r="B81" t="inlineStr">
        <is>
          <t>A06</t>
        </is>
      </c>
      <c r="C81" t="n">
        <v>1.068575559351634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Q#</t>
        </is>
      </c>
      <c r="B1" t="inlineStr">
        <is>
          <t>Slot</t>
        </is>
      </c>
      <c r="C1" t="inlineStr">
        <is>
          <t>Pleiadian</t>
        </is>
      </c>
      <c r="D1" t="inlineStr">
        <is>
          <t>Arcturian</t>
        </is>
      </c>
      <c r="E1" t="inlineStr">
        <is>
          <t>Sirian</t>
        </is>
      </c>
      <c r="F1" t="inlineStr">
        <is>
          <t>Andromedan</t>
        </is>
      </c>
      <c r="G1" t="inlineStr">
        <is>
          <t>Lyran</t>
        </is>
      </c>
      <c r="H1" t="inlineStr">
        <is>
          <t>Orion</t>
        </is>
      </c>
      <c r="I1" t="inlineStr">
        <is>
          <t>Mintakan</t>
        </is>
      </c>
      <c r="J1" t="inlineStr">
        <is>
          <t>Venusian</t>
        </is>
      </c>
      <c r="K1" t="inlineStr">
        <is>
          <t>Hadarian</t>
        </is>
      </c>
      <c r="L1" t="inlineStr">
        <is>
          <t>Polarian</t>
        </is>
      </c>
      <c r="M1" t="inlineStr">
        <is>
          <t>Alpha Centaurian</t>
        </is>
      </c>
      <c r="N1" t="inlineStr">
        <is>
          <t>Vegan</t>
        </is>
      </c>
      <c r="O1" t="inlineStr">
        <is>
          <t>Feline / Urmah</t>
        </is>
      </c>
      <c r="P1" t="inlineStr">
        <is>
          <t>Avian / Blue Avian</t>
        </is>
      </c>
      <c r="Q1" t="inlineStr">
        <is>
          <t>Martian</t>
        </is>
      </c>
      <c r="R1" t="inlineStr">
        <is>
          <t>Maldekian</t>
        </is>
      </c>
      <c r="S1" t="inlineStr">
        <is>
          <t>Draconian</t>
        </is>
      </c>
      <c r="T1" t="inlineStr">
        <is>
          <t>Reptilian</t>
        </is>
      </c>
      <c r="U1" t="inlineStr">
        <is>
          <t>Zeta / Grey</t>
        </is>
      </c>
      <c r="V1" t="inlineStr">
        <is>
          <t>Anunnaki / Nibiruan</t>
        </is>
      </c>
      <c r="W1" t="inlineStr">
        <is>
          <t>Tau Cetian</t>
        </is>
      </c>
      <c r="X1" t="inlineStr">
        <is>
          <t>Antarian</t>
        </is>
      </c>
      <c r="Y1" t="inlineStr">
        <is>
          <t>Earth-Origin Soul</t>
        </is>
      </c>
    </row>
    <row r="2">
      <c r="A2" t="n">
        <v>1</v>
      </c>
      <c r="B2" t="inlineStr">
        <is>
          <t>G17</t>
        </is>
      </c>
      <c r="C2" t="n">
        <v>0</v>
      </c>
      <c r="D2" t="n">
        <v>-1</v>
      </c>
      <c r="E2" t="n">
        <v>2</v>
      </c>
      <c r="F2" t="n">
        <v>-2</v>
      </c>
      <c r="G2" t="n">
        <v>-1</v>
      </c>
      <c r="H2" t="n">
        <v>0</v>
      </c>
      <c r="I2" t="n">
        <v>1</v>
      </c>
      <c r="J2" t="n">
        <v>0</v>
      </c>
      <c r="K2" t="n">
        <v>0</v>
      </c>
      <c r="L2" t="n">
        <v>2</v>
      </c>
      <c r="M2" t="n">
        <v>1</v>
      </c>
      <c r="N2" t="n">
        <v>-2</v>
      </c>
      <c r="O2" t="n">
        <v>1</v>
      </c>
      <c r="P2" t="n">
        <v>-2</v>
      </c>
      <c r="Q2" t="n">
        <v>1</v>
      </c>
      <c r="R2" t="n">
        <v>1</v>
      </c>
      <c r="S2" t="n">
        <v>2</v>
      </c>
      <c r="T2" t="n">
        <v>1</v>
      </c>
      <c r="U2" t="n">
        <v>0</v>
      </c>
      <c r="V2" t="n">
        <v>2</v>
      </c>
      <c r="W2" t="n">
        <v>0</v>
      </c>
      <c r="X2" t="n">
        <v>1</v>
      </c>
      <c r="Y2" t="n">
        <v>2</v>
      </c>
    </row>
    <row r="3">
      <c r="A3" t="n">
        <v>2</v>
      </c>
      <c r="B3" t="inlineStr">
        <is>
          <t>L05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-3</v>
      </c>
      <c r="J3" t="n">
        <v>3</v>
      </c>
      <c r="K3" t="n">
        <v>1</v>
      </c>
      <c r="L3" t="n">
        <v>1</v>
      </c>
      <c r="M3" t="n">
        <v>0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3</v>
      </c>
    </row>
    <row r="4">
      <c r="A4" t="n">
        <v>3</v>
      </c>
      <c r="B4" t="inlineStr">
        <is>
          <t>G13</t>
        </is>
      </c>
      <c r="C4" t="n">
        <v>-2</v>
      </c>
      <c r="D4" t="n">
        <v>0</v>
      </c>
      <c r="E4" t="n">
        <v>3</v>
      </c>
      <c r="F4" t="n">
        <v>0</v>
      </c>
      <c r="G4" t="n">
        <v>0</v>
      </c>
      <c r="H4" t="n">
        <v>2</v>
      </c>
      <c r="I4" t="n">
        <v>-2</v>
      </c>
      <c r="J4" t="n">
        <v>-2</v>
      </c>
      <c r="K4" t="n">
        <v>-3</v>
      </c>
      <c r="L4" t="n">
        <v>0</v>
      </c>
      <c r="M4" t="n">
        <v>0</v>
      </c>
      <c r="N4" t="n">
        <v>2</v>
      </c>
      <c r="O4" t="n">
        <v>3</v>
      </c>
      <c r="P4" t="n">
        <v>0</v>
      </c>
      <c r="Q4" t="n">
        <v>0</v>
      </c>
      <c r="R4" t="n">
        <v>3</v>
      </c>
      <c r="S4" t="n">
        <v>2</v>
      </c>
      <c r="T4" t="n">
        <v>3</v>
      </c>
      <c r="U4" t="n">
        <v>2</v>
      </c>
      <c r="V4" t="n">
        <v>2</v>
      </c>
      <c r="W4" t="n">
        <v>-2</v>
      </c>
      <c r="X4" t="n">
        <v>3</v>
      </c>
      <c r="Y4" t="n">
        <v>0</v>
      </c>
    </row>
    <row r="5">
      <c r="A5" t="n">
        <v>4</v>
      </c>
      <c r="B5" t="inlineStr">
        <is>
          <t>L06</t>
        </is>
      </c>
      <c r="C5" t="n">
        <v>2</v>
      </c>
      <c r="D5" t="n">
        <v>1</v>
      </c>
      <c r="E5" t="n">
        <v>2</v>
      </c>
      <c r="F5" t="n">
        <v>2</v>
      </c>
      <c r="G5" t="n">
        <v>2</v>
      </c>
      <c r="H5" t="n">
        <v>1</v>
      </c>
      <c r="I5" t="n">
        <v>-3</v>
      </c>
      <c r="J5" t="n">
        <v>2</v>
      </c>
      <c r="K5" t="n">
        <v>3</v>
      </c>
      <c r="L5" t="n">
        <v>2</v>
      </c>
      <c r="M5" t="n">
        <v>2</v>
      </c>
      <c r="N5" t="n">
        <v>1</v>
      </c>
      <c r="O5" t="n">
        <v>2</v>
      </c>
      <c r="P5" t="n">
        <v>1</v>
      </c>
      <c r="Q5" t="n">
        <v>2</v>
      </c>
      <c r="R5" t="n">
        <v>2</v>
      </c>
      <c r="S5" t="n">
        <v>1</v>
      </c>
      <c r="T5" t="n">
        <v>1</v>
      </c>
      <c r="U5" t="n">
        <v>0</v>
      </c>
      <c r="V5" t="n">
        <v>1</v>
      </c>
      <c r="W5" t="n">
        <v>2</v>
      </c>
      <c r="X5" t="n">
        <v>2</v>
      </c>
      <c r="Y5" t="n">
        <v>3</v>
      </c>
    </row>
    <row r="6">
      <c r="A6" t="n">
        <v>5</v>
      </c>
      <c r="B6" t="inlineStr">
        <is>
          <t>G23</t>
        </is>
      </c>
      <c r="C6" t="n">
        <v>1</v>
      </c>
      <c r="D6" t="n">
        <v>-2</v>
      </c>
      <c r="E6" t="n">
        <v>1</v>
      </c>
      <c r="F6" t="n">
        <v>-2</v>
      </c>
      <c r="G6" t="n">
        <v>-1</v>
      </c>
      <c r="H6" t="n">
        <v>-2</v>
      </c>
      <c r="I6" t="n">
        <v>1</v>
      </c>
      <c r="J6" t="n">
        <v>1</v>
      </c>
      <c r="K6" t="n">
        <v>3</v>
      </c>
      <c r="L6" t="n">
        <v>1</v>
      </c>
      <c r="M6" t="n">
        <v>0</v>
      </c>
      <c r="N6" t="n">
        <v>-2</v>
      </c>
      <c r="O6" t="n">
        <v>1</v>
      </c>
      <c r="P6" t="n">
        <v>-3</v>
      </c>
      <c r="Q6" t="n">
        <v>1</v>
      </c>
      <c r="R6" t="n">
        <v>1</v>
      </c>
      <c r="S6" t="n">
        <v>-2</v>
      </c>
      <c r="T6" t="n">
        <v>0</v>
      </c>
      <c r="U6" t="n">
        <v>-3</v>
      </c>
      <c r="V6" t="n">
        <v>-3</v>
      </c>
      <c r="W6" t="n">
        <v>-1</v>
      </c>
      <c r="X6" t="n">
        <v>-1</v>
      </c>
      <c r="Y6" t="n">
        <v>2</v>
      </c>
    </row>
    <row r="7">
      <c r="A7" t="n">
        <v>6</v>
      </c>
      <c r="B7" t="inlineStr">
        <is>
          <t>A09</t>
        </is>
      </c>
      <c r="C7" t="n">
        <v>-3</v>
      </c>
      <c r="D7" t="n">
        <v>-2</v>
      </c>
      <c r="E7" t="n">
        <v>-3</v>
      </c>
      <c r="F7" t="n">
        <v>-3</v>
      </c>
      <c r="G7" t="n">
        <v>-2</v>
      </c>
      <c r="H7" t="n">
        <v>-3</v>
      </c>
      <c r="I7" t="n">
        <v>-3</v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-2</v>
      </c>
      <c r="Q7" t="n">
        <v>-3</v>
      </c>
      <c r="R7" t="n">
        <v>-3</v>
      </c>
      <c r="S7" t="n">
        <v>-1</v>
      </c>
      <c r="T7" t="n">
        <v>-3</v>
      </c>
      <c r="U7" t="n">
        <v>-3</v>
      </c>
      <c r="V7" t="n">
        <v>2</v>
      </c>
      <c r="W7" t="n">
        <v>-3</v>
      </c>
      <c r="X7" t="n">
        <v>-3</v>
      </c>
      <c r="Y7" t="n">
        <v>-3</v>
      </c>
    </row>
    <row r="8">
      <c r="A8" t="n">
        <v>7</v>
      </c>
      <c r="B8" t="inlineStr">
        <is>
          <t>G01</t>
        </is>
      </c>
      <c r="C8" t="n">
        <v>3</v>
      </c>
      <c r="D8" t="n">
        <v>-1</v>
      </c>
      <c r="E8" t="n">
        <v>0</v>
      </c>
      <c r="F8" t="n">
        <v>0</v>
      </c>
      <c r="G8" t="n">
        <v>-1</v>
      </c>
      <c r="H8" t="n">
        <v>-3</v>
      </c>
      <c r="I8" t="n">
        <v>1</v>
      </c>
      <c r="J8" t="n">
        <v>1</v>
      </c>
      <c r="K8" t="n">
        <v>1</v>
      </c>
      <c r="L8" t="n">
        <v>0</v>
      </c>
      <c r="M8" t="n">
        <v>-2</v>
      </c>
      <c r="N8" t="n">
        <v>-1</v>
      </c>
      <c r="O8" t="n">
        <v>-1</v>
      </c>
      <c r="P8" t="n">
        <v>-1</v>
      </c>
      <c r="Q8" t="n">
        <v>0</v>
      </c>
      <c r="R8" t="n">
        <v>-3</v>
      </c>
      <c r="S8" t="n">
        <v>-1</v>
      </c>
      <c r="T8" t="n">
        <v>-1</v>
      </c>
      <c r="U8" t="n">
        <v>-3</v>
      </c>
      <c r="V8" t="n">
        <v>-1</v>
      </c>
      <c r="W8" t="n">
        <v>0</v>
      </c>
      <c r="X8" t="n">
        <v>-1</v>
      </c>
      <c r="Y8" t="n">
        <v>0</v>
      </c>
    </row>
    <row r="9">
      <c r="A9" t="n">
        <v>8</v>
      </c>
      <c r="B9" t="inlineStr">
        <is>
          <t>L19</t>
        </is>
      </c>
      <c r="C9" t="n">
        <v>0</v>
      </c>
      <c r="D9" t="n">
        <v>0</v>
      </c>
      <c r="E9" t="n">
        <v>3</v>
      </c>
      <c r="F9" t="n">
        <v>-3</v>
      </c>
      <c r="G9" t="n">
        <v>3</v>
      </c>
      <c r="H9" t="n">
        <v>-1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-3</v>
      </c>
      <c r="O9" t="n">
        <v>2</v>
      </c>
      <c r="P9" t="n">
        <v>-3</v>
      </c>
      <c r="Q9" t="n">
        <v>1</v>
      </c>
      <c r="R9" t="n">
        <v>3</v>
      </c>
      <c r="S9" t="n">
        <v>3</v>
      </c>
      <c r="T9" t="n">
        <v>1</v>
      </c>
      <c r="U9" t="n">
        <v>0</v>
      </c>
      <c r="V9" t="n">
        <v>3</v>
      </c>
      <c r="W9" t="n">
        <v>0</v>
      </c>
      <c r="X9" t="n">
        <v>1</v>
      </c>
      <c r="Y9" t="n">
        <v>3</v>
      </c>
    </row>
    <row r="10">
      <c r="A10" t="n">
        <v>9</v>
      </c>
      <c r="B10" t="inlineStr">
        <is>
          <t>G02</t>
        </is>
      </c>
      <c r="C10" t="n">
        <v>1</v>
      </c>
      <c r="D10" t="n">
        <v>-2</v>
      </c>
      <c r="E10" t="n">
        <v>2</v>
      </c>
      <c r="F10" t="n">
        <v>-2</v>
      </c>
      <c r="G10" t="n">
        <v>-2</v>
      </c>
      <c r="H10" t="n">
        <v>-1</v>
      </c>
      <c r="I10" t="n">
        <v>1</v>
      </c>
      <c r="J10" t="n">
        <v>1</v>
      </c>
      <c r="K10" t="n">
        <v>2</v>
      </c>
      <c r="L10" t="n">
        <v>2</v>
      </c>
      <c r="M10" t="n">
        <v>1</v>
      </c>
      <c r="N10" t="n">
        <v>-3</v>
      </c>
      <c r="O10" t="n">
        <v>-2</v>
      </c>
      <c r="P10" t="n">
        <v>-2</v>
      </c>
      <c r="Q10" t="n">
        <v>-1</v>
      </c>
      <c r="R10" t="n">
        <v>1</v>
      </c>
      <c r="S10" t="n">
        <v>0</v>
      </c>
      <c r="T10" t="n">
        <v>-2</v>
      </c>
      <c r="U10" t="n">
        <v>-2</v>
      </c>
      <c r="V10" t="n">
        <v>0</v>
      </c>
      <c r="W10" t="n">
        <v>0</v>
      </c>
      <c r="X10" t="n">
        <v>0</v>
      </c>
      <c r="Y10" t="n">
        <v>2</v>
      </c>
    </row>
    <row r="11">
      <c r="A11" t="n">
        <v>10</v>
      </c>
      <c r="B11" t="inlineStr">
        <is>
          <t>L07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-3</v>
      </c>
      <c r="K11" t="n">
        <v>3</v>
      </c>
      <c r="L11" t="n">
        <v>2</v>
      </c>
      <c r="M11" t="n">
        <v>3</v>
      </c>
      <c r="N11" t="n">
        <v>-3</v>
      </c>
      <c r="O11" t="n">
        <v>0</v>
      </c>
      <c r="P11" t="n">
        <v>0</v>
      </c>
      <c r="Q11" t="n">
        <v>3</v>
      </c>
      <c r="R11" t="n">
        <v>3</v>
      </c>
      <c r="S11" t="n">
        <v>2</v>
      </c>
      <c r="T11" t="n">
        <v>2</v>
      </c>
      <c r="U11" t="n">
        <v>0</v>
      </c>
      <c r="V11" t="n">
        <v>2</v>
      </c>
      <c r="W11" t="n">
        <v>0</v>
      </c>
      <c r="X11" t="n">
        <v>3</v>
      </c>
      <c r="Y11" t="n">
        <v>2</v>
      </c>
    </row>
    <row r="12">
      <c r="A12" t="n">
        <v>11</v>
      </c>
      <c r="B12" t="inlineStr">
        <is>
          <t>G27</t>
        </is>
      </c>
      <c r="C12" t="n">
        <v>0</v>
      </c>
      <c r="D12" t="n">
        <v>-1</v>
      </c>
      <c r="E12" t="n">
        <v>3</v>
      </c>
      <c r="F12" t="n">
        <v>-3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3</v>
      </c>
      <c r="M12" t="n">
        <v>1</v>
      </c>
      <c r="N12" t="n">
        <v>-3</v>
      </c>
      <c r="O12" t="n">
        <v>2</v>
      </c>
      <c r="P12" t="n">
        <v>-2</v>
      </c>
      <c r="Q12" t="n">
        <v>-1</v>
      </c>
      <c r="R12" t="n">
        <v>3</v>
      </c>
      <c r="S12" t="n">
        <v>2</v>
      </c>
      <c r="T12" t="n">
        <v>-1</v>
      </c>
      <c r="U12" t="n">
        <v>1</v>
      </c>
      <c r="V12" t="n">
        <v>3</v>
      </c>
      <c r="W12" t="n">
        <v>1</v>
      </c>
      <c r="X12" t="n">
        <v>1</v>
      </c>
      <c r="Y12" t="n">
        <v>3</v>
      </c>
    </row>
    <row r="13">
      <c r="A13" t="n">
        <v>12</v>
      </c>
      <c r="B13" t="inlineStr">
        <is>
          <t>L36</t>
        </is>
      </c>
      <c r="C13" t="n">
        <v>2</v>
      </c>
      <c r="D13" t="n">
        <v>1</v>
      </c>
      <c r="E13" t="n">
        <v>0</v>
      </c>
      <c r="F13" t="n">
        <v>2</v>
      </c>
      <c r="G13" t="n">
        <v>1</v>
      </c>
      <c r="H13" t="n">
        <v>3</v>
      </c>
      <c r="I13" t="n">
        <v>3</v>
      </c>
      <c r="J13" t="n">
        <v>2</v>
      </c>
      <c r="K13" t="n">
        <v>2</v>
      </c>
      <c r="L13" t="n">
        <v>2</v>
      </c>
      <c r="M13" t="n">
        <v>1</v>
      </c>
      <c r="N13" t="n">
        <v>2</v>
      </c>
      <c r="O13" t="n">
        <v>2</v>
      </c>
      <c r="P13" t="n">
        <v>3</v>
      </c>
      <c r="Q13" t="n">
        <v>2</v>
      </c>
      <c r="R13" t="n">
        <v>1</v>
      </c>
      <c r="S13" t="n">
        <v>1</v>
      </c>
      <c r="T13" t="n">
        <v>2</v>
      </c>
      <c r="U13" t="n">
        <v>3</v>
      </c>
      <c r="V13" t="n">
        <v>1</v>
      </c>
      <c r="W13" t="n">
        <v>3</v>
      </c>
      <c r="X13" t="n">
        <v>2</v>
      </c>
      <c r="Y13" t="n">
        <v>-2</v>
      </c>
    </row>
    <row r="14">
      <c r="A14" t="n">
        <v>13</v>
      </c>
      <c r="B14" t="inlineStr">
        <is>
          <t>A04</t>
        </is>
      </c>
      <c r="C14" t="n">
        <v>-2</v>
      </c>
      <c r="D14" t="n">
        <v>-1</v>
      </c>
      <c r="E14" t="n">
        <v>2</v>
      </c>
      <c r="F14" t="n">
        <v>-3</v>
      </c>
      <c r="G14" t="n">
        <v>-1</v>
      </c>
      <c r="H14" t="n">
        <v>0</v>
      </c>
      <c r="I14" t="n">
        <v>-2</v>
      </c>
      <c r="J14" t="n">
        <v>-1</v>
      </c>
      <c r="K14" t="n">
        <v>-1</v>
      </c>
      <c r="L14" t="n">
        <v>3</v>
      </c>
      <c r="M14" t="n">
        <v>0</v>
      </c>
      <c r="N14" t="n">
        <v>-2</v>
      </c>
      <c r="O14" t="n">
        <v>1</v>
      </c>
      <c r="P14" t="n">
        <v>0</v>
      </c>
      <c r="Q14" t="n">
        <v>-3</v>
      </c>
      <c r="R14" t="n">
        <v>3</v>
      </c>
      <c r="S14" t="n">
        <v>3</v>
      </c>
      <c r="T14" t="n">
        <v>-3</v>
      </c>
      <c r="U14" t="n">
        <v>2</v>
      </c>
      <c r="V14" t="n">
        <v>3</v>
      </c>
      <c r="W14" t="n">
        <v>0</v>
      </c>
      <c r="X14" t="n">
        <v>2</v>
      </c>
      <c r="Y14" t="n">
        <v>1</v>
      </c>
    </row>
    <row r="15">
      <c r="A15" t="n">
        <v>14</v>
      </c>
      <c r="B15" t="inlineStr">
        <is>
          <t>L32</t>
        </is>
      </c>
      <c r="C15" t="n">
        <v>0</v>
      </c>
      <c r="D15" t="n">
        <v>-2</v>
      </c>
      <c r="E15" t="n">
        <v>1</v>
      </c>
      <c r="F15" t="n">
        <v>-1</v>
      </c>
      <c r="G15" t="n">
        <v>-1</v>
      </c>
      <c r="H15" t="n">
        <v>1</v>
      </c>
      <c r="I15" t="n">
        <v>1</v>
      </c>
      <c r="J15" t="n">
        <v>1</v>
      </c>
      <c r="K15" t="n">
        <v>0</v>
      </c>
      <c r="L15" t="n">
        <v>3</v>
      </c>
      <c r="M15" t="n">
        <v>-3</v>
      </c>
      <c r="N15" t="n">
        <v>-2</v>
      </c>
      <c r="O15" t="n">
        <v>2</v>
      </c>
      <c r="P15" t="n">
        <v>-1</v>
      </c>
      <c r="Q15" t="n">
        <v>0</v>
      </c>
      <c r="R15" t="n">
        <v>1</v>
      </c>
      <c r="S15" t="n">
        <v>0</v>
      </c>
      <c r="T15" t="n">
        <v>-1</v>
      </c>
      <c r="U15" t="n">
        <v>1</v>
      </c>
      <c r="V15" t="n">
        <v>-1</v>
      </c>
      <c r="W15" t="n">
        <v>0</v>
      </c>
      <c r="X15" t="n">
        <v>1</v>
      </c>
      <c r="Y15" t="n">
        <v>2</v>
      </c>
    </row>
    <row r="16">
      <c r="A16" t="n">
        <v>15</v>
      </c>
      <c r="B16" t="inlineStr">
        <is>
          <t>G24</t>
        </is>
      </c>
      <c r="C16" t="n">
        <v>2</v>
      </c>
      <c r="D16" t="n">
        <v>-1</v>
      </c>
      <c r="E16" t="n">
        <v>-2</v>
      </c>
      <c r="F16" t="n">
        <v>0</v>
      </c>
      <c r="G16" t="n">
        <v>-1</v>
      </c>
      <c r="H16" t="n">
        <v>-1</v>
      </c>
      <c r="I16" t="n">
        <v>1</v>
      </c>
      <c r="J16" t="n">
        <v>1</v>
      </c>
      <c r="K16" t="n">
        <v>1</v>
      </c>
      <c r="L16" t="n">
        <v>0</v>
      </c>
      <c r="M16" t="n">
        <v>-1</v>
      </c>
      <c r="N16" t="n">
        <v>-1</v>
      </c>
      <c r="O16" t="n">
        <v>-3</v>
      </c>
      <c r="P16" t="n">
        <v>-1</v>
      </c>
      <c r="Q16" t="n">
        <v>-2</v>
      </c>
      <c r="R16" t="n">
        <v>-2</v>
      </c>
      <c r="S16" t="n">
        <v>-2</v>
      </c>
      <c r="T16" t="n">
        <v>-3</v>
      </c>
      <c r="U16" t="n">
        <v>-2</v>
      </c>
      <c r="V16" t="n">
        <v>-2</v>
      </c>
      <c r="W16" t="n">
        <v>1</v>
      </c>
      <c r="X16" t="n">
        <v>-3</v>
      </c>
      <c r="Y16" t="n">
        <v>-1</v>
      </c>
    </row>
    <row r="17">
      <c r="A17" t="n">
        <v>16</v>
      </c>
      <c r="B17" t="inlineStr">
        <is>
          <t>L37</t>
        </is>
      </c>
      <c r="C17" t="n">
        <v>1</v>
      </c>
      <c r="D17" t="n">
        <v>3</v>
      </c>
      <c r="E17" t="n">
        <v>2</v>
      </c>
      <c r="F17" t="n">
        <v>2</v>
      </c>
      <c r="G17" t="n">
        <v>3</v>
      </c>
      <c r="H17" t="n">
        <v>-2</v>
      </c>
      <c r="I17" t="n">
        <v>1</v>
      </c>
      <c r="J17" t="n">
        <v>3</v>
      </c>
      <c r="K17" t="n">
        <v>3</v>
      </c>
      <c r="L17" t="n">
        <v>2</v>
      </c>
      <c r="M17" t="n">
        <v>2</v>
      </c>
      <c r="N17" t="n">
        <v>2</v>
      </c>
      <c r="O17" t="n">
        <v>3</v>
      </c>
      <c r="P17" t="n">
        <v>-2</v>
      </c>
      <c r="Q17" t="n">
        <v>3</v>
      </c>
      <c r="R17" t="n">
        <v>2</v>
      </c>
      <c r="S17" t="n">
        <v>3</v>
      </c>
      <c r="T17" t="n">
        <v>3</v>
      </c>
      <c r="U17" t="n">
        <v>0</v>
      </c>
      <c r="V17" t="n">
        <v>2</v>
      </c>
      <c r="W17" t="n">
        <v>0</v>
      </c>
      <c r="X17" t="n">
        <v>1</v>
      </c>
      <c r="Y17" t="n">
        <v>3</v>
      </c>
    </row>
    <row r="18">
      <c r="A18" t="n">
        <v>17</v>
      </c>
      <c r="B18" t="inlineStr">
        <is>
          <t>G28</t>
        </is>
      </c>
      <c r="C18" t="n">
        <v>0</v>
      </c>
      <c r="D18" t="n">
        <v>1</v>
      </c>
      <c r="E18" t="n">
        <v>-3</v>
      </c>
      <c r="F18" t="n">
        <v>2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-1</v>
      </c>
      <c r="M18" t="n">
        <v>-2</v>
      </c>
      <c r="N18" t="n">
        <v>2</v>
      </c>
      <c r="O18" t="n">
        <v>0</v>
      </c>
      <c r="P18" t="n">
        <v>1</v>
      </c>
      <c r="Q18" t="n">
        <v>-1</v>
      </c>
      <c r="R18" t="n">
        <v>-1</v>
      </c>
      <c r="S18" t="n">
        <v>-3</v>
      </c>
      <c r="T18" t="n">
        <v>-1</v>
      </c>
      <c r="U18" t="n">
        <v>0</v>
      </c>
      <c r="V18" t="n">
        <v>-2</v>
      </c>
      <c r="W18" t="n">
        <v>0</v>
      </c>
      <c r="X18" t="n">
        <v>-2</v>
      </c>
      <c r="Y18" t="n">
        <v>-2</v>
      </c>
    </row>
    <row r="19">
      <c r="A19" t="n">
        <v>18</v>
      </c>
      <c r="B19" t="inlineStr">
        <is>
          <t>L14</t>
        </is>
      </c>
      <c r="C19" t="n">
        <v>2</v>
      </c>
      <c r="D19" t="n">
        <v>0</v>
      </c>
      <c r="E19" t="n">
        <v>0</v>
      </c>
      <c r="F19" t="n">
        <v>1</v>
      </c>
      <c r="G19" t="n">
        <v>0</v>
      </c>
      <c r="H19" t="n">
        <v>2</v>
      </c>
      <c r="I19" t="n">
        <v>2</v>
      </c>
      <c r="J19" t="n">
        <v>1</v>
      </c>
      <c r="K19" t="n">
        <v>1</v>
      </c>
      <c r="L19" t="n">
        <v>3</v>
      </c>
      <c r="M19" t="n">
        <v>3</v>
      </c>
      <c r="N19" t="n">
        <v>0</v>
      </c>
      <c r="O19" t="n">
        <v>1</v>
      </c>
      <c r="P19" t="n">
        <v>2</v>
      </c>
      <c r="Q19" t="n">
        <v>-2</v>
      </c>
      <c r="R19" t="n">
        <v>3</v>
      </c>
      <c r="S19" t="n">
        <v>-3</v>
      </c>
      <c r="T19" t="n">
        <v>-1</v>
      </c>
      <c r="U19" t="n">
        <v>3</v>
      </c>
      <c r="V19" t="n">
        <v>0</v>
      </c>
      <c r="W19" t="n">
        <v>2</v>
      </c>
      <c r="X19" t="n">
        <v>1</v>
      </c>
      <c r="Y19" t="n">
        <v>2</v>
      </c>
    </row>
    <row r="20">
      <c r="A20" t="n">
        <v>19</v>
      </c>
      <c r="B20" t="inlineStr">
        <is>
          <t>G06</t>
        </is>
      </c>
      <c r="C20" t="n">
        <v>1</v>
      </c>
      <c r="D20" t="n">
        <v>-1</v>
      </c>
      <c r="E20" t="n">
        <v>2</v>
      </c>
      <c r="F20" t="n">
        <v>-2</v>
      </c>
      <c r="G20" t="n">
        <v>-2</v>
      </c>
      <c r="H20" t="n">
        <v>1</v>
      </c>
      <c r="I20" t="n">
        <v>1</v>
      </c>
      <c r="J20" t="n">
        <v>0</v>
      </c>
      <c r="K20" t="n">
        <v>1</v>
      </c>
      <c r="L20" t="n">
        <v>3</v>
      </c>
      <c r="M20" t="n">
        <v>2</v>
      </c>
      <c r="N20" t="n">
        <v>-2</v>
      </c>
      <c r="O20" t="n">
        <v>2</v>
      </c>
      <c r="P20" t="n">
        <v>1</v>
      </c>
      <c r="Q20" t="n">
        <v>-3</v>
      </c>
      <c r="R20" t="n">
        <v>3</v>
      </c>
      <c r="S20" t="n">
        <v>0</v>
      </c>
      <c r="T20" t="n">
        <v>-2</v>
      </c>
      <c r="U20" t="n">
        <v>3</v>
      </c>
      <c r="V20" t="n">
        <v>2</v>
      </c>
      <c r="W20" t="n">
        <v>1</v>
      </c>
      <c r="X20" t="n">
        <v>2</v>
      </c>
      <c r="Y20" t="n">
        <v>1</v>
      </c>
    </row>
    <row r="21">
      <c r="A21" t="n">
        <v>20</v>
      </c>
      <c r="B21" t="inlineStr">
        <is>
          <t>A10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</row>
    <row r="22">
      <c r="A22" t="n">
        <v>21</v>
      </c>
      <c r="B22" t="inlineStr">
        <is>
          <t>G15</t>
        </is>
      </c>
      <c r="C22" t="n">
        <v>-2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  <c r="I22" t="n">
        <v>-2</v>
      </c>
      <c r="J22" t="n">
        <v>0</v>
      </c>
      <c r="K22" t="n">
        <v>-2</v>
      </c>
      <c r="L22" t="n">
        <v>3</v>
      </c>
      <c r="M22" t="n">
        <v>0</v>
      </c>
      <c r="N22" t="n">
        <v>0</v>
      </c>
      <c r="O22" t="n">
        <v>2</v>
      </c>
      <c r="P22" t="n">
        <v>2</v>
      </c>
      <c r="Q22" t="n">
        <v>-2</v>
      </c>
      <c r="R22" t="n">
        <v>3</v>
      </c>
      <c r="S22" t="n">
        <v>2</v>
      </c>
      <c r="T22" t="n">
        <v>-2</v>
      </c>
      <c r="U22" t="n">
        <v>3</v>
      </c>
      <c r="V22" t="n">
        <v>2</v>
      </c>
      <c r="W22" t="n">
        <v>2</v>
      </c>
      <c r="X22" t="n">
        <v>3</v>
      </c>
      <c r="Y22" t="n">
        <v>2</v>
      </c>
    </row>
    <row r="23">
      <c r="A23" t="n">
        <v>22</v>
      </c>
      <c r="B23" t="inlineStr">
        <is>
          <t>L21</t>
        </is>
      </c>
      <c r="C23" t="n">
        <v>-2</v>
      </c>
      <c r="D23" t="n">
        <v>-2</v>
      </c>
      <c r="E23" t="n">
        <v>2</v>
      </c>
      <c r="F23" t="n">
        <v>-3</v>
      </c>
      <c r="G23" t="n">
        <v>-2</v>
      </c>
      <c r="H23" t="n">
        <v>0</v>
      </c>
      <c r="I23" t="n">
        <v>-2</v>
      </c>
      <c r="J23" t="n">
        <v>-1</v>
      </c>
      <c r="K23" t="n">
        <v>-1</v>
      </c>
      <c r="L23" t="n">
        <v>3</v>
      </c>
      <c r="M23" t="n">
        <v>1</v>
      </c>
      <c r="N23" t="n">
        <v>-3</v>
      </c>
      <c r="O23" t="n">
        <v>-1</v>
      </c>
      <c r="P23" t="n">
        <v>-1</v>
      </c>
      <c r="Q23" t="n">
        <v>-3</v>
      </c>
      <c r="R23" t="n">
        <v>2</v>
      </c>
      <c r="S23" t="n">
        <v>3</v>
      </c>
      <c r="T23" t="n">
        <v>-3</v>
      </c>
      <c r="U23" t="n">
        <v>2</v>
      </c>
      <c r="V23" t="n">
        <v>3</v>
      </c>
      <c r="W23" t="n">
        <v>0</v>
      </c>
      <c r="X23" t="n">
        <v>2</v>
      </c>
      <c r="Y23" t="n">
        <v>2</v>
      </c>
    </row>
    <row r="24">
      <c r="A24" t="n">
        <v>23</v>
      </c>
      <c r="B24" t="inlineStr">
        <is>
          <t>G09</t>
        </is>
      </c>
      <c r="C24" t="n">
        <v>0</v>
      </c>
      <c r="D24" t="n">
        <v>2</v>
      </c>
      <c r="E24" t="n">
        <v>-2</v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-2</v>
      </c>
      <c r="M24" t="n">
        <v>-2</v>
      </c>
      <c r="N24" t="n">
        <v>3</v>
      </c>
      <c r="O24" t="n">
        <v>3</v>
      </c>
      <c r="P24" t="n">
        <v>2</v>
      </c>
      <c r="Q24" t="n">
        <v>2</v>
      </c>
      <c r="R24" t="n">
        <v>0</v>
      </c>
      <c r="S24" t="n">
        <v>-2</v>
      </c>
      <c r="T24" t="n">
        <v>2</v>
      </c>
      <c r="U24" t="n">
        <v>0</v>
      </c>
      <c r="V24" t="n">
        <v>-2</v>
      </c>
      <c r="W24" t="n">
        <v>0</v>
      </c>
      <c r="X24" t="n">
        <v>0</v>
      </c>
      <c r="Y24" t="n">
        <v>-2</v>
      </c>
    </row>
    <row r="25">
      <c r="A25" t="n">
        <v>24</v>
      </c>
      <c r="B25" t="inlineStr">
        <is>
          <t>L28</t>
        </is>
      </c>
      <c r="C25" t="n">
        <v>0</v>
      </c>
      <c r="D25" t="n">
        <v>-2</v>
      </c>
      <c r="E25" t="n">
        <v>2</v>
      </c>
      <c r="F25" t="n">
        <v>-3</v>
      </c>
      <c r="G25" t="n">
        <v>2</v>
      </c>
      <c r="H25" t="n">
        <v>-2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-3</v>
      </c>
      <c r="O25" t="n">
        <v>3</v>
      </c>
      <c r="P25" t="n">
        <v>-3</v>
      </c>
      <c r="Q25" t="n">
        <v>1</v>
      </c>
      <c r="R25" t="n">
        <v>3</v>
      </c>
      <c r="S25" t="n">
        <v>3</v>
      </c>
      <c r="T25" t="n">
        <v>1</v>
      </c>
      <c r="U25" t="n">
        <v>1</v>
      </c>
      <c r="V25" t="n">
        <v>3</v>
      </c>
      <c r="W25" t="n">
        <v>-3</v>
      </c>
      <c r="X25" t="n">
        <v>0</v>
      </c>
      <c r="Y25" t="n">
        <v>2</v>
      </c>
    </row>
    <row r="26">
      <c r="A26" t="n">
        <v>25</v>
      </c>
      <c r="B26" t="inlineStr">
        <is>
          <t>G11</t>
        </is>
      </c>
      <c r="C26" t="n">
        <v>-2</v>
      </c>
      <c r="D26" t="n">
        <v>2</v>
      </c>
      <c r="E26" t="n">
        <v>0</v>
      </c>
      <c r="F26" t="n">
        <v>2</v>
      </c>
      <c r="G26" t="n">
        <v>3</v>
      </c>
      <c r="H26" t="n">
        <v>-2</v>
      </c>
      <c r="I26" t="n">
        <v>-2</v>
      </c>
      <c r="J26" t="n">
        <v>0</v>
      </c>
      <c r="K26" t="n">
        <v>0</v>
      </c>
      <c r="L26" t="n">
        <v>-2</v>
      </c>
      <c r="M26" t="n">
        <v>-2</v>
      </c>
      <c r="N26" t="n">
        <v>2</v>
      </c>
      <c r="O26" t="n">
        <v>-2</v>
      </c>
      <c r="P26" t="n">
        <v>-2</v>
      </c>
      <c r="Q26" t="n">
        <v>3</v>
      </c>
      <c r="R26" t="n">
        <v>-2</v>
      </c>
      <c r="S26" t="n">
        <v>2</v>
      </c>
      <c r="T26" t="n">
        <v>2</v>
      </c>
      <c r="U26" t="n">
        <v>-3</v>
      </c>
      <c r="V26" t="n">
        <v>0</v>
      </c>
      <c r="W26" t="n">
        <v>0</v>
      </c>
      <c r="X26" t="n">
        <v>-2</v>
      </c>
      <c r="Y26" t="n">
        <v>0</v>
      </c>
    </row>
    <row r="27">
      <c r="A27" t="n">
        <v>26</v>
      </c>
      <c r="B27" t="inlineStr">
        <is>
          <t>L33</t>
        </is>
      </c>
      <c r="C27" t="n">
        <v>-2</v>
      </c>
      <c r="D27" t="n">
        <v>2</v>
      </c>
      <c r="E27" t="n">
        <v>-3</v>
      </c>
      <c r="F27" t="n">
        <v>2</v>
      </c>
      <c r="G27" t="n">
        <v>3</v>
      </c>
      <c r="H27" t="n">
        <v>-3</v>
      </c>
      <c r="I27" t="n">
        <v>-2</v>
      </c>
      <c r="J27" t="n">
        <v>0</v>
      </c>
      <c r="K27" t="n">
        <v>0</v>
      </c>
      <c r="L27" t="n">
        <v>-2</v>
      </c>
      <c r="M27" t="n">
        <v>-2</v>
      </c>
      <c r="N27" t="n">
        <v>2</v>
      </c>
      <c r="O27" t="n">
        <v>3</v>
      </c>
      <c r="P27" t="n">
        <v>-2</v>
      </c>
      <c r="Q27" t="n">
        <v>2</v>
      </c>
      <c r="R27" t="n">
        <v>0</v>
      </c>
      <c r="S27" t="n">
        <v>-2</v>
      </c>
      <c r="T27" t="n">
        <v>2</v>
      </c>
      <c r="U27" t="n">
        <v>0</v>
      </c>
      <c r="V27" t="n">
        <v>-2</v>
      </c>
      <c r="W27" t="n">
        <v>-2</v>
      </c>
      <c r="X27" t="n">
        <v>0</v>
      </c>
      <c r="Y27" t="n">
        <v>-2</v>
      </c>
    </row>
    <row r="28">
      <c r="A28" t="n">
        <v>27</v>
      </c>
      <c r="B28" t="inlineStr">
        <is>
          <t>A01</t>
        </is>
      </c>
      <c r="C28" t="n">
        <v>-3</v>
      </c>
      <c r="D28" t="n">
        <v>-3</v>
      </c>
      <c r="E28" t="n">
        <v>-2</v>
      </c>
      <c r="F28" t="n">
        <v>-3</v>
      </c>
      <c r="G28" t="n">
        <v>-3</v>
      </c>
      <c r="H28" t="n">
        <v>-3</v>
      </c>
      <c r="I28" t="n">
        <v>3</v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</row>
    <row r="29">
      <c r="A29" t="n">
        <v>28</v>
      </c>
      <c r="B29" t="inlineStr">
        <is>
          <t>L01</t>
        </is>
      </c>
      <c r="C29" t="n">
        <v>3</v>
      </c>
      <c r="D29" t="n">
        <v>-2</v>
      </c>
      <c r="E29" t="n">
        <v>0</v>
      </c>
      <c r="F29" t="n">
        <v>0</v>
      </c>
      <c r="G29" t="n">
        <v>-2</v>
      </c>
      <c r="H29" t="n">
        <v>-2</v>
      </c>
      <c r="I29" t="n">
        <v>0</v>
      </c>
      <c r="J29" t="n">
        <v>-3</v>
      </c>
      <c r="K29" t="n">
        <v>0</v>
      </c>
      <c r="L29" t="n">
        <v>0</v>
      </c>
      <c r="M29" t="n">
        <v>0</v>
      </c>
      <c r="N29" t="n">
        <v>-2</v>
      </c>
      <c r="O29" t="n">
        <v>-2</v>
      </c>
      <c r="P29" t="n">
        <v>-2</v>
      </c>
      <c r="Q29" t="n">
        <v>0</v>
      </c>
      <c r="R29" t="n">
        <v>0</v>
      </c>
      <c r="S29" t="n">
        <v>0</v>
      </c>
      <c r="T29" t="n">
        <v>0</v>
      </c>
      <c r="U29" t="n">
        <v>-2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inlineStr">
        <is>
          <t>G04</t>
        </is>
      </c>
      <c r="C30" t="n">
        <v>-2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-2</v>
      </c>
      <c r="J30" t="n">
        <v>-2</v>
      </c>
      <c r="K30" t="n">
        <v>-2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-2</v>
      </c>
      <c r="R30" t="n">
        <v>3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inlineStr">
        <is>
          <t>L34</t>
        </is>
      </c>
      <c r="C31" t="n">
        <v>1</v>
      </c>
      <c r="D31" t="n">
        <v>0</v>
      </c>
      <c r="E31" t="n">
        <v>0</v>
      </c>
      <c r="F31" t="n">
        <v>2</v>
      </c>
      <c r="G31" t="n">
        <v>2</v>
      </c>
      <c r="H31" t="n">
        <v>-2</v>
      </c>
      <c r="I31" t="n">
        <v>1</v>
      </c>
      <c r="J31" t="n">
        <v>-1</v>
      </c>
      <c r="K31" t="n">
        <v>0</v>
      </c>
      <c r="L31" t="n">
        <v>0</v>
      </c>
      <c r="M31" t="n">
        <v>0</v>
      </c>
      <c r="N31" t="n">
        <v>-2</v>
      </c>
      <c r="O31" t="n">
        <v>0</v>
      </c>
      <c r="P31" t="n">
        <v>0</v>
      </c>
      <c r="Q31" t="n">
        <v>2</v>
      </c>
      <c r="R31" t="n">
        <v>-1</v>
      </c>
      <c r="S31" t="n">
        <v>2</v>
      </c>
      <c r="T31" t="n">
        <v>1</v>
      </c>
      <c r="U31" t="n">
        <v>0</v>
      </c>
      <c r="V31" t="n">
        <v>2</v>
      </c>
      <c r="W31" t="n">
        <v>-1</v>
      </c>
      <c r="X31" t="n">
        <v>2</v>
      </c>
      <c r="Y31" t="n">
        <v>-1</v>
      </c>
    </row>
    <row r="32">
      <c r="A32" t="n">
        <v>31</v>
      </c>
      <c r="B32" t="inlineStr">
        <is>
          <t>G26</t>
        </is>
      </c>
      <c r="C32" t="n">
        <v>-1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-1</v>
      </c>
      <c r="J32" t="n">
        <v>-1</v>
      </c>
      <c r="K32" t="n">
        <v>-1</v>
      </c>
      <c r="L32" t="n">
        <v>0</v>
      </c>
      <c r="M32" t="n">
        <v>2</v>
      </c>
      <c r="N32" t="n">
        <v>0</v>
      </c>
      <c r="O32" t="n">
        <v>-1</v>
      </c>
      <c r="P32" t="n">
        <v>0</v>
      </c>
      <c r="Q32" t="n">
        <v>-1</v>
      </c>
      <c r="R32" t="n">
        <v>1</v>
      </c>
      <c r="S32" t="n">
        <v>-1</v>
      </c>
      <c r="T32" t="n">
        <v>0</v>
      </c>
      <c r="U32" t="n">
        <v>1</v>
      </c>
      <c r="V32" t="n">
        <v>0</v>
      </c>
      <c r="W32" t="n">
        <v>2</v>
      </c>
      <c r="X32" t="n">
        <v>1</v>
      </c>
      <c r="Y32" t="n">
        <v>0</v>
      </c>
    </row>
    <row r="33">
      <c r="A33" t="n">
        <v>32</v>
      </c>
      <c r="B33" t="inlineStr">
        <is>
          <t>L11</t>
        </is>
      </c>
      <c r="C33" t="n">
        <v>-2</v>
      </c>
      <c r="D33" t="n">
        <v>-1</v>
      </c>
      <c r="E33" t="n">
        <v>1</v>
      </c>
      <c r="F33" t="n">
        <v>-2</v>
      </c>
      <c r="G33" t="n">
        <v>1</v>
      </c>
      <c r="H33" t="n">
        <v>3</v>
      </c>
      <c r="I33" t="n">
        <v>-1</v>
      </c>
      <c r="J33" t="n">
        <v>-2</v>
      </c>
      <c r="K33" t="n">
        <v>-2</v>
      </c>
      <c r="L33" t="n">
        <v>2</v>
      </c>
      <c r="M33" t="n">
        <v>1</v>
      </c>
      <c r="N33" t="n">
        <v>-1</v>
      </c>
      <c r="O33" t="n">
        <v>3</v>
      </c>
      <c r="P33" t="n">
        <v>-3</v>
      </c>
      <c r="Q33" t="n">
        <v>2</v>
      </c>
      <c r="R33" t="n">
        <v>3</v>
      </c>
      <c r="S33" t="n">
        <v>2</v>
      </c>
      <c r="T33" t="n">
        <v>2</v>
      </c>
      <c r="U33" t="n">
        <v>1</v>
      </c>
      <c r="V33" t="n">
        <v>2</v>
      </c>
      <c r="W33" t="n">
        <v>-1</v>
      </c>
      <c r="X33" t="n">
        <v>1</v>
      </c>
      <c r="Y33" t="n">
        <v>3</v>
      </c>
    </row>
    <row r="34">
      <c r="A34" t="n">
        <v>33</v>
      </c>
      <c r="B34" t="inlineStr">
        <is>
          <t>G20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</row>
    <row r="35">
      <c r="A35" t="n">
        <v>34</v>
      </c>
      <c r="B35" t="inlineStr">
        <is>
          <t>A11</t>
        </is>
      </c>
      <c r="C35" t="n">
        <v>-2</v>
      </c>
      <c r="D35" t="n">
        <v>-2</v>
      </c>
      <c r="E35" t="n">
        <v>0</v>
      </c>
      <c r="F35" t="n">
        <v>-2</v>
      </c>
      <c r="G35" t="n">
        <v>-3</v>
      </c>
      <c r="H35" t="n">
        <v>1</v>
      </c>
      <c r="I35" t="n">
        <v>-2</v>
      </c>
      <c r="J35" t="n">
        <v>-2</v>
      </c>
      <c r="K35" t="n">
        <v>-3</v>
      </c>
      <c r="L35" t="n">
        <v>2</v>
      </c>
      <c r="M35" t="n">
        <v>0</v>
      </c>
      <c r="N35" t="n">
        <v>-2</v>
      </c>
      <c r="O35" t="n">
        <v>2</v>
      </c>
      <c r="P35" t="n">
        <v>1</v>
      </c>
      <c r="Q35" t="n">
        <v>-3</v>
      </c>
      <c r="R35" t="n">
        <v>3</v>
      </c>
      <c r="S35" t="n">
        <v>-2</v>
      </c>
      <c r="T35" t="n">
        <v>-3</v>
      </c>
      <c r="U35" t="n">
        <v>3</v>
      </c>
      <c r="V35" t="n">
        <v>-1</v>
      </c>
      <c r="W35" t="n">
        <v>0</v>
      </c>
      <c r="X35" t="n">
        <v>3</v>
      </c>
      <c r="Y35" t="n">
        <v>0</v>
      </c>
    </row>
    <row r="36">
      <c r="A36" t="n">
        <v>35</v>
      </c>
      <c r="B36" t="inlineStr">
        <is>
          <t>G05</t>
        </is>
      </c>
      <c r="C36" t="n">
        <v>-3</v>
      </c>
      <c r="D36" t="n">
        <v>2</v>
      </c>
      <c r="E36" t="n">
        <v>0</v>
      </c>
      <c r="F36" t="n">
        <v>-1</v>
      </c>
      <c r="G36" t="n">
        <v>1</v>
      </c>
      <c r="H36" t="n">
        <v>1</v>
      </c>
      <c r="I36" t="n">
        <v>-1</v>
      </c>
      <c r="J36" t="n">
        <v>-1</v>
      </c>
      <c r="K36" t="n">
        <v>-1</v>
      </c>
      <c r="L36" t="n">
        <v>0</v>
      </c>
      <c r="M36" t="n">
        <v>3</v>
      </c>
      <c r="N36" t="n">
        <v>0</v>
      </c>
      <c r="O36" t="n">
        <v>0</v>
      </c>
      <c r="P36" t="n">
        <v>1</v>
      </c>
      <c r="Q36" t="n">
        <v>0</v>
      </c>
      <c r="R36" t="n">
        <v>2</v>
      </c>
      <c r="S36" t="n">
        <v>2</v>
      </c>
      <c r="T36" t="n">
        <v>1</v>
      </c>
      <c r="U36" t="n">
        <v>3</v>
      </c>
      <c r="V36" t="n">
        <v>3</v>
      </c>
      <c r="W36" t="n">
        <v>1</v>
      </c>
      <c r="X36" t="n">
        <v>2</v>
      </c>
      <c r="Y36" t="n">
        <v>0</v>
      </c>
    </row>
    <row r="37">
      <c r="A37" t="n">
        <v>36</v>
      </c>
      <c r="B37" t="inlineStr">
        <is>
          <t>L16</t>
        </is>
      </c>
      <c r="C37" t="n">
        <v>0</v>
      </c>
      <c r="D37" t="n">
        <v>2</v>
      </c>
      <c r="E37" t="n">
        <v>-2</v>
      </c>
      <c r="F37" t="n">
        <v>1</v>
      </c>
      <c r="G37" t="n">
        <v>3</v>
      </c>
      <c r="H37" t="n">
        <v>-2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-3</v>
      </c>
      <c r="P37" t="n">
        <v>-1</v>
      </c>
      <c r="Q37" t="n">
        <v>2</v>
      </c>
      <c r="R37" t="n">
        <v>-2</v>
      </c>
      <c r="S37" t="n">
        <v>0</v>
      </c>
      <c r="T37" t="n">
        <v>-1</v>
      </c>
      <c r="U37" t="n">
        <v>-3</v>
      </c>
      <c r="V37" t="n">
        <v>0</v>
      </c>
      <c r="W37" t="n">
        <v>1</v>
      </c>
      <c r="X37" t="n">
        <v>-3</v>
      </c>
      <c r="Y37" t="n">
        <v>1</v>
      </c>
    </row>
    <row r="38">
      <c r="A38" t="n">
        <v>37</v>
      </c>
      <c r="B38" t="inlineStr">
        <is>
          <t>G19</t>
        </is>
      </c>
      <c r="C38" t="n">
        <v>1</v>
      </c>
      <c r="D38" t="n">
        <v>-1</v>
      </c>
      <c r="E38" t="n">
        <v>0</v>
      </c>
      <c r="F38" t="n">
        <v>1</v>
      </c>
      <c r="G38" t="n">
        <v>-2</v>
      </c>
      <c r="H38" t="n">
        <v>2</v>
      </c>
      <c r="I38" t="n">
        <v>1</v>
      </c>
      <c r="J38" t="n">
        <v>0</v>
      </c>
      <c r="K38" t="n">
        <v>0</v>
      </c>
      <c r="L38" t="n">
        <v>-1</v>
      </c>
      <c r="M38" t="n">
        <v>-2</v>
      </c>
      <c r="N38" t="n">
        <v>1</v>
      </c>
      <c r="O38" t="n">
        <v>0</v>
      </c>
      <c r="P38" t="n">
        <v>2</v>
      </c>
      <c r="Q38" t="n">
        <v>0</v>
      </c>
      <c r="R38" t="n">
        <v>-2</v>
      </c>
      <c r="S38" t="n">
        <v>-1</v>
      </c>
      <c r="T38" t="n">
        <v>0</v>
      </c>
      <c r="U38" t="n">
        <v>0</v>
      </c>
      <c r="V38" t="n">
        <v>-2</v>
      </c>
      <c r="W38" t="n">
        <v>1</v>
      </c>
      <c r="X38" t="n">
        <v>0</v>
      </c>
      <c r="Y38" t="n">
        <v>-2</v>
      </c>
    </row>
    <row r="39">
      <c r="A39" t="n">
        <v>38</v>
      </c>
      <c r="B39" t="inlineStr">
        <is>
          <t>L02</t>
        </is>
      </c>
      <c r="C39" t="n">
        <v>2</v>
      </c>
      <c r="D39" t="n">
        <v>0</v>
      </c>
      <c r="E39" t="n">
        <v>2</v>
      </c>
      <c r="F39" t="n">
        <v>1</v>
      </c>
      <c r="G39" t="n">
        <v>-1</v>
      </c>
      <c r="H39" t="n">
        <v>1</v>
      </c>
      <c r="I39" t="n">
        <v>-1</v>
      </c>
      <c r="J39" t="n">
        <v>-1</v>
      </c>
      <c r="K39" t="n">
        <v>-2</v>
      </c>
      <c r="L39" t="n">
        <v>0</v>
      </c>
      <c r="M39" t="n">
        <v>-1</v>
      </c>
      <c r="N39" t="n">
        <v>2</v>
      </c>
      <c r="O39" t="n">
        <v>1</v>
      </c>
      <c r="P39" t="n">
        <v>0</v>
      </c>
      <c r="Q39" t="n">
        <v>-1</v>
      </c>
      <c r="R39" t="n">
        <v>0</v>
      </c>
      <c r="S39" t="n">
        <v>1</v>
      </c>
      <c r="T39" t="n">
        <v>2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</row>
    <row r="40">
      <c r="A40" t="n">
        <v>39</v>
      </c>
      <c r="B40" t="inlineStr">
        <is>
          <t>G10</t>
        </is>
      </c>
      <c r="C40" t="n">
        <v>0</v>
      </c>
      <c r="D40" t="n">
        <v>0</v>
      </c>
      <c r="E40" t="n">
        <v>0</v>
      </c>
      <c r="F40" t="n">
        <v>-2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3</v>
      </c>
      <c r="W40" t="n">
        <v>-2</v>
      </c>
      <c r="X40" t="n">
        <v>0</v>
      </c>
      <c r="Y40" t="n">
        <v>0</v>
      </c>
    </row>
    <row r="41">
      <c r="A41" t="n">
        <v>40</v>
      </c>
      <c r="B41" t="inlineStr">
        <is>
          <t>L24</t>
        </is>
      </c>
      <c r="C41" t="n">
        <v>3</v>
      </c>
      <c r="D41" t="n">
        <v>0</v>
      </c>
      <c r="E41" t="n">
        <v>3</v>
      </c>
      <c r="F41" t="n">
        <v>2</v>
      </c>
      <c r="G41" t="n">
        <v>1</v>
      </c>
      <c r="H41" t="n">
        <v>2</v>
      </c>
      <c r="I41" t="n">
        <v>3</v>
      </c>
      <c r="J41" t="n">
        <v>3</v>
      </c>
      <c r="K41" t="n">
        <v>3</v>
      </c>
      <c r="L41" t="n">
        <v>2</v>
      </c>
      <c r="M41" t="n">
        <v>0</v>
      </c>
      <c r="N41" t="n">
        <v>2</v>
      </c>
      <c r="O41" t="n">
        <v>3</v>
      </c>
      <c r="P41" t="n">
        <v>1</v>
      </c>
      <c r="Q41" t="n">
        <v>3</v>
      </c>
      <c r="R41" t="n">
        <v>1</v>
      </c>
      <c r="S41" t="n">
        <v>2</v>
      </c>
      <c r="T41" t="n">
        <v>3</v>
      </c>
      <c r="U41" t="n">
        <v>1</v>
      </c>
      <c r="V41" t="n">
        <v>-2</v>
      </c>
      <c r="W41" t="n">
        <v>1</v>
      </c>
      <c r="X41" t="n">
        <v>2</v>
      </c>
      <c r="Y41" t="n">
        <v>2</v>
      </c>
    </row>
    <row r="42">
      <c r="A42" t="n">
        <v>41</v>
      </c>
      <c r="B42" t="inlineStr">
        <is>
          <t>A03</t>
        </is>
      </c>
      <c r="C42" t="n">
        <v>-2</v>
      </c>
      <c r="D42" t="n">
        <v>-2</v>
      </c>
      <c r="E42" t="n">
        <v>3</v>
      </c>
      <c r="F42" t="n">
        <v>-2</v>
      </c>
      <c r="G42" t="n">
        <v>-3</v>
      </c>
      <c r="H42" t="n">
        <v>3</v>
      </c>
      <c r="I42" t="n">
        <v>-2</v>
      </c>
      <c r="J42" t="n">
        <v>-3</v>
      </c>
      <c r="K42" t="n">
        <v>-3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-3</v>
      </c>
      <c r="R42" t="n">
        <v>3</v>
      </c>
      <c r="S42" t="n">
        <v>0</v>
      </c>
      <c r="T42" t="n">
        <v>3</v>
      </c>
      <c r="U42" t="n">
        <v>3</v>
      </c>
      <c r="V42" t="n">
        <v>2</v>
      </c>
      <c r="W42" t="n">
        <v>-3</v>
      </c>
      <c r="X42" t="n">
        <v>3</v>
      </c>
      <c r="Y42" t="n">
        <v>0</v>
      </c>
    </row>
    <row r="43">
      <c r="A43" t="n">
        <v>42</v>
      </c>
      <c r="B43" t="inlineStr">
        <is>
          <t>L04</t>
        </is>
      </c>
      <c r="C43" t="n">
        <v>-1</v>
      </c>
      <c r="D43" t="n">
        <v>2</v>
      </c>
      <c r="E43" t="n">
        <v>2</v>
      </c>
      <c r="F43" t="n">
        <v>1</v>
      </c>
      <c r="G43" t="n">
        <v>1</v>
      </c>
      <c r="H43" t="n">
        <v>2</v>
      </c>
      <c r="I43" t="n">
        <v>-1</v>
      </c>
      <c r="J43" t="n">
        <v>2</v>
      </c>
      <c r="K43" t="n">
        <v>-2</v>
      </c>
      <c r="L43" t="n">
        <v>0</v>
      </c>
      <c r="M43" t="n">
        <v>-1</v>
      </c>
      <c r="N43" t="n">
        <v>3</v>
      </c>
      <c r="O43" t="n">
        <v>2</v>
      </c>
      <c r="P43" t="n">
        <v>2</v>
      </c>
      <c r="Q43" t="n">
        <v>-1</v>
      </c>
      <c r="R43" t="n">
        <v>0</v>
      </c>
      <c r="S43" t="n">
        <v>1</v>
      </c>
      <c r="T43" t="n">
        <v>2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</row>
    <row r="44">
      <c r="A44" t="n">
        <v>43</v>
      </c>
      <c r="B44" t="inlineStr">
        <is>
          <t>G07</t>
        </is>
      </c>
      <c r="C44" t="n">
        <v>0</v>
      </c>
      <c r="D44" t="n">
        <v>2</v>
      </c>
      <c r="E44" t="n">
        <v>0</v>
      </c>
      <c r="F44" t="n">
        <v>3</v>
      </c>
      <c r="G44" t="n">
        <v>2</v>
      </c>
      <c r="H44" t="n">
        <v>2</v>
      </c>
      <c r="I44" t="n">
        <v>0</v>
      </c>
      <c r="J44" t="n">
        <v>0</v>
      </c>
      <c r="K44" t="n">
        <v>-2</v>
      </c>
      <c r="L44" t="n">
        <v>0</v>
      </c>
      <c r="M44" t="n">
        <v>0</v>
      </c>
      <c r="N44" t="n">
        <v>2</v>
      </c>
      <c r="O44" t="n">
        <v>-2</v>
      </c>
      <c r="P44" t="n">
        <v>3</v>
      </c>
      <c r="Q44" t="n">
        <v>-2</v>
      </c>
      <c r="R44" t="n">
        <v>0</v>
      </c>
      <c r="S44" t="n">
        <v>2</v>
      </c>
      <c r="T44" t="n">
        <v>-2</v>
      </c>
      <c r="U44" t="n">
        <v>2</v>
      </c>
      <c r="V44" t="n">
        <v>3</v>
      </c>
      <c r="W44" t="n">
        <v>2</v>
      </c>
      <c r="X44" t="n">
        <v>2</v>
      </c>
      <c r="Y44" t="n">
        <v>-2</v>
      </c>
    </row>
    <row r="45">
      <c r="A45" t="n">
        <v>44</v>
      </c>
      <c r="B45" t="inlineStr">
        <is>
          <t>L03</t>
        </is>
      </c>
      <c r="C45" t="n">
        <v>3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-3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-1</v>
      </c>
      <c r="V45" t="n">
        <v>0</v>
      </c>
      <c r="W45" t="n">
        <v>1</v>
      </c>
      <c r="X45" t="n">
        <v>0</v>
      </c>
      <c r="Y45" t="n">
        <v>3</v>
      </c>
    </row>
    <row r="46">
      <c r="A46" t="n">
        <v>45</v>
      </c>
      <c r="B46" t="inlineStr">
        <is>
          <t>G12</t>
        </is>
      </c>
      <c r="C46" t="n">
        <v>-3</v>
      </c>
      <c r="D46" t="n">
        <v>0</v>
      </c>
      <c r="E46" t="n">
        <v>-2</v>
      </c>
      <c r="F46" t="n">
        <v>0</v>
      </c>
      <c r="G46" t="n">
        <v>2</v>
      </c>
      <c r="H46" t="n">
        <v>2</v>
      </c>
      <c r="I46" t="n">
        <v>-3</v>
      </c>
      <c r="J46" t="n">
        <v>-3</v>
      </c>
      <c r="K46" t="n">
        <v>-3</v>
      </c>
      <c r="L46" t="n">
        <v>-2</v>
      </c>
      <c r="M46" t="n">
        <v>-2</v>
      </c>
      <c r="N46" t="n">
        <v>0</v>
      </c>
      <c r="O46" t="n">
        <v>2</v>
      </c>
      <c r="P46" t="n">
        <v>-2</v>
      </c>
      <c r="Q46" t="n">
        <v>3</v>
      </c>
      <c r="R46" t="n">
        <v>0</v>
      </c>
      <c r="S46" t="n">
        <v>2</v>
      </c>
      <c r="T46" t="n">
        <v>2</v>
      </c>
      <c r="U46" t="n">
        <v>-2</v>
      </c>
      <c r="V46" t="n">
        <v>2</v>
      </c>
      <c r="W46" t="n">
        <v>-2</v>
      </c>
      <c r="X46" t="n">
        <v>2</v>
      </c>
      <c r="Y46" t="n">
        <v>0</v>
      </c>
    </row>
    <row r="47">
      <c r="A47" t="n">
        <v>46</v>
      </c>
      <c r="B47" t="inlineStr">
        <is>
          <t>L25</t>
        </is>
      </c>
      <c r="C47" t="n">
        <v>-1</v>
      </c>
      <c r="D47" t="n">
        <v>-1</v>
      </c>
      <c r="E47" t="n">
        <v>2</v>
      </c>
      <c r="F47" t="n">
        <v>-2</v>
      </c>
      <c r="G47" t="n">
        <v>-2</v>
      </c>
      <c r="H47" t="n">
        <v>1</v>
      </c>
      <c r="I47" t="n">
        <v>-1</v>
      </c>
      <c r="J47" t="n">
        <v>-1</v>
      </c>
      <c r="K47" t="n">
        <v>-1</v>
      </c>
      <c r="L47" t="n">
        <v>3</v>
      </c>
      <c r="M47" t="n">
        <v>1</v>
      </c>
      <c r="N47" t="n">
        <v>-2</v>
      </c>
      <c r="O47" t="n">
        <v>3</v>
      </c>
      <c r="P47" t="n">
        <v>2</v>
      </c>
      <c r="Q47" t="n">
        <v>-3</v>
      </c>
      <c r="R47" t="n">
        <v>3</v>
      </c>
      <c r="S47" t="n">
        <v>0</v>
      </c>
      <c r="T47" t="n">
        <v>-3</v>
      </c>
      <c r="U47" t="n">
        <v>3</v>
      </c>
      <c r="V47" t="n">
        <v>2</v>
      </c>
      <c r="W47" t="n">
        <v>1</v>
      </c>
      <c r="X47" t="n">
        <v>3</v>
      </c>
      <c r="Y47" t="n">
        <v>1</v>
      </c>
    </row>
    <row r="48">
      <c r="A48" t="n">
        <v>47</v>
      </c>
      <c r="B48" t="inlineStr">
        <is>
          <t>G14</t>
        </is>
      </c>
      <c r="C48" t="n">
        <v>2</v>
      </c>
      <c r="D48" t="n">
        <v>0</v>
      </c>
      <c r="E48" t="n">
        <v>0</v>
      </c>
      <c r="F48" t="n">
        <v>0</v>
      </c>
      <c r="G48" t="n">
        <v>-2</v>
      </c>
      <c r="H48" t="n">
        <v>0</v>
      </c>
      <c r="I48" t="n">
        <v>2</v>
      </c>
      <c r="J48" t="n">
        <v>2</v>
      </c>
      <c r="K48" t="n">
        <v>0</v>
      </c>
      <c r="L48" t="n">
        <v>2</v>
      </c>
      <c r="M48" t="n">
        <v>0</v>
      </c>
      <c r="N48" t="n">
        <v>-2</v>
      </c>
      <c r="O48" t="n">
        <v>-2</v>
      </c>
      <c r="P48" t="n">
        <v>0</v>
      </c>
      <c r="Q48" t="n">
        <v>-2</v>
      </c>
      <c r="R48" t="n">
        <v>-2</v>
      </c>
      <c r="S48" t="n">
        <v>-2</v>
      </c>
      <c r="T48" t="n">
        <v>-2</v>
      </c>
      <c r="U48" t="n">
        <v>-2</v>
      </c>
      <c r="V48" t="n">
        <v>-2</v>
      </c>
      <c r="W48" t="n">
        <v>3</v>
      </c>
      <c r="X48" t="n">
        <v>0</v>
      </c>
      <c r="Y48" t="n">
        <v>2</v>
      </c>
    </row>
    <row r="49">
      <c r="A49" t="n">
        <v>48</v>
      </c>
      <c r="B49" t="inlineStr">
        <is>
          <t>A05</t>
        </is>
      </c>
      <c r="C49" t="n">
        <v>-3</v>
      </c>
      <c r="D49" t="n">
        <v>-2</v>
      </c>
      <c r="E49" t="n">
        <v>-2</v>
      </c>
      <c r="F49" t="n">
        <v>-2</v>
      </c>
      <c r="G49" t="n">
        <v>-1</v>
      </c>
      <c r="H49" t="n">
        <v>1</v>
      </c>
      <c r="I49" t="n">
        <v>-3</v>
      </c>
      <c r="J49" t="n">
        <v>-3</v>
      </c>
      <c r="K49" t="n">
        <v>-3</v>
      </c>
      <c r="L49" t="n">
        <v>-1</v>
      </c>
      <c r="M49" t="n">
        <v>1</v>
      </c>
      <c r="N49" t="n">
        <v>-1</v>
      </c>
      <c r="O49" t="n">
        <v>-1</v>
      </c>
      <c r="P49" t="n">
        <v>-1</v>
      </c>
      <c r="Q49" t="n">
        <v>-2</v>
      </c>
      <c r="R49" t="n">
        <v>2</v>
      </c>
      <c r="S49" t="n">
        <v>-1</v>
      </c>
      <c r="T49" t="n">
        <v>-1</v>
      </c>
      <c r="U49" t="n">
        <v>3</v>
      </c>
      <c r="V49" t="n">
        <v>0</v>
      </c>
      <c r="W49" t="n">
        <v>-1</v>
      </c>
      <c r="X49" t="n">
        <v>-1</v>
      </c>
      <c r="Y49" t="n">
        <v>-2</v>
      </c>
    </row>
    <row r="50">
      <c r="A50" t="n">
        <v>49</v>
      </c>
      <c r="B50" t="inlineStr">
        <is>
          <t>G22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-1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-1</v>
      </c>
      <c r="Q50" t="n">
        <v>0</v>
      </c>
      <c r="R50" t="n">
        <v>1</v>
      </c>
      <c r="S50" t="n">
        <v>-1</v>
      </c>
      <c r="T50" t="n">
        <v>0</v>
      </c>
      <c r="U50" t="n">
        <v>0</v>
      </c>
      <c r="V50" t="n">
        <v>-1</v>
      </c>
      <c r="W50" t="n">
        <v>0</v>
      </c>
      <c r="X50" t="n">
        <v>0</v>
      </c>
      <c r="Y50" t="n">
        <v>2</v>
      </c>
    </row>
    <row r="51">
      <c r="A51" t="n">
        <v>50</v>
      </c>
      <c r="B51" t="inlineStr">
        <is>
          <t>L15</t>
        </is>
      </c>
      <c r="C51" t="n">
        <v>-1</v>
      </c>
      <c r="D51" t="n">
        <v>-1</v>
      </c>
      <c r="E51" t="n">
        <v>1</v>
      </c>
      <c r="F51" t="n">
        <v>-1</v>
      </c>
      <c r="G51" t="n">
        <v>-1</v>
      </c>
      <c r="H51" t="n">
        <v>2</v>
      </c>
      <c r="I51" t="n">
        <v>-1</v>
      </c>
      <c r="J51" t="n">
        <v>-1</v>
      </c>
      <c r="K51" t="n">
        <v>-1</v>
      </c>
      <c r="L51" t="n">
        <v>0</v>
      </c>
      <c r="M51" t="n">
        <v>1</v>
      </c>
      <c r="N51" t="n">
        <v>1</v>
      </c>
      <c r="O51" t="n">
        <v>2</v>
      </c>
      <c r="P51" t="n">
        <v>-2</v>
      </c>
      <c r="Q51" t="n">
        <v>0</v>
      </c>
      <c r="R51" t="n">
        <v>3</v>
      </c>
      <c r="S51" t="n">
        <v>-2</v>
      </c>
      <c r="T51" t="n">
        <v>2</v>
      </c>
      <c r="U51" t="n">
        <v>2</v>
      </c>
      <c r="V51" t="n">
        <v>-3</v>
      </c>
      <c r="W51" t="n">
        <v>0</v>
      </c>
      <c r="X51" t="n">
        <v>0</v>
      </c>
      <c r="Y51" t="n">
        <v>1</v>
      </c>
    </row>
    <row r="52">
      <c r="A52" t="n">
        <v>51</v>
      </c>
      <c r="B52" t="inlineStr">
        <is>
          <t>G21</t>
        </is>
      </c>
      <c r="C52" t="n">
        <v>0</v>
      </c>
      <c r="D52" t="n">
        <v>2</v>
      </c>
      <c r="E52" t="n">
        <v>0</v>
      </c>
      <c r="F52" t="n">
        <v>0</v>
      </c>
      <c r="G52" t="n">
        <v>-2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-2</v>
      </c>
      <c r="P52" t="n">
        <v>3</v>
      </c>
      <c r="Q52" t="n">
        <v>-2</v>
      </c>
      <c r="R52" t="n">
        <v>0</v>
      </c>
      <c r="S52" t="n">
        <v>-2</v>
      </c>
      <c r="T52" t="n">
        <v>-2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</row>
    <row r="53">
      <c r="A53" t="n">
        <v>52</v>
      </c>
      <c r="B53" t="inlineStr">
        <is>
          <t>L18</t>
        </is>
      </c>
      <c r="C53" t="n">
        <v>0</v>
      </c>
      <c r="D53" t="n">
        <v>-2</v>
      </c>
      <c r="E53" t="n">
        <v>2</v>
      </c>
      <c r="F53" t="n">
        <v>-2</v>
      </c>
      <c r="G53" t="n">
        <v>-3</v>
      </c>
      <c r="H53" t="n">
        <v>3</v>
      </c>
      <c r="I53" t="n">
        <v>0</v>
      </c>
      <c r="J53" t="n">
        <v>-2</v>
      </c>
      <c r="K53" t="n">
        <v>-3</v>
      </c>
      <c r="L53" t="n">
        <v>2</v>
      </c>
      <c r="M53" t="n">
        <v>2</v>
      </c>
      <c r="N53" t="n">
        <v>-1</v>
      </c>
      <c r="O53" t="n">
        <v>3</v>
      </c>
      <c r="P53" t="n">
        <v>2</v>
      </c>
      <c r="Q53" t="n">
        <v>-3</v>
      </c>
      <c r="R53" t="n">
        <v>3</v>
      </c>
      <c r="S53" t="n">
        <v>-1</v>
      </c>
      <c r="T53" t="n">
        <v>0</v>
      </c>
      <c r="U53" t="n">
        <v>3</v>
      </c>
      <c r="V53" t="n">
        <v>1</v>
      </c>
      <c r="W53" t="n">
        <v>-2</v>
      </c>
      <c r="X53" t="n">
        <v>3</v>
      </c>
      <c r="Y53" t="n">
        <v>0</v>
      </c>
    </row>
    <row r="54">
      <c r="A54" t="n">
        <v>53</v>
      </c>
      <c r="B54" t="inlineStr">
        <is>
          <t>G30</t>
        </is>
      </c>
      <c r="C54" t="n">
        <v>-3</v>
      </c>
      <c r="D54" t="n">
        <v>-1</v>
      </c>
      <c r="E54" t="n">
        <v>-3</v>
      </c>
      <c r="F54" t="n">
        <v>-1</v>
      </c>
      <c r="G54" t="n">
        <v>1</v>
      </c>
      <c r="H54" t="n">
        <v>-3</v>
      </c>
      <c r="I54" t="n">
        <v>-3</v>
      </c>
      <c r="J54" t="n">
        <v>-3</v>
      </c>
      <c r="K54" t="n">
        <v>-2</v>
      </c>
      <c r="L54" t="n">
        <v>-3</v>
      </c>
      <c r="M54" t="n">
        <v>-3</v>
      </c>
      <c r="N54" t="n">
        <v>-2</v>
      </c>
      <c r="O54" t="n">
        <v>-3</v>
      </c>
      <c r="P54" t="n">
        <v>-3</v>
      </c>
      <c r="Q54" t="n">
        <v>2</v>
      </c>
      <c r="R54" t="n">
        <v>-3</v>
      </c>
      <c r="S54" t="n">
        <v>-1</v>
      </c>
      <c r="T54" t="n">
        <v>-2</v>
      </c>
      <c r="U54" t="n">
        <v>-3</v>
      </c>
      <c r="V54" t="n">
        <v>-2</v>
      </c>
      <c r="W54" t="n">
        <v>-2</v>
      </c>
      <c r="X54" t="n">
        <v>-3</v>
      </c>
      <c r="Y54" t="n">
        <v>-2</v>
      </c>
    </row>
    <row r="55">
      <c r="A55" t="n">
        <v>54</v>
      </c>
      <c r="B55" t="inlineStr">
        <is>
          <t>L35</t>
        </is>
      </c>
      <c r="C55" t="n">
        <v>-2</v>
      </c>
      <c r="D55" t="n">
        <v>0</v>
      </c>
      <c r="E55" t="n">
        <v>-2</v>
      </c>
      <c r="F55" t="n">
        <v>2</v>
      </c>
      <c r="G55" t="n">
        <v>0</v>
      </c>
      <c r="H55" t="n">
        <v>0</v>
      </c>
      <c r="I55" t="n">
        <v>-3</v>
      </c>
      <c r="J55" t="n">
        <v>-2</v>
      </c>
      <c r="K55" t="n">
        <v>-1</v>
      </c>
      <c r="L55" t="n">
        <v>-3</v>
      </c>
      <c r="M55" t="n">
        <v>-1</v>
      </c>
      <c r="N55" t="n">
        <v>3</v>
      </c>
      <c r="O55" t="n">
        <v>-1</v>
      </c>
      <c r="P55" t="n">
        <v>3</v>
      </c>
      <c r="Q55" t="n">
        <v>0</v>
      </c>
      <c r="R55" t="n">
        <v>-1</v>
      </c>
      <c r="S55" t="n">
        <v>-1</v>
      </c>
      <c r="T55" t="n">
        <v>0</v>
      </c>
      <c r="U55" t="n">
        <v>0</v>
      </c>
      <c r="V55" t="n">
        <v>-1</v>
      </c>
      <c r="W55" t="n">
        <v>-3</v>
      </c>
      <c r="X55" t="n">
        <v>-1</v>
      </c>
      <c r="Y55" t="n">
        <v>-3</v>
      </c>
    </row>
    <row r="56">
      <c r="A56" t="n">
        <v>55</v>
      </c>
      <c r="B56" t="inlineStr">
        <is>
          <t>A07</t>
        </is>
      </c>
      <c r="C56" t="n">
        <v>-2</v>
      </c>
      <c r="D56" t="n">
        <v>0</v>
      </c>
      <c r="E56" t="n">
        <v>-2</v>
      </c>
      <c r="F56" t="n">
        <v>-1</v>
      </c>
      <c r="G56" t="n">
        <v>1</v>
      </c>
      <c r="H56" t="n">
        <v>-1</v>
      </c>
      <c r="I56" t="n">
        <v>1</v>
      </c>
      <c r="J56" t="n">
        <v>1</v>
      </c>
      <c r="K56" t="n">
        <v>2</v>
      </c>
      <c r="L56" t="n">
        <v>0</v>
      </c>
      <c r="M56" t="n">
        <v>1</v>
      </c>
      <c r="N56" t="n">
        <v>-2</v>
      </c>
      <c r="O56" t="n">
        <v>-1</v>
      </c>
      <c r="P56" t="n">
        <v>0</v>
      </c>
      <c r="Q56" t="n">
        <v>1</v>
      </c>
      <c r="R56" t="n">
        <v>0</v>
      </c>
      <c r="S56" t="n">
        <v>-1</v>
      </c>
      <c r="T56" t="n">
        <v>-2</v>
      </c>
      <c r="U56" t="n">
        <v>0</v>
      </c>
      <c r="V56" t="n">
        <v>-1</v>
      </c>
      <c r="W56" t="n">
        <v>0</v>
      </c>
      <c r="X56" t="n">
        <v>-1</v>
      </c>
      <c r="Y56" t="n">
        <v>0</v>
      </c>
    </row>
    <row r="57">
      <c r="A57" t="n">
        <v>56</v>
      </c>
      <c r="B57" t="inlineStr">
        <is>
          <t>L27</t>
        </is>
      </c>
      <c r="C57" t="n">
        <v>-1</v>
      </c>
      <c r="D57" t="n">
        <v>0</v>
      </c>
      <c r="E57" t="n">
        <v>0</v>
      </c>
      <c r="F57" t="n">
        <v>-2</v>
      </c>
      <c r="G57" t="n">
        <v>0</v>
      </c>
      <c r="H57" t="n">
        <v>0</v>
      </c>
      <c r="I57" t="n">
        <v>-1</v>
      </c>
      <c r="J57" t="n">
        <v>0</v>
      </c>
      <c r="K57" t="n">
        <v>0</v>
      </c>
      <c r="L57" t="n">
        <v>2</v>
      </c>
      <c r="M57" t="n">
        <v>0</v>
      </c>
      <c r="N57" t="n">
        <v>-1</v>
      </c>
      <c r="O57" t="n">
        <v>0</v>
      </c>
      <c r="P57" t="n">
        <v>1</v>
      </c>
      <c r="Q57" t="n">
        <v>-2</v>
      </c>
      <c r="R57" t="n">
        <v>1</v>
      </c>
      <c r="S57" t="n">
        <v>3</v>
      </c>
      <c r="T57" t="n">
        <v>-3</v>
      </c>
      <c r="U57" t="n">
        <v>2</v>
      </c>
      <c r="V57" t="n">
        <v>3</v>
      </c>
      <c r="W57" t="n">
        <v>0</v>
      </c>
      <c r="X57" t="n">
        <v>1</v>
      </c>
      <c r="Y57" t="n">
        <v>1</v>
      </c>
    </row>
    <row r="58">
      <c r="A58" t="n">
        <v>57</v>
      </c>
      <c r="B58" t="inlineStr">
        <is>
          <t>G08</t>
        </is>
      </c>
      <c r="C58" t="n">
        <v>0</v>
      </c>
      <c r="D58" t="n">
        <v>2</v>
      </c>
      <c r="E58" t="n">
        <v>-2</v>
      </c>
      <c r="F58" t="n">
        <v>3</v>
      </c>
      <c r="G58" t="n">
        <v>0</v>
      </c>
      <c r="H58" t="n">
        <v>0</v>
      </c>
      <c r="I58" t="n">
        <v>-2</v>
      </c>
      <c r="J58" t="n">
        <v>0</v>
      </c>
      <c r="K58" t="n">
        <v>0</v>
      </c>
      <c r="L58" t="n">
        <v>-3</v>
      </c>
      <c r="M58" t="n">
        <v>0</v>
      </c>
      <c r="N58" t="n">
        <v>3</v>
      </c>
      <c r="O58" t="n">
        <v>-2</v>
      </c>
      <c r="P58" t="n">
        <v>3</v>
      </c>
      <c r="Q58" t="n">
        <v>0</v>
      </c>
      <c r="R58" t="n">
        <v>-2</v>
      </c>
      <c r="S58" t="n">
        <v>-2</v>
      </c>
      <c r="T58" t="n">
        <v>0</v>
      </c>
      <c r="U58" t="n">
        <v>0</v>
      </c>
      <c r="V58" t="n">
        <v>-2</v>
      </c>
      <c r="W58" t="n">
        <v>0</v>
      </c>
      <c r="X58" t="n">
        <v>0</v>
      </c>
      <c r="Y58" t="n">
        <v>-3</v>
      </c>
    </row>
    <row r="59">
      <c r="A59" t="n">
        <v>58</v>
      </c>
      <c r="B59" t="inlineStr">
        <is>
          <t>L31</t>
        </is>
      </c>
      <c r="C59" t="n">
        <v>-2</v>
      </c>
      <c r="D59" t="n">
        <v>0</v>
      </c>
      <c r="E59" t="n">
        <v>-2</v>
      </c>
      <c r="F59" t="n">
        <v>2</v>
      </c>
      <c r="G59" t="n">
        <v>0</v>
      </c>
      <c r="H59" t="n">
        <v>0</v>
      </c>
      <c r="I59" t="n">
        <v>-3</v>
      </c>
      <c r="J59" t="n">
        <v>-3</v>
      </c>
      <c r="K59" t="n">
        <v>-2</v>
      </c>
      <c r="L59" t="n">
        <v>-3</v>
      </c>
      <c r="M59" t="n">
        <v>-2</v>
      </c>
      <c r="N59" t="n">
        <v>3</v>
      </c>
      <c r="O59" t="n">
        <v>-2</v>
      </c>
      <c r="P59" t="n">
        <v>3</v>
      </c>
      <c r="Q59" t="n">
        <v>-1</v>
      </c>
      <c r="R59" t="n">
        <v>-2</v>
      </c>
      <c r="S59" t="n">
        <v>-1</v>
      </c>
      <c r="T59" t="n">
        <v>-1</v>
      </c>
      <c r="U59" t="n">
        <v>0</v>
      </c>
      <c r="V59" t="n">
        <v>0</v>
      </c>
      <c r="W59" t="n">
        <v>-3</v>
      </c>
      <c r="X59" t="n">
        <v>-1</v>
      </c>
      <c r="Y59" t="n">
        <v>-3</v>
      </c>
    </row>
    <row r="60">
      <c r="A60" t="n">
        <v>59</v>
      </c>
      <c r="B60" t="inlineStr">
        <is>
          <t>G18</t>
        </is>
      </c>
      <c r="C60" t="n">
        <v>0</v>
      </c>
      <c r="D60" t="n">
        <v>0</v>
      </c>
      <c r="E60" t="n">
        <v>2</v>
      </c>
      <c r="F60" t="n">
        <v>-2</v>
      </c>
      <c r="G60" t="n">
        <v>2</v>
      </c>
      <c r="H60" t="n">
        <v>0</v>
      </c>
      <c r="I60" t="n">
        <v>1</v>
      </c>
      <c r="J60" t="n">
        <v>0</v>
      </c>
      <c r="K60" t="n">
        <v>0</v>
      </c>
      <c r="L60" t="n">
        <v>3</v>
      </c>
      <c r="M60" t="n">
        <v>2</v>
      </c>
      <c r="N60" t="n">
        <v>-2</v>
      </c>
      <c r="O60" t="n">
        <v>1</v>
      </c>
      <c r="P60" t="n">
        <v>-2</v>
      </c>
      <c r="Q60" t="n">
        <v>0</v>
      </c>
      <c r="R60" t="n">
        <v>3</v>
      </c>
      <c r="S60" t="n">
        <v>2</v>
      </c>
      <c r="T60" t="n">
        <v>0</v>
      </c>
      <c r="U60" t="n">
        <v>0</v>
      </c>
      <c r="V60" t="n">
        <v>3</v>
      </c>
      <c r="W60" t="n">
        <v>0</v>
      </c>
      <c r="X60" t="n">
        <v>0</v>
      </c>
      <c r="Y60" t="n">
        <v>3</v>
      </c>
    </row>
    <row r="61">
      <c r="A61" t="n">
        <v>60</v>
      </c>
      <c r="B61" t="inlineStr">
        <is>
          <t>L29</t>
        </is>
      </c>
      <c r="C61" t="n">
        <v>1</v>
      </c>
      <c r="D61" t="n">
        <v>0</v>
      </c>
      <c r="E61" t="n">
        <v>0</v>
      </c>
      <c r="F61" t="n">
        <v>2</v>
      </c>
      <c r="G61" t="n">
        <v>2</v>
      </c>
      <c r="H61" t="n">
        <v>-2</v>
      </c>
      <c r="I61" t="n">
        <v>1</v>
      </c>
      <c r="J61" t="n">
        <v>-1</v>
      </c>
      <c r="K61" t="n">
        <v>0</v>
      </c>
      <c r="L61" t="n">
        <v>0</v>
      </c>
      <c r="M61" t="n">
        <v>0</v>
      </c>
      <c r="N61" t="n">
        <v>-2</v>
      </c>
      <c r="O61" t="n">
        <v>0</v>
      </c>
      <c r="P61" t="n">
        <v>0</v>
      </c>
      <c r="Q61" t="n">
        <v>2</v>
      </c>
      <c r="R61" t="n">
        <v>-1</v>
      </c>
      <c r="S61" t="n">
        <v>2</v>
      </c>
      <c r="T61" t="n">
        <v>1</v>
      </c>
      <c r="U61" t="n">
        <v>0</v>
      </c>
      <c r="V61" t="n">
        <v>2</v>
      </c>
      <c r="W61" t="n">
        <v>-1</v>
      </c>
      <c r="X61" t="n">
        <v>2</v>
      </c>
      <c r="Y61" t="n">
        <v>-1</v>
      </c>
    </row>
    <row r="62">
      <c r="A62" t="n">
        <v>61</v>
      </c>
      <c r="B62" t="inlineStr">
        <is>
          <t>G29</t>
        </is>
      </c>
      <c r="C62" t="n">
        <v>2</v>
      </c>
      <c r="D62" t="n">
        <v>1</v>
      </c>
      <c r="E62" t="n">
        <v>1</v>
      </c>
      <c r="F62" t="n">
        <v>0</v>
      </c>
      <c r="G62" t="n">
        <v>-2</v>
      </c>
      <c r="H62" t="n">
        <v>1</v>
      </c>
      <c r="I62" t="n">
        <v>2</v>
      </c>
      <c r="J62" t="n">
        <v>2</v>
      </c>
      <c r="K62" t="n">
        <v>1</v>
      </c>
      <c r="L62" t="n">
        <v>1</v>
      </c>
      <c r="M62" t="n">
        <v>1</v>
      </c>
      <c r="N62" t="n">
        <v>0</v>
      </c>
      <c r="O62" t="n">
        <v>-2</v>
      </c>
      <c r="P62" t="n">
        <v>2</v>
      </c>
      <c r="Q62" t="n">
        <v>-2</v>
      </c>
      <c r="R62" t="n">
        <v>-1</v>
      </c>
      <c r="S62" t="n">
        <v>-2</v>
      </c>
      <c r="T62" t="n">
        <v>-2</v>
      </c>
      <c r="U62" t="n">
        <v>0</v>
      </c>
      <c r="V62" t="n">
        <v>-1</v>
      </c>
      <c r="W62" t="n">
        <v>3</v>
      </c>
      <c r="X62" t="n">
        <v>-1</v>
      </c>
      <c r="Y62" t="n">
        <v>1</v>
      </c>
    </row>
    <row r="63">
      <c r="A63" t="n">
        <v>62</v>
      </c>
      <c r="B63" t="inlineStr">
        <is>
          <t>A02</t>
        </is>
      </c>
      <c r="C63" t="n">
        <v>3</v>
      </c>
      <c r="D63" t="n">
        <v>3</v>
      </c>
      <c r="E63" t="n">
        <v>0</v>
      </c>
      <c r="F63" t="n">
        <v>3</v>
      </c>
      <c r="G63" t="n">
        <v>3</v>
      </c>
      <c r="H63" t="n">
        <v>0</v>
      </c>
      <c r="I63" t="n">
        <v>3</v>
      </c>
      <c r="J63" t="n">
        <v>3</v>
      </c>
      <c r="K63" t="n">
        <v>3</v>
      </c>
      <c r="L63" t="n">
        <v>1</v>
      </c>
      <c r="M63" t="n">
        <v>3</v>
      </c>
      <c r="N63" t="n">
        <v>2</v>
      </c>
      <c r="O63" t="n">
        <v>0</v>
      </c>
      <c r="P63" t="n">
        <v>2</v>
      </c>
      <c r="Q63" t="n">
        <v>3</v>
      </c>
      <c r="R63" t="n">
        <v>-3</v>
      </c>
      <c r="S63" t="n">
        <v>1</v>
      </c>
      <c r="T63" t="n">
        <v>2</v>
      </c>
      <c r="U63" t="n">
        <v>-2</v>
      </c>
      <c r="V63" t="n">
        <v>1</v>
      </c>
      <c r="W63" t="n">
        <v>3</v>
      </c>
      <c r="X63" t="n">
        <v>-2</v>
      </c>
      <c r="Y63" t="n">
        <v>2</v>
      </c>
    </row>
    <row r="64">
      <c r="A64" t="n">
        <v>63</v>
      </c>
      <c r="B64" t="inlineStr">
        <is>
          <t>G16</t>
        </is>
      </c>
      <c r="C64" t="n">
        <v>3</v>
      </c>
      <c r="D64" t="n">
        <v>1</v>
      </c>
      <c r="E64" t="n">
        <v>1</v>
      </c>
      <c r="F64" t="n">
        <v>2</v>
      </c>
      <c r="G64" t="n">
        <v>0</v>
      </c>
      <c r="H64" t="n">
        <v>0</v>
      </c>
      <c r="I64" t="n">
        <v>3</v>
      </c>
      <c r="J64" t="n">
        <v>3</v>
      </c>
      <c r="K64" t="n">
        <v>3</v>
      </c>
      <c r="L64" t="n">
        <v>0</v>
      </c>
      <c r="M64" t="n">
        <v>-2</v>
      </c>
      <c r="N64" t="n">
        <v>1</v>
      </c>
      <c r="O64" t="n">
        <v>1</v>
      </c>
      <c r="P64" t="n">
        <v>0</v>
      </c>
      <c r="Q64" t="n">
        <v>1</v>
      </c>
      <c r="R64" t="n">
        <v>-1</v>
      </c>
      <c r="S64" t="n">
        <v>-1</v>
      </c>
      <c r="T64" t="n">
        <v>0</v>
      </c>
      <c r="U64" t="n">
        <v>-1</v>
      </c>
      <c r="V64" t="n">
        <v>-2</v>
      </c>
      <c r="W64" t="n">
        <v>-1</v>
      </c>
      <c r="X64" t="n">
        <v>-1</v>
      </c>
      <c r="Y64" t="n">
        <v>1</v>
      </c>
    </row>
    <row r="65">
      <c r="A65" t="n">
        <v>64</v>
      </c>
      <c r="B65" t="inlineStr">
        <is>
          <t>L26</t>
        </is>
      </c>
      <c r="C65" t="n">
        <v>1</v>
      </c>
      <c r="D65" t="n">
        <v>-1</v>
      </c>
      <c r="E65" t="n">
        <v>-2</v>
      </c>
      <c r="F65" t="n">
        <v>1</v>
      </c>
      <c r="G65" t="n">
        <v>1</v>
      </c>
      <c r="H65" t="n">
        <v>-2</v>
      </c>
      <c r="I65" t="n">
        <v>1</v>
      </c>
      <c r="J65" t="n">
        <v>1</v>
      </c>
      <c r="K65" t="n">
        <v>2</v>
      </c>
      <c r="L65" t="n">
        <v>-2</v>
      </c>
      <c r="M65" t="n">
        <v>-3</v>
      </c>
      <c r="N65" t="n">
        <v>1</v>
      </c>
      <c r="O65" t="n">
        <v>3</v>
      </c>
      <c r="P65" t="n">
        <v>-2</v>
      </c>
      <c r="Q65" t="n">
        <v>3</v>
      </c>
      <c r="R65" t="n">
        <v>-2</v>
      </c>
      <c r="S65" t="n">
        <v>-3</v>
      </c>
      <c r="T65" t="n">
        <v>2</v>
      </c>
      <c r="U65" t="n">
        <v>-3</v>
      </c>
      <c r="V65" t="n">
        <v>-3</v>
      </c>
      <c r="W65" t="n">
        <v>-2</v>
      </c>
      <c r="X65" t="n">
        <v>-3</v>
      </c>
      <c r="Y65" t="n">
        <v>-1</v>
      </c>
    </row>
    <row r="66">
      <c r="A66" t="n">
        <v>65</v>
      </c>
      <c r="B66" t="inlineStr">
        <is>
          <t>G25</t>
        </is>
      </c>
      <c r="C66" t="n">
        <v>0</v>
      </c>
      <c r="D66" t="n">
        <v>-1</v>
      </c>
      <c r="E66" t="n">
        <v>1</v>
      </c>
      <c r="F66" t="n">
        <v>0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  <c r="L66" t="n">
        <v>-1</v>
      </c>
      <c r="M66" t="n">
        <v>-1</v>
      </c>
      <c r="N66" t="n">
        <v>0</v>
      </c>
      <c r="O66" t="n">
        <v>2</v>
      </c>
      <c r="P66" t="n">
        <v>0</v>
      </c>
      <c r="Q66" t="n">
        <v>2</v>
      </c>
      <c r="R66" t="n">
        <v>-1</v>
      </c>
      <c r="S66" t="n">
        <v>1</v>
      </c>
      <c r="T66" t="n">
        <v>2</v>
      </c>
      <c r="U66" t="n">
        <v>0</v>
      </c>
      <c r="V66" t="n">
        <v>-1</v>
      </c>
      <c r="W66" t="n">
        <v>0</v>
      </c>
      <c r="X66" t="n">
        <v>2</v>
      </c>
      <c r="Y66" t="n">
        <v>-1</v>
      </c>
    </row>
    <row r="67">
      <c r="A67" t="n">
        <v>66</v>
      </c>
      <c r="B67" t="inlineStr">
        <is>
          <t>L12</t>
        </is>
      </c>
      <c r="C67" t="n">
        <v>3</v>
      </c>
      <c r="D67" t="n">
        <v>2</v>
      </c>
      <c r="E67" t="n">
        <v>3</v>
      </c>
      <c r="F67" t="n">
        <v>2</v>
      </c>
      <c r="G67" t="n">
        <v>2</v>
      </c>
      <c r="H67" t="n">
        <v>2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3</v>
      </c>
      <c r="P67" t="n">
        <v>0</v>
      </c>
      <c r="Q67" t="n">
        <v>3</v>
      </c>
      <c r="R67" t="n">
        <v>3</v>
      </c>
      <c r="S67" t="n">
        <v>-2</v>
      </c>
      <c r="T67" t="n">
        <v>3</v>
      </c>
      <c r="U67" t="n">
        <v>2</v>
      </c>
      <c r="V67" t="n">
        <v>-3</v>
      </c>
      <c r="W67" t="n">
        <v>3</v>
      </c>
      <c r="X67" t="n">
        <v>2</v>
      </c>
      <c r="Y67" t="n">
        <v>3</v>
      </c>
    </row>
    <row r="68">
      <c r="A68" t="n">
        <v>67</v>
      </c>
      <c r="B68" t="inlineStr">
        <is>
          <t>G03</t>
        </is>
      </c>
      <c r="C68" t="n">
        <v>1</v>
      </c>
      <c r="D68" t="n">
        <v>-1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3</v>
      </c>
      <c r="K68" t="n">
        <v>1</v>
      </c>
      <c r="L68" t="n">
        <v>0</v>
      </c>
      <c r="M68" t="n">
        <v>-3</v>
      </c>
      <c r="N68" t="n">
        <v>1</v>
      </c>
      <c r="O68" t="n">
        <v>1</v>
      </c>
      <c r="P68" t="n">
        <v>0</v>
      </c>
      <c r="Q68" t="n">
        <v>0</v>
      </c>
      <c r="R68" t="n">
        <v>-2</v>
      </c>
      <c r="S68" t="n">
        <v>-2</v>
      </c>
      <c r="T68" t="n">
        <v>-1</v>
      </c>
      <c r="U68" t="n">
        <v>-2</v>
      </c>
      <c r="V68" t="n">
        <v>-3</v>
      </c>
      <c r="W68" t="n">
        <v>-1</v>
      </c>
      <c r="X68" t="n">
        <v>-2</v>
      </c>
      <c r="Y68" t="n">
        <v>0</v>
      </c>
    </row>
    <row r="69">
      <c r="A69" t="n">
        <v>68</v>
      </c>
      <c r="B69" t="inlineStr">
        <is>
          <t>L30</t>
        </is>
      </c>
      <c r="C69" t="n">
        <v>-3</v>
      </c>
      <c r="D69" t="n">
        <v>-3</v>
      </c>
      <c r="E69" t="n">
        <v>3</v>
      </c>
      <c r="F69" t="n">
        <v>-2</v>
      </c>
      <c r="G69" t="n">
        <v>-3</v>
      </c>
      <c r="H69" t="n">
        <v>0</v>
      </c>
      <c r="I69" t="n">
        <v>-3</v>
      </c>
      <c r="J69" t="n">
        <v>-3</v>
      </c>
      <c r="K69" t="n">
        <v>-3</v>
      </c>
      <c r="L69" t="n">
        <v>-3</v>
      </c>
      <c r="M69" t="n">
        <v>-3</v>
      </c>
      <c r="N69" t="n">
        <v>-1</v>
      </c>
      <c r="O69" t="n">
        <v>0</v>
      </c>
      <c r="P69" t="n">
        <v>-2</v>
      </c>
      <c r="Q69" t="n">
        <v>-3</v>
      </c>
      <c r="R69" t="n">
        <v>0</v>
      </c>
      <c r="S69" t="n">
        <v>-2</v>
      </c>
      <c r="T69" t="n">
        <v>0</v>
      </c>
      <c r="U69" t="n">
        <v>-2</v>
      </c>
      <c r="V69" t="n">
        <v>-2</v>
      </c>
      <c r="W69" t="n">
        <v>-3</v>
      </c>
      <c r="X69" t="n">
        <v>0</v>
      </c>
      <c r="Y69" t="n">
        <v>-3</v>
      </c>
    </row>
    <row r="70">
      <c r="A70" t="n">
        <v>69</v>
      </c>
      <c r="B70" t="inlineStr">
        <is>
          <t>A12</t>
        </is>
      </c>
      <c r="C70" t="n">
        <v>3</v>
      </c>
      <c r="D70" t="n">
        <v>0</v>
      </c>
      <c r="E70" t="n">
        <v>3</v>
      </c>
      <c r="F70" t="n">
        <v>2</v>
      </c>
      <c r="G70" t="n">
        <v>1</v>
      </c>
      <c r="H70" t="n">
        <v>2</v>
      </c>
      <c r="I70" t="n">
        <v>3</v>
      </c>
      <c r="J70" t="n">
        <v>3</v>
      </c>
      <c r="K70" t="n">
        <v>3</v>
      </c>
      <c r="L70" t="n">
        <v>2</v>
      </c>
      <c r="M70" t="n">
        <v>0</v>
      </c>
      <c r="N70" t="n">
        <v>2</v>
      </c>
      <c r="O70" t="n">
        <v>3</v>
      </c>
      <c r="P70" t="n">
        <v>1</v>
      </c>
      <c r="Q70" t="n">
        <v>3</v>
      </c>
      <c r="R70" t="n">
        <v>1</v>
      </c>
      <c r="S70" t="n">
        <v>2</v>
      </c>
      <c r="T70" t="n">
        <v>3</v>
      </c>
      <c r="U70" t="n">
        <v>1</v>
      </c>
      <c r="V70" t="n">
        <v>-2</v>
      </c>
      <c r="W70" t="n">
        <v>1</v>
      </c>
      <c r="X70" t="n">
        <v>2</v>
      </c>
      <c r="Y70" t="n">
        <v>2</v>
      </c>
    </row>
    <row r="71">
      <c r="A71" t="n">
        <v>70</v>
      </c>
      <c r="B71" t="inlineStr">
        <is>
          <t>L23</t>
        </is>
      </c>
      <c r="C71" t="n">
        <v>1</v>
      </c>
      <c r="D71" t="n">
        <v>-1</v>
      </c>
      <c r="E71" t="n">
        <v>-2</v>
      </c>
      <c r="F71" t="n">
        <v>1</v>
      </c>
      <c r="G71" t="n">
        <v>1</v>
      </c>
      <c r="H71" t="n">
        <v>-2</v>
      </c>
      <c r="I71" t="n">
        <v>1</v>
      </c>
      <c r="J71" t="n">
        <v>1</v>
      </c>
      <c r="K71" t="n">
        <v>2</v>
      </c>
      <c r="L71" t="n">
        <v>-2</v>
      </c>
      <c r="M71" t="n">
        <v>-3</v>
      </c>
      <c r="N71" t="n">
        <v>1</v>
      </c>
      <c r="O71" t="n">
        <v>3</v>
      </c>
      <c r="P71" t="n">
        <v>-2</v>
      </c>
      <c r="Q71" t="n">
        <v>3</v>
      </c>
      <c r="R71" t="n">
        <v>-2</v>
      </c>
      <c r="S71" t="n">
        <v>-3</v>
      </c>
      <c r="T71" t="n">
        <v>2</v>
      </c>
      <c r="U71" t="n">
        <v>-3</v>
      </c>
      <c r="V71" t="n">
        <v>-3</v>
      </c>
      <c r="W71" t="n">
        <v>-2</v>
      </c>
      <c r="X71" t="n">
        <v>-3</v>
      </c>
      <c r="Y71" t="n">
        <v>-1</v>
      </c>
    </row>
    <row r="72">
      <c r="A72" t="n">
        <v>71</v>
      </c>
      <c r="B72" t="inlineStr">
        <is>
          <t>L10</t>
        </is>
      </c>
      <c r="C72" t="n">
        <v>3</v>
      </c>
      <c r="D72" t="n">
        <v>3</v>
      </c>
      <c r="E72" t="n">
        <v>-1</v>
      </c>
      <c r="F72" t="n">
        <v>2</v>
      </c>
      <c r="G72" t="n">
        <v>2</v>
      </c>
      <c r="H72" t="n">
        <v>0</v>
      </c>
      <c r="I72" t="n">
        <v>3</v>
      </c>
      <c r="J72" t="n">
        <v>3</v>
      </c>
      <c r="K72" t="n">
        <v>3</v>
      </c>
      <c r="L72" t="n">
        <v>0</v>
      </c>
      <c r="M72" t="n">
        <v>2</v>
      </c>
      <c r="N72" t="n">
        <v>2</v>
      </c>
      <c r="O72" t="n">
        <v>-1</v>
      </c>
      <c r="P72" t="n">
        <v>2</v>
      </c>
      <c r="Q72" t="n">
        <v>3</v>
      </c>
      <c r="R72" t="n">
        <v>-2</v>
      </c>
      <c r="S72" t="n">
        <v>1</v>
      </c>
      <c r="T72" t="n">
        <v>2</v>
      </c>
      <c r="U72" t="n">
        <v>-1</v>
      </c>
      <c r="V72" t="n">
        <v>1</v>
      </c>
      <c r="W72" t="n">
        <v>2</v>
      </c>
      <c r="X72" t="n">
        <v>-1</v>
      </c>
      <c r="Y72" t="n">
        <v>1</v>
      </c>
    </row>
    <row r="73">
      <c r="A73" t="n">
        <v>72</v>
      </c>
      <c r="B73" t="inlineStr">
        <is>
          <t>L13</t>
        </is>
      </c>
      <c r="C73" t="n">
        <v>0</v>
      </c>
      <c r="D73" t="n">
        <v>-2</v>
      </c>
      <c r="E73" t="n">
        <v>1</v>
      </c>
      <c r="F73" t="n">
        <v>-1</v>
      </c>
      <c r="G73" t="n">
        <v>-1</v>
      </c>
      <c r="H73" t="n">
        <v>1</v>
      </c>
      <c r="I73" t="n">
        <v>1</v>
      </c>
      <c r="J73" t="n">
        <v>1</v>
      </c>
      <c r="K73" t="n">
        <v>0</v>
      </c>
      <c r="L73" t="n">
        <v>3</v>
      </c>
      <c r="M73" t="n">
        <v>-3</v>
      </c>
      <c r="N73" t="n">
        <v>-2</v>
      </c>
      <c r="O73" t="n">
        <v>2</v>
      </c>
      <c r="P73" t="n">
        <v>-1</v>
      </c>
      <c r="Q73" t="n">
        <v>0</v>
      </c>
      <c r="R73" t="n">
        <v>1</v>
      </c>
      <c r="S73" t="n">
        <v>0</v>
      </c>
      <c r="T73" t="n">
        <v>-1</v>
      </c>
      <c r="U73" t="n">
        <v>1</v>
      </c>
      <c r="V73" t="n">
        <v>-1</v>
      </c>
      <c r="W73" t="n">
        <v>0</v>
      </c>
      <c r="X73" t="n">
        <v>1</v>
      </c>
      <c r="Y73" t="n">
        <v>2</v>
      </c>
    </row>
    <row r="74">
      <c r="A74" t="n">
        <v>73</v>
      </c>
      <c r="B74" t="inlineStr">
        <is>
          <t>L22</t>
        </is>
      </c>
      <c r="C74" t="n">
        <v>0</v>
      </c>
      <c r="D74" t="n">
        <v>2</v>
      </c>
      <c r="E74" t="n">
        <v>-1</v>
      </c>
      <c r="F74" t="n">
        <v>0</v>
      </c>
      <c r="G74" t="n">
        <v>3</v>
      </c>
      <c r="H74" t="n">
        <v>-2</v>
      </c>
      <c r="I74" t="n">
        <v>0</v>
      </c>
      <c r="J74" t="n">
        <v>1</v>
      </c>
      <c r="K74" t="n">
        <v>2</v>
      </c>
      <c r="L74" t="n">
        <v>-2</v>
      </c>
      <c r="M74" t="n">
        <v>0</v>
      </c>
      <c r="N74" t="n">
        <v>1</v>
      </c>
      <c r="O74" t="n">
        <v>-2</v>
      </c>
      <c r="P74" t="n">
        <v>-1</v>
      </c>
      <c r="Q74" t="n">
        <v>3</v>
      </c>
      <c r="R74" t="n">
        <v>-3</v>
      </c>
      <c r="S74" t="n">
        <v>3</v>
      </c>
      <c r="T74" t="n">
        <v>1</v>
      </c>
      <c r="U74" t="n">
        <v>-3</v>
      </c>
      <c r="V74" t="n">
        <v>2</v>
      </c>
      <c r="W74" t="n">
        <v>0</v>
      </c>
      <c r="X74" t="n">
        <v>-3</v>
      </c>
      <c r="Y74" t="n">
        <v>0</v>
      </c>
    </row>
    <row r="75">
      <c r="A75" t="n">
        <v>74</v>
      </c>
      <c r="B75" t="inlineStr">
        <is>
          <t>L38</t>
        </is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3</v>
      </c>
      <c r="M75" t="n">
        <v>3</v>
      </c>
      <c r="N75" t="n">
        <v>3</v>
      </c>
      <c r="O75" t="n">
        <v>2</v>
      </c>
      <c r="P75" t="n">
        <v>3</v>
      </c>
      <c r="Q75" t="n">
        <v>2</v>
      </c>
      <c r="R75" t="n">
        <v>3</v>
      </c>
      <c r="S75" t="n">
        <v>3</v>
      </c>
      <c r="T75" t="n">
        <v>2</v>
      </c>
      <c r="U75" t="n">
        <v>3</v>
      </c>
      <c r="V75" t="n">
        <v>3</v>
      </c>
      <c r="W75" t="n">
        <v>3</v>
      </c>
      <c r="X75" t="n">
        <v>3</v>
      </c>
      <c r="Y75" t="n">
        <v>-3</v>
      </c>
    </row>
    <row r="76">
      <c r="A76" t="n">
        <v>75</v>
      </c>
      <c r="B76" t="inlineStr">
        <is>
          <t>A08</t>
        </is>
      </c>
      <c r="C76" t="n">
        <v>-1</v>
      </c>
      <c r="D76" t="n">
        <v>-2</v>
      </c>
      <c r="E76" t="n">
        <v>2</v>
      </c>
      <c r="F76" t="n">
        <v>-2</v>
      </c>
      <c r="G76" t="n">
        <v>2</v>
      </c>
      <c r="H76" t="n">
        <v>-2</v>
      </c>
      <c r="I76" t="n">
        <v>0</v>
      </c>
      <c r="J76" t="n">
        <v>0</v>
      </c>
      <c r="K76" t="n">
        <v>0</v>
      </c>
      <c r="L76" t="n">
        <v>3</v>
      </c>
      <c r="M76" t="n">
        <v>0</v>
      </c>
      <c r="N76" t="n">
        <v>-3</v>
      </c>
      <c r="O76" t="n">
        <v>3</v>
      </c>
      <c r="P76" t="n">
        <v>-3</v>
      </c>
      <c r="Q76" t="n">
        <v>1</v>
      </c>
      <c r="R76" t="n">
        <v>3</v>
      </c>
      <c r="S76" t="n">
        <v>3</v>
      </c>
      <c r="T76" t="n">
        <v>1</v>
      </c>
      <c r="U76" t="n">
        <v>2</v>
      </c>
      <c r="V76" t="n">
        <v>2</v>
      </c>
      <c r="W76" t="n">
        <v>-3</v>
      </c>
      <c r="X76" t="n">
        <v>1</v>
      </c>
      <c r="Y76" t="n">
        <v>2</v>
      </c>
    </row>
    <row r="77">
      <c r="A77" t="n">
        <v>76</v>
      </c>
      <c r="B77" t="inlineStr">
        <is>
          <t>L08</t>
        </is>
      </c>
      <c r="C77" t="n">
        <v>1</v>
      </c>
      <c r="D77" t="n">
        <v>0</v>
      </c>
      <c r="E77" t="n">
        <v>0</v>
      </c>
      <c r="F77" t="n">
        <v>2</v>
      </c>
      <c r="G77" t="n">
        <v>2</v>
      </c>
      <c r="H77" t="n">
        <v>-2</v>
      </c>
      <c r="I77" t="n">
        <v>1</v>
      </c>
      <c r="J77" t="n">
        <v>-1</v>
      </c>
      <c r="K77" t="n">
        <v>0</v>
      </c>
      <c r="L77" t="n">
        <v>0</v>
      </c>
      <c r="M77" t="n">
        <v>0</v>
      </c>
      <c r="N77" t="n">
        <v>-2</v>
      </c>
      <c r="O77" t="n">
        <v>0</v>
      </c>
      <c r="P77" t="n">
        <v>0</v>
      </c>
      <c r="Q77" t="n">
        <v>2</v>
      </c>
      <c r="R77" t="n">
        <v>-1</v>
      </c>
      <c r="S77" t="n">
        <v>2</v>
      </c>
      <c r="T77" t="n">
        <v>1</v>
      </c>
      <c r="U77" t="n">
        <v>0</v>
      </c>
      <c r="V77" t="n">
        <v>2</v>
      </c>
      <c r="W77" t="n">
        <v>-1</v>
      </c>
      <c r="X77" t="n">
        <v>2</v>
      </c>
      <c r="Y77" t="n">
        <v>-1</v>
      </c>
    </row>
    <row r="78">
      <c r="A78" t="n">
        <v>77</v>
      </c>
      <c r="B78" t="inlineStr">
        <is>
          <t>L17</t>
        </is>
      </c>
      <c r="C78" t="n">
        <v>-2</v>
      </c>
      <c r="D78" t="n">
        <v>0</v>
      </c>
      <c r="E78" t="n">
        <v>-3</v>
      </c>
      <c r="F78" t="n">
        <v>0</v>
      </c>
      <c r="G78" t="n">
        <v>2</v>
      </c>
      <c r="H78" t="n">
        <v>-2</v>
      </c>
      <c r="I78" t="n">
        <v>-2</v>
      </c>
      <c r="J78" t="n">
        <v>-1</v>
      </c>
      <c r="K78" t="n">
        <v>1</v>
      </c>
      <c r="L78" t="n">
        <v>-2</v>
      </c>
      <c r="M78" t="n">
        <v>-2</v>
      </c>
      <c r="N78" t="n">
        <v>-2</v>
      </c>
      <c r="O78" t="n">
        <v>-3</v>
      </c>
      <c r="P78" t="n">
        <v>-2</v>
      </c>
      <c r="Q78" t="n">
        <v>2</v>
      </c>
      <c r="R78" t="n">
        <v>-3</v>
      </c>
      <c r="S78" t="n">
        <v>-1</v>
      </c>
      <c r="T78" t="n">
        <v>-2</v>
      </c>
      <c r="U78" t="n">
        <v>-3</v>
      </c>
      <c r="V78" t="n">
        <v>-2</v>
      </c>
      <c r="W78" t="n">
        <v>0</v>
      </c>
      <c r="X78" t="n">
        <v>-3</v>
      </c>
      <c r="Y78" t="n">
        <v>-1</v>
      </c>
    </row>
    <row r="79">
      <c r="A79" t="n">
        <v>78</v>
      </c>
      <c r="B79" t="inlineStr">
        <is>
          <t>L20</t>
        </is>
      </c>
      <c r="C79" t="n">
        <v>0</v>
      </c>
      <c r="D79" t="n">
        <v>-2</v>
      </c>
      <c r="E79" t="n">
        <v>1</v>
      </c>
      <c r="F79" t="n">
        <v>-2</v>
      </c>
      <c r="G79" t="n">
        <v>-2</v>
      </c>
      <c r="H79" t="n">
        <v>0</v>
      </c>
      <c r="I79" t="n">
        <v>0</v>
      </c>
      <c r="J79" t="n">
        <v>-1</v>
      </c>
      <c r="K79" t="n">
        <v>0</v>
      </c>
      <c r="L79" t="n">
        <v>2</v>
      </c>
      <c r="M79" t="n">
        <v>1</v>
      </c>
      <c r="N79" t="n">
        <v>-2</v>
      </c>
      <c r="O79" t="n">
        <v>3</v>
      </c>
      <c r="P79" t="n">
        <v>1</v>
      </c>
      <c r="Q79" t="n">
        <v>-3</v>
      </c>
      <c r="R79" t="n">
        <v>3</v>
      </c>
      <c r="S79" t="n">
        <v>-2</v>
      </c>
      <c r="T79" t="n">
        <v>-3</v>
      </c>
      <c r="U79" t="n">
        <v>3</v>
      </c>
      <c r="V79" t="n">
        <v>1</v>
      </c>
      <c r="W79" t="n">
        <v>0</v>
      </c>
      <c r="X79" t="n">
        <v>2</v>
      </c>
      <c r="Y79" t="n">
        <v>0</v>
      </c>
    </row>
    <row r="80">
      <c r="A80" t="n">
        <v>79</v>
      </c>
      <c r="B80" t="inlineStr">
        <is>
          <t>L09</t>
        </is>
      </c>
      <c r="C80" t="n">
        <v>2</v>
      </c>
      <c r="D80" t="n">
        <v>2</v>
      </c>
      <c r="E80" t="n">
        <v>3</v>
      </c>
      <c r="F80" t="n">
        <v>-2</v>
      </c>
      <c r="G80" t="n">
        <v>1</v>
      </c>
      <c r="H80" t="n">
        <v>1</v>
      </c>
      <c r="I80" t="n">
        <v>3</v>
      </c>
      <c r="J80" t="n">
        <v>2</v>
      </c>
      <c r="K80" t="n">
        <v>2</v>
      </c>
      <c r="L80" t="n">
        <v>3</v>
      </c>
      <c r="M80" t="n">
        <v>3</v>
      </c>
      <c r="N80" t="n">
        <v>-2</v>
      </c>
      <c r="O80" t="n">
        <v>0</v>
      </c>
      <c r="P80" t="n">
        <v>-2</v>
      </c>
      <c r="Q80" t="n">
        <v>0</v>
      </c>
      <c r="R80" t="n">
        <v>3</v>
      </c>
      <c r="S80" t="n">
        <v>3</v>
      </c>
      <c r="T80" t="n">
        <v>0</v>
      </c>
      <c r="U80" t="n">
        <v>1</v>
      </c>
      <c r="V80" t="n">
        <v>3</v>
      </c>
      <c r="W80" t="n">
        <v>1</v>
      </c>
      <c r="X80" t="n">
        <v>1</v>
      </c>
      <c r="Y80" t="n">
        <v>3</v>
      </c>
    </row>
    <row r="81">
      <c r="A81" t="n">
        <v>80</v>
      </c>
      <c r="B81" t="inlineStr">
        <is>
          <t>A06</t>
        </is>
      </c>
      <c r="C81" t="n">
        <v>-3</v>
      </c>
      <c r="D81" t="n">
        <v>2</v>
      </c>
      <c r="E81" t="n">
        <v>0</v>
      </c>
      <c r="F81" t="n">
        <v>0</v>
      </c>
      <c r="G81" t="n">
        <v>2</v>
      </c>
      <c r="H81" t="n">
        <v>2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2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n">
        <v>1</v>
      </c>
      <c r="B2" t="n">
        <v>1</v>
      </c>
      <c r="C2" t="n">
        <v>0.2585059104910606</v>
      </c>
      <c r="D2" t="n">
        <v>0.2893746986554481</v>
      </c>
      <c r="E2" t="n">
        <v>0.441732271415214</v>
      </c>
      <c r="F2" t="n">
        <v>0.1225531814321375</v>
      </c>
      <c r="G2" t="n">
        <v>0.03262310209485538</v>
      </c>
      <c r="H2" t="n">
        <v>0.6423181891352184</v>
      </c>
      <c r="I2" t="n">
        <v>0.6257783837274524</v>
      </c>
      <c r="J2" t="n">
        <v>0.7368379751745163</v>
      </c>
      <c r="K2" t="n">
        <v>0.3649217172591653</v>
      </c>
      <c r="L2" t="n">
        <v>0.2729670385535386</v>
      </c>
      <c r="M2" t="n">
        <v>0.1548338236010409</v>
      </c>
      <c r="N2" t="n">
        <v>0.08826934793812211</v>
      </c>
      <c r="O2" t="n">
        <v>0.1975840124695978</v>
      </c>
      <c r="P2" t="n">
        <v>0.3352042769165117</v>
      </c>
      <c r="Q2" t="n">
        <v>-0.06801044736253628</v>
      </c>
      <c r="R2" t="n">
        <v>0.0262247043254293</v>
      </c>
      <c r="S2" t="n">
        <v>0.2615150227719014</v>
      </c>
      <c r="T2" t="n">
        <v>-0.136352280086831</v>
      </c>
      <c r="U2" t="n">
        <v>-0.1049932232568442</v>
      </c>
      <c r="V2" t="n">
        <v>0.5228710258611315</v>
      </c>
      <c r="W2" t="n">
        <v>0.06214164914339546</v>
      </c>
      <c r="X2" t="n">
        <v>0.3315032501730487</v>
      </c>
    </row>
    <row r="3">
      <c r="A3" t="n">
        <v>2</v>
      </c>
      <c r="B3" t="n">
        <v>0.2585059104910606</v>
      </c>
      <c r="C3" t="n">
        <v>1</v>
      </c>
      <c r="D3" t="n">
        <v>-0.09946168661747157</v>
      </c>
      <c r="E3" t="n">
        <v>0.680564527019128</v>
      </c>
      <c r="F3" t="n">
        <v>0.6771170901994976</v>
      </c>
      <c r="G3" t="n">
        <v>0.1614790781903599</v>
      </c>
      <c r="H3" t="n">
        <v>0.1751923587218946</v>
      </c>
      <c r="I3" t="n">
        <v>0.5287721079534742</v>
      </c>
      <c r="J3" t="n">
        <v>0.399247306131194</v>
      </c>
      <c r="K3" t="n">
        <v>-0.06594116624205677</v>
      </c>
      <c r="L3" t="n">
        <v>0.3308431680745395</v>
      </c>
      <c r="M3" t="n">
        <v>0.6692864721479019</v>
      </c>
      <c r="N3" t="n">
        <v>-0.06764678471863372</v>
      </c>
      <c r="O3" t="n">
        <v>0.4563259736748805</v>
      </c>
      <c r="P3" t="n">
        <v>0.4418160703662702</v>
      </c>
      <c r="Q3" t="n">
        <v>-0.157040480019207</v>
      </c>
      <c r="R3" t="n">
        <v>0.1967884437608029</v>
      </c>
      <c r="S3" t="n">
        <v>0.3688640511009288</v>
      </c>
      <c r="T3" t="n">
        <v>0.02419134239898849</v>
      </c>
      <c r="U3" t="n">
        <v>0.1270365302950884</v>
      </c>
      <c r="V3" t="n">
        <v>0.5305881966411253</v>
      </c>
      <c r="W3" t="n">
        <v>-0.02372599301531521</v>
      </c>
      <c r="X3" t="n">
        <v>0.02132664846849463</v>
      </c>
    </row>
    <row r="4">
      <c r="A4" t="n">
        <v>3</v>
      </c>
      <c r="B4" t="n">
        <v>0.2893746986554482</v>
      </c>
      <c r="C4" t="n">
        <v>-0.09946168661747155</v>
      </c>
      <c r="D4" t="n">
        <v>0.9999999999999998</v>
      </c>
      <c r="E4" t="n">
        <v>-0.2481081488848328</v>
      </c>
      <c r="F4" t="n">
        <v>-0.1097559489504748</v>
      </c>
      <c r="G4" t="n">
        <v>0.4379078353319741</v>
      </c>
      <c r="H4" t="n">
        <v>0.2053694404265212</v>
      </c>
      <c r="I4" t="n">
        <v>0.221096188935688</v>
      </c>
      <c r="J4" t="n">
        <v>0.1287498582500078</v>
      </c>
      <c r="K4" t="n">
        <v>0.7441903476524482</v>
      </c>
      <c r="L4" t="n">
        <v>0.4676445649941249</v>
      </c>
      <c r="M4" t="n">
        <v>-0.1517636630530478</v>
      </c>
      <c r="N4" t="n">
        <v>0.5457763879930541</v>
      </c>
      <c r="O4" t="n">
        <v>-0.01543650912407649</v>
      </c>
      <c r="P4" t="n">
        <v>-0.0897472549466351</v>
      </c>
      <c r="Q4" t="n">
        <v>0.6996676204950346</v>
      </c>
      <c r="R4" t="n">
        <v>0.5076310729725602</v>
      </c>
      <c r="S4" t="n">
        <v>0.2601708688996721</v>
      </c>
      <c r="T4" t="n">
        <v>0.4697704234743597</v>
      </c>
      <c r="U4" t="n">
        <v>0.4217567634675271</v>
      </c>
      <c r="V4" t="n">
        <v>0.215510234251111</v>
      </c>
      <c r="W4" t="n">
        <v>0.6899725256398517</v>
      </c>
      <c r="X4" t="n">
        <v>0.5993217388309718</v>
      </c>
    </row>
    <row r="5">
      <c r="A5" t="n">
        <v>4</v>
      </c>
      <c r="B5" t="n">
        <v>0.441732271415214</v>
      </c>
      <c r="C5" t="n">
        <v>0.680564527019128</v>
      </c>
      <c r="D5" t="n">
        <v>-0.2481081488848328</v>
      </c>
      <c r="E5" t="n">
        <v>0.9999999999999997</v>
      </c>
      <c r="F5" t="n">
        <v>0.5128952651358876</v>
      </c>
      <c r="G5" t="n">
        <v>0.0791463831347126</v>
      </c>
      <c r="H5" t="n">
        <v>0.1687191471010299</v>
      </c>
      <c r="I5" t="n">
        <v>0.4198894802665968</v>
      </c>
      <c r="J5" t="n">
        <v>0.3749697703512342</v>
      </c>
      <c r="K5" t="n">
        <v>-0.2915350718324359</v>
      </c>
      <c r="L5" t="n">
        <v>-0.07387668778970427</v>
      </c>
      <c r="M5" t="n">
        <v>0.7699460452660671</v>
      </c>
      <c r="N5" t="n">
        <v>-0.0313434496242329</v>
      </c>
      <c r="O5" t="n">
        <v>0.5199398625313136</v>
      </c>
      <c r="P5" t="n">
        <v>0.5194766837190481</v>
      </c>
      <c r="Q5" t="n">
        <v>-0.3956023186993071</v>
      </c>
      <c r="R5" t="n">
        <v>-0.1176689880329505</v>
      </c>
      <c r="S5" t="n">
        <v>0.4494487858988607</v>
      </c>
      <c r="T5" t="n">
        <v>-0.1342747699190854</v>
      </c>
      <c r="U5" t="n">
        <v>-0.2919750411687855</v>
      </c>
      <c r="V5" t="n">
        <v>0.3262099523788901</v>
      </c>
      <c r="W5" t="n">
        <v>-0.07083587938374179</v>
      </c>
      <c r="X5" t="n">
        <v>-0.2499128078531432</v>
      </c>
    </row>
    <row r="6">
      <c r="A6" t="n">
        <v>5</v>
      </c>
      <c r="B6" t="n">
        <v>0.1225531814321375</v>
      </c>
      <c r="C6" t="n">
        <v>0.6771170901994976</v>
      </c>
      <c r="D6" t="n">
        <v>-0.1097559489504748</v>
      </c>
      <c r="E6" t="n">
        <v>0.5128952651358876</v>
      </c>
      <c r="F6" t="n">
        <v>0.9999999999999997</v>
      </c>
      <c r="G6" t="n">
        <v>-0.1690883399870139</v>
      </c>
      <c r="H6" t="n">
        <v>0.1035242122889022</v>
      </c>
      <c r="I6" t="n">
        <v>0.395090882891096</v>
      </c>
      <c r="J6" t="n">
        <v>0.4096414368309236</v>
      </c>
      <c r="K6" t="n">
        <v>0.0004668467152372347</v>
      </c>
      <c r="L6" t="n">
        <v>0.1580482815763404</v>
      </c>
      <c r="M6" t="n">
        <v>0.3432532075953886</v>
      </c>
      <c r="N6" t="n">
        <v>0.1658743272017097</v>
      </c>
      <c r="O6" t="n">
        <v>-0.04146569420427897</v>
      </c>
      <c r="P6" t="n">
        <v>0.7557348684023867</v>
      </c>
      <c r="Q6" t="n">
        <v>-0.07145104904494577</v>
      </c>
      <c r="R6" t="n">
        <v>0.4104977787706178</v>
      </c>
      <c r="S6" t="n">
        <v>0.5043316893969798</v>
      </c>
      <c r="T6" t="n">
        <v>-0.1082394210504618</v>
      </c>
      <c r="U6" t="n">
        <v>0.2021864274322257</v>
      </c>
      <c r="V6" t="n">
        <v>0.1213900915490842</v>
      </c>
      <c r="W6" t="n">
        <v>-0.08847186436321104</v>
      </c>
      <c r="X6" t="n">
        <v>0.118574005992449</v>
      </c>
    </row>
    <row r="7">
      <c r="A7" t="n">
        <v>6</v>
      </c>
      <c r="B7" t="n">
        <v>0.03262310209485537</v>
      </c>
      <c r="C7" t="n">
        <v>0.1614790781903599</v>
      </c>
      <c r="D7" t="n">
        <v>0.4379078353319741</v>
      </c>
      <c r="E7" t="n">
        <v>0.0791463831347126</v>
      </c>
      <c r="F7" t="n">
        <v>-0.1690883399870139</v>
      </c>
      <c r="G7" t="n">
        <v>1</v>
      </c>
      <c r="H7" t="n">
        <v>0.01208629627850136</v>
      </c>
      <c r="I7" t="n">
        <v>0.1119688885576851</v>
      </c>
      <c r="J7" t="n">
        <v>-0.1724165281091235</v>
      </c>
      <c r="K7" t="n">
        <v>0.362852130394593</v>
      </c>
      <c r="L7" t="n">
        <v>0.368699768509425</v>
      </c>
      <c r="M7" t="n">
        <v>0.3854555938686558</v>
      </c>
      <c r="N7" t="n">
        <v>0.3897655420437011</v>
      </c>
      <c r="O7" t="n">
        <v>0.5594471748664909</v>
      </c>
      <c r="P7" t="n">
        <v>-0.2347563230688929</v>
      </c>
      <c r="Q7" t="n">
        <v>0.5220262368210384</v>
      </c>
      <c r="R7" t="n">
        <v>0.09572499501931435</v>
      </c>
      <c r="S7" t="n">
        <v>0.1700174428342756</v>
      </c>
      <c r="T7" t="n">
        <v>0.6958488932535529</v>
      </c>
      <c r="U7" t="n">
        <v>0.1625972103605928</v>
      </c>
      <c r="V7" t="n">
        <v>0.4023089883955145</v>
      </c>
      <c r="W7" t="n">
        <v>0.5713458709678859</v>
      </c>
      <c r="X7" t="n">
        <v>0.1599565666067852</v>
      </c>
    </row>
    <row r="8">
      <c r="A8" t="n">
        <v>7</v>
      </c>
      <c r="B8" t="n">
        <v>0.6423181891352184</v>
      </c>
      <c r="C8" t="n">
        <v>0.1751923587218946</v>
      </c>
      <c r="D8" t="n">
        <v>0.2053694404265212</v>
      </c>
      <c r="E8" t="n">
        <v>0.1687191471010299</v>
      </c>
      <c r="F8" t="n">
        <v>0.1035242122889022</v>
      </c>
      <c r="G8" t="n">
        <v>0.01208629627850135</v>
      </c>
      <c r="H8" t="n">
        <v>1</v>
      </c>
      <c r="I8" t="n">
        <v>0.5453886630600056</v>
      </c>
      <c r="J8" t="n">
        <v>0.6068621676098944</v>
      </c>
      <c r="K8" t="n">
        <v>0.3455044641336834</v>
      </c>
      <c r="L8" t="n">
        <v>0.2444888450656721</v>
      </c>
      <c r="M8" t="n">
        <v>-0.06281942356766299</v>
      </c>
      <c r="N8" t="n">
        <v>0.09151882800266638</v>
      </c>
      <c r="O8" t="n">
        <v>0.06744659762881895</v>
      </c>
      <c r="P8" t="n">
        <v>0.2797196545509522</v>
      </c>
      <c r="Q8" t="n">
        <v>-0.03853274254771001</v>
      </c>
      <c r="R8" t="n">
        <v>0.02656702336113794</v>
      </c>
      <c r="S8" t="n">
        <v>0.1613441598541409</v>
      </c>
      <c r="T8" t="n">
        <v>-0.04737670354461492</v>
      </c>
      <c r="U8" t="n">
        <v>-0.1010077913410754</v>
      </c>
      <c r="V8" t="n">
        <v>0.3827149687398068</v>
      </c>
      <c r="W8" t="n">
        <v>0.004439562437819023</v>
      </c>
      <c r="X8" t="n">
        <v>0.1290408394502522</v>
      </c>
    </row>
    <row r="9">
      <c r="A9" t="n">
        <v>8</v>
      </c>
      <c r="B9" t="n">
        <v>0.6257783837274524</v>
      </c>
      <c r="C9" t="n">
        <v>0.5287721079534742</v>
      </c>
      <c r="D9" t="n">
        <v>0.221096188935688</v>
      </c>
      <c r="E9" t="n">
        <v>0.4198894802665968</v>
      </c>
      <c r="F9" t="n">
        <v>0.3950908828910959</v>
      </c>
      <c r="G9" t="n">
        <v>0.1119688885576851</v>
      </c>
      <c r="H9" t="n">
        <v>0.5453886630600054</v>
      </c>
      <c r="I9" t="n">
        <v>1</v>
      </c>
      <c r="J9" t="n">
        <v>0.7564203993891202</v>
      </c>
      <c r="K9" t="n">
        <v>0.358581898351454</v>
      </c>
      <c r="L9" t="n">
        <v>0.1831019614632901</v>
      </c>
      <c r="M9" t="n">
        <v>0.3641023139062298</v>
      </c>
      <c r="N9" t="n">
        <v>0.205875717409393</v>
      </c>
      <c r="O9" t="n">
        <v>0.2400610516952237</v>
      </c>
      <c r="P9" t="n">
        <v>0.3674010624835889</v>
      </c>
      <c r="Q9" t="n">
        <v>-0.09075519255552952</v>
      </c>
      <c r="R9" t="n">
        <v>0.0651882623423392</v>
      </c>
      <c r="S9" t="n">
        <v>0.2057586416638749</v>
      </c>
      <c r="T9" t="n">
        <v>-0.0392090845484022</v>
      </c>
      <c r="U9" t="n">
        <v>-0.15642591266642</v>
      </c>
      <c r="V9" t="n">
        <v>0.571085528133833</v>
      </c>
      <c r="W9" t="n">
        <v>-0.07468589866602597</v>
      </c>
      <c r="X9" t="n">
        <v>0.3890425401877814</v>
      </c>
    </row>
    <row r="10">
      <c r="A10" t="n">
        <v>9</v>
      </c>
      <c r="B10" t="n">
        <v>0.7368379751745163</v>
      </c>
      <c r="C10" t="n">
        <v>0.399247306131194</v>
      </c>
      <c r="D10" t="n">
        <v>0.1287498582500078</v>
      </c>
      <c r="E10" t="n">
        <v>0.3749697703512341</v>
      </c>
      <c r="F10" t="n">
        <v>0.4096414368309236</v>
      </c>
      <c r="G10" t="n">
        <v>-0.1724165281091235</v>
      </c>
      <c r="H10" t="n">
        <v>0.6068621676098944</v>
      </c>
      <c r="I10" t="n">
        <v>0.7564203993891202</v>
      </c>
      <c r="J10" t="n">
        <v>1</v>
      </c>
      <c r="K10" t="n">
        <v>0.3003165107537022</v>
      </c>
      <c r="L10" t="n">
        <v>0.2780574688169922</v>
      </c>
      <c r="M10" t="n">
        <v>0.1164736739355456</v>
      </c>
      <c r="N10" t="n">
        <v>0.07601737998566495</v>
      </c>
      <c r="O10" t="n">
        <v>0.03384721435032098</v>
      </c>
      <c r="P10" t="n">
        <v>0.5887322842735431</v>
      </c>
      <c r="Q10" t="n">
        <v>-0.09580243960262644</v>
      </c>
      <c r="R10" t="n">
        <v>0.07120151749263168</v>
      </c>
      <c r="S10" t="n">
        <v>0.2428607405082537</v>
      </c>
      <c r="T10" t="n">
        <v>-0.2492151474736148</v>
      </c>
      <c r="U10" t="n">
        <v>-0.1570045656692635</v>
      </c>
      <c r="V10" t="n">
        <v>0.4589336673193181</v>
      </c>
      <c r="W10" t="n">
        <v>-0.1450863309694831</v>
      </c>
      <c r="X10" t="n">
        <v>0.3946705957625448</v>
      </c>
    </row>
    <row r="11">
      <c r="A11" t="n">
        <v>10</v>
      </c>
      <c r="B11" t="n">
        <v>0.3649217172591653</v>
      </c>
      <c r="C11" t="n">
        <v>-0.06594116624205676</v>
      </c>
      <c r="D11" t="n">
        <v>0.7441903476524482</v>
      </c>
      <c r="E11" t="n">
        <v>-0.2915350718324359</v>
      </c>
      <c r="F11" t="n">
        <v>0.0004668467152372347</v>
      </c>
      <c r="G11" t="n">
        <v>0.362852130394593</v>
      </c>
      <c r="H11" t="n">
        <v>0.3455044641336834</v>
      </c>
      <c r="I11" t="n">
        <v>0.358581898351454</v>
      </c>
      <c r="J11" t="n">
        <v>0.3003165107537022</v>
      </c>
      <c r="K11" t="n">
        <v>1</v>
      </c>
      <c r="L11" t="n">
        <v>0.5925334859388895</v>
      </c>
      <c r="M11" t="n">
        <v>-0.3458659904640006</v>
      </c>
      <c r="N11" t="n">
        <v>0.4900631797068498</v>
      </c>
      <c r="O11" t="n">
        <v>0.01298284823145467</v>
      </c>
      <c r="P11" t="n">
        <v>-0.09899606923250098</v>
      </c>
      <c r="Q11" t="n">
        <v>0.7380358385472814</v>
      </c>
      <c r="R11" t="n">
        <v>0.4455397565693419</v>
      </c>
      <c r="S11" t="n">
        <v>-0.04883676120508429</v>
      </c>
      <c r="T11" t="n">
        <v>0.546737018280149</v>
      </c>
      <c r="U11" t="n">
        <v>0.4622501067122909</v>
      </c>
      <c r="V11" t="n">
        <v>0.4420215453851924</v>
      </c>
      <c r="W11" t="n">
        <v>0.6102627708040163</v>
      </c>
      <c r="X11" t="n">
        <v>0.7426337534644404</v>
      </c>
    </row>
    <row r="12">
      <c r="A12" t="n">
        <v>11</v>
      </c>
      <c r="B12" t="n">
        <v>0.2729670385535386</v>
      </c>
      <c r="C12" t="n">
        <v>0.3308431680745395</v>
      </c>
      <c r="D12" t="n">
        <v>0.4676445649941248</v>
      </c>
      <c r="E12" t="n">
        <v>-0.07387668778970426</v>
      </c>
      <c r="F12" t="n">
        <v>0.1580482815763405</v>
      </c>
      <c r="G12" t="n">
        <v>0.368699768509425</v>
      </c>
      <c r="H12" t="n">
        <v>0.2444888450656721</v>
      </c>
      <c r="I12" t="n">
        <v>0.1831019614632901</v>
      </c>
      <c r="J12" t="n">
        <v>0.2780574688169922</v>
      </c>
      <c r="K12" t="n">
        <v>0.5925334859388895</v>
      </c>
      <c r="L12" t="n">
        <v>1</v>
      </c>
      <c r="M12" t="n">
        <v>-0.06021996969806136</v>
      </c>
      <c r="N12" t="n">
        <v>0.1477733517221287</v>
      </c>
      <c r="O12" t="n">
        <v>0.2074054037591932</v>
      </c>
      <c r="P12" t="n">
        <v>0.01160510415936191</v>
      </c>
      <c r="Q12" t="n">
        <v>0.602296890378436</v>
      </c>
      <c r="R12" t="n">
        <v>0.379841056916741</v>
      </c>
      <c r="S12" t="n">
        <v>0.1574391230543044</v>
      </c>
      <c r="T12" t="n">
        <v>0.5108818167039321</v>
      </c>
      <c r="U12" t="n">
        <v>0.504335210426437</v>
      </c>
      <c r="V12" t="n">
        <v>0.5218977548895731</v>
      </c>
      <c r="W12" t="n">
        <v>0.4724389624193844</v>
      </c>
      <c r="X12" t="n">
        <v>0.4730752903636561</v>
      </c>
    </row>
    <row r="13">
      <c r="A13" t="n">
        <v>12</v>
      </c>
      <c r="B13" t="n">
        <v>0.154833823601041</v>
      </c>
      <c r="C13" t="n">
        <v>0.6692864721479019</v>
      </c>
      <c r="D13" t="n">
        <v>-0.1517636630530478</v>
      </c>
      <c r="E13" t="n">
        <v>0.7699460452660671</v>
      </c>
      <c r="F13" t="n">
        <v>0.3432532075953886</v>
      </c>
      <c r="G13" t="n">
        <v>0.3854555938686557</v>
      </c>
      <c r="H13" t="n">
        <v>-0.06281942356766294</v>
      </c>
      <c r="I13" t="n">
        <v>0.3641023139062298</v>
      </c>
      <c r="J13" t="n">
        <v>0.1164736739355456</v>
      </c>
      <c r="K13" t="n">
        <v>-0.3458659904640006</v>
      </c>
      <c r="L13" t="n">
        <v>-0.06021996969806135</v>
      </c>
      <c r="M13" t="n">
        <v>0.9999999999999998</v>
      </c>
      <c r="N13" t="n">
        <v>0.108531661757185</v>
      </c>
      <c r="O13" t="n">
        <v>0.5826056034620493</v>
      </c>
      <c r="P13" t="n">
        <v>0.2691487280001696</v>
      </c>
      <c r="Q13" t="n">
        <v>-0.2174311555824097</v>
      </c>
      <c r="R13" t="n">
        <v>-0.1441367874477952</v>
      </c>
      <c r="S13" t="n">
        <v>0.4758616128619312</v>
      </c>
      <c r="T13" t="n">
        <v>0.07465129761467133</v>
      </c>
      <c r="U13" t="n">
        <v>-0.261506722616779</v>
      </c>
      <c r="V13" t="n">
        <v>0.2308678734377949</v>
      </c>
      <c r="W13" t="n">
        <v>-0.07747764101009755</v>
      </c>
      <c r="X13" t="n">
        <v>-0.2647810745020173</v>
      </c>
    </row>
    <row r="14">
      <c r="A14" t="n">
        <v>13</v>
      </c>
      <c r="B14" t="n">
        <v>0.08826934793812209</v>
      </c>
      <c r="C14" t="n">
        <v>-0.06764678471863372</v>
      </c>
      <c r="D14" t="n">
        <v>0.5457763879930542</v>
      </c>
      <c r="E14" t="n">
        <v>-0.03134344962423291</v>
      </c>
      <c r="F14" t="n">
        <v>0.1658743272017098</v>
      </c>
      <c r="G14" t="n">
        <v>0.3897655420437012</v>
      </c>
      <c r="H14" t="n">
        <v>0.09151882800266635</v>
      </c>
      <c r="I14" t="n">
        <v>0.205875717409393</v>
      </c>
      <c r="J14" t="n">
        <v>0.07601737998566496</v>
      </c>
      <c r="K14" t="n">
        <v>0.4900631797068497</v>
      </c>
      <c r="L14" t="n">
        <v>0.1477733517221287</v>
      </c>
      <c r="M14" t="n">
        <v>0.108531661757185</v>
      </c>
      <c r="N14" t="n">
        <v>1</v>
      </c>
      <c r="O14" t="n">
        <v>0.000181383344256833</v>
      </c>
      <c r="P14" t="n">
        <v>0.1908714932796852</v>
      </c>
      <c r="Q14" t="n">
        <v>0.6349230469099556</v>
      </c>
      <c r="R14" t="n">
        <v>0.2052450597209355</v>
      </c>
      <c r="S14" t="n">
        <v>0.4980859484016015</v>
      </c>
      <c r="T14" t="n">
        <v>0.5194327598831945</v>
      </c>
      <c r="U14" t="n">
        <v>0.1468174837138742</v>
      </c>
      <c r="V14" t="n">
        <v>-0.08082955688230153</v>
      </c>
      <c r="W14" t="n">
        <v>0.5856618891587516</v>
      </c>
      <c r="X14" t="n">
        <v>0.3532859346703653</v>
      </c>
    </row>
    <row r="15">
      <c r="A15" t="n">
        <v>14</v>
      </c>
      <c r="B15" t="n">
        <v>0.1975840124695978</v>
      </c>
      <c r="C15" t="n">
        <v>0.4563259736748805</v>
      </c>
      <c r="D15" t="n">
        <v>-0.01543650912407646</v>
      </c>
      <c r="E15" t="n">
        <v>0.5199398625313135</v>
      </c>
      <c r="F15" t="n">
        <v>-0.04146569420427897</v>
      </c>
      <c r="G15" t="n">
        <v>0.5594471748664909</v>
      </c>
      <c r="H15" t="n">
        <v>0.06744659762881895</v>
      </c>
      <c r="I15" t="n">
        <v>0.2400610516952237</v>
      </c>
      <c r="J15" t="n">
        <v>0.03384721435032099</v>
      </c>
      <c r="K15" t="n">
        <v>0.01298284823145465</v>
      </c>
      <c r="L15" t="n">
        <v>0.2074054037591932</v>
      </c>
      <c r="M15" t="n">
        <v>0.5826056034620493</v>
      </c>
      <c r="N15" t="n">
        <v>0.0001813833442568386</v>
      </c>
      <c r="O15" t="n">
        <v>0.9999999999999997</v>
      </c>
      <c r="P15" t="n">
        <v>-0.1882967466423628</v>
      </c>
      <c r="Q15" t="n">
        <v>-0.02757428578047499</v>
      </c>
      <c r="R15" t="n">
        <v>-0.09419638144135593</v>
      </c>
      <c r="S15" t="n">
        <v>-0.04867718442661714</v>
      </c>
      <c r="T15" t="n">
        <v>0.4447772093588217</v>
      </c>
      <c r="U15" t="n">
        <v>0.04094421881165138</v>
      </c>
      <c r="V15" t="n">
        <v>0.4688219631488085</v>
      </c>
      <c r="W15" t="n">
        <v>0.3015157117540307</v>
      </c>
      <c r="X15" t="n">
        <v>-0.2517028121609339</v>
      </c>
    </row>
    <row r="16">
      <c r="A16" t="n">
        <v>15</v>
      </c>
      <c r="B16" t="n">
        <v>0.3352042769165117</v>
      </c>
      <c r="C16" t="n">
        <v>0.4418160703662702</v>
      </c>
      <c r="D16" t="n">
        <v>-0.08974725494663512</v>
      </c>
      <c r="E16" t="n">
        <v>0.5194766837190481</v>
      </c>
      <c r="F16" t="n">
        <v>0.7557348684023866</v>
      </c>
      <c r="G16" t="n">
        <v>-0.2347563230688929</v>
      </c>
      <c r="H16" t="n">
        <v>0.2797196545509522</v>
      </c>
      <c r="I16" t="n">
        <v>0.3674010624835889</v>
      </c>
      <c r="J16" t="n">
        <v>0.5887322842735431</v>
      </c>
      <c r="K16" t="n">
        <v>-0.09899606923250096</v>
      </c>
      <c r="L16" t="n">
        <v>0.01160510415936195</v>
      </c>
      <c r="M16" t="n">
        <v>0.2691487280001696</v>
      </c>
      <c r="N16" t="n">
        <v>0.1908714932796852</v>
      </c>
      <c r="O16" t="n">
        <v>-0.1882967466423628</v>
      </c>
      <c r="P16" t="n">
        <v>0.9999999999999998</v>
      </c>
      <c r="Q16" t="n">
        <v>-0.2224971166107984</v>
      </c>
      <c r="R16" t="n">
        <v>0.2703587918993552</v>
      </c>
      <c r="S16" t="n">
        <v>0.7066544792737857</v>
      </c>
      <c r="T16" t="n">
        <v>-0.3621437636652248</v>
      </c>
      <c r="U16" t="n">
        <v>-0.1049696848928193</v>
      </c>
      <c r="V16" t="n">
        <v>0.04429430360350202</v>
      </c>
      <c r="W16" t="n">
        <v>-0.1279165765285552</v>
      </c>
      <c r="X16" t="n">
        <v>0.1326356112537963</v>
      </c>
    </row>
    <row r="17">
      <c r="A17" t="n">
        <v>16</v>
      </c>
      <c r="B17" t="n">
        <v>-0.06801044736253621</v>
      </c>
      <c r="C17" t="n">
        <v>-0.157040480019207</v>
      </c>
      <c r="D17" t="n">
        <v>0.6996676204950347</v>
      </c>
      <c r="E17" t="n">
        <v>-0.3956023186993071</v>
      </c>
      <c r="F17" t="n">
        <v>-0.07145104904494574</v>
      </c>
      <c r="G17" t="n">
        <v>0.5220262368210384</v>
      </c>
      <c r="H17" t="n">
        <v>-0.03853274254771001</v>
      </c>
      <c r="I17" t="n">
        <v>-0.09075519255552952</v>
      </c>
      <c r="J17" t="n">
        <v>-0.09580243960262644</v>
      </c>
      <c r="K17" t="n">
        <v>0.7380358385472814</v>
      </c>
      <c r="L17" t="n">
        <v>0.602296890378436</v>
      </c>
      <c r="M17" t="n">
        <v>-0.2174311555824097</v>
      </c>
      <c r="N17" t="n">
        <v>0.6349230469099556</v>
      </c>
      <c r="O17" t="n">
        <v>-0.027574285780475</v>
      </c>
      <c r="P17" t="n">
        <v>-0.2224971166107984</v>
      </c>
      <c r="Q17" t="n">
        <v>1</v>
      </c>
      <c r="R17" t="n">
        <v>0.3606226892249649</v>
      </c>
      <c r="S17" t="n">
        <v>0.1112578016172224</v>
      </c>
      <c r="T17" t="n">
        <v>0.7791714087775015</v>
      </c>
      <c r="U17" t="n">
        <v>0.4752302543133615</v>
      </c>
      <c r="V17" t="n">
        <v>0.1035177709253434</v>
      </c>
      <c r="W17" t="n">
        <v>0.7471311326663139</v>
      </c>
      <c r="X17" t="n">
        <v>0.4946272804488096</v>
      </c>
    </row>
    <row r="18">
      <c r="A18" t="n">
        <v>17</v>
      </c>
      <c r="B18" t="n">
        <v>0.02622470432542933</v>
      </c>
      <c r="C18" t="n">
        <v>0.1967884437608029</v>
      </c>
      <c r="D18" t="n">
        <v>0.5076310729725602</v>
      </c>
      <c r="E18" t="n">
        <v>-0.1176689880329504</v>
      </c>
      <c r="F18" t="n">
        <v>0.4104977787706178</v>
      </c>
      <c r="G18" t="n">
        <v>0.09572499501931435</v>
      </c>
      <c r="H18" t="n">
        <v>0.02656702336113794</v>
      </c>
      <c r="I18" t="n">
        <v>0.06518826234233921</v>
      </c>
      <c r="J18" t="n">
        <v>0.07120151749263169</v>
      </c>
      <c r="K18" t="n">
        <v>0.4455397565693419</v>
      </c>
      <c r="L18" t="n">
        <v>0.379841056916741</v>
      </c>
      <c r="M18" t="n">
        <v>-0.1441367874477952</v>
      </c>
      <c r="N18" t="n">
        <v>0.2052450597209354</v>
      </c>
      <c r="O18" t="n">
        <v>-0.09419638144135593</v>
      </c>
      <c r="P18" t="n">
        <v>0.2703587918993552</v>
      </c>
      <c r="Q18" t="n">
        <v>0.3606226892249649</v>
      </c>
      <c r="R18" t="n">
        <v>1</v>
      </c>
      <c r="S18" t="n">
        <v>0.2889532742712667</v>
      </c>
      <c r="T18" t="n">
        <v>0.2614217316641985</v>
      </c>
      <c r="U18" t="n">
        <v>0.8172375415342877</v>
      </c>
      <c r="V18" t="n">
        <v>0.05410507784291699</v>
      </c>
      <c r="W18" t="n">
        <v>0.4695425753087631</v>
      </c>
      <c r="X18" t="n">
        <v>0.3705882443212282</v>
      </c>
    </row>
    <row r="19">
      <c r="A19" t="n">
        <v>18</v>
      </c>
      <c r="B19" t="n">
        <v>0.2615150227719014</v>
      </c>
      <c r="C19" t="n">
        <v>0.3688640511009288</v>
      </c>
      <c r="D19" t="n">
        <v>0.2601708688996721</v>
      </c>
      <c r="E19" t="n">
        <v>0.4494487858988608</v>
      </c>
      <c r="F19" t="n">
        <v>0.5043316893969799</v>
      </c>
      <c r="G19" t="n">
        <v>0.1700174428342756</v>
      </c>
      <c r="H19" t="n">
        <v>0.1613441598541409</v>
      </c>
      <c r="I19" t="n">
        <v>0.2057586416638749</v>
      </c>
      <c r="J19" t="n">
        <v>0.2428607405082537</v>
      </c>
      <c r="K19" t="n">
        <v>-0.0488367612050843</v>
      </c>
      <c r="L19" t="n">
        <v>0.1574391230543044</v>
      </c>
      <c r="M19" t="n">
        <v>0.4758616128619312</v>
      </c>
      <c r="N19" t="n">
        <v>0.4980859484016014</v>
      </c>
      <c r="O19" t="n">
        <v>-0.04867718442661717</v>
      </c>
      <c r="P19" t="n">
        <v>0.7066544792737857</v>
      </c>
      <c r="Q19" t="n">
        <v>0.1112578016172224</v>
      </c>
      <c r="R19" t="n">
        <v>0.2889532742712667</v>
      </c>
      <c r="S19" t="n">
        <v>1</v>
      </c>
      <c r="T19" t="n">
        <v>0.02577281356767178</v>
      </c>
      <c r="U19" t="n">
        <v>0.02033365476751782</v>
      </c>
      <c r="V19" t="n">
        <v>-0.05900874503812946</v>
      </c>
      <c r="W19" t="n">
        <v>0.2151974718401634</v>
      </c>
      <c r="X19" t="n">
        <v>0.1085151164433975</v>
      </c>
    </row>
    <row r="20">
      <c r="A20" t="n">
        <v>19</v>
      </c>
      <c r="B20" t="n">
        <v>-0.136352280086831</v>
      </c>
      <c r="C20" t="n">
        <v>0.02419134239898845</v>
      </c>
      <c r="D20" t="n">
        <v>0.4697704234743597</v>
      </c>
      <c r="E20" t="n">
        <v>-0.1342747699190854</v>
      </c>
      <c r="F20" t="n">
        <v>-0.1082394210504618</v>
      </c>
      <c r="G20" t="n">
        <v>0.6958488932535529</v>
      </c>
      <c r="H20" t="n">
        <v>-0.04737670354461492</v>
      </c>
      <c r="I20" t="n">
        <v>-0.0392090845484022</v>
      </c>
      <c r="J20" t="n">
        <v>-0.2492151474736148</v>
      </c>
      <c r="K20" t="n">
        <v>0.546737018280149</v>
      </c>
      <c r="L20" t="n">
        <v>0.5108818167039321</v>
      </c>
      <c r="M20" t="n">
        <v>0.07465129761467135</v>
      </c>
      <c r="N20" t="n">
        <v>0.5194327598831945</v>
      </c>
      <c r="O20" t="n">
        <v>0.4447772093588217</v>
      </c>
      <c r="P20" t="n">
        <v>-0.3621437636652248</v>
      </c>
      <c r="Q20" t="n">
        <v>0.7791714087775015</v>
      </c>
      <c r="R20" t="n">
        <v>0.2614217316641985</v>
      </c>
      <c r="S20" t="n">
        <v>0.02577281356767178</v>
      </c>
      <c r="T20" t="n">
        <v>1</v>
      </c>
      <c r="U20" t="n">
        <v>0.4207386653100705</v>
      </c>
      <c r="V20" t="n">
        <v>0.2156548988411942</v>
      </c>
      <c r="W20" t="n">
        <v>0.7568442017599449</v>
      </c>
      <c r="X20" t="n">
        <v>0.1515421708030721</v>
      </c>
    </row>
    <row r="21">
      <c r="A21" t="n">
        <v>20</v>
      </c>
      <c r="B21" t="n">
        <v>-0.1049932232568442</v>
      </c>
      <c r="C21" t="n">
        <v>0.1270365302950884</v>
      </c>
      <c r="D21" t="n">
        <v>0.4217567634675271</v>
      </c>
      <c r="E21" t="n">
        <v>-0.2919750411687855</v>
      </c>
      <c r="F21" t="n">
        <v>0.2021864274322257</v>
      </c>
      <c r="G21" t="n">
        <v>0.1625972103605928</v>
      </c>
      <c r="H21" t="n">
        <v>-0.1010077913410754</v>
      </c>
      <c r="I21" t="n">
        <v>-0.15642591266642</v>
      </c>
      <c r="J21" t="n">
        <v>-0.1570045656692635</v>
      </c>
      <c r="K21" t="n">
        <v>0.4622501067122909</v>
      </c>
      <c r="L21" t="n">
        <v>0.504335210426437</v>
      </c>
      <c r="M21" t="n">
        <v>-0.261506722616779</v>
      </c>
      <c r="N21" t="n">
        <v>0.1468174837138742</v>
      </c>
      <c r="O21" t="n">
        <v>0.04094421881165137</v>
      </c>
      <c r="P21" t="n">
        <v>-0.1049696848928193</v>
      </c>
      <c r="Q21" t="n">
        <v>0.4752302543133615</v>
      </c>
      <c r="R21" t="n">
        <v>0.8172375415342877</v>
      </c>
      <c r="S21" t="n">
        <v>0.02033365476751781</v>
      </c>
      <c r="T21" t="n">
        <v>0.4207386653100705</v>
      </c>
      <c r="U21" t="n">
        <v>1</v>
      </c>
      <c r="V21" t="n">
        <v>0.04857641871228252</v>
      </c>
      <c r="W21" t="n">
        <v>0.5141689174904051</v>
      </c>
      <c r="X21" t="n">
        <v>0.2740959160565283</v>
      </c>
    </row>
    <row r="22">
      <c r="A22" t="n">
        <v>21</v>
      </c>
      <c r="B22" t="n">
        <v>0.5228710258611315</v>
      </c>
      <c r="C22" t="n">
        <v>0.5305881966411252</v>
      </c>
      <c r="D22" t="n">
        <v>0.215510234251111</v>
      </c>
      <c r="E22" t="n">
        <v>0.32620995237889</v>
      </c>
      <c r="F22" t="n">
        <v>0.1213900915490842</v>
      </c>
      <c r="G22" t="n">
        <v>0.4023089883955146</v>
      </c>
      <c r="H22" t="n">
        <v>0.3827149687398068</v>
      </c>
      <c r="I22" t="n">
        <v>0.571085528133833</v>
      </c>
      <c r="J22" t="n">
        <v>0.4589336673193181</v>
      </c>
      <c r="K22" t="n">
        <v>0.4420215453851924</v>
      </c>
      <c r="L22" t="n">
        <v>0.5218977548895731</v>
      </c>
      <c r="M22" t="n">
        <v>0.2308678734377948</v>
      </c>
      <c r="N22" t="n">
        <v>-0.08082955688230156</v>
      </c>
      <c r="O22" t="n">
        <v>0.4688219631488085</v>
      </c>
      <c r="P22" t="n">
        <v>0.04429430360350199</v>
      </c>
      <c r="Q22" t="n">
        <v>0.1035177709253434</v>
      </c>
      <c r="R22" t="n">
        <v>0.054105077842917</v>
      </c>
      <c r="S22" t="n">
        <v>-0.05900874503812945</v>
      </c>
      <c r="T22" t="n">
        <v>0.2156548988411942</v>
      </c>
      <c r="U22" t="n">
        <v>0.04857641871228252</v>
      </c>
      <c r="V22" t="n">
        <v>1</v>
      </c>
      <c r="W22" t="n">
        <v>0.19858550688722</v>
      </c>
      <c r="X22" t="n">
        <v>0.3273000355127326</v>
      </c>
    </row>
    <row r="23">
      <c r="A23" t="n">
        <v>22</v>
      </c>
      <c r="B23" t="n">
        <v>0.06214164914339544</v>
      </c>
      <c r="C23" t="n">
        <v>-0.02372599301531522</v>
      </c>
      <c r="D23" t="n">
        <v>0.6899725256398517</v>
      </c>
      <c r="E23" t="n">
        <v>-0.07083587938374181</v>
      </c>
      <c r="F23" t="n">
        <v>-0.08847186436321106</v>
      </c>
      <c r="G23" t="n">
        <v>0.5713458709678859</v>
      </c>
      <c r="H23" t="n">
        <v>0.004439562437819028</v>
      </c>
      <c r="I23" t="n">
        <v>-0.074685898666026</v>
      </c>
      <c r="J23" t="n">
        <v>-0.1450863309694831</v>
      </c>
      <c r="K23" t="n">
        <v>0.6102627708040163</v>
      </c>
      <c r="L23" t="n">
        <v>0.4724389624193844</v>
      </c>
      <c r="M23" t="n">
        <v>-0.07747764101009753</v>
      </c>
      <c r="N23" t="n">
        <v>0.5856618891587517</v>
      </c>
      <c r="O23" t="n">
        <v>0.3015157117540307</v>
      </c>
      <c r="P23" t="n">
        <v>-0.1279165765285551</v>
      </c>
      <c r="Q23" t="n">
        <v>0.7471311326663139</v>
      </c>
      <c r="R23" t="n">
        <v>0.4695425753087631</v>
      </c>
      <c r="S23" t="n">
        <v>0.2151974718401633</v>
      </c>
      <c r="T23" t="n">
        <v>0.756844201759945</v>
      </c>
      <c r="U23" t="n">
        <v>0.5141689174904052</v>
      </c>
      <c r="V23" t="n">
        <v>0.19858550688722</v>
      </c>
      <c r="W23" t="n">
        <v>1</v>
      </c>
      <c r="X23" t="n">
        <v>0.2918214491539833</v>
      </c>
    </row>
    <row r="24">
      <c r="A24" t="n">
        <v>23</v>
      </c>
      <c r="B24" t="n">
        <v>0.3315032501730487</v>
      </c>
      <c r="C24" t="n">
        <v>0.0213266484684946</v>
      </c>
      <c r="D24" t="n">
        <v>0.5993217388309718</v>
      </c>
      <c r="E24" t="n">
        <v>-0.2499128078531432</v>
      </c>
      <c r="F24" t="n">
        <v>0.118574005992449</v>
      </c>
      <c r="G24" t="n">
        <v>0.1599565666067851</v>
      </c>
      <c r="H24" t="n">
        <v>0.1290408394502522</v>
      </c>
      <c r="I24" t="n">
        <v>0.3890425401877814</v>
      </c>
      <c r="J24" t="n">
        <v>0.3946705957625448</v>
      </c>
      <c r="K24" t="n">
        <v>0.7426337534644404</v>
      </c>
      <c r="L24" t="n">
        <v>0.4730752903636561</v>
      </c>
      <c r="M24" t="n">
        <v>-0.2647810745020173</v>
      </c>
      <c r="N24" t="n">
        <v>0.3532859346703653</v>
      </c>
      <c r="O24" t="n">
        <v>-0.2517028121609339</v>
      </c>
      <c r="P24" t="n">
        <v>0.1326356112537963</v>
      </c>
      <c r="Q24" t="n">
        <v>0.4946272804488096</v>
      </c>
      <c r="R24" t="n">
        <v>0.3705882443212282</v>
      </c>
      <c r="S24" t="n">
        <v>0.1085151164433975</v>
      </c>
      <c r="T24" t="n">
        <v>0.1515421708030721</v>
      </c>
      <c r="U24" t="n">
        <v>0.2740959160565283</v>
      </c>
      <c r="V24" t="n">
        <v>0.3273000355127325</v>
      </c>
      <c r="W24" t="n">
        <v>0.2918214491539833</v>
      </c>
      <c r="X24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4" customWidth="1" min="2" max="2"/>
    <col width="14" customWidth="1" min="3" max="3"/>
    <col width="88" customWidth="1" min="4" max="4"/>
  </cols>
  <sheetData>
    <row r="1" ht="30" customHeight="1">
      <c r="A1" s="44" t="inlineStr">
        <is>
          <t>32 — v4.4 Production Phase 6B Control</t>
        </is>
      </c>
    </row>
    <row r="2" ht="34" customHeight="1">
      <c r="A2" s="45" t="inlineStr">
        <is>
          <t>Final production controls. Canon/Ontology/scoring constants unchanged. v4.4 applies the approved public wording set to all 80 respondent-facing items.</t>
        </is>
      </c>
    </row>
    <row r="3"/>
    <row r="4">
      <c r="A4" s="46" t="inlineStr">
        <is>
          <t>Control</t>
        </is>
      </c>
      <c r="B4" s="46" t="inlineStr">
        <is>
          <t>Value</t>
        </is>
      </c>
      <c r="C4" s="46" t="inlineStr">
        <is>
          <t>Status</t>
        </is>
      </c>
      <c r="D4" s="46" t="inlineStr">
        <is>
          <t>Implementation note</t>
        </is>
      </c>
    </row>
    <row r="5">
      <c r="A5" s="47" t="inlineStr">
        <is>
          <t>Model version</t>
        </is>
      </c>
      <c r="B5" s="47" t="inlineStr">
        <is>
          <t>starseed-v4.4-phase6b-prod-20260905</t>
        </is>
      </c>
      <c r="C5" s="48" t="inlineStr">
        <is>
          <t>FROZEN</t>
        </is>
      </c>
      <c r="D5" s="47" t="inlineStr">
        <is>
          <t>Use in exports, calibration records and backend logs.</t>
        </is>
      </c>
    </row>
    <row r="6">
      <c r="A6" s="47" t="inlineStr">
        <is>
          <t>Foundation</t>
        </is>
      </c>
      <c r="B6" s="47" t="inlineStr">
        <is>
          <t>Canon v4 + Ontology v2 FROZEN</t>
        </is>
      </c>
      <c r="C6" s="48" t="inlineStr">
        <is>
          <t>FROZEN</t>
        </is>
      </c>
      <c r="D6" s="47" t="inlineStr">
        <is>
          <t>Do not modify inside scoring implementation.</t>
        </is>
      </c>
    </row>
    <row r="7">
      <c r="A7" s="47" t="inlineStr">
        <is>
          <t>Final item wording</t>
        </is>
      </c>
      <c r="B7" s="47" t="inlineStr">
        <is>
          <t>v4.4 approved public wording — 80/80 items</t>
        </is>
      </c>
      <c r="C7" s="48" t="inlineStr">
        <is>
          <t>FROZEN</t>
        </is>
      </c>
      <c r="D7" s="47" t="inlineStr">
        <is>
          <t>All 80 respondent-facing items updated; semantic cuts, keys and scoring constants unchanged.</t>
        </is>
      </c>
    </row>
    <row r="8">
      <c r="A8" s="47" t="inlineStr">
        <is>
          <t>Expected codebook</t>
        </is>
      </c>
      <c r="B8" s="47" t="inlineStr">
        <is>
          <t>23×80 v4</t>
        </is>
      </c>
      <c r="C8" s="48" t="inlineStr">
        <is>
          <t>FROZEN</t>
        </is>
      </c>
      <c r="D8" s="47" t="inlineStr">
        <is>
          <t>Canonical integer prototypes -3…+3.</t>
        </is>
      </c>
    </row>
    <row r="9">
      <c r="A9" s="47" t="inlineStr">
        <is>
          <t>Final weights</t>
        </is>
      </c>
      <c r="B9" s="47" t="inlineStr">
        <is>
          <t>80 v4</t>
        </is>
      </c>
      <c r="C9" s="48" t="inlineStr">
        <is>
          <t>FROZEN</t>
        </is>
      </c>
      <c r="D9" s="47" t="inlineStr">
        <is>
          <t>Sum=80; mean=1; bounded semantic-confidence prior.</t>
        </is>
      </c>
    </row>
    <row r="10">
      <c r="A10" s="47" t="inlineStr">
        <is>
          <t>Decoder</t>
        </is>
      </c>
      <c r="B10" s="47" t="inlineStr">
        <is>
          <t>Weighted directional cosine</t>
        </is>
      </c>
      <c r="C10" s="48" t="inlineStr">
        <is>
          <t>FROZEN</t>
        </is>
      </c>
      <c r="D10" s="47" t="inlineStr">
        <is>
          <t>Primary=argmax cosine after zero/tie rules.</t>
        </is>
      </c>
    </row>
    <row r="11">
      <c r="A11" s="47" t="inlineStr">
        <is>
          <t>Tie tolerance</t>
        </is>
      </c>
      <c r="B11" s="47" t="n">
        <v>1e-12</v>
      </c>
      <c r="C11" s="48" t="inlineStr">
        <is>
          <t>FROZEN</t>
        </is>
      </c>
      <c r="D11" s="47" t="inlineStr">
        <is>
          <t>Scores within tolerance of max are a tie group; lowest canonical lineage ID is deterministic last resort.</t>
        </is>
      </c>
    </row>
    <row r="12">
      <c r="A12" s="47" t="inlineStr">
        <is>
          <t>Zero-vector rule</t>
        </is>
      </c>
      <c r="B12" s="47" t="inlineStr">
        <is>
          <t>NO CLASSIFICATION</t>
        </is>
      </c>
      <c r="C12" s="48" t="inlineStr">
        <is>
          <t>FROZEN</t>
        </is>
      </c>
      <c r="D12" s="47" t="inlineStr">
        <is>
          <t>Complete x=0 profile has undefined direction; never assign a lineage.</t>
        </is>
      </c>
    </row>
    <row r="13">
      <c r="A13" s="47" t="inlineStr">
        <is>
          <t>Item hash</t>
        </is>
      </c>
      <c r="B13" s="47" t="inlineStr">
        <is>
          <t>9f14d02c66e6477c3f965575a10471aad7a8f9cded7da4937737e1158b228b45</t>
        </is>
      </c>
      <c r="C13" s="48" t="inlineStr">
        <is>
          <t>FROZEN</t>
        </is>
      </c>
      <c r="D13" s="47" t="inlineStr">
        <is>
          <t>SHA-256 of Q/slot/stem/left/right/key.</t>
        </is>
      </c>
    </row>
    <row r="14">
      <c r="A14" s="47" t="inlineStr">
        <is>
          <t>Codebook hash</t>
        </is>
      </c>
      <c r="B14" s="47" t="inlineStr">
        <is>
          <t>6de3d47751c76522c66f1f8a520682932e7dd4d1dbd87786484a697e50b4c4c2</t>
        </is>
      </c>
      <c r="C14" s="48" t="inlineStr">
        <is>
          <t>FROZEN</t>
        </is>
      </c>
      <c r="D14" s="47" t="inlineStr">
        <is>
          <t>SHA-256 of q-order int8 23×80 matrix.</t>
        </is>
      </c>
    </row>
    <row r="15">
      <c r="A15" s="47" t="inlineStr">
        <is>
          <t>Weight hash</t>
        </is>
      </c>
      <c r="B15" s="47" t="inlineStr">
        <is>
          <t>e1df2e9bf08d91e701baec73919fb565160f244bb9248826b4e170c669c39ef6</t>
        </is>
      </c>
      <c r="C15" s="48" t="inlineStr">
        <is>
          <t>FROZEN</t>
        </is>
      </c>
      <c r="D15" s="47" t="inlineStr">
        <is>
          <t>SHA-256 of q-order float64 weight vector.</t>
        </is>
      </c>
    </row>
    <row r="16">
      <c r="A16" s="47" t="inlineStr">
        <is>
          <t>Key hash</t>
        </is>
      </c>
      <c r="B16" s="47" t="inlineStr">
        <is>
          <t>3005e4310a87275449ac3c4aaa65cbdd6babb45072ef1c6e3ba03f4a008cc979</t>
        </is>
      </c>
      <c r="C16" s="48" t="inlineStr">
        <is>
          <t>FROZEN</t>
        </is>
      </c>
      <c r="D16" s="47" t="inlineStr">
        <is>
          <t>SHA-256 of 80 int8 key vector.</t>
        </is>
      </c>
    </row>
    <row r="17">
      <c r="A17" s="47" t="inlineStr">
        <is>
          <t>Engine hash</t>
        </is>
      </c>
      <c r="B17" s="47" t="inlineStr">
        <is>
          <t>a1d7ff2b93e16a8a811e7ce07e11134a02fbad2754d9fd4531912c09725a1536</t>
        </is>
      </c>
      <c r="C17" s="48" t="inlineStr">
        <is>
          <t>FROZEN</t>
        </is>
      </c>
      <c r="D17" s="47" t="inlineStr">
        <is>
          <t>Combined implementation fingerprint.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8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5" customWidth="1" min="3" max="3"/>
    <col width="52" customWidth="1" min="4" max="4"/>
    <col width="13" customWidth="1" min="5" max="5"/>
    <col width="52" customWidth="1" min="6" max="6"/>
    <col width="8" customWidth="1" min="7" max="7"/>
    <col width="12" customWidth="1" min="8" max="8"/>
    <col width="13" customWidth="1" min="9" max="9"/>
    <col width="13" customWidth="1" min="10" max="10"/>
    <col width="22" customWidth="1" min="12" max="12"/>
    <col width="18" customWidth="1" min="13" max="13"/>
  </cols>
  <sheetData>
    <row r="1" ht="30" customHeight="1">
      <c r="A1" s="44" t="inlineStr">
        <is>
          <t>33 — Response Input</t>
        </is>
      </c>
    </row>
    <row r="2" ht="34" customHeight="1">
      <c r="A2" s="45" t="inlineStr">
        <is>
          <t>Blue cells are respondent raw UI answers. Complete all 80. Canonical x = raw × key. If all canonical responses are 0, the directional classifier is undefined.</t>
        </is>
      </c>
    </row>
    <row r="3"/>
    <row r="4">
      <c r="A4" s="46" t="inlineStr">
        <is>
          <t>Q#</t>
        </is>
      </c>
      <c r="B4" s="46" t="inlineStr">
        <is>
          <t>Slot</t>
        </is>
      </c>
      <c r="C4" s="46" t="inlineStr">
        <is>
          <t>Stem</t>
        </is>
      </c>
      <c r="D4" s="46" t="inlineStr">
        <is>
          <t>Left</t>
        </is>
      </c>
      <c r="E4" s="46" t="inlineStr">
        <is>
          <t>Raw answer</t>
        </is>
      </c>
      <c r="F4" s="46" t="inlineStr">
        <is>
          <t>Right</t>
        </is>
      </c>
      <c r="G4" s="46" t="inlineStr">
        <is>
          <t>Key</t>
        </is>
      </c>
      <c r="H4" s="46" t="inlineStr">
        <is>
          <t>Canonical x</t>
        </is>
      </c>
      <c r="I4" s="46" t="inlineStr">
        <is>
          <t>Final weight</t>
        </is>
      </c>
      <c r="J4" s="46" t="inlineStr">
        <is>
          <t>w·x²</t>
        </is>
      </c>
      <c r="L4" s="49" t="inlineStr">
        <is>
          <t>Input status</t>
        </is>
      </c>
    </row>
    <row r="5">
      <c r="A5" t="n">
        <v>1</v>
      </c>
      <c r="B5" t="inlineStr">
        <is>
          <t>G17</t>
        </is>
      </c>
      <c r="C5" s="47" t="inlineStr">
        <is>
          <t>當一個你參與的共同計畫開始偏離你認同的方向時，你比較自然會……</t>
        </is>
      </c>
      <c r="D5" s="47" t="inlineStr">
        <is>
          <t>離開這個不適合自己的安排，改由自己決定下一步</t>
        </is>
      </c>
      <c r="E5" s="50" t="n"/>
      <c r="F5" s="47" t="inlineStr">
        <is>
          <t>留下來，守住你認為重要的人和事</t>
        </is>
      </c>
      <c r="G5" t="n">
        <v>1</v>
      </c>
      <c r="H5">
        <f>IF(E5="","",E5*G5)</f>
        <v/>
      </c>
      <c r="I5">
        <f>'97_PROD_WEIGHTS'!C2</f>
        <v/>
      </c>
      <c r="J5">
        <f>IF(H5="","",I5*H5^2)</f>
        <v/>
      </c>
      <c r="L5" s="49" t="inlineStr">
        <is>
          <t>Answered</t>
        </is>
      </c>
      <c r="M5">
        <f>COUNT(E5:E84)</f>
        <v/>
      </c>
    </row>
    <row r="6">
      <c r="A6" t="n">
        <v>2</v>
      </c>
      <c r="B6" t="inlineStr">
        <is>
          <t>L05</t>
        </is>
      </c>
      <c r="C6" s="47" t="inlineStr">
        <is>
          <t>當一個空間讓你覺得不太對勁時，你比較想怎麼調整？</t>
        </is>
      </c>
      <c r="D6" s="47" t="inlineStr">
        <is>
          <t>用顏色、材質和擺設增加層次，讓整體氣氛更豐富和諧</t>
        </is>
      </c>
      <c r="E6" s="50" t="n"/>
      <c r="F6" s="47" t="inlineStr">
        <is>
          <t>減少刺激和雜亂，讓空間回到簡單、清楚又安定的感覺</t>
        </is>
      </c>
      <c r="G6" t="n">
        <v>-1</v>
      </c>
      <c r="H6">
        <f>IF(E6="","",E6*G6)</f>
        <v/>
      </c>
      <c r="I6">
        <f>'97_PROD_WEIGHTS'!C3</f>
        <v/>
      </c>
      <c r="J6">
        <f>IF(H6="","",I6*H6^2)</f>
        <v/>
      </c>
      <c r="L6" s="49" t="inlineStr">
        <is>
          <t>Nonzero canonical</t>
        </is>
      </c>
      <c r="M6">
        <f>COUNTIFS(H5:H84,"&lt;&gt;",H5:H84,"&lt;&gt;0")</f>
        <v/>
      </c>
    </row>
    <row r="7">
      <c r="A7" t="n">
        <v>3</v>
      </c>
      <c r="B7" t="inlineStr">
        <is>
          <t>G13</t>
        </is>
      </c>
      <c r="C7" s="47" t="inlineStr">
        <is>
          <t>當新的人想加入你正在維持的小圈子或合作小組時，你通常會……</t>
        </is>
      </c>
      <c r="D7" s="47" t="inlineStr">
        <is>
          <t>先讓對方參與一些基本的事，再按實際相處調整參與範圍</t>
        </is>
      </c>
      <c r="E7" s="50" t="n"/>
      <c r="F7" s="47" t="inlineStr">
        <is>
          <t>先不要讓對方參與太多，觀察彼此是否合適後再慢慢開放</t>
        </is>
      </c>
      <c r="G7" t="n">
        <v>1</v>
      </c>
      <c r="H7">
        <f>IF(E7="","",E7*G7)</f>
        <v/>
      </c>
      <c r="I7">
        <f>'97_PROD_WEIGHTS'!C4</f>
        <v/>
      </c>
      <c r="J7">
        <f>IF(H7="","",I7*H7^2)</f>
        <v/>
      </c>
      <c r="L7" s="49" t="inlineStr">
        <is>
          <t>Weighted norm</t>
        </is>
      </c>
      <c r="M7">
        <f>IF(M5&lt;80,"",SQRT(SUM(J5:J84)/SUM(I5:I84)))</f>
        <v/>
      </c>
    </row>
    <row r="8">
      <c r="A8" t="n">
        <v>4</v>
      </c>
      <c r="B8" t="inlineStr">
        <is>
          <t>L06</t>
        </is>
      </c>
      <c r="C8" s="47" t="inlineStr">
        <is>
          <t>當你長期覺得生活不太對勁時，什麼最能幫你找回方向？</t>
        </is>
      </c>
      <c r="D8" s="47" t="inlineStr">
        <is>
          <t>把生活重新整理得更清楚、簡單，讓自己真正安定下來</t>
        </is>
      </c>
      <c r="E8" s="50" t="n"/>
      <c r="F8" s="47" t="inlineStr">
        <is>
          <t>投入一段可信任的一對一關係，慢慢加深彼此的承諾和連結</t>
        </is>
      </c>
      <c r="G8" t="n">
        <v>1</v>
      </c>
      <c r="H8">
        <f>IF(E8="","",E8*G8)</f>
        <v/>
      </c>
      <c r="I8">
        <f>'97_PROD_WEIGHTS'!C5</f>
        <v/>
      </c>
      <c r="J8">
        <f>IF(H8="","",I8*H8^2)</f>
        <v/>
      </c>
      <c r="L8" s="49" t="inlineStr">
        <is>
          <t>Status</t>
        </is>
      </c>
      <c r="M8">
        <f>IF(M5&lt;80,"INCOMPLETE",IF(M7=0,"ZERO_VECTOR","READY"))</f>
        <v/>
      </c>
    </row>
    <row r="9">
      <c r="A9" t="n">
        <v>5</v>
      </c>
      <c r="B9" t="inlineStr">
        <is>
          <t>G23</t>
        </is>
      </c>
      <c r="C9" s="47" t="inlineStr">
        <is>
          <t>面對一件重要又複雜的事時，你比較容易先注意哪一部分？</t>
        </is>
      </c>
      <c r="D9" s="47" t="inlineStr">
        <is>
          <t>先看整體，理解各個部分怎樣和更大的情況連在一起</t>
        </is>
      </c>
      <c r="E9" s="50" t="n"/>
      <c r="F9" s="47" t="inlineStr">
        <is>
          <t>少數重要關係裡真正的需要，以及彼此願意投入多少</t>
        </is>
      </c>
      <c r="G9" t="n">
        <v>1</v>
      </c>
      <c r="H9">
        <f>IF(E9="","",E9*G9)</f>
        <v/>
      </c>
      <c r="I9">
        <f>'97_PROD_WEIGHTS'!C6</f>
        <v/>
      </c>
      <c r="J9">
        <f>IF(H9="","",I9*H9^2)</f>
        <v/>
      </c>
    </row>
    <row r="10">
      <c r="A10" t="n">
        <v>6</v>
      </c>
      <c r="B10" t="inlineStr">
        <is>
          <t>A09</t>
        </is>
      </c>
      <c r="C10" s="47" t="inlineStr">
        <is>
          <t>如果一項很多人都會使用的公共服務需要重新設計，你比較想從哪裡開始？</t>
        </is>
      </c>
      <c r="D10" s="47" t="inlineStr">
        <is>
          <t>規劃整體規則、分工和資源怎麼安排，讓不同單位能一起運作</t>
        </is>
      </c>
      <c r="E10" s="50" t="n"/>
      <c r="F10" s="47" t="inlineStr">
        <is>
          <t>把日常流程和工具做得更順，讓前線的人容易照著做</t>
        </is>
      </c>
      <c r="G10" t="n">
        <v>-1</v>
      </c>
      <c r="H10">
        <f>IF(E10="","",E10*G10)</f>
        <v/>
      </c>
      <c r="I10">
        <f>'97_PROD_WEIGHTS'!C7</f>
        <v/>
      </c>
      <c r="J10">
        <f>IF(H10="","",I10*H10^2)</f>
        <v/>
      </c>
    </row>
    <row r="11">
      <c r="A11" t="n">
        <v>7</v>
      </c>
      <c r="B11" t="inlineStr">
        <is>
          <t>G01</t>
        </is>
      </c>
      <c r="C11" s="47" t="inlineStr">
        <is>
          <t>面對一段同時帶有情緒和資訊的分享，你第一個自然反應比較像……</t>
        </is>
      </c>
      <c r="D11" s="47" t="inlineStr">
        <is>
          <t>先看看說法有沒有道理、前後有沒有矛盾，再形成自己的理解</t>
        </is>
      </c>
      <c r="E11" s="50" t="n"/>
      <c r="F11" s="47" t="inlineStr">
        <is>
          <t>先留意其中的情緒變化和彼此的關係，再形成自己的理解</t>
        </is>
      </c>
      <c r="G11" t="n">
        <v>1</v>
      </c>
      <c r="H11">
        <f>IF(E11="","",E11*G11)</f>
        <v/>
      </c>
      <c r="I11">
        <f>'97_PROD_WEIGHTS'!C8</f>
        <v/>
      </c>
      <c r="J11">
        <f>IF(H11="","",I11*H11^2)</f>
        <v/>
      </c>
    </row>
    <row r="12">
      <c r="A12" t="n">
        <v>8</v>
      </c>
      <c r="B12" t="inlineStr">
        <is>
          <t>L19</t>
        </is>
      </c>
      <c r="C12" s="47" t="inlineStr">
        <is>
          <t>當你得到一段完全自由支配的創作時間，你更想……</t>
        </is>
      </c>
      <c r="D12" s="47" t="inlineStr">
        <is>
          <t>先立下一個方向，做出一個之後可以繼續發展的起點</t>
        </is>
      </c>
      <c r="E12" s="50" t="n"/>
      <c r="F12" s="47" t="inlineStr">
        <is>
          <t>自由組合不同領域的想法，看看能發展出什麼新東西</t>
        </is>
      </c>
      <c r="G12" t="n">
        <v>-1</v>
      </c>
      <c r="H12">
        <f>IF(E12="","",E12*G12)</f>
        <v/>
      </c>
      <c r="I12">
        <f>'97_PROD_WEIGHTS'!C9</f>
        <v/>
      </c>
      <c r="J12">
        <f>IF(H12="","",I12*H12^2)</f>
        <v/>
      </c>
    </row>
    <row r="13">
      <c r="A13" t="n">
        <v>9</v>
      </c>
      <c r="B13" t="inlineStr">
        <is>
          <t>G02</t>
        </is>
      </c>
      <c r="C13" s="47" t="inlineStr">
        <is>
          <t>一個對你很重要的決定，也會明顯影響親近的人時，你比較自然會……</t>
        </is>
      </c>
      <c r="D13" s="47" t="inlineStr">
        <is>
          <t>把彼此的關係和共同承諾當成最重要的考量之一</t>
        </is>
      </c>
      <c r="E13" s="50" t="n"/>
      <c r="F13" s="47" t="inlineStr">
        <is>
          <t>先確定這仍是自己真正想走的方向，再想怎樣和對方協調</t>
        </is>
      </c>
      <c r="G13" t="n">
        <v>-1</v>
      </c>
      <c r="H13">
        <f>IF(E13="","",E13*G13)</f>
        <v/>
      </c>
      <c r="I13">
        <f>'97_PROD_WEIGHTS'!C10</f>
        <v/>
      </c>
      <c r="J13">
        <f>IF(H13="","",I13*H13^2)</f>
        <v/>
      </c>
    </row>
    <row r="14">
      <c r="A14" t="n">
        <v>10</v>
      </c>
      <c r="B14" t="inlineStr">
        <is>
          <t>L07</t>
        </is>
      </c>
      <c r="C14" s="47" t="inlineStr">
        <is>
          <t>要讓一段相處重新有連結感，你比較相信關鍵在於……</t>
        </is>
      </c>
      <c r="D14" s="47" t="inlineStr">
        <is>
          <t>把注意力放回兩個人的信任，以及彼此是否真心投入</t>
        </is>
      </c>
      <c r="E14" s="50" t="n"/>
      <c r="F14" s="47" t="inlineStr">
        <is>
          <t>先讓相處的空間、氣氛和節奏變得舒服協調</t>
        </is>
      </c>
      <c r="G14" t="n">
        <v>-1</v>
      </c>
      <c r="H14">
        <f>IF(E14="","",E14*G14)</f>
        <v/>
      </c>
      <c r="I14">
        <f>'97_PROD_WEIGHTS'!C11</f>
        <v/>
      </c>
      <c r="J14">
        <f>IF(H14="","",I14*H14^2)</f>
        <v/>
      </c>
    </row>
    <row r="15">
      <c r="A15" t="n">
        <v>11</v>
      </c>
      <c r="B15" t="inlineStr">
        <is>
          <t>G27</t>
        </is>
      </c>
      <c r="C15" s="47" t="inlineStr">
        <is>
          <t>如果兩種生活節奏都可行，你通常更被哪一種吸引？</t>
        </is>
      </c>
      <c r="D15" s="47" t="inlineStr">
        <is>
          <t>定期換到新的環境或主題，保持探索和變化</t>
        </is>
      </c>
      <c r="E15" s="50" t="n"/>
      <c r="F15" s="47" t="inlineStr">
        <is>
          <t>沿著同一方向走很多年，慢慢累積經驗和投入</t>
        </is>
      </c>
      <c r="G15" t="n">
        <v>1</v>
      </c>
      <c r="H15">
        <f>IF(E15="","",E15*G15)</f>
        <v/>
      </c>
      <c r="I15">
        <f>'97_PROD_WEIGHTS'!C12</f>
        <v/>
      </c>
      <c r="J15">
        <f>IF(H15="","",I15*H15^2)</f>
        <v/>
      </c>
    </row>
    <row r="16">
      <c r="A16" t="n">
        <v>12</v>
      </c>
      <c r="B16" t="inlineStr">
        <is>
          <t>L36</t>
        </is>
      </c>
      <c r="C16" s="47" t="inlineStr">
        <is>
          <t>當你長期生活在一個正在改變的地方或群體裡，你比較自然會扮演哪種角色？</t>
        </is>
      </c>
      <c r="D16" s="47" t="inlineStr">
        <is>
          <t>投入當地日常，親自參與維護和照料，讓共同生活一直延續下去</t>
        </is>
      </c>
      <c r="E16" s="50" t="n"/>
      <c r="F16" s="47" t="inlineStr">
        <is>
          <t>保持一致的方向和節奏，成為大家可以依靠的穩定一方</t>
        </is>
      </c>
      <c r="G16" t="n">
        <v>1</v>
      </c>
      <c r="H16">
        <f>IF(E16="","",E16*G16)</f>
        <v/>
      </c>
      <c r="I16">
        <f>'97_PROD_WEIGHTS'!C13</f>
        <v/>
      </c>
      <c r="J16">
        <f>IF(H16="","",I16*H16^2)</f>
        <v/>
      </c>
    </row>
    <row r="17">
      <c r="A17" t="n">
        <v>13</v>
      </c>
      <c r="B17" t="inlineStr">
        <is>
          <t>A04</t>
        </is>
      </c>
      <c r="C17" s="47" t="inlineStr">
        <is>
          <t>當一個團隊要在很多變動中繼續做事時，你比較傾向……</t>
        </is>
      </c>
      <c r="D17" s="47" t="inlineStr">
        <is>
          <t>按每次最新的情況調整做法，哪個方式合適就先用哪個</t>
        </is>
      </c>
      <c r="E17" s="50" t="n"/>
      <c r="F17" s="47" t="inlineStr">
        <is>
          <t>維持原本清楚的分工和行動節奏，讓變動中仍有秩序</t>
        </is>
      </c>
      <c r="G17" t="n">
        <v>1</v>
      </c>
      <c r="H17">
        <f>IF(E17="","",E17*G17)</f>
        <v/>
      </c>
      <c r="I17">
        <f>'97_PROD_WEIGHTS'!C14</f>
        <v/>
      </c>
      <c r="J17">
        <f>IF(H17="","",I17*H17^2)</f>
        <v/>
      </c>
    </row>
    <row r="18">
      <c r="A18" t="n">
        <v>14</v>
      </c>
      <c r="B18" t="inlineStr">
        <is>
          <t>L32</t>
        </is>
      </c>
      <c r="C18" s="47" t="inlineStr">
        <is>
          <t>一套原本運作穩定的流程開始出現小問題時，你比較傾向……</t>
        </is>
      </c>
      <c r="D18" s="47" t="inlineStr">
        <is>
          <t>先守住原本的標準和節奏，看是哪裡開始走樣</t>
        </is>
      </c>
      <c r="E18" s="50" t="n"/>
      <c r="F18" s="47" t="inlineStr">
        <is>
          <t>直接找出哪個步驟或工具出了問題，再動手調整</t>
        </is>
      </c>
      <c r="G18" t="n">
        <v>-1</v>
      </c>
      <c r="H18">
        <f>IF(E18="","",E18*G18)</f>
        <v/>
      </c>
      <c r="I18">
        <f>'97_PROD_WEIGHTS'!C15</f>
        <v/>
      </c>
      <c r="J18">
        <f>IF(H18="","",I18*H18^2)</f>
        <v/>
      </c>
    </row>
    <row r="19">
      <c r="A19" t="n">
        <v>15</v>
      </c>
      <c r="B19" t="inlineStr">
        <is>
          <t>G24</t>
        </is>
      </c>
      <c r="C19" s="47" t="inlineStr">
        <is>
          <t>加入一個陌生但友善的群體時，你通常會先……</t>
        </is>
      </c>
      <c r="D19" s="47" t="inlineStr">
        <is>
          <t>很快感受到整體氣氛和大家的情緒，再跟著調整自己</t>
        </is>
      </c>
      <c r="E19" s="50" t="n"/>
      <c r="F19" s="47" t="inlineStr">
        <is>
          <t>不會一開始就投入太多，再慢慢看自己願意開放到什麼程度</t>
        </is>
      </c>
      <c r="G19" t="n">
        <v>-1</v>
      </c>
      <c r="H19">
        <f>IF(E19="","",E19*G19)</f>
        <v/>
      </c>
      <c r="I19">
        <f>'97_PROD_WEIGHTS'!C16</f>
        <v/>
      </c>
      <c r="J19">
        <f>IF(H19="","",I19*H19^2)</f>
        <v/>
      </c>
    </row>
    <row r="20">
      <c r="A20" t="n">
        <v>16</v>
      </c>
      <c r="B20" t="inlineStr">
        <is>
          <t>L37</t>
        </is>
      </c>
      <c r="C20" s="47" t="inlineStr">
        <is>
          <t>面對很多來自不同領域的新資訊，你更想把它們用來……</t>
        </is>
      </c>
      <c r="D20" s="47" t="inlineStr">
        <is>
          <t>整理出整體脈絡，再用別人容易明白的方式說清楚</t>
        </is>
      </c>
      <c r="E20" s="50" t="n"/>
      <c r="F20" s="47" t="inlineStr">
        <is>
          <t>自由組合不同概念，發展自己的新點子或作品</t>
        </is>
      </c>
      <c r="G20" t="n">
        <v>1</v>
      </c>
      <c r="H20">
        <f>IF(E20="","",E20*G20)</f>
        <v/>
      </c>
      <c r="I20">
        <f>'97_PROD_WEIGHTS'!C17</f>
        <v/>
      </c>
      <c r="J20">
        <f>IF(H20="","",I20*H20^2)</f>
        <v/>
      </c>
    </row>
    <row r="21">
      <c r="A21" t="n">
        <v>17</v>
      </c>
      <c r="B21" t="inlineStr">
        <is>
          <t>G28</t>
        </is>
      </c>
      <c r="C21" s="47" t="inlineStr">
        <is>
          <t>當你同時有一個自己想走的方向，也有一件你願意負責保護或照顧的事時，你比較傾向……</t>
        </is>
      </c>
      <c r="D21" s="47" t="inlineStr">
        <is>
          <t>保留自己決定方向的空間，重新決定自己要負責到哪裡</t>
        </is>
      </c>
      <c r="E21" s="50" t="n"/>
      <c r="F21" s="47" t="inlineStr">
        <is>
          <t>先把保護和照顧的責任放在前面，再調整自己的安排</t>
        </is>
      </c>
      <c r="G21" t="n">
        <v>-1</v>
      </c>
      <c r="H21">
        <f>IF(E21="","",E21*G21)</f>
        <v/>
      </c>
      <c r="I21">
        <f>'97_PROD_WEIGHTS'!C18</f>
        <v/>
      </c>
      <c r="J21">
        <f>IF(H21="","",I21*H21^2)</f>
        <v/>
      </c>
    </row>
    <row r="22">
      <c r="A22" t="n">
        <v>18</v>
      </c>
      <c r="B22" t="inlineStr">
        <is>
          <t>L14</t>
        </is>
      </c>
      <c r="C22" s="47" t="inlineStr">
        <is>
          <t>當很多人要把一個想法真正做出來時，你比較想負責哪一部分？</t>
        </is>
      </c>
      <c r="D22" s="47" t="inlineStr">
        <is>
          <t>把誰負責什麼、誰最後做決定安排清楚</t>
        </is>
      </c>
      <c r="E22" s="50" t="n"/>
      <c r="F22" s="47" t="inlineStr">
        <is>
          <t>把流程、工具和步驟整理清楚，讓大家容易照著做</t>
        </is>
      </c>
      <c r="G22" t="n">
        <v>1</v>
      </c>
      <c r="H22">
        <f>IF(E22="","",E22*G22)</f>
        <v/>
      </c>
      <c r="I22">
        <f>'97_PROD_WEIGHTS'!C19</f>
        <v/>
      </c>
      <c r="J22">
        <f>IF(H22="","",I22*H22^2)</f>
        <v/>
      </c>
    </row>
    <row r="23">
      <c r="A23" t="n">
        <v>19</v>
      </c>
      <c r="B23" t="inlineStr">
        <is>
          <t>G06</t>
        </is>
      </c>
      <c r="C23" s="47" t="inlineStr">
        <is>
          <t>遇到一個值得投入、但還不知道會怎麼發展的新方向時，你比較像……</t>
        </is>
      </c>
      <c r="D23" s="47" t="inlineStr">
        <is>
          <t>選擇穩定投入，慢慢累積和加深</t>
        </is>
      </c>
      <c r="E23" s="50" t="n"/>
      <c r="F23" s="47" t="inlineStr">
        <is>
          <t>趁還有空間時先開始，讓行動告訴自己下一步怎麼走</t>
        </is>
      </c>
      <c r="G23" t="n">
        <v>-1</v>
      </c>
      <c r="H23">
        <f>IF(E23="","",E23*G23)</f>
        <v/>
      </c>
      <c r="I23">
        <f>'97_PROD_WEIGHTS'!C20</f>
        <v/>
      </c>
      <c r="J23">
        <f>IF(H23="","",I23*H23^2)</f>
        <v/>
      </c>
    </row>
    <row r="24">
      <c r="A24" t="n">
        <v>20</v>
      </c>
      <c r="B24" t="inlineStr">
        <is>
          <t>A10</t>
        </is>
      </c>
      <c r="C24" s="47" t="inlineStr">
        <is>
          <t>談到「真正的家」這種歸屬感時，你更接近哪一種？</t>
        </is>
      </c>
      <c r="D24" s="47" t="inlineStr">
        <is>
          <t>把現在這個世界和自己正在過的人類生活視為主要的家</t>
        </is>
      </c>
      <c r="E24" s="50" t="n"/>
      <c r="F24" s="47" t="inlineStr">
        <is>
          <t>常覺得真正的家更像在某個說不清楚的「別處」</t>
        </is>
      </c>
      <c r="G24" t="n">
        <v>-1</v>
      </c>
      <c r="H24">
        <f>IF(E24="","",E24*G24)</f>
        <v/>
      </c>
      <c r="I24">
        <f>'97_PROD_WEIGHTS'!C21</f>
        <v/>
      </c>
      <c r="J24">
        <f>IF(H24="","",I24*H24^2)</f>
        <v/>
      </c>
    </row>
    <row r="25">
      <c r="A25" t="n">
        <v>21</v>
      </c>
      <c r="B25" t="inlineStr">
        <is>
          <t>G15</t>
        </is>
      </c>
      <c r="C25" s="47" t="inlineStr">
        <is>
          <t>原本平穩的場合突然出現不同意見和節奏變化時，你比較常……</t>
        </is>
      </c>
      <c r="D25" s="47" t="inlineStr">
        <is>
          <t>先維持自己的節奏和清晰度，讓自己成為比較穩定的一方</t>
        </is>
      </c>
      <c r="E25" s="50" t="n"/>
      <c r="F25" s="47" t="inlineStr">
        <is>
          <t>很快跟著新的情況調整自己，直接回應正在發生的變化</t>
        </is>
      </c>
      <c r="G25" t="n">
        <v>-1</v>
      </c>
      <c r="H25">
        <f>IF(E25="","",E25*G25)</f>
        <v/>
      </c>
      <c r="I25">
        <f>'97_PROD_WEIGHTS'!C22</f>
        <v/>
      </c>
      <c r="J25">
        <f>IF(H25="","",I25*H25^2)</f>
        <v/>
      </c>
    </row>
    <row r="26">
      <c r="A26" t="n">
        <v>22</v>
      </c>
      <c r="B26" t="inlineStr">
        <is>
          <t>L21</t>
        </is>
      </c>
      <c r="C26" s="47" t="inlineStr">
        <is>
          <t>當很多人一起做事，而情況一再改變時，你比較傾向靠哪種方式維持下去？</t>
        </is>
      </c>
      <c r="D26" s="47" t="inlineStr">
        <is>
          <t>按當下情況調整策略和角色，先確保事情可以繼續進行</t>
        </is>
      </c>
      <c r="E26" s="50" t="n"/>
      <c r="F26" s="47" t="inlineStr">
        <is>
          <t>把誰負責什麼、誰做最後決定說清楚，讓大家按同一套方式做事</t>
        </is>
      </c>
      <c r="G26" t="n">
        <v>1</v>
      </c>
      <c r="H26">
        <f>IF(E26="","",E26*G26)</f>
        <v/>
      </c>
      <c r="I26">
        <f>'97_PROD_WEIGHTS'!C23</f>
        <v/>
      </c>
      <c r="J26">
        <f>IF(H26="","",I26*H26^2)</f>
        <v/>
      </c>
    </row>
    <row r="27">
      <c r="A27" t="n">
        <v>23</v>
      </c>
      <c r="B27" t="inlineStr">
        <is>
          <t>G09</t>
        </is>
      </c>
      <c r="C27" s="47" t="inlineStr">
        <is>
          <t>加入一個已有清楚規則和分工的合作時，你比較自然會……</t>
        </is>
      </c>
      <c r="D27" s="47" t="inlineStr">
        <is>
          <t>接受大家共同定下的規則和角色，在範圍內做好自己的部分</t>
        </is>
      </c>
      <c r="E27" s="50" t="n"/>
      <c r="F27" s="47" t="inlineStr">
        <is>
          <t>保留重新談條件和自己決定做法的空間</t>
        </is>
      </c>
      <c r="G27" t="n">
        <v>1</v>
      </c>
      <c r="H27">
        <f>IF(E27="","",E27*G27)</f>
        <v/>
      </c>
      <c r="I27">
        <f>'97_PROD_WEIGHTS'!C24</f>
        <v/>
      </c>
      <c r="J27">
        <f>IF(H27="","",I27*H27^2)</f>
        <v/>
      </c>
    </row>
    <row r="28">
      <c r="A28" t="n">
        <v>24</v>
      </c>
      <c r="B28" t="inlineStr">
        <is>
          <t>L28</t>
        </is>
      </c>
      <c r="C28" s="47" t="inlineStr">
        <is>
          <t>當幾個人對下一步各有想法、但還沒有明顯衝突時，你比較自然會……</t>
        </is>
      </c>
      <c r="D28" s="47" t="inlineStr">
        <is>
          <t>整理大家真正需要什麼，幫大家找出都能接受的做法</t>
        </is>
      </c>
      <c r="E28" s="50" t="n"/>
      <c r="F28" s="47" t="inlineStr">
        <is>
          <t>維持一套穩定方向和原則，讓大家有共同依據</t>
        </is>
      </c>
      <c r="G28" t="n">
        <v>1</v>
      </c>
      <c r="H28">
        <f>IF(E28="","",E28*G28)</f>
        <v/>
      </c>
      <c r="I28">
        <f>'97_PROD_WEIGHTS'!C25</f>
        <v/>
      </c>
      <c r="J28">
        <f>IF(H28="","",I28*H28^2)</f>
        <v/>
      </c>
    </row>
    <row r="29">
      <c r="A29" t="n">
        <v>25</v>
      </c>
      <c r="B29" t="inlineStr">
        <is>
          <t>G11</t>
        </is>
      </c>
      <c r="C29" s="47" t="inlineStr">
        <is>
          <t>一個新機會看起來有潛力，但還有不少未知時，你通常會……</t>
        </is>
      </c>
      <c r="D29" s="47" t="inlineStr">
        <is>
          <t>先開始做，再一邊行動一邊補足資訊</t>
        </is>
      </c>
      <c r="E29" s="50" t="n"/>
      <c r="F29" s="47" t="inlineStr">
        <is>
          <t>先繼續觀察，等了解得更清楚再開始</t>
        </is>
      </c>
      <c r="G29" t="n">
        <v>-1</v>
      </c>
      <c r="H29">
        <f>IF(E29="","",E29*G29)</f>
        <v/>
      </c>
      <c r="I29">
        <f>'97_PROD_WEIGHTS'!C26</f>
        <v/>
      </c>
      <c r="J29">
        <f>IF(H29="","",I29*H29^2)</f>
        <v/>
      </c>
    </row>
    <row r="30">
      <c r="A30" t="n">
        <v>26</v>
      </c>
      <c r="B30" t="inlineStr">
        <is>
          <t>L33</t>
        </is>
      </c>
      <c r="C30" s="47" t="inlineStr">
        <is>
          <t>當原本的做法限制了你想完成的事情時，你比較自然會……</t>
        </is>
      </c>
      <c r="D30" s="47" t="inlineStr">
        <is>
          <t>先看清整體情況，再把新的理解說給相關的人聽</t>
        </is>
      </c>
      <c r="E30" s="50" t="n"/>
      <c r="F30" s="47" t="inlineStr">
        <is>
          <t>重談或改掉那些限制，必要時換一個更自由的做法</t>
        </is>
      </c>
      <c r="G30" t="n">
        <v>1</v>
      </c>
      <c r="H30">
        <f>IF(E30="","",E30*G30)</f>
        <v/>
      </c>
      <c r="I30">
        <f>'97_PROD_WEIGHTS'!C27</f>
        <v/>
      </c>
      <c r="J30">
        <f>IF(H30="","",I30*H30^2)</f>
        <v/>
      </c>
    </row>
    <row r="31">
      <c r="A31" t="n">
        <v>27</v>
      </c>
      <c r="B31" t="inlineStr">
        <is>
          <t>A01</t>
        </is>
      </c>
      <c r="C31" s="47" t="inlineStr">
        <is>
          <t>當熟悉的生活環境已經改變，你需要重新找回「像家」的感覺時，哪個方向更吸引你？</t>
        </is>
      </c>
      <c r="D31" s="47" t="inlineStr">
        <is>
          <t>重新找回熟悉的簡單、清楚、安全又安定的感覺</t>
        </is>
      </c>
      <c r="E31" s="50" t="n"/>
      <c r="F31" s="47" t="inlineStr">
        <is>
          <t>建立一種不需要照著以前樣子的全新生活方式</t>
        </is>
      </c>
      <c r="G31" t="n">
        <v>-1</v>
      </c>
      <c r="H31">
        <f>IF(E31="","",E31*G31)</f>
        <v/>
      </c>
      <c r="I31">
        <f>'97_PROD_WEIGHTS'!C28</f>
        <v/>
      </c>
      <c r="J31">
        <f>IF(H31="","",I31*H31^2)</f>
        <v/>
      </c>
    </row>
    <row r="32">
      <c r="A32" t="n">
        <v>28</v>
      </c>
      <c r="B32" t="inlineStr">
        <is>
          <t>L01</t>
        </is>
      </c>
      <c r="C32" s="47" t="inlineStr">
        <is>
          <t>一個小群體的氣氛開始緊繃時，你比較自然會……</t>
        </is>
      </c>
      <c r="D32" s="47" t="inlineStr">
        <is>
          <t>先調整空間、聲音、光線或節奏，讓整體氣氛舒服一點</t>
        </is>
      </c>
      <c r="E32" s="50" t="n"/>
      <c r="F32" s="47" t="inlineStr">
        <is>
          <t>先感受大家的情緒，讓人覺得有被理解和接住</t>
        </is>
      </c>
      <c r="G32" t="n">
        <v>1</v>
      </c>
      <c r="H32">
        <f>IF(E32="","",E32*G32)</f>
        <v/>
      </c>
      <c r="I32">
        <f>'97_PROD_WEIGHTS'!C29</f>
        <v/>
      </c>
      <c r="J32">
        <f>IF(H32="","",I32*H32^2)</f>
        <v/>
      </c>
    </row>
    <row r="33">
      <c r="A33" t="n">
        <v>29</v>
      </c>
      <c r="B33" t="inlineStr">
        <is>
          <t>G04</t>
        </is>
      </c>
      <c r="C33" s="47" t="inlineStr">
        <is>
          <t>遇到一個對你有意義、但還不能完全確定的說法時，你比較傾向……</t>
        </is>
      </c>
      <c r="D33" s="47" t="inlineStr">
        <is>
          <t>先把直覺或親身經驗當成一個暫時方向，邊使用邊修正</t>
        </is>
      </c>
      <c r="E33" s="50" t="n"/>
      <c r="F33" s="47" t="inlineStr">
        <is>
          <t>先找理由、證據和可能推翻它的例子，再決定相信多少</t>
        </is>
      </c>
      <c r="G33" t="n">
        <v>1</v>
      </c>
      <c r="H33">
        <f>IF(E33="","",E33*G33)</f>
        <v/>
      </c>
      <c r="I33">
        <f>'97_PROD_WEIGHTS'!C30</f>
        <v/>
      </c>
      <c r="J33">
        <f>IF(H33="","",I33*H33^2)</f>
        <v/>
      </c>
    </row>
    <row r="34">
      <c r="A34" t="n">
        <v>30</v>
      </c>
      <c r="B34" t="inlineStr">
        <is>
          <t>L34</t>
        </is>
      </c>
      <c r="C34" s="47" t="inlineStr">
        <is>
          <t>當你終於得到一段不受原本規則限制的空間時，你最想用它來……</t>
        </is>
      </c>
      <c r="D34" s="47" t="inlineStr">
        <is>
          <t>改掉限制自己的規則或做法，讓自己的選擇更自由</t>
        </is>
      </c>
      <c r="E34" s="50" t="n"/>
      <c r="F34" s="47" t="inlineStr">
        <is>
          <t>把不同領域的想法放在一起試，發展新的可能</t>
        </is>
      </c>
      <c r="G34" t="n">
        <v>-1</v>
      </c>
      <c r="H34">
        <f>IF(E34="","",E34*G34)</f>
        <v/>
      </c>
      <c r="I34">
        <f>'97_PROD_WEIGHTS'!C31</f>
        <v/>
      </c>
      <c r="J34">
        <f>IF(H34="","",I34*H34^2)</f>
        <v/>
      </c>
    </row>
    <row r="35">
      <c r="A35" t="n">
        <v>31</v>
      </c>
      <c r="B35" t="inlineStr">
        <is>
          <t>G26</t>
        </is>
      </c>
      <c r="C35" s="47" t="inlineStr">
        <is>
          <t>遇到一個反覆出現的合作問題時，你比較自然從哪裡開始處理？</t>
        </is>
      </c>
      <c r="D35" s="47" t="inlineStr">
        <is>
          <t>弄清楚誰能決定、誰帶頭、誰負責執行</t>
        </is>
      </c>
      <c r="E35" s="50" t="n"/>
      <c r="F35" s="47" t="inlineStr">
        <is>
          <t>找出各部分怎樣互相影響，以及是哪個流程造成問題</t>
        </is>
      </c>
      <c r="G35" t="n">
        <v>1</v>
      </c>
      <c r="H35">
        <f>IF(E35="","",E35*G35)</f>
        <v/>
      </c>
      <c r="I35">
        <f>'97_PROD_WEIGHTS'!C32</f>
        <v/>
      </c>
      <c r="J35">
        <f>IF(H35="","",I35*H35^2)</f>
        <v/>
      </c>
    </row>
    <row r="36">
      <c r="A36" t="n">
        <v>32</v>
      </c>
      <c r="B36" t="inlineStr">
        <is>
          <t>L11</t>
        </is>
      </c>
      <c r="C36" s="47" t="inlineStr">
        <is>
          <t>當你遇到一個內容牽涉很多方面的新說法時，你比較自然會……</t>
        </is>
      </c>
      <c r="D36" s="47" t="inlineStr">
        <is>
          <t>追問理由、證據和矛盾的地方，看看它到底站不站得住</t>
        </is>
      </c>
      <c r="E36" s="50" t="n"/>
      <c r="F36" s="47" t="inlineStr">
        <is>
          <t>先看整體，把各部分怎樣連起來整理清楚，再說給其他人聽</t>
        </is>
      </c>
      <c r="G36" t="n">
        <v>-1</v>
      </c>
      <c r="H36">
        <f>IF(E36="","",E36*G36)</f>
        <v/>
      </c>
      <c r="I36">
        <f>'97_PROD_WEIGHTS'!C33</f>
        <v/>
      </c>
      <c r="J36">
        <f>IF(H36="","",I36*H36^2)</f>
        <v/>
      </c>
    </row>
    <row r="37">
      <c r="A37" t="n">
        <v>33</v>
      </c>
      <c r="B37" t="inlineStr">
        <is>
          <t>G20</t>
        </is>
      </c>
      <c r="C37" s="47" t="inlineStr">
        <is>
          <t>如果不談家鄉或國籍，你覺得自己主要屬於哪裡？</t>
        </is>
      </c>
      <c r="D37" s="47" t="inlineStr">
        <is>
          <t>我常覺得真正屬於自己的地方不在這裡，而是在某個說不清楚的別處</t>
        </is>
      </c>
      <c r="E37" s="50" t="n"/>
      <c r="F37" s="47" t="inlineStr">
        <is>
          <t>我的歸屬主要在現在的人類生活、關係和每天的生活中</t>
        </is>
      </c>
      <c r="G37" t="n">
        <v>1</v>
      </c>
      <c r="H37">
        <f>IF(E37="","",E37*G37)</f>
        <v/>
      </c>
      <c r="I37">
        <f>'97_PROD_WEIGHTS'!C34</f>
        <v/>
      </c>
      <c r="J37">
        <f>IF(H37="","",I37*H37^2)</f>
        <v/>
      </c>
    </row>
    <row r="38">
      <c r="A38" t="n">
        <v>34</v>
      </c>
      <c r="B38" t="inlineStr">
        <is>
          <t>A11</t>
        </is>
      </c>
      <c r="C38" s="47" t="inlineStr">
        <is>
          <t>當你想保護一件重要、但還不用立刻處理的事時，你比較自然會……</t>
        </is>
      </c>
      <c r="D38" s="47" t="inlineStr">
        <is>
          <t>比較早接手處理，再按當下情況繼續調整</t>
        </is>
      </c>
      <c r="E38" s="50" t="n"/>
      <c r="F38" s="47" t="inlineStr">
        <is>
          <t>先觀察和準備，等真正需要時才出手，而且只做必要的部分</t>
        </is>
      </c>
      <c r="G38" t="n">
        <v>1</v>
      </c>
      <c r="H38">
        <f>IF(E38="","",E38*G38)</f>
        <v/>
      </c>
      <c r="I38">
        <f>'97_PROD_WEIGHTS'!C35</f>
        <v/>
      </c>
      <c r="J38">
        <f>IF(H38="","",I38*H38^2)</f>
        <v/>
      </c>
    </row>
    <row r="39">
      <c r="A39" t="n">
        <v>35</v>
      </c>
      <c r="B39" t="inlineStr">
        <is>
          <t>G05</t>
        </is>
      </c>
      <c r="C39" s="47" t="inlineStr">
        <is>
          <t>當一個團隊讓你覺得「哪裡不對」，但原因還不清楚時，你比較容易先從……</t>
        </is>
      </c>
      <c r="D39" s="47" t="inlineStr">
        <is>
          <t>現場的情緒變化和大家的互動氣氛去感受問題</t>
        </is>
      </c>
      <c r="E39" s="50" t="n"/>
      <c r="F39" s="47" t="inlineStr">
        <is>
          <t>流程、分工和各環節怎樣互相影響去找問題</t>
        </is>
      </c>
      <c r="G39" t="n">
        <v>1</v>
      </c>
      <c r="H39">
        <f>IF(E39="","",E39*G39)</f>
        <v/>
      </c>
      <c r="I39">
        <f>'97_PROD_WEIGHTS'!C36</f>
        <v/>
      </c>
      <c r="J39">
        <f>IF(H39="","",I39*H39^2)</f>
        <v/>
      </c>
    </row>
    <row r="40">
      <c r="A40" t="n">
        <v>36</v>
      </c>
      <c r="B40" t="inlineStr">
        <is>
          <t>L16</t>
        </is>
      </c>
      <c r="C40" s="47" t="inlineStr">
        <is>
          <t>當一個新群體還沒有形成自己的做法時，你比較自然會做哪一種事？</t>
        </is>
      </c>
      <c r="D40" s="47" t="inlineStr">
        <is>
          <t>走到前面定出方向，開始建立新的做法和成果</t>
        </is>
      </c>
      <c r="E40" s="50" t="n"/>
      <c r="F40" s="47" t="inlineStr">
        <is>
          <t>先看誰適合加入、界線要怎樣守住，真的需要時才出手</t>
        </is>
      </c>
      <c r="G40" t="n">
        <v>-1</v>
      </c>
      <c r="H40">
        <f>IF(E40="","",E40*G40)</f>
        <v/>
      </c>
      <c r="I40">
        <f>'97_PROD_WEIGHTS'!C37</f>
        <v/>
      </c>
      <c r="J40">
        <f>IF(H40="","",I40*H40^2)</f>
        <v/>
      </c>
    </row>
    <row r="41">
      <c r="A41" t="n">
        <v>37</v>
      </c>
      <c r="B41" t="inlineStr">
        <is>
          <t>G19</t>
        </is>
      </c>
      <c r="C41" s="47" t="inlineStr">
        <is>
          <t>你想讓一個有價值的方法繼續傳下去時，你比較自然會……</t>
        </is>
      </c>
      <c r="D41" s="47" t="inlineStr">
        <is>
          <t>把它整理成別人能理解、學會和傳下去的內容</t>
        </is>
      </c>
      <c r="E41" s="50" t="n"/>
      <c r="F41" s="47" t="inlineStr">
        <is>
          <t>把它做成一套別人可以長期使用、維護和改進的做法</t>
        </is>
      </c>
      <c r="G41" t="n">
        <v>-1</v>
      </c>
      <c r="H41">
        <f>IF(E41="","",E41*G41)</f>
        <v/>
      </c>
      <c r="I41">
        <f>'97_PROD_WEIGHTS'!C38</f>
        <v/>
      </c>
      <c r="J41">
        <f>IF(H41="","",I41*H41^2)</f>
        <v/>
      </c>
    </row>
    <row r="42">
      <c r="A42" t="n">
        <v>38</v>
      </c>
      <c r="B42" t="inlineStr">
        <is>
          <t>L02</t>
        </is>
      </c>
      <c r="C42" s="47" t="inlineStr">
        <is>
          <t>在一個你關心的群體中，你的注意力比較自然落在哪裡？</t>
        </is>
      </c>
      <c r="D42" s="47" t="inlineStr">
        <is>
          <t>一對一的深度信任，以及怎樣讓重要的關係更牢靠</t>
        </is>
      </c>
      <c r="E42" s="50" t="n"/>
      <c r="F42" s="47" t="inlineStr">
        <is>
          <t>整體氣氛和大家的感受，以及怎樣讓不同的人都覺得被理解</t>
        </is>
      </c>
      <c r="G42" t="n">
        <v>1</v>
      </c>
      <c r="H42">
        <f>IF(E42="","",E42*G42)</f>
        <v/>
      </c>
      <c r="I42">
        <f>'97_PROD_WEIGHTS'!C39</f>
        <v/>
      </c>
      <c r="J42">
        <f>IF(H42="","",I42*H42^2)</f>
        <v/>
      </c>
    </row>
    <row r="43">
      <c r="A43" t="n">
        <v>39</v>
      </c>
      <c r="B43" t="inlineStr">
        <is>
          <t>G10</t>
        </is>
      </c>
      <c r="C43" s="47" t="inlineStr">
        <is>
          <t>很多人需要一起做決定時，你比較偏好……</t>
        </is>
      </c>
      <c r="D43" s="47" t="inlineStr">
        <is>
          <t>由一個人或少數人做最後決定，再把工作分配下去</t>
        </is>
      </c>
      <c r="E43" s="50" t="n"/>
      <c r="F43" s="47" t="inlineStr">
        <is>
          <t>讓相關的人一起討論、一起決定</t>
        </is>
      </c>
      <c r="G43" t="n">
        <v>-1</v>
      </c>
      <c r="H43">
        <f>IF(E43="","",E43*G43)</f>
        <v/>
      </c>
      <c r="I43">
        <f>'97_PROD_WEIGHTS'!C40</f>
        <v/>
      </c>
      <c r="J43">
        <f>IF(H43="","",I43*H43^2)</f>
        <v/>
      </c>
    </row>
    <row r="44">
      <c r="A44" t="n">
        <v>40</v>
      </c>
      <c r="B44" t="inlineStr">
        <is>
          <t>L24</t>
        </is>
      </c>
      <c r="C44" s="47" t="inlineStr">
        <is>
          <t>一個大型計畫同時有很多小組在做時，你比較傾向怎麼安排？</t>
        </is>
      </c>
      <c r="D44" s="47" t="inlineStr">
        <is>
          <t>讓每個小組都清楚誰負責、誰最後拍板，決定可以直接變成行動</t>
        </is>
      </c>
      <c r="E44" s="50" t="n"/>
      <c r="F44" s="47" t="inlineStr">
        <is>
          <t>先定好整體規則、資源怎樣分，以及各小組要負責什麼</t>
        </is>
      </c>
      <c r="G44" t="n">
        <v>-1</v>
      </c>
      <c r="H44">
        <f>IF(E44="","",E44*G44)</f>
        <v/>
      </c>
      <c r="I44">
        <f>'97_PROD_WEIGHTS'!C41</f>
        <v/>
      </c>
      <c r="J44">
        <f>IF(H44="","",I44*H44^2)</f>
        <v/>
      </c>
    </row>
    <row r="45">
      <c r="A45" t="n">
        <v>41</v>
      </c>
      <c r="B45" t="inlineStr">
        <is>
          <t>A03</t>
        </is>
      </c>
      <c r="C45" s="47" t="inlineStr">
        <is>
          <t>一個新局面突然出現，但情況還不完全清楚時，你比較自然怎麼開始？</t>
        </is>
      </c>
      <c r="D45" s="47" t="inlineStr">
        <is>
          <t>先帶頭做第一步，讓事情開始往前</t>
        </is>
      </c>
      <c r="E45" s="50" t="n"/>
      <c r="F45" s="47" t="inlineStr">
        <is>
          <t>先不要投入太多，觀察風險和情況後再加深參與</t>
        </is>
      </c>
      <c r="G45" t="n">
        <v>1</v>
      </c>
      <c r="H45">
        <f>IF(E45="","",E45*G45)</f>
        <v/>
      </c>
      <c r="I45">
        <f>'97_PROD_WEIGHTS'!C42</f>
        <v/>
      </c>
      <c r="J45">
        <f>IF(H45="","",I45*H45^2)</f>
        <v/>
      </c>
    </row>
    <row r="46">
      <c r="A46" t="n">
        <v>42</v>
      </c>
      <c r="B46" t="inlineStr">
        <is>
          <t>L04</t>
        </is>
      </c>
      <c r="C46" s="47" t="inlineStr">
        <is>
          <t>和一個重要的人相處開始變得僵硬時，你比較傾向……</t>
        </is>
      </c>
      <c r="D46" s="47" t="inlineStr">
        <is>
          <t>花時間談彼此的信任和承諾，重新拉近關係</t>
        </is>
      </c>
      <c r="E46" s="50" t="n"/>
      <c r="F46" s="47" t="inlineStr">
        <is>
          <t>先調整相處的空間和節奏，讓氣氛舒服一點</t>
        </is>
      </c>
      <c r="G46" t="n">
        <v>1</v>
      </c>
      <c r="H46">
        <f>IF(E46="","",E46*G46)</f>
        <v/>
      </c>
      <c r="I46">
        <f>'97_PROD_WEIGHTS'!C43</f>
        <v/>
      </c>
      <c r="J46">
        <f>IF(H46="","",I46*H46^2)</f>
        <v/>
      </c>
    </row>
    <row r="47">
      <c r="A47" t="n">
        <v>43</v>
      </c>
      <c r="B47" t="inlineStr">
        <is>
          <t>G07</t>
        </is>
      </c>
      <c r="C47" s="47" t="inlineStr">
        <is>
          <t>要理解一個複雜問題時，你比較自然把注意力放在哪裡？</t>
        </is>
      </c>
      <c r="D47" s="47" t="inlineStr">
        <is>
          <t>先看眼前的細節和實際正在發生什麼</t>
        </is>
      </c>
      <c r="E47" s="50" t="n"/>
      <c r="F47" s="47" t="inlineStr">
        <is>
          <t>先看整體、各部分怎樣連起來，以及可能有什麼長遠影響</t>
        </is>
      </c>
      <c r="G47" t="n">
        <v>1</v>
      </c>
      <c r="H47">
        <f>IF(E47="","",E47*G47)</f>
        <v/>
      </c>
      <c r="I47">
        <f>'97_PROD_WEIGHTS'!C44</f>
        <v/>
      </c>
      <c r="J47">
        <f>IF(H47="","",I47*H47^2)</f>
        <v/>
      </c>
    </row>
    <row r="48">
      <c r="A48" t="n">
        <v>44</v>
      </c>
      <c r="B48" t="inlineStr">
        <is>
          <t>L03</t>
        </is>
      </c>
      <c r="C48" s="47" t="inlineStr">
        <is>
          <t>一個讓你在意的環境開始變得混亂、不協調時，你比較想先……</t>
        </is>
      </c>
      <c r="D48" s="47" t="inlineStr">
        <is>
          <t>處理當下人與人之間的情緒和氣氛，讓大家重新能好好互動</t>
        </is>
      </c>
      <c r="E48" s="50" t="n"/>
      <c r="F48" s="47" t="inlineStr">
        <is>
          <t>把環境整理回更簡單、清楚、安穩的狀態</t>
        </is>
      </c>
      <c r="G48" t="n">
        <v>-1</v>
      </c>
      <c r="H48">
        <f>IF(E48="","",E48*G48)</f>
        <v/>
      </c>
      <c r="I48">
        <f>'97_PROD_WEIGHTS'!C45</f>
        <v/>
      </c>
      <c r="J48">
        <f>IF(H48="","",I48*H48^2)</f>
        <v/>
      </c>
    </row>
    <row r="49">
      <c r="A49" t="n">
        <v>45</v>
      </c>
      <c r="B49" t="inlineStr">
        <is>
          <t>G12</t>
        </is>
      </c>
      <c r="C49" s="47" t="inlineStr">
        <is>
          <t>當分歧已經很明顯，雙方也知道彼此不同意時，你通常會……</t>
        </is>
      </c>
      <c r="D49" s="47" t="inlineStr">
        <is>
          <t>先降低張力或用比較間接的方式，等情況緩和後再處理</t>
        </is>
      </c>
      <c r="E49" s="50" t="n"/>
      <c r="F49" s="47" t="inlineStr">
        <is>
          <t>把最主要的不同直接說清楚，當面處理要決定的事</t>
        </is>
      </c>
      <c r="G49" t="n">
        <v>1</v>
      </c>
      <c r="H49">
        <f>IF(E49="","",E49*G49)</f>
        <v/>
      </c>
      <c r="I49">
        <f>'97_PROD_WEIGHTS'!C46</f>
        <v/>
      </c>
      <c r="J49">
        <f>IF(H49="","",I49*H49^2)</f>
        <v/>
      </c>
    </row>
    <row r="50">
      <c r="A50" t="n">
        <v>46</v>
      </c>
      <c r="B50" t="inlineStr">
        <is>
          <t>L25</t>
        </is>
      </c>
      <c r="C50" s="47" t="inlineStr">
        <is>
          <t>當別人想加入你已經在做的事情時，你比較自然怎麼決定要開放到什麼程度？</t>
        </is>
      </c>
      <c r="D50" s="47" t="inlineStr">
        <is>
          <t>按當下的風險、資源和現實情況調整，必要時改變原本做法</t>
        </is>
      </c>
      <c r="E50" s="50" t="n"/>
      <c r="F50" s="47" t="inlineStr">
        <is>
          <t>按自己原本設定的界線和方向決定，必要時仍然不開放</t>
        </is>
      </c>
      <c r="G50" t="n">
        <v>1</v>
      </c>
      <c r="H50">
        <f>IF(E50="","",E50*G50)</f>
        <v/>
      </c>
      <c r="I50">
        <f>'97_PROD_WEIGHTS'!C47</f>
        <v/>
      </c>
      <c r="J50">
        <f>IF(H50="","",I50*H50^2)</f>
        <v/>
      </c>
    </row>
    <row r="51">
      <c r="A51" t="n">
        <v>47</v>
      </c>
      <c r="B51" t="inlineStr">
        <is>
          <t>G14</t>
        </is>
      </c>
      <c r="C51" s="47" t="inlineStr">
        <is>
          <t>幾個人要完成一件彼此有關、但可以分開做的事情時，你比較偏好……</t>
        </is>
      </c>
      <c r="D51" s="47" t="inlineStr">
        <is>
          <t>一起決定問題和做法，邊協調邊把最後結果做出來</t>
        </is>
      </c>
      <c r="E51" s="50" t="n"/>
      <c r="F51" s="47" t="inlineStr">
        <is>
          <t>先各自做好自己的部分，再把它們接起來</t>
        </is>
      </c>
      <c r="G51" t="n">
        <v>-1</v>
      </c>
      <c r="H51">
        <f>IF(E51="","",E51*G51)</f>
        <v/>
      </c>
      <c r="I51">
        <f>'97_PROD_WEIGHTS'!C48</f>
        <v/>
      </c>
      <c r="J51">
        <f>IF(H51="","",I51*H51^2)</f>
        <v/>
      </c>
    </row>
    <row r="52">
      <c r="A52" t="n">
        <v>48</v>
      </c>
      <c r="B52" t="inlineStr">
        <is>
          <t>A05</t>
        </is>
      </c>
      <c r="C52" s="47" t="inlineStr">
        <is>
          <t>面對一個會不斷變化、又常出現不同模式的群體或事情時，你比較自然會……</t>
        </is>
      </c>
      <c r="D52" s="47" t="inlineStr">
        <is>
          <t>先持續收集資料、觀察變化規律，不急著動它</t>
        </is>
      </c>
      <c r="E52" s="50" t="n"/>
      <c r="F52" s="47" t="inlineStr">
        <is>
          <t>一看到哪裡失衡，就直接調整人或做法，讓事情重新順起來</t>
        </is>
      </c>
      <c r="G52" t="n">
        <v>-1</v>
      </c>
      <c r="H52">
        <f>IF(E52="","",E52*G52)</f>
        <v/>
      </c>
      <c r="I52">
        <f>'97_PROD_WEIGHTS'!C49</f>
        <v/>
      </c>
      <c r="J52">
        <f>IF(H52="","",I52*H52^2)</f>
        <v/>
      </c>
    </row>
    <row r="53">
      <c r="A53" t="n">
        <v>49</v>
      </c>
      <c r="B53" t="inlineStr">
        <is>
          <t>G22</t>
        </is>
      </c>
      <c r="C53" s="47" t="inlineStr">
        <is>
          <t>要改善一個你長期參與、也受到更大規則影響的地方時，你比較傾向……</t>
        </is>
      </c>
      <c r="D53" s="47" t="inlineStr">
        <is>
          <t>從自己每天參與的地方開始維護和照料，慢慢讓它變好</t>
        </is>
      </c>
      <c r="E53" s="50" t="n"/>
      <c r="F53" s="47" t="inlineStr">
        <is>
          <t>從更大的規則、分工和資源安排著手，改變整體做法</t>
        </is>
      </c>
      <c r="G53" t="n">
        <v>-1</v>
      </c>
      <c r="H53">
        <f>IF(E53="","",E53*G53)</f>
        <v/>
      </c>
      <c r="I53">
        <f>'97_PROD_WEIGHTS'!C50</f>
        <v/>
      </c>
      <c r="J53">
        <f>IF(H53="","",I53*H53^2)</f>
        <v/>
      </c>
    </row>
    <row r="54">
      <c r="A54" t="n">
        <v>50</v>
      </c>
      <c r="B54" t="inlineStr">
        <is>
          <t>L15</t>
        </is>
      </c>
      <c r="C54" s="47" t="inlineStr">
        <is>
          <t>面對一個影響很多人的改革想法時，你比較自然先追哪一類問題？</t>
        </is>
      </c>
      <c r="D54" s="47" t="inlineStr">
        <is>
          <t>先想清楚不同單位怎樣分工、資源怎樣分、誰負責什麼</t>
        </is>
      </c>
      <c r="E54" s="50" t="n"/>
      <c r="F54" s="47" t="inlineStr">
        <is>
          <t>先找哪些假設可能不成立，以及什麼情況下可能出問題</t>
        </is>
      </c>
      <c r="G54" t="n">
        <v>1</v>
      </c>
      <c r="H54">
        <f>IF(E54="","",E54*G54)</f>
        <v/>
      </c>
      <c r="I54">
        <f>'97_PROD_WEIGHTS'!C51</f>
        <v/>
      </c>
      <c r="J54">
        <f>IF(H54="","",I54*H54^2)</f>
        <v/>
      </c>
    </row>
    <row r="55">
      <c r="A55" t="n">
        <v>51</v>
      </c>
      <c r="B55" t="inlineStr">
        <is>
          <t>G21</t>
        </is>
      </c>
      <c r="C55" s="47" t="inlineStr">
        <is>
          <t>當兩套說法各自有證據、卻又互相矛盾時，你比較傾向……</t>
        </is>
      </c>
      <c r="D55" s="47" t="inlineStr">
        <is>
          <t>找一個能把兩邊都解釋得通的新理解</t>
        </is>
      </c>
      <c r="E55" s="50" t="n"/>
      <c r="F55" s="47" t="inlineStr">
        <is>
          <t>選一套比較能解決問題的主要說法，用它來判斷</t>
        </is>
      </c>
      <c r="G55" t="n">
        <v>-1</v>
      </c>
      <c r="H55">
        <f>IF(E55="","",E55*G55)</f>
        <v/>
      </c>
      <c r="I55">
        <f>'97_PROD_WEIGHTS'!C52</f>
        <v/>
      </c>
      <c r="J55">
        <f>IF(H55="","",I55*H55^2)</f>
        <v/>
      </c>
    </row>
    <row r="56">
      <c r="A56" t="n">
        <v>52</v>
      </c>
      <c r="B56" t="inlineStr">
        <is>
          <t>L18</t>
        </is>
      </c>
      <c r="C56" s="47" t="inlineStr">
        <is>
          <t>當有人反覆做了超出原本約定範圍的事，但情況仍然可控時，你比較自然會……</t>
        </is>
      </c>
      <c r="D56" s="47" t="inlineStr">
        <is>
          <t>立即把問題提出來，直接處理，讓合作回到正軌</t>
        </is>
      </c>
      <c r="E56" s="50" t="n"/>
      <c r="F56" s="47" t="inlineStr">
        <is>
          <t>先守住原本的界線，繼續觀察是不是真的需要更多行動</t>
        </is>
      </c>
      <c r="G56" t="n">
        <v>1</v>
      </c>
      <c r="H56">
        <f>IF(E56="","",E56*G56)</f>
        <v/>
      </c>
      <c r="I56">
        <f>'97_PROD_WEIGHTS'!C53</f>
        <v/>
      </c>
      <c r="J56">
        <f>IF(H56="","",I56*H56^2)</f>
        <v/>
      </c>
    </row>
    <row r="57">
      <c r="A57" t="n">
        <v>53</v>
      </c>
      <c r="B57" t="inlineStr">
        <is>
          <t>G30</t>
        </is>
      </c>
      <c r="C57" s="47" t="inlineStr">
        <is>
          <t>一個原本能運作的計畫因為情況改變而卡住時，你比較自然的第一步是……</t>
        </is>
      </c>
      <c r="D57" s="47" t="inlineStr">
        <is>
          <t>直接採取行動打破停滯，先處理最明顯的阻礙</t>
        </is>
      </c>
      <c r="E57" s="50" t="n"/>
      <c r="F57" s="47" t="inlineStr">
        <is>
          <t>先看清風險、限制和手上有哪些選擇，再調整做法讓事情繼續</t>
        </is>
      </c>
      <c r="G57" t="n">
        <v>-1</v>
      </c>
      <c r="H57">
        <f>IF(E57="","",E57*G57)</f>
        <v/>
      </c>
      <c r="I57">
        <f>'97_PROD_WEIGHTS'!C54</f>
        <v/>
      </c>
      <c r="J57">
        <f>IF(H57="","",I57*H57^2)</f>
        <v/>
      </c>
    </row>
    <row r="58">
      <c r="A58" t="n">
        <v>54</v>
      </c>
      <c r="B58" t="inlineStr">
        <is>
          <t>L35</t>
        </is>
      </c>
      <c r="C58" s="47" t="inlineStr">
        <is>
          <t>幾個群體對同一件事有不同看法時，你比較自然會提供哪一種幫助？</t>
        </is>
      </c>
      <c r="D58" s="47" t="inlineStr">
        <is>
          <t>先整理整件事的全貌，再用大家都聽得懂的方式說清楚</t>
        </is>
      </c>
      <c r="E58" s="50" t="n"/>
      <c r="F58" s="47" t="inlineStr">
        <is>
          <t>直接了解各方需要，幫大家談出都能接受的做法</t>
        </is>
      </c>
      <c r="G58" t="n">
        <v>-1</v>
      </c>
      <c r="H58">
        <f>IF(E58="","",E58*G58)</f>
        <v/>
      </c>
      <c r="I58">
        <f>'97_PROD_WEIGHTS'!C55</f>
        <v/>
      </c>
      <c r="J58">
        <f>IF(H58="","",I58*H58^2)</f>
        <v/>
      </c>
    </row>
    <row r="59">
      <c r="A59" t="n">
        <v>55</v>
      </c>
      <c r="B59" t="inlineStr">
        <is>
          <t>A07</t>
        </is>
      </c>
      <c r="C59" s="47" t="inlineStr">
        <is>
          <t>一段重要關係剛出現誤解，同時周圍其他人的情緒也受到影響時，你會先把力氣放在哪裡？</t>
        </is>
      </c>
      <c r="D59" s="47" t="inlineStr">
        <is>
          <t>先穩住整體氣氛和大家的情緒，再回頭處理那段關係</t>
        </is>
      </c>
      <c r="E59" s="50" t="n"/>
      <c r="F59" s="47" t="inlineStr">
        <is>
          <t>先修復兩人之間的信任和連結，再看其他影響</t>
        </is>
      </c>
      <c r="G59" t="n">
        <v>1</v>
      </c>
      <c r="H59">
        <f>IF(E59="","",E59*G59)</f>
        <v/>
      </c>
      <c r="I59">
        <f>'97_PROD_WEIGHTS'!C56</f>
        <v/>
      </c>
      <c r="J59">
        <f>IF(H59="","",I59*H59^2)</f>
        <v/>
      </c>
    </row>
    <row r="60">
      <c r="A60" t="n">
        <v>56</v>
      </c>
      <c r="B60" t="inlineStr">
        <is>
          <t>L27</t>
        </is>
      </c>
      <c r="C60" s="47" t="inlineStr">
        <is>
          <t>當你要長期保護一個大家共同使用的安排時，你比較偏好哪種做法？</t>
        </is>
      </c>
      <c r="D60" s="47" t="inlineStr">
        <is>
          <t>先把誰負責、誰最後決定說清楚，再按固定分工處理</t>
        </is>
      </c>
      <c r="E60" s="50" t="n"/>
      <c r="F60" s="47" t="inlineStr">
        <is>
          <t>看當下風險再調整誰出手、要怎樣保護</t>
        </is>
      </c>
      <c r="G60" t="n">
        <v>-1</v>
      </c>
      <c r="H60">
        <f>IF(E60="","",E60*G60)</f>
        <v/>
      </c>
      <c r="I60">
        <f>'97_PROD_WEIGHTS'!C57</f>
        <v/>
      </c>
      <c r="J60">
        <f>IF(H60="","",I60*H60^2)</f>
        <v/>
      </c>
    </row>
    <row r="61">
      <c r="A61" t="n">
        <v>57</v>
      </c>
      <c r="B61" t="inlineStr">
        <is>
          <t>G08</t>
        </is>
      </c>
      <c r="C61" s="47" t="inlineStr">
        <is>
          <t>面對一段沒有外在限制的生活安排，你比較喜歡……</t>
        </is>
      </c>
      <c r="D61" s="47" t="inlineStr">
        <is>
          <t>在熟悉的地方或路線上一直累積，讓生活越來越有延續感</t>
        </is>
      </c>
      <c r="E61" s="50" t="n"/>
      <c r="F61" s="47" t="inlineStr">
        <is>
          <t>在不同地方、路線或活動之間移動，透過變化增加經驗</t>
        </is>
      </c>
      <c r="G61" t="n">
        <v>1</v>
      </c>
      <c r="H61">
        <f>IF(E61="","",E61*G61)</f>
        <v/>
      </c>
      <c r="I61">
        <f>'97_PROD_WEIGHTS'!C58</f>
        <v/>
      </c>
      <c r="J61">
        <f>IF(H61="","",I61*H61^2)</f>
        <v/>
      </c>
    </row>
    <row r="62">
      <c r="A62" t="n">
        <v>58</v>
      </c>
      <c r="B62" t="inlineStr">
        <is>
          <t>L31</t>
        </is>
      </c>
      <c r="C62" s="47" t="inlineStr">
        <is>
          <t>面對一個複雜議題，需要讓多方都能繼續往下走時，你比較傾向……</t>
        </is>
      </c>
      <c r="D62" s="47" t="inlineStr">
        <is>
          <t>讓各方直接說出需要和限制，一起找下一步</t>
        </is>
      </c>
      <c r="E62" s="50" t="n"/>
      <c r="F62" s="47" t="inlineStr">
        <is>
          <t>先把整體情況說清楚，讓每一方知道彼此怎樣連在一起</t>
        </is>
      </c>
      <c r="G62" t="n">
        <v>1</v>
      </c>
      <c r="H62">
        <f>IF(E62="","",E62*G62)</f>
        <v/>
      </c>
      <c r="I62">
        <f>'97_PROD_WEIGHTS'!C59</f>
        <v/>
      </c>
      <c r="J62">
        <f>IF(H62="","",I62*H62^2)</f>
        <v/>
      </c>
    </row>
    <row r="63">
      <c r="A63" t="n">
        <v>59</v>
      </c>
      <c r="B63" t="inlineStr">
        <is>
          <t>G18</t>
        </is>
      </c>
      <c r="C63" s="47" t="inlineStr">
        <is>
          <t>有一段可以自由安排的時間和資源時，你比較自然會……</t>
        </is>
      </c>
      <c r="D63" s="47" t="inlineStr">
        <is>
          <t>做一件可以長期累積、持續維護的成果</t>
        </is>
      </c>
      <c r="E63" s="50" t="n"/>
      <c r="F63" s="47" t="inlineStr">
        <is>
          <t>用來嘗試不同路徑、環境或新經驗，保持探索空間</t>
        </is>
      </c>
      <c r="G63" t="n">
        <v>-1</v>
      </c>
      <c r="H63">
        <f>IF(E63="","",E63*G63)</f>
        <v/>
      </c>
      <c r="I63">
        <f>'97_PROD_WEIGHTS'!C60</f>
        <v/>
      </c>
      <c r="J63">
        <f>IF(H63="","",I63*H63^2)</f>
        <v/>
      </c>
    </row>
    <row r="64">
      <c r="A64" t="n">
        <v>60</v>
      </c>
      <c r="B64" t="inlineStr">
        <is>
          <t>L29</t>
        </is>
      </c>
      <c r="C64" s="47" t="inlineStr">
        <is>
          <t>規劃接下來一段時間時，如果目前環境的限制越來越多，你比較傾向……</t>
        </is>
      </c>
      <c r="D64" s="47" t="inlineStr">
        <is>
          <t>重談規則、改變做法，或換到更自由的位置</t>
        </is>
      </c>
      <c r="E64" s="50" t="n"/>
      <c r="F64" s="47" t="inlineStr">
        <is>
          <t>把時間放在不同領域和新的組合上，保持探索和創作</t>
        </is>
      </c>
      <c r="G64" t="n">
        <v>-1</v>
      </c>
      <c r="H64">
        <f>IF(E64="","",E64*G64)</f>
        <v/>
      </c>
      <c r="I64">
        <f>'97_PROD_WEIGHTS'!C61</f>
        <v/>
      </c>
      <c r="J64">
        <f>IF(H64="","",I64*H64^2)</f>
        <v/>
      </c>
    </row>
    <row r="65">
      <c r="A65" t="n">
        <v>61</v>
      </c>
      <c r="B65" t="inlineStr">
        <is>
          <t>G29</t>
        </is>
      </c>
      <c r="C65" s="47" t="inlineStr">
        <is>
          <t>當很多人對方向有明顯不同意見時，你比較自然會……</t>
        </is>
      </c>
      <c r="D65" s="47" t="inlineStr">
        <is>
          <t>整理大家相同和不同的地方，一起找能走下去的做法</t>
        </is>
      </c>
      <c r="E65" s="50" t="n"/>
      <c r="F65" s="47" t="inlineStr">
        <is>
          <t>直接把主要衝突說開，清楚處理彼此不同的立場</t>
        </is>
      </c>
      <c r="G65" t="n">
        <v>-1</v>
      </c>
      <c r="H65">
        <f>IF(E65="","",E65*G65)</f>
        <v/>
      </c>
      <c r="I65">
        <f>'97_PROD_WEIGHTS'!C62</f>
        <v/>
      </c>
      <c r="J65">
        <f>IF(H65="","",I65*H65^2)</f>
        <v/>
      </c>
    </row>
    <row r="66">
      <c r="A66" t="n">
        <v>62</v>
      </c>
      <c r="B66" t="inlineStr">
        <is>
          <t>A02</t>
        </is>
      </c>
      <c r="C66" s="47" t="inlineStr">
        <is>
          <t>一個新方案準備第一次正式使用時，你最自然先關注什麼？</t>
        </is>
      </c>
      <c r="D66" s="47" t="inlineStr">
        <is>
          <t>把步驟、工具和交接方法弄清楚，確保大家可以順利用起來</t>
        </is>
      </c>
      <c r="E66" s="50" t="n"/>
      <c r="F66" s="47" t="inlineStr">
        <is>
          <t>檢查哪些前提可能不成立，以及哪裡可能出現不容易發現的問題</t>
        </is>
      </c>
      <c r="G66" t="n">
        <v>-1</v>
      </c>
      <c r="H66">
        <f>IF(E66="","",E66*G66)</f>
        <v/>
      </c>
      <c r="I66">
        <f>'97_PROD_WEIGHTS'!C63</f>
        <v/>
      </c>
      <c r="J66">
        <f>IF(H66="","",I66*H66^2)</f>
        <v/>
      </c>
    </row>
    <row r="67">
      <c r="A67" t="n">
        <v>63</v>
      </c>
      <c r="B67" t="inlineStr">
        <is>
          <t>G16</t>
        </is>
      </c>
      <c r="C67" s="47" t="inlineStr">
        <is>
          <t>當一個人或一套做法的狀態需要修復時，你比較自然會扮演哪種角色？</t>
        </is>
      </c>
      <c r="D67" s="47" t="inlineStr">
        <is>
          <t>找出哪個環節出了問題，調整流程或結構讓它恢復正常</t>
        </is>
      </c>
      <c r="E67" s="50" t="n"/>
      <c r="F67" s="47" t="inlineStr">
        <is>
          <t>把照顧、支持或陪伴當成自己主要會做的事</t>
        </is>
      </c>
      <c r="G67" t="n">
        <v>1</v>
      </c>
      <c r="H67">
        <f>IF(E67="","",E67*G67)</f>
        <v/>
      </c>
      <c r="I67">
        <f>'97_PROD_WEIGHTS'!C64</f>
        <v/>
      </c>
      <c r="J67">
        <f>IF(H67="","",I67*H67^2)</f>
        <v/>
      </c>
    </row>
    <row r="68">
      <c r="A68" t="n">
        <v>64</v>
      </c>
      <c r="B68" t="inlineStr">
        <is>
          <t>L26</t>
        </is>
      </c>
      <c r="C68" s="47" t="inlineStr">
        <is>
          <t>如果你想長期守住一個共同活動的品質，你比較自然會……</t>
        </is>
      </c>
      <c r="D68" s="47" t="inlineStr">
        <is>
          <t>在真正有需要的時候，做有限而準確的調整</t>
        </is>
      </c>
      <c r="E68" s="50" t="n"/>
      <c r="F68" s="47" t="inlineStr">
        <is>
          <t>維持清楚的使用規則和界線，沒有必要就不多管</t>
        </is>
      </c>
      <c r="G68" t="n">
        <v>1</v>
      </c>
      <c r="H68">
        <f>IF(E68="","",E68*G68)</f>
        <v/>
      </c>
      <c r="I68">
        <f>'97_PROD_WEIGHTS'!C65</f>
        <v/>
      </c>
      <c r="J68">
        <f>IF(H68="","",I68*H68^2)</f>
        <v/>
      </c>
    </row>
    <row r="69">
      <c r="A69" t="n">
        <v>65</v>
      </c>
      <c r="B69" t="inlineStr">
        <is>
          <t>G25</t>
        </is>
      </c>
      <c r="C69" s="47" t="inlineStr">
        <is>
          <t>在一個長期共同計畫裡，你比較自然承擔哪種角色？</t>
        </is>
      </c>
      <c r="D69" s="47" t="inlineStr">
        <is>
          <t>把流程、資源或基礎一步步建好，並持續維護</t>
        </is>
      </c>
      <c r="E69" s="50" t="n"/>
      <c r="F69" s="47" t="inlineStr">
        <is>
          <t>負責保護重要的人、事和界線</t>
        </is>
      </c>
      <c r="G69" t="n">
        <v>1</v>
      </c>
      <c r="H69">
        <f>IF(E69="","",E69*G69)</f>
        <v/>
      </c>
      <c r="I69">
        <f>'97_PROD_WEIGHTS'!C66</f>
        <v/>
      </c>
      <c r="J69">
        <f>IF(H69="","",I69*H69^2)</f>
        <v/>
      </c>
    </row>
    <row r="70">
      <c r="A70" t="n">
        <v>66</v>
      </c>
      <c r="B70" t="inlineStr">
        <is>
          <t>L12</t>
        </is>
      </c>
      <c r="C70" s="47" t="inlineStr">
        <is>
          <t>一個跨很多單位的方案已經定出大方向時，你比較想負責……</t>
        </is>
      </c>
      <c r="D70" s="47" t="inlineStr">
        <is>
          <t>安排不同單位怎樣分工、資源怎樣分、誰負責什麼</t>
        </is>
      </c>
      <c r="E70" s="50" t="n"/>
      <c r="F70" s="47" t="inlineStr">
        <is>
          <t>把方案變成現場能照著做的流程和工具</t>
        </is>
      </c>
      <c r="G70" t="n">
        <v>1</v>
      </c>
      <c r="H70">
        <f>IF(E70="","",E70*G70)</f>
        <v/>
      </c>
      <c r="I70">
        <f>'97_PROD_WEIGHTS'!C67</f>
        <v/>
      </c>
      <c r="J70">
        <f>IF(H70="","",I70*H70^2)</f>
        <v/>
      </c>
    </row>
    <row r="71">
      <c r="A71" t="n">
        <v>67</v>
      </c>
      <c r="B71" t="inlineStr">
        <is>
          <t>G03</t>
        </is>
      </c>
      <c r="C71" s="47" t="inlineStr">
        <is>
          <t>想改善一個使用起來不太順的空間或服務時，你比較傾向……</t>
        </is>
      </c>
      <c r="D71" s="47" t="inlineStr">
        <is>
          <t>調整光線、聲音、材質、節奏或擺設，改變整體感受</t>
        </is>
      </c>
      <c r="E71" s="50" t="n"/>
      <c r="F71" s="47" t="inlineStr">
        <is>
          <t>找出流程和使用方式哪裡有問題，再調整得更好用</t>
        </is>
      </c>
      <c r="G71" t="n">
        <v>-1</v>
      </c>
      <c r="H71">
        <f>IF(E71="","",E71*G71)</f>
        <v/>
      </c>
      <c r="I71">
        <f>'97_PROD_WEIGHTS'!C68</f>
        <v/>
      </c>
      <c r="J71">
        <f>IF(H71="","",I71*H71^2)</f>
        <v/>
      </c>
    </row>
    <row r="72">
      <c r="A72" t="n">
        <v>68</v>
      </c>
      <c r="B72" t="inlineStr">
        <is>
          <t>L30</t>
        </is>
      </c>
      <c r="C72" s="47" t="inlineStr">
        <is>
          <t>一套重要做法需要長期延續時，你比較在意……</t>
        </is>
      </c>
      <c r="D72" s="47" t="inlineStr">
        <is>
          <t>核心內容和標準有沒有完整保留下來，並正確傳給下一個人</t>
        </is>
      </c>
      <c r="E72" s="50" t="n"/>
      <c r="F72" s="47" t="inlineStr">
        <is>
          <t>整體方向和節奏有沒有保持穩定，讓大家一直知道可以依循什麼</t>
        </is>
      </c>
      <c r="G72" t="n">
        <v>-1</v>
      </c>
      <c r="H72">
        <f>IF(E72="","",E72*G72)</f>
        <v/>
      </c>
      <c r="I72">
        <f>'97_PROD_WEIGHTS'!C69</f>
        <v/>
      </c>
      <c r="J72">
        <f>IF(H72="","",I72*H72^2)</f>
        <v/>
      </c>
    </row>
    <row r="73">
      <c r="A73" t="n">
        <v>69</v>
      </c>
      <c r="B73" t="inlineStr">
        <is>
          <t>A12</t>
        </is>
      </c>
      <c r="C73" s="47" t="inlineStr">
        <is>
          <t>當同一套規則在不同地方遇到不同例外時，你比較自然會設計哪種做法？</t>
        </is>
      </c>
      <c r="D73" s="47" t="inlineStr">
        <is>
          <t>讓各地方有清楚的負責人，遇到例外時可以直接判斷和處理</t>
        </is>
      </c>
      <c r="E73" s="50" t="n"/>
      <c r="F73" s="47" t="inlineStr">
        <is>
          <t>先訂一套所有地方都適用的例外處理原則和資源安排</t>
        </is>
      </c>
      <c r="G73" t="n">
        <v>-1</v>
      </c>
      <c r="H73">
        <f>IF(E73="","",E73*G73)</f>
        <v/>
      </c>
      <c r="I73">
        <f>'97_PROD_WEIGHTS'!C70</f>
        <v/>
      </c>
      <c r="J73">
        <f>IF(H73="","",I73*H73^2)</f>
        <v/>
      </c>
    </row>
    <row r="74">
      <c r="A74" t="n">
        <v>70</v>
      </c>
      <c r="B74" t="inlineStr">
        <is>
          <t>L23</t>
        </is>
      </c>
      <c r="C74" s="47" t="inlineStr">
        <is>
          <t>一個新的合作邀請，需要你決定自己要投入到什麼程度時，你比較傾向……</t>
        </is>
      </c>
      <c r="D74" s="47" t="inlineStr">
        <is>
          <t>按自己的界線先決定哪些部分可以開放、哪些要保留</t>
        </is>
      </c>
      <c r="E74" s="50" t="n"/>
      <c r="F74" s="47" t="inlineStr">
        <is>
          <t>先看情況和真正需要，再在最有幫助的時候投入</t>
        </is>
      </c>
      <c r="G74" t="n">
        <v>-1</v>
      </c>
      <c r="H74">
        <f>IF(E74="","",E74*G74)</f>
        <v/>
      </c>
      <c r="I74">
        <f>'97_PROD_WEIGHTS'!C71</f>
        <v/>
      </c>
      <c r="J74">
        <f>IF(H74="","",I74*H74^2)</f>
        <v/>
      </c>
    </row>
    <row r="75">
      <c r="A75" t="n">
        <v>71</v>
      </c>
      <c r="B75" t="inlineStr">
        <is>
          <t>L10</t>
        </is>
      </c>
      <c r="C75" s="47" t="inlineStr">
        <is>
          <t>一套流程已經穩定運作一段時間後，你比較自然把改進重點放在哪裡？</t>
        </is>
      </c>
      <c r="D75" s="47" t="inlineStr">
        <is>
          <t>把執行細節整理得更一致、更容易重複和維護</t>
        </is>
      </c>
      <c r="E75" s="50" t="n"/>
      <c r="F75" s="47" t="inlineStr">
        <is>
          <t>繼續找有哪些前提可能不成立，以及哪些問題平時不容易看到</t>
        </is>
      </c>
      <c r="G75" t="n">
        <v>-1</v>
      </c>
      <c r="H75">
        <f>IF(E75="","",E75*G75)</f>
        <v/>
      </c>
      <c r="I75">
        <f>'97_PROD_WEIGHTS'!C72</f>
        <v/>
      </c>
      <c r="J75">
        <f>IF(H75="","",I75*H75^2)</f>
        <v/>
      </c>
    </row>
    <row r="76">
      <c r="A76" t="n">
        <v>72</v>
      </c>
      <c r="B76" t="inlineStr">
        <is>
          <t>L13</t>
        </is>
      </c>
      <c r="C76" s="47" t="inlineStr">
        <is>
          <t>要把一個新的固定活動建立起來時，你比較自然會……</t>
        </is>
      </c>
      <c r="D76" s="47" t="inlineStr">
        <is>
          <t>把步驟、工具和交接方法設計清楚，讓每次都容易照著做</t>
        </is>
      </c>
      <c r="E76" s="50" t="n"/>
      <c r="F76" s="47" t="inlineStr">
        <is>
          <t>先定下清楚的方向和節奏，讓參與的人一直知道可以跟著什麼走</t>
        </is>
      </c>
      <c r="G76" t="n">
        <v>1</v>
      </c>
      <c r="H76">
        <f>IF(E76="","",E76*G76)</f>
        <v/>
      </c>
      <c r="I76">
        <f>'97_PROD_WEIGHTS'!C73</f>
        <v/>
      </c>
      <c r="J76">
        <f>IF(H76="","",I76*H76^2)</f>
        <v/>
      </c>
    </row>
    <row r="77">
      <c r="A77" t="n">
        <v>73</v>
      </c>
      <c r="B77" t="inlineStr">
        <is>
          <t>L22</t>
        </is>
      </c>
      <c r="C77" s="47" t="inlineStr">
        <is>
          <t>面對一件需要被保護、而且有很多人參與的事情時，你比較傾向……</t>
        </is>
      </c>
      <c r="D77" s="47" t="inlineStr">
        <is>
          <t>先說清楚誰負責、誰最後決定，大家按分工行動</t>
        </is>
      </c>
      <c r="E77" s="50" t="n"/>
      <c r="F77" s="47" t="inlineStr">
        <is>
          <t>先觀察情況，在真正需要時才出手幫忙</t>
        </is>
      </c>
      <c r="G77" t="n">
        <v>-1</v>
      </c>
      <c r="H77">
        <f>IF(E77="","",E77*G77)</f>
        <v/>
      </c>
      <c r="I77">
        <f>'97_PROD_WEIGHTS'!C74</f>
        <v/>
      </c>
      <c r="J77">
        <f>IF(H77="","",I77*H77^2)</f>
        <v/>
      </c>
    </row>
    <row r="78">
      <c r="A78" t="n">
        <v>74</v>
      </c>
      <c r="B78" t="inlineStr">
        <is>
          <t>L38</t>
        </is>
      </c>
      <c r="C78" s="47" t="inlineStr">
        <is>
          <t>如果你想改善自己長期生活的一個地方，你比較自然會從哪裡開始？</t>
        </is>
      </c>
      <c r="D78" s="47" t="inlineStr">
        <is>
          <t>持續參與維護和照料，讓這個地方的生活好好延續</t>
        </is>
      </c>
      <c r="E78" s="50" t="n"/>
      <c r="F78" s="47" t="inlineStr">
        <is>
          <t>把流程和工具做得更可靠，讓大家平時更好用</t>
        </is>
      </c>
      <c r="G78" t="n">
        <v>1</v>
      </c>
      <c r="H78">
        <f>IF(E78="","",E78*G78)</f>
        <v/>
      </c>
      <c r="I78">
        <f>'97_PROD_WEIGHTS'!C75</f>
        <v/>
      </c>
      <c r="J78">
        <f>IF(H78="","",I78*H78^2)</f>
        <v/>
      </c>
    </row>
    <row r="79">
      <c r="A79" t="n">
        <v>75</v>
      </c>
      <c r="B79" t="inlineStr">
        <is>
          <t>A08</t>
        </is>
      </c>
      <c r="C79" s="47" t="inlineStr">
        <is>
          <t>當一個共同方向已經存在，但參與者的需要一直在改變時，你比較自然會……</t>
        </is>
      </c>
      <c r="D79" s="47" t="inlineStr">
        <is>
          <t>持續了解大家需要什麼，幫大家重新談出下一步</t>
        </is>
      </c>
      <c r="E79" s="50" t="n"/>
      <c r="F79" s="47" t="inlineStr">
        <is>
          <t>維持清楚的方向和原則，讓大家有共同依據</t>
        </is>
      </c>
      <c r="G79" t="n">
        <v>1</v>
      </c>
      <c r="H79">
        <f>IF(E79="","",E79*G79)</f>
        <v/>
      </c>
      <c r="I79">
        <f>'97_PROD_WEIGHTS'!C76</f>
        <v/>
      </c>
      <c r="J79">
        <f>IF(H79="","",I79*H79^2)</f>
        <v/>
      </c>
    </row>
    <row r="80">
      <c r="A80" t="n">
        <v>76</v>
      </c>
      <c r="B80" t="inlineStr">
        <is>
          <t>L08</t>
        </is>
      </c>
      <c r="C80" s="47" t="inlineStr">
        <is>
          <t>如果有兩個同樣吸引你的自由選擇，你比較容易被哪一種吸引？</t>
        </is>
      </c>
      <c r="D80" s="47" t="inlineStr">
        <is>
          <t>可以讓你改掉多餘限制、離開舊做法，重新自己作主</t>
        </is>
      </c>
      <c r="E80" s="50" t="n"/>
      <c r="F80" s="47" t="inlineStr">
        <is>
          <t>可以讓你接觸很多不同領域和材料，再自由組合出新東西</t>
        </is>
      </c>
      <c r="G80" t="n">
        <v>-1</v>
      </c>
      <c r="H80">
        <f>IF(E80="","",E80*G80)</f>
        <v/>
      </c>
      <c r="I80">
        <f>'97_PROD_WEIGHTS'!C77</f>
        <v/>
      </c>
      <c r="J80">
        <f>IF(H80="","",I80*H80^2)</f>
        <v/>
      </c>
    </row>
    <row r="81">
      <c r="A81" t="n">
        <v>77</v>
      </c>
      <c r="B81" t="inlineStr">
        <is>
          <t>L17</t>
        </is>
      </c>
      <c r="C81" s="47" t="inlineStr">
        <is>
          <t>當一個明確的阻礙擋住正在進行的事情時，你比較自然怎麼處理？</t>
        </is>
      </c>
      <c r="D81" s="47" t="inlineStr">
        <is>
          <t>先看清風險、限制和手上有什麼，再決定怎樣繞過問題或減少影響</t>
        </is>
      </c>
      <c r="E81" s="50" t="n"/>
      <c r="F81" s="47" t="inlineStr">
        <is>
          <t>立刻正面處理阻礙，快速做第一步把事情推動起來</t>
        </is>
      </c>
      <c r="G81" t="n">
        <v>1</v>
      </c>
      <c r="H81">
        <f>IF(E81="","",E81*G81)</f>
        <v/>
      </c>
      <c r="I81">
        <f>'97_PROD_WEIGHTS'!C78</f>
        <v/>
      </c>
      <c r="J81">
        <f>IF(H81="","",I81*H81^2)</f>
        <v/>
      </c>
    </row>
    <row r="82">
      <c r="A82" t="n">
        <v>78</v>
      </c>
      <c r="B82" t="inlineStr">
        <is>
          <t>L20</t>
        </is>
      </c>
      <c r="C82" s="47" t="inlineStr">
        <is>
          <t>當外在條件改變，讓你重新決定自己要不要繼續參與時，你比較傾向……</t>
        </is>
      </c>
      <c r="D82" s="47" t="inlineStr">
        <is>
          <t>按自己原本的方向和界線決定留不留下</t>
        </is>
      </c>
      <c r="E82" s="50" t="n"/>
      <c r="F82" s="47" t="inlineStr">
        <is>
          <t>按目前的風險、資源和現實情況調整做法，必要時改變原本方向</t>
        </is>
      </c>
      <c r="G82" t="n">
        <v>-1</v>
      </c>
      <c r="H82">
        <f>IF(E82="","",E82*G82)</f>
        <v/>
      </c>
      <c r="I82">
        <f>'97_PROD_WEIGHTS'!C79</f>
        <v/>
      </c>
      <c r="J82">
        <f>IF(H82="","",I82*H82^2)</f>
        <v/>
      </c>
    </row>
    <row r="83">
      <c r="A83" t="n">
        <v>79</v>
      </c>
      <c r="B83" t="inlineStr">
        <is>
          <t>L09</t>
        </is>
      </c>
      <c r="C83" s="47" t="inlineStr">
        <is>
          <t>當你進入一個自由度很高、但做法還不太成形的計畫時，你最容易被哪種工作吸引？</t>
        </is>
      </c>
      <c r="D83" s="47" t="inlineStr">
        <is>
          <t>找出哪裡不順，重新整理做法，讓整體順起來</t>
        </is>
      </c>
      <c r="E83" s="50" t="n"/>
      <c r="F83" s="47" t="inlineStr">
        <is>
          <t>利用還沒定型的空間，跨不同領域探索新的想法</t>
        </is>
      </c>
      <c r="G83" t="n">
        <v>-1</v>
      </c>
      <c r="H83">
        <f>IF(E83="","",E83*G83)</f>
        <v/>
      </c>
      <c r="I83">
        <f>'97_PROD_WEIGHTS'!C80</f>
        <v/>
      </c>
      <c r="J83">
        <f>IF(H83="","",I83*H83^2)</f>
        <v/>
      </c>
    </row>
    <row r="84">
      <c r="A84" t="n">
        <v>80</v>
      </c>
      <c r="B84" t="inlineStr">
        <is>
          <t>A06</t>
        </is>
      </c>
      <c r="C84" s="47" t="inlineStr">
        <is>
          <t>當一個空間裡的互動開始變淡、彼此距離也增加時，你比較傾向先……</t>
        </is>
      </c>
      <c r="D84" s="47" t="inlineStr">
        <is>
          <t>直接回應人的情緒或實際需要，從互動和安排上調整</t>
        </is>
      </c>
      <c r="E84" s="50" t="n"/>
      <c r="F84" s="47" t="inlineStr">
        <is>
          <t>改變光線、聲音、材質或擺設，讓空間本身帶動氣氛</t>
        </is>
      </c>
      <c r="G84" t="n">
        <v>1</v>
      </c>
      <c r="H84">
        <f>IF(E84="","",E84*G84)</f>
        <v/>
      </c>
      <c r="I84">
        <f>'97_PROD_WEIGHTS'!C81</f>
        <v/>
      </c>
      <c r="J84">
        <f>IF(H84="","",I84*H84^2)</f>
        <v/>
      </c>
    </row>
  </sheetData>
  <mergeCells count="2">
    <mergeCell ref="A2:M2"/>
    <mergeCell ref="A1:M1"/>
  </mergeCells>
  <dataValidations count="1">
    <dataValidation sqref="E5:E84" showDropDown="0" showInputMessage="1" showErrorMessage="1" allowBlank="1" errorTitle="無效答案" error="請輸入 -3 至 +3 的整數。" promptTitle="作答" prompt="-3=偏左，0=兩者同樣自然／視情況，+3=偏右" type="whole" operator="between">
      <formula1>-3</formula1>
      <formula2>3</formula2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>
      <c r="A1" s="58" t="inlineStr">
        <is>
          <t>34 — Weighted Spherical Scoreboard</t>
        </is>
      </c>
    </row>
    <row r="2">
      <c r="A2" s="59" t="inlineStr">
        <is>
          <t>Primary result is one lineage only. Other scores are analytical. Full precision is used; tie group is defined by ε=1e−12 from the maximum score.</t>
        </is>
      </c>
    </row>
    <row r="3"/>
    <row r="4">
      <c r="A4" s="49" t="inlineStr">
        <is>
          <t>Response status</t>
        </is>
      </c>
      <c r="B4">
        <f>'33_RESPONSE_INPUT'!M8</f>
        <v/>
      </c>
    </row>
    <row r="5">
      <c r="A5" s="49" t="inlineStr">
        <is>
          <t>Tie tolerance</t>
        </is>
      </c>
      <c r="B5">
        <f>'32_PROD_CONTROL'!B11</f>
        <v/>
      </c>
    </row>
    <row r="6">
      <c r="A6" s="49" t="inlineStr">
        <is>
          <t>Max raw cosine</t>
        </is>
      </c>
      <c r="B6">
        <f>IF(B4="READY",MAX(F21:F43),"")</f>
        <v/>
      </c>
    </row>
    <row r="7">
      <c r="A7" s="49" t="inlineStr">
        <is>
          <t>Tie-group size</t>
        </is>
      </c>
      <c r="B7">
        <f>IF(B4="READY",COUNTIF(H21:H43,TRUE),"")</f>
        <v/>
      </c>
    </row>
    <row r="8">
      <c r="A8" s="49" t="inlineStr">
        <is>
          <t>Primary ID</t>
        </is>
      </c>
      <c r="B8">
        <f>IF(B4="READY",MIN(I21:I43),"")</f>
        <v/>
      </c>
    </row>
    <row r="9">
      <c r="A9" s="49" t="inlineStr">
        <is>
          <t>Primary lineage</t>
        </is>
      </c>
      <c r="B9">
        <f>IF(B8="","",INDEX(C21:C43,MATCH(B8,A21:A43,0)))</f>
        <v/>
      </c>
    </row>
    <row r="10">
      <c r="A10" s="49" t="inlineStr">
        <is>
          <t>Primary 中文</t>
        </is>
      </c>
      <c r="B10">
        <f>IF(B8="","",INDEX(B21:B43,MATCH(B8,A21:A43,0)))</f>
        <v/>
      </c>
    </row>
    <row r="11">
      <c r="A11" s="49" t="inlineStr">
        <is>
          <t>Primary score</t>
        </is>
      </c>
      <c r="B11">
        <f>IF(B8="","",INDEX(F21:F43,MATCH(B8,A21:A43,0)))</f>
        <v/>
      </c>
    </row>
    <row r="12">
      <c r="A12" s="49" t="inlineStr">
        <is>
          <t>Runner ID</t>
        </is>
      </c>
      <c r="B12">
        <f>IF(B4="READY",INDEX(A21:A43,MATCH(MAX(K21:K43),K21:K43,0)),"")</f>
        <v/>
      </c>
    </row>
    <row r="13">
      <c r="A13" s="49" t="inlineStr">
        <is>
          <t>Runner lineage</t>
        </is>
      </c>
      <c r="B13">
        <f>IF(B12="","",INDEX(C21:C43,MATCH(B12,A21:A43,0)))</f>
        <v/>
      </c>
    </row>
    <row r="14">
      <c r="A14" s="49" t="inlineStr">
        <is>
          <t>Runner score</t>
        </is>
      </c>
      <c r="B14">
        <f>IF(B12="","",INDEX(F21:F43,MATCH(B12,A21:A43,0)))</f>
        <v/>
      </c>
    </row>
    <row r="15">
      <c r="A15" s="49" t="inlineStr">
        <is>
          <t>Raw primary-runner gap</t>
        </is>
      </c>
      <c r="B15">
        <f>IF(B4="READY",B11-B14,"")</f>
        <v/>
      </c>
    </row>
    <row r="16">
      <c r="A16" s="49" t="inlineStr">
        <is>
          <t>Decision gap</t>
        </is>
      </c>
      <c r="B16">
        <f>IF(B4="READY",IF(ABS(B15)&lt;=B5,0,B15),"")</f>
        <v/>
      </c>
    </row>
    <row r="17"/>
    <row r="18"/>
    <row r="19"/>
    <row r="20">
      <c r="A20" s="60" t="inlineStr">
        <is>
          <t>ID</t>
        </is>
      </c>
      <c r="B20" s="60" t="inlineStr">
        <is>
          <t>中文</t>
        </is>
      </c>
      <c r="C20" s="60" t="inlineStr">
        <is>
          <t>English</t>
        </is>
      </c>
      <c r="D20" s="60" t="inlineStr">
        <is>
          <t>Prototype norm</t>
        </is>
      </c>
      <c r="E20" s="60" t="inlineStr">
        <is>
          <t>Weighted dot</t>
        </is>
      </c>
      <c r="F20" s="60" t="inlineStr">
        <is>
          <t>Cosine score</t>
        </is>
      </c>
      <c r="G20" s="60" t="inlineStr">
        <is>
          <t>Angular chord</t>
        </is>
      </c>
      <c r="H20" s="60" t="inlineStr">
        <is>
          <t>Within ε of max?</t>
        </is>
      </c>
      <c r="I20" s="60" t="inlineStr">
        <is>
          <t>Eligible ID</t>
        </is>
      </c>
      <c r="J20" s="60" t="inlineStr">
        <is>
          <t>Primary?</t>
        </is>
      </c>
      <c r="K20" s="60" t="inlineStr">
        <is>
          <t>Runner candidate</t>
        </is>
      </c>
      <c r="L20" s="60" t="inlineStr">
        <is>
          <t>Raw rank</t>
        </is>
      </c>
    </row>
    <row r="21">
      <c r="A21" t="n">
        <v>1</v>
      </c>
      <c r="B21" t="inlineStr">
        <is>
          <t>昴宿星人</t>
        </is>
      </c>
      <c r="C21" t="inlineStr">
        <is>
          <t>Pleiadian</t>
        </is>
      </c>
      <c r="D21" t="n">
        <v>1.84631052125079</v>
      </c>
      <c r="E21">
        <f>IF($B$4&lt;&gt;"READY","",SUMPRODUCT('33_RESPONSE_INPUT'!$H$5:$H$84,'33_RESPONSE_INPUT'!$I$5:$I$84,'98_PROD_CODEBOOK_Q'!C$2:C$81)/SUM('33_RESPONSE_INPUT'!$I$5:$I$84))</f>
        <v/>
      </c>
      <c r="F21">
        <f>IF($B$4&lt;&gt;"READY","",E21/('33_RESPONSE_INPUT'!$M$7*D21))</f>
        <v/>
      </c>
      <c r="G21">
        <f>IF(F21="","",SQRT(MAX(0,2*(1-F21))))</f>
        <v/>
      </c>
      <c r="H21">
        <f>IF(F21="","",F21&gt;=$B$6-$B$5)</f>
        <v/>
      </c>
      <c r="I21">
        <f>IF(H21,A21,999)</f>
        <v/>
      </c>
      <c r="J21">
        <f>IF($B$8="","",A21=$B$8)</f>
        <v/>
      </c>
      <c r="K21">
        <f>IF(J21,-1E+99,F21)</f>
        <v/>
      </c>
      <c r="L21">
        <f>IF(F21="","",RANK.EQ(F21,$F$21:$F$43,0))</f>
        <v/>
      </c>
    </row>
    <row r="22">
      <c r="A22" s="52" t="n">
        <v>2</v>
      </c>
      <c r="B22" s="52" t="inlineStr">
        <is>
          <t>大角星人</t>
        </is>
      </c>
      <c r="C22" s="52" t="inlineStr">
        <is>
          <t>Arcturian</t>
        </is>
      </c>
      <c r="D22" s="52" t="n">
        <v>1.512319385468462</v>
      </c>
      <c r="E22" s="52">
        <f>IF($B$4&lt;&gt;"READY","",SUMPRODUCT('33_RESPONSE_INPUT'!$H$5:$H$84,'33_RESPONSE_INPUT'!$I$5:$I$84,'98_PROD_CODEBOOK_Q'!D$2:D$81)/SUM('33_RESPONSE_INPUT'!$I$5:$I$84))</f>
        <v/>
      </c>
      <c r="F22" s="52">
        <f>IF($B$4&lt;&gt;"READY","",E22/('33_RESPONSE_INPUT'!$M$7*D22))</f>
        <v/>
      </c>
      <c r="G22" s="52">
        <f>IF(F22="","",SQRT(MAX(0,2*(1-F22))))</f>
        <v/>
      </c>
      <c r="H22" s="52">
        <f>IF(F22="","",F22&gt;=$B$6-$B$5)</f>
        <v/>
      </c>
      <c r="I22" s="52">
        <f>IF(H22,A22,999)</f>
        <v/>
      </c>
      <c r="J22" s="52">
        <f>IF($B$8="","",A22=$B$8)</f>
        <v/>
      </c>
      <c r="K22" s="52">
        <f>IF(J22,-1E+99,F22)</f>
        <v/>
      </c>
      <c r="L22" s="52">
        <f>IF(F22="","",RANK.EQ(F22,$F$21:$F$43,0))</f>
        <v/>
      </c>
    </row>
    <row r="23">
      <c r="A23" t="n">
        <v>3</v>
      </c>
      <c r="B23" t="inlineStr">
        <is>
          <t>天狼星人</t>
        </is>
      </c>
      <c r="C23" t="inlineStr">
        <is>
          <t>Sirian</t>
        </is>
      </c>
      <c r="D23" t="n">
        <v>1.794274124632692</v>
      </c>
      <c r="E23">
        <f>IF($B$4&lt;&gt;"READY","",SUMPRODUCT('33_RESPONSE_INPUT'!$H$5:$H$84,'33_RESPONSE_INPUT'!$I$5:$I$84,'98_PROD_CODEBOOK_Q'!E$2:E$81)/SUM('33_RESPONSE_INPUT'!$I$5:$I$84))</f>
        <v/>
      </c>
      <c r="F23">
        <f>IF($B$4&lt;&gt;"READY","",E23/('33_RESPONSE_INPUT'!$M$7*D23))</f>
        <v/>
      </c>
      <c r="G23">
        <f>IF(F23="","",SQRT(MAX(0,2*(1-F23))))</f>
        <v/>
      </c>
      <c r="H23">
        <f>IF(F23="","",F23&gt;=$B$6-$B$5)</f>
        <v/>
      </c>
      <c r="I23">
        <f>IF(H23,A23,999)</f>
        <v/>
      </c>
      <c r="J23">
        <f>IF($B$8="","",A23=$B$8)</f>
        <v/>
      </c>
      <c r="K23">
        <f>IF(J23,-1E+99,F23)</f>
        <v/>
      </c>
      <c r="L23">
        <f>IF(F23="","",RANK.EQ(F23,$F$21:$F$43,0))</f>
        <v/>
      </c>
    </row>
    <row r="24">
      <c r="A24" s="52" t="n">
        <v>4</v>
      </c>
      <c r="B24" s="52" t="inlineStr">
        <is>
          <t>仙女座人</t>
        </is>
      </c>
      <c r="C24" s="52" t="inlineStr">
        <is>
          <t>Andromedan</t>
        </is>
      </c>
      <c r="D24" s="52" t="n">
        <v>1.778740604835872</v>
      </c>
      <c r="E24" s="52">
        <f>IF($B$4&lt;&gt;"READY","",SUMPRODUCT('33_RESPONSE_INPUT'!$H$5:$H$84,'33_RESPONSE_INPUT'!$I$5:$I$84,'98_PROD_CODEBOOK_Q'!F$2:F$81)/SUM('33_RESPONSE_INPUT'!$I$5:$I$84))</f>
        <v/>
      </c>
      <c r="F24" s="52">
        <f>IF($B$4&lt;&gt;"READY","",E24/('33_RESPONSE_INPUT'!$M$7*D24))</f>
        <v/>
      </c>
      <c r="G24" s="52">
        <f>IF(F24="","",SQRT(MAX(0,2*(1-F24))))</f>
        <v/>
      </c>
      <c r="H24" s="52">
        <f>IF(F24="","",F24&gt;=$B$6-$B$5)</f>
        <v/>
      </c>
      <c r="I24" s="52">
        <f>IF(H24,A24,999)</f>
        <v/>
      </c>
      <c r="J24" s="52">
        <f>IF($B$8="","",A24=$B$8)</f>
        <v/>
      </c>
      <c r="K24" s="52">
        <f>IF(J24,-1E+99,F24)</f>
        <v/>
      </c>
      <c r="L24" s="52">
        <f>IF(F24="","",RANK.EQ(F24,$F$21:$F$43,0))</f>
        <v/>
      </c>
    </row>
    <row r="25">
      <c r="A25" t="n">
        <v>5</v>
      </c>
      <c r="B25" t="inlineStr">
        <is>
          <t>天琴座人</t>
        </is>
      </c>
      <c r="C25" t="inlineStr">
        <is>
          <t>Lyran</t>
        </is>
      </c>
      <c r="D25" t="n">
        <v>1.745929929119364</v>
      </c>
      <c r="E25">
        <f>IF($B$4&lt;&gt;"READY","",SUMPRODUCT('33_RESPONSE_INPUT'!$H$5:$H$84,'33_RESPONSE_INPUT'!$I$5:$I$84,'98_PROD_CODEBOOK_Q'!G$2:G$81)/SUM('33_RESPONSE_INPUT'!$I$5:$I$84))</f>
        <v/>
      </c>
      <c r="F25">
        <f>IF($B$4&lt;&gt;"READY","",E25/('33_RESPONSE_INPUT'!$M$7*D25))</f>
        <v/>
      </c>
      <c r="G25">
        <f>IF(F25="","",SQRT(MAX(0,2*(1-F25))))</f>
        <v/>
      </c>
      <c r="H25">
        <f>IF(F25="","",F25&gt;=$B$6-$B$5)</f>
        <v/>
      </c>
      <c r="I25">
        <f>IF(H25,A25,999)</f>
        <v/>
      </c>
      <c r="J25">
        <f>IF($B$8="","",A25=$B$8)</f>
        <v/>
      </c>
      <c r="K25">
        <f>IF(J25,-1E+99,F25)</f>
        <v/>
      </c>
      <c r="L25">
        <f>IF(F25="","",RANK.EQ(F25,$F$21:$F$43,0))</f>
        <v/>
      </c>
    </row>
    <row r="26">
      <c r="A26" s="52" t="n">
        <v>6</v>
      </c>
      <c r="B26" s="52" t="inlineStr">
        <is>
          <t>獵戶座人</t>
        </is>
      </c>
      <c r="C26" s="52" t="inlineStr">
        <is>
          <t>Orion</t>
        </is>
      </c>
      <c r="D26" s="52" t="n">
        <v>1.683342418456161</v>
      </c>
      <c r="E26" s="52">
        <f>IF($B$4&lt;&gt;"READY","",SUMPRODUCT('33_RESPONSE_INPUT'!$H$5:$H$84,'33_RESPONSE_INPUT'!$I$5:$I$84,'98_PROD_CODEBOOK_Q'!H$2:H$81)/SUM('33_RESPONSE_INPUT'!$I$5:$I$84))</f>
        <v/>
      </c>
      <c r="F26" s="52">
        <f>IF($B$4&lt;&gt;"READY","",E26/('33_RESPONSE_INPUT'!$M$7*D26))</f>
        <v/>
      </c>
      <c r="G26" s="52">
        <f>IF(F26="","",SQRT(MAX(0,2*(1-F26))))</f>
        <v/>
      </c>
      <c r="H26" s="52">
        <f>IF(F26="","",F26&gt;=$B$6-$B$5)</f>
        <v/>
      </c>
      <c r="I26" s="52">
        <f>IF(H26,A26,999)</f>
        <v/>
      </c>
      <c r="J26" s="52">
        <f>IF($B$8="","",A26=$B$8)</f>
        <v/>
      </c>
      <c r="K26" s="52">
        <f>IF(J26,-1E+99,F26)</f>
        <v/>
      </c>
      <c r="L26" s="52">
        <f>IF(F26="","",RANK.EQ(F26,$F$21:$F$43,0))</f>
        <v/>
      </c>
    </row>
    <row r="27">
      <c r="A27" t="n">
        <v>7</v>
      </c>
      <c r="B27" t="inlineStr">
        <is>
          <t>明塔卡星人</t>
        </is>
      </c>
      <c r="C27" t="inlineStr">
        <is>
          <t>Mintakan</t>
        </is>
      </c>
      <c r="D27" t="n">
        <v>1.892028069382208</v>
      </c>
      <c r="E27">
        <f>IF($B$4&lt;&gt;"READY","",SUMPRODUCT('33_RESPONSE_INPUT'!$H$5:$H$84,'33_RESPONSE_INPUT'!$I$5:$I$84,'98_PROD_CODEBOOK_Q'!I$2:I$81)/SUM('33_RESPONSE_INPUT'!$I$5:$I$84))</f>
        <v/>
      </c>
      <c r="F27">
        <f>IF($B$4&lt;&gt;"READY","",E27/('33_RESPONSE_INPUT'!$M$7*D27))</f>
        <v/>
      </c>
      <c r="G27">
        <f>IF(F27="","",SQRT(MAX(0,2*(1-F27))))</f>
        <v/>
      </c>
      <c r="H27">
        <f>IF(F27="","",F27&gt;=$B$6-$B$5)</f>
        <v/>
      </c>
      <c r="I27">
        <f>IF(H27,A27,999)</f>
        <v/>
      </c>
      <c r="J27">
        <f>IF($B$8="","",A27=$B$8)</f>
        <v/>
      </c>
      <c r="K27">
        <f>IF(J27,-1E+99,F27)</f>
        <v/>
      </c>
      <c r="L27">
        <f>IF(F27="","",RANK.EQ(F27,$F$21:$F$43,0))</f>
        <v/>
      </c>
    </row>
    <row r="28">
      <c r="A28" s="52" t="n">
        <v>8</v>
      </c>
      <c r="B28" s="52" t="inlineStr">
        <is>
          <t>金星人</t>
        </is>
      </c>
      <c r="C28" s="52" t="inlineStr">
        <is>
          <t>Venusian</t>
        </is>
      </c>
      <c r="D28" s="52" t="n">
        <v>1.808189730671644</v>
      </c>
      <c r="E28" s="52">
        <f>IF($B$4&lt;&gt;"READY","",SUMPRODUCT('33_RESPONSE_INPUT'!$H$5:$H$84,'33_RESPONSE_INPUT'!$I$5:$I$84,'98_PROD_CODEBOOK_Q'!J$2:J$81)/SUM('33_RESPONSE_INPUT'!$I$5:$I$84))</f>
        <v/>
      </c>
      <c r="F28" s="52">
        <f>IF($B$4&lt;&gt;"READY","",E28/('33_RESPONSE_INPUT'!$M$7*D28))</f>
        <v/>
      </c>
      <c r="G28" s="52">
        <f>IF(F28="","",SQRT(MAX(0,2*(1-F28))))</f>
        <v/>
      </c>
      <c r="H28" s="52">
        <f>IF(F28="","",F28&gt;=$B$6-$B$5)</f>
        <v/>
      </c>
      <c r="I28" s="52">
        <f>IF(H28,A28,999)</f>
        <v/>
      </c>
      <c r="J28" s="52">
        <f>IF($B$8="","",A28=$B$8)</f>
        <v/>
      </c>
      <c r="K28" s="52">
        <f>IF(J28,-1E+99,F28)</f>
        <v/>
      </c>
      <c r="L28" s="52">
        <f>IF(F28="","",RANK.EQ(F28,$F$21:$F$43,0))</f>
        <v/>
      </c>
    </row>
    <row r="29">
      <c r="A29" t="n">
        <v>9</v>
      </c>
      <c r="B29" t="inlineStr">
        <is>
          <t>哈達爾星人</t>
        </is>
      </c>
      <c r="C29" t="inlineStr">
        <is>
          <t>Hadarian</t>
        </is>
      </c>
      <c r="D29" t="n">
        <v>1.785363550643789</v>
      </c>
      <c r="E29">
        <f>IF($B$4&lt;&gt;"READY","",SUMPRODUCT('33_RESPONSE_INPUT'!$H$5:$H$84,'33_RESPONSE_INPUT'!$I$5:$I$84,'98_PROD_CODEBOOK_Q'!K$2:K$81)/SUM('33_RESPONSE_INPUT'!$I$5:$I$84))</f>
        <v/>
      </c>
      <c r="F29">
        <f>IF($B$4&lt;&gt;"READY","",E29/('33_RESPONSE_INPUT'!$M$7*D29))</f>
        <v/>
      </c>
      <c r="G29">
        <f>IF(F29="","",SQRT(MAX(0,2*(1-F29))))</f>
        <v/>
      </c>
      <c r="H29">
        <f>IF(F29="","",F29&gt;=$B$6-$B$5)</f>
        <v/>
      </c>
      <c r="I29">
        <f>IF(H29,A29,999)</f>
        <v/>
      </c>
      <c r="J29">
        <f>IF($B$8="","",A29=$B$8)</f>
        <v/>
      </c>
      <c r="K29">
        <f>IF(J29,-1E+99,F29)</f>
        <v/>
      </c>
      <c r="L29">
        <f>IF(F29="","",RANK.EQ(F29,$F$21:$F$43,0))</f>
        <v/>
      </c>
    </row>
    <row r="30">
      <c r="A30" s="52" t="n">
        <v>10</v>
      </c>
      <c r="B30" s="52" t="inlineStr">
        <is>
          <t>北極星人</t>
        </is>
      </c>
      <c r="C30" s="52" t="inlineStr">
        <is>
          <t>Polarian</t>
        </is>
      </c>
      <c r="D30" s="52" t="n">
        <v>1.933149929128462</v>
      </c>
      <c r="E30" s="52">
        <f>IF($B$4&lt;&gt;"READY","",SUMPRODUCT('33_RESPONSE_INPUT'!$H$5:$H$84,'33_RESPONSE_INPUT'!$I$5:$I$84,'98_PROD_CODEBOOK_Q'!L$2:L$81)/SUM('33_RESPONSE_INPUT'!$I$5:$I$84))</f>
        <v/>
      </c>
      <c r="F30" s="52">
        <f>IF($B$4&lt;&gt;"READY","",E30/('33_RESPONSE_INPUT'!$M$7*D30))</f>
        <v/>
      </c>
      <c r="G30" s="52">
        <f>IF(F30="","",SQRT(MAX(0,2*(1-F30))))</f>
        <v/>
      </c>
      <c r="H30" s="52">
        <f>IF(F30="","",F30&gt;=$B$6-$B$5)</f>
        <v/>
      </c>
      <c r="I30" s="52">
        <f>IF(H30,A30,999)</f>
        <v/>
      </c>
      <c r="J30" s="52">
        <f>IF($B$8="","",A30=$B$8)</f>
        <v/>
      </c>
      <c r="K30" s="52">
        <f>IF(J30,-1E+99,F30)</f>
        <v/>
      </c>
      <c r="L30" s="52">
        <f>IF(F30="","",RANK.EQ(F30,$F$21:$F$43,0))</f>
        <v/>
      </c>
    </row>
    <row r="31">
      <c r="A31" t="n">
        <v>11</v>
      </c>
      <c r="B31" t="inlineStr">
        <is>
          <t>半人馬座α星人</t>
        </is>
      </c>
      <c r="C31" t="inlineStr">
        <is>
          <t>Alpha Centaurian</t>
        </is>
      </c>
      <c r="D31" t="n">
        <v>1.735771054106782</v>
      </c>
      <c r="E31">
        <f>IF($B$4&lt;&gt;"READY","",SUMPRODUCT('33_RESPONSE_INPUT'!$H$5:$H$84,'33_RESPONSE_INPUT'!$I$5:$I$84,'98_PROD_CODEBOOK_Q'!M$2:M$81)/SUM('33_RESPONSE_INPUT'!$I$5:$I$84))</f>
        <v/>
      </c>
      <c r="F31">
        <f>IF($B$4&lt;&gt;"READY","",E31/('33_RESPONSE_INPUT'!$M$7*D31))</f>
        <v/>
      </c>
      <c r="G31">
        <f>IF(F31="","",SQRT(MAX(0,2*(1-F31))))</f>
        <v/>
      </c>
      <c r="H31">
        <f>IF(F31="","",F31&gt;=$B$6-$B$5)</f>
        <v/>
      </c>
      <c r="I31">
        <f>IF(H31,A31,999)</f>
        <v/>
      </c>
      <c r="J31">
        <f>IF($B$8="","",A31=$B$8)</f>
        <v/>
      </c>
      <c r="K31">
        <f>IF(J31,-1E+99,F31)</f>
        <v/>
      </c>
      <c r="L31">
        <f>IF(F31="","",RANK.EQ(F31,$F$21:$F$43,0))</f>
        <v/>
      </c>
    </row>
    <row r="32">
      <c r="A32" s="52" t="n">
        <v>12</v>
      </c>
      <c r="B32" s="52" t="inlineStr">
        <is>
          <t>織女星人</t>
        </is>
      </c>
      <c r="C32" s="52" t="inlineStr">
        <is>
          <t>Vegan</t>
        </is>
      </c>
      <c r="D32" s="52" t="n">
        <v>1.917628281701443</v>
      </c>
      <c r="E32" s="52">
        <f>IF($B$4&lt;&gt;"READY","",SUMPRODUCT('33_RESPONSE_INPUT'!$H$5:$H$84,'33_RESPONSE_INPUT'!$I$5:$I$84,'98_PROD_CODEBOOK_Q'!N$2:N$81)/SUM('33_RESPONSE_INPUT'!$I$5:$I$84))</f>
        <v/>
      </c>
      <c r="F32" s="52">
        <f>IF($B$4&lt;&gt;"READY","",E32/('33_RESPONSE_INPUT'!$M$7*D32))</f>
        <v/>
      </c>
      <c r="G32" s="52">
        <f>IF(F32="","",SQRT(MAX(0,2*(1-F32))))</f>
        <v/>
      </c>
      <c r="H32" s="52">
        <f>IF(F32="","",F32&gt;=$B$6-$B$5)</f>
        <v/>
      </c>
      <c r="I32" s="52">
        <f>IF(H32,A32,999)</f>
        <v/>
      </c>
      <c r="J32" s="52">
        <f>IF($B$8="","",A32=$B$8)</f>
        <v/>
      </c>
      <c r="K32" s="52">
        <f>IF(J32,-1E+99,F32)</f>
        <v/>
      </c>
      <c r="L32" s="52">
        <f>IF(F32="","",RANK.EQ(F32,$F$21:$F$43,0))</f>
        <v/>
      </c>
    </row>
    <row r="33">
      <c r="A33" t="n">
        <v>13</v>
      </c>
      <c r="B33" t="inlineStr">
        <is>
          <t>貓科星族</t>
        </is>
      </c>
      <c r="C33" t="inlineStr">
        <is>
          <t>Feline / Urmah</t>
        </is>
      </c>
      <c r="D33" t="n">
        <v>1.966344418199654</v>
      </c>
      <c r="E33">
        <f>IF($B$4&lt;&gt;"READY","",SUMPRODUCT('33_RESPONSE_INPUT'!$H$5:$H$84,'33_RESPONSE_INPUT'!$I$5:$I$84,'98_PROD_CODEBOOK_Q'!O$2:O$81)/SUM('33_RESPONSE_INPUT'!$I$5:$I$84))</f>
        <v/>
      </c>
      <c r="F33">
        <f>IF($B$4&lt;&gt;"READY","",E33/('33_RESPONSE_INPUT'!$M$7*D33))</f>
        <v/>
      </c>
      <c r="G33">
        <f>IF(F33="","",SQRT(MAX(0,2*(1-F33))))</f>
        <v/>
      </c>
      <c r="H33">
        <f>IF(F33="","",F33&gt;=$B$6-$B$5)</f>
        <v/>
      </c>
      <c r="I33">
        <f>IF(H33,A33,999)</f>
        <v/>
      </c>
      <c r="J33">
        <f>IF($B$8="","",A33=$B$8)</f>
        <v/>
      </c>
      <c r="K33">
        <f>IF(J33,-1E+99,F33)</f>
        <v/>
      </c>
      <c r="L33">
        <f>IF(F33="","",RANK.EQ(F33,$F$21:$F$43,0))</f>
        <v/>
      </c>
    </row>
    <row r="34">
      <c r="A34" s="52" t="n">
        <v>14</v>
      </c>
      <c r="B34" s="52" t="inlineStr">
        <is>
          <t>藍鳥人</t>
        </is>
      </c>
      <c r="C34" s="52" t="inlineStr">
        <is>
          <t>Avian / Blue Avian</t>
        </is>
      </c>
      <c r="D34" s="52" t="n">
        <v>1.774436784021714</v>
      </c>
      <c r="E34" s="52">
        <f>IF($B$4&lt;&gt;"READY","",SUMPRODUCT('33_RESPONSE_INPUT'!$H$5:$H$84,'33_RESPONSE_INPUT'!$I$5:$I$84,'98_PROD_CODEBOOK_Q'!P$2:P$81)/SUM('33_RESPONSE_INPUT'!$I$5:$I$84))</f>
        <v/>
      </c>
      <c r="F34" s="52">
        <f>IF($B$4&lt;&gt;"READY","",E34/('33_RESPONSE_INPUT'!$M$7*D34))</f>
        <v/>
      </c>
      <c r="G34" s="52">
        <f>IF(F34="","",SQRT(MAX(0,2*(1-F34))))</f>
        <v/>
      </c>
      <c r="H34" s="52">
        <f>IF(F34="","",F34&gt;=$B$6-$B$5)</f>
        <v/>
      </c>
      <c r="I34" s="52">
        <f>IF(H34,A34,999)</f>
        <v/>
      </c>
      <c r="J34" s="52">
        <f>IF($B$8="","",A34=$B$8)</f>
        <v/>
      </c>
      <c r="K34" s="52">
        <f>IF(J34,-1E+99,F34)</f>
        <v/>
      </c>
      <c r="L34" s="52">
        <f>IF(F34="","",RANK.EQ(F34,$F$21:$F$43,0))</f>
        <v/>
      </c>
    </row>
    <row r="35">
      <c r="A35" t="n">
        <v>15</v>
      </c>
      <c r="B35" t="inlineStr">
        <is>
          <t>火星人</t>
        </is>
      </c>
      <c r="C35" t="inlineStr">
        <is>
          <t>Martian</t>
        </is>
      </c>
      <c r="D35" t="n">
        <v>1.960269452213736</v>
      </c>
      <c r="E35">
        <f>IF($B$4&lt;&gt;"READY","",SUMPRODUCT('33_RESPONSE_INPUT'!$H$5:$H$84,'33_RESPONSE_INPUT'!$I$5:$I$84,'98_PROD_CODEBOOK_Q'!Q$2:Q$81)/SUM('33_RESPONSE_INPUT'!$I$5:$I$84))</f>
        <v/>
      </c>
      <c r="F35">
        <f>IF($B$4&lt;&gt;"READY","",E35/('33_RESPONSE_INPUT'!$M$7*D35))</f>
        <v/>
      </c>
      <c r="G35">
        <f>IF(F35="","",SQRT(MAX(0,2*(1-F35))))</f>
        <v/>
      </c>
      <c r="H35">
        <f>IF(F35="","",F35&gt;=$B$6-$B$5)</f>
        <v/>
      </c>
      <c r="I35">
        <f>IF(H35,A35,999)</f>
        <v/>
      </c>
      <c r="J35">
        <f>IF($B$8="","",A35=$B$8)</f>
        <v/>
      </c>
      <c r="K35">
        <f>IF(J35,-1E+99,F35)</f>
        <v/>
      </c>
      <c r="L35">
        <f>IF(F35="","",RANK.EQ(F35,$F$21:$F$43,0))</f>
        <v/>
      </c>
    </row>
    <row r="36">
      <c r="A36" s="52" t="n">
        <v>16</v>
      </c>
      <c r="B36" s="52" t="inlineStr">
        <is>
          <t>馬爾德克人</t>
        </is>
      </c>
      <c r="C36" s="52" t="inlineStr">
        <is>
          <t>Maldekian</t>
        </is>
      </c>
      <c r="D36" s="52" t="n">
        <v>2.061649522992259</v>
      </c>
      <c r="E36" s="52">
        <f>IF($B$4&lt;&gt;"READY","",SUMPRODUCT('33_RESPONSE_INPUT'!$H$5:$H$84,'33_RESPONSE_INPUT'!$I$5:$I$84,'98_PROD_CODEBOOK_Q'!R$2:R$81)/SUM('33_RESPONSE_INPUT'!$I$5:$I$84))</f>
        <v/>
      </c>
      <c r="F36" s="52">
        <f>IF($B$4&lt;&gt;"READY","",E36/('33_RESPONSE_INPUT'!$M$7*D36))</f>
        <v/>
      </c>
      <c r="G36" s="52">
        <f>IF(F36="","",SQRT(MAX(0,2*(1-F36))))</f>
        <v/>
      </c>
      <c r="H36" s="52">
        <f>IF(F36="","",F36&gt;=$B$6-$B$5)</f>
        <v/>
      </c>
      <c r="I36" s="52">
        <f>IF(H36,A36,999)</f>
        <v/>
      </c>
      <c r="J36" s="52">
        <f>IF($B$8="","",A36=$B$8)</f>
        <v/>
      </c>
      <c r="K36" s="52">
        <f>IF(J36,-1E+99,F36)</f>
        <v/>
      </c>
      <c r="L36" s="52">
        <f>IF(F36="","",RANK.EQ(F36,$F$21:$F$43,0))</f>
        <v/>
      </c>
    </row>
    <row r="37">
      <c r="A37" t="n">
        <v>17</v>
      </c>
      <c r="B37" t="inlineStr">
        <is>
          <t>天龍座人</t>
        </is>
      </c>
      <c r="C37" t="inlineStr">
        <is>
          <t>Draconian</t>
        </is>
      </c>
      <c r="D37" t="n">
        <v>1.87099097968555</v>
      </c>
      <c r="E37">
        <f>IF($B$4&lt;&gt;"READY","",SUMPRODUCT('33_RESPONSE_INPUT'!$H$5:$H$84,'33_RESPONSE_INPUT'!$I$5:$I$84,'98_PROD_CODEBOOK_Q'!S$2:S$81)/SUM('33_RESPONSE_INPUT'!$I$5:$I$84))</f>
        <v/>
      </c>
      <c r="F37">
        <f>IF($B$4&lt;&gt;"READY","",E37/('33_RESPONSE_INPUT'!$M$7*D37))</f>
        <v/>
      </c>
      <c r="G37">
        <f>IF(F37="","",SQRT(MAX(0,2*(1-F37))))</f>
        <v/>
      </c>
      <c r="H37">
        <f>IF(F37="","",F37&gt;=$B$6-$B$5)</f>
        <v/>
      </c>
      <c r="I37">
        <f>IF(H37,A37,999)</f>
        <v/>
      </c>
      <c r="J37">
        <f>IF($B$8="","",A37=$B$8)</f>
        <v/>
      </c>
      <c r="K37">
        <f>IF(J37,-1E+99,F37)</f>
        <v/>
      </c>
      <c r="L37">
        <f>IF(F37="","",RANK.EQ(F37,$F$21:$F$43,0))</f>
        <v/>
      </c>
    </row>
    <row r="38">
      <c r="A38" s="52" t="n">
        <v>18</v>
      </c>
      <c r="B38" s="52" t="inlineStr">
        <is>
          <t>爬蟲族</t>
        </is>
      </c>
      <c r="C38" s="52" t="inlineStr">
        <is>
          <t>Reptilian</t>
        </is>
      </c>
      <c r="D38" s="52" t="n">
        <v>1.78366371097499</v>
      </c>
      <c r="E38" s="52">
        <f>IF($B$4&lt;&gt;"READY","",SUMPRODUCT('33_RESPONSE_INPUT'!$H$5:$H$84,'33_RESPONSE_INPUT'!$I$5:$I$84,'98_PROD_CODEBOOK_Q'!T$2:T$81)/SUM('33_RESPONSE_INPUT'!$I$5:$I$84))</f>
        <v/>
      </c>
      <c r="F38" s="52">
        <f>IF($B$4&lt;&gt;"READY","",E38/('33_RESPONSE_INPUT'!$M$7*D38))</f>
        <v/>
      </c>
      <c r="G38" s="52">
        <f>IF(F38="","",SQRT(MAX(0,2*(1-F38))))</f>
        <v/>
      </c>
      <c r="H38" s="52">
        <f>IF(F38="","",F38&gt;=$B$6-$B$5)</f>
        <v/>
      </c>
      <c r="I38" s="52">
        <f>IF(H38,A38,999)</f>
        <v/>
      </c>
      <c r="J38" s="52">
        <f>IF($B$8="","",A38=$B$8)</f>
        <v/>
      </c>
      <c r="K38" s="52">
        <f>IF(J38,-1E+99,F38)</f>
        <v/>
      </c>
      <c r="L38" s="52">
        <f>IF(F38="","",RANK.EQ(F38,$F$21:$F$43,0))</f>
        <v/>
      </c>
    </row>
    <row r="39">
      <c r="A39" t="n">
        <v>19</v>
      </c>
      <c r="B39" t="inlineStr">
        <is>
          <t>灰人</t>
        </is>
      </c>
      <c r="C39" t="inlineStr">
        <is>
          <t>Zeta / Grey</t>
        </is>
      </c>
      <c r="D39" t="n">
        <v>1.925055651364404</v>
      </c>
      <c r="E39">
        <f>IF($B$4&lt;&gt;"READY","",SUMPRODUCT('33_RESPONSE_INPUT'!$H$5:$H$84,'33_RESPONSE_INPUT'!$I$5:$I$84,'98_PROD_CODEBOOK_Q'!U$2:U$81)/SUM('33_RESPONSE_INPUT'!$I$5:$I$84))</f>
        <v/>
      </c>
      <c r="F39">
        <f>IF($B$4&lt;&gt;"READY","",E39/('33_RESPONSE_INPUT'!$M$7*D39))</f>
        <v/>
      </c>
      <c r="G39">
        <f>IF(F39="","",SQRT(MAX(0,2*(1-F39))))</f>
        <v/>
      </c>
      <c r="H39">
        <f>IF(F39="","",F39&gt;=$B$6-$B$5)</f>
        <v/>
      </c>
      <c r="I39">
        <f>IF(H39,A39,999)</f>
        <v/>
      </c>
      <c r="J39">
        <f>IF($B$8="","",A39=$B$8)</f>
        <v/>
      </c>
      <c r="K39">
        <f>IF(J39,-1E+99,F39)</f>
        <v/>
      </c>
      <c r="L39">
        <f>IF(F39="","",RANK.EQ(F39,$F$21:$F$43,0))</f>
        <v/>
      </c>
    </row>
    <row r="40">
      <c r="A40" s="52" t="n">
        <v>20</v>
      </c>
      <c r="B40" s="52" t="inlineStr">
        <is>
          <t>阿努納奇</t>
        </is>
      </c>
      <c r="C40" s="52" t="inlineStr">
        <is>
          <t>Anunnaki / Nibiruan</t>
        </is>
      </c>
      <c r="D40" s="52" t="n">
        <v>1.936963467915524</v>
      </c>
      <c r="E40" s="52">
        <f>IF($B$4&lt;&gt;"READY","",SUMPRODUCT('33_RESPONSE_INPUT'!$H$5:$H$84,'33_RESPONSE_INPUT'!$I$5:$I$84,'98_PROD_CODEBOOK_Q'!V$2:V$81)/SUM('33_RESPONSE_INPUT'!$I$5:$I$84))</f>
        <v/>
      </c>
      <c r="F40" s="52">
        <f>IF($B$4&lt;&gt;"READY","",E40/('33_RESPONSE_INPUT'!$M$7*D40))</f>
        <v/>
      </c>
      <c r="G40" s="52">
        <f>IF(F40="","",SQRT(MAX(0,2*(1-F40))))</f>
        <v/>
      </c>
      <c r="H40" s="52">
        <f>IF(F40="","",F40&gt;=$B$6-$B$5)</f>
        <v/>
      </c>
      <c r="I40" s="52">
        <f>IF(H40,A40,999)</f>
        <v/>
      </c>
      <c r="J40" s="52">
        <f>IF($B$8="","",A40=$B$8)</f>
        <v/>
      </c>
      <c r="K40" s="52">
        <f>IF(J40,-1E+99,F40)</f>
        <v/>
      </c>
      <c r="L40" s="52">
        <f>IF(F40="","",RANK.EQ(F40,$F$21:$F$43,0))</f>
        <v/>
      </c>
    </row>
    <row r="41">
      <c r="A41" t="n">
        <v>21</v>
      </c>
      <c r="B41" t="inlineStr">
        <is>
          <t>鯨魚座τ星人</t>
        </is>
      </c>
      <c r="C41" t="inlineStr">
        <is>
          <t>Tau Cetian</t>
        </is>
      </c>
      <c r="D41" t="n">
        <v>1.612678861250701</v>
      </c>
      <c r="E41">
        <f>IF($B$4&lt;&gt;"READY","",SUMPRODUCT('33_RESPONSE_INPUT'!$H$5:$H$84,'33_RESPONSE_INPUT'!$I$5:$I$84,'98_PROD_CODEBOOK_Q'!W$2:W$81)/SUM('33_RESPONSE_INPUT'!$I$5:$I$84))</f>
        <v/>
      </c>
      <c r="F41">
        <f>IF($B$4&lt;&gt;"READY","",E41/('33_RESPONSE_INPUT'!$M$7*D41))</f>
        <v/>
      </c>
      <c r="G41">
        <f>IF(F41="","",SQRT(MAX(0,2*(1-F41))))</f>
        <v/>
      </c>
      <c r="H41">
        <f>IF(F41="","",F41&gt;=$B$6-$B$5)</f>
        <v/>
      </c>
      <c r="I41">
        <f>IF(H41,A41,999)</f>
        <v/>
      </c>
      <c r="J41">
        <f>IF($B$8="","",A41=$B$8)</f>
        <v/>
      </c>
      <c r="K41">
        <f>IF(J41,-1E+99,F41)</f>
        <v/>
      </c>
      <c r="L41">
        <f>IF(F41="","",RANK.EQ(F41,$F$21:$F$43,0))</f>
        <v/>
      </c>
    </row>
    <row r="42">
      <c r="A42" s="52" t="n">
        <v>22</v>
      </c>
      <c r="B42" s="52" t="inlineStr">
        <is>
          <t>安塔瑞斯星人</t>
        </is>
      </c>
      <c r="C42" s="52" t="inlineStr">
        <is>
          <t>Antarian</t>
        </is>
      </c>
      <c r="D42" s="52" t="n">
        <v>1.774322127343355</v>
      </c>
      <c r="E42" s="52">
        <f>IF($B$4&lt;&gt;"READY","",SUMPRODUCT('33_RESPONSE_INPUT'!$H$5:$H$84,'33_RESPONSE_INPUT'!$I$5:$I$84,'98_PROD_CODEBOOK_Q'!X$2:X$81)/SUM('33_RESPONSE_INPUT'!$I$5:$I$84))</f>
        <v/>
      </c>
      <c r="F42" s="52">
        <f>IF($B$4&lt;&gt;"READY","",E42/('33_RESPONSE_INPUT'!$M$7*D42))</f>
        <v/>
      </c>
      <c r="G42" s="52">
        <f>IF(F42="","",SQRT(MAX(0,2*(1-F42))))</f>
        <v/>
      </c>
      <c r="H42" s="52">
        <f>IF(F42="","",F42&gt;=$B$6-$B$5)</f>
        <v/>
      </c>
      <c r="I42" s="52">
        <f>IF(H42,A42,999)</f>
        <v/>
      </c>
      <c r="J42" s="52">
        <f>IF($B$8="","",A42=$B$8)</f>
        <v/>
      </c>
      <c r="K42" s="52">
        <f>IF(J42,-1E+99,F42)</f>
        <v/>
      </c>
      <c r="L42" s="52">
        <f>IF(F42="","",RANK.EQ(F42,$F$21:$F$43,0))</f>
        <v/>
      </c>
    </row>
    <row r="43">
      <c r="A43" t="n">
        <v>23</v>
      </c>
      <c r="B43" t="inlineStr">
        <is>
          <t>地球源靈魂</t>
        </is>
      </c>
      <c r="C43" t="inlineStr">
        <is>
          <t>Earth-Origin Soul</t>
        </is>
      </c>
      <c r="D43" t="n">
        <v>1.886109212083775</v>
      </c>
      <c r="E43">
        <f>IF($B$4&lt;&gt;"READY","",SUMPRODUCT('33_RESPONSE_INPUT'!$H$5:$H$84,'33_RESPONSE_INPUT'!$I$5:$I$84,'98_PROD_CODEBOOK_Q'!Y$2:Y$81)/SUM('33_RESPONSE_INPUT'!$I$5:$I$84))</f>
        <v/>
      </c>
      <c r="F43">
        <f>IF($B$4&lt;&gt;"READY","",E43/('33_RESPONSE_INPUT'!$M$7*D43))</f>
        <v/>
      </c>
      <c r="G43">
        <f>IF(F43="","",SQRT(MAX(0,2*(1-F43))))</f>
        <v/>
      </c>
      <c r="H43">
        <f>IF(F43="","",F43&gt;=$B$6-$B$5)</f>
        <v/>
      </c>
      <c r="I43">
        <f>IF(H43,A43,999)</f>
        <v/>
      </c>
      <c r="J43">
        <f>IF($B$8="","",A43=$B$8)</f>
        <v/>
      </c>
      <c r="K43">
        <f>IF(J43,-1E+99,F43)</f>
        <v/>
      </c>
      <c r="L43">
        <f>IF(F43="","",RANK.EQ(F43,$F$21:$F$43,0))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3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44" t="inlineStr">
        <is>
          <t>35 — Winner / Runner Local Duel</t>
        </is>
      </c>
    </row>
    <row r="2" ht="34" customHeight="1">
      <c r="A2" s="45" t="inlineStr">
        <is>
          <t>Advanced analysis only. Primary remains one result. If primary and runner are within tie tolerance, decision gap/margins are set to 0 while raw score difference remains available.</t>
        </is>
      </c>
    </row>
    <row r="3"/>
    <row r="4">
      <c r="A4" s="49" t="inlineStr">
        <is>
          <t>Status</t>
        </is>
      </c>
      <c r="B4">
        <f>'33_RESPONSE_INPUT'!M8</f>
        <v/>
      </c>
      <c r="D4" s="53" t="inlineStr">
        <is>
          <t>Interpretation</t>
        </is>
      </c>
    </row>
    <row r="5">
      <c r="A5" s="49" t="inlineStr">
        <is>
          <t>Winner ID</t>
        </is>
      </c>
      <c r="B5">
        <f>'34_SCOREBOARD'!B8</f>
        <v/>
      </c>
      <c r="D5" s="47" t="inlineStr">
        <is>
          <t>CLEAR / BLENDED / BOUNDARY thresholds are expert interpretation heuristics, not empirical probability thresholds.</t>
        </is>
      </c>
    </row>
    <row r="6">
      <c r="A6" s="49" t="inlineStr">
        <is>
          <t>Winner</t>
        </is>
      </c>
      <c r="B6">
        <f>'34_SCOREBOARD'!B9</f>
        <v/>
      </c>
    </row>
    <row r="7">
      <c r="A7" s="49" t="inlineStr">
        <is>
          <t>Runner ID</t>
        </is>
      </c>
      <c r="B7">
        <f>'34_SCOREBOARD'!B12</f>
        <v/>
      </c>
    </row>
    <row r="8">
      <c r="A8" s="49" t="inlineStr">
        <is>
          <t>Runner</t>
        </is>
      </c>
      <c r="B8">
        <f>'34_SCOREBOARD'!B13</f>
        <v/>
      </c>
    </row>
    <row r="9">
      <c r="A9" s="49" t="inlineStr">
        <is>
          <t>Winner cosine</t>
        </is>
      </c>
      <c r="B9">
        <f>'34_SCOREBOARD'!B11</f>
        <v/>
      </c>
    </row>
    <row r="10">
      <c r="A10" s="49" t="inlineStr">
        <is>
          <t>Runner cosine</t>
        </is>
      </c>
      <c r="B10">
        <f>'34_SCOREBOARD'!B14</f>
        <v/>
      </c>
    </row>
    <row r="11">
      <c r="A11" s="49" t="inlineStr">
        <is>
          <t>Raw gap</t>
        </is>
      </c>
      <c r="B11">
        <f>'34_SCOREBOARD'!B15</f>
        <v/>
      </c>
    </row>
    <row r="12">
      <c r="A12" s="49" t="inlineStr">
        <is>
          <t>Decision gap</t>
        </is>
      </c>
      <c r="B12">
        <f>'34_SCOREBOARD'!B16</f>
        <v/>
      </c>
    </row>
    <row r="13">
      <c r="A13" s="49" t="inlineStr">
        <is>
          <t>Prototype rho</t>
        </is>
      </c>
      <c r="B13">
        <f>IF(B4&lt;&gt;"READY","",INDEX('96_PROD_PAIR_RHO'!$B$2:$X$24,B5,B7))</f>
        <v/>
      </c>
    </row>
    <row r="14">
      <c r="A14" s="49" t="inlineStr">
        <is>
          <t>Angular pair separation</t>
        </is>
      </c>
      <c r="B14">
        <f>IF(B4&lt;&gt;"READY","",SQRT(MAX(0,2*(1-B13))))</f>
        <v/>
      </c>
    </row>
    <row r="15">
      <c r="A15" s="49" t="inlineStr">
        <is>
          <t>Signed boundary margin</t>
        </is>
      </c>
      <c r="B15">
        <f>IF(B4&lt;&gt;"READY","",IF(B14=0,0,B12/B14))</f>
        <v/>
      </c>
    </row>
    <row r="16">
      <c r="A16" s="49" t="inlineStr">
        <is>
          <t>Local separation index</t>
        </is>
      </c>
      <c r="B16">
        <f>IF(B4&lt;&gt;"READY","",IF(1-B13=0,0,B12/(1-B13)))</f>
        <v/>
      </c>
    </row>
    <row r="17">
      <c r="A17" s="49" t="inlineStr">
        <is>
          <t>Band</t>
        </is>
      </c>
      <c r="B17">
        <f>IF(B4&lt;&gt;"READY","",IF(B12=0,"TIE/BOUNDARY",IF(B15&gt;=0.35,"CLEAR",IF(B15&gt;=0.15,"BLENDED","BOUNDARY"))))</f>
        <v/>
      </c>
    </row>
  </sheetData>
  <mergeCells count="3">
    <mergeCell ref="A2:H2"/>
    <mergeCell ref="D5:H7"/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58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3" customWidth="1" min="10" max="10"/>
    <col width="16" customWidth="1" min="11" max="11"/>
    <col width="14" customWidth="1" min="12" max="12"/>
    <col width="20" customWidth="1" min="14" max="14"/>
    <col width="18" customWidth="1" min="15" max="15"/>
  </cols>
  <sheetData>
    <row r="1" ht="30" customHeight="1">
      <c r="A1" s="44" t="inlineStr">
        <is>
          <t>36 — Exact Winner-vs-Runner Explanation</t>
        </is>
      </c>
    </row>
    <row r="2" ht="34" customHeight="1">
      <c r="A2" s="45" t="inlineStr">
        <is>
          <t>Per-item decomposition of the raw cosine gap. Positive supports Primary; negative supports Runner. The contribution sum equals the raw Primary−Runner cosine difference exactly (up to floating precision).</t>
        </is>
      </c>
    </row>
    <row r="3"/>
    <row r="4">
      <c r="A4" s="46" t="inlineStr">
        <is>
          <t>Q#</t>
        </is>
      </c>
      <c r="B4" s="46" t="inlineStr">
        <is>
          <t>Slot</t>
        </is>
      </c>
      <c r="C4" s="46" t="inlineStr">
        <is>
          <t>Stem</t>
        </is>
      </c>
      <c r="D4" s="46" t="inlineStr">
        <is>
          <t>Canonical x</t>
        </is>
      </c>
      <c r="E4" s="46" t="inlineStr">
        <is>
          <t>Weight</t>
        </is>
      </c>
      <c r="F4" s="46" t="inlineStr">
        <is>
          <t>Winner code</t>
        </is>
      </c>
      <c r="G4" s="46" t="inlineStr">
        <is>
          <t>Runner code</t>
        </is>
      </c>
      <c r="H4" s="46" t="inlineStr">
        <is>
          <t>Respondent norm</t>
        </is>
      </c>
      <c r="I4" s="46" t="inlineStr">
        <is>
          <t>Winner norm</t>
        </is>
      </c>
      <c r="J4" s="46" t="inlineStr">
        <is>
          <t>Runner norm</t>
        </is>
      </c>
      <c r="K4" s="46" t="inlineStr">
        <is>
          <t>Contribution</t>
        </is>
      </c>
      <c r="L4" s="46" t="inlineStr">
        <is>
          <t>Sign</t>
        </is>
      </c>
      <c r="N4" t="inlineStr">
        <is>
          <t>Contribution sum</t>
        </is>
      </c>
      <c r="O4">
        <f>IF('35_LOCAL_DUEL'!B4&lt;&gt;"READY","",SUM(K5:K84))</f>
        <v/>
      </c>
    </row>
    <row r="5">
      <c r="A5" t="n">
        <v>1</v>
      </c>
      <c r="B5" t="inlineStr">
        <is>
          <t>G17</t>
        </is>
      </c>
      <c r="C5" s="47" t="inlineStr">
        <is>
          <t>當一個你參與的共同計畫開始偏離你認同的方向時，你比較自然會……</t>
        </is>
      </c>
      <c r="D5">
        <f>'33_RESPONSE_INPUT'!H5</f>
        <v/>
      </c>
      <c r="E5">
        <f>'33_RESPONSE_INPUT'!I5</f>
        <v/>
      </c>
      <c r="F5">
        <f>IF('35_LOCAL_DUEL'!$B$4&lt;&gt;"READY","",INDEX('98_PROD_CODEBOOK_Q'!$C$2:$Y$81,ROW()-4,'35_LOCAL_DUEL'!$B$5))</f>
        <v/>
      </c>
      <c r="G5">
        <f>IF('35_LOCAL_DUEL'!$B$4&lt;&gt;"READY","",INDEX('98_PROD_CODEBOOK_Q'!$C$2:$Y$81,ROW()-4,'35_LOCAL_DUEL'!$B$7))</f>
        <v/>
      </c>
      <c r="H5">
        <f>'33_RESPONSE_INPUT'!M7</f>
        <v/>
      </c>
      <c r="I5">
        <f>IF(F5="","",INDEX('34_SCOREBOARD'!$D$21:$D$43,MATCH('35_LOCAL_DUEL'!$B$5,'34_SCOREBOARD'!$A$21:$A$43,0)))</f>
        <v/>
      </c>
      <c r="J5">
        <f>IF(G5="","",INDEX('34_SCOREBOARD'!$D$21:$D$43,MATCH('35_LOCAL_DUEL'!$B$7,'34_SCOREBOARD'!$A$21:$A$43,0)))</f>
        <v/>
      </c>
      <c r="K5">
        <f>IF(OR(D5="",H5=0),"",(E5/SUM($E$5:$E$84))*(D5/H5)*(F5/I5-G5/J5))</f>
        <v/>
      </c>
      <c r="L5">
        <f>IF(K5="","",IF(K5&gt;0,"PRIMARY",IF(K5&lt;0,"RUNNER","NEUTRAL")))</f>
        <v/>
      </c>
      <c r="N5" t="inlineStr">
        <is>
          <t>Raw score gap</t>
        </is>
      </c>
      <c r="O5">
        <f>'35_LOCAL_DUEL'!B11</f>
        <v/>
      </c>
    </row>
    <row r="6">
      <c r="A6" t="n">
        <v>2</v>
      </c>
      <c r="B6" t="inlineStr">
        <is>
          <t>L05</t>
        </is>
      </c>
      <c r="C6" s="47" t="inlineStr">
        <is>
          <t>當一個空間讓你覺得不太對勁時，你比較想怎麼調整？</t>
        </is>
      </c>
      <c r="D6">
        <f>'33_RESPONSE_INPUT'!H6</f>
        <v/>
      </c>
      <c r="E6">
        <f>'33_RESPONSE_INPUT'!I6</f>
        <v/>
      </c>
      <c r="F6">
        <f>IF('35_LOCAL_DUEL'!$B$4&lt;&gt;"READY","",INDEX('98_PROD_CODEBOOK_Q'!$C$2:$Y$81,ROW()-4,'35_LOCAL_DUEL'!$B$5))</f>
        <v/>
      </c>
      <c r="G6">
        <f>IF('35_LOCAL_DUEL'!$B$4&lt;&gt;"READY","",INDEX('98_PROD_CODEBOOK_Q'!$C$2:$Y$81,ROW()-4,'35_LOCAL_DUEL'!$B$7))</f>
        <v/>
      </c>
      <c r="H6">
        <f>'33_RESPONSE_INPUT'!M7</f>
        <v/>
      </c>
      <c r="I6">
        <f>IF(F6="","",INDEX('34_SCOREBOARD'!$D$21:$D$43,MATCH('35_LOCAL_DUEL'!$B$5,'34_SCOREBOARD'!$A$21:$A$43,0)))</f>
        <v/>
      </c>
      <c r="J6">
        <f>IF(G6="","",INDEX('34_SCOREBOARD'!$D$21:$D$43,MATCH('35_LOCAL_DUEL'!$B$7,'34_SCOREBOARD'!$A$21:$A$43,0)))</f>
        <v/>
      </c>
      <c r="K6">
        <f>IF(OR(D6="",H6=0),"",(E6/SUM($E$5:$E$84))*(D6/H6)*(F6/I6-G6/J6))</f>
        <v/>
      </c>
      <c r="L6">
        <f>IF(K6="","",IF(K6&gt;0,"PRIMARY",IF(K6&lt;0,"RUNNER","NEUTRAL")))</f>
        <v/>
      </c>
      <c r="N6" t="inlineStr">
        <is>
          <t>Identity error</t>
        </is>
      </c>
      <c r="O6">
        <f>IF(O4="","",O4-O5)</f>
        <v/>
      </c>
    </row>
    <row r="7">
      <c r="A7" t="n">
        <v>3</v>
      </c>
      <c r="B7" t="inlineStr">
        <is>
          <t>G13</t>
        </is>
      </c>
      <c r="C7" s="47" t="inlineStr">
        <is>
          <t>當新的人想加入你正在維持的小圈子或合作小組時，你通常會……</t>
        </is>
      </c>
      <c r="D7">
        <f>'33_RESPONSE_INPUT'!H7</f>
        <v/>
      </c>
      <c r="E7">
        <f>'33_RESPONSE_INPUT'!I7</f>
        <v/>
      </c>
      <c r="F7">
        <f>IF('35_LOCAL_DUEL'!$B$4&lt;&gt;"READY","",INDEX('98_PROD_CODEBOOK_Q'!$C$2:$Y$81,ROW()-4,'35_LOCAL_DUEL'!$B$5))</f>
        <v/>
      </c>
      <c r="G7">
        <f>IF('35_LOCAL_DUEL'!$B$4&lt;&gt;"READY","",INDEX('98_PROD_CODEBOOK_Q'!$C$2:$Y$81,ROW()-4,'35_LOCAL_DUEL'!$B$7))</f>
        <v/>
      </c>
      <c r="H7">
        <f>'33_RESPONSE_INPUT'!M7</f>
        <v/>
      </c>
      <c r="I7">
        <f>IF(F7="","",INDEX('34_SCOREBOARD'!$D$21:$D$43,MATCH('35_LOCAL_DUEL'!$B$5,'34_SCOREBOARD'!$A$21:$A$43,0)))</f>
        <v/>
      </c>
      <c r="J7">
        <f>IF(G7="","",INDEX('34_SCOREBOARD'!$D$21:$D$43,MATCH('35_LOCAL_DUEL'!$B$7,'34_SCOREBOARD'!$A$21:$A$43,0)))</f>
        <v/>
      </c>
      <c r="K7">
        <f>IF(OR(D7="",H7=0),"",(E7/SUM($E$5:$E$84))*(D7/H7)*(F7/I7-G7/J7))</f>
        <v/>
      </c>
      <c r="L7">
        <f>IF(K7="","",IF(K7&gt;0,"PRIMARY",IF(K7&lt;0,"RUNNER","NEUTRAL")))</f>
        <v/>
      </c>
    </row>
    <row r="8">
      <c r="A8" t="n">
        <v>4</v>
      </c>
      <c r="B8" t="inlineStr">
        <is>
          <t>L06</t>
        </is>
      </c>
      <c r="C8" s="47" t="inlineStr">
        <is>
          <t>當你長期覺得生活不太對勁時，什麼最能幫你找回方向？</t>
        </is>
      </c>
      <c r="D8">
        <f>'33_RESPONSE_INPUT'!H8</f>
        <v/>
      </c>
      <c r="E8">
        <f>'33_RESPONSE_INPUT'!I8</f>
        <v/>
      </c>
      <c r="F8">
        <f>IF('35_LOCAL_DUEL'!$B$4&lt;&gt;"READY","",INDEX('98_PROD_CODEBOOK_Q'!$C$2:$Y$81,ROW()-4,'35_LOCAL_DUEL'!$B$5))</f>
        <v/>
      </c>
      <c r="G8">
        <f>IF('35_LOCAL_DUEL'!$B$4&lt;&gt;"READY","",INDEX('98_PROD_CODEBOOK_Q'!$C$2:$Y$81,ROW()-4,'35_LOCAL_DUEL'!$B$7))</f>
        <v/>
      </c>
      <c r="H8">
        <f>'33_RESPONSE_INPUT'!M7</f>
        <v/>
      </c>
      <c r="I8">
        <f>IF(F8="","",INDEX('34_SCOREBOARD'!$D$21:$D$43,MATCH('35_LOCAL_DUEL'!$B$5,'34_SCOREBOARD'!$A$21:$A$43,0)))</f>
        <v/>
      </c>
      <c r="J8">
        <f>IF(G8="","",INDEX('34_SCOREBOARD'!$D$21:$D$43,MATCH('35_LOCAL_DUEL'!$B$7,'34_SCOREBOARD'!$A$21:$A$43,0)))</f>
        <v/>
      </c>
      <c r="K8">
        <f>IF(OR(D8="",H8=0),"",(E8/SUM($E$5:$E$84))*(D8/H8)*(F8/I8-G8/J8))</f>
        <v/>
      </c>
      <c r="L8">
        <f>IF(K8="","",IF(K8&gt;0,"PRIMARY",IF(K8&lt;0,"RUNNER","NEUTRAL")))</f>
        <v/>
      </c>
    </row>
    <row r="9">
      <c r="A9" t="n">
        <v>5</v>
      </c>
      <c r="B9" t="inlineStr">
        <is>
          <t>G23</t>
        </is>
      </c>
      <c r="C9" s="47" t="inlineStr">
        <is>
          <t>面對一件重要又複雜的事時，你比較容易先注意哪一部分？</t>
        </is>
      </c>
      <c r="D9">
        <f>'33_RESPONSE_INPUT'!H9</f>
        <v/>
      </c>
      <c r="E9">
        <f>'33_RESPONSE_INPUT'!I9</f>
        <v/>
      </c>
      <c r="F9">
        <f>IF('35_LOCAL_DUEL'!$B$4&lt;&gt;"READY","",INDEX('98_PROD_CODEBOOK_Q'!$C$2:$Y$81,ROW()-4,'35_LOCAL_DUEL'!$B$5))</f>
        <v/>
      </c>
      <c r="G9">
        <f>IF('35_LOCAL_DUEL'!$B$4&lt;&gt;"READY","",INDEX('98_PROD_CODEBOOK_Q'!$C$2:$Y$81,ROW()-4,'35_LOCAL_DUEL'!$B$7))</f>
        <v/>
      </c>
      <c r="H9">
        <f>'33_RESPONSE_INPUT'!M7</f>
        <v/>
      </c>
      <c r="I9">
        <f>IF(F9="","",INDEX('34_SCOREBOARD'!$D$21:$D$43,MATCH('35_LOCAL_DUEL'!$B$5,'34_SCOREBOARD'!$A$21:$A$43,0)))</f>
        <v/>
      </c>
      <c r="J9">
        <f>IF(G9="","",INDEX('34_SCOREBOARD'!$D$21:$D$43,MATCH('35_LOCAL_DUEL'!$B$7,'34_SCOREBOARD'!$A$21:$A$43,0)))</f>
        <v/>
      </c>
      <c r="K9">
        <f>IF(OR(D9="",H9=0),"",(E9/SUM($E$5:$E$84))*(D9/H9)*(F9/I9-G9/J9))</f>
        <v/>
      </c>
      <c r="L9">
        <f>IF(K9="","",IF(K9&gt;0,"PRIMARY",IF(K9&lt;0,"RUNNER","NEUTRAL")))</f>
        <v/>
      </c>
    </row>
    <row r="10">
      <c r="A10" t="n">
        <v>6</v>
      </c>
      <c r="B10" t="inlineStr">
        <is>
          <t>A09</t>
        </is>
      </c>
      <c r="C10" s="47" t="inlineStr">
        <is>
          <t>如果一項很多人都會使用的公共服務需要重新設計，你比較想從哪裡開始？</t>
        </is>
      </c>
      <c r="D10">
        <f>'33_RESPONSE_INPUT'!H10</f>
        <v/>
      </c>
      <c r="E10">
        <f>'33_RESPONSE_INPUT'!I10</f>
        <v/>
      </c>
      <c r="F10">
        <f>IF('35_LOCAL_DUEL'!$B$4&lt;&gt;"READY","",INDEX('98_PROD_CODEBOOK_Q'!$C$2:$Y$81,ROW()-4,'35_LOCAL_DUEL'!$B$5))</f>
        <v/>
      </c>
      <c r="G10">
        <f>IF('35_LOCAL_DUEL'!$B$4&lt;&gt;"READY","",INDEX('98_PROD_CODEBOOK_Q'!$C$2:$Y$81,ROW()-4,'35_LOCAL_DUEL'!$B$7))</f>
        <v/>
      </c>
      <c r="H10">
        <f>'33_RESPONSE_INPUT'!M7</f>
        <v/>
      </c>
      <c r="I10">
        <f>IF(F10="","",INDEX('34_SCOREBOARD'!$D$21:$D$43,MATCH('35_LOCAL_DUEL'!$B$5,'34_SCOREBOARD'!$A$21:$A$43,0)))</f>
        <v/>
      </c>
      <c r="J10">
        <f>IF(G10="","",INDEX('34_SCOREBOARD'!$D$21:$D$43,MATCH('35_LOCAL_DUEL'!$B$7,'34_SCOREBOARD'!$A$21:$A$43,0)))</f>
        <v/>
      </c>
      <c r="K10">
        <f>IF(OR(D10="",H10=0),"",(E10/SUM($E$5:$E$84))*(D10/H10)*(F10/I10-G10/J10))</f>
        <v/>
      </c>
      <c r="L10">
        <f>IF(K10="","",IF(K10&gt;0,"PRIMARY",IF(K10&lt;0,"RUNNER","NEUTRAL")))</f>
        <v/>
      </c>
    </row>
    <row r="11">
      <c r="A11" t="n">
        <v>7</v>
      </c>
      <c r="B11" t="inlineStr">
        <is>
          <t>G01</t>
        </is>
      </c>
      <c r="C11" s="47" t="inlineStr">
        <is>
          <t>面對一段同時帶有情緒和資訊的分享，你第一個自然反應比較像……</t>
        </is>
      </c>
      <c r="D11">
        <f>'33_RESPONSE_INPUT'!H11</f>
        <v/>
      </c>
      <c r="E11">
        <f>'33_RESPONSE_INPUT'!I11</f>
        <v/>
      </c>
      <c r="F11">
        <f>IF('35_LOCAL_DUEL'!$B$4&lt;&gt;"READY","",INDEX('98_PROD_CODEBOOK_Q'!$C$2:$Y$81,ROW()-4,'35_LOCAL_DUEL'!$B$5))</f>
        <v/>
      </c>
      <c r="G11">
        <f>IF('35_LOCAL_DUEL'!$B$4&lt;&gt;"READY","",INDEX('98_PROD_CODEBOOK_Q'!$C$2:$Y$81,ROW()-4,'35_LOCAL_DUEL'!$B$7))</f>
        <v/>
      </c>
      <c r="H11">
        <f>'33_RESPONSE_INPUT'!M7</f>
        <v/>
      </c>
      <c r="I11">
        <f>IF(F11="","",INDEX('34_SCOREBOARD'!$D$21:$D$43,MATCH('35_LOCAL_DUEL'!$B$5,'34_SCOREBOARD'!$A$21:$A$43,0)))</f>
        <v/>
      </c>
      <c r="J11">
        <f>IF(G11="","",INDEX('34_SCOREBOARD'!$D$21:$D$43,MATCH('35_LOCAL_DUEL'!$B$7,'34_SCOREBOARD'!$A$21:$A$43,0)))</f>
        <v/>
      </c>
      <c r="K11">
        <f>IF(OR(D11="",H11=0),"",(E11/SUM($E$5:$E$84))*(D11/H11)*(F11/I11-G11/J11))</f>
        <v/>
      </c>
      <c r="L11">
        <f>IF(K11="","",IF(K11&gt;0,"PRIMARY",IF(K11&lt;0,"RUNNER","NEUTRAL")))</f>
        <v/>
      </c>
    </row>
    <row r="12">
      <c r="A12" t="n">
        <v>8</v>
      </c>
      <c r="B12" t="inlineStr">
        <is>
          <t>L19</t>
        </is>
      </c>
      <c r="C12" s="47" t="inlineStr">
        <is>
          <t>當你得到一段完全自由支配的創作時間，你更想……</t>
        </is>
      </c>
      <c r="D12">
        <f>'33_RESPONSE_INPUT'!H12</f>
        <v/>
      </c>
      <c r="E12">
        <f>'33_RESPONSE_INPUT'!I12</f>
        <v/>
      </c>
      <c r="F12">
        <f>IF('35_LOCAL_DUEL'!$B$4&lt;&gt;"READY","",INDEX('98_PROD_CODEBOOK_Q'!$C$2:$Y$81,ROW()-4,'35_LOCAL_DUEL'!$B$5))</f>
        <v/>
      </c>
      <c r="G12">
        <f>IF('35_LOCAL_DUEL'!$B$4&lt;&gt;"READY","",INDEX('98_PROD_CODEBOOK_Q'!$C$2:$Y$81,ROW()-4,'35_LOCAL_DUEL'!$B$7))</f>
        <v/>
      </c>
      <c r="H12">
        <f>'33_RESPONSE_INPUT'!M7</f>
        <v/>
      </c>
      <c r="I12">
        <f>IF(F12="","",INDEX('34_SCOREBOARD'!$D$21:$D$43,MATCH('35_LOCAL_DUEL'!$B$5,'34_SCOREBOARD'!$A$21:$A$43,0)))</f>
        <v/>
      </c>
      <c r="J12">
        <f>IF(G12="","",INDEX('34_SCOREBOARD'!$D$21:$D$43,MATCH('35_LOCAL_DUEL'!$B$7,'34_SCOREBOARD'!$A$21:$A$43,0)))</f>
        <v/>
      </c>
      <c r="K12">
        <f>IF(OR(D12="",H12=0),"",(E12/SUM($E$5:$E$84))*(D12/H12)*(F12/I12-G12/J12))</f>
        <v/>
      </c>
      <c r="L12">
        <f>IF(K12="","",IF(K12&gt;0,"PRIMARY",IF(K12&lt;0,"RUNNER","NEUTRAL")))</f>
        <v/>
      </c>
    </row>
    <row r="13">
      <c r="A13" t="n">
        <v>9</v>
      </c>
      <c r="B13" t="inlineStr">
        <is>
          <t>G02</t>
        </is>
      </c>
      <c r="C13" s="47" t="inlineStr">
        <is>
          <t>一個對你很重要的決定，也會明顯影響親近的人時，你比較自然會……</t>
        </is>
      </c>
      <c r="D13">
        <f>'33_RESPONSE_INPUT'!H13</f>
        <v/>
      </c>
      <c r="E13">
        <f>'33_RESPONSE_INPUT'!I13</f>
        <v/>
      </c>
      <c r="F13">
        <f>IF('35_LOCAL_DUEL'!$B$4&lt;&gt;"READY","",INDEX('98_PROD_CODEBOOK_Q'!$C$2:$Y$81,ROW()-4,'35_LOCAL_DUEL'!$B$5))</f>
        <v/>
      </c>
      <c r="G13">
        <f>IF('35_LOCAL_DUEL'!$B$4&lt;&gt;"READY","",INDEX('98_PROD_CODEBOOK_Q'!$C$2:$Y$81,ROW()-4,'35_LOCAL_DUEL'!$B$7))</f>
        <v/>
      </c>
      <c r="H13">
        <f>'33_RESPONSE_INPUT'!M7</f>
        <v/>
      </c>
      <c r="I13">
        <f>IF(F13="","",INDEX('34_SCOREBOARD'!$D$21:$D$43,MATCH('35_LOCAL_DUEL'!$B$5,'34_SCOREBOARD'!$A$21:$A$43,0)))</f>
        <v/>
      </c>
      <c r="J13">
        <f>IF(G13="","",INDEX('34_SCOREBOARD'!$D$21:$D$43,MATCH('35_LOCAL_DUEL'!$B$7,'34_SCOREBOARD'!$A$21:$A$43,0)))</f>
        <v/>
      </c>
      <c r="K13">
        <f>IF(OR(D13="",H13=0),"",(E13/SUM($E$5:$E$84))*(D13/H13)*(F13/I13-G13/J13))</f>
        <v/>
      </c>
      <c r="L13">
        <f>IF(K13="","",IF(K13&gt;0,"PRIMARY",IF(K13&lt;0,"RUNNER","NEUTRAL")))</f>
        <v/>
      </c>
    </row>
    <row r="14">
      <c r="A14" t="n">
        <v>10</v>
      </c>
      <c r="B14" t="inlineStr">
        <is>
          <t>L07</t>
        </is>
      </c>
      <c r="C14" s="47" t="inlineStr">
        <is>
          <t>要讓一段相處重新有連結感，你比較相信關鍵在於……</t>
        </is>
      </c>
      <c r="D14">
        <f>'33_RESPONSE_INPUT'!H14</f>
        <v/>
      </c>
      <c r="E14">
        <f>'33_RESPONSE_INPUT'!I14</f>
        <v/>
      </c>
      <c r="F14">
        <f>IF('35_LOCAL_DUEL'!$B$4&lt;&gt;"READY","",INDEX('98_PROD_CODEBOOK_Q'!$C$2:$Y$81,ROW()-4,'35_LOCAL_DUEL'!$B$5))</f>
        <v/>
      </c>
      <c r="G14">
        <f>IF('35_LOCAL_DUEL'!$B$4&lt;&gt;"READY","",INDEX('98_PROD_CODEBOOK_Q'!$C$2:$Y$81,ROW()-4,'35_LOCAL_DUEL'!$B$7))</f>
        <v/>
      </c>
      <c r="H14">
        <f>'33_RESPONSE_INPUT'!M7</f>
        <v/>
      </c>
      <c r="I14">
        <f>IF(F14="","",INDEX('34_SCOREBOARD'!$D$21:$D$43,MATCH('35_LOCAL_DUEL'!$B$5,'34_SCOREBOARD'!$A$21:$A$43,0)))</f>
        <v/>
      </c>
      <c r="J14">
        <f>IF(G14="","",INDEX('34_SCOREBOARD'!$D$21:$D$43,MATCH('35_LOCAL_DUEL'!$B$7,'34_SCOREBOARD'!$A$21:$A$43,0)))</f>
        <v/>
      </c>
      <c r="K14">
        <f>IF(OR(D14="",H14=0),"",(E14/SUM($E$5:$E$84))*(D14/H14)*(F14/I14-G14/J14))</f>
        <v/>
      </c>
      <c r="L14">
        <f>IF(K14="","",IF(K14&gt;0,"PRIMARY",IF(K14&lt;0,"RUNNER","NEUTRAL")))</f>
        <v/>
      </c>
    </row>
    <row r="15">
      <c r="A15" t="n">
        <v>11</v>
      </c>
      <c r="B15" t="inlineStr">
        <is>
          <t>G27</t>
        </is>
      </c>
      <c r="C15" s="47" t="inlineStr">
        <is>
          <t>如果兩種生活節奏都可行，你通常更被哪一種吸引？</t>
        </is>
      </c>
      <c r="D15">
        <f>'33_RESPONSE_INPUT'!H15</f>
        <v/>
      </c>
      <c r="E15">
        <f>'33_RESPONSE_INPUT'!I15</f>
        <v/>
      </c>
      <c r="F15">
        <f>IF('35_LOCAL_DUEL'!$B$4&lt;&gt;"READY","",INDEX('98_PROD_CODEBOOK_Q'!$C$2:$Y$81,ROW()-4,'35_LOCAL_DUEL'!$B$5))</f>
        <v/>
      </c>
      <c r="G15">
        <f>IF('35_LOCAL_DUEL'!$B$4&lt;&gt;"READY","",INDEX('98_PROD_CODEBOOK_Q'!$C$2:$Y$81,ROW()-4,'35_LOCAL_DUEL'!$B$7))</f>
        <v/>
      </c>
      <c r="H15">
        <f>'33_RESPONSE_INPUT'!M7</f>
        <v/>
      </c>
      <c r="I15">
        <f>IF(F15="","",INDEX('34_SCOREBOARD'!$D$21:$D$43,MATCH('35_LOCAL_DUEL'!$B$5,'34_SCOREBOARD'!$A$21:$A$43,0)))</f>
        <v/>
      </c>
      <c r="J15">
        <f>IF(G15="","",INDEX('34_SCOREBOARD'!$D$21:$D$43,MATCH('35_LOCAL_DUEL'!$B$7,'34_SCOREBOARD'!$A$21:$A$43,0)))</f>
        <v/>
      </c>
      <c r="K15">
        <f>IF(OR(D15="",H15=0),"",(E15/SUM($E$5:$E$84))*(D15/H15)*(F15/I15-G15/J15))</f>
        <v/>
      </c>
      <c r="L15">
        <f>IF(K15="","",IF(K15&gt;0,"PRIMARY",IF(K15&lt;0,"RUNNER","NEUTRAL")))</f>
        <v/>
      </c>
    </row>
    <row r="16">
      <c r="A16" t="n">
        <v>12</v>
      </c>
      <c r="B16" t="inlineStr">
        <is>
          <t>L36</t>
        </is>
      </c>
      <c r="C16" s="47" t="inlineStr">
        <is>
          <t>當你長期生活在一個正在改變的地方或群體裡，你比較自然會扮演哪種角色？</t>
        </is>
      </c>
      <c r="D16">
        <f>'33_RESPONSE_INPUT'!H16</f>
        <v/>
      </c>
      <c r="E16">
        <f>'33_RESPONSE_INPUT'!I16</f>
        <v/>
      </c>
      <c r="F16">
        <f>IF('35_LOCAL_DUEL'!$B$4&lt;&gt;"READY","",INDEX('98_PROD_CODEBOOK_Q'!$C$2:$Y$81,ROW()-4,'35_LOCAL_DUEL'!$B$5))</f>
        <v/>
      </c>
      <c r="G16">
        <f>IF('35_LOCAL_DUEL'!$B$4&lt;&gt;"READY","",INDEX('98_PROD_CODEBOOK_Q'!$C$2:$Y$81,ROW()-4,'35_LOCAL_DUEL'!$B$7))</f>
        <v/>
      </c>
      <c r="H16">
        <f>'33_RESPONSE_INPUT'!M7</f>
        <v/>
      </c>
      <c r="I16">
        <f>IF(F16="","",INDEX('34_SCOREBOARD'!$D$21:$D$43,MATCH('35_LOCAL_DUEL'!$B$5,'34_SCOREBOARD'!$A$21:$A$43,0)))</f>
        <v/>
      </c>
      <c r="J16">
        <f>IF(G16="","",INDEX('34_SCOREBOARD'!$D$21:$D$43,MATCH('35_LOCAL_DUEL'!$B$7,'34_SCOREBOARD'!$A$21:$A$43,0)))</f>
        <v/>
      </c>
      <c r="K16">
        <f>IF(OR(D16="",H16=0),"",(E16/SUM($E$5:$E$84))*(D16/H16)*(F16/I16-G16/J16))</f>
        <v/>
      </c>
      <c r="L16">
        <f>IF(K16="","",IF(K16&gt;0,"PRIMARY",IF(K16&lt;0,"RUNNER","NEUTRAL")))</f>
        <v/>
      </c>
    </row>
    <row r="17">
      <c r="A17" t="n">
        <v>13</v>
      </c>
      <c r="B17" t="inlineStr">
        <is>
          <t>A04</t>
        </is>
      </c>
      <c r="C17" s="47" t="inlineStr">
        <is>
          <t>當一個團隊要在很多變動中繼續做事時，你比較傾向……</t>
        </is>
      </c>
      <c r="D17">
        <f>'33_RESPONSE_INPUT'!H17</f>
        <v/>
      </c>
      <c r="E17">
        <f>'33_RESPONSE_INPUT'!I17</f>
        <v/>
      </c>
      <c r="F17">
        <f>IF('35_LOCAL_DUEL'!$B$4&lt;&gt;"READY","",INDEX('98_PROD_CODEBOOK_Q'!$C$2:$Y$81,ROW()-4,'35_LOCAL_DUEL'!$B$5))</f>
        <v/>
      </c>
      <c r="G17">
        <f>IF('35_LOCAL_DUEL'!$B$4&lt;&gt;"READY","",INDEX('98_PROD_CODEBOOK_Q'!$C$2:$Y$81,ROW()-4,'35_LOCAL_DUEL'!$B$7))</f>
        <v/>
      </c>
      <c r="H17">
        <f>'33_RESPONSE_INPUT'!M7</f>
        <v/>
      </c>
      <c r="I17">
        <f>IF(F17="","",INDEX('34_SCOREBOARD'!$D$21:$D$43,MATCH('35_LOCAL_DUEL'!$B$5,'34_SCOREBOARD'!$A$21:$A$43,0)))</f>
        <v/>
      </c>
      <c r="J17">
        <f>IF(G17="","",INDEX('34_SCOREBOARD'!$D$21:$D$43,MATCH('35_LOCAL_DUEL'!$B$7,'34_SCOREBOARD'!$A$21:$A$43,0)))</f>
        <v/>
      </c>
      <c r="K17">
        <f>IF(OR(D17="",H17=0),"",(E17/SUM($E$5:$E$84))*(D17/H17)*(F17/I17-G17/J17))</f>
        <v/>
      </c>
      <c r="L17">
        <f>IF(K17="","",IF(K17&gt;0,"PRIMARY",IF(K17&lt;0,"RUNNER","NEUTRAL")))</f>
        <v/>
      </c>
    </row>
    <row r="18">
      <c r="A18" t="n">
        <v>14</v>
      </c>
      <c r="B18" t="inlineStr">
        <is>
          <t>L32</t>
        </is>
      </c>
      <c r="C18" s="47" t="inlineStr">
        <is>
          <t>一套原本運作穩定的流程開始出現小問題時，你比較傾向……</t>
        </is>
      </c>
      <c r="D18">
        <f>'33_RESPONSE_INPUT'!H18</f>
        <v/>
      </c>
      <c r="E18">
        <f>'33_RESPONSE_INPUT'!I18</f>
        <v/>
      </c>
      <c r="F18">
        <f>IF('35_LOCAL_DUEL'!$B$4&lt;&gt;"READY","",INDEX('98_PROD_CODEBOOK_Q'!$C$2:$Y$81,ROW()-4,'35_LOCAL_DUEL'!$B$5))</f>
        <v/>
      </c>
      <c r="G18">
        <f>IF('35_LOCAL_DUEL'!$B$4&lt;&gt;"READY","",INDEX('98_PROD_CODEBOOK_Q'!$C$2:$Y$81,ROW()-4,'35_LOCAL_DUEL'!$B$7))</f>
        <v/>
      </c>
      <c r="H18">
        <f>'33_RESPONSE_INPUT'!M7</f>
        <v/>
      </c>
      <c r="I18">
        <f>IF(F18="","",INDEX('34_SCOREBOARD'!$D$21:$D$43,MATCH('35_LOCAL_DUEL'!$B$5,'34_SCOREBOARD'!$A$21:$A$43,0)))</f>
        <v/>
      </c>
      <c r="J18">
        <f>IF(G18="","",INDEX('34_SCOREBOARD'!$D$21:$D$43,MATCH('35_LOCAL_DUEL'!$B$7,'34_SCOREBOARD'!$A$21:$A$43,0)))</f>
        <v/>
      </c>
      <c r="K18">
        <f>IF(OR(D18="",H18=0),"",(E18/SUM($E$5:$E$84))*(D18/H18)*(F18/I18-G18/J18))</f>
        <v/>
      </c>
      <c r="L18">
        <f>IF(K18="","",IF(K18&gt;0,"PRIMARY",IF(K18&lt;0,"RUNNER","NEUTRAL")))</f>
        <v/>
      </c>
    </row>
    <row r="19">
      <c r="A19" t="n">
        <v>15</v>
      </c>
      <c r="B19" t="inlineStr">
        <is>
          <t>G24</t>
        </is>
      </c>
      <c r="C19" s="47" t="inlineStr">
        <is>
          <t>加入一個陌生但友善的群體時，你通常會先……</t>
        </is>
      </c>
      <c r="D19">
        <f>'33_RESPONSE_INPUT'!H19</f>
        <v/>
      </c>
      <c r="E19">
        <f>'33_RESPONSE_INPUT'!I19</f>
        <v/>
      </c>
      <c r="F19">
        <f>IF('35_LOCAL_DUEL'!$B$4&lt;&gt;"READY","",INDEX('98_PROD_CODEBOOK_Q'!$C$2:$Y$81,ROW()-4,'35_LOCAL_DUEL'!$B$5))</f>
        <v/>
      </c>
      <c r="G19">
        <f>IF('35_LOCAL_DUEL'!$B$4&lt;&gt;"READY","",INDEX('98_PROD_CODEBOOK_Q'!$C$2:$Y$81,ROW()-4,'35_LOCAL_DUEL'!$B$7))</f>
        <v/>
      </c>
      <c r="H19">
        <f>'33_RESPONSE_INPUT'!M7</f>
        <v/>
      </c>
      <c r="I19">
        <f>IF(F19="","",INDEX('34_SCOREBOARD'!$D$21:$D$43,MATCH('35_LOCAL_DUEL'!$B$5,'34_SCOREBOARD'!$A$21:$A$43,0)))</f>
        <v/>
      </c>
      <c r="J19">
        <f>IF(G19="","",INDEX('34_SCOREBOARD'!$D$21:$D$43,MATCH('35_LOCAL_DUEL'!$B$7,'34_SCOREBOARD'!$A$21:$A$43,0)))</f>
        <v/>
      </c>
      <c r="K19">
        <f>IF(OR(D19="",H19=0),"",(E19/SUM($E$5:$E$84))*(D19/H19)*(F19/I19-G19/J19))</f>
        <v/>
      </c>
      <c r="L19">
        <f>IF(K19="","",IF(K19&gt;0,"PRIMARY",IF(K19&lt;0,"RUNNER","NEUTRAL")))</f>
        <v/>
      </c>
    </row>
    <row r="20">
      <c r="A20" t="n">
        <v>16</v>
      </c>
      <c r="B20" t="inlineStr">
        <is>
          <t>L37</t>
        </is>
      </c>
      <c r="C20" s="47" t="inlineStr">
        <is>
          <t>面對很多來自不同領域的新資訊，你更想把它們用來……</t>
        </is>
      </c>
      <c r="D20">
        <f>'33_RESPONSE_INPUT'!H20</f>
        <v/>
      </c>
      <c r="E20">
        <f>'33_RESPONSE_INPUT'!I20</f>
        <v/>
      </c>
      <c r="F20">
        <f>IF('35_LOCAL_DUEL'!$B$4&lt;&gt;"READY","",INDEX('98_PROD_CODEBOOK_Q'!$C$2:$Y$81,ROW()-4,'35_LOCAL_DUEL'!$B$5))</f>
        <v/>
      </c>
      <c r="G20">
        <f>IF('35_LOCAL_DUEL'!$B$4&lt;&gt;"READY","",INDEX('98_PROD_CODEBOOK_Q'!$C$2:$Y$81,ROW()-4,'35_LOCAL_DUEL'!$B$7))</f>
        <v/>
      </c>
      <c r="H20">
        <f>'33_RESPONSE_INPUT'!M7</f>
        <v/>
      </c>
      <c r="I20">
        <f>IF(F20="","",INDEX('34_SCOREBOARD'!$D$21:$D$43,MATCH('35_LOCAL_DUEL'!$B$5,'34_SCOREBOARD'!$A$21:$A$43,0)))</f>
        <v/>
      </c>
      <c r="J20">
        <f>IF(G20="","",INDEX('34_SCOREBOARD'!$D$21:$D$43,MATCH('35_LOCAL_DUEL'!$B$7,'34_SCOREBOARD'!$A$21:$A$43,0)))</f>
        <v/>
      </c>
      <c r="K20">
        <f>IF(OR(D20="",H20=0),"",(E20/SUM($E$5:$E$84))*(D20/H20)*(F20/I20-G20/J20))</f>
        <v/>
      </c>
      <c r="L20">
        <f>IF(K20="","",IF(K20&gt;0,"PRIMARY",IF(K20&lt;0,"RUNNER","NEUTRAL")))</f>
        <v/>
      </c>
    </row>
    <row r="21">
      <c r="A21" t="n">
        <v>17</v>
      </c>
      <c r="B21" t="inlineStr">
        <is>
          <t>G28</t>
        </is>
      </c>
      <c r="C21" s="47" t="inlineStr">
        <is>
          <t>當你同時有一個自己想走的方向，也有一件你願意負責保護或照顧的事時，你比較傾向……</t>
        </is>
      </c>
      <c r="D21">
        <f>'33_RESPONSE_INPUT'!H21</f>
        <v/>
      </c>
      <c r="E21">
        <f>'33_RESPONSE_INPUT'!I21</f>
        <v/>
      </c>
      <c r="F21">
        <f>IF('35_LOCAL_DUEL'!$B$4&lt;&gt;"READY","",INDEX('98_PROD_CODEBOOK_Q'!$C$2:$Y$81,ROW()-4,'35_LOCAL_DUEL'!$B$5))</f>
        <v/>
      </c>
      <c r="G21">
        <f>IF('35_LOCAL_DUEL'!$B$4&lt;&gt;"READY","",INDEX('98_PROD_CODEBOOK_Q'!$C$2:$Y$81,ROW()-4,'35_LOCAL_DUEL'!$B$7))</f>
        <v/>
      </c>
      <c r="H21">
        <f>'33_RESPONSE_INPUT'!M7</f>
        <v/>
      </c>
      <c r="I21">
        <f>IF(F21="","",INDEX('34_SCOREBOARD'!$D$21:$D$43,MATCH('35_LOCAL_DUEL'!$B$5,'34_SCOREBOARD'!$A$21:$A$43,0)))</f>
        <v/>
      </c>
      <c r="J21">
        <f>IF(G21="","",INDEX('34_SCOREBOARD'!$D$21:$D$43,MATCH('35_LOCAL_DUEL'!$B$7,'34_SCOREBOARD'!$A$21:$A$43,0)))</f>
        <v/>
      </c>
      <c r="K21">
        <f>IF(OR(D21="",H21=0),"",(E21/SUM($E$5:$E$84))*(D21/H21)*(F21/I21-G21/J21))</f>
        <v/>
      </c>
      <c r="L21">
        <f>IF(K21="","",IF(K21&gt;0,"PRIMARY",IF(K21&lt;0,"RUNNER","NEUTRAL")))</f>
        <v/>
      </c>
    </row>
    <row r="22">
      <c r="A22" t="n">
        <v>18</v>
      </c>
      <c r="B22" t="inlineStr">
        <is>
          <t>L14</t>
        </is>
      </c>
      <c r="C22" s="47" t="inlineStr">
        <is>
          <t>當很多人要把一個想法真正做出來時，你比較想負責哪一部分？</t>
        </is>
      </c>
      <c r="D22">
        <f>'33_RESPONSE_INPUT'!H22</f>
        <v/>
      </c>
      <c r="E22">
        <f>'33_RESPONSE_INPUT'!I22</f>
        <v/>
      </c>
      <c r="F22">
        <f>IF('35_LOCAL_DUEL'!$B$4&lt;&gt;"READY","",INDEX('98_PROD_CODEBOOK_Q'!$C$2:$Y$81,ROW()-4,'35_LOCAL_DUEL'!$B$5))</f>
        <v/>
      </c>
      <c r="G22">
        <f>IF('35_LOCAL_DUEL'!$B$4&lt;&gt;"READY","",INDEX('98_PROD_CODEBOOK_Q'!$C$2:$Y$81,ROW()-4,'35_LOCAL_DUEL'!$B$7))</f>
        <v/>
      </c>
      <c r="H22">
        <f>'33_RESPONSE_INPUT'!M7</f>
        <v/>
      </c>
      <c r="I22">
        <f>IF(F22="","",INDEX('34_SCOREBOARD'!$D$21:$D$43,MATCH('35_LOCAL_DUEL'!$B$5,'34_SCOREBOARD'!$A$21:$A$43,0)))</f>
        <v/>
      </c>
      <c r="J22">
        <f>IF(G22="","",INDEX('34_SCOREBOARD'!$D$21:$D$43,MATCH('35_LOCAL_DUEL'!$B$7,'34_SCOREBOARD'!$A$21:$A$43,0)))</f>
        <v/>
      </c>
      <c r="K22">
        <f>IF(OR(D22="",H22=0),"",(E22/SUM($E$5:$E$84))*(D22/H22)*(F22/I22-G22/J22))</f>
        <v/>
      </c>
      <c r="L22">
        <f>IF(K22="","",IF(K22&gt;0,"PRIMARY",IF(K22&lt;0,"RUNNER","NEUTRAL")))</f>
        <v/>
      </c>
    </row>
    <row r="23">
      <c r="A23" t="n">
        <v>19</v>
      </c>
      <c r="B23" t="inlineStr">
        <is>
          <t>G06</t>
        </is>
      </c>
      <c r="C23" s="47" t="inlineStr">
        <is>
          <t>遇到一個值得投入、但還不知道會怎麼發展的新方向時，你比較像……</t>
        </is>
      </c>
      <c r="D23">
        <f>'33_RESPONSE_INPUT'!H23</f>
        <v/>
      </c>
      <c r="E23">
        <f>'33_RESPONSE_INPUT'!I23</f>
        <v/>
      </c>
      <c r="F23">
        <f>IF('35_LOCAL_DUEL'!$B$4&lt;&gt;"READY","",INDEX('98_PROD_CODEBOOK_Q'!$C$2:$Y$81,ROW()-4,'35_LOCAL_DUEL'!$B$5))</f>
        <v/>
      </c>
      <c r="G23">
        <f>IF('35_LOCAL_DUEL'!$B$4&lt;&gt;"READY","",INDEX('98_PROD_CODEBOOK_Q'!$C$2:$Y$81,ROW()-4,'35_LOCAL_DUEL'!$B$7))</f>
        <v/>
      </c>
      <c r="H23">
        <f>'33_RESPONSE_INPUT'!M7</f>
        <v/>
      </c>
      <c r="I23">
        <f>IF(F23="","",INDEX('34_SCOREBOARD'!$D$21:$D$43,MATCH('35_LOCAL_DUEL'!$B$5,'34_SCOREBOARD'!$A$21:$A$43,0)))</f>
        <v/>
      </c>
      <c r="J23">
        <f>IF(G23="","",INDEX('34_SCOREBOARD'!$D$21:$D$43,MATCH('35_LOCAL_DUEL'!$B$7,'34_SCOREBOARD'!$A$21:$A$43,0)))</f>
        <v/>
      </c>
      <c r="K23">
        <f>IF(OR(D23="",H23=0),"",(E23/SUM($E$5:$E$84))*(D23/H23)*(F23/I23-G23/J23))</f>
        <v/>
      </c>
      <c r="L23">
        <f>IF(K23="","",IF(K23&gt;0,"PRIMARY",IF(K23&lt;0,"RUNNER","NEUTRAL")))</f>
        <v/>
      </c>
    </row>
    <row r="24">
      <c r="A24" t="n">
        <v>20</v>
      </c>
      <c r="B24" t="inlineStr">
        <is>
          <t>A10</t>
        </is>
      </c>
      <c r="C24" s="47" t="inlineStr">
        <is>
          <t>談到「真正的家」這種歸屬感時，你更接近哪一種？</t>
        </is>
      </c>
      <c r="D24">
        <f>'33_RESPONSE_INPUT'!H24</f>
        <v/>
      </c>
      <c r="E24">
        <f>'33_RESPONSE_INPUT'!I24</f>
        <v/>
      </c>
      <c r="F24">
        <f>IF('35_LOCAL_DUEL'!$B$4&lt;&gt;"READY","",INDEX('98_PROD_CODEBOOK_Q'!$C$2:$Y$81,ROW()-4,'35_LOCAL_DUEL'!$B$5))</f>
        <v/>
      </c>
      <c r="G24">
        <f>IF('35_LOCAL_DUEL'!$B$4&lt;&gt;"READY","",INDEX('98_PROD_CODEBOOK_Q'!$C$2:$Y$81,ROW()-4,'35_LOCAL_DUEL'!$B$7))</f>
        <v/>
      </c>
      <c r="H24">
        <f>'33_RESPONSE_INPUT'!M7</f>
        <v/>
      </c>
      <c r="I24">
        <f>IF(F24="","",INDEX('34_SCOREBOARD'!$D$21:$D$43,MATCH('35_LOCAL_DUEL'!$B$5,'34_SCOREBOARD'!$A$21:$A$43,0)))</f>
        <v/>
      </c>
      <c r="J24">
        <f>IF(G24="","",INDEX('34_SCOREBOARD'!$D$21:$D$43,MATCH('35_LOCAL_DUEL'!$B$7,'34_SCOREBOARD'!$A$21:$A$43,0)))</f>
        <v/>
      </c>
      <c r="K24">
        <f>IF(OR(D24="",H24=0),"",(E24/SUM($E$5:$E$84))*(D24/H24)*(F24/I24-G24/J24))</f>
        <v/>
      </c>
      <c r="L24">
        <f>IF(K24="","",IF(K24&gt;0,"PRIMARY",IF(K24&lt;0,"RUNNER","NEUTRAL")))</f>
        <v/>
      </c>
    </row>
    <row r="25">
      <c r="A25" t="n">
        <v>21</v>
      </c>
      <c r="B25" t="inlineStr">
        <is>
          <t>G15</t>
        </is>
      </c>
      <c r="C25" s="47" t="inlineStr">
        <is>
          <t>原本平穩的場合突然出現不同意見和節奏變化時，你比較常……</t>
        </is>
      </c>
      <c r="D25">
        <f>'33_RESPONSE_INPUT'!H25</f>
        <v/>
      </c>
      <c r="E25">
        <f>'33_RESPONSE_INPUT'!I25</f>
        <v/>
      </c>
      <c r="F25">
        <f>IF('35_LOCAL_DUEL'!$B$4&lt;&gt;"READY","",INDEX('98_PROD_CODEBOOK_Q'!$C$2:$Y$81,ROW()-4,'35_LOCAL_DUEL'!$B$5))</f>
        <v/>
      </c>
      <c r="G25">
        <f>IF('35_LOCAL_DUEL'!$B$4&lt;&gt;"READY","",INDEX('98_PROD_CODEBOOK_Q'!$C$2:$Y$81,ROW()-4,'35_LOCAL_DUEL'!$B$7))</f>
        <v/>
      </c>
      <c r="H25">
        <f>'33_RESPONSE_INPUT'!M7</f>
        <v/>
      </c>
      <c r="I25">
        <f>IF(F25="","",INDEX('34_SCOREBOARD'!$D$21:$D$43,MATCH('35_LOCAL_DUEL'!$B$5,'34_SCOREBOARD'!$A$21:$A$43,0)))</f>
        <v/>
      </c>
      <c r="J25">
        <f>IF(G25="","",INDEX('34_SCOREBOARD'!$D$21:$D$43,MATCH('35_LOCAL_DUEL'!$B$7,'34_SCOREBOARD'!$A$21:$A$43,0)))</f>
        <v/>
      </c>
      <c r="K25">
        <f>IF(OR(D25="",H25=0),"",(E25/SUM($E$5:$E$84))*(D25/H25)*(F25/I25-G25/J25))</f>
        <v/>
      </c>
      <c r="L25">
        <f>IF(K25="","",IF(K25&gt;0,"PRIMARY",IF(K25&lt;0,"RUNNER","NEUTRAL")))</f>
        <v/>
      </c>
    </row>
    <row r="26">
      <c r="A26" t="n">
        <v>22</v>
      </c>
      <c r="B26" t="inlineStr">
        <is>
          <t>L21</t>
        </is>
      </c>
      <c r="C26" s="47" t="inlineStr">
        <is>
          <t>當很多人一起做事，而情況一再改變時，你比較傾向靠哪種方式維持下去？</t>
        </is>
      </c>
      <c r="D26">
        <f>'33_RESPONSE_INPUT'!H26</f>
        <v/>
      </c>
      <c r="E26">
        <f>'33_RESPONSE_INPUT'!I26</f>
        <v/>
      </c>
      <c r="F26">
        <f>IF('35_LOCAL_DUEL'!$B$4&lt;&gt;"READY","",INDEX('98_PROD_CODEBOOK_Q'!$C$2:$Y$81,ROW()-4,'35_LOCAL_DUEL'!$B$5))</f>
        <v/>
      </c>
      <c r="G26">
        <f>IF('35_LOCAL_DUEL'!$B$4&lt;&gt;"READY","",INDEX('98_PROD_CODEBOOK_Q'!$C$2:$Y$81,ROW()-4,'35_LOCAL_DUEL'!$B$7))</f>
        <v/>
      </c>
      <c r="H26">
        <f>'33_RESPONSE_INPUT'!M7</f>
        <v/>
      </c>
      <c r="I26">
        <f>IF(F26="","",INDEX('34_SCOREBOARD'!$D$21:$D$43,MATCH('35_LOCAL_DUEL'!$B$5,'34_SCOREBOARD'!$A$21:$A$43,0)))</f>
        <v/>
      </c>
      <c r="J26">
        <f>IF(G26="","",INDEX('34_SCOREBOARD'!$D$21:$D$43,MATCH('35_LOCAL_DUEL'!$B$7,'34_SCOREBOARD'!$A$21:$A$43,0)))</f>
        <v/>
      </c>
      <c r="K26">
        <f>IF(OR(D26="",H26=0),"",(E26/SUM($E$5:$E$84))*(D26/H26)*(F26/I26-G26/J26))</f>
        <v/>
      </c>
      <c r="L26">
        <f>IF(K26="","",IF(K26&gt;0,"PRIMARY",IF(K26&lt;0,"RUNNER","NEUTRAL")))</f>
        <v/>
      </c>
    </row>
    <row r="27">
      <c r="A27" t="n">
        <v>23</v>
      </c>
      <c r="B27" t="inlineStr">
        <is>
          <t>G09</t>
        </is>
      </c>
      <c r="C27" s="47" t="inlineStr">
        <is>
          <t>加入一個已有清楚規則和分工的合作時，你比較自然會……</t>
        </is>
      </c>
      <c r="D27">
        <f>'33_RESPONSE_INPUT'!H27</f>
        <v/>
      </c>
      <c r="E27">
        <f>'33_RESPONSE_INPUT'!I27</f>
        <v/>
      </c>
      <c r="F27">
        <f>IF('35_LOCAL_DUEL'!$B$4&lt;&gt;"READY","",INDEX('98_PROD_CODEBOOK_Q'!$C$2:$Y$81,ROW()-4,'35_LOCAL_DUEL'!$B$5))</f>
        <v/>
      </c>
      <c r="G27">
        <f>IF('35_LOCAL_DUEL'!$B$4&lt;&gt;"READY","",INDEX('98_PROD_CODEBOOK_Q'!$C$2:$Y$81,ROW()-4,'35_LOCAL_DUEL'!$B$7))</f>
        <v/>
      </c>
      <c r="H27">
        <f>'33_RESPONSE_INPUT'!M7</f>
        <v/>
      </c>
      <c r="I27">
        <f>IF(F27="","",INDEX('34_SCOREBOARD'!$D$21:$D$43,MATCH('35_LOCAL_DUEL'!$B$5,'34_SCOREBOARD'!$A$21:$A$43,0)))</f>
        <v/>
      </c>
      <c r="J27">
        <f>IF(G27="","",INDEX('34_SCOREBOARD'!$D$21:$D$43,MATCH('35_LOCAL_DUEL'!$B$7,'34_SCOREBOARD'!$A$21:$A$43,0)))</f>
        <v/>
      </c>
      <c r="K27">
        <f>IF(OR(D27="",H27=0),"",(E27/SUM($E$5:$E$84))*(D27/H27)*(F27/I27-G27/J27))</f>
        <v/>
      </c>
      <c r="L27">
        <f>IF(K27="","",IF(K27&gt;0,"PRIMARY",IF(K27&lt;0,"RUNNER","NEUTRAL")))</f>
        <v/>
      </c>
    </row>
    <row r="28">
      <c r="A28" t="n">
        <v>24</v>
      </c>
      <c r="B28" t="inlineStr">
        <is>
          <t>L28</t>
        </is>
      </c>
      <c r="C28" s="47" t="inlineStr">
        <is>
          <t>當幾個人對下一步各有想法、但還沒有明顯衝突時，你比較自然會……</t>
        </is>
      </c>
      <c r="D28">
        <f>'33_RESPONSE_INPUT'!H28</f>
        <v/>
      </c>
      <c r="E28">
        <f>'33_RESPONSE_INPUT'!I28</f>
        <v/>
      </c>
      <c r="F28">
        <f>IF('35_LOCAL_DUEL'!$B$4&lt;&gt;"READY","",INDEX('98_PROD_CODEBOOK_Q'!$C$2:$Y$81,ROW()-4,'35_LOCAL_DUEL'!$B$5))</f>
        <v/>
      </c>
      <c r="G28">
        <f>IF('35_LOCAL_DUEL'!$B$4&lt;&gt;"READY","",INDEX('98_PROD_CODEBOOK_Q'!$C$2:$Y$81,ROW()-4,'35_LOCAL_DUEL'!$B$7))</f>
        <v/>
      </c>
      <c r="H28">
        <f>'33_RESPONSE_INPUT'!M7</f>
        <v/>
      </c>
      <c r="I28">
        <f>IF(F28="","",INDEX('34_SCOREBOARD'!$D$21:$D$43,MATCH('35_LOCAL_DUEL'!$B$5,'34_SCOREBOARD'!$A$21:$A$43,0)))</f>
        <v/>
      </c>
      <c r="J28">
        <f>IF(G28="","",INDEX('34_SCOREBOARD'!$D$21:$D$43,MATCH('35_LOCAL_DUEL'!$B$7,'34_SCOREBOARD'!$A$21:$A$43,0)))</f>
        <v/>
      </c>
      <c r="K28">
        <f>IF(OR(D28="",H28=0),"",(E28/SUM($E$5:$E$84))*(D28/H28)*(F28/I28-G28/J28))</f>
        <v/>
      </c>
      <c r="L28">
        <f>IF(K28="","",IF(K28&gt;0,"PRIMARY",IF(K28&lt;0,"RUNNER","NEUTRAL")))</f>
        <v/>
      </c>
    </row>
    <row r="29">
      <c r="A29" t="n">
        <v>25</v>
      </c>
      <c r="B29" t="inlineStr">
        <is>
          <t>G11</t>
        </is>
      </c>
      <c r="C29" s="47" t="inlineStr">
        <is>
          <t>一個新機會看起來有潛力，但還有不少未知時，你通常會……</t>
        </is>
      </c>
      <c r="D29">
        <f>'33_RESPONSE_INPUT'!H29</f>
        <v/>
      </c>
      <c r="E29">
        <f>'33_RESPONSE_INPUT'!I29</f>
        <v/>
      </c>
      <c r="F29">
        <f>IF('35_LOCAL_DUEL'!$B$4&lt;&gt;"READY","",INDEX('98_PROD_CODEBOOK_Q'!$C$2:$Y$81,ROW()-4,'35_LOCAL_DUEL'!$B$5))</f>
        <v/>
      </c>
      <c r="G29">
        <f>IF('35_LOCAL_DUEL'!$B$4&lt;&gt;"READY","",INDEX('98_PROD_CODEBOOK_Q'!$C$2:$Y$81,ROW()-4,'35_LOCAL_DUEL'!$B$7))</f>
        <v/>
      </c>
      <c r="H29">
        <f>'33_RESPONSE_INPUT'!M7</f>
        <v/>
      </c>
      <c r="I29">
        <f>IF(F29="","",INDEX('34_SCOREBOARD'!$D$21:$D$43,MATCH('35_LOCAL_DUEL'!$B$5,'34_SCOREBOARD'!$A$21:$A$43,0)))</f>
        <v/>
      </c>
      <c r="J29">
        <f>IF(G29="","",INDEX('34_SCOREBOARD'!$D$21:$D$43,MATCH('35_LOCAL_DUEL'!$B$7,'34_SCOREBOARD'!$A$21:$A$43,0)))</f>
        <v/>
      </c>
      <c r="K29">
        <f>IF(OR(D29="",H29=0),"",(E29/SUM($E$5:$E$84))*(D29/H29)*(F29/I29-G29/J29))</f>
        <v/>
      </c>
      <c r="L29">
        <f>IF(K29="","",IF(K29&gt;0,"PRIMARY",IF(K29&lt;0,"RUNNER","NEUTRAL")))</f>
        <v/>
      </c>
    </row>
    <row r="30">
      <c r="A30" t="n">
        <v>26</v>
      </c>
      <c r="B30" t="inlineStr">
        <is>
          <t>L33</t>
        </is>
      </c>
      <c r="C30" s="47" t="inlineStr">
        <is>
          <t>當原本的做法限制了你想完成的事情時，你比較自然會……</t>
        </is>
      </c>
      <c r="D30">
        <f>'33_RESPONSE_INPUT'!H30</f>
        <v/>
      </c>
      <c r="E30">
        <f>'33_RESPONSE_INPUT'!I30</f>
        <v/>
      </c>
      <c r="F30">
        <f>IF('35_LOCAL_DUEL'!$B$4&lt;&gt;"READY","",INDEX('98_PROD_CODEBOOK_Q'!$C$2:$Y$81,ROW()-4,'35_LOCAL_DUEL'!$B$5))</f>
        <v/>
      </c>
      <c r="G30">
        <f>IF('35_LOCAL_DUEL'!$B$4&lt;&gt;"READY","",INDEX('98_PROD_CODEBOOK_Q'!$C$2:$Y$81,ROW()-4,'35_LOCAL_DUEL'!$B$7))</f>
        <v/>
      </c>
      <c r="H30">
        <f>'33_RESPONSE_INPUT'!M7</f>
        <v/>
      </c>
      <c r="I30">
        <f>IF(F30="","",INDEX('34_SCOREBOARD'!$D$21:$D$43,MATCH('35_LOCAL_DUEL'!$B$5,'34_SCOREBOARD'!$A$21:$A$43,0)))</f>
        <v/>
      </c>
      <c r="J30">
        <f>IF(G30="","",INDEX('34_SCOREBOARD'!$D$21:$D$43,MATCH('35_LOCAL_DUEL'!$B$7,'34_SCOREBOARD'!$A$21:$A$43,0)))</f>
        <v/>
      </c>
      <c r="K30">
        <f>IF(OR(D30="",H30=0),"",(E30/SUM($E$5:$E$84))*(D30/H30)*(F30/I30-G30/J30))</f>
        <v/>
      </c>
      <c r="L30">
        <f>IF(K30="","",IF(K30&gt;0,"PRIMARY",IF(K30&lt;0,"RUNNER","NEUTRAL")))</f>
        <v/>
      </c>
    </row>
    <row r="31">
      <c r="A31" t="n">
        <v>27</v>
      </c>
      <c r="B31" t="inlineStr">
        <is>
          <t>A01</t>
        </is>
      </c>
      <c r="C31" s="47" t="inlineStr">
        <is>
          <t>當熟悉的生活環境已經改變，你需要重新找回「像家」的感覺時，哪個方向更吸引你？</t>
        </is>
      </c>
      <c r="D31">
        <f>'33_RESPONSE_INPUT'!H31</f>
        <v/>
      </c>
      <c r="E31">
        <f>'33_RESPONSE_INPUT'!I31</f>
        <v/>
      </c>
      <c r="F31">
        <f>IF('35_LOCAL_DUEL'!$B$4&lt;&gt;"READY","",INDEX('98_PROD_CODEBOOK_Q'!$C$2:$Y$81,ROW()-4,'35_LOCAL_DUEL'!$B$5))</f>
        <v/>
      </c>
      <c r="G31">
        <f>IF('35_LOCAL_DUEL'!$B$4&lt;&gt;"READY","",INDEX('98_PROD_CODEBOOK_Q'!$C$2:$Y$81,ROW()-4,'35_LOCAL_DUEL'!$B$7))</f>
        <v/>
      </c>
      <c r="H31">
        <f>'33_RESPONSE_INPUT'!M7</f>
        <v/>
      </c>
      <c r="I31">
        <f>IF(F31="","",INDEX('34_SCOREBOARD'!$D$21:$D$43,MATCH('35_LOCAL_DUEL'!$B$5,'34_SCOREBOARD'!$A$21:$A$43,0)))</f>
        <v/>
      </c>
      <c r="J31">
        <f>IF(G31="","",INDEX('34_SCOREBOARD'!$D$21:$D$43,MATCH('35_LOCAL_DUEL'!$B$7,'34_SCOREBOARD'!$A$21:$A$43,0)))</f>
        <v/>
      </c>
      <c r="K31">
        <f>IF(OR(D31="",H31=0),"",(E31/SUM($E$5:$E$84))*(D31/H31)*(F31/I31-G31/J31))</f>
        <v/>
      </c>
      <c r="L31">
        <f>IF(K31="","",IF(K31&gt;0,"PRIMARY",IF(K31&lt;0,"RUNNER","NEUTRAL")))</f>
        <v/>
      </c>
    </row>
    <row r="32">
      <c r="A32" t="n">
        <v>28</v>
      </c>
      <c r="B32" t="inlineStr">
        <is>
          <t>L01</t>
        </is>
      </c>
      <c r="C32" s="47" t="inlineStr">
        <is>
          <t>一個小群體的氣氛開始緊繃時，你比較自然會……</t>
        </is>
      </c>
      <c r="D32">
        <f>'33_RESPONSE_INPUT'!H32</f>
        <v/>
      </c>
      <c r="E32">
        <f>'33_RESPONSE_INPUT'!I32</f>
        <v/>
      </c>
      <c r="F32">
        <f>IF('35_LOCAL_DUEL'!$B$4&lt;&gt;"READY","",INDEX('98_PROD_CODEBOOK_Q'!$C$2:$Y$81,ROW()-4,'35_LOCAL_DUEL'!$B$5))</f>
        <v/>
      </c>
      <c r="G32">
        <f>IF('35_LOCAL_DUEL'!$B$4&lt;&gt;"READY","",INDEX('98_PROD_CODEBOOK_Q'!$C$2:$Y$81,ROW()-4,'35_LOCAL_DUEL'!$B$7))</f>
        <v/>
      </c>
      <c r="H32">
        <f>'33_RESPONSE_INPUT'!M7</f>
        <v/>
      </c>
      <c r="I32">
        <f>IF(F32="","",INDEX('34_SCOREBOARD'!$D$21:$D$43,MATCH('35_LOCAL_DUEL'!$B$5,'34_SCOREBOARD'!$A$21:$A$43,0)))</f>
        <v/>
      </c>
      <c r="J32">
        <f>IF(G32="","",INDEX('34_SCOREBOARD'!$D$21:$D$43,MATCH('35_LOCAL_DUEL'!$B$7,'34_SCOREBOARD'!$A$21:$A$43,0)))</f>
        <v/>
      </c>
      <c r="K32">
        <f>IF(OR(D32="",H32=0),"",(E32/SUM($E$5:$E$84))*(D32/H32)*(F32/I32-G32/J32))</f>
        <v/>
      </c>
      <c r="L32">
        <f>IF(K32="","",IF(K32&gt;0,"PRIMARY",IF(K32&lt;0,"RUNNER","NEUTRAL")))</f>
        <v/>
      </c>
    </row>
    <row r="33">
      <c r="A33" t="n">
        <v>29</v>
      </c>
      <c r="B33" t="inlineStr">
        <is>
          <t>G04</t>
        </is>
      </c>
      <c r="C33" s="47" t="inlineStr">
        <is>
          <t>遇到一個對你有意義、但還不能完全確定的說法時，你比較傾向……</t>
        </is>
      </c>
      <c r="D33">
        <f>'33_RESPONSE_INPUT'!H33</f>
        <v/>
      </c>
      <c r="E33">
        <f>'33_RESPONSE_INPUT'!I33</f>
        <v/>
      </c>
      <c r="F33">
        <f>IF('35_LOCAL_DUEL'!$B$4&lt;&gt;"READY","",INDEX('98_PROD_CODEBOOK_Q'!$C$2:$Y$81,ROW()-4,'35_LOCAL_DUEL'!$B$5))</f>
        <v/>
      </c>
      <c r="G33">
        <f>IF('35_LOCAL_DUEL'!$B$4&lt;&gt;"READY","",INDEX('98_PROD_CODEBOOK_Q'!$C$2:$Y$81,ROW()-4,'35_LOCAL_DUEL'!$B$7))</f>
        <v/>
      </c>
      <c r="H33">
        <f>'33_RESPONSE_INPUT'!M7</f>
        <v/>
      </c>
      <c r="I33">
        <f>IF(F33="","",INDEX('34_SCOREBOARD'!$D$21:$D$43,MATCH('35_LOCAL_DUEL'!$B$5,'34_SCOREBOARD'!$A$21:$A$43,0)))</f>
        <v/>
      </c>
      <c r="J33">
        <f>IF(G33="","",INDEX('34_SCOREBOARD'!$D$21:$D$43,MATCH('35_LOCAL_DUEL'!$B$7,'34_SCOREBOARD'!$A$21:$A$43,0)))</f>
        <v/>
      </c>
      <c r="K33">
        <f>IF(OR(D33="",H33=0),"",(E33/SUM($E$5:$E$84))*(D33/H33)*(F33/I33-G33/J33))</f>
        <v/>
      </c>
      <c r="L33">
        <f>IF(K33="","",IF(K33&gt;0,"PRIMARY",IF(K33&lt;0,"RUNNER","NEUTRAL")))</f>
        <v/>
      </c>
    </row>
    <row r="34">
      <c r="A34" t="n">
        <v>30</v>
      </c>
      <c r="B34" t="inlineStr">
        <is>
          <t>L34</t>
        </is>
      </c>
      <c r="C34" s="47" t="inlineStr">
        <is>
          <t>當你終於得到一段不受原本規則限制的空間時，你最想用它來……</t>
        </is>
      </c>
      <c r="D34">
        <f>'33_RESPONSE_INPUT'!H34</f>
        <v/>
      </c>
      <c r="E34">
        <f>'33_RESPONSE_INPUT'!I34</f>
        <v/>
      </c>
      <c r="F34">
        <f>IF('35_LOCAL_DUEL'!$B$4&lt;&gt;"READY","",INDEX('98_PROD_CODEBOOK_Q'!$C$2:$Y$81,ROW()-4,'35_LOCAL_DUEL'!$B$5))</f>
        <v/>
      </c>
      <c r="G34">
        <f>IF('35_LOCAL_DUEL'!$B$4&lt;&gt;"READY","",INDEX('98_PROD_CODEBOOK_Q'!$C$2:$Y$81,ROW()-4,'35_LOCAL_DUEL'!$B$7))</f>
        <v/>
      </c>
      <c r="H34">
        <f>'33_RESPONSE_INPUT'!M7</f>
        <v/>
      </c>
      <c r="I34">
        <f>IF(F34="","",INDEX('34_SCOREBOARD'!$D$21:$D$43,MATCH('35_LOCAL_DUEL'!$B$5,'34_SCOREBOARD'!$A$21:$A$43,0)))</f>
        <v/>
      </c>
      <c r="J34">
        <f>IF(G34="","",INDEX('34_SCOREBOARD'!$D$21:$D$43,MATCH('35_LOCAL_DUEL'!$B$7,'34_SCOREBOARD'!$A$21:$A$43,0)))</f>
        <v/>
      </c>
      <c r="K34">
        <f>IF(OR(D34="",H34=0),"",(E34/SUM($E$5:$E$84))*(D34/H34)*(F34/I34-G34/J34))</f>
        <v/>
      </c>
      <c r="L34">
        <f>IF(K34="","",IF(K34&gt;0,"PRIMARY",IF(K34&lt;0,"RUNNER","NEUTRAL")))</f>
        <v/>
      </c>
    </row>
    <row r="35">
      <c r="A35" t="n">
        <v>31</v>
      </c>
      <c r="B35" t="inlineStr">
        <is>
          <t>G26</t>
        </is>
      </c>
      <c r="C35" s="47" t="inlineStr">
        <is>
          <t>遇到一個反覆出現的合作問題時，你比較自然從哪裡開始處理？</t>
        </is>
      </c>
      <c r="D35">
        <f>'33_RESPONSE_INPUT'!H35</f>
        <v/>
      </c>
      <c r="E35">
        <f>'33_RESPONSE_INPUT'!I35</f>
        <v/>
      </c>
      <c r="F35">
        <f>IF('35_LOCAL_DUEL'!$B$4&lt;&gt;"READY","",INDEX('98_PROD_CODEBOOK_Q'!$C$2:$Y$81,ROW()-4,'35_LOCAL_DUEL'!$B$5))</f>
        <v/>
      </c>
      <c r="G35">
        <f>IF('35_LOCAL_DUEL'!$B$4&lt;&gt;"READY","",INDEX('98_PROD_CODEBOOK_Q'!$C$2:$Y$81,ROW()-4,'35_LOCAL_DUEL'!$B$7))</f>
        <v/>
      </c>
      <c r="H35">
        <f>'33_RESPONSE_INPUT'!M7</f>
        <v/>
      </c>
      <c r="I35">
        <f>IF(F35="","",INDEX('34_SCOREBOARD'!$D$21:$D$43,MATCH('35_LOCAL_DUEL'!$B$5,'34_SCOREBOARD'!$A$21:$A$43,0)))</f>
        <v/>
      </c>
      <c r="J35">
        <f>IF(G35="","",INDEX('34_SCOREBOARD'!$D$21:$D$43,MATCH('35_LOCAL_DUEL'!$B$7,'34_SCOREBOARD'!$A$21:$A$43,0)))</f>
        <v/>
      </c>
      <c r="K35">
        <f>IF(OR(D35="",H35=0),"",(E35/SUM($E$5:$E$84))*(D35/H35)*(F35/I35-G35/J35))</f>
        <v/>
      </c>
      <c r="L35">
        <f>IF(K35="","",IF(K35&gt;0,"PRIMARY",IF(K35&lt;0,"RUNNER","NEUTRAL")))</f>
        <v/>
      </c>
    </row>
    <row r="36">
      <c r="A36" t="n">
        <v>32</v>
      </c>
      <c r="B36" t="inlineStr">
        <is>
          <t>L11</t>
        </is>
      </c>
      <c r="C36" s="47" t="inlineStr">
        <is>
          <t>當你遇到一個內容牽涉很多方面的新說法時，你比較自然會……</t>
        </is>
      </c>
      <c r="D36">
        <f>'33_RESPONSE_INPUT'!H36</f>
        <v/>
      </c>
      <c r="E36">
        <f>'33_RESPONSE_INPUT'!I36</f>
        <v/>
      </c>
      <c r="F36">
        <f>IF('35_LOCAL_DUEL'!$B$4&lt;&gt;"READY","",INDEX('98_PROD_CODEBOOK_Q'!$C$2:$Y$81,ROW()-4,'35_LOCAL_DUEL'!$B$5))</f>
        <v/>
      </c>
      <c r="G36">
        <f>IF('35_LOCAL_DUEL'!$B$4&lt;&gt;"READY","",INDEX('98_PROD_CODEBOOK_Q'!$C$2:$Y$81,ROW()-4,'35_LOCAL_DUEL'!$B$7))</f>
        <v/>
      </c>
      <c r="H36">
        <f>'33_RESPONSE_INPUT'!M7</f>
        <v/>
      </c>
      <c r="I36">
        <f>IF(F36="","",INDEX('34_SCOREBOARD'!$D$21:$D$43,MATCH('35_LOCAL_DUEL'!$B$5,'34_SCOREBOARD'!$A$21:$A$43,0)))</f>
        <v/>
      </c>
      <c r="J36">
        <f>IF(G36="","",INDEX('34_SCOREBOARD'!$D$21:$D$43,MATCH('35_LOCAL_DUEL'!$B$7,'34_SCOREBOARD'!$A$21:$A$43,0)))</f>
        <v/>
      </c>
      <c r="K36">
        <f>IF(OR(D36="",H36=0),"",(E36/SUM($E$5:$E$84))*(D36/H36)*(F36/I36-G36/J36))</f>
        <v/>
      </c>
      <c r="L36">
        <f>IF(K36="","",IF(K36&gt;0,"PRIMARY",IF(K36&lt;0,"RUNNER","NEUTRAL")))</f>
        <v/>
      </c>
    </row>
    <row r="37">
      <c r="A37" t="n">
        <v>33</v>
      </c>
      <c r="B37" t="inlineStr">
        <is>
          <t>G20</t>
        </is>
      </c>
      <c r="C37" s="47" t="inlineStr">
        <is>
          <t>如果不談家鄉或國籍，你覺得自己主要屬於哪裡？</t>
        </is>
      </c>
      <c r="D37">
        <f>'33_RESPONSE_INPUT'!H37</f>
        <v/>
      </c>
      <c r="E37">
        <f>'33_RESPONSE_INPUT'!I37</f>
        <v/>
      </c>
      <c r="F37">
        <f>IF('35_LOCAL_DUEL'!$B$4&lt;&gt;"READY","",INDEX('98_PROD_CODEBOOK_Q'!$C$2:$Y$81,ROW()-4,'35_LOCAL_DUEL'!$B$5))</f>
        <v/>
      </c>
      <c r="G37">
        <f>IF('35_LOCAL_DUEL'!$B$4&lt;&gt;"READY","",INDEX('98_PROD_CODEBOOK_Q'!$C$2:$Y$81,ROW()-4,'35_LOCAL_DUEL'!$B$7))</f>
        <v/>
      </c>
      <c r="H37">
        <f>'33_RESPONSE_INPUT'!M7</f>
        <v/>
      </c>
      <c r="I37">
        <f>IF(F37="","",INDEX('34_SCOREBOARD'!$D$21:$D$43,MATCH('35_LOCAL_DUEL'!$B$5,'34_SCOREBOARD'!$A$21:$A$43,0)))</f>
        <v/>
      </c>
      <c r="J37">
        <f>IF(G37="","",INDEX('34_SCOREBOARD'!$D$21:$D$43,MATCH('35_LOCAL_DUEL'!$B$7,'34_SCOREBOARD'!$A$21:$A$43,0)))</f>
        <v/>
      </c>
      <c r="K37">
        <f>IF(OR(D37="",H37=0),"",(E37/SUM($E$5:$E$84))*(D37/H37)*(F37/I37-G37/J37))</f>
        <v/>
      </c>
      <c r="L37">
        <f>IF(K37="","",IF(K37&gt;0,"PRIMARY",IF(K37&lt;0,"RUNNER","NEUTRAL")))</f>
        <v/>
      </c>
    </row>
    <row r="38">
      <c r="A38" t="n">
        <v>34</v>
      </c>
      <c r="B38" t="inlineStr">
        <is>
          <t>A11</t>
        </is>
      </c>
      <c r="C38" s="47" t="inlineStr">
        <is>
          <t>當你想保護一件重要、但還不用立刻處理的事時，你比較自然會……</t>
        </is>
      </c>
      <c r="D38">
        <f>'33_RESPONSE_INPUT'!H38</f>
        <v/>
      </c>
      <c r="E38">
        <f>'33_RESPONSE_INPUT'!I38</f>
        <v/>
      </c>
      <c r="F38">
        <f>IF('35_LOCAL_DUEL'!$B$4&lt;&gt;"READY","",INDEX('98_PROD_CODEBOOK_Q'!$C$2:$Y$81,ROW()-4,'35_LOCAL_DUEL'!$B$5))</f>
        <v/>
      </c>
      <c r="G38">
        <f>IF('35_LOCAL_DUEL'!$B$4&lt;&gt;"READY","",INDEX('98_PROD_CODEBOOK_Q'!$C$2:$Y$81,ROW()-4,'35_LOCAL_DUEL'!$B$7))</f>
        <v/>
      </c>
      <c r="H38">
        <f>'33_RESPONSE_INPUT'!M7</f>
        <v/>
      </c>
      <c r="I38">
        <f>IF(F38="","",INDEX('34_SCOREBOARD'!$D$21:$D$43,MATCH('35_LOCAL_DUEL'!$B$5,'34_SCOREBOARD'!$A$21:$A$43,0)))</f>
        <v/>
      </c>
      <c r="J38">
        <f>IF(G38="","",INDEX('34_SCOREBOARD'!$D$21:$D$43,MATCH('35_LOCAL_DUEL'!$B$7,'34_SCOREBOARD'!$A$21:$A$43,0)))</f>
        <v/>
      </c>
      <c r="K38">
        <f>IF(OR(D38="",H38=0),"",(E38/SUM($E$5:$E$84))*(D38/H38)*(F38/I38-G38/J38))</f>
        <v/>
      </c>
      <c r="L38">
        <f>IF(K38="","",IF(K38&gt;0,"PRIMARY",IF(K38&lt;0,"RUNNER","NEUTRAL")))</f>
        <v/>
      </c>
    </row>
    <row r="39">
      <c r="A39" t="n">
        <v>35</v>
      </c>
      <c r="B39" t="inlineStr">
        <is>
          <t>G05</t>
        </is>
      </c>
      <c r="C39" s="47" t="inlineStr">
        <is>
          <t>當一個團隊讓你覺得「哪裡不對」，但原因還不清楚時，你比較容易先從……</t>
        </is>
      </c>
      <c r="D39">
        <f>'33_RESPONSE_INPUT'!H39</f>
        <v/>
      </c>
      <c r="E39">
        <f>'33_RESPONSE_INPUT'!I39</f>
        <v/>
      </c>
      <c r="F39">
        <f>IF('35_LOCAL_DUEL'!$B$4&lt;&gt;"READY","",INDEX('98_PROD_CODEBOOK_Q'!$C$2:$Y$81,ROW()-4,'35_LOCAL_DUEL'!$B$5))</f>
        <v/>
      </c>
      <c r="G39">
        <f>IF('35_LOCAL_DUEL'!$B$4&lt;&gt;"READY","",INDEX('98_PROD_CODEBOOK_Q'!$C$2:$Y$81,ROW()-4,'35_LOCAL_DUEL'!$B$7))</f>
        <v/>
      </c>
      <c r="H39">
        <f>'33_RESPONSE_INPUT'!M7</f>
        <v/>
      </c>
      <c r="I39">
        <f>IF(F39="","",INDEX('34_SCOREBOARD'!$D$21:$D$43,MATCH('35_LOCAL_DUEL'!$B$5,'34_SCOREBOARD'!$A$21:$A$43,0)))</f>
        <v/>
      </c>
      <c r="J39">
        <f>IF(G39="","",INDEX('34_SCOREBOARD'!$D$21:$D$43,MATCH('35_LOCAL_DUEL'!$B$7,'34_SCOREBOARD'!$A$21:$A$43,0)))</f>
        <v/>
      </c>
      <c r="K39">
        <f>IF(OR(D39="",H39=0),"",(E39/SUM($E$5:$E$84))*(D39/H39)*(F39/I39-G39/J39))</f>
        <v/>
      </c>
      <c r="L39">
        <f>IF(K39="","",IF(K39&gt;0,"PRIMARY",IF(K39&lt;0,"RUNNER","NEUTRAL")))</f>
        <v/>
      </c>
    </row>
    <row r="40">
      <c r="A40" t="n">
        <v>36</v>
      </c>
      <c r="B40" t="inlineStr">
        <is>
          <t>L16</t>
        </is>
      </c>
      <c r="C40" s="47" t="inlineStr">
        <is>
          <t>當一個新群體還沒有形成自己的做法時，你比較自然會做哪一種事？</t>
        </is>
      </c>
      <c r="D40">
        <f>'33_RESPONSE_INPUT'!H40</f>
        <v/>
      </c>
      <c r="E40">
        <f>'33_RESPONSE_INPUT'!I40</f>
        <v/>
      </c>
      <c r="F40">
        <f>IF('35_LOCAL_DUEL'!$B$4&lt;&gt;"READY","",INDEX('98_PROD_CODEBOOK_Q'!$C$2:$Y$81,ROW()-4,'35_LOCAL_DUEL'!$B$5))</f>
        <v/>
      </c>
      <c r="G40">
        <f>IF('35_LOCAL_DUEL'!$B$4&lt;&gt;"READY","",INDEX('98_PROD_CODEBOOK_Q'!$C$2:$Y$81,ROW()-4,'35_LOCAL_DUEL'!$B$7))</f>
        <v/>
      </c>
      <c r="H40">
        <f>'33_RESPONSE_INPUT'!M7</f>
        <v/>
      </c>
      <c r="I40">
        <f>IF(F40="","",INDEX('34_SCOREBOARD'!$D$21:$D$43,MATCH('35_LOCAL_DUEL'!$B$5,'34_SCOREBOARD'!$A$21:$A$43,0)))</f>
        <v/>
      </c>
      <c r="J40">
        <f>IF(G40="","",INDEX('34_SCOREBOARD'!$D$21:$D$43,MATCH('35_LOCAL_DUEL'!$B$7,'34_SCOREBOARD'!$A$21:$A$43,0)))</f>
        <v/>
      </c>
      <c r="K40">
        <f>IF(OR(D40="",H40=0),"",(E40/SUM($E$5:$E$84))*(D40/H40)*(F40/I40-G40/J40))</f>
        <v/>
      </c>
      <c r="L40">
        <f>IF(K40="","",IF(K40&gt;0,"PRIMARY",IF(K40&lt;0,"RUNNER","NEUTRAL")))</f>
        <v/>
      </c>
    </row>
    <row r="41">
      <c r="A41" t="n">
        <v>37</v>
      </c>
      <c r="B41" t="inlineStr">
        <is>
          <t>G19</t>
        </is>
      </c>
      <c r="C41" s="47" t="inlineStr">
        <is>
          <t>你想讓一個有價值的方法繼續傳下去時，你比較自然會……</t>
        </is>
      </c>
      <c r="D41">
        <f>'33_RESPONSE_INPUT'!H41</f>
        <v/>
      </c>
      <c r="E41">
        <f>'33_RESPONSE_INPUT'!I41</f>
        <v/>
      </c>
      <c r="F41">
        <f>IF('35_LOCAL_DUEL'!$B$4&lt;&gt;"READY","",INDEX('98_PROD_CODEBOOK_Q'!$C$2:$Y$81,ROW()-4,'35_LOCAL_DUEL'!$B$5))</f>
        <v/>
      </c>
      <c r="G41">
        <f>IF('35_LOCAL_DUEL'!$B$4&lt;&gt;"READY","",INDEX('98_PROD_CODEBOOK_Q'!$C$2:$Y$81,ROW()-4,'35_LOCAL_DUEL'!$B$7))</f>
        <v/>
      </c>
      <c r="H41">
        <f>'33_RESPONSE_INPUT'!M7</f>
        <v/>
      </c>
      <c r="I41">
        <f>IF(F41="","",INDEX('34_SCOREBOARD'!$D$21:$D$43,MATCH('35_LOCAL_DUEL'!$B$5,'34_SCOREBOARD'!$A$21:$A$43,0)))</f>
        <v/>
      </c>
      <c r="J41">
        <f>IF(G41="","",INDEX('34_SCOREBOARD'!$D$21:$D$43,MATCH('35_LOCAL_DUEL'!$B$7,'34_SCOREBOARD'!$A$21:$A$43,0)))</f>
        <v/>
      </c>
      <c r="K41">
        <f>IF(OR(D41="",H41=0),"",(E41/SUM($E$5:$E$84))*(D41/H41)*(F41/I41-G41/J41))</f>
        <v/>
      </c>
      <c r="L41">
        <f>IF(K41="","",IF(K41&gt;0,"PRIMARY",IF(K41&lt;0,"RUNNER","NEUTRAL")))</f>
        <v/>
      </c>
    </row>
    <row r="42">
      <c r="A42" t="n">
        <v>38</v>
      </c>
      <c r="B42" t="inlineStr">
        <is>
          <t>L02</t>
        </is>
      </c>
      <c r="C42" s="47" t="inlineStr">
        <is>
          <t>在一個你關心的群體中，你的注意力比較自然落在哪裡？</t>
        </is>
      </c>
      <c r="D42">
        <f>'33_RESPONSE_INPUT'!H42</f>
        <v/>
      </c>
      <c r="E42">
        <f>'33_RESPONSE_INPUT'!I42</f>
        <v/>
      </c>
      <c r="F42">
        <f>IF('35_LOCAL_DUEL'!$B$4&lt;&gt;"READY","",INDEX('98_PROD_CODEBOOK_Q'!$C$2:$Y$81,ROW()-4,'35_LOCAL_DUEL'!$B$5))</f>
        <v/>
      </c>
      <c r="G42">
        <f>IF('35_LOCAL_DUEL'!$B$4&lt;&gt;"READY","",INDEX('98_PROD_CODEBOOK_Q'!$C$2:$Y$81,ROW()-4,'35_LOCAL_DUEL'!$B$7))</f>
        <v/>
      </c>
      <c r="H42">
        <f>'33_RESPONSE_INPUT'!M7</f>
        <v/>
      </c>
      <c r="I42">
        <f>IF(F42="","",INDEX('34_SCOREBOARD'!$D$21:$D$43,MATCH('35_LOCAL_DUEL'!$B$5,'34_SCOREBOARD'!$A$21:$A$43,0)))</f>
        <v/>
      </c>
      <c r="J42">
        <f>IF(G42="","",INDEX('34_SCOREBOARD'!$D$21:$D$43,MATCH('35_LOCAL_DUEL'!$B$7,'34_SCOREBOARD'!$A$21:$A$43,0)))</f>
        <v/>
      </c>
      <c r="K42">
        <f>IF(OR(D42="",H42=0),"",(E42/SUM($E$5:$E$84))*(D42/H42)*(F42/I42-G42/J42))</f>
        <v/>
      </c>
      <c r="L42">
        <f>IF(K42="","",IF(K42&gt;0,"PRIMARY",IF(K42&lt;0,"RUNNER","NEUTRAL")))</f>
        <v/>
      </c>
    </row>
    <row r="43">
      <c r="A43" t="n">
        <v>39</v>
      </c>
      <c r="B43" t="inlineStr">
        <is>
          <t>G10</t>
        </is>
      </c>
      <c r="C43" s="47" t="inlineStr">
        <is>
          <t>很多人需要一起做決定時，你比較偏好……</t>
        </is>
      </c>
      <c r="D43">
        <f>'33_RESPONSE_INPUT'!H43</f>
        <v/>
      </c>
      <c r="E43">
        <f>'33_RESPONSE_INPUT'!I43</f>
        <v/>
      </c>
      <c r="F43">
        <f>IF('35_LOCAL_DUEL'!$B$4&lt;&gt;"READY","",INDEX('98_PROD_CODEBOOK_Q'!$C$2:$Y$81,ROW()-4,'35_LOCAL_DUEL'!$B$5))</f>
        <v/>
      </c>
      <c r="G43">
        <f>IF('35_LOCAL_DUEL'!$B$4&lt;&gt;"READY","",INDEX('98_PROD_CODEBOOK_Q'!$C$2:$Y$81,ROW()-4,'35_LOCAL_DUEL'!$B$7))</f>
        <v/>
      </c>
      <c r="H43">
        <f>'33_RESPONSE_INPUT'!M7</f>
        <v/>
      </c>
      <c r="I43">
        <f>IF(F43="","",INDEX('34_SCOREBOARD'!$D$21:$D$43,MATCH('35_LOCAL_DUEL'!$B$5,'34_SCOREBOARD'!$A$21:$A$43,0)))</f>
        <v/>
      </c>
      <c r="J43">
        <f>IF(G43="","",INDEX('34_SCOREBOARD'!$D$21:$D$43,MATCH('35_LOCAL_DUEL'!$B$7,'34_SCOREBOARD'!$A$21:$A$43,0)))</f>
        <v/>
      </c>
      <c r="K43">
        <f>IF(OR(D43="",H43=0),"",(E43/SUM($E$5:$E$84))*(D43/H43)*(F43/I43-G43/J43))</f>
        <v/>
      </c>
      <c r="L43">
        <f>IF(K43="","",IF(K43&gt;0,"PRIMARY",IF(K43&lt;0,"RUNNER","NEUTRAL")))</f>
        <v/>
      </c>
    </row>
    <row r="44">
      <c r="A44" t="n">
        <v>40</v>
      </c>
      <c r="B44" t="inlineStr">
        <is>
          <t>L24</t>
        </is>
      </c>
      <c r="C44" s="47" t="inlineStr">
        <is>
          <t>一個大型計畫同時有很多小組在做時，你比較傾向怎麼安排？</t>
        </is>
      </c>
      <c r="D44">
        <f>'33_RESPONSE_INPUT'!H44</f>
        <v/>
      </c>
      <c r="E44">
        <f>'33_RESPONSE_INPUT'!I44</f>
        <v/>
      </c>
      <c r="F44">
        <f>IF('35_LOCAL_DUEL'!$B$4&lt;&gt;"READY","",INDEX('98_PROD_CODEBOOK_Q'!$C$2:$Y$81,ROW()-4,'35_LOCAL_DUEL'!$B$5))</f>
        <v/>
      </c>
      <c r="G44">
        <f>IF('35_LOCAL_DUEL'!$B$4&lt;&gt;"READY","",INDEX('98_PROD_CODEBOOK_Q'!$C$2:$Y$81,ROW()-4,'35_LOCAL_DUEL'!$B$7))</f>
        <v/>
      </c>
      <c r="H44">
        <f>'33_RESPONSE_INPUT'!M7</f>
        <v/>
      </c>
      <c r="I44">
        <f>IF(F44="","",INDEX('34_SCOREBOARD'!$D$21:$D$43,MATCH('35_LOCAL_DUEL'!$B$5,'34_SCOREBOARD'!$A$21:$A$43,0)))</f>
        <v/>
      </c>
      <c r="J44">
        <f>IF(G44="","",INDEX('34_SCOREBOARD'!$D$21:$D$43,MATCH('35_LOCAL_DUEL'!$B$7,'34_SCOREBOARD'!$A$21:$A$43,0)))</f>
        <v/>
      </c>
      <c r="K44">
        <f>IF(OR(D44="",H44=0),"",(E44/SUM($E$5:$E$84))*(D44/H44)*(F44/I44-G44/J44))</f>
        <v/>
      </c>
      <c r="L44">
        <f>IF(K44="","",IF(K44&gt;0,"PRIMARY",IF(K44&lt;0,"RUNNER","NEUTRAL")))</f>
        <v/>
      </c>
    </row>
    <row r="45">
      <c r="A45" t="n">
        <v>41</v>
      </c>
      <c r="B45" t="inlineStr">
        <is>
          <t>A03</t>
        </is>
      </c>
      <c r="C45" s="47" t="inlineStr">
        <is>
          <t>一個新局面突然出現，但情況還不完全清楚時，你比較自然怎麼開始？</t>
        </is>
      </c>
      <c r="D45">
        <f>'33_RESPONSE_INPUT'!H45</f>
        <v/>
      </c>
      <c r="E45">
        <f>'33_RESPONSE_INPUT'!I45</f>
        <v/>
      </c>
      <c r="F45">
        <f>IF('35_LOCAL_DUEL'!$B$4&lt;&gt;"READY","",INDEX('98_PROD_CODEBOOK_Q'!$C$2:$Y$81,ROW()-4,'35_LOCAL_DUEL'!$B$5))</f>
        <v/>
      </c>
      <c r="G45">
        <f>IF('35_LOCAL_DUEL'!$B$4&lt;&gt;"READY","",INDEX('98_PROD_CODEBOOK_Q'!$C$2:$Y$81,ROW()-4,'35_LOCAL_DUEL'!$B$7))</f>
        <v/>
      </c>
      <c r="H45">
        <f>'33_RESPONSE_INPUT'!M7</f>
        <v/>
      </c>
      <c r="I45">
        <f>IF(F45="","",INDEX('34_SCOREBOARD'!$D$21:$D$43,MATCH('35_LOCAL_DUEL'!$B$5,'34_SCOREBOARD'!$A$21:$A$43,0)))</f>
        <v/>
      </c>
      <c r="J45">
        <f>IF(G45="","",INDEX('34_SCOREBOARD'!$D$21:$D$43,MATCH('35_LOCAL_DUEL'!$B$7,'34_SCOREBOARD'!$A$21:$A$43,0)))</f>
        <v/>
      </c>
      <c r="K45">
        <f>IF(OR(D45="",H45=0),"",(E45/SUM($E$5:$E$84))*(D45/H45)*(F45/I45-G45/J45))</f>
        <v/>
      </c>
      <c r="L45">
        <f>IF(K45="","",IF(K45&gt;0,"PRIMARY",IF(K45&lt;0,"RUNNER","NEUTRAL")))</f>
        <v/>
      </c>
    </row>
    <row r="46">
      <c r="A46" t="n">
        <v>42</v>
      </c>
      <c r="B46" t="inlineStr">
        <is>
          <t>L04</t>
        </is>
      </c>
      <c r="C46" s="47" t="inlineStr">
        <is>
          <t>和一個重要的人相處開始變得僵硬時，你比較傾向……</t>
        </is>
      </c>
      <c r="D46">
        <f>'33_RESPONSE_INPUT'!H46</f>
        <v/>
      </c>
      <c r="E46">
        <f>'33_RESPONSE_INPUT'!I46</f>
        <v/>
      </c>
      <c r="F46">
        <f>IF('35_LOCAL_DUEL'!$B$4&lt;&gt;"READY","",INDEX('98_PROD_CODEBOOK_Q'!$C$2:$Y$81,ROW()-4,'35_LOCAL_DUEL'!$B$5))</f>
        <v/>
      </c>
      <c r="G46">
        <f>IF('35_LOCAL_DUEL'!$B$4&lt;&gt;"READY","",INDEX('98_PROD_CODEBOOK_Q'!$C$2:$Y$81,ROW()-4,'35_LOCAL_DUEL'!$B$7))</f>
        <v/>
      </c>
      <c r="H46">
        <f>'33_RESPONSE_INPUT'!M7</f>
        <v/>
      </c>
      <c r="I46">
        <f>IF(F46="","",INDEX('34_SCOREBOARD'!$D$21:$D$43,MATCH('35_LOCAL_DUEL'!$B$5,'34_SCOREBOARD'!$A$21:$A$43,0)))</f>
        <v/>
      </c>
      <c r="J46">
        <f>IF(G46="","",INDEX('34_SCOREBOARD'!$D$21:$D$43,MATCH('35_LOCAL_DUEL'!$B$7,'34_SCOREBOARD'!$A$21:$A$43,0)))</f>
        <v/>
      </c>
      <c r="K46">
        <f>IF(OR(D46="",H46=0),"",(E46/SUM($E$5:$E$84))*(D46/H46)*(F46/I46-G46/J46))</f>
        <v/>
      </c>
      <c r="L46">
        <f>IF(K46="","",IF(K46&gt;0,"PRIMARY",IF(K46&lt;0,"RUNNER","NEUTRAL")))</f>
        <v/>
      </c>
    </row>
    <row r="47">
      <c r="A47" t="n">
        <v>43</v>
      </c>
      <c r="B47" t="inlineStr">
        <is>
          <t>G07</t>
        </is>
      </c>
      <c r="C47" s="47" t="inlineStr">
        <is>
          <t>要理解一個複雜問題時，你比較自然把注意力放在哪裡？</t>
        </is>
      </c>
      <c r="D47">
        <f>'33_RESPONSE_INPUT'!H47</f>
        <v/>
      </c>
      <c r="E47">
        <f>'33_RESPONSE_INPUT'!I47</f>
        <v/>
      </c>
      <c r="F47">
        <f>IF('35_LOCAL_DUEL'!$B$4&lt;&gt;"READY","",INDEX('98_PROD_CODEBOOK_Q'!$C$2:$Y$81,ROW()-4,'35_LOCAL_DUEL'!$B$5))</f>
        <v/>
      </c>
      <c r="G47">
        <f>IF('35_LOCAL_DUEL'!$B$4&lt;&gt;"READY","",INDEX('98_PROD_CODEBOOK_Q'!$C$2:$Y$81,ROW()-4,'35_LOCAL_DUEL'!$B$7))</f>
        <v/>
      </c>
      <c r="H47">
        <f>'33_RESPONSE_INPUT'!M7</f>
        <v/>
      </c>
      <c r="I47">
        <f>IF(F47="","",INDEX('34_SCOREBOARD'!$D$21:$D$43,MATCH('35_LOCAL_DUEL'!$B$5,'34_SCOREBOARD'!$A$21:$A$43,0)))</f>
        <v/>
      </c>
      <c r="J47">
        <f>IF(G47="","",INDEX('34_SCOREBOARD'!$D$21:$D$43,MATCH('35_LOCAL_DUEL'!$B$7,'34_SCOREBOARD'!$A$21:$A$43,0)))</f>
        <v/>
      </c>
      <c r="K47">
        <f>IF(OR(D47="",H47=0),"",(E47/SUM($E$5:$E$84))*(D47/H47)*(F47/I47-G47/J47))</f>
        <v/>
      </c>
      <c r="L47">
        <f>IF(K47="","",IF(K47&gt;0,"PRIMARY",IF(K47&lt;0,"RUNNER","NEUTRAL")))</f>
        <v/>
      </c>
    </row>
    <row r="48">
      <c r="A48" t="n">
        <v>44</v>
      </c>
      <c r="B48" t="inlineStr">
        <is>
          <t>L03</t>
        </is>
      </c>
      <c r="C48" s="47" t="inlineStr">
        <is>
          <t>一個讓你在意的環境開始變得混亂、不協調時，你比較想先……</t>
        </is>
      </c>
      <c r="D48">
        <f>'33_RESPONSE_INPUT'!H48</f>
        <v/>
      </c>
      <c r="E48">
        <f>'33_RESPONSE_INPUT'!I48</f>
        <v/>
      </c>
      <c r="F48">
        <f>IF('35_LOCAL_DUEL'!$B$4&lt;&gt;"READY","",INDEX('98_PROD_CODEBOOK_Q'!$C$2:$Y$81,ROW()-4,'35_LOCAL_DUEL'!$B$5))</f>
        <v/>
      </c>
      <c r="G48">
        <f>IF('35_LOCAL_DUEL'!$B$4&lt;&gt;"READY","",INDEX('98_PROD_CODEBOOK_Q'!$C$2:$Y$81,ROW()-4,'35_LOCAL_DUEL'!$B$7))</f>
        <v/>
      </c>
      <c r="H48">
        <f>'33_RESPONSE_INPUT'!M7</f>
        <v/>
      </c>
      <c r="I48">
        <f>IF(F48="","",INDEX('34_SCOREBOARD'!$D$21:$D$43,MATCH('35_LOCAL_DUEL'!$B$5,'34_SCOREBOARD'!$A$21:$A$43,0)))</f>
        <v/>
      </c>
      <c r="J48">
        <f>IF(G48="","",INDEX('34_SCOREBOARD'!$D$21:$D$43,MATCH('35_LOCAL_DUEL'!$B$7,'34_SCOREBOARD'!$A$21:$A$43,0)))</f>
        <v/>
      </c>
      <c r="K48">
        <f>IF(OR(D48="",H48=0),"",(E48/SUM($E$5:$E$84))*(D48/H48)*(F48/I48-G48/J48))</f>
        <v/>
      </c>
      <c r="L48">
        <f>IF(K48="","",IF(K48&gt;0,"PRIMARY",IF(K48&lt;0,"RUNNER","NEUTRAL")))</f>
        <v/>
      </c>
    </row>
    <row r="49">
      <c r="A49" t="n">
        <v>45</v>
      </c>
      <c r="B49" t="inlineStr">
        <is>
          <t>G12</t>
        </is>
      </c>
      <c r="C49" s="47" t="inlineStr">
        <is>
          <t>當分歧已經很明顯，雙方也知道彼此不同意時，你通常會……</t>
        </is>
      </c>
      <c r="D49">
        <f>'33_RESPONSE_INPUT'!H49</f>
        <v/>
      </c>
      <c r="E49">
        <f>'33_RESPONSE_INPUT'!I49</f>
        <v/>
      </c>
      <c r="F49">
        <f>IF('35_LOCAL_DUEL'!$B$4&lt;&gt;"READY","",INDEX('98_PROD_CODEBOOK_Q'!$C$2:$Y$81,ROW()-4,'35_LOCAL_DUEL'!$B$5))</f>
        <v/>
      </c>
      <c r="G49">
        <f>IF('35_LOCAL_DUEL'!$B$4&lt;&gt;"READY","",INDEX('98_PROD_CODEBOOK_Q'!$C$2:$Y$81,ROW()-4,'35_LOCAL_DUEL'!$B$7))</f>
        <v/>
      </c>
      <c r="H49">
        <f>'33_RESPONSE_INPUT'!M7</f>
        <v/>
      </c>
      <c r="I49">
        <f>IF(F49="","",INDEX('34_SCOREBOARD'!$D$21:$D$43,MATCH('35_LOCAL_DUEL'!$B$5,'34_SCOREBOARD'!$A$21:$A$43,0)))</f>
        <v/>
      </c>
      <c r="J49">
        <f>IF(G49="","",INDEX('34_SCOREBOARD'!$D$21:$D$43,MATCH('35_LOCAL_DUEL'!$B$7,'34_SCOREBOARD'!$A$21:$A$43,0)))</f>
        <v/>
      </c>
      <c r="K49">
        <f>IF(OR(D49="",H49=0),"",(E49/SUM($E$5:$E$84))*(D49/H49)*(F49/I49-G49/J49))</f>
        <v/>
      </c>
      <c r="L49">
        <f>IF(K49="","",IF(K49&gt;0,"PRIMARY",IF(K49&lt;0,"RUNNER","NEUTRAL")))</f>
        <v/>
      </c>
    </row>
    <row r="50">
      <c r="A50" t="n">
        <v>46</v>
      </c>
      <c r="B50" t="inlineStr">
        <is>
          <t>L25</t>
        </is>
      </c>
      <c r="C50" s="47" t="inlineStr">
        <is>
          <t>當別人想加入你已經在做的事情時，你比較自然怎麼決定要開放到什麼程度？</t>
        </is>
      </c>
      <c r="D50">
        <f>'33_RESPONSE_INPUT'!H50</f>
        <v/>
      </c>
      <c r="E50">
        <f>'33_RESPONSE_INPUT'!I50</f>
        <v/>
      </c>
      <c r="F50">
        <f>IF('35_LOCAL_DUEL'!$B$4&lt;&gt;"READY","",INDEX('98_PROD_CODEBOOK_Q'!$C$2:$Y$81,ROW()-4,'35_LOCAL_DUEL'!$B$5))</f>
        <v/>
      </c>
      <c r="G50">
        <f>IF('35_LOCAL_DUEL'!$B$4&lt;&gt;"READY","",INDEX('98_PROD_CODEBOOK_Q'!$C$2:$Y$81,ROW()-4,'35_LOCAL_DUEL'!$B$7))</f>
        <v/>
      </c>
      <c r="H50">
        <f>'33_RESPONSE_INPUT'!M7</f>
        <v/>
      </c>
      <c r="I50">
        <f>IF(F50="","",INDEX('34_SCOREBOARD'!$D$21:$D$43,MATCH('35_LOCAL_DUEL'!$B$5,'34_SCOREBOARD'!$A$21:$A$43,0)))</f>
        <v/>
      </c>
      <c r="J50">
        <f>IF(G50="","",INDEX('34_SCOREBOARD'!$D$21:$D$43,MATCH('35_LOCAL_DUEL'!$B$7,'34_SCOREBOARD'!$A$21:$A$43,0)))</f>
        <v/>
      </c>
      <c r="K50">
        <f>IF(OR(D50="",H50=0),"",(E50/SUM($E$5:$E$84))*(D50/H50)*(F50/I50-G50/J50))</f>
        <v/>
      </c>
      <c r="L50">
        <f>IF(K50="","",IF(K50&gt;0,"PRIMARY",IF(K50&lt;0,"RUNNER","NEUTRAL")))</f>
        <v/>
      </c>
    </row>
    <row r="51">
      <c r="A51" t="n">
        <v>47</v>
      </c>
      <c r="B51" t="inlineStr">
        <is>
          <t>G14</t>
        </is>
      </c>
      <c r="C51" s="47" t="inlineStr">
        <is>
          <t>幾個人要完成一件彼此有關、但可以分開做的事情時，你比較偏好……</t>
        </is>
      </c>
      <c r="D51">
        <f>'33_RESPONSE_INPUT'!H51</f>
        <v/>
      </c>
      <c r="E51">
        <f>'33_RESPONSE_INPUT'!I51</f>
        <v/>
      </c>
      <c r="F51">
        <f>IF('35_LOCAL_DUEL'!$B$4&lt;&gt;"READY","",INDEX('98_PROD_CODEBOOK_Q'!$C$2:$Y$81,ROW()-4,'35_LOCAL_DUEL'!$B$5))</f>
        <v/>
      </c>
      <c r="G51">
        <f>IF('35_LOCAL_DUEL'!$B$4&lt;&gt;"READY","",INDEX('98_PROD_CODEBOOK_Q'!$C$2:$Y$81,ROW()-4,'35_LOCAL_DUEL'!$B$7))</f>
        <v/>
      </c>
      <c r="H51">
        <f>'33_RESPONSE_INPUT'!M7</f>
        <v/>
      </c>
      <c r="I51">
        <f>IF(F51="","",INDEX('34_SCOREBOARD'!$D$21:$D$43,MATCH('35_LOCAL_DUEL'!$B$5,'34_SCOREBOARD'!$A$21:$A$43,0)))</f>
        <v/>
      </c>
      <c r="J51">
        <f>IF(G51="","",INDEX('34_SCOREBOARD'!$D$21:$D$43,MATCH('35_LOCAL_DUEL'!$B$7,'34_SCOREBOARD'!$A$21:$A$43,0)))</f>
        <v/>
      </c>
      <c r="K51">
        <f>IF(OR(D51="",H51=0),"",(E51/SUM($E$5:$E$84))*(D51/H51)*(F51/I51-G51/J51))</f>
        <v/>
      </c>
      <c r="L51">
        <f>IF(K51="","",IF(K51&gt;0,"PRIMARY",IF(K51&lt;0,"RUNNER","NEUTRAL")))</f>
        <v/>
      </c>
    </row>
    <row r="52">
      <c r="A52" t="n">
        <v>48</v>
      </c>
      <c r="B52" t="inlineStr">
        <is>
          <t>A05</t>
        </is>
      </c>
      <c r="C52" s="47" t="inlineStr">
        <is>
          <t>面對一個會不斷變化、又常出現不同模式的群體或事情時，你比較自然會……</t>
        </is>
      </c>
      <c r="D52">
        <f>'33_RESPONSE_INPUT'!H52</f>
        <v/>
      </c>
      <c r="E52">
        <f>'33_RESPONSE_INPUT'!I52</f>
        <v/>
      </c>
      <c r="F52">
        <f>IF('35_LOCAL_DUEL'!$B$4&lt;&gt;"READY","",INDEX('98_PROD_CODEBOOK_Q'!$C$2:$Y$81,ROW()-4,'35_LOCAL_DUEL'!$B$5))</f>
        <v/>
      </c>
      <c r="G52">
        <f>IF('35_LOCAL_DUEL'!$B$4&lt;&gt;"READY","",INDEX('98_PROD_CODEBOOK_Q'!$C$2:$Y$81,ROW()-4,'35_LOCAL_DUEL'!$B$7))</f>
        <v/>
      </c>
      <c r="H52">
        <f>'33_RESPONSE_INPUT'!M7</f>
        <v/>
      </c>
      <c r="I52">
        <f>IF(F52="","",INDEX('34_SCOREBOARD'!$D$21:$D$43,MATCH('35_LOCAL_DUEL'!$B$5,'34_SCOREBOARD'!$A$21:$A$43,0)))</f>
        <v/>
      </c>
      <c r="J52">
        <f>IF(G52="","",INDEX('34_SCOREBOARD'!$D$21:$D$43,MATCH('35_LOCAL_DUEL'!$B$7,'34_SCOREBOARD'!$A$21:$A$43,0)))</f>
        <v/>
      </c>
      <c r="K52">
        <f>IF(OR(D52="",H52=0),"",(E52/SUM($E$5:$E$84))*(D52/H52)*(F52/I52-G52/J52))</f>
        <v/>
      </c>
      <c r="L52">
        <f>IF(K52="","",IF(K52&gt;0,"PRIMARY",IF(K52&lt;0,"RUNNER","NEUTRAL")))</f>
        <v/>
      </c>
    </row>
    <row r="53">
      <c r="A53" t="n">
        <v>49</v>
      </c>
      <c r="B53" t="inlineStr">
        <is>
          <t>G22</t>
        </is>
      </c>
      <c r="C53" s="47" t="inlineStr">
        <is>
          <t>要改善一個你長期參與、也受到更大規則影響的地方時，你比較傾向……</t>
        </is>
      </c>
      <c r="D53">
        <f>'33_RESPONSE_INPUT'!H53</f>
        <v/>
      </c>
      <c r="E53">
        <f>'33_RESPONSE_INPUT'!I53</f>
        <v/>
      </c>
      <c r="F53">
        <f>IF('35_LOCAL_DUEL'!$B$4&lt;&gt;"READY","",INDEX('98_PROD_CODEBOOK_Q'!$C$2:$Y$81,ROW()-4,'35_LOCAL_DUEL'!$B$5))</f>
        <v/>
      </c>
      <c r="G53">
        <f>IF('35_LOCAL_DUEL'!$B$4&lt;&gt;"READY","",INDEX('98_PROD_CODEBOOK_Q'!$C$2:$Y$81,ROW()-4,'35_LOCAL_DUEL'!$B$7))</f>
        <v/>
      </c>
      <c r="H53">
        <f>'33_RESPONSE_INPUT'!M7</f>
        <v/>
      </c>
      <c r="I53">
        <f>IF(F53="","",INDEX('34_SCOREBOARD'!$D$21:$D$43,MATCH('35_LOCAL_DUEL'!$B$5,'34_SCOREBOARD'!$A$21:$A$43,0)))</f>
        <v/>
      </c>
      <c r="J53">
        <f>IF(G53="","",INDEX('34_SCOREBOARD'!$D$21:$D$43,MATCH('35_LOCAL_DUEL'!$B$7,'34_SCOREBOARD'!$A$21:$A$43,0)))</f>
        <v/>
      </c>
      <c r="K53">
        <f>IF(OR(D53="",H53=0),"",(E53/SUM($E$5:$E$84))*(D53/H53)*(F53/I53-G53/J53))</f>
        <v/>
      </c>
      <c r="L53">
        <f>IF(K53="","",IF(K53&gt;0,"PRIMARY",IF(K53&lt;0,"RUNNER","NEUTRAL")))</f>
        <v/>
      </c>
    </row>
    <row r="54">
      <c r="A54" t="n">
        <v>50</v>
      </c>
      <c r="B54" t="inlineStr">
        <is>
          <t>L15</t>
        </is>
      </c>
      <c r="C54" s="47" t="inlineStr">
        <is>
          <t>面對一個影響很多人的改革想法時，你比較自然先追哪一類問題？</t>
        </is>
      </c>
      <c r="D54">
        <f>'33_RESPONSE_INPUT'!H54</f>
        <v/>
      </c>
      <c r="E54">
        <f>'33_RESPONSE_INPUT'!I54</f>
        <v/>
      </c>
      <c r="F54">
        <f>IF('35_LOCAL_DUEL'!$B$4&lt;&gt;"READY","",INDEX('98_PROD_CODEBOOK_Q'!$C$2:$Y$81,ROW()-4,'35_LOCAL_DUEL'!$B$5))</f>
        <v/>
      </c>
      <c r="G54">
        <f>IF('35_LOCAL_DUEL'!$B$4&lt;&gt;"READY","",INDEX('98_PROD_CODEBOOK_Q'!$C$2:$Y$81,ROW()-4,'35_LOCAL_DUEL'!$B$7))</f>
        <v/>
      </c>
      <c r="H54">
        <f>'33_RESPONSE_INPUT'!M7</f>
        <v/>
      </c>
      <c r="I54">
        <f>IF(F54="","",INDEX('34_SCOREBOARD'!$D$21:$D$43,MATCH('35_LOCAL_DUEL'!$B$5,'34_SCOREBOARD'!$A$21:$A$43,0)))</f>
        <v/>
      </c>
      <c r="J54">
        <f>IF(G54="","",INDEX('34_SCOREBOARD'!$D$21:$D$43,MATCH('35_LOCAL_DUEL'!$B$7,'34_SCOREBOARD'!$A$21:$A$43,0)))</f>
        <v/>
      </c>
      <c r="K54">
        <f>IF(OR(D54="",H54=0),"",(E54/SUM($E$5:$E$84))*(D54/H54)*(F54/I54-G54/J54))</f>
        <v/>
      </c>
      <c r="L54">
        <f>IF(K54="","",IF(K54&gt;0,"PRIMARY",IF(K54&lt;0,"RUNNER","NEUTRAL")))</f>
        <v/>
      </c>
    </row>
    <row r="55">
      <c r="A55" t="n">
        <v>51</v>
      </c>
      <c r="B55" t="inlineStr">
        <is>
          <t>G21</t>
        </is>
      </c>
      <c r="C55" s="47" t="inlineStr">
        <is>
          <t>當兩套說法各自有證據、卻又互相矛盾時，你比較傾向……</t>
        </is>
      </c>
      <c r="D55">
        <f>'33_RESPONSE_INPUT'!H55</f>
        <v/>
      </c>
      <c r="E55">
        <f>'33_RESPONSE_INPUT'!I55</f>
        <v/>
      </c>
      <c r="F55">
        <f>IF('35_LOCAL_DUEL'!$B$4&lt;&gt;"READY","",INDEX('98_PROD_CODEBOOK_Q'!$C$2:$Y$81,ROW()-4,'35_LOCAL_DUEL'!$B$5))</f>
        <v/>
      </c>
      <c r="G55">
        <f>IF('35_LOCAL_DUEL'!$B$4&lt;&gt;"READY","",INDEX('98_PROD_CODEBOOK_Q'!$C$2:$Y$81,ROW()-4,'35_LOCAL_DUEL'!$B$7))</f>
        <v/>
      </c>
      <c r="H55">
        <f>'33_RESPONSE_INPUT'!M7</f>
        <v/>
      </c>
      <c r="I55">
        <f>IF(F55="","",INDEX('34_SCOREBOARD'!$D$21:$D$43,MATCH('35_LOCAL_DUEL'!$B$5,'34_SCOREBOARD'!$A$21:$A$43,0)))</f>
        <v/>
      </c>
      <c r="J55">
        <f>IF(G55="","",INDEX('34_SCOREBOARD'!$D$21:$D$43,MATCH('35_LOCAL_DUEL'!$B$7,'34_SCOREBOARD'!$A$21:$A$43,0)))</f>
        <v/>
      </c>
      <c r="K55">
        <f>IF(OR(D55="",H55=0),"",(E55/SUM($E$5:$E$84))*(D55/H55)*(F55/I55-G55/J55))</f>
        <v/>
      </c>
      <c r="L55">
        <f>IF(K55="","",IF(K55&gt;0,"PRIMARY",IF(K55&lt;0,"RUNNER","NEUTRAL")))</f>
        <v/>
      </c>
    </row>
    <row r="56">
      <c r="A56" t="n">
        <v>52</v>
      </c>
      <c r="B56" t="inlineStr">
        <is>
          <t>L18</t>
        </is>
      </c>
      <c r="C56" s="47" t="inlineStr">
        <is>
          <t>當有人反覆做了超出原本約定範圍的事，但情況仍然可控時，你比較自然會……</t>
        </is>
      </c>
      <c r="D56">
        <f>'33_RESPONSE_INPUT'!H56</f>
        <v/>
      </c>
      <c r="E56">
        <f>'33_RESPONSE_INPUT'!I56</f>
        <v/>
      </c>
      <c r="F56">
        <f>IF('35_LOCAL_DUEL'!$B$4&lt;&gt;"READY","",INDEX('98_PROD_CODEBOOK_Q'!$C$2:$Y$81,ROW()-4,'35_LOCAL_DUEL'!$B$5))</f>
        <v/>
      </c>
      <c r="G56">
        <f>IF('35_LOCAL_DUEL'!$B$4&lt;&gt;"READY","",INDEX('98_PROD_CODEBOOK_Q'!$C$2:$Y$81,ROW()-4,'35_LOCAL_DUEL'!$B$7))</f>
        <v/>
      </c>
      <c r="H56">
        <f>'33_RESPONSE_INPUT'!M7</f>
        <v/>
      </c>
      <c r="I56">
        <f>IF(F56="","",INDEX('34_SCOREBOARD'!$D$21:$D$43,MATCH('35_LOCAL_DUEL'!$B$5,'34_SCOREBOARD'!$A$21:$A$43,0)))</f>
        <v/>
      </c>
      <c r="J56">
        <f>IF(G56="","",INDEX('34_SCOREBOARD'!$D$21:$D$43,MATCH('35_LOCAL_DUEL'!$B$7,'34_SCOREBOARD'!$A$21:$A$43,0)))</f>
        <v/>
      </c>
      <c r="K56">
        <f>IF(OR(D56="",H56=0),"",(E56/SUM($E$5:$E$84))*(D56/H56)*(F56/I56-G56/J56))</f>
        <v/>
      </c>
      <c r="L56">
        <f>IF(K56="","",IF(K56&gt;0,"PRIMARY",IF(K56&lt;0,"RUNNER","NEUTRAL")))</f>
        <v/>
      </c>
    </row>
    <row r="57">
      <c r="A57" t="n">
        <v>53</v>
      </c>
      <c r="B57" t="inlineStr">
        <is>
          <t>G30</t>
        </is>
      </c>
      <c r="C57" s="47" t="inlineStr">
        <is>
          <t>一個原本能運作的計畫因為情況改變而卡住時，你比較自然的第一步是……</t>
        </is>
      </c>
      <c r="D57">
        <f>'33_RESPONSE_INPUT'!H57</f>
        <v/>
      </c>
      <c r="E57">
        <f>'33_RESPONSE_INPUT'!I57</f>
        <v/>
      </c>
      <c r="F57">
        <f>IF('35_LOCAL_DUEL'!$B$4&lt;&gt;"READY","",INDEX('98_PROD_CODEBOOK_Q'!$C$2:$Y$81,ROW()-4,'35_LOCAL_DUEL'!$B$5))</f>
        <v/>
      </c>
      <c r="G57">
        <f>IF('35_LOCAL_DUEL'!$B$4&lt;&gt;"READY","",INDEX('98_PROD_CODEBOOK_Q'!$C$2:$Y$81,ROW()-4,'35_LOCAL_DUEL'!$B$7))</f>
        <v/>
      </c>
      <c r="H57">
        <f>'33_RESPONSE_INPUT'!M7</f>
        <v/>
      </c>
      <c r="I57">
        <f>IF(F57="","",INDEX('34_SCOREBOARD'!$D$21:$D$43,MATCH('35_LOCAL_DUEL'!$B$5,'34_SCOREBOARD'!$A$21:$A$43,0)))</f>
        <v/>
      </c>
      <c r="J57">
        <f>IF(G57="","",INDEX('34_SCOREBOARD'!$D$21:$D$43,MATCH('35_LOCAL_DUEL'!$B$7,'34_SCOREBOARD'!$A$21:$A$43,0)))</f>
        <v/>
      </c>
      <c r="K57">
        <f>IF(OR(D57="",H57=0),"",(E57/SUM($E$5:$E$84))*(D57/H57)*(F57/I57-G57/J57))</f>
        <v/>
      </c>
      <c r="L57">
        <f>IF(K57="","",IF(K57&gt;0,"PRIMARY",IF(K57&lt;0,"RUNNER","NEUTRAL")))</f>
        <v/>
      </c>
    </row>
    <row r="58">
      <c r="A58" t="n">
        <v>54</v>
      </c>
      <c r="B58" t="inlineStr">
        <is>
          <t>L35</t>
        </is>
      </c>
      <c r="C58" s="47" t="inlineStr">
        <is>
          <t>幾個群體對同一件事有不同看法時，你比較自然會提供哪一種幫助？</t>
        </is>
      </c>
      <c r="D58">
        <f>'33_RESPONSE_INPUT'!H58</f>
        <v/>
      </c>
      <c r="E58">
        <f>'33_RESPONSE_INPUT'!I58</f>
        <v/>
      </c>
      <c r="F58">
        <f>IF('35_LOCAL_DUEL'!$B$4&lt;&gt;"READY","",INDEX('98_PROD_CODEBOOK_Q'!$C$2:$Y$81,ROW()-4,'35_LOCAL_DUEL'!$B$5))</f>
        <v/>
      </c>
      <c r="G58">
        <f>IF('35_LOCAL_DUEL'!$B$4&lt;&gt;"READY","",INDEX('98_PROD_CODEBOOK_Q'!$C$2:$Y$81,ROW()-4,'35_LOCAL_DUEL'!$B$7))</f>
        <v/>
      </c>
      <c r="H58">
        <f>'33_RESPONSE_INPUT'!M7</f>
        <v/>
      </c>
      <c r="I58">
        <f>IF(F58="","",INDEX('34_SCOREBOARD'!$D$21:$D$43,MATCH('35_LOCAL_DUEL'!$B$5,'34_SCOREBOARD'!$A$21:$A$43,0)))</f>
        <v/>
      </c>
      <c r="J58">
        <f>IF(G58="","",INDEX('34_SCOREBOARD'!$D$21:$D$43,MATCH('35_LOCAL_DUEL'!$B$7,'34_SCOREBOARD'!$A$21:$A$43,0)))</f>
        <v/>
      </c>
      <c r="K58">
        <f>IF(OR(D58="",H58=0),"",(E58/SUM($E$5:$E$84))*(D58/H58)*(F58/I58-G58/J58))</f>
        <v/>
      </c>
      <c r="L58">
        <f>IF(K58="","",IF(K58&gt;0,"PRIMARY",IF(K58&lt;0,"RUNNER","NEUTRAL")))</f>
        <v/>
      </c>
    </row>
    <row r="59">
      <c r="A59" t="n">
        <v>55</v>
      </c>
      <c r="B59" t="inlineStr">
        <is>
          <t>A07</t>
        </is>
      </c>
      <c r="C59" s="47" t="inlineStr">
        <is>
          <t>一段重要關係剛出現誤解，同時周圍其他人的情緒也受到影響時，你會先把力氣放在哪裡？</t>
        </is>
      </c>
      <c r="D59">
        <f>'33_RESPONSE_INPUT'!H59</f>
        <v/>
      </c>
      <c r="E59">
        <f>'33_RESPONSE_INPUT'!I59</f>
        <v/>
      </c>
      <c r="F59">
        <f>IF('35_LOCAL_DUEL'!$B$4&lt;&gt;"READY","",INDEX('98_PROD_CODEBOOK_Q'!$C$2:$Y$81,ROW()-4,'35_LOCAL_DUEL'!$B$5))</f>
        <v/>
      </c>
      <c r="G59">
        <f>IF('35_LOCAL_DUEL'!$B$4&lt;&gt;"READY","",INDEX('98_PROD_CODEBOOK_Q'!$C$2:$Y$81,ROW()-4,'35_LOCAL_DUEL'!$B$7))</f>
        <v/>
      </c>
      <c r="H59">
        <f>'33_RESPONSE_INPUT'!M7</f>
        <v/>
      </c>
      <c r="I59">
        <f>IF(F59="","",INDEX('34_SCOREBOARD'!$D$21:$D$43,MATCH('35_LOCAL_DUEL'!$B$5,'34_SCOREBOARD'!$A$21:$A$43,0)))</f>
        <v/>
      </c>
      <c r="J59">
        <f>IF(G59="","",INDEX('34_SCOREBOARD'!$D$21:$D$43,MATCH('35_LOCAL_DUEL'!$B$7,'34_SCOREBOARD'!$A$21:$A$43,0)))</f>
        <v/>
      </c>
      <c r="K59">
        <f>IF(OR(D59="",H59=0),"",(E59/SUM($E$5:$E$84))*(D59/H59)*(F59/I59-G59/J59))</f>
        <v/>
      </c>
      <c r="L59">
        <f>IF(K59="","",IF(K59&gt;0,"PRIMARY",IF(K59&lt;0,"RUNNER","NEUTRAL")))</f>
        <v/>
      </c>
    </row>
    <row r="60">
      <c r="A60" t="n">
        <v>56</v>
      </c>
      <c r="B60" t="inlineStr">
        <is>
          <t>L27</t>
        </is>
      </c>
      <c r="C60" s="47" t="inlineStr">
        <is>
          <t>當你要長期保護一個大家共同使用的安排時，你比較偏好哪種做法？</t>
        </is>
      </c>
      <c r="D60">
        <f>'33_RESPONSE_INPUT'!H60</f>
        <v/>
      </c>
      <c r="E60">
        <f>'33_RESPONSE_INPUT'!I60</f>
        <v/>
      </c>
      <c r="F60">
        <f>IF('35_LOCAL_DUEL'!$B$4&lt;&gt;"READY","",INDEX('98_PROD_CODEBOOK_Q'!$C$2:$Y$81,ROW()-4,'35_LOCAL_DUEL'!$B$5))</f>
        <v/>
      </c>
      <c r="G60">
        <f>IF('35_LOCAL_DUEL'!$B$4&lt;&gt;"READY","",INDEX('98_PROD_CODEBOOK_Q'!$C$2:$Y$81,ROW()-4,'35_LOCAL_DUEL'!$B$7))</f>
        <v/>
      </c>
      <c r="H60">
        <f>'33_RESPONSE_INPUT'!M7</f>
        <v/>
      </c>
      <c r="I60">
        <f>IF(F60="","",INDEX('34_SCOREBOARD'!$D$21:$D$43,MATCH('35_LOCAL_DUEL'!$B$5,'34_SCOREBOARD'!$A$21:$A$43,0)))</f>
        <v/>
      </c>
      <c r="J60">
        <f>IF(G60="","",INDEX('34_SCOREBOARD'!$D$21:$D$43,MATCH('35_LOCAL_DUEL'!$B$7,'34_SCOREBOARD'!$A$21:$A$43,0)))</f>
        <v/>
      </c>
      <c r="K60">
        <f>IF(OR(D60="",H60=0),"",(E60/SUM($E$5:$E$84))*(D60/H60)*(F60/I60-G60/J60))</f>
        <v/>
      </c>
      <c r="L60">
        <f>IF(K60="","",IF(K60&gt;0,"PRIMARY",IF(K60&lt;0,"RUNNER","NEUTRAL")))</f>
        <v/>
      </c>
    </row>
    <row r="61">
      <c r="A61" t="n">
        <v>57</v>
      </c>
      <c r="B61" t="inlineStr">
        <is>
          <t>G08</t>
        </is>
      </c>
      <c r="C61" s="47" t="inlineStr">
        <is>
          <t>面對一段沒有外在限制的生活安排，你比較喜歡……</t>
        </is>
      </c>
      <c r="D61">
        <f>'33_RESPONSE_INPUT'!H61</f>
        <v/>
      </c>
      <c r="E61">
        <f>'33_RESPONSE_INPUT'!I61</f>
        <v/>
      </c>
      <c r="F61">
        <f>IF('35_LOCAL_DUEL'!$B$4&lt;&gt;"READY","",INDEX('98_PROD_CODEBOOK_Q'!$C$2:$Y$81,ROW()-4,'35_LOCAL_DUEL'!$B$5))</f>
        <v/>
      </c>
      <c r="G61">
        <f>IF('35_LOCAL_DUEL'!$B$4&lt;&gt;"READY","",INDEX('98_PROD_CODEBOOK_Q'!$C$2:$Y$81,ROW()-4,'35_LOCAL_DUEL'!$B$7))</f>
        <v/>
      </c>
      <c r="H61">
        <f>'33_RESPONSE_INPUT'!M7</f>
        <v/>
      </c>
      <c r="I61">
        <f>IF(F61="","",INDEX('34_SCOREBOARD'!$D$21:$D$43,MATCH('35_LOCAL_DUEL'!$B$5,'34_SCOREBOARD'!$A$21:$A$43,0)))</f>
        <v/>
      </c>
      <c r="J61">
        <f>IF(G61="","",INDEX('34_SCOREBOARD'!$D$21:$D$43,MATCH('35_LOCAL_DUEL'!$B$7,'34_SCOREBOARD'!$A$21:$A$43,0)))</f>
        <v/>
      </c>
      <c r="K61">
        <f>IF(OR(D61="",H61=0),"",(E61/SUM($E$5:$E$84))*(D61/H61)*(F61/I61-G61/J61))</f>
        <v/>
      </c>
      <c r="L61">
        <f>IF(K61="","",IF(K61&gt;0,"PRIMARY",IF(K61&lt;0,"RUNNER","NEUTRAL")))</f>
        <v/>
      </c>
    </row>
    <row r="62">
      <c r="A62" t="n">
        <v>58</v>
      </c>
      <c r="B62" t="inlineStr">
        <is>
          <t>L31</t>
        </is>
      </c>
      <c r="C62" s="47" t="inlineStr">
        <is>
          <t>面對一個複雜議題，需要讓多方都能繼續往下走時，你比較傾向……</t>
        </is>
      </c>
      <c r="D62">
        <f>'33_RESPONSE_INPUT'!H62</f>
        <v/>
      </c>
      <c r="E62">
        <f>'33_RESPONSE_INPUT'!I62</f>
        <v/>
      </c>
      <c r="F62">
        <f>IF('35_LOCAL_DUEL'!$B$4&lt;&gt;"READY","",INDEX('98_PROD_CODEBOOK_Q'!$C$2:$Y$81,ROW()-4,'35_LOCAL_DUEL'!$B$5))</f>
        <v/>
      </c>
      <c r="G62">
        <f>IF('35_LOCAL_DUEL'!$B$4&lt;&gt;"READY","",INDEX('98_PROD_CODEBOOK_Q'!$C$2:$Y$81,ROW()-4,'35_LOCAL_DUEL'!$B$7))</f>
        <v/>
      </c>
      <c r="H62">
        <f>'33_RESPONSE_INPUT'!M7</f>
        <v/>
      </c>
      <c r="I62">
        <f>IF(F62="","",INDEX('34_SCOREBOARD'!$D$21:$D$43,MATCH('35_LOCAL_DUEL'!$B$5,'34_SCOREBOARD'!$A$21:$A$43,0)))</f>
        <v/>
      </c>
      <c r="J62">
        <f>IF(G62="","",INDEX('34_SCOREBOARD'!$D$21:$D$43,MATCH('35_LOCAL_DUEL'!$B$7,'34_SCOREBOARD'!$A$21:$A$43,0)))</f>
        <v/>
      </c>
      <c r="K62">
        <f>IF(OR(D62="",H62=0),"",(E62/SUM($E$5:$E$84))*(D62/H62)*(F62/I62-G62/J62))</f>
        <v/>
      </c>
      <c r="L62">
        <f>IF(K62="","",IF(K62&gt;0,"PRIMARY",IF(K62&lt;0,"RUNNER","NEUTRAL")))</f>
        <v/>
      </c>
    </row>
    <row r="63">
      <c r="A63" t="n">
        <v>59</v>
      </c>
      <c r="B63" t="inlineStr">
        <is>
          <t>G18</t>
        </is>
      </c>
      <c r="C63" s="47" t="inlineStr">
        <is>
          <t>有一段可以自由安排的時間和資源時，你比較自然會……</t>
        </is>
      </c>
      <c r="D63">
        <f>'33_RESPONSE_INPUT'!H63</f>
        <v/>
      </c>
      <c r="E63">
        <f>'33_RESPONSE_INPUT'!I63</f>
        <v/>
      </c>
      <c r="F63">
        <f>IF('35_LOCAL_DUEL'!$B$4&lt;&gt;"READY","",INDEX('98_PROD_CODEBOOK_Q'!$C$2:$Y$81,ROW()-4,'35_LOCAL_DUEL'!$B$5))</f>
        <v/>
      </c>
      <c r="G63">
        <f>IF('35_LOCAL_DUEL'!$B$4&lt;&gt;"READY","",INDEX('98_PROD_CODEBOOK_Q'!$C$2:$Y$81,ROW()-4,'35_LOCAL_DUEL'!$B$7))</f>
        <v/>
      </c>
      <c r="H63">
        <f>'33_RESPONSE_INPUT'!M7</f>
        <v/>
      </c>
      <c r="I63">
        <f>IF(F63="","",INDEX('34_SCOREBOARD'!$D$21:$D$43,MATCH('35_LOCAL_DUEL'!$B$5,'34_SCOREBOARD'!$A$21:$A$43,0)))</f>
        <v/>
      </c>
      <c r="J63">
        <f>IF(G63="","",INDEX('34_SCOREBOARD'!$D$21:$D$43,MATCH('35_LOCAL_DUEL'!$B$7,'34_SCOREBOARD'!$A$21:$A$43,0)))</f>
        <v/>
      </c>
      <c r="K63">
        <f>IF(OR(D63="",H63=0),"",(E63/SUM($E$5:$E$84))*(D63/H63)*(F63/I63-G63/J63))</f>
        <v/>
      </c>
      <c r="L63">
        <f>IF(K63="","",IF(K63&gt;0,"PRIMARY",IF(K63&lt;0,"RUNNER","NEUTRAL")))</f>
        <v/>
      </c>
    </row>
    <row r="64">
      <c r="A64" t="n">
        <v>60</v>
      </c>
      <c r="B64" t="inlineStr">
        <is>
          <t>L29</t>
        </is>
      </c>
      <c r="C64" s="47" t="inlineStr">
        <is>
          <t>規劃接下來一段時間時，如果目前環境的限制越來越多，你比較傾向……</t>
        </is>
      </c>
      <c r="D64">
        <f>'33_RESPONSE_INPUT'!H64</f>
        <v/>
      </c>
      <c r="E64">
        <f>'33_RESPONSE_INPUT'!I64</f>
        <v/>
      </c>
      <c r="F64">
        <f>IF('35_LOCAL_DUEL'!$B$4&lt;&gt;"READY","",INDEX('98_PROD_CODEBOOK_Q'!$C$2:$Y$81,ROW()-4,'35_LOCAL_DUEL'!$B$5))</f>
        <v/>
      </c>
      <c r="G64">
        <f>IF('35_LOCAL_DUEL'!$B$4&lt;&gt;"READY","",INDEX('98_PROD_CODEBOOK_Q'!$C$2:$Y$81,ROW()-4,'35_LOCAL_DUEL'!$B$7))</f>
        <v/>
      </c>
      <c r="H64">
        <f>'33_RESPONSE_INPUT'!M7</f>
        <v/>
      </c>
      <c r="I64">
        <f>IF(F64="","",INDEX('34_SCOREBOARD'!$D$21:$D$43,MATCH('35_LOCAL_DUEL'!$B$5,'34_SCOREBOARD'!$A$21:$A$43,0)))</f>
        <v/>
      </c>
      <c r="J64">
        <f>IF(G64="","",INDEX('34_SCOREBOARD'!$D$21:$D$43,MATCH('35_LOCAL_DUEL'!$B$7,'34_SCOREBOARD'!$A$21:$A$43,0)))</f>
        <v/>
      </c>
      <c r="K64">
        <f>IF(OR(D64="",H64=0),"",(E64/SUM($E$5:$E$84))*(D64/H64)*(F64/I64-G64/J64))</f>
        <v/>
      </c>
      <c r="L64">
        <f>IF(K64="","",IF(K64&gt;0,"PRIMARY",IF(K64&lt;0,"RUNNER","NEUTRAL")))</f>
        <v/>
      </c>
    </row>
    <row r="65">
      <c r="A65" t="n">
        <v>61</v>
      </c>
      <c r="B65" t="inlineStr">
        <is>
          <t>G29</t>
        </is>
      </c>
      <c r="C65" s="47" t="inlineStr">
        <is>
          <t>當很多人對方向有明顯不同意見時，你比較自然會……</t>
        </is>
      </c>
      <c r="D65">
        <f>'33_RESPONSE_INPUT'!H65</f>
        <v/>
      </c>
      <c r="E65">
        <f>'33_RESPONSE_INPUT'!I65</f>
        <v/>
      </c>
      <c r="F65">
        <f>IF('35_LOCAL_DUEL'!$B$4&lt;&gt;"READY","",INDEX('98_PROD_CODEBOOK_Q'!$C$2:$Y$81,ROW()-4,'35_LOCAL_DUEL'!$B$5))</f>
        <v/>
      </c>
      <c r="G65">
        <f>IF('35_LOCAL_DUEL'!$B$4&lt;&gt;"READY","",INDEX('98_PROD_CODEBOOK_Q'!$C$2:$Y$81,ROW()-4,'35_LOCAL_DUEL'!$B$7))</f>
        <v/>
      </c>
      <c r="H65">
        <f>'33_RESPONSE_INPUT'!M7</f>
        <v/>
      </c>
      <c r="I65">
        <f>IF(F65="","",INDEX('34_SCOREBOARD'!$D$21:$D$43,MATCH('35_LOCAL_DUEL'!$B$5,'34_SCOREBOARD'!$A$21:$A$43,0)))</f>
        <v/>
      </c>
      <c r="J65">
        <f>IF(G65="","",INDEX('34_SCOREBOARD'!$D$21:$D$43,MATCH('35_LOCAL_DUEL'!$B$7,'34_SCOREBOARD'!$A$21:$A$43,0)))</f>
        <v/>
      </c>
      <c r="K65">
        <f>IF(OR(D65="",H65=0),"",(E65/SUM($E$5:$E$84))*(D65/H65)*(F65/I65-G65/J65))</f>
        <v/>
      </c>
      <c r="L65">
        <f>IF(K65="","",IF(K65&gt;0,"PRIMARY",IF(K65&lt;0,"RUNNER","NEUTRAL")))</f>
        <v/>
      </c>
    </row>
    <row r="66">
      <c r="A66" t="n">
        <v>62</v>
      </c>
      <c r="B66" t="inlineStr">
        <is>
          <t>A02</t>
        </is>
      </c>
      <c r="C66" s="47" t="inlineStr">
        <is>
          <t>一個新方案準備第一次正式使用時，你最自然先關注什麼？</t>
        </is>
      </c>
      <c r="D66">
        <f>'33_RESPONSE_INPUT'!H66</f>
        <v/>
      </c>
      <c r="E66">
        <f>'33_RESPONSE_INPUT'!I66</f>
        <v/>
      </c>
      <c r="F66">
        <f>IF('35_LOCAL_DUEL'!$B$4&lt;&gt;"READY","",INDEX('98_PROD_CODEBOOK_Q'!$C$2:$Y$81,ROW()-4,'35_LOCAL_DUEL'!$B$5))</f>
        <v/>
      </c>
      <c r="G66">
        <f>IF('35_LOCAL_DUEL'!$B$4&lt;&gt;"READY","",INDEX('98_PROD_CODEBOOK_Q'!$C$2:$Y$81,ROW()-4,'35_LOCAL_DUEL'!$B$7))</f>
        <v/>
      </c>
      <c r="H66">
        <f>'33_RESPONSE_INPUT'!M7</f>
        <v/>
      </c>
      <c r="I66">
        <f>IF(F66="","",INDEX('34_SCOREBOARD'!$D$21:$D$43,MATCH('35_LOCAL_DUEL'!$B$5,'34_SCOREBOARD'!$A$21:$A$43,0)))</f>
        <v/>
      </c>
      <c r="J66">
        <f>IF(G66="","",INDEX('34_SCOREBOARD'!$D$21:$D$43,MATCH('35_LOCAL_DUEL'!$B$7,'34_SCOREBOARD'!$A$21:$A$43,0)))</f>
        <v/>
      </c>
      <c r="K66">
        <f>IF(OR(D66="",H66=0),"",(E66/SUM($E$5:$E$84))*(D66/H66)*(F66/I66-G66/J66))</f>
        <v/>
      </c>
      <c r="L66">
        <f>IF(K66="","",IF(K66&gt;0,"PRIMARY",IF(K66&lt;0,"RUNNER","NEUTRAL")))</f>
        <v/>
      </c>
    </row>
    <row r="67">
      <c r="A67" t="n">
        <v>63</v>
      </c>
      <c r="B67" t="inlineStr">
        <is>
          <t>G16</t>
        </is>
      </c>
      <c r="C67" s="47" t="inlineStr">
        <is>
          <t>當一個人或一套做法的狀態需要修復時，你比較自然會扮演哪種角色？</t>
        </is>
      </c>
      <c r="D67">
        <f>'33_RESPONSE_INPUT'!H67</f>
        <v/>
      </c>
      <c r="E67">
        <f>'33_RESPONSE_INPUT'!I67</f>
        <v/>
      </c>
      <c r="F67">
        <f>IF('35_LOCAL_DUEL'!$B$4&lt;&gt;"READY","",INDEX('98_PROD_CODEBOOK_Q'!$C$2:$Y$81,ROW()-4,'35_LOCAL_DUEL'!$B$5))</f>
        <v/>
      </c>
      <c r="G67">
        <f>IF('35_LOCAL_DUEL'!$B$4&lt;&gt;"READY","",INDEX('98_PROD_CODEBOOK_Q'!$C$2:$Y$81,ROW()-4,'35_LOCAL_DUEL'!$B$7))</f>
        <v/>
      </c>
      <c r="H67">
        <f>'33_RESPONSE_INPUT'!M7</f>
        <v/>
      </c>
      <c r="I67">
        <f>IF(F67="","",INDEX('34_SCOREBOARD'!$D$21:$D$43,MATCH('35_LOCAL_DUEL'!$B$5,'34_SCOREBOARD'!$A$21:$A$43,0)))</f>
        <v/>
      </c>
      <c r="J67">
        <f>IF(G67="","",INDEX('34_SCOREBOARD'!$D$21:$D$43,MATCH('35_LOCAL_DUEL'!$B$7,'34_SCOREBOARD'!$A$21:$A$43,0)))</f>
        <v/>
      </c>
      <c r="K67">
        <f>IF(OR(D67="",H67=0),"",(E67/SUM($E$5:$E$84))*(D67/H67)*(F67/I67-G67/J67))</f>
        <v/>
      </c>
      <c r="L67">
        <f>IF(K67="","",IF(K67&gt;0,"PRIMARY",IF(K67&lt;0,"RUNNER","NEUTRAL")))</f>
        <v/>
      </c>
    </row>
    <row r="68">
      <c r="A68" t="n">
        <v>64</v>
      </c>
      <c r="B68" t="inlineStr">
        <is>
          <t>L26</t>
        </is>
      </c>
      <c r="C68" s="47" t="inlineStr">
        <is>
          <t>如果你想長期守住一個共同活動的品質，你比較自然會……</t>
        </is>
      </c>
      <c r="D68">
        <f>'33_RESPONSE_INPUT'!H68</f>
        <v/>
      </c>
      <c r="E68">
        <f>'33_RESPONSE_INPUT'!I68</f>
        <v/>
      </c>
      <c r="F68">
        <f>IF('35_LOCAL_DUEL'!$B$4&lt;&gt;"READY","",INDEX('98_PROD_CODEBOOK_Q'!$C$2:$Y$81,ROW()-4,'35_LOCAL_DUEL'!$B$5))</f>
        <v/>
      </c>
      <c r="G68">
        <f>IF('35_LOCAL_DUEL'!$B$4&lt;&gt;"READY","",INDEX('98_PROD_CODEBOOK_Q'!$C$2:$Y$81,ROW()-4,'35_LOCAL_DUEL'!$B$7))</f>
        <v/>
      </c>
      <c r="H68">
        <f>'33_RESPONSE_INPUT'!M7</f>
        <v/>
      </c>
      <c r="I68">
        <f>IF(F68="","",INDEX('34_SCOREBOARD'!$D$21:$D$43,MATCH('35_LOCAL_DUEL'!$B$5,'34_SCOREBOARD'!$A$21:$A$43,0)))</f>
        <v/>
      </c>
      <c r="J68">
        <f>IF(G68="","",INDEX('34_SCOREBOARD'!$D$21:$D$43,MATCH('35_LOCAL_DUEL'!$B$7,'34_SCOREBOARD'!$A$21:$A$43,0)))</f>
        <v/>
      </c>
      <c r="K68">
        <f>IF(OR(D68="",H68=0),"",(E68/SUM($E$5:$E$84))*(D68/H68)*(F68/I68-G68/J68))</f>
        <v/>
      </c>
      <c r="L68">
        <f>IF(K68="","",IF(K68&gt;0,"PRIMARY",IF(K68&lt;0,"RUNNER","NEUTRAL")))</f>
        <v/>
      </c>
    </row>
    <row r="69">
      <c r="A69" t="n">
        <v>65</v>
      </c>
      <c r="B69" t="inlineStr">
        <is>
          <t>G25</t>
        </is>
      </c>
      <c r="C69" s="47" t="inlineStr">
        <is>
          <t>在一個長期共同計畫裡，你比較自然承擔哪種角色？</t>
        </is>
      </c>
      <c r="D69">
        <f>'33_RESPONSE_INPUT'!H69</f>
        <v/>
      </c>
      <c r="E69">
        <f>'33_RESPONSE_INPUT'!I69</f>
        <v/>
      </c>
      <c r="F69">
        <f>IF('35_LOCAL_DUEL'!$B$4&lt;&gt;"READY","",INDEX('98_PROD_CODEBOOK_Q'!$C$2:$Y$81,ROW()-4,'35_LOCAL_DUEL'!$B$5))</f>
        <v/>
      </c>
      <c r="G69">
        <f>IF('35_LOCAL_DUEL'!$B$4&lt;&gt;"READY","",INDEX('98_PROD_CODEBOOK_Q'!$C$2:$Y$81,ROW()-4,'35_LOCAL_DUEL'!$B$7))</f>
        <v/>
      </c>
      <c r="H69">
        <f>'33_RESPONSE_INPUT'!M7</f>
        <v/>
      </c>
      <c r="I69">
        <f>IF(F69="","",INDEX('34_SCOREBOARD'!$D$21:$D$43,MATCH('35_LOCAL_DUEL'!$B$5,'34_SCOREBOARD'!$A$21:$A$43,0)))</f>
        <v/>
      </c>
      <c r="J69">
        <f>IF(G69="","",INDEX('34_SCOREBOARD'!$D$21:$D$43,MATCH('35_LOCAL_DUEL'!$B$7,'34_SCOREBOARD'!$A$21:$A$43,0)))</f>
        <v/>
      </c>
      <c r="K69">
        <f>IF(OR(D69="",H69=0),"",(E69/SUM($E$5:$E$84))*(D69/H69)*(F69/I69-G69/J69))</f>
        <v/>
      </c>
      <c r="L69">
        <f>IF(K69="","",IF(K69&gt;0,"PRIMARY",IF(K69&lt;0,"RUNNER","NEUTRAL")))</f>
        <v/>
      </c>
    </row>
    <row r="70">
      <c r="A70" t="n">
        <v>66</v>
      </c>
      <c r="B70" t="inlineStr">
        <is>
          <t>L12</t>
        </is>
      </c>
      <c r="C70" s="47" t="inlineStr">
        <is>
          <t>一個跨很多單位的方案已經定出大方向時，你比較想負責……</t>
        </is>
      </c>
      <c r="D70">
        <f>'33_RESPONSE_INPUT'!H70</f>
        <v/>
      </c>
      <c r="E70">
        <f>'33_RESPONSE_INPUT'!I70</f>
        <v/>
      </c>
      <c r="F70">
        <f>IF('35_LOCAL_DUEL'!$B$4&lt;&gt;"READY","",INDEX('98_PROD_CODEBOOK_Q'!$C$2:$Y$81,ROW()-4,'35_LOCAL_DUEL'!$B$5))</f>
        <v/>
      </c>
      <c r="G70">
        <f>IF('35_LOCAL_DUEL'!$B$4&lt;&gt;"READY","",INDEX('98_PROD_CODEBOOK_Q'!$C$2:$Y$81,ROW()-4,'35_LOCAL_DUEL'!$B$7))</f>
        <v/>
      </c>
      <c r="H70">
        <f>'33_RESPONSE_INPUT'!M7</f>
        <v/>
      </c>
      <c r="I70">
        <f>IF(F70="","",INDEX('34_SCOREBOARD'!$D$21:$D$43,MATCH('35_LOCAL_DUEL'!$B$5,'34_SCOREBOARD'!$A$21:$A$43,0)))</f>
        <v/>
      </c>
      <c r="J70">
        <f>IF(G70="","",INDEX('34_SCOREBOARD'!$D$21:$D$43,MATCH('35_LOCAL_DUEL'!$B$7,'34_SCOREBOARD'!$A$21:$A$43,0)))</f>
        <v/>
      </c>
      <c r="K70">
        <f>IF(OR(D70="",H70=0),"",(E70/SUM($E$5:$E$84))*(D70/H70)*(F70/I70-G70/J70))</f>
        <v/>
      </c>
      <c r="L70">
        <f>IF(K70="","",IF(K70&gt;0,"PRIMARY",IF(K70&lt;0,"RUNNER","NEUTRAL")))</f>
        <v/>
      </c>
    </row>
    <row r="71">
      <c r="A71" t="n">
        <v>67</v>
      </c>
      <c r="B71" t="inlineStr">
        <is>
          <t>G03</t>
        </is>
      </c>
      <c r="C71" s="47" t="inlineStr">
        <is>
          <t>想改善一個使用起來不太順的空間或服務時，你比較傾向……</t>
        </is>
      </c>
      <c r="D71">
        <f>'33_RESPONSE_INPUT'!H71</f>
        <v/>
      </c>
      <c r="E71">
        <f>'33_RESPONSE_INPUT'!I71</f>
        <v/>
      </c>
      <c r="F71">
        <f>IF('35_LOCAL_DUEL'!$B$4&lt;&gt;"READY","",INDEX('98_PROD_CODEBOOK_Q'!$C$2:$Y$81,ROW()-4,'35_LOCAL_DUEL'!$B$5))</f>
        <v/>
      </c>
      <c r="G71">
        <f>IF('35_LOCAL_DUEL'!$B$4&lt;&gt;"READY","",INDEX('98_PROD_CODEBOOK_Q'!$C$2:$Y$81,ROW()-4,'35_LOCAL_DUEL'!$B$7))</f>
        <v/>
      </c>
      <c r="H71">
        <f>'33_RESPONSE_INPUT'!M7</f>
        <v/>
      </c>
      <c r="I71">
        <f>IF(F71="","",INDEX('34_SCOREBOARD'!$D$21:$D$43,MATCH('35_LOCAL_DUEL'!$B$5,'34_SCOREBOARD'!$A$21:$A$43,0)))</f>
        <v/>
      </c>
      <c r="J71">
        <f>IF(G71="","",INDEX('34_SCOREBOARD'!$D$21:$D$43,MATCH('35_LOCAL_DUEL'!$B$7,'34_SCOREBOARD'!$A$21:$A$43,0)))</f>
        <v/>
      </c>
      <c r="K71">
        <f>IF(OR(D71="",H71=0),"",(E71/SUM($E$5:$E$84))*(D71/H71)*(F71/I71-G71/J71))</f>
        <v/>
      </c>
      <c r="L71">
        <f>IF(K71="","",IF(K71&gt;0,"PRIMARY",IF(K71&lt;0,"RUNNER","NEUTRAL")))</f>
        <v/>
      </c>
    </row>
    <row r="72">
      <c r="A72" t="n">
        <v>68</v>
      </c>
      <c r="B72" t="inlineStr">
        <is>
          <t>L30</t>
        </is>
      </c>
      <c r="C72" s="47" t="inlineStr">
        <is>
          <t>一套重要做法需要長期延續時，你比較在意……</t>
        </is>
      </c>
      <c r="D72">
        <f>'33_RESPONSE_INPUT'!H72</f>
        <v/>
      </c>
      <c r="E72">
        <f>'33_RESPONSE_INPUT'!I72</f>
        <v/>
      </c>
      <c r="F72">
        <f>IF('35_LOCAL_DUEL'!$B$4&lt;&gt;"READY","",INDEX('98_PROD_CODEBOOK_Q'!$C$2:$Y$81,ROW()-4,'35_LOCAL_DUEL'!$B$5))</f>
        <v/>
      </c>
      <c r="G72">
        <f>IF('35_LOCAL_DUEL'!$B$4&lt;&gt;"READY","",INDEX('98_PROD_CODEBOOK_Q'!$C$2:$Y$81,ROW()-4,'35_LOCAL_DUEL'!$B$7))</f>
        <v/>
      </c>
      <c r="H72">
        <f>'33_RESPONSE_INPUT'!M7</f>
        <v/>
      </c>
      <c r="I72">
        <f>IF(F72="","",INDEX('34_SCOREBOARD'!$D$21:$D$43,MATCH('35_LOCAL_DUEL'!$B$5,'34_SCOREBOARD'!$A$21:$A$43,0)))</f>
        <v/>
      </c>
      <c r="J72">
        <f>IF(G72="","",INDEX('34_SCOREBOARD'!$D$21:$D$43,MATCH('35_LOCAL_DUEL'!$B$7,'34_SCOREBOARD'!$A$21:$A$43,0)))</f>
        <v/>
      </c>
      <c r="K72">
        <f>IF(OR(D72="",H72=0),"",(E72/SUM($E$5:$E$84))*(D72/H72)*(F72/I72-G72/J72))</f>
        <v/>
      </c>
      <c r="L72">
        <f>IF(K72="","",IF(K72&gt;0,"PRIMARY",IF(K72&lt;0,"RUNNER","NEUTRAL")))</f>
        <v/>
      </c>
    </row>
    <row r="73">
      <c r="A73" t="n">
        <v>69</v>
      </c>
      <c r="B73" t="inlineStr">
        <is>
          <t>A12</t>
        </is>
      </c>
      <c r="C73" s="47" t="inlineStr">
        <is>
          <t>當同一套規則在不同地方遇到不同例外時，你比較自然會設計哪種做法？</t>
        </is>
      </c>
      <c r="D73">
        <f>'33_RESPONSE_INPUT'!H73</f>
        <v/>
      </c>
      <c r="E73">
        <f>'33_RESPONSE_INPUT'!I73</f>
        <v/>
      </c>
      <c r="F73">
        <f>IF('35_LOCAL_DUEL'!$B$4&lt;&gt;"READY","",INDEX('98_PROD_CODEBOOK_Q'!$C$2:$Y$81,ROW()-4,'35_LOCAL_DUEL'!$B$5))</f>
        <v/>
      </c>
      <c r="G73">
        <f>IF('35_LOCAL_DUEL'!$B$4&lt;&gt;"READY","",INDEX('98_PROD_CODEBOOK_Q'!$C$2:$Y$81,ROW()-4,'35_LOCAL_DUEL'!$B$7))</f>
        <v/>
      </c>
      <c r="H73">
        <f>'33_RESPONSE_INPUT'!M7</f>
        <v/>
      </c>
      <c r="I73">
        <f>IF(F73="","",INDEX('34_SCOREBOARD'!$D$21:$D$43,MATCH('35_LOCAL_DUEL'!$B$5,'34_SCOREBOARD'!$A$21:$A$43,0)))</f>
        <v/>
      </c>
      <c r="J73">
        <f>IF(G73="","",INDEX('34_SCOREBOARD'!$D$21:$D$43,MATCH('35_LOCAL_DUEL'!$B$7,'34_SCOREBOARD'!$A$21:$A$43,0)))</f>
        <v/>
      </c>
      <c r="K73">
        <f>IF(OR(D73="",H73=0),"",(E73/SUM($E$5:$E$84))*(D73/H73)*(F73/I73-G73/J73))</f>
        <v/>
      </c>
      <c r="L73">
        <f>IF(K73="","",IF(K73&gt;0,"PRIMARY",IF(K73&lt;0,"RUNNER","NEUTRAL")))</f>
        <v/>
      </c>
    </row>
    <row r="74">
      <c r="A74" t="n">
        <v>70</v>
      </c>
      <c r="B74" t="inlineStr">
        <is>
          <t>L23</t>
        </is>
      </c>
      <c r="C74" s="47" t="inlineStr">
        <is>
          <t>一個新的合作邀請，需要你決定自己要投入到什麼程度時，你比較傾向……</t>
        </is>
      </c>
      <c r="D74">
        <f>'33_RESPONSE_INPUT'!H74</f>
        <v/>
      </c>
      <c r="E74">
        <f>'33_RESPONSE_INPUT'!I74</f>
        <v/>
      </c>
      <c r="F74">
        <f>IF('35_LOCAL_DUEL'!$B$4&lt;&gt;"READY","",INDEX('98_PROD_CODEBOOK_Q'!$C$2:$Y$81,ROW()-4,'35_LOCAL_DUEL'!$B$5))</f>
        <v/>
      </c>
      <c r="G74">
        <f>IF('35_LOCAL_DUEL'!$B$4&lt;&gt;"READY","",INDEX('98_PROD_CODEBOOK_Q'!$C$2:$Y$81,ROW()-4,'35_LOCAL_DUEL'!$B$7))</f>
        <v/>
      </c>
      <c r="H74">
        <f>'33_RESPONSE_INPUT'!M7</f>
        <v/>
      </c>
      <c r="I74">
        <f>IF(F74="","",INDEX('34_SCOREBOARD'!$D$21:$D$43,MATCH('35_LOCAL_DUEL'!$B$5,'34_SCOREBOARD'!$A$21:$A$43,0)))</f>
        <v/>
      </c>
      <c r="J74">
        <f>IF(G74="","",INDEX('34_SCOREBOARD'!$D$21:$D$43,MATCH('35_LOCAL_DUEL'!$B$7,'34_SCOREBOARD'!$A$21:$A$43,0)))</f>
        <v/>
      </c>
      <c r="K74">
        <f>IF(OR(D74="",H74=0),"",(E74/SUM($E$5:$E$84))*(D74/H74)*(F74/I74-G74/J74))</f>
        <v/>
      </c>
      <c r="L74">
        <f>IF(K74="","",IF(K74&gt;0,"PRIMARY",IF(K74&lt;0,"RUNNER","NEUTRAL")))</f>
        <v/>
      </c>
    </row>
    <row r="75">
      <c r="A75" t="n">
        <v>71</v>
      </c>
      <c r="B75" t="inlineStr">
        <is>
          <t>L10</t>
        </is>
      </c>
      <c r="C75" s="47" t="inlineStr">
        <is>
          <t>一套流程已經穩定運作一段時間後，你比較自然把改進重點放在哪裡？</t>
        </is>
      </c>
      <c r="D75">
        <f>'33_RESPONSE_INPUT'!H75</f>
        <v/>
      </c>
      <c r="E75">
        <f>'33_RESPONSE_INPUT'!I75</f>
        <v/>
      </c>
      <c r="F75">
        <f>IF('35_LOCAL_DUEL'!$B$4&lt;&gt;"READY","",INDEX('98_PROD_CODEBOOK_Q'!$C$2:$Y$81,ROW()-4,'35_LOCAL_DUEL'!$B$5))</f>
        <v/>
      </c>
      <c r="G75">
        <f>IF('35_LOCAL_DUEL'!$B$4&lt;&gt;"READY","",INDEX('98_PROD_CODEBOOK_Q'!$C$2:$Y$81,ROW()-4,'35_LOCAL_DUEL'!$B$7))</f>
        <v/>
      </c>
      <c r="H75">
        <f>'33_RESPONSE_INPUT'!M7</f>
        <v/>
      </c>
      <c r="I75">
        <f>IF(F75="","",INDEX('34_SCOREBOARD'!$D$21:$D$43,MATCH('35_LOCAL_DUEL'!$B$5,'34_SCOREBOARD'!$A$21:$A$43,0)))</f>
        <v/>
      </c>
      <c r="J75">
        <f>IF(G75="","",INDEX('34_SCOREBOARD'!$D$21:$D$43,MATCH('35_LOCAL_DUEL'!$B$7,'34_SCOREBOARD'!$A$21:$A$43,0)))</f>
        <v/>
      </c>
      <c r="K75">
        <f>IF(OR(D75="",H75=0),"",(E75/SUM($E$5:$E$84))*(D75/H75)*(F75/I75-G75/J75))</f>
        <v/>
      </c>
      <c r="L75">
        <f>IF(K75="","",IF(K75&gt;0,"PRIMARY",IF(K75&lt;0,"RUNNER","NEUTRAL")))</f>
        <v/>
      </c>
    </row>
    <row r="76">
      <c r="A76" t="n">
        <v>72</v>
      </c>
      <c r="B76" t="inlineStr">
        <is>
          <t>L13</t>
        </is>
      </c>
      <c r="C76" s="47" t="inlineStr">
        <is>
          <t>要把一個新的固定活動建立起來時，你比較自然會……</t>
        </is>
      </c>
      <c r="D76">
        <f>'33_RESPONSE_INPUT'!H76</f>
        <v/>
      </c>
      <c r="E76">
        <f>'33_RESPONSE_INPUT'!I76</f>
        <v/>
      </c>
      <c r="F76">
        <f>IF('35_LOCAL_DUEL'!$B$4&lt;&gt;"READY","",INDEX('98_PROD_CODEBOOK_Q'!$C$2:$Y$81,ROW()-4,'35_LOCAL_DUEL'!$B$5))</f>
        <v/>
      </c>
      <c r="G76">
        <f>IF('35_LOCAL_DUEL'!$B$4&lt;&gt;"READY","",INDEX('98_PROD_CODEBOOK_Q'!$C$2:$Y$81,ROW()-4,'35_LOCAL_DUEL'!$B$7))</f>
        <v/>
      </c>
      <c r="H76">
        <f>'33_RESPONSE_INPUT'!M7</f>
        <v/>
      </c>
      <c r="I76">
        <f>IF(F76="","",INDEX('34_SCOREBOARD'!$D$21:$D$43,MATCH('35_LOCAL_DUEL'!$B$5,'34_SCOREBOARD'!$A$21:$A$43,0)))</f>
        <v/>
      </c>
      <c r="J76">
        <f>IF(G76="","",INDEX('34_SCOREBOARD'!$D$21:$D$43,MATCH('35_LOCAL_DUEL'!$B$7,'34_SCOREBOARD'!$A$21:$A$43,0)))</f>
        <v/>
      </c>
      <c r="K76">
        <f>IF(OR(D76="",H76=0),"",(E76/SUM($E$5:$E$84))*(D76/H76)*(F76/I76-G76/J76))</f>
        <v/>
      </c>
      <c r="L76">
        <f>IF(K76="","",IF(K76&gt;0,"PRIMARY",IF(K76&lt;0,"RUNNER","NEUTRAL")))</f>
        <v/>
      </c>
    </row>
    <row r="77">
      <c r="A77" t="n">
        <v>73</v>
      </c>
      <c r="B77" t="inlineStr">
        <is>
          <t>L22</t>
        </is>
      </c>
      <c r="C77" s="47" t="inlineStr">
        <is>
          <t>面對一件需要被保護、而且有很多人參與的事情時，你比較傾向……</t>
        </is>
      </c>
      <c r="D77">
        <f>'33_RESPONSE_INPUT'!H77</f>
        <v/>
      </c>
      <c r="E77">
        <f>'33_RESPONSE_INPUT'!I77</f>
        <v/>
      </c>
      <c r="F77">
        <f>IF('35_LOCAL_DUEL'!$B$4&lt;&gt;"READY","",INDEX('98_PROD_CODEBOOK_Q'!$C$2:$Y$81,ROW()-4,'35_LOCAL_DUEL'!$B$5))</f>
        <v/>
      </c>
      <c r="G77">
        <f>IF('35_LOCAL_DUEL'!$B$4&lt;&gt;"READY","",INDEX('98_PROD_CODEBOOK_Q'!$C$2:$Y$81,ROW()-4,'35_LOCAL_DUEL'!$B$7))</f>
        <v/>
      </c>
      <c r="H77">
        <f>'33_RESPONSE_INPUT'!M7</f>
        <v/>
      </c>
      <c r="I77">
        <f>IF(F77="","",INDEX('34_SCOREBOARD'!$D$21:$D$43,MATCH('35_LOCAL_DUEL'!$B$5,'34_SCOREBOARD'!$A$21:$A$43,0)))</f>
        <v/>
      </c>
      <c r="J77">
        <f>IF(G77="","",INDEX('34_SCOREBOARD'!$D$21:$D$43,MATCH('35_LOCAL_DUEL'!$B$7,'34_SCOREBOARD'!$A$21:$A$43,0)))</f>
        <v/>
      </c>
      <c r="K77">
        <f>IF(OR(D77="",H77=0),"",(E77/SUM($E$5:$E$84))*(D77/H77)*(F77/I77-G77/J77))</f>
        <v/>
      </c>
      <c r="L77">
        <f>IF(K77="","",IF(K77&gt;0,"PRIMARY",IF(K77&lt;0,"RUNNER","NEUTRAL")))</f>
        <v/>
      </c>
    </row>
    <row r="78">
      <c r="A78" t="n">
        <v>74</v>
      </c>
      <c r="B78" t="inlineStr">
        <is>
          <t>L38</t>
        </is>
      </c>
      <c r="C78" s="47" t="inlineStr">
        <is>
          <t>如果你想改善自己長期生活的一個地方，你比較自然會從哪裡開始？</t>
        </is>
      </c>
      <c r="D78">
        <f>'33_RESPONSE_INPUT'!H78</f>
        <v/>
      </c>
      <c r="E78">
        <f>'33_RESPONSE_INPUT'!I78</f>
        <v/>
      </c>
      <c r="F78">
        <f>IF('35_LOCAL_DUEL'!$B$4&lt;&gt;"READY","",INDEX('98_PROD_CODEBOOK_Q'!$C$2:$Y$81,ROW()-4,'35_LOCAL_DUEL'!$B$5))</f>
        <v/>
      </c>
      <c r="G78">
        <f>IF('35_LOCAL_DUEL'!$B$4&lt;&gt;"READY","",INDEX('98_PROD_CODEBOOK_Q'!$C$2:$Y$81,ROW()-4,'35_LOCAL_DUEL'!$B$7))</f>
        <v/>
      </c>
      <c r="H78">
        <f>'33_RESPONSE_INPUT'!M7</f>
        <v/>
      </c>
      <c r="I78">
        <f>IF(F78="","",INDEX('34_SCOREBOARD'!$D$21:$D$43,MATCH('35_LOCAL_DUEL'!$B$5,'34_SCOREBOARD'!$A$21:$A$43,0)))</f>
        <v/>
      </c>
      <c r="J78">
        <f>IF(G78="","",INDEX('34_SCOREBOARD'!$D$21:$D$43,MATCH('35_LOCAL_DUEL'!$B$7,'34_SCOREBOARD'!$A$21:$A$43,0)))</f>
        <v/>
      </c>
      <c r="K78">
        <f>IF(OR(D78="",H78=0),"",(E78/SUM($E$5:$E$84))*(D78/H78)*(F78/I78-G78/J78))</f>
        <v/>
      </c>
      <c r="L78">
        <f>IF(K78="","",IF(K78&gt;0,"PRIMARY",IF(K78&lt;0,"RUNNER","NEUTRAL")))</f>
        <v/>
      </c>
    </row>
    <row r="79">
      <c r="A79" t="n">
        <v>75</v>
      </c>
      <c r="B79" t="inlineStr">
        <is>
          <t>A08</t>
        </is>
      </c>
      <c r="C79" s="47" t="inlineStr">
        <is>
          <t>當一個共同方向已經存在，但參與者的需要一直在改變時，你比較自然會……</t>
        </is>
      </c>
      <c r="D79">
        <f>'33_RESPONSE_INPUT'!H79</f>
        <v/>
      </c>
      <c r="E79">
        <f>'33_RESPONSE_INPUT'!I79</f>
        <v/>
      </c>
      <c r="F79">
        <f>IF('35_LOCAL_DUEL'!$B$4&lt;&gt;"READY","",INDEX('98_PROD_CODEBOOK_Q'!$C$2:$Y$81,ROW()-4,'35_LOCAL_DUEL'!$B$5))</f>
        <v/>
      </c>
      <c r="G79">
        <f>IF('35_LOCAL_DUEL'!$B$4&lt;&gt;"READY","",INDEX('98_PROD_CODEBOOK_Q'!$C$2:$Y$81,ROW()-4,'35_LOCAL_DUEL'!$B$7))</f>
        <v/>
      </c>
      <c r="H79">
        <f>'33_RESPONSE_INPUT'!M7</f>
        <v/>
      </c>
      <c r="I79">
        <f>IF(F79="","",INDEX('34_SCOREBOARD'!$D$21:$D$43,MATCH('35_LOCAL_DUEL'!$B$5,'34_SCOREBOARD'!$A$21:$A$43,0)))</f>
        <v/>
      </c>
      <c r="J79">
        <f>IF(G79="","",INDEX('34_SCOREBOARD'!$D$21:$D$43,MATCH('35_LOCAL_DUEL'!$B$7,'34_SCOREBOARD'!$A$21:$A$43,0)))</f>
        <v/>
      </c>
      <c r="K79">
        <f>IF(OR(D79="",H79=0),"",(E79/SUM($E$5:$E$84))*(D79/H79)*(F79/I79-G79/J79))</f>
        <v/>
      </c>
      <c r="L79">
        <f>IF(K79="","",IF(K79&gt;0,"PRIMARY",IF(K79&lt;0,"RUNNER","NEUTRAL")))</f>
        <v/>
      </c>
    </row>
    <row r="80">
      <c r="A80" t="n">
        <v>76</v>
      </c>
      <c r="B80" t="inlineStr">
        <is>
          <t>L08</t>
        </is>
      </c>
      <c r="C80" s="47" t="inlineStr">
        <is>
          <t>如果有兩個同樣吸引你的自由選擇，你比較容易被哪一種吸引？</t>
        </is>
      </c>
      <c r="D80">
        <f>'33_RESPONSE_INPUT'!H80</f>
        <v/>
      </c>
      <c r="E80">
        <f>'33_RESPONSE_INPUT'!I80</f>
        <v/>
      </c>
      <c r="F80">
        <f>IF('35_LOCAL_DUEL'!$B$4&lt;&gt;"READY","",INDEX('98_PROD_CODEBOOK_Q'!$C$2:$Y$81,ROW()-4,'35_LOCAL_DUEL'!$B$5))</f>
        <v/>
      </c>
      <c r="G80">
        <f>IF('35_LOCAL_DUEL'!$B$4&lt;&gt;"READY","",INDEX('98_PROD_CODEBOOK_Q'!$C$2:$Y$81,ROW()-4,'35_LOCAL_DUEL'!$B$7))</f>
        <v/>
      </c>
      <c r="H80">
        <f>'33_RESPONSE_INPUT'!M7</f>
        <v/>
      </c>
      <c r="I80">
        <f>IF(F80="","",INDEX('34_SCOREBOARD'!$D$21:$D$43,MATCH('35_LOCAL_DUEL'!$B$5,'34_SCOREBOARD'!$A$21:$A$43,0)))</f>
        <v/>
      </c>
      <c r="J80">
        <f>IF(G80="","",INDEX('34_SCOREBOARD'!$D$21:$D$43,MATCH('35_LOCAL_DUEL'!$B$7,'34_SCOREBOARD'!$A$21:$A$43,0)))</f>
        <v/>
      </c>
      <c r="K80">
        <f>IF(OR(D80="",H80=0),"",(E80/SUM($E$5:$E$84))*(D80/H80)*(F80/I80-G80/J80))</f>
        <v/>
      </c>
      <c r="L80">
        <f>IF(K80="","",IF(K80&gt;0,"PRIMARY",IF(K80&lt;0,"RUNNER","NEUTRAL")))</f>
        <v/>
      </c>
    </row>
    <row r="81">
      <c r="A81" t="n">
        <v>77</v>
      </c>
      <c r="B81" t="inlineStr">
        <is>
          <t>L17</t>
        </is>
      </c>
      <c r="C81" s="47" t="inlineStr">
        <is>
          <t>當一個明確的阻礙擋住正在進行的事情時，你比較自然怎麼處理？</t>
        </is>
      </c>
      <c r="D81">
        <f>'33_RESPONSE_INPUT'!H81</f>
        <v/>
      </c>
      <c r="E81">
        <f>'33_RESPONSE_INPUT'!I81</f>
        <v/>
      </c>
      <c r="F81">
        <f>IF('35_LOCAL_DUEL'!$B$4&lt;&gt;"READY","",INDEX('98_PROD_CODEBOOK_Q'!$C$2:$Y$81,ROW()-4,'35_LOCAL_DUEL'!$B$5))</f>
        <v/>
      </c>
      <c r="G81">
        <f>IF('35_LOCAL_DUEL'!$B$4&lt;&gt;"READY","",INDEX('98_PROD_CODEBOOK_Q'!$C$2:$Y$81,ROW()-4,'35_LOCAL_DUEL'!$B$7))</f>
        <v/>
      </c>
      <c r="H81">
        <f>'33_RESPONSE_INPUT'!M7</f>
        <v/>
      </c>
      <c r="I81">
        <f>IF(F81="","",INDEX('34_SCOREBOARD'!$D$21:$D$43,MATCH('35_LOCAL_DUEL'!$B$5,'34_SCOREBOARD'!$A$21:$A$43,0)))</f>
        <v/>
      </c>
      <c r="J81">
        <f>IF(G81="","",INDEX('34_SCOREBOARD'!$D$21:$D$43,MATCH('35_LOCAL_DUEL'!$B$7,'34_SCOREBOARD'!$A$21:$A$43,0)))</f>
        <v/>
      </c>
      <c r="K81">
        <f>IF(OR(D81="",H81=0),"",(E81/SUM($E$5:$E$84))*(D81/H81)*(F81/I81-G81/J81))</f>
        <v/>
      </c>
      <c r="L81">
        <f>IF(K81="","",IF(K81&gt;0,"PRIMARY",IF(K81&lt;0,"RUNNER","NEUTRAL")))</f>
        <v/>
      </c>
    </row>
    <row r="82">
      <c r="A82" t="n">
        <v>78</v>
      </c>
      <c r="B82" t="inlineStr">
        <is>
          <t>L20</t>
        </is>
      </c>
      <c r="C82" s="47" t="inlineStr">
        <is>
          <t>當外在條件改變，讓你重新決定自己要不要繼續參與時，你比較傾向……</t>
        </is>
      </c>
      <c r="D82">
        <f>'33_RESPONSE_INPUT'!H82</f>
        <v/>
      </c>
      <c r="E82">
        <f>'33_RESPONSE_INPUT'!I82</f>
        <v/>
      </c>
      <c r="F82">
        <f>IF('35_LOCAL_DUEL'!$B$4&lt;&gt;"READY","",INDEX('98_PROD_CODEBOOK_Q'!$C$2:$Y$81,ROW()-4,'35_LOCAL_DUEL'!$B$5))</f>
        <v/>
      </c>
      <c r="G82">
        <f>IF('35_LOCAL_DUEL'!$B$4&lt;&gt;"READY","",INDEX('98_PROD_CODEBOOK_Q'!$C$2:$Y$81,ROW()-4,'35_LOCAL_DUEL'!$B$7))</f>
        <v/>
      </c>
      <c r="H82">
        <f>'33_RESPONSE_INPUT'!M7</f>
        <v/>
      </c>
      <c r="I82">
        <f>IF(F82="","",INDEX('34_SCOREBOARD'!$D$21:$D$43,MATCH('35_LOCAL_DUEL'!$B$5,'34_SCOREBOARD'!$A$21:$A$43,0)))</f>
        <v/>
      </c>
      <c r="J82">
        <f>IF(G82="","",INDEX('34_SCOREBOARD'!$D$21:$D$43,MATCH('35_LOCAL_DUEL'!$B$7,'34_SCOREBOARD'!$A$21:$A$43,0)))</f>
        <v/>
      </c>
      <c r="K82">
        <f>IF(OR(D82="",H82=0),"",(E82/SUM($E$5:$E$84))*(D82/H82)*(F82/I82-G82/J82))</f>
        <v/>
      </c>
      <c r="L82">
        <f>IF(K82="","",IF(K82&gt;0,"PRIMARY",IF(K82&lt;0,"RUNNER","NEUTRAL")))</f>
        <v/>
      </c>
    </row>
    <row r="83">
      <c r="A83" t="n">
        <v>79</v>
      </c>
      <c r="B83" t="inlineStr">
        <is>
          <t>L09</t>
        </is>
      </c>
      <c r="C83" s="47" t="inlineStr">
        <is>
          <t>當你進入一個自由度很高、但做法還不太成形的計畫時，你最容易被哪種工作吸引？</t>
        </is>
      </c>
      <c r="D83">
        <f>'33_RESPONSE_INPUT'!H83</f>
        <v/>
      </c>
      <c r="E83">
        <f>'33_RESPONSE_INPUT'!I83</f>
        <v/>
      </c>
      <c r="F83">
        <f>IF('35_LOCAL_DUEL'!$B$4&lt;&gt;"READY","",INDEX('98_PROD_CODEBOOK_Q'!$C$2:$Y$81,ROW()-4,'35_LOCAL_DUEL'!$B$5))</f>
        <v/>
      </c>
      <c r="G83">
        <f>IF('35_LOCAL_DUEL'!$B$4&lt;&gt;"READY","",INDEX('98_PROD_CODEBOOK_Q'!$C$2:$Y$81,ROW()-4,'35_LOCAL_DUEL'!$B$7))</f>
        <v/>
      </c>
      <c r="H83">
        <f>'33_RESPONSE_INPUT'!M7</f>
        <v/>
      </c>
      <c r="I83">
        <f>IF(F83="","",INDEX('34_SCOREBOARD'!$D$21:$D$43,MATCH('35_LOCAL_DUEL'!$B$5,'34_SCOREBOARD'!$A$21:$A$43,0)))</f>
        <v/>
      </c>
      <c r="J83">
        <f>IF(G83="","",INDEX('34_SCOREBOARD'!$D$21:$D$43,MATCH('35_LOCAL_DUEL'!$B$7,'34_SCOREBOARD'!$A$21:$A$43,0)))</f>
        <v/>
      </c>
      <c r="K83">
        <f>IF(OR(D83="",H83=0),"",(E83/SUM($E$5:$E$84))*(D83/H83)*(F83/I83-G83/J83))</f>
        <v/>
      </c>
      <c r="L83">
        <f>IF(K83="","",IF(K83&gt;0,"PRIMARY",IF(K83&lt;0,"RUNNER","NEUTRAL")))</f>
        <v/>
      </c>
    </row>
    <row r="84">
      <c r="A84" t="n">
        <v>80</v>
      </c>
      <c r="B84" t="inlineStr">
        <is>
          <t>A06</t>
        </is>
      </c>
      <c r="C84" s="47" t="inlineStr">
        <is>
          <t>當一個空間裡的互動開始變淡、彼此距離也增加時，你比較傾向先……</t>
        </is>
      </c>
      <c r="D84">
        <f>'33_RESPONSE_INPUT'!H84</f>
        <v/>
      </c>
      <c r="E84">
        <f>'33_RESPONSE_INPUT'!I84</f>
        <v/>
      </c>
      <c r="F84">
        <f>IF('35_LOCAL_DUEL'!$B$4&lt;&gt;"READY","",INDEX('98_PROD_CODEBOOK_Q'!$C$2:$Y$81,ROW()-4,'35_LOCAL_DUEL'!$B$5))</f>
        <v/>
      </c>
      <c r="G84">
        <f>IF('35_LOCAL_DUEL'!$B$4&lt;&gt;"READY","",INDEX('98_PROD_CODEBOOK_Q'!$C$2:$Y$81,ROW()-4,'35_LOCAL_DUEL'!$B$7))</f>
        <v/>
      </c>
      <c r="H84">
        <f>'33_RESPONSE_INPUT'!M7</f>
        <v/>
      </c>
      <c r="I84">
        <f>IF(F84="","",INDEX('34_SCOREBOARD'!$D$21:$D$43,MATCH('35_LOCAL_DUEL'!$B$5,'34_SCOREBOARD'!$A$21:$A$43,0)))</f>
        <v/>
      </c>
      <c r="J84">
        <f>IF(G84="","",INDEX('34_SCOREBOARD'!$D$21:$D$43,MATCH('35_LOCAL_DUEL'!$B$7,'34_SCOREBOARD'!$A$21:$A$43,0)))</f>
        <v/>
      </c>
      <c r="K84">
        <f>IF(OR(D84="",H84=0),"",(E84/SUM($E$5:$E$84))*(D84/H84)*(F84/I84-G84/J84))</f>
        <v/>
      </c>
      <c r="L84">
        <f>IF(K84="","",IF(K84&gt;0,"PRIMARY",IF(K84&lt;0,"RUNNER","NEUTRAL")))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  <col width="70" customWidth="1" min="4" max="4"/>
    <col width="35" customWidth="1" min="5" max="5"/>
  </cols>
  <sheetData>
    <row r="1" ht="30" customHeight="1">
      <c r="A1" s="44" t="inlineStr">
        <is>
          <t>37 — Web / Backend Scoring Contract</t>
        </is>
      </c>
    </row>
    <row r="2" ht="34" customHeight="1">
      <c r="A2" s="45" t="inlineStr">
        <is>
          <t>Single source of truth for implementation. Do not infer alternative scoring behavior from UI copy.</t>
        </is>
      </c>
    </row>
    <row r="3"/>
    <row r="4">
      <c r="A4" s="46" t="inlineStr">
        <is>
          <t>Component</t>
        </is>
      </c>
      <c r="B4" s="46" t="inlineStr">
        <is>
          <t>Frozen rule</t>
        </is>
      </c>
      <c r="C4" s="46" t="inlineStr">
        <is>
          <t>Implementation detail</t>
        </is>
      </c>
      <c r="D4" s="46" t="inlineStr">
        <is>
          <t>Failure / edge handling</t>
        </is>
      </c>
      <c r="E4" s="46" t="inlineStr">
        <is>
          <t>External display</t>
        </is>
      </c>
    </row>
    <row r="5" ht="65" customHeight="1">
      <c r="A5" s="47" t="inlineStr">
        <is>
          <t>Model/version</t>
        </is>
      </c>
      <c r="B5" s="47" t="inlineStr">
        <is>
          <t>starseed-v4.4-phase6b-prod-20260905</t>
        </is>
      </c>
      <c r="C5" s="47" t="inlineStr">
        <is>
          <t>Persist model version with every completed response set.</t>
        </is>
      </c>
      <c r="D5" s="47" t="inlineStr">
        <is>
          <t>Never mix codebooks/weights across versions.</t>
        </is>
      </c>
      <c r="E5" s="47" t="inlineStr">
        <is>
          <t>Optional technical info.</t>
        </is>
      </c>
    </row>
    <row r="6" ht="65" customHeight="1">
      <c r="A6" s="47" t="inlineStr">
        <is>
          <t>Input schema</t>
        </is>
      </c>
      <c r="B6" s="47" t="inlineStr">
        <is>
          <t>Exactly 80 raw integers in Q1…Q80 order</t>
        </is>
      </c>
      <c r="C6" s="47" t="inlineStr">
        <is>
          <t>Each raw ∈ {-3,-2,-1,0,1,2,3}.</t>
        </is>
      </c>
      <c r="D6" s="47" t="inlineStr">
        <is>
          <t>Reject missing/out-of-range/non-integer input.</t>
        </is>
      </c>
      <c r="E6" s="47" t="inlineStr">
        <is>
          <t>Question UI only.</t>
        </is>
      </c>
    </row>
    <row r="7" ht="65" customHeight="1">
      <c r="A7" s="47" t="inlineStr">
        <is>
          <t>Canonical transform</t>
        </is>
      </c>
      <c r="B7" s="47" t="inlineStr">
        <is>
          <t>x_j = raw_j × key_j</t>
        </is>
      </c>
      <c r="C7" s="47" t="inlineStr">
        <is>
          <t>Use frozen key vector; never expose keys.</t>
        </is>
      </c>
      <c r="D7" s="47" t="inlineStr">
        <is>
          <t>Import must recalculate from raw answers, not trust imported canonical/results.</t>
        </is>
      </c>
      <c r="E7" s="47" t="inlineStr">
        <is>
          <t>Hidden.</t>
        </is>
      </c>
    </row>
    <row r="8" ht="65" customHeight="1">
      <c r="A8" s="47" t="inlineStr">
        <is>
          <t>Complete zero vector</t>
        </is>
      </c>
      <c r="B8" s="47" t="inlineStr">
        <is>
          <t>If Σw_j x_j² = 0 → ZERO_VECTOR</t>
        </is>
      </c>
      <c r="C8" s="47" t="inlineStr">
        <is>
          <t>Do not calculate cosine/Primary.</t>
        </is>
      </c>
      <c r="D8" s="47" t="inlineStr">
        <is>
          <t>Ask user to express at least one non-zero preference; never default to Earth or smallest-norm class.</t>
        </is>
      </c>
      <c r="E8" s="47" t="inlineStr">
        <is>
          <t>No result until resolved.</t>
        </is>
      </c>
    </row>
    <row r="9" ht="65" customHeight="1">
      <c r="A9" s="47" t="inlineStr">
        <is>
          <t>Weighted norm</t>
        </is>
      </c>
      <c r="B9" s="47" t="inlineStr">
        <is>
          <t>n(x)=sqrt(Σw x² / 80)</t>
        </is>
      </c>
      <c r="C9" s="47" t="inlineStr">
        <is>
          <t>Weight sum is frozen at 80.</t>
        </is>
      </c>
      <c r="D9" s="47" t="inlineStr">
        <is>
          <t>Only defined for nonzero vector.</t>
        </is>
      </c>
      <c r="E9" s="47" t="inlineStr">
        <is>
          <t>Hidden.</t>
        </is>
      </c>
    </row>
    <row r="10" ht="65" customHeight="1">
      <c r="A10" s="47" t="inlineStr">
        <is>
          <t>Similarity</t>
        </is>
      </c>
      <c r="B10" s="47" t="inlineStr">
        <is>
          <t>s_l=(Σw x c_l /80)/(n(x)n(c_l))</t>
        </is>
      </c>
      <c r="C10" s="47" t="inlineStr">
        <is>
          <t>Use full-precision float64-equivalent arithmetic where available.</t>
        </is>
      </c>
      <c r="D10" s="47" t="inlineStr">
        <is>
          <t>Clamp only chord radicand for numerical safety, not cosine ranking.</t>
        </is>
      </c>
      <c r="E10" s="47" t="inlineStr">
        <is>
          <t>Scores may appear in advanced analysis.</t>
        </is>
      </c>
    </row>
    <row r="11" ht="65" customHeight="1">
      <c r="A11" s="47" t="inlineStr">
        <is>
          <t>Primary</t>
        </is>
      </c>
      <c r="B11" s="47" t="inlineStr">
        <is>
          <t>Highest full-precision cosine score</t>
        </is>
      </c>
      <c r="C11" s="47" t="inlineStr">
        <is>
          <t>Primary is the only lineage result label.</t>
        </is>
      </c>
      <c r="D11" s="47" t="inlineStr">
        <is>
          <t>Tie group: s_l ≥ max(s)−1e−12; choose lowest canonical lineage ID only as deterministic last resort.</t>
        </is>
      </c>
      <c r="E11" s="47" t="inlineStr">
        <is>
          <t>Show one Primary.</t>
        </is>
      </c>
    </row>
    <row r="12" ht="65" customHeight="1">
      <c r="A12" s="47" t="inlineStr">
        <is>
          <t>Runner</t>
        </is>
      </c>
      <c r="B12" s="47" t="inlineStr">
        <is>
          <t>Highest raw score excluding Primary</t>
        </is>
      </c>
      <c r="C12" s="47" t="inlineStr">
        <is>
          <t>Analytical comparator only.</t>
        </is>
      </c>
      <c r="D12" s="47" t="inlineStr">
        <is>
          <t>Never label as secondary lineage.</t>
        </is>
      </c>
      <c r="E12" s="47" t="inlineStr">
        <is>
          <t>Advanced analysis only.</t>
        </is>
      </c>
    </row>
    <row r="13" ht="65" customHeight="1">
      <c r="A13" s="47" t="inlineStr">
        <is>
          <t>Decision gap</t>
        </is>
      </c>
      <c r="B13" s="47" t="inlineStr">
        <is>
          <t>0 if |Primary−Runner raw score|≤1e−12, else Primary−Runner</t>
        </is>
      </c>
      <c r="C13" s="47" t="inlineStr">
        <is>
          <t>Separates deterministic tie selection from evidence margin.</t>
        </is>
      </c>
      <c r="D13" s="47" t="inlineStr">
        <is>
          <t>Tie/near-tie → boundary gap 0.</t>
        </is>
      </c>
      <c r="E13" s="47" t="inlineStr">
        <is>
          <t>Optional advanced data.</t>
        </is>
      </c>
    </row>
    <row r="14" ht="65" customHeight="1">
      <c r="A14" s="47" t="inlineStr">
        <is>
          <t>Local duel</t>
        </is>
      </c>
      <c r="B14" s="47" t="inlineStr">
        <is>
          <t>rho=cos(c1,c2); delta=sqrt(2(1−rho)); M=gap/delta; S=gap/(1−rho)</t>
        </is>
      </c>
      <c r="C14" s="47" t="inlineStr">
        <is>
          <t>Use decision gap for M/S.</t>
        </is>
      </c>
      <c r="D14" s="47" t="inlineStr">
        <is>
          <t>If tie gap=0; if degenerate rho=1 guard division.</t>
        </is>
      </c>
      <c r="E14" s="47" t="inlineStr">
        <is>
          <t>Advanced only.</t>
        </is>
      </c>
    </row>
    <row r="15" ht="65" customHeight="1">
      <c r="A15" s="47" t="inlineStr">
        <is>
          <t>Explanation</t>
        </is>
      </c>
      <c r="B15" s="47" t="inlineStr">
        <is>
          <t>contrib_j=(w_j/80)(x_j/nx)(c1j/n1−c2j/n2)</t>
        </is>
      </c>
      <c r="C15" s="47" t="inlineStr">
        <is>
          <t>Sum contributions equals raw Primary−Runner score difference.</t>
        </is>
      </c>
      <c r="D15" s="47" t="inlineStr">
        <is>
          <t>If ZERO_VECTOR/incomplete, no explanation.</t>
        </is>
      </c>
      <c r="E15" s="47" t="inlineStr">
        <is>
          <t>Optional evidence visualization.</t>
        </is>
      </c>
    </row>
    <row r="16" ht="65" customHeight="1">
      <c r="A16" s="47" t="inlineStr">
        <is>
          <t>Export/import</t>
        </is>
      </c>
      <c r="B16" s="47" t="inlineStr">
        <is>
          <t>Store raw 80 answers + model version; recalculate everything on import</t>
        </is>
      </c>
      <c r="C16" s="47" t="inlineStr">
        <is>
          <t>Do not trust claimed imported Primary/scores.</t>
        </is>
      </c>
      <c r="D16" s="47" t="inlineStr">
        <is>
          <t>Schema/version mismatch → reject or explicit migration.</t>
        </is>
      </c>
      <c r="E16" s="47" t="inlineStr">
        <is>
          <t>User may export/import answers.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22" customWidth="1" min="3" max="3"/>
    <col width="12" customWidth="1" min="4" max="4"/>
    <col width="90" customWidth="1" min="5" max="5"/>
  </cols>
  <sheetData>
    <row r="1" ht="30" customHeight="1">
      <c r="A1" s="44" t="inlineStr">
        <is>
          <t>38 — Production Engine QA — scoring constants unchanged for v4.4</t>
        </is>
      </c>
    </row>
    <row r="2" ht="34" customHeight="1">
      <c r="A2" s="45" t="inlineStr">
        <is>
          <t>Scoring constants are byte-for-byte/value-identical to the v4.1 frozen engine; core geometry and robustness rechecked after the 80-item wording redesign.</t>
        </is>
      </c>
    </row>
    <row r="3"/>
    <row r="4">
      <c r="A4" s="46" t="inlineStr">
        <is>
          <t>Metric</t>
        </is>
      </c>
      <c r="B4" s="46" t="inlineStr">
        <is>
          <t>Verified result</t>
        </is>
      </c>
      <c r="C4" s="46" t="inlineStr">
        <is>
          <t>Gate</t>
        </is>
      </c>
      <c r="D4" s="46" t="inlineStr">
        <is>
          <t>Status</t>
        </is>
      </c>
      <c r="E4" s="46" t="inlineStr">
        <is>
          <t>Detail</t>
        </is>
      </c>
    </row>
    <row r="5">
      <c r="A5" s="47" t="inlineStr">
        <is>
          <t>Natural wording redesign</t>
        </is>
      </c>
      <c r="B5" s="47" t="inlineStr">
        <is>
          <t>80/80</t>
        </is>
      </c>
      <c r="C5" s="47" t="inlineStr">
        <is>
          <t>80/80</t>
        </is>
      </c>
      <c r="D5" s="54" t="inlineStr">
        <is>
          <t>PASS</t>
        </is>
      </c>
      <c r="E5" s="47" t="inlineStr">
        <is>
          <t>All respondent-facing stems/options rewritten; keys/codebook/weights unchanged.</t>
        </is>
      </c>
    </row>
    <row r="6">
      <c r="A6" s="47" t="inlineStr">
        <is>
          <t>Prototype self-classification</t>
        </is>
      </c>
      <c r="B6" s="47" t="inlineStr">
        <is>
          <t>23/23</t>
        </is>
      </c>
      <c r="C6" s="47" t="inlineStr">
        <is>
          <t>23/23</t>
        </is>
      </c>
      <c r="D6" s="54" t="inlineStr">
        <is>
          <t>PASS</t>
        </is>
      </c>
      <c r="E6" s="47" t="inlineStr">
        <is>
          <t>Weighted cosine.</t>
        </is>
      </c>
    </row>
    <row r="7">
      <c r="A7" s="47" t="inlineStr">
        <is>
          <t>Min weighted angular chord</t>
        </is>
      </c>
      <c r="B7" s="47" t="n">
        <v>0.6045865669458961</v>
      </c>
      <c r="C7" s="47" t="inlineStr">
        <is>
          <t>&gt;0</t>
        </is>
      </c>
      <c r="D7" s="54" t="inlineStr">
        <is>
          <t>PASS</t>
        </is>
      </c>
      <c r="E7" s="47" t="inlineStr">
        <is>
          <t>Draconian ↔ Anunnaki / Nibiruan</t>
        </is>
      </c>
    </row>
    <row r="8">
      <c r="A8" s="47" t="inlineStr">
        <is>
          <t>Median weighted angular chord</t>
        </is>
      </c>
      <c r="B8" s="47" t="n">
        <v>1.260257340855912</v>
      </c>
      <c r="C8" s="47" t="inlineStr">
        <is>
          <t>INFO</t>
        </is>
      </c>
      <c r="D8" s="55" t="inlineStr">
        <is>
          <t>INFO</t>
        </is>
      </c>
      <c r="E8" s="47" t="inlineStr">
        <is>
          <t>253 pairs.</t>
        </is>
      </c>
    </row>
    <row r="9">
      <c r="A9" s="47" t="inlineStr">
        <is>
          <t>High-risk direct-code gates</t>
        </is>
      </c>
      <c r="B9" s="47" t="inlineStr">
        <is>
          <t>28/28</t>
        </is>
      </c>
      <c r="C9" s="47" t="inlineStr">
        <is>
          <t>28/28</t>
        </is>
      </c>
      <c r="D9" s="54" t="inlineStr">
        <is>
          <t>PASS</t>
        </is>
      </c>
      <c r="E9" s="47" t="inlineStr">
        <is>
          <t>CRITICAL/SEVERE/HIGH from frozen v4 codebook audit.</t>
        </is>
      </c>
    </row>
    <row r="10">
      <c r="A10" s="47" t="inlineStr">
        <is>
          <t>Continuous amplitude</t>
        </is>
      </c>
      <c r="B10" s="47" t="inlineStr">
        <is>
          <t>25%:23/23 / 50%:23/23 / 75%:23/23 / 100%:23/23</t>
        </is>
      </c>
      <c r="C10" s="47" t="inlineStr">
        <is>
          <t>23 each</t>
        </is>
      </c>
      <c r="D10" s="54" t="inlineStr">
        <is>
          <t>PASS</t>
        </is>
      </c>
      <c r="E10" s="47" t="inlineStr">
        <is>
          <t>Positive rescaling.</t>
        </is>
      </c>
    </row>
    <row r="11">
      <c r="A11" s="47" t="inlineStr">
        <is>
          <t>Quantized amplitude</t>
        </is>
      </c>
      <c r="B11" s="47" t="inlineStr">
        <is>
          <t>25%:23/23 / 50%:23/23 / 75%:23/23 / 100%:23/23</t>
        </is>
      </c>
      <c r="C11" s="47" t="inlineStr">
        <is>
          <t>23 each</t>
        </is>
      </c>
      <c r="D11" s="54" t="inlineStr">
        <is>
          <t>PASS</t>
        </is>
      </c>
      <c r="E11" s="47" t="inlineStr">
        <is>
          <t>Scale + legal integer rounding.</t>
        </is>
      </c>
    </row>
    <row r="12">
      <c r="A12" s="47" t="inlineStr">
        <is>
          <t>Noisy continuous invariance</t>
        </is>
      </c>
      <c r="B12" s="47" t="inlineStr">
        <is>
          <t>4600/4600</t>
        </is>
      </c>
      <c r="C12" s="47" t="inlineStr">
        <is>
          <t>4600/4600</t>
        </is>
      </c>
      <c r="D12" s="54" t="inlineStr">
        <is>
          <t>PASS</t>
        </is>
      </c>
      <c r="E12" s="47" t="inlineStr">
        <is>
          <t>200 noisy profiles per lineage.</t>
        </is>
      </c>
    </row>
    <row r="13">
      <c r="A13" s="47" t="inlineStr">
        <is>
          <t>Noisy quantized invariance</t>
        </is>
      </c>
      <c r="B13" s="47" t="inlineStr">
        <is>
          <t>4600/4600</t>
        </is>
      </c>
      <c r="C13" s="47" t="inlineStr">
        <is>
          <t>4600/4600</t>
        </is>
      </c>
      <c r="D13" s="54" t="inlineStr">
        <is>
          <t>PASS</t>
        </is>
      </c>
      <c r="E13" s="47" t="inlineStr">
        <is>
          <t>After legal integer rounding.</t>
        </is>
      </c>
    </row>
    <row r="14">
      <c r="A14" s="47" t="inlineStr">
        <is>
          <t>One-item arbitrary corruption</t>
        </is>
      </c>
      <c r="B14" s="47" t="inlineStr">
        <is>
          <t>11040/11040</t>
        </is>
      </c>
      <c r="C14" s="47" t="inlineStr">
        <is>
          <t>11040/11040</t>
        </is>
      </c>
      <c r="D14" s="54" t="inlineStr">
        <is>
          <t>PASS</t>
        </is>
      </c>
      <c r="E14" s="47" t="inlineStr">
        <is>
          <t>Any one answer replaced by any other legal response.</t>
        </is>
      </c>
    </row>
    <row r="15">
      <c r="A15" s="47" t="inlineStr">
        <is>
          <t>Explanation identity max error</t>
        </is>
      </c>
      <c r="B15" s="47" t="n">
        <v>4.996003610813204e-16</v>
      </c>
      <c r="C15" s="47" t="inlineStr">
        <is>
          <t>&lt;1e-12</t>
        </is>
      </c>
      <c r="D15" s="54" t="inlineStr">
        <is>
          <t>PASS</t>
        </is>
      </c>
      <c r="E15" s="47" t="inlineStr">
        <is>
          <t>2000 synthetic profiles × amplitude checks.</t>
        </is>
      </c>
    </row>
    <row r="16">
      <c r="A16" s="47" t="inlineStr">
        <is>
          <t>Cosine gap amplitude drift</t>
        </is>
      </c>
      <c r="B16" s="47" t="n">
        <v>6.661338147750939e-16</v>
      </c>
      <c r="C16" s="47" t="inlineStr">
        <is>
          <t>&lt;1e-12</t>
        </is>
      </c>
      <c r="D16" s="54" t="inlineStr">
        <is>
          <t>PASS</t>
        </is>
      </c>
      <c r="E16" s="47" t="inlineStr">
        <is>
          <t>Positive scaling invariance.</t>
        </is>
      </c>
    </row>
    <row r="17">
      <c r="A17" s="47" t="inlineStr">
        <is>
          <t>Boundary margin drift</t>
        </is>
      </c>
      <c r="B17" s="47" t="n">
        <v>9.992007221626409e-16</v>
      </c>
      <c r="C17" s="47" t="inlineStr">
        <is>
          <t>&lt;1e-12</t>
        </is>
      </c>
      <c r="D17" s="54" t="inlineStr">
        <is>
          <t>PASS</t>
        </is>
      </c>
      <c r="E17" s="47" t="inlineStr">
        <is>
          <t>Local duel.</t>
        </is>
      </c>
    </row>
    <row r="18">
      <c r="A18" s="47" t="inlineStr">
        <is>
          <t>Separation index drift</t>
        </is>
      </c>
      <c r="B18" s="47" t="n">
        <v>2.997602166487923e-15</v>
      </c>
      <c r="C18" s="47" t="inlineStr">
        <is>
          <t>&lt;1e-12</t>
        </is>
      </c>
      <c r="D18" s="54" t="inlineStr">
        <is>
          <t>PASS</t>
        </is>
      </c>
      <c r="E18" s="47" t="inlineStr">
        <is>
          <t>Local duel.</t>
        </is>
      </c>
    </row>
    <row r="19">
      <c r="A19" s="47" t="inlineStr">
        <is>
          <t>Random legal exact top ties</t>
        </is>
      </c>
      <c r="B19" s="47" t="n">
        <v>0</v>
      </c>
      <c r="C19" s="47" t="inlineStr">
        <is>
          <t>INFO</t>
        </is>
      </c>
      <c r="D19" s="55" t="inlineStr">
        <is>
          <t>INFO</t>
        </is>
      </c>
      <c r="E19" s="47" t="inlineStr">
        <is>
          <t>100,000 profiles; smallest top-two gap=5.380e-07.</t>
        </is>
      </c>
    </row>
    <row r="20">
      <c r="A20" s="47" t="inlineStr">
        <is>
          <t>ZERO_VECTOR behavior</t>
        </is>
      </c>
      <c r="B20" s="47" t="inlineStr">
        <is>
          <t>NO CLASSIFICATION</t>
        </is>
      </c>
      <c r="C20" s="47" t="inlineStr">
        <is>
          <t>required</t>
        </is>
      </c>
      <c r="D20" s="54" t="inlineStr">
        <is>
          <t>PASS</t>
        </is>
      </c>
      <c r="E20" s="47" t="inlineStr">
        <is>
          <t>Production response/status formulas explicitly guard n(x)=0.</t>
        </is>
      </c>
    </row>
    <row r="21">
      <c r="A21" s="47" t="inlineStr">
        <is>
          <t>Tie behavior</t>
        </is>
      </c>
      <c r="B21" s="47" t="inlineStr">
        <is>
          <t>ε=1e-12 + lowest canonical ID</t>
        </is>
      </c>
      <c r="C21" s="47" t="inlineStr">
        <is>
          <t>required</t>
        </is>
      </c>
      <c r="D21" s="54" t="inlineStr">
        <is>
          <t>PASS</t>
        </is>
      </c>
      <c r="E21" s="47" t="inlineStr">
        <is>
          <t>Implemented with explicit eligibility helper, not rounded display scores.</t>
        </is>
      </c>
    </row>
    <row r="22">
      <c r="A22" s="47" t="inlineStr">
        <is>
          <t>Item/codebook/weight hashes</t>
        </is>
      </c>
      <c r="B22" s="47" t="inlineStr">
        <is>
          <t>MATCH</t>
        </is>
      </c>
      <c r="C22" s="47" t="inlineStr">
        <is>
          <t>required</t>
        </is>
      </c>
      <c r="D22" s="54" t="inlineStr">
        <is>
          <t>PASS</t>
        </is>
      </c>
      <c r="E22" s="47" t="inlineStr">
        <is>
          <t>a1d7ff2b93e16a8a811e7ce07e11134a02fbad2754d9fd4531912c09725a1536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  <col width="18" customWidth="1" min="4" max="4"/>
    <col width="85" customWidth="1" min="5" max="5"/>
    <col width="55" customWidth="1" min="6" max="6"/>
    <col width="10" customWidth="1" min="7" max="7"/>
    <col width="18" customWidth="1" min="8" max="8"/>
  </cols>
  <sheetData>
    <row r="1">
      <c r="A1" s="56" t="inlineStr">
        <is>
          <t>39 — HISTORICAL v4.1 Post-Edit QA (superseded by 40_NATURAL_WORDING_QA)</t>
        </is>
      </c>
    </row>
    <row r="2">
      <c r="A2" s="47" t="inlineStr">
        <is>
          <t>12 wording-only revisions applied. Scope: wording neutrality, key/pole preservation, text redundancy and leakage. Codebook and weights are intentionally unchanged.</t>
        </is>
      </c>
      <c r="B2" s="47" t="n"/>
      <c r="C2" s="47" t="n"/>
      <c r="D2" s="47" t="n"/>
      <c r="E2" s="47" t="n"/>
      <c r="F2" s="47" t="n"/>
      <c r="G2" s="47" t="n"/>
      <c r="H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</row>
    <row r="4">
      <c r="A4" s="57" t="inlineStr">
        <is>
          <t>Metric</t>
        </is>
      </c>
      <c r="B4" s="57" t="inlineStr">
        <is>
          <t>Result</t>
        </is>
      </c>
      <c r="C4" s="57" t="inlineStr">
        <is>
          <t>Gate</t>
        </is>
      </c>
      <c r="D4" s="57" t="inlineStr">
        <is>
          <t>Status</t>
        </is>
      </c>
      <c r="E4" s="57" t="inlineStr">
        <is>
          <t>Detail</t>
        </is>
      </c>
      <c r="F4" s="47" t="n"/>
      <c r="G4" s="47" t="n"/>
      <c r="H4" s="47" t="n"/>
    </row>
    <row r="5">
      <c r="A5" s="47" t="inlineStr">
        <is>
          <t>Revision count</t>
        </is>
      </c>
      <c r="B5" s="47" t="n">
        <v>12</v>
      </c>
      <c r="C5" s="47" t="n">
        <v>12</v>
      </c>
      <c r="D5" s="47" t="inlineStr">
        <is>
          <t>PASS</t>
        </is>
      </c>
      <c r="E5" s="47" t="inlineStr">
        <is>
          <t>All required pre-merge wording revisions applied.</t>
        </is>
      </c>
      <c r="F5" s="47" t="n"/>
      <c r="G5" s="47" t="n"/>
      <c r="H5" s="47" t="n"/>
    </row>
    <row r="6">
      <c r="A6" s="47" t="inlineStr">
        <is>
          <t>Item count</t>
        </is>
      </c>
      <c r="B6" s="47" t="n">
        <v>80</v>
      </c>
      <c r="C6" s="47" t="n">
        <v>80</v>
      </c>
      <c r="D6" s="47" t="inlineStr">
        <is>
          <t>PASS</t>
        </is>
      </c>
      <c r="E6" s="47" t="inlineStr">
        <is>
          <t>Fixed 80-item administration.</t>
        </is>
      </c>
      <c r="F6" s="47" t="n"/>
      <c r="G6" s="47" t="n"/>
      <c r="H6" s="47" t="n"/>
    </row>
    <row r="7">
      <c r="A7" s="47" t="inlineStr">
        <is>
          <t>A-left / A-right</t>
        </is>
      </c>
      <c r="B7" s="47" t="inlineStr">
        <is>
          <t>40 / 40</t>
        </is>
      </c>
      <c r="C7" s="47" t="inlineStr">
        <is>
          <t>40 / 40</t>
        </is>
      </c>
      <c r="D7" s="47" t="inlineStr">
        <is>
          <t>PASS</t>
        </is>
      </c>
      <c r="E7" s="47" t="inlineStr">
        <is>
          <t>Key/presentation balance unchanged.</t>
        </is>
      </c>
      <c r="F7" s="47" t="n"/>
      <c r="G7" s="47" t="n"/>
      <c r="H7" s="47" t="n"/>
    </row>
    <row r="8">
      <c r="A8" s="47" t="inlineStr">
        <is>
          <t>Lineage/starseed cue hits</t>
        </is>
      </c>
      <c r="B8" s="47" t="n">
        <v>0</v>
      </c>
      <c r="C8" s="47" t="n">
        <v>0</v>
      </c>
      <c r="D8" s="47" t="inlineStr">
        <is>
          <t>PASS</t>
        </is>
      </c>
      <c r="E8" s="47" t="inlineStr">
        <is>
          <t>[]</t>
        </is>
      </c>
      <c r="F8" s="47" t="n"/>
      <c r="G8" s="47" t="n"/>
      <c r="H8" s="47" t="n"/>
    </row>
    <row r="9">
      <c r="A9" s="47" t="inlineStr">
        <is>
          <t>Medical-proxy hits</t>
        </is>
      </c>
      <c r="B9" s="47" t="n">
        <v>0</v>
      </c>
      <c r="C9" s="47" t="n">
        <v>0</v>
      </c>
      <c r="D9" s="47" t="inlineStr">
        <is>
          <t>PASS</t>
        </is>
      </c>
      <c r="E9" s="47" t="inlineStr">
        <is>
          <t>[]</t>
        </is>
      </c>
      <c r="F9" s="47" t="n"/>
      <c r="G9" s="47" t="n"/>
      <c r="H9" s="47" t="n"/>
    </row>
    <row r="10">
      <c r="A10" s="47" t="inlineStr">
        <is>
          <t>Moral-loading keyword hits</t>
        </is>
      </c>
      <c r="B10" s="47" t="n">
        <v>0</v>
      </c>
      <c r="C10" s="47" t="n">
        <v>0</v>
      </c>
      <c r="D10" s="47" t="inlineStr">
        <is>
          <t>PASS</t>
        </is>
      </c>
      <c r="E10" s="47" t="inlineStr">
        <is>
          <t>[]</t>
        </is>
      </c>
      <c r="F10" s="47" t="n"/>
      <c r="G10" s="47" t="n"/>
      <c r="H10" s="47" t="n"/>
    </row>
    <row r="11">
      <c r="A11" s="47" t="inlineStr">
        <is>
          <t>Max option-length ratio</t>
        </is>
      </c>
      <c r="B11" s="47" t="n">
        <v>1.36</v>
      </c>
      <c r="C11" s="47" t="inlineStr">
        <is>
          <t>&lt;=1.50</t>
        </is>
      </c>
      <c r="D11" s="47" t="inlineStr">
        <is>
          <t>PASS</t>
        </is>
      </c>
      <c r="E11" s="47" t="inlineStr">
        <is>
          <t>Q74 L38 (34/25)</t>
        </is>
      </c>
      <c r="F11" s="47" t="n"/>
      <c r="G11" s="47" t="n"/>
      <c r="H11" s="47" t="n"/>
    </row>
    <row r="12">
      <c r="A12" s="47" t="inlineStr">
        <is>
          <t>Max text 3-gram Jaccard</t>
        </is>
      </c>
      <c r="B12" s="47" t="n">
        <v>0.1208</v>
      </c>
      <c r="C12" s="47" t="inlineStr">
        <is>
          <t>&lt;0.25</t>
        </is>
      </c>
      <c r="D12" s="47" t="inlineStr">
        <is>
          <t>PASS</t>
        </is>
      </c>
      <c r="E12" s="47" t="inlineStr">
        <is>
          <t>Q75 ↔ Q24 (L28)</t>
        </is>
      </c>
      <c r="F12" s="47" t="n"/>
      <c r="G12" s="47" t="n"/>
      <c r="H12" s="47" t="n"/>
    </row>
    <row r="13">
      <c r="A13" s="47" t="inlineStr">
        <is>
          <t>G20 ↔ A10 text Jaccard</t>
        </is>
      </c>
      <c r="B13" s="47" t="n">
        <v>0.0262</v>
      </c>
      <c r="C13" s="47" t="inlineStr">
        <is>
          <t>&lt; pre-edit 0.1749</t>
        </is>
      </c>
      <c r="D13" s="47" t="inlineStr">
        <is>
          <t>PASS</t>
        </is>
      </c>
      <c r="E13" s="47" t="inlineStr">
        <is>
          <t>Exact code redundancy remains, but scenario wording is now diversified.</t>
        </is>
      </c>
      <c r="F13" s="47" t="n"/>
      <c r="G13" s="47" t="n"/>
      <c r="H13" s="47" t="n"/>
    </row>
    <row r="14">
      <c r="A14" s="47" t="inlineStr">
        <is>
          <t>Leading-context blockers among revised items</t>
        </is>
      </c>
      <c r="B14" s="47" t="n">
        <v>0</v>
      </c>
      <c r="C14" s="47" t="n">
        <v>0</v>
      </c>
      <c r="D14" s="47" t="inlineStr">
        <is>
          <t>PASS</t>
        </is>
      </c>
      <c r="E14" s="47" t="inlineStr">
        <is>
          <t>Manual narrow review: all 12 now frame both choices as viable trade-offs.</t>
        </is>
      </c>
      <c r="F14" s="47" t="n"/>
      <c r="G14" s="47" t="n"/>
      <c r="H14" s="47" t="n"/>
    </row>
    <row r="15">
      <c r="A15" s="47" t="inlineStr">
        <is>
          <t>Semantic cut changed</t>
        </is>
      </c>
      <c r="B15" s="47" t="n">
        <v>0</v>
      </c>
      <c r="C15" s="47" t="n">
        <v>0</v>
      </c>
      <c r="D15" s="47" t="inlineStr">
        <is>
          <t>PASS</t>
        </is>
      </c>
      <c r="E15" s="47" t="inlineStr">
        <is>
          <t>Pole A/B functions preserved by design; codebook/weight recalc not triggered.</t>
        </is>
      </c>
      <c r="F15" s="47" t="n"/>
      <c r="G15" s="47" t="n"/>
      <c r="H15" s="47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</row>
    <row r="18">
      <c r="A18" s="57" t="inlineStr">
        <is>
          <t>Q#</t>
        </is>
      </c>
      <c r="B18" s="57" t="inlineStr">
        <is>
          <t>Slot</t>
        </is>
      </c>
      <c r="C18" s="57" t="inlineStr">
        <is>
          <t>Old problem</t>
        </is>
      </c>
      <c r="D18" s="57" t="inlineStr">
        <is>
          <t>Revised stem</t>
        </is>
      </c>
      <c r="E18" s="57" t="inlineStr">
        <is>
          <t>Revised Pole A</t>
        </is>
      </c>
      <c r="F18" s="57" t="inlineStr">
        <is>
          <t>Revised Pole B</t>
        </is>
      </c>
      <c r="G18" s="57" t="inlineStr">
        <is>
          <t>Key</t>
        </is>
      </c>
      <c r="H18" s="57" t="inlineStr">
        <is>
          <t>Post-edit verdict</t>
        </is>
      </c>
    </row>
    <row r="19">
      <c r="A19" s="47" t="n">
        <v>20</v>
      </c>
      <c r="B19" s="47" t="inlineStr">
        <is>
          <t>A10</t>
        </is>
      </c>
      <c r="C19" s="47" t="inlineStr">
        <is>
          <t>A10: elsewhere-home pole 目前帶有「現在已能正常生活仍繼續尋找」的負面暗示；改成兩種同樣可行的歸屬建立策略。</t>
        </is>
      </c>
      <c r="D19" s="47" t="inlineStr">
        <is>
          <t>如果我可以選擇在哪裡建立下一階段的生活基礎，而且幾種環境都可行時，我更自然地……</t>
        </is>
      </c>
      <c r="E19" s="47" t="inlineStr">
        <is>
          <t>先在目前能實際生活的地方深化日常、關係、地方參與與責任，讓歸屬從投入中長出來。</t>
        </is>
      </c>
      <c r="F19" s="47" t="inlineStr">
        <is>
          <t>繼續比較不同環境與生活方式，直到找到更有深層契合感的位置，再把生活基礎建立起來。</t>
        </is>
      </c>
      <c r="G19" s="47" t="n">
        <v>-1</v>
      </c>
      <c r="H19" s="47" t="inlineStr">
        <is>
          <t>PASS / FROZEN</t>
        </is>
      </c>
    </row>
    <row r="20">
      <c r="A20" s="47" t="n">
        <v>25</v>
      </c>
      <c r="B20" s="47" t="inlineStr">
        <is>
          <t>G11</t>
        </is>
      </c>
      <c r="C20" s="47" t="inlineStr">
        <is>
          <t>G11: Stem 明寫「成本不高、可以撤回」，這是支持立即試行的客觀決策資訊，會把 D11 啟動偏好和合理風險管理混在一起。</t>
        </is>
      </c>
      <c r="D20" s="47" t="inlineStr">
        <is>
          <t>一個新做法有合理依據，但效果還不確定，而且目前沒有明顯時間壓力時，我更自然地……</t>
        </is>
      </c>
      <c r="E20" s="47" t="inlineStr">
        <is>
          <t>先做一個範圍受控的小規模試行，用實際回饋帶動後續判斷。</t>
        </is>
      </c>
      <c r="F20" s="47" t="inlineStr">
        <is>
          <t>先觀察更多案例與週期，等模式更清楚後再開始投入。</t>
        </is>
      </c>
      <c r="G20" s="47" t="n">
        <v>-1</v>
      </c>
      <c r="H20" s="47" t="inlineStr">
        <is>
          <t>PASS / FROZEN</t>
        </is>
      </c>
    </row>
    <row r="21">
      <c r="A21" s="47" t="n">
        <v>33</v>
      </c>
      <c r="B21" s="47" t="inlineStr">
        <is>
          <t>G20</t>
        </is>
      </c>
      <c r="C21" s="47" t="inlineStr">
        <is>
          <t>G20: 與 A10 的 code vector 完全相同，而且題意同樣是生活轉換後重新找家；D22 可重複，但語境必須更獨立。</t>
        </is>
      </c>
      <c r="D21" s="47" t="inlineStr">
        <is>
          <t>在生活大致穩定、沒有搬遷壓力時，我對「家」的感覺通常更接近哪一種？</t>
        </is>
      </c>
      <c r="E21" s="47" t="inlineStr">
        <is>
          <t>長期參與眼前的日常、人際、地方文化與責任，歸屬感會隨生活累積出來。</t>
        </is>
      </c>
      <c r="F21" s="47" t="inlineStr">
        <is>
          <t>歸屬感更取決於找到一個在整體環境與生活秩序上高度契合的位置，即使需要跨地方尋找。</t>
        </is>
      </c>
      <c r="G21" s="47" t="n">
        <v>1</v>
      </c>
      <c r="H21" s="47" t="inlineStr">
        <is>
          <t>PASS / FROZEN</t>
        </is>
      </c>
    </row>
    <row r="22">
      <c r="A22" s="47" t="n">
        <v>42</v>
      </c>
      <c r="B22" s="47" t="inlineStr">
        <is>
          <t>L04</t>
        </is>
      </c>
      <c r="C22" s="47" t="inlineStr">
        <is>
          <t>L04: 親密關係「經歷疏離」後，直接談信任/界線容易被視為比改氛圍更成熟、更對症；需要降低問題嚴重度。</t>
        </is>
      </c>
      <c r="D22" s="47" t="inlineStr">
        <is>
          <t>一段親密關係沒有明顯衝突，但最近自然的靠近感變少，雙方都想重新拉近距離時，我更自然地先……</t>
        </is>
      </c>
      <c r="E22" s="47" t="inlineStr">
        <is>
          <t>創造一個舒服、有美感、能自然放鬆的相處情境，讓靠近的感覺重新出現。</t>
        </is>
      </c>
      <c r="F22" s="47" t="inlineStr">
        <is>
          <t>談清楚彼此最近的期待、信任與相處界線，重新確認願意投入到什麼程度。</t>
        </is>
      </c>
      <c r="G22" s="47" t="n">
        <v>1</v>
      </c>
      <c r="H22" s="47" t="inlineStr">
        <is>
          <t>PASS / FROZEN</t>
        </is>
      </c>
    </row>
    <row r="23">
      <c r="A23" s="47" t="n">
        <v>50</v>
      </c>
      <c r="B23" s="47" t="inlineStr">
        <is>
          <t>L15</t>
        </is>
      </c>
      <c r="C23" s="47" t="inlineStr">
        <is>
          <t>L15: 「原因不明、看不出共同根因」天然支持先查隱性失敗，治理架構改動在現況下較像過早行動。</t>
        </is>
      </c>
      <c r="D23" s="47" t="inlineStr">
        <is>
          <t>一個大型系統在不同單位反覆出現小異常；現有線索既可能指向局部隱性失敗，也可能指向跨單位制度問題時，我更傾向……</t>
        </is>
      </c>
      <c r="E23" s="47" t="inlineStr">
        <is>
          <t>深入追查邊界條件、可疑前提與隱藏失敗點，先確認真正脆弱的位置。</t>
        </is>
      </c>
      <c r="F23" s="47" t="inlineStr">
        <is>
          <t>從跨單位制度、資源配置與治理架構著手，重新檢查哪些整體規則可能持續產生問題。</t>
        </is>
      </c>
      <c r="G23" s="47" t="n">
        <v>1</v>
      </c>
      <c r="H23" s="47" t="inlineStr">
        <is>
          <t>PASS / FROZEN</t>
        </is>
      </c>
    </row>
    <row r="24">
      <c r="A24" s="47" t="n">
        <v>52</v>
      </c>
      <c r="B24" s="47" t="inlineStr">
        <is>
          <t>L18</t>
        </is>
      </c>
      <c r="C24" s="47" t="inlineStr">
        <is>
          <t>L18: 「目前還沒有造成實際損失」天然支持繼續觀察，令立即行動更像過度反應。</t>
        </is>
      </c>
      <c r="D24" s="47" t="inlineStr">
        <is>
          <t>有人反覆試探一條我很在意的界線；繼續觀察和立即表態都各有代價時，我更自然地……</t>
        </is>
      </c>
      <c r="E24" s="47" t="inlineStr">
        <is>
          <t>保持位置、守住界線並繼續觀察，只在真的需要時才加大介入。</t>
        </is>
      </c>
      <c r="F24" s="47" t="inlineStr">
        <is>
          <t>立即採取明確行動讓試探停止，先把局面推回清楚可控的範圍。</t>
        </is>
      </c>
      <c r="G24" s="47" t="n">
        <v>1</v>
      </c>
      <c r="H24" s="47" t="inlineStr">
        <is>
          <t>PASS / FROZEN</t>
        </is>
      </c>
    </row>
    <row r="25">
      <c r="A25" s="47" t="n">
        <v>56</v>
      </c>
      <c r="B25" s="47" t="inlineStr">
        <is>
          <t>L27</t>
        </is>
      </c>
      <c r="C25" s="47" t="inlineStr">
        <is>
          <t>L27: 「環境變化很快」明顯有利情境式分散決策，削弱 hierarchy vs adaptation 的中性比較。</t>
        </is>
      </c>
      <c r="D25" s="47" t="inlineStr">
        <is>
          <t>一個操作環境同時要求多人保持一致，也經常出現需要現場即時判斷的變化時，我更偏好……</t>
        </is>
      </c>
      <c r="E25" s="47" t="inlineStr">
        <is>
          <t>維持固定的決策層級與責任鏈，讓所有人知道最後由誰定案。</t>
        </is>
      </c>
      <c r="F25" s="47" t="inlineStr">
        <is>
          <t>讓決策方式跟著現場條件變動，由最接近風險與資源的人主導當下反應。</t>
        </is>
      </c>
      <c r="G25" s="47" t="n">
        <v>-1</v>
      </c>
      <c r="H25" s="47" t="inlineStr">
        <is>
          <t>PASS / FROZEN</t>
        </is>
      </c>
    </row>
    <row r="26">
      <c r="A26" s="47" t="n">
        <v>58</v>
      </c>
      <c r="B26" s="47" t="inlineStr">
        <is>
          <t>L31</t>
        </is>
      </c>
      <c r="C26" s="47" t="inlineStr">
        <is>
          <t>L31: Stem 只說「不同理解」，因此高階翻譯比需求協商更直接對題；應同時給資訊差異與需求差異。</t>
        </is>
      </c>
      <c r="D26" s="47" t="inlineStr">
        <is>
          <t>幾個部門掌握的資訊與實際需求都不同，而我要幫助整體形成下一步時，我更自然地……</t>
        </is>
      </c>
      <c r="E26" s="47" t="inlineStr">
        <is>
          <t>拉高視角整理共同模式，把複雜資訊翻譯成大家能共享的整體圖像。</t>
        </is>
      </c>
      <c r="F26" s="47" t="inlineStr">
        <is>
          <t>進入各方具體需求與限制，協助交換條件並促成可執行的共同方案。</t>
        </is>
      </c>
      <c r="G26" s="47" t="n">
        <v>1</v>
      </c>
      <c r="H26" s="47" t="inlineStr">
        <is>
          <t>PASS / FROZEN</t>
        </is>
      </c>
    </row>
    <row r="27">
      <c r="A27" s="47" t="n">
        <v>62</v>
      </c>
      <c r="B27" s="47" t="inlineStr">
        <is>
          <t>A02</t>
        </is>
      </c>
      <c r="C27" s="47" t="inlineStr">
        <is>
          <t>A02: 「正式擴大前仍可能藏著少見失敗模式」強烈提示繼續查風險；需明示有限準備資源/真實取捨。</t>
        </is>
      </c>
      <c r="D27" s="47" t="inlineStr">
        <is>
          <t>一個新方案已通過初步測試，正式擴大前只剩一輪有限準備資源時，我更傾向……</t>
        </is>
      </c>
      <c r="E27" s="47" t="inlineStr">
        <is>
          <t>先把操作流程、維護、責任與日常落地做完整，讓方案可靠地進入實際運作。</t>
        </is>
      </c>
      <c r="F27" s="47" t="inlineStr">
        <is>
          <t>把這輪資源用來追查邊界條件、隱藏風險與少見失敗點，先確認真正脆弱處。</t>
        </is>
      </c>
      <c r="G27" s="47" t="n">
        <v>-1</v>
      </c>
      <c r="H27" s="47" t="inlineStr">
        <is>
          <t>PASS / FROZEN</t>
        </is>
      </c>
    </row>
    <row r="28">
      <c r="A28" s="47" t="n">
        <v>65</v>
      </c>
      <c r="B28" s="47" t="inlineStr">
        <is>
          <t>G25</t>
        </is>
      </c>
      <c r="C28" s="47" t="inlineStr">
        <is>
          <t>G25: 「提升長期韌性」語義更直接指向建設/維護，保護角色較像次級策略；要改成中性的未來壓力能力。</t>
        </is>
      </c>
      <c r="D28" s="47" t="inlineStr">
        <is>
          <t>一個社區想提高面對未來壓力的能力，但有限資源只能先支持一種做法時，我更傾向……</t>
        </is>
      </c>
      <c r="E28" s="47" t="inlineStr">
        <is>
          <t>先強化對重要的人、資源與關鍵入口的保護機制，讓壓力來時核心不容易受損。</t>
        </is>
      </c>
      <c r="F28" s="47" t="inlineStr">
        <is>
          <t>先改善流程、基礎設施與維護方式，讓日常系統在壓力下仍能持續運作。</t>
        </is>
      </c>
      <c r="G28" s="47" t="n">
        <v>1</v>
      </c>
      <c r="H28" s="47" t="inlineStr">
        <is>
          <t>PASS / FROZEN</t>
        </is>
      </c>
    </row>
    <row r="29">
      <c r="A29" s="47" t="n">
        <v>76</v>
      </c>
      <c r="B29" s="47" t="inlineStr">
        <is>
          <t>L08</t>
        </is>
      </c>
      <c r="C29" s="47" t="inlineStr">
        <is>
          <t>L08: Stem 已說「框得很窄」，因此改變/離開框架天然比在框架內跨域組合更對症。</t>
        </is>
      </c>
      <c r="D29" s="47" t="inlineStr">
        <is>
          <t>面對一個開放性很高、沒有唯一既定解法的新問題時，我更自然地……</t>
        </is>
      </c>
      <c r="E29" s="47" t="inlineStr">
        <is>
          <t>先重新定義問題邊界與規則，打開原框架之外的選項。</t>
        </is>
      </c>
      <c r="F29" s="47" t="inlineStr">
        <is>
          <t>先把不同領域的知識、工具與創意組合起來，做出新的解法。</t>
        </is>
      </c>
      <c r="G29" s="47" t="n">
        <v>-1</v>
      </c>
      <c r="H29" s="47" t="inlineStr">
        <is>
          <t>PASS / FROZEN</t>
        </is>
      </c>
    </row>
    <row r="30">
      <c r="A30" s="47" t="n">
        <v>77</v>
      </c>
      <c r="B30" s="47" t="inlineStr">
        <is>
          <t>L17</t>
        </is>
      </c>
      <c r="C30" s="47" t="inlineStr">
        <is>
          <t>L17: 「先行者可能取得明顯優勢」直接給立即出手客觀優勢，會污染 Martian vs Reptilian 的自然偏好。</t>
        </is>
      </c>
      <c r="D30" s="47" t="inlineStr">
        <is>
          <t>一個原本穩定的局面突然快速變化，資訊仍不完整，而且太早出手與太晚行動都可能造成代價時，我更自然地……</t>
        </is>
      </c>
      <c r="E30" s="47" t="inlineStr">
        <is>
          <t>先出手做一個直接行動取得主動，再用回饋快速修正。</t>
        </is>
      </c>
      <c r="F30" s="47" t="inlineStr">
        <is>
          <t>先讀環境、資源與可能威脅，調整策略後再投入行動。</t>
        </is>
      </c>
      <c r="G30" s="47" t="n">
        <v>1</v>
      </c>
      <c r="H30" s="47" t="inlineStr">
        <is>
          <t>PASS / FROZEN</t>
        </is>
      </c>
    </row>
  </sheetData>
  <mergeCells count="1">
    <mergeCell ref="A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4" customWidth="1" min="4" max="4"/>
    <col width="60" customWidth="1" min="5" max="5"/>
  </cols>
  <sheetData>
    <row r="1">
      <c r="A1" s="61" t="inlineStr">
        <is>
          <t>44 — Natural / Everyday Post-Redesign QA</t>
        </is>
      </c>
      <c r="B1" s="61" t="n"/>
      <c r="C1" s="61" t="n"/>
      <c r="D1" s="61" t="n"/>
      <c r="E1" s="61" t="n"/>
    </row>
    <row r="2">
      <c r="A2" s="47" t="inlineStr">
        <is>
          <t>Scope</t>
        </is>
      </c>
      <c r="B2" s="47" t="inlineStr">
        <is>
          <t>Language naturalness + construct preservation. Frozen codebook/weights are not recalculated because every slot retains the same Pole A/B semantic direction.</t>
        </is>
      </c>
      <c r="C2" s="47" t="n"/>
      <c r="D2" s="47" t="n"/>
      <c r="E2" s="47" t="n"/>
    </row>
    <row r="3">
      <c r="A3" s="47" t="n"/>
      <c r="B3" s="47" t="n"/>
      <c r="C3" s="47" t="n"/>
      <c r="D3" s="47" t="n"/>
      <c r="E3" s="47" t="n"/>
    </row>
    <row r="4">
      <c r="A4" s="47" t="inlineStr">
        <is>
          <t>Metric</t>
        </is>
      </c>
      <c r="B4" s="47" t="inlineStr">
        <is>
          <t>Result</t>
        </is>
      </c>
      <c r="C4" s="47" t="inlineStr">
        <is>
          <t>Gate</t>
        </is>
      </c>
      <c r="D4" s="47" t="inlineStr">
        <is>
          <t>Status</t>
        </is>
      </c>
      <c r="E4" s="47" t="inlineStr">
        <is>
          <t>Detail</t>
        </is>
      </c>
    </row>
    <row r="5">
      <c r="A5" s="47" t="inlineStr">
        <is>
          <t>Item count</t>
        </is>
      </c>
      <c r="B5" s="47" t="n">
        <v>80</v>
      </c>
      <c r="C5" s="47" t="n">
        <v>80</v>
      </c>
      <c r="D5" s="47" t="inlineStr">
        <is>
          <t>PASS</t>
        </is>
      </c>
      <c r="E5" s="47" t="inlineStr">
        <is>
          <t>Fixed 80 items.</t>
        </is>
      </c>
    </row>
    <row r="6">
      <c r="A6" s="47" t="inlineStr">
        <is>
          <t>A-left / A-right</t>
        </is>
      </c>
      <c r="B6" s="47" t="inlineStr">
        <is>
          <t>40 / 40</t>
        </is>
      </c>
      <c r="C6" s="47" t="inlineStr">
        <is>
          <t>40 / 40</t>
        </is>
      </c>
      <c r="D6" s="47" t="inlineStr">
        <is>
          <t>PASS</t>
        </is>
      </c>
      <c r="E6" s="47" t="inlineStr">
        <is>
          <t>Presentation/key balance unchanged.</t>
        </is>
      </c>
    </row>
    <row r="7">
      <c r="A7" s="47" t="inlineStr">
        <is>
          <t>Lineage/lore cue hits</t>
        </is>
      </c>
      <c r="B7" s="47" t="n">
        <v>0</v>
      </c>
      <c r="C7" s="47" t="n">
        <v>0</v>
      </c>
      <c r="D7" s="47" t="inlineStr">
        <is>
          <t>PASS</t>
        </is>
      </c>
      <c r="E7" s="47" t="inlineStr">
        <is>
          <t>[]</t>
        </is>
      </c>
    </row>
    <row r="8">
      <c r="A8" s="47" t="inlineStr">
        <is>
          <t>Medical proxy hits</t>
        </is>
      </c>
      <c r="B8" s="47" t="n">
        <v>0</v>
      </c>
      <c r="C8" s="47" t="n">
        <v>0</v>
      </c>
      <c r="D8" s="47" t="inlineStr">
        <is>
          <t>PASS</t>
        </is>
      </c>
      <c r="E8" s="47" t="inlineStr">
        <is>
          <t>[]</t>
        </is>
      </c>
    </row>
    <row r="9">
      <c r="A9" s="47" t="inlineStr">
        <is>
          <t>Moral-loading phrase hits</t>
        </is>
      </c>
      <c r="B9" s="47" t="n">
        <v>0</v>
      </c>
      <c r="C9" s="47" t="n">
        <v>0</v>
      </c>
      <c r="D9" s="47" t="inlineStr">
        <is>
          <t>PASS</t>
        </is>
      </c>
      <c r="E9" s="47" t="inlineStr">
        <is>
          <t>[]</t>
        </is>
      </c>
    </row>
    <row r="10">
      <c r="A10" s="47" t="inlineStr">
        <is>
          <t>Internal/consulting jargon hits</t>
        </is>
      </c>
      <c r="B10" s="47" t="n">
        <v>0</v>
      </c>
      <c r="C10" s="47" t="n">
        <v>0</v>
      </c>
      <c r="D10" s="47" t="inlineStr">
        <is>
          <t>PASS</t>
        </is>
      </c>
      <c r="E10" s="47" t="inlineStr">
        <is>
          <t>[]</t>
        </is>
      </c>
    </row>
    <row r="11">
      <c r="A11" s="47" t="inlineStr">
        <is>
          <t>Avg stem chars — old</t>
        </is>
      </c>
      <c r="B11" s="47" t="n">
        <v>32</v>
      </c>
      <c r="C11" s="47" t="inlineStr">
        <is>
          <t>reference</t>
        </is>
      </c>
      <c r="D11" s="47" t="inlineStr">
        <is>
          <t>INFO</t>
        </is>
      </c>
      <c r="E11" s="47" t="inlineStr">
        <is>
          <t>Before full natural-language redesign.</t>
        </is>
      </c>
    </row>
    <row r="12">
      <c r="A12" s="47" t="inlineStr">
        <is>
          <t>Avg stem chars — new</t>
        </is>
      </c>
      <c r="B12" s="47" t="n">
        <v>25.5</v>
      </c>
      <c r="C12" s="47" t="inlineStr">
        <is>
          <t>&lt;= old</t>
        </is>
      </c>
      <c r="D12" s="47" t="inlineStr">
        <is>
          <t>PASS</t>
        </is>
      </c>
      <c r="E12" s="47" t="inlineStr">
        <is>
          <t>Shorter/easier stems preferred.</t>
        </is>
      </c>
    </row>
    <row r="13">
      <c r="A13" s="47" t="inlineStr">
        <is>
          <t>Avg option chars — old</t>
        </is>
      </c>
      <c r="B13" s="47" t="n">
        <v>27</v>
      </c>
      <c r="C13" s="47" t="inlineStr">
        <is>
          <t>reference</t>
        </is>
      </c>
      <c r="D13" s="47" t="inlineStr">
        <is>
          <t>INFO</t>
        </is>
      </c>
      <c r="E13" s="47" t="inlineStr">
        <is>
          <t>Before redesign.</t>
        </is>
      </c>
    </row>
    <row r="14">
      <c r="A14" s="47" t="inlineStr">
        <is>
          <t>Avg option chars — new</t>
        </is>
      </c>
      <c r="B14" s="47" t="n">
        <v>23.5</v>
      </c>
      <c r="C14" s="47" t="inlineStr">
        <is>
          <t>&lt;= old</t>
        </is>
      </c>
      <c r="D14" s="47" t="inlineStr">
        <is>
          <t>PASS</t>
        </is>
      </c>
      <c r="E14" s="47" t="inlineStr">
        <is>
          <t>Shorter/easier poles preferred.</t>
        </is>
      </c>
    </row>
    <row r="15">
      <c r="A15" s="47" t="inlineStr">
        <is>
          <t>Max option length ratio</t>
        </is>
      </c>
      <c r="B15" s="47" t="n">
        <v>1.316</v>
      </c>
      <c r="C15" s="47" t="inlineStr">
        <is>
          <t>&lt;=1.50</t>
        </is>
      </c>
      <c r="D15" s="47" t="inlineStr">
        <is>
          <t>PASS</t>
        </is>
      </c>
      <c r="E15" s="47" t="inlineStr">
        <is>
          <t>Avoid visual/desirability asymmetry from obvious length differences.</t>
        </is>
      </c>
    </row>
    <row r="16">
      <c r="A16" s="47" t="inlineStr">
        <is>
          <t>Max 3-gram text similarity</t>
        </is>
      </c>
      <c r="B16" s="47" t="n">
        <v>0.1298</v>
      </c>
      <c r="C16" s="47" t="inlineStr">
        <is>
          <t>&lt;0.20</t>
        </is>
      </c>
      <c r="D16" s="47" t="inlineStr">
        <is>
          <t>PASS</t>
        </is>
      </c>
      <c r="E16" s="47" t="inlineStr">
        <is>
          <t>Q20 ↔ Q33</t>
        </is>
      </c>
    </row>
    <row r="17">
      <c r="A17" s="47" t="inlineStr">
        <is>
          <t>Work/group-context heuristic</t>
        </is>
      </c>
      <c r="B17" s="47" t="inlineStr">
        <is>
          <t>25/80</t>
        </is>
      </c>
      <c r="C17" s="47" t="inlineStr">
        <is>
          <t>&lt;=50/80</t>
        </is>
      </c>
      <c r="D17" s="47" t="inlineStr">
        <is>
          <t>PASS</t>
        </is>
      </c>
      <c r="E17" s="47" t="inlineStr">
        <is>
          <t>Required structural items still use group contexts; majority now use ordinary-life wording.</t>
        </is>
      </c>
    </row>
    <row r="18">
      <c r="A18" s="47" t="inlineStr">
        <is>
          <t>Semantic cut preservation</t>
        </is>
      </c>
      <c r="B18" s="47" t="inlineStr">
        <is>
          <t>80/80</t>
        </is>
      </c>
      <c r="C18" s="47" t="inlineStr">
        <is>
          <t>80/80</t>
        </is>
      </c>
      <c r="D18" s="47" t="inlineStr">
        <is>
          <t>PASS</t>
        </is>
      </c>
      <c r="E18" s="47" t="inlineStr">
        <is>
          <t>Each rewrite retains frozen slot, Pole A/B construct and direct-target logic.</t>
        </is>
      </c>
    </row>
    <row r="19">
      <c r="A19" s="47" t="inlineStr">
        <is>
          <t>Codebook changed</t>
        </is>
      </c>
      <c r="B19" s="47" t="n">
        <v>0</v>
      </c>
      <c r="C19" s="47" t="n">
        <v>0</v>
      </c>
      <c r="D19" s="47" t="inlineStr">
        <is>
          <t>PASS</t>
        </is>
      </c>
      <c r="E19" s="47" t="inlineStr">
        <is>
          <t>No semantic direction changed; 23×80 expected codebook remains valid.</t>
        </is>
      </c>
    </row>
    <row r="20">
      <c r="A20" s="47" t="inlineStr">
        <is>
          <t>Weights changed</t>
        </is>
      </c>
      <c r="B20" s="47" t="n">
        <v>0</v>
      </c>
      <c r="C20" s="47" t="n">
        <v>0</v>
      </c>
      <c r="D20" s="47" t="inlineStr">
        <is>
          <t>PASS</t>
        </is>
      </c>
      <c r="E20" s="47" t="inlineStr">
        <is>
          <t>Item semantic dependencies unchanged; final weights remain valid.</t>
        </is>
      </c>
    </row>
    <row r="21">
      <c r="A21" s="47" t="n"/>
      <c r="B21" s="47" t="n"/>
      <c r="C21" s="47" t="n"/>
      <c r="D21" s="47" t="n"/>
      <c r="E21" s="47" t="n"/>
    </row>
    <row r="22">
      <c r="A22" s="47" t="inlineStr">
        <is>
          <t>High-risk edge protection</t>
        </is>
      </c>
      <c r="B22" s="47" t="inlineStr">
        <is>
          <t>Direct-target slot identities and canonical A/B meanings are unchanged; therefore all 28 high-risk code gates remain structurally identical to v4.1.</t>
        </is>
      </c>
      <c r="C22" s="47" t="n"/>
      <c r="D22" s="47" t="n"/>
      <c r="E22" s="47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61" t="inlineStr">
        <is>
          <t>41 — Instrument Version / Calibration Boundary — v4.4</t>
        </is>
      </c>
      <c r="B1" s="61" t="n"/>
    </row>
    <row r="2">
      <c r="A2" s="47" t="inlineStr">
        <is>
          <t>Model/instrument version</t>
        </is>
      </c>
      <c r="B2" s="47" t="inlineStr">
        <is>
          <t>starseed-v4.4-phase6b-prod-20260905</t>
        </is>
      </c>
    </row>
    <row r="3">
      <c r="A3" s="47" t="inlineStr">
        <is>
          <t>Wording change</t>
        </is>
      </c>
      <c r="B3" s="47" t="inlineStr">
        <is>
          <t>80/80 respondent-facing items replaced with the approved public wording set.</t>
        </is>
      </c>
    </row>
    <row r="4">
      <c r="A4" s="47" t="inlineStr">
        <is>
          <t>Scoring constants</t>
        </is>
      </c>
      <c r="B4" s="47" t="inlineStr">
        <is>
          <t>UNCHANGED from v4.3: keys, 23×80 codebook, 80 weights, pair rho and Phase 6B formulas.</t>
        </is>
      </c>
    </row>
    <row r="5">
      <c r="A5" s="47" t="inlineStr">
        <is>
          <t>Calibration rule</t>
        </is>
      </c>
      <c r="B5" s="47" t="inlineStr">
        <is>
          <t>Never pool v4.3 and v4.4 attempts without retaining instrument version; wording can affect response distributions.</t>
        </is>
      </c>
    </row>
    <row r="6">
      <c r="A6" s="47" t="inlineStr">
        <is>
          <t>Production status</t>
        </is>
      </c>
      <c r="B6" s="47" t="inlineStr">
        <is>
          <t>EXPERT-REVISED / PILOT-READY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2" customWidth="1" min="4" max="4"/>
    <col width="65" customWidth="1" min="5" max="5"/>
  </cols>
  <sheetData>
    <row r="1">
      <c r="A1" s="62" t="inlineStr">
        <is>
          <t>42 — HISTORICAL v4.3 Wording Revision QA (superseded by 43_V44_WORDING_QA)</t>
        </is>
      </c>
    </row>
    <row r="2">
      <c r="A2" s="47" t="inlineStr">
        <is>
          <t>42 respondent-facing revisions only. Production codebook/weights/pair-rho/formulas are verified unchanged.</t>
        </is>
      </c>
      <c r="B2" s="47" t="n"/>
      <c r="C2" s="47" t="n"/>
      <c r="D2" s="47" t="n"/>
      <c r="E2" s="47" t="n"/>
    </row>
    <row r="3">
      <c r="A3" s="47" t="n"/>
      <c r="B3" s="47" t="n"/>
      <c r="C3" s="47" t="n"/>
      <c r="D3" s="47" t="n"/>
      <c r="E3" s="47" t="n"/>
    </row>
    <row r="4">
      <c r="A4" s="61" t="inlineStr">
        <is>
          <t>Metric</t>
        </is>
      </c>
      <c r="B4" s="61" t="inlineStr">
        <is>
          <t>Result</t>
        </is>
      </c>
      <c r="C4" s="61" t="inlineStr">
        <is>
          <t>Gate</t>
        </is>
      </c>
      <c r="D4" s="61" t="inlineStr">
        <is>
          <t>Status</t>
        </is>
      </c>
      <c r="E4" s="61" t="inlineStr">
        <is>
          <t>Detail</t>
        </is>
      </c>
    </row>
    <row r="5">
      <c r="A5" s="47" t="inlineStr">
        <is>
          <t>Instrument version</t>
        </is>
      </c>
      <c r="B5" s="47" t="inlineStr">
        <is>
          <t>starseed-v4.3-phase6b-prod-20260904</t>
        </is>
      </c>
      <c r="C5" s="47" t="inlineStr">
        <is>
          <t>v4.3</t>
        </is>
      </c>
      <c r="D5" s="47" t="inlineStr">
        <is>
          <t>PASS</t>
        </is>
      </c>
      <c r="E5" s="47" t="inlineStr">
        <is>
          <t>Version boundary for calibration.</t>
        </is>
      </c>
    </row>
    <row r="6">
      <c r="A6" s="47" t="inlineStr">
        <is>
          <t>Applied wording revisions</t>
        </is>
      </c>
      <c r="B6" s="47" t="n">
        <v>42</v>
      </c>
      <c r="C6" s="47" t="n">
        <v>42</v>
      </c>
      <c r="D6" s="47" t="inlineStr">
        <is>
          <t>PASS</t>
        </is>
      </c>
      <c r="E6" s="47" t="inlineStr">
        <is>
          <t>10 REWRITE + 32 TUNE</t>
        </is>
      </c>
    </row>
    <row r="7">
      <c r="A7" s="47" t="inlineStr">
        <is>
          <t>Prior PASS items unchanged</t>
        </is>
      </c>
      <c r="B7" s="47" t="n">
        <v>38</v>
      </c>
      <c r="C7" s="47" t="n">
        <v>38</v>
      </c>
      <c r="D7" s="47" t="inlineStr">
        <is>
          <t>PASS</t>
        </is>
      </c>
      <c r="E7" s="47" t="inlineStr">
        <is>
          <t>Respondent-facing text unchanged.</t>
        </is>
      </c>
    </row>
    <row r="8">
      <c r="A8" s="47" t="inlineStr">
        <is>
          <t>97_PROD_WEIGHTS unchanged</t>
        </is>
      </c>
      <c r="B8" s="47" t="b">
        <v>1</v>
      </c>
      <c r="C8" s="47" t="b">
        <v>1</v>
      </c>
      <c r="D8" s="47" t="inlineStr">
        <is>
          <t>PASS</t>
        </is>
      </c>
      <c r="E8" s="47" t="inlineStr">
        <is>
          <t>Weight constants byte-equivalent by cell value.</t>
        </is>
      </c>
    </row>
    <row r="9">
      <c r="A9" s="47" t="inlineStr">
        <is>
          <t>98_PROD_CODEBOOK_Q unchanged</t>
        </is>
      </c>
      <c r="B9" s="47" t="b">
        <v>1</v>
      </c>
      <c r="C9" s="47" t="b">
        <v>1</v>
      </c>
      <c r="D9" s="47" t="inlineStr">
        <is>
          <t>PASS</t>
        </is>
      </c>
      <c r="E9" s="47" t="inlineStr">
        <is>
          <t>23×80 codebook unchanged.</t>
        </is>
      </c>
    </row>
    <row r="10">
      <c r="A10" s="47" t="inlineStr">
        <is>
          <t>96_PROD_PAIR_RHO unchanged</t>
        </is>
      </c>
      <c r="B10" s="47" t="b">
        <v>1</v>
      </c>
      <c r="C10" s="47" t="b">
        <v>1</v>
      </c>
      <c r="D10" s="47" t="inlineStr">
        <is>
          <t>PASS</t>
        </is>
      </c>
      <c r="E10" s="47" t="inlineStr">
        <is>
          <t>Local-duel prototype geometry unchanged.</t>
        </is>
      </c>
    </row>
    <row r="11">
      <c r="A11" s="47" t="inlineStr">
        <is>
          <t>Formula sheets changed</t>
        </is>
      </c>
      <c r="B11" s="47" t="n">
        <v>0</v>
      </c>
      <c r="C11" s="47" t="n">
        <v>0</v>
      </c>
      <c r="D11" s="47" t="inlineStr">
        <is>
          <t>PASS</t>
        </is>
      </c>
      <c r="E11" s="47" t="inlineStr">
        <is>
          <t>[]</t>
        </is>
      </c>
    </row>
    <row r="12">
      <c r="A12" s="47" t="inlineStr">
        <is>
          <t>Lineage/lore cue hits</t>
        </is>
      </c>
      <c r="B12" s="47" t="n">
        <v>0</v>
      </c>
      <c r="C12" s="47" t="n">
        <v>0</v>
      </c>
      <c r="D12" s="47" t="inlineStr">
        <is>
          <t>PASS</t>
        </is>
      </c>
      <c r="E12" s="47" t="inlineStr">
        <is>
          <t>[]</t>
        </is>
      </c>
    </row>
    <row r="13">
      <c r="A13" s="47" t="inlineStr">
        <is>
          <t>Medical proxy hits</t>
        </is>
      </c>
      <c r="B13" s="47" t="n">
        <v>0</v>
      </c>
      <c r="C13" s="47" t="n">
        <v>0</v>
      </c>
      <c r="D13" s="47" t="inlineStr">
        <is>
          <t>PASS</t>
        </is>
      </c>
      <c r="E13" s="47" t="inlineStr">
        <is>
          <t>[]</t>
        </is>
      </c>
    </row>
    <row r="14">
      <c r="A14" s="47" t="inlineStr">
        <is>
          <t>Moral-loading phrase hits</t>
        </is>
      </c>
      <c r="B14" s="47" t="n">
        <v>0</v>
      </c>
      <c r="C14" s="47" t="n">
        <v>0</v>
      </c>
      <c r="D14" s="47" t="inlineStr">
        <is>
          <t>PASS</t>
        </is>
      </c>
      <c r="E14" s="47" t="inlineStr">
        <is>
          <t>[]</t>
        </is>
      </c>
    </row>
    <row r="15">
      <c r="A15" s="47" t="inlineStr">
        <is>
          <t>Max option length ratio</t>
        </is>
      </c>
      <c r="B15" s="47" t="n">
        <v>1.393</v>
      </c>
      <c r="C15" s="47" t="inlineStr">
        <is>
          <t>&lt;=1.50</t>
        </is>
      </c>
      <c r="D15" s="47" t="inlineStr">
        <is>
          <t>PASS</t>
        </is>
      </c>
      <c r="E15" s="47" t="inlineStr">
        <is>
          <t>Longest-side / shortest-side within each item.</t>
        </is>
      </c>
    </row>
    <row r="16">
      <c r="A16" s="47" t="inlineStr">
        <is>
          <t>Max full-item 3-gram similarity</t>
        </is>
      </c>
      <c r="B16" s="47" t="n">
        <v>0.163</v>
      </c>
      <c r="C16" s="47" t="inlineStr">
        <is>
          <t>&lt;0.20</t>
        </is>
      </c>
      <c r="D16" s="47" t="inlineStr">
        <is>
          <t>PASS</t>
        </is>
      </c>
      <c r="E16" s="47" t="inlineStr">
        <is>
          <t>Q41 ↔ Q53</t>
        </is>
      </c>
    </row>
    <row r="17">
      <c r="A17" s="47" t="inlineStr">
        <is>
          <t>Scoring re-certification</t>
        </is>
      </c>
      <c r="B17" s="47" t="inlineStr">
        <is>
          <t>NOT REQUIRED</t>
        </is>
      </c>
      <c r="C17" s="47" t="inlineStr">
        <is>
          <t>constants unchanged</t>
        </is>
      </c>
      <c r="D17" s="47" t="inlineStr">
        <is>
          <t>PASS</t>
        </is>
      </c>
      <c r="E17" s="47" t="inlineStr">
        <is>
          <t>Wording-only update; codebook, weights, pair rho and formulas are unchanged.</t>
        </is>
      </c>
    </row>
  </sheetData>
  <mergeCells count="1">
    <mergeCell ref="A1:E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22" customWidth="1" min="3" max="3"/>
    <col width="12" customWidth="1" min="4" max="4"/>
    <col width="72" customWidth="1" min="5" max="5"/>
  </cols>
  <sheetData>
    <row r="1">
      <c r="A1" s="63" t="inlineStr">
        <is>
          <t>43 — v4.4 Public Wording QA</t>
        </is>
      </c>
      <c r="B1" s="63" t="n"/>
      <c r="C1" s="63" t="n"/>
      <c r="D1" s="63" t="n"/>
      <c r="E1" s="63" t="n"/>
    </row>
    <row r="2">
      <c r="A2" t="inlineStr">
        <is>
          <t>80 respondent-facing items replaced. Frozen key/codebook/weights/pair-rho/formulas verified unchanged.</t>
        </is>
      </c>
    </row>
    <row r="3"/>
    <row r="4">
      <c r="A4" s="64" t="inlineStr">
        <is>
          <t>Metric</t>
        </is>
      </c>
      <c r="B4" s="64" t="inlineStr">
        <is>
          <t>Result</t>
        </is>
      </c>
      <c r="C4" s="64" t="inlineStr">
        <is>
          <t>Gate</t>
        </is>
      </c>
      <c r="D4" s="64" t="inlineStr">
        <is>
          <t>Status</t>
        </is>
      </c>
      <c r="E4" s="64" t="inlineStr">
        <is>
          <t>Detail</t>
        </is>
      </c>
    </row>
    <row r="5">
      <c r="A5" s="47" t="inlineStr">
        <is>
          <t>Instrument version</t>
        </is>
      </c>
      <c r="B5" s="47" t="inlineStr">
        <is>
          <t>starseed-v4.4-phase6b-prod-20260905</t>
        </is>
      </c>
      <c r="C5" s="47" t="inlineStr">
        <is>
          <t>v4.4</t>
        </is>
      </c>
      <c r="D5" s="47" t="inlineStr">
        <is>
          <t>PASS</t>
        </is>
      </c>
      <c r="E5" s="47" t="inlineStr">
        <is>
          <t>Calibration/version boundary for this wording set.</t>
        </is>
      </c>
    </row>
    <row r="6">
      <c r="A6" s="47" t="inlineStr">
        <is>
          <t>Item count</t>
        </is>
      </c>
      <c r="B6" s="47" t="n">
        <v>80</v>
      </c>
      <c r="C6" s="47" t="n">
        <v>80</v>
      </c>
      <c r="D6" s="47" t="inlineStr">
        <is>
          <t>PASS</t>
        </is>
      </c>
      <c r="E6" s="47" t="inlineStr">
        <is>
          <t>Exactly 80 administration items.</t>
        </is>
      </c>
    </row>
    <row r="7">
      <c r="A7" s="47" t="inlineStr">
        <is>
          <t>Canonical 03_FINAL_ITEMS match</t>
        </is>
      </c>
      <c r="B7" s="47" t="n">
        <v>80</v>
      </c>
      <c r="C7" s="47" t="n">
        <v>80</v>
      </c>
      <c r="D7" s="47" t="inlineStr">
        <is>
          <t>PASS</t>
        </is>
      </c>
      <c r="E7" s="47" t="inlineStr">
        <is>
          <t>Stem + Pole A + Pole B by frozen slot.</t>
        </is>
      </c>
    </row>
    <row r="8">
      <c r="A8" s="47" t="inlineStr">
        <is>
          <t>09 admin-order UI match</t>
        </is>
      </c>
      <c r="B8" s="47" t="n">
        <v>80</v>
      </c>
      <c r="C8" s="47" t="n">
        <v>80</v>
      </c>
      <c r="D8" s="47" t="inlineStr">
        <is>
          <t>PASS</t>
        </is>
      </c>
      <c r="E8" s="47" t="inlineStr">
        <is>
          <t>Stem + Left + Right after frozen key presentation.</t>
        </is>
      </c>
    </row>
    <row r="9">
      <c r="A9" s="47" t="inlineStr">
        <is>
          <t>33 response-input UI match</t>
        </is>
      </c>
      <c r="B9" s="47" t="n">
        <v>80</v>
      </c>
      <c r="C9" s="47" t="n">
        <v>80</v>
      </c>
      <c r="D9" s="47" t="inlineStr">
        <is>
          <t>PASS</t>
        </is>
      </c>
      <c r="E9" s="47" t="inlineStr">
        <is>
          <t>Question UI mirrors 09 admin order.</t>
        </is>
      </c>
    </row>
    <row r="10">
      <c r="A10" s="47" t="inlineStr">
        <is>
          <t>36 explanation stem match</t>
        </is>
      </c>
      <c r="B10" s="47" t="n">
        <v>80</v>
      </c>
      <c r="C10" s="47" t="n">
        <v>80</v>
      </c>
      <c r="D10" s="47" t="inlineStr">
        <is>
          <t>PASS</t>
        </is>
      </c>
      <c r="E10" s="47" t="inlineStr">
        <is>
          <t>Explanation rows carry current question stems.</t>
        </is>
      </c>
    </row>
    <row r="11">
      <c r="A11" s="47" t="inlineStr">
        <is>
          <t>Pole A presentation balance</t>
        </is>
      </c>
      <c r="B11" s="47" t="inlineStr">
        <is>
          <t>40 left / 40 right</t>
        </is>
      </c>
      <c r="C11" s="47" t="inlineStr">
        <is>
          <t>40 / 40</t>
        </is>
      </c>
      <c r="D11" s="47" t="inlineStr">
        <is>
          <t>PASS</t>
        </is>
      </c>
      <c r="E11" s="47" t="inlineStr">
        <is>
          <t>Frozen key vector unchanged.</t>
        </is>
      </c>
    </row>
    <row r="12">
      <c r="A12" s="47" t="inlineStr">
        <is>
          <t>97_PROD_WEIGHTS unchanged</t>
        </is>
      </c>
      <c r="B12" s="47" t="b">
        <v>1</v>
      </c>
      <c r="C12" s="47" t="b">
        <v>1</v>
      </c>
      <c r="D12" s="47" t="inlineStr">
        <is>
          <t>PASS</t>
        </is>
      </c>
      <c r="E12" s="47" t="inlineStr">
        <is>
          <t>Static production weights unchanged.</t>
        </is>
      </c>
    </row>
    <row r="13">
      <c r="A13" s="47" t="inlineStr">
        <is>
          <t>98_PROD_CODEBOOK_Q unchanged</t>
        </is>
      </c>
      <c r="B13" s="47" t="b">
        <v>1</v>
      </c>
      <c r="C13" s="47" t="b">
        <v>1</v>
      </c>
      <c r="D13" s="47" t="inlineStr">
        <is>
          <t>PASS</t>
        </is>
      </c>
      <c r="E13" s="47" t="inlineStr">
        <is>
          <t>23×80 production codebook unchanged.</t>
        </is>
      </c>
    </row>
    <row r="14">
      <c r="A14" s="47" t="inlineStr">
        <is>
          <t>96_PROD_PAIR_RHO unchanged</t>
        </is>
      </c>
      <c r="B14" s="47" t="b">
        <v>1</v>
      </c>
      <c r="C14" s="47" t="b">
        <v>1</v>
      </c>
      <c r="D14" s="47" t="inlineStr">
        <is>
          <t>PASS</t>
        </is>
      </c>
      <c r="E14" s="47" t="inlineStr">
        <is>
          <t>Pair geometry unchanged.</t>
        </is>
      </c>
    </row>
    <row r="15">
      <c r="A15" s="47" t="inlineStr">
        <is>
          <t>Existing formula cells changed</t>
        </is>
      </c>
      <c r="B15" s="47" t="n">
        <v>0</v>
      </c>
      <c r="C15" s="47" t="n">
        <v>0</v>
      </c>
      <c r="D15" s="47" t="inlineStr">
        <is>
          <t>PASS</t>
        </is>
      </c>
      <c r="E15" s="47" t="inlineStr">
        <is>
          <t>[]</t>
        </is>
      </c>
    </row>
    <row r="16">
      <c r="A16" s="47" t="inlineStr">
        <is>
          <t>Lineage/starseed cue hits</t>
        </is>
      </c>
      <c r="B16" s="47" t="n">
        <v>0</v>
      </c>
      <c r="C16" s="47" t="n">
        <v>0</v>
      </c>
      <c r="D16" s="47" t="inlineStr">
        <is>
          <t>PASS</t>
        </is>
      </c>
      <c r="E16" s="47" t="inlineStr">
        <is>
          <t>[]</t>
        </is>
      </c>
    </row>
    <row r="17">
      <c r="A17" s="47" t="inlineStr">
        <is>
          <t>Item hash</t>
        </is>
      </c>
      <c r="B17" s="47" t="inlineStr">
        <is>
          <t>9f14d02c66e6477c3f965575a10471aad7a8f9cded7da4937737e1158b228b45</t>
        </is>
      </c>
      <c r="C17" s="47" t="inlineStr">
        <is>
          <t>SHA-256</t>
        </is>
      </c>
      <c r="D17" s="47" t="inlineStr">
        <is>
          <t>PASS</t>
        </is>
      </c>
      <c r="E17" s="47" t="inlineStr">
        <is>
          <t>Serialization: Q|slot|stem|left|right|key, LF between rows, no trailing LF.</t>
        </is>
      </c>
    </row>
    <row r="18">
      <c r="A18" s="47" t="inlineStr">
        <is>
          <t>Scoring re-certification</t>
        </is>
      </c>
      <c r="B18" s="47" t="inlineStr">
        <is>
          <t>NOT REQUIRED</t>
        </is>
      </c>
      <c r="C18" s="47" t="inlineStr">
        <is>
          <t>wording-only</t>
        </is>
      </c>
      <c r="D18" s="47" t="inlineStr">
        <is>
          <t>PASS</t>
        </is>
      </c>
      <c r="E18" s="47" t="inlineStr">
        <is>
          <t>No key/codebook/weight/pair-rho/formula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Starseed v4.1 Production Phase 6B Scoring Engine</dc:title>
  <dc:subject xmlns:dc="http://purl.org/dc/elements/1.1/">Frozen production scoring engine after pre-merge wording audit</dc:subject>
  <dcterms:created xmlns:dcterms="http://purl.org/dc/terms/" xmlns:xsi="http://www.w3.org/2001/XMLSchema-instance" xsi:type="dcterms:W3CDTF">2026-09-04T01:57:49Z</dcterms:created>
  <dcterms:modified xmlns:dcterms="http://purl.org/dc/terms/" xmlns:xsi="http://www.w3.org/2001/XMLSchema-instance" xsi:type="dcterms:W3CDTF">2026-09-05T03:59:49Z</dcterms:modified>
  <cp:keywords>starseed-v4.1-phase6b-prod-20260904;a1d7ff2b93e16a8a811e7ce07e11134a02fbad2754d9fd4531912c09725a1536</cp:keywords>
</cp:coreProperties>
</file>